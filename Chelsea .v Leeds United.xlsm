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X:\Bet Tribe\Trading\Risk Uploads\Football\OPTA Combined\"/>
    </mc:Choice>
  </mc:AlternateContent>
  <xr:revisionPtr revIDLastSave="0" documentId="13_ncr:1_{79A1671D-DC8C-49B4-B0E8-0CF5C6FEEC68}" xr6:coauthVersionLast="46" xr6:coauthVersionMax="46" xr10:uidLastSave="{00000000-0000-0000-0000-000000000000}"/>
  <bookViews>
    <workbookView xWindow="-120" yWindow="-120" windowWidth="29040" windowHeight="15840" xr2:uid="{00000000-000D-0000-FFFF-FFFF00000000}"/>
  </bookViews>
  <sheets>
    <sheet name="Match Setup" sheetId="2" r:id="rId1"/>
    <sheet name="Player Inputs" sheetId="3" r:id="rId2"/>
    <sheet name="Shots Selections" sheetId="4" r:id="rId3"/>
    <sheet name="Tackles Selections" sheetId="5" r:id="rId4"/>
    <sheet name="1st Half Shots" sheetId="11" state="hidden" r:id="rId5"/>
    <sheet name="SoT Each Half" sheetId="13" state="hidden" r:id="rId6"/>
    <sheet name="Stats RABs" sheetId="12" state="hidden" r:id="rId7"/>
    <sheet name="Resulting Inputs" sheetId="9" state="hidden" r:id="rId8"/>
    <sheet name="Results CSV" sheetId="10" state="hidden" r:id="rId9"/>
    <sheet name="Lists" sheetId="1" state="hidden" r:id="rId10"/>
    <sheet name="1" sheetId="6" state="hidden" r:id="rId11"/>
    <sheet name="2" sheetId="7" state="hidden" r:id="rId12"/>
    <sheet name="3" sheetId="8" state="hidden" r:id="rId13"/>
  </sheets>
  <functionGroups builtInGroupCount="19"/>
  <externalReferences>
    <externalReference r:id="rId14"/>
    <externalReference r:id="rId15"/>
  </externalReferences>
  <definedNames>
    <definedName name="_xlnm._FilterDatabase" localSheetId="11" hidden="1">'2'!$A$1:$AL$6</definedName>
    <definedName name="_xlnm._FilterDatabase" localSheetId="12" hidden="1">'3'!$A$1:$AE$139</definedName>
    <definedName name="_xlnm._FilterDatabase" localSheetId="8" hidden="1">'Results CSV'!$A$1:$M$81</definedName>
    <definedName name="CATEGORY">[1]Setup!$AA$3</definedName>
    <definedName name="CLASS">[1]Setup!$AB$3</definedName>
    <definedName name="DATE">'Match Setup'!$B$9</definedName>
    <definedName name="DecimalPriceLookUp" localSheetId="10">[1]OddsList!$B$3:$B$118</definedName>
    <definedName name="DecimalPriceLookUp" localSheetId="11">[1]OddsList!$B$3:$B$118</definedName>
    <definedName name="DecimalPriceLookUp" localSheetId="12">[1]OddsList!$B$3:$B$118</definedName>
    <definedName name="DecimalPriceLookUp">Lists!$G$3:$G$118</definedName>
    <definedName name="EVENT">'Match Setup'!$B$6</definedName>
    <definedName name="FractionalPriceLookUp" localSheetId="10">[1]OddsList!$C$3:$C$118</definedName>
    <definedName name="FractionalPriceLookUp" localSheetId="11">[1]OddsList!$C$3:$C$118</definedName>
    <definedName name="FractionalPriceLookUp" localSheetId="12">[1]OddsList!$C$3:$C$118</definedName>
    <definedName name="FractionalPriceLookUp">Lists!$H$3:$H$118</definedName>
    <definedName name="FractionalPriceLookUp2">Lists!$O$3:$O$118</definedName>
    <definedName name="NAME">[2]Upload!$C$6</definedName>
    <definedName name="Resulting_Shots_Players">'Resulting Inputs'!$B$4:$B$23</definedName>
    <definedName name="Resulting_Shots_Totals">'Resulting Inputs'!$C$4:$C$23</definedName>
    <definedName name="Resulting_Tackles_Players">'Resulting Inputs'!$E$4:$E$23</definedName>
    <definedName name="Resulting_Tackles_Totals">'Resulting Inputs'!$F$4:$F$23</definedName>
    <definedName name="Sel10Tot">[1]SoT_Selections!$R$12</definedName>
    <definedName name="Sel11Tot">[1]SoT_Selections!$R$13</definedName>
    <definedName name="Sel12Tot">[1]SoT_Selections!$R$14</definedName>
    <definedName name="Sel13Tot">[1]SoT_Selections!$R$15</definedName>
    <definedName name="Sel14Tot">[1]SoT_Selections!$R$16</definedName>
    <definedName name="Sel15Tot">[1]SoT_Selections!$R$17</definedName>
    <definedName name="Sel16Tot">[1]SoT_Selections!$R$18</definedName>
    <definedName name="Sel17Tot">[1]SoT_Selections!$R$19</definedName>
    <definedName name="Sel18Tot">[1]SoT_Selections!$R$20</definedName>
    <definedName name="Sel19Tot">[1]SoT_Selections!$R$21</definedName>
    <definedName name="Sel1Tot">[1]SoT_Selections!$R$3</definedName>
    <definedName name="Sel20Tot">[1]SoT_Selections!$R$22</definedName>
    <definedName name="Sel21Tot">[1]SoT_Selections!$R$23</definedName>
    <definedName name="Sel22Tot">[1]SoT_Selections!$R$24</definedName>
    <definedName name="Sel23Tot">[1]SoT_Selections!$R$25</definedName>
    <definedName name="Sel24Tot">[1]SoT_Selections!$R$26</definedName>
    <definedName name="Sel25Tot">[1]SoT_Selections!$R$27</definedName>
    <definedName name="Sel26Tot">[1]SoT_Selections!$R$28</definedName>
    <definedName name="Sel27Tot">[1]SoT_Selections!$R$29</definedName>
    <definedName name="Sel28Tot">[1]SoT_Selections!$R$30</definedName>
    <definedName name="Sel29Tot">[1]SoT_Selections!$R$31</definedName>
    <definedName name="Sel2Tot">[1]SoT_Selections!$R$4</definedName>
    <definedName name="Sel30Tot">[1]SoT_Selections!$R$32</definedName>
    <definedName name="Sel3Tot">[1]SoT_Selections!$R$5</definedName>
    <definedName name="Sel4Tot">[1]SoT_Selections!$R$6</definedName>
    <definedName name="Sel5Tot">[1]SoT_Selections!$R$7</definedName>
    <definedName name="Sel6Tot">[1]SoT_Selections!$R$8</definedName>
    <definedName name="Sel7Tot">[1]SoT_Selections!$R$9</definedName>
    <definedName name="Sel8Tot">[1]SoT_Selections!$R$10</definedName>
    <definedName name="Sel9Tot">[1]SoT_Selections!$R$11</definedName>
    <definedName name="Shots_Combinations">'Shots Selections'!$H$7:$H$46</definedName>
    <definedName name="Shots_Offer_Prices">'Shots Selections'!$W$7:$W$46</definedName>
    <definedName name="Shots_Selection_Count">'Shots Selections'!$Y$7:$Y$46</definedName>
    <definedName name="Shots_Selection_Names">'Shots Selections'!$AA$7:$AA$46</definedName>
    <definedName name="Shots_Selections_1">'Shots Selections'!$B$7:$B$46</definedName>
    <definedName name="Shots_Selections_2">'Shots Selections'!$C$7:$C$46</definedName>
    <definedName name="Shots_Selections_3">'Shots Selections'!$D$7:$D$46</definedName>
    <definedName name="Shots_Selections_4">'Shots Selections'!$E$7:$E$46</definedName>
    <definedName name="Shots_Selections_5">'Shots Selections'!$F$7:$F$46</definedName>
    <definedName name="Shots_Selections_6">'Shots Selections'!$G$7:$G$46</definedName>
    <definedName name="Shots_True_Prices">'Shots Selections'!$V$7:$V$46</definedName>
    <definedName name="ShotsPlayer1">'Player Inputs'!$C$4</definedName>
    <definedName name="ShotsPlayer10">'Player Inputs'!$C$13</definedName>
    <definedName name="ShotsPlayer11">'Player Inputs'!$C$14</definedName>
    <definedName name="ShotsPlayer12">'Player Inputs'!$C$15</definedName>
    <definedName name="ShotsPlayer13">'Player Inputs'!$C$16</definedName>
    <definedName name="ShotsPlayer14">'Player Inputs'!$C$17</definedName>
    <definedName name="ShotsPlayer15">'Player Inputs'!$C$18</definedName>
    <definedName name="ShotsPlayer16">'Player Inputs'!$C$19</definedName>
    <definedName name="ShotsPlayer17">'Player Inputs'!$C$20</definedName>
    <definedName name="ShotsPlayer18">'Player Inputs'!$C$21</definedName>
    <definedName name="ShotsPlayer19">'Player Inputs'!$C$22</definedName>
    <definedName name="ShotsPlayer2">'Player Inputs'!$C$5</definedName>
    <definedName name="ShotsPlayer20">'Player Inputs'!$C$23</definedName>
    <definedName name="ShotsPlayer3">'Player Inputs'!$C$6</definedName>
    <definedName name="ShotsPlayer4">'Player Inputs'!$C$7</definedName>
    <definedName name="ShotsPlayer5">'Player Inputs'!$C$8</definedName>
    <definedName name="ShotsPlayer6">'Player Inputs'!$C$9</definedName>
    <definedName name="ShotsPlayer7">'Player Inputs'!$C$10</definedName>
    <definedName name="ShotsPlayer8">'Player Inputs'!$C$11</definedName>
    <definedName name="ShotsPlayer9">'Player Inputs'!$C$12</definedName>
    <definedName name="ShotsPlayers">'Player Inputs'!$C$4:$C$23</definedName>
    <definedName name="ShotsRemaining">'Player Inputs'!$M$4:$M$23</definedName>
    <definedName name="SoT_Players">OFFSET([1]Setup!$B$4,0,0,COUNTA([1]Setup!$B$4:$B$19)-1,1)</definedName>
    <definedName name="SoT_Remaining">[1]Setup!$L$4:$L$19</definedName>
    <definedName name="SoT_Totals_List">Lists!$D$3:$D$18</definedName>
    <definedName name="SoTOverSel1">[1]SoT_Calculations!$C$6:$AG$6</definedName>
    <definedName name="SoTOverSel10">[1]SoT_Calculations!$C$78:$AG$78</definedName>
    <definedName name="SoTOverSel11">[1]SoT_Calculations!$C$86:$AG$86</definedName>
    <definedName name="SoTOverSel12">[1]SoT_Calculations!$C$94:$AG$94</definedName>
    <definedName name="SoTOverSel13">[1]SoT_Calculations!$C$102:$AG$102</definedName>
    <definedName name="SoTOverSel14">[1]SoT_Calculations!$C$110:$AG$110</definedName>
    <definedName name="SoTOverSel15">[1]SoT_Calculations!$C$118:$AG$118</definedName>
    <definedName name="SoTOverSel16">[1]SoT_Calculations!$C$126:$AG$126</definedName>
    <definedName name="SoTOverSel17">[1]SoT_Calculations!$C$134:$AG$134</definedName>
    <definedName name="SoTOverSel18">[1]SoT_Calculations!$C$142:$AG$142</definedName>
    <definedName name="SoTOverSel19">[1]SoT_Calculations!$C$150:$AG$150</definedName>
    <definedName name="SoTOverSel2">[1]SoT_Calculations!$C$14:$AG$14</definedName>
    <definedName name="SoTOverSel20">[1]SoT_Calculations!$C$158:$AG$158</definedName>
    <definedName name="SoTOverSel21">[1]SoT_Calculations!$C$166:$AG$166</definedName>
    <definedName name="SoTOverSel22">[1]SoT_Calculations!$C$174:$AG$174</definedName>
    <definedName name="SoTOverSel23">[1]SoT_Calculations!$C$182:$AG$182</definedName>
    <definedName name="SoTOverSel24">[1]SoT_Calculations!$C$190:$AG$190</definedName>
    <definedName name="SoTOverSel25">[1]SoT_Calculations!$C$198:$AG$198</definedName>
    <definedName name="SoTOverSel26">[1]SoT_Calculations!$C$206:$AG$206</definedName>
    <definedName name="SoTOverSel27">[1]SoT_Calculations!$C$214:$AG$214</definedName>
    <definedName name="SoTOverSel28">[1]SoT_Calculations!$C$222:$AG$222</definedName>
    <definedName name="SoTOverSel29">[1]SoT_Calculations!$C$230:$AG$230</definedName>
    <definedName name="SoTOverSel3">[1]SoT_Calculations!$C$22:$AG$22</definedName>
    <definedName name="SoTOverSel30">[1]SoT_Calculations!$C$238:$AG$238</definedName>
    <definedName name="SoTOverSel4">[1]SoT_Calculations!$C$30:$AG$30</definedName>
    <definedName name="SoTOverSel5">[1]SoT_Calculations!$C$38:$AG$38</definedName>
    <definedName name="SoTOverSel6">[1]SoT_Calculations!$C$46:$AG$46</definedName>
    <definedName name="SoTOverSel7">[1]SoT_Calculations!$C$54:$AG$54</definedName>
    <definedName name="SoTOverSel8">[1]SoT_Calculations!$C$62:$AG$62</definedName>
    <definedName name="SoTOverSel9">[1]SoT_Calculations!$C$70:$AG$70</definedName>
    <definedName name="SoTPlayer1">[1]Setup!$B$4</definedName>
    <definedName name="SoTPlayer10">[1]Setup!$B$13</definedName>
    <definedName name="SoTPlayer2">[1]Setup!$B$5</definedName>
    <definedName name="SoTPlayer3">[1]Setup!$B$6</definedName>
    <definedName name="SoTPlayer4">[1]Setup!$B$7</definedName>
    <definedName name="SoTPlayer5">[1]Setup!$B$8</definedName>
    <definedName name="SoTPlayer6">[1]Setup!$B$9</definedName>
    <definedName name="SoTPlayer7">[1]Setup!$B$10</definedName>
    <definedName name="SoTPlayer8">[1]Setup!$B$11</definedName>
    <definedName name="SoTPlayer9">[1]Setup!$B$12</definedName>
    <definedName name="SoTSel10Prices">[1]SoT_Calculations!$C$80:$AG$80</definedName>
    <definedName name="SoTSel11Prices">[1]SoT_Calculations!$C$88:$AG$88</definedName>
    <definedName name="SoTSel12Prices">[1]SoT_Calculations!$C$96:$AG$96</definedName>
    <definedName name="SoTSel13Prices">[1]SoT_Calculations!$C$104:$AG$104</definedName>
    <definedName name="SoTSel14Prices">[1]SoT_Calculations!$C$112:$AG$112</definedName>
    <definedName name="SoTSel15Prices">[1]SoT_Calculations!$C$120:$AG$120</definedName>
    <definedName name="SoTSel16Prices">[1]SoT_Calculations!$C$128:$AG$128</definedName>
    <definedName name="SoTSel17Prices">[1]SoT_Calculations!$C$136:$AG$136</definedName>
    <definedName name="SoTSel18Prices">[1]SoT_Calculations!$C$144:$AG$144</definedName>
    <definedName name="SoTSel19Prices">[1]SoT_Calculations!$C$152:$AG$152</definedName>
    <definedName name="SoTSel1Prices">[1]SoT_Calculations!$C$8:$AG$8</definedName>
    <definedName name="SoTSel20Prices">[1]SoT_Calculations!$C$160:$AG$160</definedName>
    <definedName name="SoTSel21Prices">[1]SoT_Calculations!$C$168:$AG$168</definedName>
    <definedName name="SoTSel22Prices">[1]SoT_Calculations!$C$176:$AG$176</definedName>
    <definedName name="SoTSel23Prices">[1]SoT_Calculations!$C$184:$AG$184</definedName>
    <definedName name="SoTSel24Prices">[1]SoT_Calculations!$C$192:$AG$192</definedName>
    <definedName name="SoTSel25Prices">[1]SoT_Calculations!$C$200:$AG$200</definedName>
    <definedName name="SoTSel26Prices">[1]SoT_Calculations!$C$208:$AG$208</definedName>
    <definedName name="SoTSel27Prices">[1]SoT_Calculations!$C$216:$AG$216</definedName>
    <definedName name="SoTSel28Prices">[1]SoT_Calculations!$C$224:$AG$224</definedName>
    <definedName name="SoTSel29Prices">[1]SoT_Calculations!$C$232:$AG$232</definedName>
    <definedName name="SoTSel2Prices">[1]SoT_Calculations!$C$16:$AG$16</definedName>
    <definedName name="SoTSel30Prices">[1]SoT_Calculations!$C$240:$AG$240</definedName>
    <definedName name="SoTSel3Prices">[1]SoT_Calculations!$C$24:$AG$24</definedName>
    <definedName name="SoTSel4Prices">[1]SoT_Calculations!$C$32:$AG$32</definedName>
    <definedName name="SoTSel5Prices">[1]SoT_Calculations!$C$40:$AG$40</definedName>
    <definedName name="SoTSel6Prices">[1]SoT_Calculations!$C$48:$AG$48</definedName>
    <definedName name="SoTSel7Prices">[1]SoT_Calculations!$C$56:$AG$56</definedName>
    <definedName name="SoTSel8Prices">[1]SoT_Calculations!$C$64:$AG$64</definedName>
    <definedName name="SoTSel9Prices">[1]SoT_Calculations!$C$72:$AG$72</definedName>
    <definedName name="Tackles_Combinations">'Tackles Selections'!$H$7:$H$46</definedName>
    <definedName name="Tackles_Offer_Prices">'Tackles Selections'!$W$7:$W$46</definedName>
    <definedName name="Tackles_Players">OFFSET([1]Setup!$N$4,0,0,COUNTA([1]Setup!$N$4:$N$19)-1,1)</definedName>
    <definedName name="Tackles_Remaining">[1]Setup!$X$4:$X$19</definedName>
    <definedName name="Tackles_Selection_Count">'Tackles Selections'!$Y$7:$Y$46</definedName>
    <definedName name="Tackles_Selection_Names">'Tackles Selections'!$AA$7:$AA$46</definedName>
    <definedName name="Tackles_Selections_1">'Tackles Selections'!$B$7:$B$46</definedName>
    <definedName name="Tackles_Selections_2">'Tackles Selections'!$C$7:$C$46</definedName>
    <definedName name="Tackles_Selections_3">'Tackles Selections'!$D$7:$D$46</definedName>
    <definedName name="Tackles_Selections_4">'Tackles Selections'!$E$7:$E$46</definedName>
    <definedName name="Tackles_Selections_5">'Tackles Selections'!$F$7:$F$46</definedName>
    <definedName name="Tackles_Selections_6">'Tackles Selections'!$G$7:$G$46</definedName>
    <definedName name="Tackles_True_Prices">'Tackles Selections'!$V$7:$V$46</definedName>
    <definedName name="TacklesPlayer1">'Player Inputs'!$Q$4</definedName>
    <definedName name="TacklesPlayer10">'Player Inputs'!$Q$13</definedName>
    <definedName name="TacklesPlayer11">'Player Inputs'!$Q$14</definedName>
    <definedName name="TacklesPlayer12">'Player Inputs'!$Q$15</definedName>
    <definedName name="TacklesPlayer13">'Player Inputs'!$Q$16</definedName>
    <definedName name="TacklesPlayer14">'Player Inputs'!$Q$17</definedName>
    <definedName name="TacklesPlayer15">'Player Inputs'!$Q$18</definedName>
    <definedName name="TacklesPlayer16">'Player Inputs'!$Q$19</definedName>
    <definedName name="TacklesPlayer17">'Player Inputs'!$Q$20</definedName>
    <definedName name="TacklesPlayer18">'Player Inputs'!$Q$21</definedName>
    <definedName name="TacklesPlayer19">'Player Inputs'!$Q$22</definedName>
    <definedName name="TacklesPlayer2">'Player Inputs'!$Q$5</definedName>
    <definedName name="TacklesPlayer20">'Player Inputs'!$Q$23</definedName>
    <definedName name="TacklesPlayer3">'Player Inputs'!$Q$6</definedName>
    <definedName name="TacklesPlayer4">'Player Inputs'!$Q$7</definedName>
    <definedName name="TacklesPlayer5">'Player Inputs'!$Q$8</definedName>
    <definedName name="TacklesPlayer6">'Player Inputs'!$Q$9</definedName>
    <definedName name="TacklesPlayer7">'Player Inputs'!$Q$10</definedName>
    <definedName name="TacklesPlayer8">'Player Inputs'!$Q$11</definedName>
    <definedName name="TacklesPlayer9">'Player Inputs'!$Q$12</definedName>
    <definedName name="TacklesPlayers">'Player Inputs'!$Q$4:$Q$23</definedName>
    <definedName name="TacklesRemaining">'Player Inputs'!$AA$4:$AA$23</definedName>
    <definedName name="TcK_Totals_List">Lists!$E$3:$E$27</definedName>
    <definedName name="TcKOverSel1">[1]TcK_Calculations!$C$6:$AG$6</definedName>
    <definedName name="TcKOverSel10">[1]TcK_Calculations!$C$78:$AG$78</definedName>
    <definedName name="TcKOverSel11">[1]TcK_Calculations!$C$86:$AG$86</definedName>
    <definedName name="TcKOverSel12">[1]TcK_Calculations!$C$94:$AG$94</definedName>
    <definedName name="TcKOverSel13">[1]TcK_Calculations!$C$102:$AG$102</definedName>
    <definedName name="TcKOverSel14">[1]TcK_Calculations!$C$110:$AG$110</definedName>
    <definedName name="TcKOverSel15">[1]TcK_Calculations!$C$118:$AG$118</definedName>
    <definedName name="TcKOverSel16">[1]TcK_Calculations!$C$126:$AG$126</definedName>
    <definedName name="TcKOverSel17">[1]TcK_Calculations!$C$134:$AG$134</definedName>
    <definedName name="TcKOverSel18">[1]TcK_Calculations!$C$142:$AG$142</definedName>
    <definedName name="TcKOverSel19">[1]TcK_Calculations!$C$150:$AG$150</definedName>
    <definedName name="TcKOverSel2">[1]TcK_Calculations!$C$14:$AG$14</definedName>
    <definedName name="TcKOverSel20">[1]TcK_Calculations!$C$158:$AG$158</definedName>
    <definedName name="TcKOverSel21">[1]TcK_Calculations!$C$166:$AG$166</definedName>
    <definedName name="TcKOverSel22">[1]TcK_Calculations!$C$174:$AG$174</definedName>
    <definedName name="TcKOverSel23">[1]TcK_Calculations!$C$182:$AG$182</definedName>
    <definedName name="TcKOverSel24">[1]TcK_Calculations!$C$190:$AG$190</definedName>
    <definedName name="TcKOverSel25">[1]TcK_Calculations!$C$198:$AG$198</definedName>
    <definedName name="TcKOverSel26">[1]TcK_Calculations!$C$206:$AG$206</definedName>
    <definedName name="TcKOverSel27">[1]TcK_Calculations!$C$214:$AG$214</definedName>
    <definedName name="TcKOverSel28">[1]TcK_Calculations!$C$222:$AG$222</definedName>
    <definedName name="TcKOverSel29">[1]TcK_Calculations!$C$230:$AG$230</definedName>
    <definedName name="TcKOverSel3">[1]TcK_Calculations!$C$22:$AG$22</definedName>
    <definedName name="TcKOverSel30">[1]TcK_Calculations!$C$238:$AG$238</definedName>
    <definedName name="TcKOverSel4">[1]TcK_Calculations!$C$30:$AG$30</definedName>
    <definedName name="TcKOverSel5">[1]TcK_Calculations!$C$38:$AG$38</definedName>
    <definedName name="TcKOverSel6">[1]TcK_Calculations!$C$46:$AG$46</definedName>
    <definedName name="TcKOverSel7">[1]TcK_Calculations!$C$54:$AG$54</definedName>
    <definedName name="TcKOverSel8">[1]TcK_Calculations!$C$62:$AG$62</definedName>
    <definedName name="TcKOverSel9">[1]TcK_Calculations!$C$70:$AG$70</definedName>
    <definedName name="TcKPlayer1">[1]Setup!$N$4</definedName>
    <definedName name="TcKPlayer10">[1]Setup!$N$13</definedName>
    <definedName name="TcKPlayer2">[1]Setup!$N$5</definedName>
    <definedName name="TcKPlayer3">[1]Setup!$N$6</definedName>
    <definedName name="TcKPlayer4">[1]Setup!$N$7</definedName>
    <definedName name="TcKPlayer5">[1]Setup!$N$8</definedName>
    <definedName name="TcKPlayer6">[1]Setup!$N$9</definedName>
    <definedName name="TcKPlayer7">[1]Setup!$N$10</definedName>
    <definedName name="TcKPlayer8">[1]Setup!$N$11</definedName>
    <definedName name="TcKPlayer9">[1]Setup!$N$12</definedName>
    <definedName name="TcKSel10Prices">[1]TcK_Calculations!$C$80:$AG$80</definedName>
    <definedName name="TcKSel10Tot">[1]TcK_Selections!$R$12</definedName>
    <definedName name="TcKSel11Prices">[1]TcK_Calculations!$C$88:$AG$88</definedName>
    <definedName name="TckSel11Tot">[1]TcK_Selections!$R$13</definedName>
    <definedName name="TcKSel12Prices">[1]TcK_Calculations!$C$96:$AG$96</definedName>
    <definedName name="TcKSel12Tot">[1]TcK_Selections!$R$14</definedName>
    <definedName name="TcKSel13Prices">[1]TcK_Calculations!$C$104:$AG$104</definedName>
    <definedName name="TcKSel13Tot">[1]TcK_Selections!$R$15</definedName>
    <definedName name="TcKSel14Prices">[1]TcK_Calculations!$C$112:$AG$112</definedName>
    <definedName name="TckSel14Tot">[1]TcK_Selections!$R$16</definedName>
    <definedName name="TcKSel15Prices">[1]TcK_Calculations!$C$120:$AG$120</definedName>
    <definedName name="TckSel15Tot">[1]TcK_Selections!$R$17</definedName>
    <definedName name="TcKSel16Prices">[1]TcK_Calculations!$C$128:$AG$128</definedName>
    <definedName name="TckSel16Tot">[1]TcK_Selections!$R$18</definedName>
    <definedName name="TcKSel17Prices">[1]TcK_Calculations!$C$136:$AG$136</definedName>
    <definedName name="TckSel17Tot">[1]TcK_Selections!$R$19</definedName>
    <definedName name="TcKSel18Prices">[1]TcK_Calculations!$C$144:$AG$144</definedName>
    <definedName name="TckSel18Tot">[1]TcK_Selections!$R$20</definedName>
    <definedName name="TcKSel19Prices">[1]TcK_Calculations!$C$152:$AG$152</definedName>
    <definedName name="TckSel19Tot">[1]TcK_Selections!$R$21</definedName>
    <definedName name="TcKSel1Prices">[1]TcK_Calculations!$C$8:$AG$8</definedName>
    <definedName name="TcKSel1Tot">[1]TcK_Selections!$R$3</definedName>
    <definedName name="TcKSel20Prices">[1]TcK_Calculations!$C$160:$AG$160</definedName>
    <definedName name="TckSel20Tot">[1]TcK_Selections!$R$22</definedName>
    <definedName name="TcKSel21Prices">[1]TcK_Calculations!$C$168:$AG$168</definedName>
    <definedName name="TckSel21Tot">[1]TcK_Selections!$R$23</definedName>
    <definedName name="TcKSel22Prices">[1]TcK_Calculations!$C$176:$AG$176</definedName>
    <definedName name="TckSel22Tot">[1]TcK_Selections!$R$24</definedName>
    <definedName name="TcKSel23Prices">[1]TcK_Calculations!$C$184:$AG$184</definedName>
    <definedName name="TckSel23Tot">[1]TcK_Selections!$R$25</definedName>
    <definedName name="TcKSel24Prices">[1]TcK_Calculations!$C$192:$AG$192</definedName>
    <definedName name="TckSel24Tot">[1]TcK_Selections!$R$26</definedName>
    <definedName name="TcKSel25Prices">[1]TcK_Calculations!$C$200:$AG$200</definedName>
    <definedName name="TckSel25Tot">[1]TcK_Selections!$R$27</definedName>
    <definedName name="TcKSel26Prices">[1]TcK_Calculations!$C$208:$AG$208</definedName>
    <definedName name="TckSel26Tot">[1]TcK_Selections!$R$28</definedName>
    <definedName name="TcKSel27Prices">[1]TcK_Calculations!$C$216:$AG$216</definedName>
    <definedName name="TckSel27Tot">[1]TcK_Selections!$R$29</definedName>
    <definedName name="TcKSel28Prices">[1]TcK_Calculations!$C$224:$AG$224</definedName>
    <definedName name="TckSel28Tot">[1]TcK_Selections!$R$30</definedName>
    <definedName name="TcKSel29Prices">[1]TcK_Calculations!$C$232:$AG$232</definedName>
    <definedName name="TckSel29Tot">[1]TcK_Selections!$R$31</definedName>
    <definedName name="TcKSel2Prices">[1]TcK_Calculations!$C$16:$AG$16</definedName>
    <definedName name="TcKSel2Tot">[1]TcK_Selections!$R$4</definedName>
    <definedName name="TcKSel30Prices">[1]TcK_Calculations!$C$240:$AG$240</definedName>
    <definedName name="TckSel30Tot">[1]TcK_Selections!$R$32</definedName>
    <definedName name="TcKSel3Prices">[1]TcK_Calculations!$C$24:$AG$24</definedName>
    <definedName name="TcKSel3Tot">[1]TcK_Selections!$R$5</definedName>
    <definedName name="TcKSel4Prices">[1]TcK_Calculations!$C$32:$AG$32</definedName>
    <definedName name="TcKSel4Tot">[1]TcK_Selections!$R$6</definedName>
    <definedName name="TcKSel5Prices">[1]TcK_Calculations!$C$40:$AG$40</definedName>
    <definedName name="TcKSel5Tot">[1]TcK_Selections!$R$7</definedName>
    <definedName name="TcKSel6Prices">[1]TcK_Calculations!$C$48:$AG$48</definedName>
    <definedName name="TcKSel6Tot">[1]TcK_Selections!$R$8</definedName>
    <definedName name="TcKSel7Prices">[1]TcK_Calculations!$C$56:$AG$56</definedName>
    <definedName name="TcKSel7Tot">[1]TcK_Selections!$R$9</definedName>
    <definedName name="TcKSel8Prices">[1]TcK_Calculations!$C$64:$AG$64</definedName>
    <definedName name="TcKSel8Tot">[1]TcK_Selections!$R$10</definedName>
    <definedName name="TcKSel9Prices">[1]TcK_Calculations!$C$72:$AG$72</definedName>
    <definedName name="TcKSel9Tot">[1]TcK_Selections!$R$11</definedName>
    <definedName name="TYPE">'Match Setup'!$B$3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0" i="5" l="1"/>
  <c r="E23" i="9" l="1"/>
  <c r="E22" i="9"/>
  <c r="E21" i="9"/>
  <c r="E20" i="9"/>
  <c r="E19" i="9"/>
  <c r="E18" i="9"/>
  <c r="E17" i="9"/>
  <c r="E16" i="9"/>
  <c r="E15" i="9"/>
  <c r="E14" i="9"/>
  <c r="E13" i="9"/>
  <c r="E12" i="9"/>
  <c r="E11" i="9"/>
  <c r="E10" i="9"/>
  <c r="E9" i="9"/>
  <c r="E8" i="9"/>
  <c r="E7" i="9"/>
  <c r="E6" i="9"/>
  <c r="E5" i="9"/>
  <c r="E4" i="9"/>
  <c r="B23" i="9"/>
  <c r="B22" i="9"/>
  <c r="B21" i="9"/>
  <c r="B20" i="9"/>
  <c r="B19" i="9"/>
  <c r="B18" i="9"/>
  <c r="B17" i="9"/>
  <c r="B16" i="9"/>
  <c r="B15" i="9"/>
  <c r="B14" i="9"/>
  <c r="B13" i="9"/>
  <c r="B12" i="9"/>
  <c r="B11" i="9"/>
  <c r="B10" i="9"/>
  <c r="B9" i="9"/>
  <c r="B8" i="9"/>
  <c r="B7" i="9"/>
  <c r="B6" i="9"/>
  <c r="B5" i="9"/>
  <c r="B4" i="9"/>
  <c r="AL3" i="7" l="1"/>
  <c r="AL4" i="7"/>
  <c r="AL5" i="7"/>
  <c r="AL6" i="7"/>
  <c r="AL2" i="7"/>
  <c r="V3" i="2" l="1"/>
  <c r="D4" i="2" l="1"/>
  <c r="D5" i="2"/>
  <c r="D6" i="2"/>
  <c r="D7" i="2"/>
  <c r="D3" i="2"/>
  <c r="C128" i="8"/>
  <c r="D128" i="8"/>
  <c r="E128" i="8"/>
  <c r="C129" i="8"/>
  <c r="D129" i="8"/>
  <c r="E129" i="8"/>
  <c r="C130" i="8"/>
  <c r="D130" i="8"/>
  <c r="E130" i="8"/>
  <c r="C131" i="8"/>
  <c r="D131" i="8"/>
  <c r="E131" i="8"/>
  <c r="C132" i="8"/>
  <c r="D132" i="8"/>
  <c r="E132" i="8"/>
  <c r="C133" i="8"/>
  <c r="D133" i="8"/>
  <c r="E133" i="8"/>
  <c r="C134" i="8"/>
  <c r="D134" i="8"/>
  <c r="E134" i="8"/>
  <c r="C135" i="8"/>
  <c r="D135" i="8"/>
  <c r="E135" i="8"/>
  <c r="C136" i="8"/>
  <c r="D136" i="8"/>
  <c r="E136" i="8"/>
  <c r="C137" i="8"/>
  <c r="D137" i="8"/>
  <c r="E137" i="8"/>
  <c r="C138" i="8"/>
  <c r="D138" i="8"/>
  <c r="E138" i="8"/>
  <c r="C139" i="8"/>
  <c r="D139" i="8"/>
  <c r="E139" i="8"/>
  <c r="C101" i="8"/>
  <c r="D101" i="8"/>
  <c r="E101" i="8"/>
  <c r="C102" i="8"/>
  <c r="D102" i="8"/>
  <c r="E102" i="8"/>
  <c r="C103" i="8"/>
  <c r="D103" i="8"/>
  <c r="E103" i="8"/>
  <c r="C104" i="8"/>
  <c r="D104" i="8"/>
  <c r="E104" i="8"/>
  <c r="C105" i="8"/>
  <c r="D105" i="8"/>
  <c r="E105" i="8"/>
  <c r="C106" i="8"/>
  <c r="D106" i="8"/>
  <c r="E106" i="8"/>
  <c r="C107" i="8"/>
  <c r="D107" i="8"/>
  <c r="E107" i="8"/>
  <c r="C108" i="8"/>
  <c r="D108" i="8"/>
  <c r="E108" i="8"/>
  <c r="E27" i="11"/>
  <c r="D27" i="11"/>
  <c r="C27" i="11"/>
  <c r="B27" i="11"/>
  <c r="D26" i="11"/>
  <c r="C26" i="11"/>
  <c r="C25" i="11"/>
  <c r="B25" i="11"/>
  <c r="C24" i="11"/>
  <c r="C23" i="11"/>
  <c r="K4" i="11"/>
  <c r="L4" i="11"/>
  <c r="M4" i="11"/>
  <c r="K5" i="11"/>
  <c r="L5" i="11"/>
  <c r="M5" i="11"/>
  <c r="K6" i="11"/>
  <c r="L6" i="11"/>
  <c r="M6" i="11"/>
  <c r="K7" i="11"/>
  <c r="L7" i="11"/>
  <c r="M7" i="11"/>
  <c r="K8" i="11"/>
  <c r="L8" i="11"/>
  <c r="M8" i="11"/>
  <c r="K9" i="11"/>
  <c r="L9" i="11"/>
  <c r="M9" i="11"/>
  <c r="K10" i="11"/>
  <c r="L10" i="11"/>
  <c r="M10" i="11"/>
  <c r="K11" i="11"/>
  <c r="L11" i="11"/>
  <c r="M11" i="11"/>
  <c r="K12" i="11"/>
  <c r="L12" i="11"/>
  <c r="R12" i="11" s="1"/>
  <c r="M12" i="11"/>
  <c r="K13" i="11"/>
  <c r="L13" i="11"/>
  <c r="M13" i="11"/>
  <c r="K14" i="11"/>
  <c r="L14" i="11"/>
  <c r="M14" i="11"/>
  <c r="K15" i="11"/>
  <c r="L15" i="11"/>
  <c r="M15" i="11"/>
  <c r="K16" i="11"/>
  <c r="L16" i="11"/>
  <c r="M16" i="11"/>
  <c r="K17" i="11"/>
  <c r="L17" i="11"/>
  <c r="M17" i="11"/>
  <c r="K18" i="11"/>
  <c r="L18" i="11"/>
  <c r="M18" i="11"/>
  <c r="K19" i="11"/>
  <c r="L19" i="11"/>
  <c r="M19" i="11"/>
  <c r="K20" i="11"/>
  <c r="L20" i="11"/>
  <c r="M20" i="11"/>
  <c r="G19" i="11"/>
  <c r="G18" i="11"/>
  <c r="G17" i="11"/>
  <c r="G16" i="11"/>
  <c r="G15" i="11"/>
  <c r="B19" i="11"/>
  <c r="H19" i="11" s="1"/>
  <c r="B20" i="11"/>
  <c r="J20" i="11" s="1"/>
  <c r="B18" i="11"/>
  <c r="J18" i="11" s="1"/>
  <c r="B16" i="11"/>
  <c r="J16" i="11" s="1"/>
  <c r="B17" i="11"/>
  <c r="J17" i="11" s="1"/>
  <c r="B15" i="11"/>
  <c r="J15" i="11" s="1"/>
  <c r="G14" i="11"/>
  <c r="G13" i="11"/>
  <c r="G12" i="11"/>
  <c r="B13" i="11"/>
  <c r="J13" i="11" s="1"/>
  <c r="B14" i="11"/>
  <c r="H14" i="11" s="1"/>
  <c r="B12" i="11"/>
  <c r="J12" i="11" s="1"/>
  <c r="B10" i="11"/>
  <c r="X10" i="11" s="1"/>
  <c r="G89" i="8" s="1"/>
  <c r="B11" i="11"/>
  <c r="X11" i="11" s="1"/>
  <c r="G90" i="8" s="1"/>
  <c r="B9" i="11"/>
  <c r="X9" i="11" s="1"/>
  <c r="G88" i="8" s="1"/>
  <c r="B7" i="11"/>
  <c r="X7" i="11" s="1"/>
  <c r="G86" i="8" s="1"/>
  <c r="B8" i="11"/>
  <c r="X8" i="11" s="1"/>
  <c r="G87" i="8" s="1"/>
  <c r="B6" i="11"/>
  <c r="X6" i="11" s="1"/>
  <c r="G85" i="8" s="1"/>
  <c r="B5" i="11"/>
  <c r="X5" i="11" s="1"/>
  <c r="G84" i="8" s="1"/>
  <c r="E5" i="7"/>
  <c r="C5" i="7"/>
  <c r="D5" i="7"/>
  <c r="E6" i="7"/>
  <c r="C6" i="7"/>
  <c r="D6" i="7"/>
  <c r="G12" i="13"/>
  <c r="B14" i="13"/>
  <c r="E14" i="13" s="1"/>
  <c r="B13" i="13"/>
  <c r="E13" i="13" s="1"/>
  <c r="D13" i="13"/>
  <c r="D14" i="13"/>
  <c r="B12" i="13"/>
  <c r="H12" i="13" s="1"/>
  <c r="B11" i="13"/>
  <c r="E11" i="13" s="1"/>
  <c r="B10" i="13"/>
  <c r="G10" i="13" s="1"/>
  <c r="B9" i="13"/>
  <c r="G9" i="13" s="1"/>
  <c r="B8" i="13"/>
  <c r="B7" i="13"/>
  <c r="E7" i="13" s="1"/>
  <c r="B6" i="13"/>
  <c r="G6" i="13" s="1"/>
  <c r="B5" i="13"/>
  <c r="H5" i="13" s="1"/>
  <c r="B4" i="13"/>
  <c r="B3" i="13"/>
  <c r="H3" i="13" s="1"/>
  <c r="D12" i="13"/>
  <c r="P12" i="13" s="1"/>
  <c r="G137" i="8" s="1"/>
  <c r="D11" i="13"/>
  <c r="D10" i="13"/>
  <c r="D9" i="13"/>
  <c r="D8" i="13"/>
  <c r="D7" i="13"/>
  <c r="D6" i="13"/>
  <c r="D5" i="13"/>
  <c r="D4" i="13"/>
  <c r="D3" i="13"/>
  <c r="R18" i="11" l="1"/>
  <c r="R15" i="11"/>
  <c r="R17" i="11"/>
  <c r="R14" i="11"/>
  <c r="R19" i="11"/>
  <c r="R16" i="11"/>
  <c r="S13" i="11"/>
  <c r="S12" i="11"/>
  <c r="S16" i="11"/>
  <c r="S17" i="11"/>
  <c r="H14" i="13"/>
  <c r="P9" i="13"/>
  <c r="G134" i="8" s="1"/>
  <c r="G14" i="13"/>
  <c r="J14" i="13" s="1"/>
  <c r="X15" i="11"/>
  <c r="G94" i="8" s="1"/>
  <c r="S15" i="11"/>
  <c r="S19" i="11"/>
  <c r="H17" i="11"/>
  <c r="P11" i="13"/>
  <c r="G136" i="8" s="1"/>
  <c r="P6" i="13"/>
  <c r="G131" i="8" s="1"/>
  <c r="H18" i="11"/>
  <c r="E10" i="13"/>
  <c r="H10" i="13"/>
  <c r="K10" i="13" s="1"/>
  <c r="P10" i="13"/>
  <c r="G135" i="8" s="1"/>
  <c r="G4" i="13"/>
  <c r="J4" i="13" s="1"/>
  <c r="P4" i="13"/>
  <c r="G129" i="8" s="1"/>
  <c r="G8" i="13"/>
  <c r="J8" i="13" s="1"/>
  <c r="P8" i="13"/>
  <c r="G133" i="8" s="1"/>
  <c r="P3" i="13"/>
  <c r="G128" i="8" s="1"/>
  <c r="P5" i="13"/>
  <c r="G130" i="8" s="1"/>
  <c r="H13" i="13"/>
  <c r="K13" i="13" s="1"/>
  <c r="H11" i="13"/>
  <c r="K11" i="13" s="1"/>
  <c r="H9" i="13"/>
  <c r="K9" i="13" s="1"/>
  <c r="S14" i="11"/>
  <c r="S18" i="11"/>
  <c r="H15" i="11"/>
  <c r="X20" i="11"/>
  <c r="G99" i="8" s="1"/>
  <c r="G13" i="13"/>
  <c r="J13" i="13" s="1"/>
  <c r="G11" i="13"/>
  <c r="J11" i="13" s="1"/>
  <c r="X19" i="11"/>
  <c r="G98" i="8" s="1"/>
  <c r="P7" i="13"/>
  <c r="G132" i="8" s="1"/>
  <c r="X17" i="11"/>
  <c r="G96" i="8" s="1"/>
  <c r="R13" i="11"/>
  <c r="H13" i="11"/>
  <c r="Q19" i="11"/>
  <c r="Q18" i="11"/>
  <c r="Q17" i="11"/>
  <c r="Q16" i="11"/>
  <c r="Q15" i="11"/>
  <c r="Q14" i="11"/>
  <c r="Q13" i="11"/>
  <c r="Q12" i="11"/>
  <c r="X12" i="11"/>
  <c r="G91" i="8" s="1"/>
  <c r="X16" i="11"/>
  <c r="G95" i="8" s="1"/>
  <c r="X18" i="11"/>
  <c r="G97" i="8" s="1"/>
  <c r="H20" i="11"/>
  <c r="H16" i="11"/>
  <c r="H12" i="11"/>
  <c r="J19" i="11"/>
  <c r="P19" i="11" s="1"/>
  <c r="J14" i="11"/>
  <c r="P14" i="11" s="1"/>
  <c r="J11" i="11"/>
  <c r="J10" i="11"/>
  <c r="J9" i="11"/>
  <c r="J8" i="11"/>
  <c r="J7" i="11"/>
  <c r="J6" i="11"/>
  <c r="J5" i="11"/>
  <c r="P18" i="11"/>
  <c r="P17" i="11"/>
  <c r="P16" i="11"/>
  <c r="P15" i="11"/>
  <c r="P13" i="11"/>
  <c r="P12" i="11"/>
  <c r="X13" i="11"/>
  <c r="G92" i="8" s="1"/>
  <c r="X14" i="11"/>
  <c r="G93" i="8" s="1"/>
  <c r="K14" i="13"/>
  <c r="P14" i="13"/>
  <c r="G139" i="8" s="1"/>
  <c r="P13" i="13"/>
  <c r="G138" i="8" s="1"/>
  <c r="E9" i="13"/>
  <c r="K3" i="13"/>
  <c r="G7" i="13"/>
  <c r="J7" i="13" s="1"/>
  <c r="H6" i="13"/>
  <c r="K6" i="13" s="1"/>
  <c r="G5" i="13"/>
  <c r="J5" i="13" s="1"/>
  <c r="H8" i="13"/>
  <c r="K8" i="13" s="1"/>
  <c r="H4" i="13"/>
  <c r="K4" i="13" s="1"/>
  <c r="H7" i="13"/>
  <c r="K7" i="13" s="1"/>
  <c r="E6" i="13"/>
  <c r="G3" i="13"/>
  <c r="J3" i="13" s="1"/>
  <c r="M3" i="13" s="1"/>
  <c r="E3" i="13"/>
  <c r="K12" i="13"/>
  <c r="J12" i="13"/>
  <c r="K5" i="13"/>
  <c r="E5" i="13"/>
  <c r="J6" i="13"/>
  <c r="E8" i="13"/>
  <c r="J9" i="13"/>
  <c r="E4" i="13"/>
  <c r="E12" i="13"/>
  <c r="J10" i="13"/>
  <c r="U14" i="11" l="1"/>
  <c r="V14" i="11" s="1"/>
  <c r="O93" i="8" s="1"/>
  <c r="M93" i="8" s="1"/>
  <c r="U12" i="11"/>
  <c r="V12" i="11" s="1"/>
  <c r="O91" i="8" s="1"/>
  <c r="AC91" i="8" s="1"/>
  <c r="U18" i="11"/>
  <c r="V18" i="11" s="1"/>
  <c r="O97" i="8" s="1"/>
  <c r="AC97" i="8" s="1"/>
  <c r="M14" i="13"/>
  <c r="N14" i="13" s="1"/>
  <c r="O139" i="8" s="1"/>
  <c r="M139" i="8" s="1"/>
  <c r="U15" i="11"/>
  <c r="V15" i="11" s="1"/>
  <c r="O94" i="8" s="1"/>
  <c r="U13" i="11"/>
  <c r="V13" i="11" s="1"/>
  <c r="O92" i="8" s="1"/>
  <c r="U17" i="11"/>
  <c r="V17" i="11" s="1"/>
  <c r="O96" i="8" s="1"/>
  <c r="U19" i="11"/>
  <c r="V19" i="11" s="1"/>
  <c r="O98" i="8" s="1"/>
  <c r="M13" i="13"/>
  <c r="N13" i="13" s="1"/>
  <c r="O138" i="8" s="1"/>
  <c r="U16" i="11"/>
  <c r="V16" i="11" s="1"/>
  <c r="O95" i="8" s="1"/>
  <c r="M7" i="13"/>
  <c r="N7" i="13" s="1"/>
  <c r="O132" i="8" s="1"/>
  <c r="M4" i="13"/>
  <c r="N4" i="13" s="1"/>
  <c r="O129" i="8" s="1"/>
  <c r="N3" i="13"/>
  <c r="O128" i="8" s="1"/>
  <c r="M12" i="13"/>
  <c r="N12" i="13" s="1"/>
  <c r="O137" i="8" s="1"/>
  <c r="M11" i="13"/>
  <c r="N11" i="13" s="1"/>
  <c r="O136" i="8" s="1"/>
  <c r="M5" i="13"/>
  <c r="N5" i="13" s="1"/>
  <c r="O130" i="8" s="1"/>
  <c r="M8" i="13"/>
  <c r="N8" i="13" s="1"/>
  <c r="O133" i="8" s="1"/>
  <c r="M10" i="13"/>
  <c r="N10" i="13" s="1"/>
  <c r="O135" i="8" s="1"/>
  <c r="M9" i="13"/>
  <c r="N9" i="13" s="1"/>
  <c r="O134" i="8" s="1"/>
  <c r="M6" i="13"/>
  <c r="N6" i="13" s="1"/>
  <c r="O131" i="8" s="1"/>
  <c r="C99" i="10"/>
  <c r="D99" i="10"/>
  <c r="E99" i="10"/>
  <c r="C82" i="10"/>
  <c r="D82" i="10"/>
  <c r="E82" i="10"/>
  <c r="C83" i="10"/>
  <c r="D83" i="10"/>
  <c r="E83" i="10"/>
  <c r="C84" i="10"/>
  <c r="D84" i="10"/>
  <c r="E84" i="10"/>
  <c r="C85" i="10"/>
  <c r="D85" i="10"/>
  <c r="E85" i="10"/>
  <c r="C86" i="10"/>
  <c r="D86" i="10"/>
  <c r="E86" i="10"/>
  <c r="C87" i="10"/>
  <c r="D87" i="10"/>
  <c r="E87" i="10"/>
  <c r="C88" i="10"/>
  <c r="D88" i="10"/>
  <c r="E88" i="10"/>
  <c r="C89" i="10"/>
  <c r="D89" i="10"/>
  <c r="E89" i="10"/>
  <c r="C90" i="10"/>
  <c r="D90" i="10"/>
  <c r="E90" i="10"/>
  <c r="C91" i="10"/>
  <c r="D91" i="10"/>
  <c r="E91" i="10"/>
  <c r="C92" i="10"/>
  <c r="D92" i="10"/>
  <c r="E92" i="10"/>
  <c r="C93" i="10"/>
  <c r="D93" i="10"/>
  <c r="E93" i="10"/>
  <c r="C94" i="10"/>
  <c r="D94" i="10"/>
  <c r="E94" i="10"/>
  <c r="C95" i="10"/>
  <c r="D95" i="10"/>
  <c r="E95" i="10"/>
  <c r="C96" i="10"/>
  <c r="D96" i="10"/>
  <c r="E96" i="10"/>
  <c r="C97" i="10"/>
  <c r="D97" i="10"/>
  <c r="E97" i="10"/>
  <c r="C98" i="10"/>
  <c r="D98" i="10"/>
  <c r="E98" i="10"/>
  <c r="M91" i="8" l="1"/>
  <c r="AC93" i="8"/>
  <c r="M97" i="8"/>
  <c r="AC139" i="8"/>
  <c r="AC130" i="8"/>
  <c r="M130" i="8"/>
  <c r="AC134" i="8"/>
  <c r="M134" i="8"/>
  <c r="AC136" i="8"/>
  <c r="M136" i="8"/>
  <c r="M132" i="8"/>
  <c r="AC132" i="8"/>
  <c r="M96" i="8"/>
  <c r="AC96" i="8"/>
  <c r="M129" i="8"/>
  <c r="AC129" i="8"/>
  <c r="M137" i="8"/>
  <c r="AC137" i="8"/>
  <c r="M95" i="8"/>
  <c r="AC95" i="8"/>
  <c r="M92" i="8"/>
  <c r="AC92" i="8"/>
  <c r="AC131" i="8"/>
  <c r="M131" i="8"/>
  <c r="AC98" i="8"/>
  <c r="M98" i="8"/>
  <c r="AC135" i="8"/>
  <c r="M135" i="8"/>
  <c r="M133" i="8"/>
  <c r="AC133" i="8"/>
  <c r="M128" i="8"/>
  <c r="AC128" i="8"/>
  <c r="AC138" i="8"/>
  <c r="M138" i="8"/>
  <c r="AC94" i="8"/>
  <c r="M94" i="8"/>
  <c r="C111" i="8"/>
  <c r="D111" i="8"/>
  <c r="E111" i="8"/>
  <c r="C112" i="8"/>
  <c r="D112" i="8"/>
  <c r="E112" i="8"/>
  <c r="C113" i="8"/>
  <c r="D113" i="8"/>
  <c r="E113" i="8"/>
  <c r="C114" i="8"/>
  <c r="D114" i="8"/>
  <c r="E114" i="8"/>
  <c r="C115" i="8"/>
  <c r="D115" i="8"/>
  <c r="E115" i="8"/>
  <c r="C116" i="8"/>
  <c r="D116" i="8"/>
  <c r="E116" i="8"/>
  <c r="C117" i="8"/>
  <c r="D117" i="8"/>
  <c r="E117" i="8"/>
  <c r="C118" i="8"/>
  <c r="D118" i="8"/>
  <c r="E118" i="8"/>
  <c r="C119" i="8"/>
  <c r="D119" i="8"/>
  <c r="E119" i="8"/>
  <c r="C120" i="8"/>
  <c r="D120" i="8"/>
  <c r="E120" i="8"/>
  <c r="C121" i="8"/>
  <c r="D121" i="8"/>
  <c r="E121" i="8"/>
  <c r="C122" i="8"/>
  <c r="D122" i="8"/>
  <c r="E122" i="8"/>
  <c r="C123" i="8"/>
  <c r="D123" i="8"/>
  <c r="E123" i="8"/>
  <c r="C124" i="8"/>
  <c r="D124" i="8"/>
  <c r="E124" i="8"/>
  <c r="C125" i="8"/>
  <c r="D125" i="8"/>
  <c r="E125" i="8"/>
  <c r="C126" i="8"/>
  <c r="D126" i="8"/>
  <c r="E126" i="8"/>
  <c r="C127" i="8"/>
  <c r="D127" i="8"/>
  <c r="E127" i="8"/>
  <c r="C110" i="8"/>
  <c r="D110" i="8"/>
  <c r="E110" i="8"/>
  <c r="U20" i="12"/>
  <c r="T20" i="12"/>
  <c r="C20" i="12"/>
  <c r="B20" i="12"/>
  <c r="U19" i="12"/>
  <c r="T19" i="12"/>
  <c r="C19" i="12"/>
  <c r="B19" i="12"/>
  <c r="T18" i="12"/>
  <c r="B18" i="12"/>
  <c r="U17" i="12"/>
  <c r="T17" i="12"/>
  <c r="C17" i="12"/>
  <c r="B17" i="12"/>
  <c r="T16" i="12"/>
  <c r="B16" i="12"/>
  <c r="U15" i="12"/>
  <c r="T15" i="12"/>
  <c r="C15" i="12"/>
  <c r="B15" i="12"/>
  <c r="T14" i="12"/>
  <c r="B14" i="12"/>
  <c r="U13" i="12"/>
  <c r="T13" i="12"/>
  <c r="C13" i="12"/>
  <c r="B13" i="12"/>
  <c r="U12" i="12"/>
  <c r="T12" i="12"/>
  <c r="C12" i="12"/>
  <c r="B12" i="12"/>
  <c r="T11" i="12"/>
  <c r="B11" i="12"/>
  <c r="E13" i="12" l="1"/>
  <c r="F13" i="12"/>
  <c r="H13" i="12" s="1"/>
  <c r="N13" i="12"/>
  <c r="O13" i="12"/>
  <c r="W13" i="12"/>
  <c r="X13" i="12"/>
  <c r="Z13" i="12" s="1"/>
  <c r="AB13" i="12"/>
  <c r="AC13" i="12"/>
  <c r="E14" i="12"/>
  <c r="F14" i="12"/>
  <c r="H14" i="12" s="1"/>
  <c r="N14" i="12"/>
  <c r="O14" i="12"/>
  <c r="W14" i="12"/>
  <c r="X14" i="12"/>
  <c r="Z14" i="12" s="1"/>
  <c r="AB14" i="12"/>
  <c r="AC14" i="12"/>
  <c r="E15" i="12"/>
  <c r="F15" i="12"/>
  <c r="H15" i="12" s="1"/>
  <c r="N15" i="12"/>
  <c r="O15" i="12"/>
  <c r="W15" i="12"/>
  <c r="X15" i="12"/>
  <c r="Z15" i="12" s="1"/>
  <c r="AB15" i="12"/>
  <c r="AC15" i="12"/>
  <c r="E16" i="12"/>
  <c r="F16" i="12"/>
  <c r="H16" i="12" s="1"/>
  <c r="N16" i="12"/>
  <c r="O16" i="12"/>
  <c r="W16" i="12"/>
  <c r="X16" i="12"/>
  <c r="Z16" i="12" s="1"/>
  <c r="AB16" i="12"/>
  <c r="AC16" i="12"/>
  <c r="E17" i="12"/>
  <c r="F17" i="12"/>
  <c r="H17" i="12" s="1"/>
  <c r="N17" i="12"/>
  <c r="O17" i="12"/>
  <c r="W17" i="12"/>
  <c r="X17" i="12"/>
  <c r="Z17" i="12" s="1"/>
  <c r="AB17" i="12"/>
  <c r="AC17" i="12"/>
  <c r="E18" i="12"/>
  <c r="F18" i="12"/>
  <c r="H18" i="12" s="1"/>
  <c r="N18" i="12"/>
  <c r="O18" i="12"/>
  <c r="W18" i="12"/>
  <c r="X18" i="12"/>
  <c r="Z18" i="12" s="1"/>
  <c r="AB18" i="12"/>
  <c r="AC18" i="12"/>
  <c r="E19" i="12"/>
  <c r="F19" i="12"/>
  <c r="H19" i="12" s="1"/>
  <c r="N19" i="12"/>
  <c r="O19" i="12"/>
  <c r="W19" i="12"/>
  <c r="X19" i="12"/>
  <c r="Z19" i="12" s="1"/>
  <c r="AB19" i="12"/>
  <c r="AC19" i="12"/>
  <c r="E20" i="12"/>
  <c r="F20" i="12"/>
  <c r="H20" i="12" s="1"/>
  <c r="N20" i="12"/>
  <c r="O20" i="12"/>
  <c r="W20" i="12"/>
  <c r="X20" i="12"/>
  <c r="Z20" i="12" s="1"/>
  <c r="AB20" i="12"/>
  <c r="AC20" i="12"/>
  <c r="U10" i="12"/>
  <c r="U9" i="12"/>
  <c r="U8" i="12"/>
  <c r="U7" i="12"/>
  <c r="T7" i="12"/>
  <c r="T8" i="12"/>
  <c r="T9" i="12"/>
  <c r="T10" i="12"/>
  <c r="T6" i="12"/>
  <c r="T5" i="12"/>
  <c r="T4" i="12"/>
  <c r="T3" i="12"/>
  <c r="C10" i="12"/>
  <c r="C9" i="12"/>
  <c r="C8" i="12"/>
  <c r="C7" i="12"/>
  <c r="B7" i="12"/>
  <c r="B8" i="12"/>
  <c r="B9" i="12"/>
  <c r="B10" i="12"/>
  <c r="B6" i="12"/>
  <c r="B5" i="12"/>
  <c r="B4" i="12"/>
  <c r="B3" i="12"/>
  <c r="N3" i="12" s="1"/>
  <c r="X11" i="12"/>
  <c r="Z11" i="12" s="1"/>
  <c r="X12" i="12"/>
  <c r="Z12" i="12" s="1"/>
  <c r="F11" i="12"/>
  <c r="H11" i="12" s="1"/>
  <c r="F12" i="12"/>
  <c r="H12" i="12" s="1"/>
  <c r="AC4" i="12"/>
  <c r="AC5" i="12"/>
  <c r="AC6" i="12"/>
  <c r="AB11" i="12"/>
  <c r="AC11" i="12"/>
  <c r="AB12" i="12"/>
  <c r="AC12" i="12"/>
  <c r="O4" i="12"/>
  <c r="O5" i="12"/>
  <c r="O6" i="12"/>
  <c r="N11" i="12"/>
  <c r="O11" i="12"/>
  <c r="N12" i="12"/>
  <c r="O12" i="12"/>
  <c r="AC3" i="12"/>
  <c r="AF16" i="12" l="1"/>
  <c r="AC10" i="12"/>
  <c r="AO16" i="12"/>
  <c r="AO14" i="12"/>
  <c r="N4" i="12"/>
  <c r="N8" i="12"/>
  <c r="N7" i="12"/>
  <c r="AC7" i="12"/>
  <c r="AB4" i="12"/>
  <c r="AC8" i="12"/>
  <c r="X3" i="12"/>
  <c r="Z3" i="12" s="1"/>
  <c r="AB5" i="12"/>
  <c r="AB10" i="12"/>
  <c r="F6" i="12"/>
  <c r="H6" i="12" s="1"/>
  <c r="O8" i="12"/>
  <c r="AB7" i="12"/>
  <c r="F8" i="12"/>
  <c r="H8" i="12" s="1"/>
  <c r="X8" i="12"/>
  <c r="Z8" i="12" s="1"/>
  <c r="O9" i="12"/>
  <c r="X10" i="12"/>
  <c r="Z10" i="12" s="1"/>
  <c r="X7" i="12"/>
  <c r="Z7" i="12" s="1"/>
  <c r="AB6" i="12"/>
  <c r="AC9" i="12"/>
  <c r="X5" i="12"/>
  <c r="Z5" i="12" s="1"/>
  <c r="X9" i="12"/>
  <c r="Z9" i="12" s="1"/>
  <c r="F3" i="12"/>
  <c r="H3" i="12" s="1"/>
  <c r="AB9" i="12"/>
  <c r="O7" i="12"/>
  <c r="AB8" i="12"/>
  <c r="F7" i="12"/>
  <c r="H7" i="12" s="1"/>
  <c r="AF19" i="12"/>
  <c r="R18" i="12"/>
  <c r="O10" i="12"/>
  <c r="N9" i="12"/>
  <c r="F9" i="12"/>
  <c r="H9" i="12" s="1"/>
  <c r="R14" i="12"/>
  <c r="AF20" i="12"/>
  <c r="AE20" i="12"/>
  <c r="Q20" i="12"/>
  <c r="AE19" i="12"/>
  <c r="R19" i="12"/>
  <c r="AO18" i="12"/>
  <c r="AE18" i="12"/>
  <c r="AE17" i="12"/>
  <c r="AE16" i="12"/>
  <c r="Q16" i="12"/>
  <c r="AF15" i="12"/>
  <c r="AO15" i="12"/>
  <c r="AE15" i="12"/>
  <c r="R15" i="12"/>
  <c r="Q14" i="12"/>
  <c r="AE14" i="12"/>
  <c r="AE13" i="12"/>
  <c r="AO12" i="12"/>
  <c r="Q15" i="12"/>
  <c r="Q18" i="12"/>
  <c r="Q17" i="12"/>
  <c r="Q19" i="12"/>
  <c r="Q13" i="12"/>
  <c r="AF18" i="12"/>
  <c r="R17" i="12"/>
  <c r="AF14" i="12"/>
  <c r="R13" i="12"/>
  <c r="R20" i="12"/>
  <c r="AF17" i="12"/>
  <c r="R16" i="12"/>
  <c r="AF13" i="12"/>
  <c r="X6" i="12"/>
  <c r="Z6" i="12" s="1"/>
  <c r="X4" i="12"/>
  <c r="Z4" i="12" s="1"/>
  <c r="AB3" i="12"/>
  <c r="F10" i="12"/>
  <c r="H10" i="12" s="1"/>
  <c r="N10" i="12"/>
  <c r="N6" i="12"/>
  <c r="N5" i="12"/>
  <c r="F5" i="12"/>
  <c r="H5" i="12" s="1"/>
  <c r="F4" i="12"/>
  <c r="H4" i="12" s="1"/>
  <c r="O3" i="12"/>
  <c r="AO19" i="12" l="1"/>
  <c r="AO11" i="12"/>
  <c r="AO20" i="12"/>
  <c r="AO13" i="12"/>
  <c r="AO17" i="12"/>
  <c r="G95" i="10"/>
  <c r="G98" i="10"/>
  <c r="G125" i="8"/>
  <c r="G97" i="10"/>
  <c r="AO5" i="12"/>
  <c r="G121" i="8"/>
  <c r="G93" i="10"/>
  <c r="AL20" i="12"/>
  <c r="AM20" i="12" s="1"/>
  <c r="O127" i="8" s="1"/>
  <c r="AL19" i="12"/>
  <c r="AM19" i="12" s="1"/>
  <c r="O126" i="8" s="1"/>
  <c r="AL17" i="12"/>
  <c r="AM17" i="12" s="1"/>
  <c r="O124" i="8" s="1"/>
  <c r="AL18" i="12"/>
  <c r="AM18" i="12" s="1"/>
  <c r="O125" i="8" s="1"/>
  <c r="AL16" i="12"/>
  <c r="AM16" i="12" s="1"/>
  <c r="O123" i="8" s="1"/>
  <c r="AL15" i="12"/>
  <c r="AM15" i="12" s="1"/>
  <c r="O122" i="8" s="1"/>
  <c r="AL14" i="12"/>
  <c r="AM14" i="12" s="1"/>
  <c r="O121" i="8" s="1"/>
  <c r="AL13" i="12"/>
  <c r="AM13" i="12" s="1"/>
  <c r="O120" i="8" s="1"/>
  <c r="AO6" i="12"/>
  <c r="W3" i="12"/>
  <c r="W4" i="12"/>
  <c r="W5" i="12"/>
  <c r="W12" i="12"/>
  <c r="W11" i="12"/>
  <c r="W10" i="12"/>
  <c r="W9" i="12"/>
  <c r="W8" i="12"/>
  <c r="W7" i="12"/>
  <c r="W6" i="12"/>
  <c r="AE6" i="12" s="1"/>
  <c r="E12" i="12"/>
  <c r="E11" i="12"/>
  <c r="E10" i="12"/>
  <c r="E9" i="12"/>
  <c r="E8" i="12"/>
  <c r="E7" i="12"/>
  <c r="E6" i="12"/>
  <c r="E5" i="12"/>
  <c r="E4" i="12"/>
  <c r="Q4" i="12" s="1"/>
  <c r="E3" i="12"/>
  <c r="M121" i="8" l="1"/>
  <c r="AC121" i="8"/>
  <c r="AC122" i="8"/>
  <c r="M122" i="8"/>
  <c r="M123" i="8"/>
  <c r="AC123" i="8"/>
  <c r="M127" i="8"/>
  <c r="AC127" i="8"/>
  <c r="M124" i="8"/>
  <c r="AC124" i="8"/>
  <c r="AC126" i="8"/>
  <c r="M126" i="8"/>
  <c r="AC120" i="8"/>
  <c r="M120" i="8"/>
  <c r="M125" i="8"/>
  <c r="AC125" i="8"/>
  <c r="AO4" i="12"/>
  <c r="AO8" i="12"/>
  <c r="G87" i="10" s="1"/>
  <c r="AO3" i="12"/>
  <c r="G82" i="10" s="1"/>
  <c r="AO10" i="12"/>
  <c r="G117" i="8" s="1"/>
  <c r="AO7" i="12"/>
  <c r="AO9" i="12"/>
  <c r="G123" i="8"/>
  <c r="G127" i="8"/>
  <c r="G99" i="10"/>
  <c r="G126" i="8"/>
  <c r="G112" i="8"/>
  <c r="G84" i="10"/>
  <c r="G122" i="8"/>
  <c r="G94" i="10"/>
  <c r="G120" i="8"/>
  <c r="G92" i="10"/>
  <c r="G118" i="8"/>
  <c r="G90" i="10"/>
  <c r="G119" i="8"/>
  <c r="G91" i="10"/>
  <c r="G124" i="8"/>
  <c r="G96" i="10"/>
  <c r="G113" i="8"/>
  <c r="G85" i="10"/>
  <c r="Q3" i="12"/>
  <c r="Q12" i="12"/>
  <c r="R12" i="12"/>
  <c r="AE7" i="12"/>
  <c r="AF7" i="12"/>
  <c r="AE9" i="12"/>
  <c r="AF9" i="12"/>
  <c r="AE11" i="12"/>
  <c r="AF11" i="12"/>
  <c r="R4" i="12"/>
  <c r="Q7" i="12"/>
  <c r="R7" i="12"/>
  <c r="R10" i="12"/>
  <c r="Q10" i="12"/>
  <c r="AE5" i="12"/>
  <c r="AF5" i="12"/>
  <c r="Q5" i="12"/>
  <c r="R5" i="12"/>
  <c r="Q8" i="12"/>
  <c r="R8" i="12"/>
  <c r="AF6" i="12"/>
  <c r="AE8" i="12"/>
  <c r="AF8" i="12"/>
  <c r="AE10" i="12"/>
  <c r="AF10" i="12"/>
  <c r="AE12" i="12"/>
  <c r="AF12" i="12"/>
  <c r="Q6" i="12"/>
  <c r="R6" i="12"/>
  <c r="Q9" i="12"/>
  <c r="R9" i="12"/>
  <c r="Q11" i="12"/>
  <c r="R11" i="12"/>
  <c r="AE4" i="12"/>
  <c r="AF4" i="12"/>
  <c r="R3" i="12"/>
  <c r="AE3" i="12"/>
  <c r="AF3" i="12"/>
  <c r="G89" i="10" l="1"/>
  <c r="G110" i="8"/>
  <c r="G115" i="8"/>
  <c r="G116" i="8"/>
  <c r="G88" i="10"/>
  <c r="G114" i="8"/>
  <c r="G86" i="10"/>
  <c r="G111" i="8"/>
  <c r="G83" i="10"/>
  <c r="AL10" i="12"/>
  <c r="AM10" i="12" s="1"/>
  <c r="O117" i="8" s="1"/>
  <c r="AL6" i="12"/>
  <c r="AM6" i="12" s="1"/>
  <c r="O113" i="8" s="1"/>
  <c r="AL9" i="12"/>
  <c r="AM9" i="12" s="1"/>
  <c r="O116" i="8" s="1"/>
  <c r="AL8" i="12"/>
  <c r="AM8" i="12" s="1"/>
  <c r="O115" i="8" s="1"/>
  <c r="AL7" i="12"/>
  <c r="AM7" i="12" s="1"/>
  <c r="O114" i="8" s="1"/>
  <c r="AL5" i="12"/>
  <c r="AM5" i="12" s="1"/>
  <c r="O112" i="8" s="1"/>
  <c r="AL4" i="12"/>
  <c r="AM4" i="12" s="1"/>
  <c r="O111" i="8" s="1"/>
  <c r="AL3" i="12"/>
  <c r="AM3" i="12" s="1"/>
  <c r="AL11" i="12"/>
  <c r="AM11" i="12" s="1"/>
  <c r="O118" i="8" s="1"/>
  <c r="AL12" i="12"/>
  <c r="AM12" i="12" s="1"/>
  <c r="O119" i="8" s="1"/>
  <c r="M116" i="8" l="1"/>
  <c r="AC116" i="8"/>
  <c r="AC112" i="8"/>
  <c r="M112" i="8"/>
  <c r="AC118" i="8"/>
  <c r="M118" i="8"/>
  <c r="M117" i="8"/>
  <c r="AC117" i="8"/>
  <c r="M111" i="8"/>
  <c r="AC111" i="8"/>
  <c r="M119" i="8"/>
  <c r="AC119" i="8"/>
  <c r="M113" i="8"/>
  <c r="AC113" i="8"/>
  <c r="AC114" i="8"/>
  <c r="M114" i="8"/>
  <c r="M115" i="8"/>
  <c r="AC115" i="8"/>
  <c r="O110" i="8"/>
  <c r="E17" i="5"/>
  <c r="D17" i="5"/>
  <c r="D21" i="5"/>
  <c r="C16" i="5"/>
  <c r="C17" i="5"/>
  <c r="C19" i="5"/>
  <c r="C20" i="5"/>
  <c r="B17" i="5"/>
  <c r="D12" i="5"/>
  <c r="C18" i="5"/>
  <c r="B19" i="5"/>
  <c r="B16" i="5"/>
  <c r="C12" i="5"/>
  <c r="D14" i="5"/>
  <c r="C15" i="5"/>
  <c r="C21" i="5"/>
  <c r="D10" i="5"/>
  <c r="C8" i="5"/>
  <c r="D13" i="5"/>
  <c r="C9" i="5"/>
  <c r="C7" i="5"/>
  <c r="D16" i="5"/>
  <c r="D20" i="5"/>
  <c r="B21" i="5"/>
  <c r="B15" i="5"/>
  <c r="B14" i="5"/>
  <c r="B12" i="5"/>
  <c r="E15" i="5"/>
  <c r="C13" i="5"/>
  <c r="C11" i="5"/>
  <c r="B10" i="5"/>
  <c r="B9" i="5"/>
  <c r="C10" i="5"/>
  <c r="D15" i="5"/>
  <c r="C14" i="5"/>
  <c r="B20" i="5"/>
  <c r="B18" i="5"/>
  <c r="B13" i="5"/>
  <c r="B11" i="5"/>
  <c r="B8" i="5"/>
  <c r="B7" i="5"/>
  <c r="E15" i="4"/>
  <c r="E17" i="4"/>
  <c r="D20" i="4"/>
  <c r="D16" i="4"/>
  <c r="C19" i="4"/>
  <c r="B19" i="4"/>
  <c r="C16" i="4"/>
  <c r="B17" i="4"/>
  <c r="D21" i="4"/>
  <c r="D17" i="4"/>
  <c r="C20" i="4"/>
  <c r="B16" i="4"/>
  <c r="D18" i="4"/>
  <c r="C11" i="4"/>
  <c r="C13" i="4"/>
  <c r="B10" i="4"/>
  <c r="B9" i="4"/>
  <c r="C15" i="4"/>
  <c r="C21" i="4"/>
  <c r="E18" i="4"/>
  <c r="D14" i="4"/>
  <c r="C12" i="4"/>
  <c r="C10" i="4"/>
  <c r="C8" i="4"/>
  <c r="D13" i="4"/>
  <c r="B12" i="4"/>
  <c r="B15" i="4"/>
  <c r="B14" i="4"/>
  <c r="B21" i="4"/>
  <c r="C18" i="4"/>
  <c r="C9" i="4"/>
  <c r="C7" i="4"/>
  <c r="D15" i="4"/>
  <c r="C14" i="4"/>
  <c r="C17" i="4"/>
  <c r="B20" i="4"/>
  <c r="B18" i="4"/>
  <c r="B13" i="4"/>
  <c r="B11" i="4"/>
  <c r="B8" i="4"/>
  <c r="B7" i="4"/>
  <c r="AC110" i="8" l="1"/>
  <c r="M110" i="8"/>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B26" i="11" l="1"/>
  <c r="B24" i="11"/>
  <c r="G43" i="8" l="1"/>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C92" i="8" l="1"/>
  <c r="D92" i="8"/>
  <c r="E92" i="8"/>
  <c r="C93" i="8"/>
  <c r="D93" i="8"/>
  <c r="E93" i="8"/>
  <c r="C94" i="8"/>
  <c r="D94" i="8"/>
  <c r="E94" i="8"/>
  <c r="C95" i="8"/>
  <c r="D95" i="8"/>
  <c r="E95" i="8"/>
  <c r="C96" i="8"/>
  <c r="D96" i="8"/>
  <c r="E96" i="8"/>
  <c r="C97" i="8"/>
  <c r="D97" i="8"/>
  <c r="E97" i="8"/>
  <c r="C98" i="8"/>
  <c r="D98" i="8"/>
  <c r="E98" i="8"/>
  <c r="C99" i="8"/>
  <c r="D99" i="8"/>
  <c r="E99" i="8"/>
  <c r="C100" i="8"/>
  <c r="D100" i="8"/>
  <c r="E100" i="8"/>
  <c r="C109" i="8"/>
  <c r="D109" i="8"/>
  <c r="E109" i="8"/>
  <c r="C82" i="8"/>
  <c r="D82" i="8"/>
  <c r="E82" i="8"/>
  <c r="C83" i="8"/>
  <c r="D83" i="8"/>
  <c r="E83" i="8"/>
  <c r="C84" i="8"/>
  <c r="D84" i="8"/>
  <c r="E84" i="8"/>
  <c r="C85" i="8"/>
  <c r="D85" i="8"/>
  <c r="E85" i="8"/>
  <c r="C86" i="8"/>
  <c r="D86" i="8"/>
  <c r="E86" i="8"/>
  <c r="C87" i="8"/>
  <c r="D87" i="8"/>
  <c r="E87" i="8"/>
  <c r="C88" i="8"/>
  <c r="D88" i="8"/>
  <c r="E88" i="8"/>
  <c r="C89" i="8"/>
  <c r="D89" i="8"/>
  <c r="E89" i="8"/>
  <c r="C90" i="8"/>
  <c r="D90" i="8"/>
  <c r="E90" i="8"/>
  <c r="C91" i="8"/>
  <c r="D91" i="8"/>
  <c r="E91" i="8"/>
  <c r="E4" i="7"/>
  <c r="D4" i="7"/>
  <c r="C4" i="7"/>
  <c r="M32" i="11" l="1"/>
  <c r="L32" i="11"/>
  <c r="M31" i="11"/>
  <c r="M30" i="11"/>
  <c r="L30" i="11"/>
  <c r="M29" i="11"/>
  <c r="L29" i="11"/>
  <c r="M27" i="11"/>
  <c r="L27" i="11"/>
  <c r="M26" i="11"/>
  <c r="L26" i="11"/>
  <c r="M25" i="11"/>
  <c r="L25" i="11"/>
  <c r="M24" i="11"/>
  <c r="L24" i="11"/>
  <c r="M23" i="11"/>
  <c r="L23" i="11"/>
  <c r="G32" i="11"/>
  <c r="C32" i="11"/>
  <c r="K32" i="11" s="1"/>
  <c r="B32" i="11"/>
  <c r="J32" i="11" s="1"/>
  <c r="G31" i="11"/>
  <c r="D31" i="11"/>
  <c r="L31" i="11" s="1"/>
  <c r="C31" i="11"/>
  <c r="K31" i="11" s="1"/>
  <c r="B31" i="11"/>
  <c r="G30" i="11"/>
  <c r="C30" i="11"/>
  <c r="B30" i="11"/>
  <c r="J30" i="11" s="1"/>
  <c r="G29" i="11"/>
  <c r="C29" i="11"/>
  <c r="B29" i="11"/>
  <c r="J29" i="11" s="1"/>
  <c r="G28" i="11"/>
  <c r="E28" i="11"/>
  <c r="M28" i="11" s="1"/>
  <c r="D28" i="11"/>
  <c r="L28" i="11" s="1"/>
  <c r="C28" i="11"/>
  <c r="B28" i="11"/>
  <c r="J28" i="11" s="1"/>
  <c r="G27" i="11"/>
  <c r="K27" i="11"/>
  <c r="G26" i="11"/>
  <c r="K26" i="11"/>
  <c r="G25" i="11"/>
  <c r="K25" i="11"/>
  <c r="G24" i="11"/>
  <c r="K24" i="11"/>
  <c r="G23" i="11"/>
  <c r="K23" i="11"/>
  <c r="B23" i="11"/>
  <c r="H23" i="11" l="1"/>
  <c r="X23" i="11" s="1"/>
  <c r="G100" i="8" s="1"/>
  <c r="H26" i="11"/>
  <c r="X26" i="11" s="1"/>
  <c r="G103" i="8" s="1"/>
  <c r="H25" i="11"/>
  <c r="X25" i="11" s="1"/>
  <c r="G102" i="8" s="1"/>
  <c r="H27" i="11"/>
  <c r="X27" i="11" s="1"/>
  <c r="G104" i="8" s="1"/>
  <c r="J31" i="11"/>
  <c r="N31" i="11" s="1"/>
  <c r="U31" i="11" s="1"/>
  <c r="H24" i="11"/>
  <c r="X24" i="11" s="1"/>
  <c r="G101" i="8" s="1"/>
  <c r="N32" i="11"/>
  <c r="U32" i="11" s="1"/>
  <c r="H28" i="11"/>
  <c r="X28" i="11" s="1"/>
  <c r="G105" i="8" s="1"/>
  <c r="H30" i="11"/>
  <c r="X30" i="11" s="1"/>
  <c r="G107" i="8" s="1"/>
  <c r="H29" i="11"/>
  <c r="X29" i="11" s="1"/>
  <c r="G106" i="8" s="1"/>
  <c r="J23" i="11"/>
  <c r="J24" i="11"/>
  <c r="N24" i="11" s="1"/>
  <c r="U24" i="11" s="1"/>
  <c r="J25" i="11"/>
  <c r="N25" i="11" s="1"/>
  <c r="U25" i="11" s="1"/>
  <c r="J26" i="11"/>
  <c r="N26" i="11" s="1"/>
  <c r="U26" i="11" s="1"/>
  <c r="J27" i="11"/>
  <c r="N27" i="11" s="1"/>
  <c r="U27" i="11" s="1"/>
  <c r="H31" i="11"/>
  <c r="X31" i="11" s="1"/>
  <c r="G108" i="8" s="1"/>
  <c r="H32" i="11"/>
  <c r="X32" i="11" s="1"/>
  <c r="G109" i="8" s="1"/>
  <c r="K28" i="11"/>
  <c r="N28" i="11" s="1"/>
  <c r="U28" i="11" s="1"/>
  <c r="K29" i="11"/>
  <c r="N29" i="11" s="1"/>
  <c r="U29" i="11" s="1"/>
  <c r="K30" i="11"/>
  <c r="N30" i="11" s="1"/>
  <c r="U30" i="11" s="1"/>
  <c r="N23" i="11" l="1"/>
  <c r="U23" i="11" s="1"/>
  <c r="V23" i="11" s="1"/>
  <c r="O100" i="8" s="1"/>
  <c r="V29" i="11"/>
  <c r="O106" i="8" s="1"/>
  <c r="V28" i="11"/>
  <c r="O105" i="8" s="1"/>
  <c r="V26" i="11"/>
  <c r="O103" i="8" s="1"/>
  <c r="V25" i="11"/>
  <c r="O102" i="8" s="1"/>
  <c r="V31" i="11"/>
  <c r="O108" i="8" s="1"/>
  <c r="V27" i="11"/>
  <c r="O104" i="8" s="1"/>
  <c r="V30" i="11"/>
  <c r="O107" i="8" s="1"/>
  <c r="V24" i="11"/>
  <c r="O101" i="8" s="1"/>
  <c r="V32" i="11"/>
  <c r="O109" i="8" s="1"/>
  <c r="M103" i="8" l="1"/>
  <c r="AC103" i="8"/>
  <c r="M104" i="8"/>
  <c r="AC104" i="8"/>
  <c r="M105" i="8"/>
  <c r="AC105" i="8"/>
  <c r="AC109" i="8"/>
  <c r="M109" i="8"/>
  <c r="AC108" i="8"/>
  <c r="M108" i="8"/>
  <c r="M106" i="8"/>
  <c r="AC106" i="8"/>
  <c r="M107" i="8"/>
  <c r="AC107" i="8"/>
  <c r="M101" i="8"/>
  <c r="AC101" i="8"/>
  <c r="M102" i="8"/>
  <c r="AC102" i="8"/>
  <c r="AC100" i="8"/>
  <c r="M100" i="8"/>
  <c r="M3" i="11"/>
  <c r="L3" i="11"/>
  <c r="G4" i="11"/>
  <c r="G5" i="11"/>
  <c r="G6" i="11"/>
  <c r="G7" i="11"/>
  <c r="G8" i="11"/>
  <c r="G9" i="11"/>
  <c r="G10" i="11"/>
  <c r="G11" i="11"/>
  <c r="G20" i="11"/>
  <c r="B4" i="11"/>
  <c r="J4" i="11" s="1"/>
  <c r="K3" i="11"/>
  <c r="B3" i="11"/>
  <c r="X3" i="11" s="1"/>
  <c r="S20" i="11" l="1"/>
  <c r="P20" i="11"/>
  <c r="Q20" i="11"/>
  <c r="R20" i="11"/>
  <c r="S4" i="11"/>
  <c r="R4" i="11"/>
  <c r="P4" i="11"/>
  <c r="Q4" i="11"/>
  <c r="S11" i="11"/>
  <c r="P11" i="11"/>
  <c r="Q11" i="11"/>
  <c r="R11" i="11"/>
  <c r="S7" i="11"/>
  <c r="P7" i="11"/>
  <c r="Q7" i="11"/>
  <c r="R7" i="11"/>
  <c r="S8" i="11"/>
  <c r="R8" i="11"/>
  <c r="P8" i="11"/>
  <c r="Q8" i="11"/>
  <c r="S10" i="11"/>
  <c r="R10" i="11"/>
  <c r="P10" i="11"/>
  <c r="Q10" i="11"/>
  <c r="S6" i="11"/>
  <c r="R6" i="11"/>
  <c r="P6" i="11"/>
  <c r="Q6" i="11"/>
  <c r="S9" i="11"/>
  <c r="P9" i="11"/>
  <c r="Q9" i="11"/>
  <c r="R9" i="11"/>
  <c r="S5" i="11"/>
  <c r="P5" i="11"/>
  <c r="Q5" i="11"/>
  <c r="R5" i="11"/>
  <c r="X4" i="11"/>
  <c r="G83" i="8" s="1"/>
  <c r="H7" i="11"/>
  <c r="H3" i="11"/>
  <c r="G82" i="8" s="1"/>
  <c r="H8" i="11"/>
  <c r="H4" i="11"/>
  <c r="H11" i="11"/>
  <c r="H10" i="11"/>
  <c r="H6" i="11"/>
  <c r="H9" i="11"/>
  <c r="H5" i="11"/>
  <c r="J3" i="11"/>
  <c r="U20" i="11" l="1"/>
  <c r="V20" i="11" s="1"/>
  <c r="O99" i="8" s="1"/>
  <c r="U4" i="11"/>
  <c r="V4" i="11" s="1"/>
  <c r="O83" i="8" s="1"/>
  <c r="U11" i="11"/>
  <c r="U9" i="11"/>
  <c r="U5" i="11"/>
  <c r="U10" i="11"/>
  <c r="U8" i="11"/>
  <c r="U7" i="11"/>
  <c r="U6" i="11"/>
  <c r="M83" i="8" l="1"/>
  <c r="AC83" i="8"/>
  <c r="M99" i="8"/>
  <c r="AC99" i="8"/>
  <c r="V6" i="11"/>
  <c r="O85" i="8" s="1"/>
  <c r="V10" i="11"/>
  <c r="O89" i="8" s="1"/>
  <c r="V11" i="11"/>
  <c r="O90" i="8" s="1"/>
  <c r="V7" i="11"/>
  <c r="O86" i="8" s="1"/>
  <c r="V5" i="11"/>
  <c r="O84" i="8" s="1"/>
  <c r="V8" i="11"/>
  <c r="O87" i="8" s="1"/>
  <c r="V9" i="11"/>
  <c r="O88" i="8" s="1"/>
  <c r="AC86" i="8" l="1"/>
  <c r="M86" i="8"/>
  <c r="M88" i="8"/>
  <c r="AC88" i="8"/>
  <c r="AC90" i="8"/>
  <c r="M90" i="8"/>
  <c r="M87" i="8"/>
  <c r="AC87" i="8"/>
  <c r="AC89" i="8"/>
  <c r="M89" i="8"/>
  <c r="M84" i="8"/>
  <c r="AC84" i="8"/>
  <c r="AC85" i="8"/>
  <c r="M85" i="8"/>
  <c r="G3" i="11"/>
  <c r="Q3" i="11" l="1"/>
  <c r="R3" i="11"/>
  <c r="S3" i="11"/>
  <c r="P3" i="11"/>
  <c r="U3" i="11" l="1"/>
  <c r="V3" i="11" s="1"/>
  <c r="O82" i="8" s="1"/>
  <c r="G42" i="10"/>
  <c r="C42" i="10"/>
  <c r="D42" i="10"/>
  <c r="E42" i="10"/>
  <c r="C43" i="10"/>
  <c r="D43" i="10"/>
  <c r="E43" i="10"/>
  <c r="C44" i="10"/>
  <c r="D44" i="10"/>
  <c r="E44" i="10"/>
  <c r="C45" i="10"/>
  <c r="D45" i="10"/>
  <c r="E45" i="10"/>
  <c r="C46" i="10"/>
  <c r="D46" i="10"/>
  <c r="E46" i="10"/>
  <c r="C47" i="10"/>
  <c r="D47" i="10"/>
  <c r="E47" i="10"/>
  <c r="C48" i="10"/>
  <c r="D48" i="10"/>
  <c r="E48" i="10"/>
  <c r="C49" i="10"/>
  <c r="D49" i="10"/>
  <c r="E49" i="10"/>
  <c r="C50" i="10"/>
  <c r="D50" i="10"/>
  <c r="E50" i="10"/>
  <c r="C51" i="10"/>
  <c r="D51" i="10"/>
  <c r="E51" i="10"/>
  <c r="C52" i="10"/>
  <c r="D52" i="10"/>
  <c r="E52" i="10"/>
  <c r="C53" i="10"/>
  <c r="D53" i="10"/>
  <c r="E53" i="10"/>
  <c r="C54" i="10"/>
  <c r="D54" i="10"/>
  <c r="E54" i="10"/>
  <c r="C55" i="10"/>
  <c r="D55" i="10"/>
  <c r="E55" i="10"/>
  <c r="C56" i="10"/>
  <c r="D56" i="10"/>
  <c r="E56" i="10"/>
  <c r="C57" i="10"/>
  <c r="D57" i="10"/>
  <c r="E57" i="10"/>
  <c r="C58" i="10"/>
  <c r="D58" i="10"/>
  <c r="E58" i="10"/>
  <c r="C59" i="10"/>
  <c r="D59" i="10"/>
  <c r="E59" i="10"/>
  <c r="C60" i="10"/>
  <c r="D60" i="10"/>
  <c r="E60" i="10"/>
  <c r="C61" i="10"/>
  <c r="D61" i="10"/>
  <c r="E61" i="10"/>
  <c r="C62" i="10"/>
  <c r="D62" i="10"/>
  <c r="E62" i="10"/>
  <c r="C63" i="10"/>
  <c r="D63" i="10"/>
  <c r="E63" i="10"/>
  <c r="C64" i="10"/>
  <c r="D64" i="10"/>
  <c r="E64" i="10"/>
  <c r="C65" i="10"/>
  <c r="D65" i="10"/>
  <c r="E65" i="10"/>
  <c r="C66" i="10"/>
  <c r="D66" i="10"/>
  <c r="E66" i="10"/>
  <c r="C67" i="10"/>
  <c r="D67" i="10"/>
  <c r="E67" i="10"/>
  <c r="C68" i="10"/>
  <c r="D68" i="10"/>
  <c r="E68" i="10"/>
  <c r="C69" i="10"/>
  <c r="D69" i="10"/>
  <c r="E69" i="10"/>
  <c r="C70" i="10"/>
  <c r="D70" i="10"/>
  <c r="E70" i="10"/>
  <c r="C71" i="10"/>
  <c r="D71" i="10"/>
  <c r="E71" i="10"/>
  <c r="C72" i="10"/>
  <c r="D72" i="10"/>
  <c r="E72" i="10"/>
  <c r="C73" i="10"/>
  <c r="D73" i="10"/>
  <c r="E73" i="10"/>
  <c r="C74" i="10"/>
  <c r="D74" i="10"/>
  <c r="E74" i="10"/>
  <c r="C75" i="10"/>
  <c r="D75" i="10"/>
  <c r="E75" i="10"/>
  <c r="C76" i="10"/>
  <c r="D76" i="10"/>
  <c r="E76" i="10"/>
  <c r="C77" i="10"/>
  <c r="D77" i="10"/>
  <c r="E77" i="10"/>
  <c r="C78" i="10"/>
  <c r="D78" i="10"/>
  <c r="E78" i="10"/>
  <c r="C79" i="10"/>
  <c r="D79" i="10"/>
  <c r="E79" i="10"/>
  <c r="C80" i="10"/>
  <c r="D80" i="10"/>
  <c r="E80" i="10"/>
  <c r="C81" i="10"/>
  <c r="D81" i="10"/>
  <c r="E81" i="10"/>
  <c r="M82" i="8" l="1"/>
  <c r="AC82" i="8"/>
  <c r="C27" i="10"/>
  <c r="D27" i="10"/>
  <c r="E27" i="10"/>
  <c r="C28" i="10"/>
  <c r="D28" i="10"/>
  <c r="E28" i="10"/>
  <c r="C29" i="10"/>
  <c r="D29" i="10"/>
  <c r="E29" i="10"/>
  <c r="C30" i="10"/>
  <c r="D30" i="10"/>
  <c r="E30" i="10"/>
  <c r="C31" i="10"/>
  <c r="D31" i="10"/>
  <c r="E31" i="10"/>
  <c r="C32" i="10"/>
  <c r="D32" i="10"/>
  <c r="E32" i="10"/>
  <c r="C33" i="10"/>
  <c r="D33" i="10"/>
  <c r="E33" i="10"/>
  <c r="C34" i="10"/>
  <c r="D34" i="10"/>
  <c r="E34" i="10"/>
  <c r="C35" i="10"/>
  <c r="D35" i="10"/>
  <c r="E35" i="10"/>
  <c r="C36" i="10"/>
  <c r="D36" i="10"/>
  <c r="E36" i="10"/>
  <c r="C37" i="10"/>
  <c r="D37" i="10"/>
  <c r="E37" i="10"/>
  <c r="C38" i="10"/>
  <c r="D38" i="10"/>
  <c r="E38" i="10"/>
  <c r="C39" i="10"/>
  <c r="D39" i="10"/>
  <c r="E39" i="10"/>
  <c r="C40" i="10"/>
  <c r="D40" i="10"/>
  <c r="E40" i="10"/>
  <c r="C41" i="10"/>
  <c r="D41" i="10"/>
  <c r="E41" i="10"/>
  <c r="C3" i="10"/>
  <c r="D3" i="10"/>
  <c r="E3" i="10"/>
  <c r="C4" i="10"/>
  <c r="D4" i="10"/>
  <c r="E4" i="10"/>
  <c r="C5" i="10"/>
  <c r="D5" i="10"/>
  <c r="E5" i="10"/>
  <c r="C6" i="10"/>
  <c r="D6" i="10"/>
  <c r="E6" i="10"/>
  <c r="C7" i="10"/>
  <c r="D7" i="10"/>
  <c r="E7" i="10"/>
  <c r="C8" i="10"/>
  <c r="D8" i="10"/>
  <c r="E8" i="10"/>
  <c r="C9" i="10"/>
  <c r="D9" i="10"/>
  <c r="E9" i="10"/>
  <c r="C10" i="10"/>
  <c r="D10" i="10"/>
  <c r="E10" i="10"/>
  <c r="C11" i="10"/>
  <c r="D11" i="10"/>
  <c r="E11" i="10"/>
  <c r="C12" i="10"/>
  <c r="D12" i="10"/>
  <c r="E12" i="10"/>
  <c r="C13" i="10"/>
  <c r="D13" i="10"/>
  <c r="E13" i="10"/>
  <c r="C14" i="10"/>
  <c r="D14" i="10"/>
  <c r="E14" i="10"/>
  <c r="C15" i="10"/>
  <c r="D15" i="10"/>
  <c r="E15" i="10"/>
  <c r="C16" i="10"/>
  <c r="D16" i="10"/>
  <c r="E16" i="10"/>
  <c r="C17" i="10"/>
  <c r="D17" i="10"/>
  <c r="E17" i="10"/>
  <c r="C18" i="10"/>
  <c r="D18" i="10"/>
  <c r="E18" i="10"/>
  <c r="C19" i="10"/>
  <c r="D19" i="10"/>
  <c r="E19" i="10"/>
  <c r="C20" i="10"/>
  <c r="D20" i="10"/>
  <c r="E20" i="10"/>
  <c r="C21" i="10"/>
  <c r="D21" i="10"/>
  <c r="E21" i="10"/>
  <c r="C22" i="10"/>
  <c r="D22" i="10"/>
  <c r="E22" i="10"/>
  <c r="C23" i="10"/>
  <c r="D23" i="10"/>
  <c r="E23" i="10"/>
  <c r="C24" i="10"/>
  <c r="D24" i="10"/>
  <c r="E24" i="10"/>
  <c r="C25" i="10"/>
  <c r="D25" i="10"/>
  <c r="E25" i="10"/>
  <c r="C26" i="10"/>
  <c r="D26" i="10"/>
  <c r="E26" i="10"/>
  <c r="G2" i="10"/>
  <c r="E2" i="10"/>
  <c r="D2" i="10"/>
  <c r="C2" i="10"/>
  <c r="J3" i="12" l="1"/>
  <c r="K6" i="12" l="1"/>
  <c r="K14" i="12"/>
  <c r="K18" i="12"/>
  <c r="K4" i="12"/>
  <c r="K16" i="12"/>
  <c r="K3" i="12"/>
  <c r="L3" i="12" s="1"/>
  <c r="K5" i="12"/>
  <c r="K11" i="12"/>
  <c r="J15" i="12"/>
  <c r="K20" i="12"/>
  <c r="J17" i="12"/>
  <c r="J13" i="12"/>
  <c r="K19" i="12"/>
  <c r="K17" i="12"/>
  <c r="J20" i="12"/>
  <c r="J16" i="12"/>
  <c r="J18" i="12"/>
  <c r="K12" i="12"/>
  <c r="K15" i="12"/>
  <c r="J12" i="12"/>
  <c r="J11" i="12"/>
  <c r="K13" i="12"/>
  <c r="J14" i="12"/>
  <c r="J19" i="12"/>
  <c r="J4" i="12"/>
  <c r="K7" i="12"/>
  <c r="J6" i="12"/>
  <c r="J10" i="12"/>
  <c r="J9" i="12"/>
  <c r="J5" i="12"/>
  <c r="J8" i="12"/>
  <c r="J7" i="12"/>
  <c r="K8" i="12"/>
  <c r="K9" i="12"/>
  <c r="K10" i="12"/>
  <c r="AH15" i="12"/>
  <c r="AH17" i="12"/>
  <c r="AI12" i="12"/>
  <c r="AH18" i="12"/>
  <c r="AH11" i="12"/>
  <c r="AH20" i="12"/>
  <c r="AH19" i="12"/>
  <c r="AI13" i="12"/>
  <c r="AH14" i="12"/>
  <c r="AH9" i="12"/>
  <c r="AH8" i="12"/>
  <c r="AH7" i="12"/>
  <c r="AH4" i="12"/>
  <c r="AI9" i="12"/>
  <c r="AH5" i="12"/>
  <c r="AI10" i="12"/>
  <c r="AI7" i="12"/>
  <c r="AH3" i="12"/>
  <c r="S18" i="4"/>
  <c r="S7" i="4"/>
  <c r="S17" i="4"/>
  <c r="S22" i="4"/>
  <c r="S26" i="4"/>
  <c r="S30" i="4"/>
  <c r="S34" i="4"/>
  <c r="S38" i="4"/>
  <c r="S42" i="4"/>
  <c r="S33" i="4"/>
  <c r="S23" i="4"/>
  <c r="S27" i="4"/>
  <c r="S31" i="4"/>
  <c r="S35" i="4"/>
  <c r="S39" i="4"/>
  <c r="S29" i="4"/>
  <c r="S41" i="4"/>
  <c r="S24" i="4"/>
  <c r="S28" i="4"/>
  <c r="S32" i="4"/>
  <c r="S36" i="4"/>
  <c r="S40" i="4"/>
  <c r="S25" i="4"/>
  <c r="S37" i="4"/>
  <c r="S19" i="4"/>
  <c r="S13" i="4"/>
  <c r="S10" i="4"/>
  <c r="S14" i="4"/>
  <c r="S15" i="4"/>
  <c r="S21" i="4"/>
  <c r="S8" i="4"/>
  <c r="S16" i="4"/>
  <c r="S11" i="4"/>
  <c r="S12" i="4"/>
  <c r="S9" i="4"/>
  <c r="S20" i="4"/>
  <c r="S45" i="4"/>
  <c r="S44" i="4"/>
  <c r="S43" i="4"/>
  <c r="S46" i="4"/>
  <c r="AH6" i="12"/>
  <c r="Z10" i="5"/>
  <c r="Z8" i="5"/>
  <c r="AB8" i="5" s="1"/>
  <c r="Z9" i="5"/>
  <c r="AB9" i="5" s="1"/>
  <c r="Z11" i="5"/>
  <c r="AB11" i="5" s="1"/>
  <c r="Z12" i="5"/>
  <c r="AB12" i="5" s="1"/>
  <c r="Z13" i="5"/>
  <c r="AB13" i="5" s="1"/>
  <c r="Z14" i="5"/>
  <c r="AB14" i="5" s="1"/>
  <c r="Z15" i="5"/>
  <c r="AB15" i="5" s="1"/>
  <c r="Z16" i="5"/>
  <c r="AB16" i="5" s="1"/>
  <c r="Z17" i="5"/>
  <c r="AB17" i="5" s="1"/>
  <c r="Z18" i="5"/>
  <c r="AB18" i="5" s="1"/>
  <c r="Z19" i="5"/>
  <c r="AB19" i="5" s="1"/>
  <c r="Z20" i="5"/>
  <c r="AB20" i="5" s="1"/>
  <c r="Z21" i="5"/>
  <c r="AB21" i="5" s="1"/>
  <c r="Z22" i="5"/>
  <c r="AB22" i="5" s="1"/>
  <c r="Z23" i="5"/>
  <c r="AB23" i="5" s="1"/>
  <c r="Z24" i="5"/>
  <c r="AB24" i="5" s="1"/>
  <c r="Z25" i="5"/>
  <c r="AB25" i="5" s="1"/>
  <c r="Z26" i="5"/>
  <c r="AB26" i="5" s="1"/>
  <c r="Z27" i="5"/>
  <c r="AB27" i="5" s="1"/>
  <c r="Z28" i="5"/>
  <c r="AB28" i="5" s="1"/>
  <c r="Z29" i="5"/>
  <c r="AB29" i="5" s="1"/>
  <c r="Z30" i="5"/>
  <c r="AB30" i="5" s="1"/>
  <c r="Z31" i="5"/>
  <c r="AB31" i="5" s="1"/>
  <c r="Z32" i="5"/>
  <c r="AB32" i="5" s="1"/>
  <c r="Z33" i="5"/>
  <c r="AB33" i="5" s="1"/>
  <c r="Z34" i="5"/>
  <c r="AB34" i="5" s="1"/>
  <c r="Z35" i="5"/>
  <c r="AB35" i="5" s="1"/>
  <c r="Z36" i="5"/>
  <c r="AB36" i="5" s="1"/>
  <c r="Z37" i="5"/>
  <c r="AB37" i="5" s="1"/>
  <c r="Z38" i="5"/>
  <c r="AB38" i="5" s="1"/>
  <c r="Z39" i="5"/>
  <c r="AB39" i="5" s="1"/>
  <c r="Z40" i="5"/>
  <c r="AB40" i="5" s="1"/>
  <c r="Z41" i="5"/>
  <c r="AB41" i="5" s="1"/>
  <c r="Z42" i="5"/>
  <c r="AB42" i="5" s="1"/>
  <c r="Z43" i="5"/>
  <c r="AB43" i="5" s="1"/>
  <c r="Z44" i="5"/>
  <c r="AB44" i="5" s="1"/>
  <c r="Z45" i="5"/>
  <c r="AB45" i="5" s="1"/>
  <c r="Z46" i="5"/>
  <c r="AB46" i="5" s="1"/>
  <c r="Z7" i="5"/>
  <c r="AB7" i="5" s="1"/>
  <c r="L6" i="12" l="1"/>
  <c r="L5" i="12"/>
  <c r="L7" i="12"/>
  <c r="L10" i="12"/>
  <c r="L19" i="12"/>
  <c r="L12" i="12"/>
  <c r="L16" i="12"/>
  <c r="L18" i="12"/>
  <c r="AJ7" i="12"/>
  <c r="AJ9" i="12"/>
  <c r="L8" i="12"/>
  <c r="L14" i="12"/>
  <c r="L20" i="12"/>
  <c r="L17" i="12"/>
  <c r="L9" i="12"/>
  <c r="L4" i="12"/>
  <c r="L11" i="12"/>
  <c r="L15" i="12"/>
  <c r="L13" i="12"/>
  <c r="AI20" i="12"/>
  <c r="AJ20" i="12" s="1"/>
  <c r="AI18" i="12"/>
  <c r="AJ18" i="12" s="1"/>
  <c r="AI6" i="12"/>
  <c r="AJ6" i="12" s="1"/>
  <c r="AI5" i="12"/>
  <c r="AJ5" i="12" s="1"/>
  <c r="AI3" i="12"/>
  <c r="AJ3" i="12" s="1"/>
  <c r="AH13" i="12"/>
  <c r="AJ13" i="12" s="1"/>
  <c r="AI15" i="12"/>
  <c r="AJ15" i="12" s="1"/>
  <c r="AI14" i="12"/>
  <c r="AJ14" i="12" s="1"/>
  <c r="AH10" i="12"/>
  <c r="AJ10" i="12" s="1"/>
  <c r="AH16" i="12"/>
  <c r="AI19" i="12"/>
  <c r="AJ19" i="12" s="1"/>
  <c r="AI4" i="12"/>
  <c r="AJ4" i="12" s="1"/>
  <c r="AI16" i="12"/>
  <c r="AI8" i="12"/>
  <c r="AJ8" i="12" s="1"/>
  <c r="AI17" i="12"/>
  <c r="AJ17" i="12" s="1"/>
  <c r="AH12" i="12"/>
  <c r="AJ12" i="12" s="1"/>
  <c r="AI11" i="12"/>
  <c r="AJ11" i="12" s="1"/>
  <c r="S22" i="5"/>
  <c r="S41" i="5"/>
  <c r="S44" i="5"/>
  <c r="S28" i="5"/>
  <c r="S31" i="5"/>
  <c r="S29" i="5"/>
  <c r="S40" i="5"/>
  <c r="S24" i="5"/>
  <c r="S25" i="5"/>
  <c r="S43" i="5"/>
  <c r="S27" i="5"/>
  <c r="S45" i="5"/>
  <c r="S46" i="5"/>
  <c r="S30" i="5"/>
  <c r="S36" i="5"/>
  <c r="S39" i="5"/>
  <c r="S23" i="5"/>
  <c r="S37" i="5"/>
  <c r="S42" i="5"/>
  <c r="S26" i="5"/>
  <c r="S32" i="5"/>
  <c r="S35" i="5"/>
  <c r="S38" i="5"/>
  <c r="S33" i="5"/>
  <c r="S34" i="5"/>
  <c r="Z7" i="4"/>
  <c r="AB7" i="4" s="1"/>
  <c r="Z20" i="4"/>
  <c r="AB20" i="4" s="1"/>
  <c r="AJ16" i="12" l="1"/>
  <c r="AQ10" i="12"/>
  <c r="H89" i="10" s="1"/>
  <c r="M89" i="10" s="1"/>
  <c r="AQ9" i="12"/>
  <c r="H88" i="10" s="1"/>
  <c r="M88" i="10" s="1"/>
  <c r="AQ7" i="12"/>
  <c r="H86" i="10" s="1"/>
  <c r="M86" i="10" s="1"/>
  <c r="AQ13" i="12"/>
  <c r="H92" i="10" s="1"/>
  <c r="M92" i="10" s="1"/>
  <c r="AQ14" i="12"/>
  <c r="H93" i="10" s="1"/>
  <c r="M93" i="10" s="1"/>
  <c r="AQ15" i="12"/>
  <c r="H94" i="10" s="1"/>
  <c r="M94" i="10" s="1"/>
  <c r="AQ17" i="12"/>
  <c r="H96" i="10" s="1"/>
  <c r="M96" i="10" s="1"/>
  <c r="AQ12" i="12"/>
  <c r="H91" i="10" s="1"/>
  <c r="M91" i="10" s="1"/>
  <c r="AQ6" i="12"/>
  <c r="H85" i="10" s="1"/>
  <c r="M85" i="10" s="1"/>
  <c r="AQ11" i="12"/>
  <c r="H90" i="10" s="1"/>
  <c r="M90" i="10" s="1"/>
  <c r="AQ5" i="12"/>
  <c r="H84" i="10" s="1"/>
  <c r="M84" i="10" s="1"/>
  <c r="AQ19" i="12"/>
  <c r="H98" i="10" s="1"/>
  <c r="M98" i="10" s="1"/>
  <c r="AQ4" i="12"/>
  <c r="H83" i="10" s="1"/>
  <c r="M83" i="10" s="1"/>
  <c r="AQ18" i="12"/>
  <c r="H97" i="10" s="1"/>
  <c r="M97" i="10" s="1"/>
  <c r="AQ20" i="12"/>
  <c r="H99" i="10" s="1"/>
  <c r="M99" i="10" s="1"/>
  <c r="AQ3" i="12"/>
  <c r="H82" i="10" s="1"/>
  <c r="M82" i="10" s="1"/>
  <c r="AQ8" i="12"/>
  <c r="H87" i="10" s="1"/>
  <c r="M87" i="10" s="1"/>
  <c r="Z8" i="4"/>
  <c r="AB8" i="4" s="1"/>
  <c r="Z9" i="4"/>
  <c r="AB9" i="4" s="1"/>
  <c r="Z10" i="4"/>
  <c r="AB10" i="4" s="1"/>
  <c r="Z11" i="4"/>
  <c r="AB11" i="4" s="1"/>
  <c r="Z12" i="4"/>
  <c r="AB12" i="4" s="1"/>
  <c r="Z13" i="4"/>
  <c r="AB13" i="4" s="1"/>
  <c r="Z14" i="4"/>
  <c r="AB14" i="4" s="1"/>
  <c r="Z15" i="4"/>
  <c r="AB15" i="4" s="1"/>
  <c r="Z16" i="4"/>
  <c r="AB16" i="4" s="1"/>
  <c r="Z17" i="4"/>
  <c r="AB17" i="4" s="1"/>
  <c r="Z18" i="4"/>
  <c r="AB18" i="4" s="1"/>
  <c r="Z19" i="4"/>
  <c r="AB19" i="4" s="1"/>
  <c r="Z21" i="4"/>
  <c r="AB21" i="4" s="1"/>
  <c r="Z22" i="4"/>
  <c r="AB22" i="4" s="1"/>
  <c r="Z23" i="4"/>
  <c r="AB23" i="4" s="1"/>
  <c r="Z24" i="4"/>
  <c r="AB24" i="4" s="1"/>
  <c r="Z25" i="4"/>
  <c r="AB25" i="4" s="1"/>
  <c r="Z26" i="4"/>
  <c r="AB26" i="4" s="1"/>
  <c r="Z27" i="4"/>
  <c r="AB27" i="4" s="1"/>
  <c r="Z28" i="4"/>
  <c r="AB28" i="4" s="1"/>
  <c r="Z29" i="4"/>
  <c r="AB29" i="4" s="1"/>
  <c r="Z30" i="4"/>
  <c r="AB30" i="4" s="1"/>
  <c r="Z31" i="4"/>
  <c r="AB31" i="4" s="1"/>
  <c r="Z32" i="4"/>
  <c r="AB32" i="4" s="1"/>
  <c r="Z33" i="4"/>
  <c r="AB33" i="4" s="1"/>
  <c r="Z34" i="4"/>
  <c r="AB34" i="4" s="1"/>
  <c r="Z35" i="4"/>
  <c r="AB35" i="4" s="1"/>
  <c r="Z36" i="4"/>
  <c r="AB36" i="4" s="1"/>
  <c r="Z37" i="4"/>
  <c r="AB37" i="4" s="1"/>
  <c r="Z38" i="4"/>
  <c r="AB38" i="4" s="1"/>
  <c r="Z39" i="4"/>
  <c r="AB39" i="4" s="1"/>
  <c r="Z40" i="4"/>
  <c r="AB40" i="4" s="1"/>
  <c r="Z41" i="4"/>
  <c r="AB41" i="4" s="1"/>
  <c r="Z42" i="4"/>
  <c r="AB42" i="4" s="1"/>
  <c r="Z43" i="4"/>
  <c r="AB43" i="4" s="1"/>
  <c r="Z44" i="4"/>
  <c r="AB44" i="4" s="1"/>
  <c r="Z45" i="4"/>
  <c r="AB45" i="4" s="1"/>
  <c r="Z46" i="4"/>
  <c r="AB46" i="4" s="1"/>
  <c r="AQ16" i="12" l="1"/>
  <c r="H95" i="10" s="1"/>
  <c r="M95" i="10" s="1"/>
  <c r="T3" i="2"/>
  <c r="G42" i="8" l="1"/>
  <c r="E52" i="8"/>
  <c r="E53" i="8"/>
  <c r="E54" i="8"/>
  <c r="E55" i="8"/>
  <c r="E56" i="8"/>
  <c r="E57" i="8"/>
  <c r="E58" i="8"/>
  <c r="E59" i="8"/>
  <c r="E60" i="8"/>
  <c r="E61" i="8"/>
  <c r="E62" i="8"/>
  <c r="E63" i="8"/>
  <c r="E64" i="8"/>
  <c r="E65" i="8"/>
  <c r="E66" i="8"/>
  <c r="E67" i="8"/>
  <c r="E68" i="8"/>
  <c r="E69" i="8"/>
  <c r="E70" i="8"/>
  <c r="E71" i="8"/>
  <c r="D52" i="8"/>
  <c r="D53" i="8"/>
  <c r="D54" i="8"/>
  <c r="D55" i="8"/>
  <c r="D56" i="8"/>
  <c r="D57" i="8"/>
  <c r="D58" i="8"/>
  <c r="D59" i="8"/>
  <c r="D60" i="8"/>
  <c r="D61" i="8"/>
  <c r="D62" i="8"/>
  <c r="D63" i="8"/>
  <c r="D64" i="8"/>
  <c r="D65" i="8"/>
  <c r="D66" i="8"/>
  <c r="D67" i="8"/>
  <c r="D68" i="8"/>
  <c r="D69" i="8"/>
  <c r="D70" i="8"/>
  <c r="D71" i="8"/>
  <c r="C52" i="8"/>
  <c r="C53" i="8"/>
  <c r="C54" i="8"/>
  <c r="C55" i="8"/>
  <c r="C56" i="8"/>
  <c r="C57" i="8"/>
  <c r="C58" i="8"/>
  <c r="C59" i="8"/>
  <c r="C60" i="8"/>
  <c r="C61" i="8"/>
  <c r="C62" i="8"/>
  <c r="C63" i="8"/>
  <c r="C64" i="8"/>
  <c r="C65" i="8"/>
  <c r="C66" i="8"/>
  <c r="C67" i="8"/>
  <c r="C68" i="8"/>
  <c r="C69" i="8"/>
  <c r="C70" i="8"/>
  <c r="C71" i="8"/>
  <c r="G2" i="8" l="1"/>
  <c r="D12" i="8"/>
  <c r="E12" i="8"/>
  <c r="D13" i="8"/>
  <c r="E13" i="8"/>
  <c r="D14" i="8"/>
  <c r="E14" i="8"/>
  <c r="D15" i="8"/>
  <c r="E15" i="8"/>
  <c r="D16" i="8"/>
  <c r="E16" i="8"/>
  <c r="D17" i="8"/>
  <c r="E17" i="8"/>
  <c r="D18" i="8"/>
  <c r="E18" i="8"/>
  <c r="D19" i="8"/>
  <c r="E19" i="8"/>
  <c r="D20" i="8"/>
  <c r="E20" i="8"/>
  <c r="D21" i="8"/>
  <c r="E21" i="8"/>
  <c r="D22" i="8"/>
  <c r="E22" i="8"/>
  <c r="D23" i="8"/>
  <c r="E23" i="8"/>
  <c r="D24" i="8"/>
  <c r="E24" i="8"/>
  <c r="D25" i="8"/>
  <c r="E25" i="8"/>
  <c r="D26" i="8"/>
  <c r="E26" i="8"/>
  <c r="D27" i="8"/>
  <c r="E27" i="8"/>
  <c r="D28" i="8"/>
  <c r="E28" i="8"/>
  <c r="D29" i="8"/>
  <c r="E29" i="8"/>
  <c r="D30" i="8"/>
  <c r="E30" i="8"/>
  <c r="D31" i="8"/>
  <c r="E31" i="8"/>
  <c r="C12" i="8"/>
  <c r="C13" i="8"/>
  <c r="C14" i="8"/>
  <c r="C15" i="8"/>
  <c r="C16" i="8"/>
  <c r="C17" i="8"/>
  <c r="C18" i="8"/>
  <c r="C19" i="8"/>
  <c r="C20" i="8"/>
  <c r="C21" i="8"/>
  <c r="C22" i="8"/>
  <c r="C23" i="8"/>
  <c r="C24" i="8"/>
  <c r="C25" i="8"/>
  <c r="C26" i="8"/>
  <c r="C27" i="8"/>
  <c r="C28" i="8"/>
  <c r="C29" i="8"/>
  <c r="C30" i="8"/>
  <c r="C31" i="8"/>
  <c r="E81" i="8"/>
  <c r="D81" i="8"/>
  <c r="C81" i="8"/>
  <c r="E80" i="8"/>
  <c r="D80" i="8"/>
  <c r="C80" i="8"/>
  <c r="E79" i="8"/>
  <c r="D79" i="8"/>
  <c r="C79" i="8"/>
  <c r="E78" i="8"/>
  <c r="D78" i="8"/>
  <c r="C78" i="8"/>
  <c r="E77" i="8"/>
  <c r="D77" i="8"/>
  <c r="C77" i="8"/>
  <c r="E76" i="8"/>
  <c r="D76" i="8"/>
  <c r="C76" i="8"/>
  <c r="E75" i="8"/>
  <c r="D75" i="8"/>
  <c r="C75" i="8"/>
  <c r="E74" i="8"/>
  <c r="D74" i="8"/>
  <c r="C74" i="8"/>
  <c r="E73" i="8"/>
  <c r="D73" i="8"/>
  <c r="C73" i="8"/>
  <c r="E72" i="8"/>
  <c r="D72" i="8"/>
  <c r="C72" i="8"/>
  <c r="E51" i="8"/>
  <c r="D51" i="8"/>
  <c r="C51" i="8"/>
  <c r="E50" i="8"/>
  <c r="D50" i="8"/>
  <c r="C50" i="8"/>
  <c r="E49" i="8"/>
  <c r="D49" i="8"/>
  <c r="C49" i="8"/>
  <c r="E48" i="8"/>
  <c r="D48" i="8"/>
  <c r="C48" i="8"/>
  <c r="E47" i="8"/>
  <c r="D47" i="8"/>
  <c r="C47" i="8"/>
  <c r="E46" i="8"/>
  <c r="D46" i="8"/>
  <c r="C46" i="8"/>
  <c r="E45" i="8"/>
  <c r="D45" i="8"/>
  <c r="C45" i="8"/>
  <c r="E44" i="8"/>
  <c r="D44" i="8"/>
  <c r="C44" i="8"/>
  <c r="E43" i="8"/>
  <c r="D43" i="8"/>
  <c r="C43" i="8"/>
  <c r="E42" i="8"/>
  <c r="D42" i="8"/>
  <c r="C42" i="8"/>
  <c r="E41" i="8"/>
  <c r="D41" i="8"/>
  <c r="C41" i="8"/>
  <c r="E40" i="8"/>
  <c r="D40" i="8"/>
  <c r="C40" i="8"/>
  <c r="E39" i="8"/>
  <c r="D39" i="8"/>
  <c r="C39" i="8"/>
  <c r="E38" i="8"/>
  <c r="D38" i="8"/>
  <c r="C38" i="8"/>
  <c r="E37" i="8"/>
  <c r="D37" i="8"/>
  <c r="C37" i="8"/>
  <c r="E36" i="8"/>
  <c r="D36" i="8"/>
  <c r="C36" i="8"/>
  <c r="E35" i="8"/>
  <c r="D35" i="8"/>
  <c r="C35" i="8"/>
  <c r="E34" i="8"/>
  <c r="D34" i="8"/>
  <c r="C34" i="8"/>
  <c r="E33" i="8"/>
  <c r="D33" i="8"/>
  <c r="C33" i="8"/>
  <c r="E32" i="8"/>
  <c r="D32" i="8"/>
  <c r="C32" i="8"/>
  <c r="E11" i="8"/>
  <c r="D11" i="8"/>
  <c r="C11" i="8"/>
  <c r="E10" i="8"/>
  <c r="D10" i="8"/>
  <c r="C10" i="8"/>
  <c r="E9" i="8"/>
  <c r="D9" i="8"/>
  <c r="C9" i="8"/>
  <c r="E8" i="8"/>
  <c r="D8" i="8"/>
  <c r="C8" i="8"/>
  <c r="E7" i="8"/>
  <c r="D7" i="8"/>
  <c r="C7" i="8"/>
  <c r="E6" i="8"/>
  <c r="D6" i="8"/>
  <c r="C6" i="8"/>
  <c r="E5" i="8"/>
  <c r="D5" i="8"/>
  <c r="C5" i="8"/>
  <c r="E4" i="8"/>
  <c r="D4" i="8"/>
  <c r="C4" i="8"/>
  <c r="E3" i="8"/>
  <c r="D3" i="8"/>
  <c r="C3" i="8"/>
  <c r="E2" i="8"/>
  <c r="D2" i="8"/>
  <c r="C2" i="8"/>
  <c r="E3" i="7"/>
  <c r="D3" i="7"/>
  <c r="C3" i="7"/>
  <c r="E2" i="7"/>
  <c r="D2" i="7"/>
  <c r="C2" i="7"/>
  <c r="E2" i="6"/>
  <c r="D2" i="6"/>
  <c r="C2" i="6"/>
  <c r="Y22" i="5" l="1"/>
  <c r="Y23" i="5"/>
  <c r="Y24" i="5"/>
  <c r="Y25" i="5"/>
  <c r="Y26" i="5"/>
  <c r="Y27" i="5"/>
  <c r="Y28" i="5"/>
  <c r="Y29" i="5"/>
  <c r="Y30" i="5"/>
  <c r="Y31" i="5"/>
  <c r="Y32" i="5"/>
  <c r="Y33" i="5"/>
  <c r="Y34" i="5"/>
  <c r="Y35" i="5"/>
  <c r="Y36" i="5"/>
  <c r="Y37" i="5"/>
  <c r="Y38" i="5"/>
  <c r="Y39" i="5"/>
  <c r="Y40" i="5"/>
  <c r="Y41" i="5"/>
  <c r="Y42" i="5"/>
  <c r="Y43" i="5"/>
  <c r="Y44" i="5"/>
  <c r="Y45" i="5"/>
  <c r="Y46" i="5"/>
  <c r="P8" i="5" l="1"/>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7" i="5"/>
  <c r="N8" i="5"/>
  <c r="N9" i="5"/>
  <c r="N10" i="5"/>
  <c r="N11" i="5"/>
  <c r="N12" i="5"/>
  <c r="N13" i="5"/>
  <c r="N14" i="5"/>
  <c r="N16"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7" i="5"/>
  <c r="M8" i="5"/>
  <c r="M9" i="5"/>
  <c r="M10" i="5"/>
  <c r="M11" i="5"/>
  <c r="M12" i="5"/>
  <c r="M16" i="5"/>
  <c r="M18" i="5"/>
  <c r="M19" i="5"/>
  <c r="M22" i="5"/>
  <c r="M23" i="5"/>
  <c r="M24" i="5"/>
  <c r="M25" i="5"/>
  <c r="M26" i="5"/>
  <c r="M27" i="5"/>
  <c r="M28" i="5"/>
  <c r="M29" i="5"/>
  <c r="M30" i="5"/>
  <c r="M31" i="5"/>
  <c r="M32" i="5"/>
  <c r="M33" i="5"/>
  <c r="M34" i="5"/>
  <c r="M35" i="5"/>
  <c r="M36" i="5"/>
  <c r="M37" i="5"/>
  <c r="M38" i="5"/>
  <c r="M39" i="5"/>
  <c r="M40" i="5"/>
  <c r="M41" i="5"/>
  <c r="M42" i="5"/>
  <c r="M43" i="5"/>
  <c r="M44" i="5"/>
  <c r="M45" i="5"/>
  <c r="M46" i="5"/>
  <c r="M7" i="5"/>
  <c r="L46" i="5"/>
  <c r="L22" i="5"/>
  <c r="L23" i="5"/>
  <c r="L24" i="5"/>
  <c r="L25" i="5"/>
  <c r="L26" i="5"/>
  <c r="L27" i="5"/>
  <c r="L28" i="5"/>
  <c r="L29" i="5"/>
  <c r="L30" i="5"/>
  <c r="L31" i="5"/>
  <c r="L32" i="5"/>
  <c r="L33" i="5"/>
  <c r="L34" i="5"/>
  <c r="L35" i="5"/>
  <c r="L36" i="5"/>
  <c r="L37" i="5"/>
  <c r="L38" i="5"/>
  <c r="L39" i="5"/>
  <c r="L40" i="5"/>
  <c r="L41" i="5"/>
  <c r="L42" i="5"/>
  <c r="L43" i="5"/>
  <c r="L44" i="5"/>
  <c r="L45" i="5"/>
  <c r="K22" i="5"/>
  <c r="K23" i="5"/>
  <c r="K24" i="5"/>
  <c r="K25" i="5"/>
  <c r="K26" i="5"/>
  <c r="K27" i="5"/>
  <c r="K28" i="5"/>
  <c r="K29" i="5"/>
  <c r="K30" i="5"/>
  <c r="K31" i="5"/>
  <c r="K32" i="5"/>
  <c r="K33" i="5"/>
  <c r="K34" i="5"/>
  <c r="K35" i="5"/>
  <c r="K36" i="5"/>
  <c r="K37" i="5"/>
  <c r="K38" i="5"/>
  <c r="K39" i="5"/>
  <c r="K40" i="5"/>
  <c r="K41" i="5"/>
  <c r="K42" i="5"/>
  <c r="K43" i="5"/>
  <c r="K44" i="5"/>
  <c r="K45" i="5"/>
  <c r="K46" i="5"/>
  <c r="I8" i="5"/>
  <c r="I9" i="5"/>
  <c r="I10" i="5"/>
  <c r="I11" i="5"/>
  <c r="I12" i="5"/>
  <c r="I13" i="5"/>
  <c r="I14" i="5"/>
  <c r="I15" i="5"/>
  <c r="I16" i="5"/>
  <c r="I17" i="5"/>
  <c r="I18" i="5"/>
  <c r="I19" i="5"/>
  <c r="I20" i="5"/>
  <c r="I21" i="5"/>
  <c r="I22" i="5"/>
  <c r="T22" i="5" s="1"/>
  <c r="H57" i="10" s="1"/>
  <c r="M57" i="10" s="1"/>
  <c r="I23" i="5"/>
  <c r="T23" i="5" s="1"/>
  <c r="H58" i="10" s="1"/>
  <c r="M58" i="10" s="1"/>
  <c r="I24" i="5"/>
  <c r="T24" i="5" s="1"/>
  <c r="H59" i="10" s="1"/>
  <c r="M59" i="10" s="1"/>
  <c r="I25" i="5"/>
  <c r="T25" i="5" s="1"/>
  <c r="H60" i="10" s="1"/>
  <c r="M60" i="10" s="1"/>
  <c r="I26" i="5"/>
  <c r="T26" i="5" s="1"/>
  <c r="H61" i="10" s="1"/>
  <c r="M61" i="10" s="1"/>
  <c r="I27" i="5"/>
  <c r="T27" i="5" s="1"/>
  <c r="H62" i="10" s="1"/>
  <c r="M62" i="10" s="1"/>
  <c r="I28" i="5"/>
  <c r="T28" i="5" s="1"/>
  <c r="H63" i="10" s="1"/>
  <c r="M63" i="10" s="1"/>
  <c r="I29" i="5"/>
  <c r="T29" i="5" s="1"/>
  <c r="H64" i="10" s="1"/>
  <c r="M64" i="10" s="1"/>
  <c r="I30" i="5"/>
  <c r="T30" i="5" s="1"/>
  <c r="H65" i="10" s="1"/>
  <c r="M65" i="10" s="1"/>
  <c r="I31" i="5"/>
  <c r="T31" i="5" s="1"/>
  <c r="H66" i="10" s="1"/>
  <c r="M66" i="10" s="1"/>
  <c r="I32" i="5"/>
  <c r="T32" i="5" s="1"/>
  <c r="H67" i="10" s="1"/>
  <c r="M67" i="10" s="1"/>
  <c r="I33" i="5"/>
  <c r="T33" i="5" s="1"/>
  <c r="H68" i="10" s="1"/>
  <c r="M68" i="10" s="1"/>
  <c r="I34" i="5"/>
  <c r="T34" i="5" s="1"/>
  <c r="H69" i="10" s="1"/>
  <c r="M69" i="10" s="1"/>
  <c r="I35" i="5"/>
  <c r="T35" i="5" s="1"/>
  <c r="H70" i="10" s="1"/>
  <c r="M70" i="10" s="1"/>
  <c r="I36" i="5"/>
  <c r="T36" i="5" s="1"/>
  <c r="H71" i="10" s="1"/>
  <c r="M71" i="10" s="1"/>
  <c r="I37" i="5"/>
  <c r="T37" i="5" s="1"/>
  <c r="H72" i="10" s="1"/>
  <c r="M72" i="10" s="1"/>
  <c r="I38" i="5"/>
  <c r="T38" i="5" s="1"/>
  <c r="H73" i="10" s="1"/>
  <c r="M73" i="10" s="1"/>
  <c r="I39" i="5"/>
  <c r="T39" i="5" s="1"/>
  <c r="H74" i="10" s="1"/>
  <c r="M74" i="10" s="1"/>
  <c r="I40" i="5"/>
  <c r="T40" i="5" s="1"/>
  <c r="H75" i="10" s="1"/>
  <c r="M75" i="10" s="1"/>
  <c r="I41" i="5"/>
  <c r="T41" i="5" s="1"/>
  <c r="H76" i="10" s="1"/>
  <c r="M76" i="10" s="1"/>
  <c r="I42" i="5"/>
  <c r="T42" i="5" s="1"/>
  <c r="H77" i="10" s="1"/>
  <c r="M77" i="10" s="1"/>
  <c r="I43" i="5"/>
  <c r="T43" i="5" s="1"/>
  <c r="H78" i="10" s="1"/>
  <c r="M78" i="10" s="1"/>
  <c r="I44" i="5"/>
  <c r="T44" i="5" s="1"/>
  <c r="H79" i="10" s="1"/>
  <c r="M79" i="10" s="1"/>
  <c r="I45" i="5"/>
  <c r="T45" i="5" s="1"/>
  <c r="H80" i="10" s="1"/>
  <c r="M80" i="10" s="1"/>
  <c r="I46" i="5"/>
  <c r="T46" i="5" s="1"/>
  <c r="H81" i="10" s="1"/>
  <c r="M81" i="10" s="1"/>
  <c r="I7" i="5"/>
  <c r="L18" i="5"/>
  <c r="M17" i="5"/>
  <c r="L20" i="5"/>
  <c r="M21" i="5"/>
  <c r="L17" i="5"/>
  <c r="N17" i="5"/>
  <c r="L19" i="5"/>
  <c r="L16" i="5"/>
  <c r="L8" i="5"/>
  <c r="L10" i="5"/>
  <c r="L12" i="5"/>
  <c r="M14" i="5"/>
  <c r="L15" i="5"/>
  <c r="L21" i="5"/>
  <c r="M20" i="5"/>
  <c r="M13" i="5"/>
  <c r="L7" i="5"/>
  <c r="L9" i="5"/>
  <c r="N15" i="5"/>
  <c r="L13" i="5"/>
  <c r="L11" i="5"/>
  <c r="M15" i="5"/>
  <c r="L14" i="5"/>
  <c r="S11" i="5" l="1"/>
  <c r="T11" i="5" s="1"/>
  <c r="H46" i="10" s="1"/>
  <c r="M46" i="10" s="1"/>
  <c r="S10" i="5"/>
  <c r="T10" i="5" s="1"/>
  <c r="H45" i="10" s="1"/>
  <c r="M45" i="10" s="1"/>
  <c r="S15" i="5"/>
  <c r="T15" i="5" s="1"/>
  <c r="H50" i="10" s="1"/>
  <c r="M50" i="10" s="1"/>
  <c r="Y19" i="5"/>
  <c r="S19" i="5"/>
  <c r="T19" i="5" s="1"/>
  <c r="H54" i="10" s="1"/>
  <c r="M54" i="10" s="1"/>
  <c r="S13" i="5"/>
  <c r="T13" i="5" s="1"/>
  <c r="H48" i="10" s="1"/>
  <c r="M48" i="10" s="1"/>
  <c r="Y21" i="5"/>
  <c r="S21" i="5"/>
  <c r="T21" i="5" s="1"/>
  <c r="H56" i="10" s="1"/>
  <c r="M56" i="10" s="1"/>
  <c r="K7" i="5"/>
  <c r="Q7" i="5" s="1"/>
  <c r="V7" i="5" s="1"/>
  <c r="S7" i="5"/>
  <c r="T7" i="5" s="1"/>
  <c r="H42" i="10" s="1"/>
  <c r="M42" i="10" s="1"/>
  <c r="S18" i="5"/>
  <c r="T18" i="5" s="1"/>
  <c r="H53" i="10" s="1"/>
  <c r="M53" i="10" s="1"/>
  <c r="K12" i="5"/>
  <c r="Q12" i="5" s="1"/>
  <c r="V12" i="5" s="1"/>
  <c r="S12" i="5"/>
  <c r="T12" i="5" s="1"/>
  <c r="H47" i="10" s="1"/>
  <c r="M47" i="10" s="1"/>
  <c r="S8" i="5"/>
  <c r="T8" i="5" s="1"/>
  <c r="H43" i="10" s="1"/>
  <c r="M43" i="10" s="1"/>
  <c r="K20" i="5"/>
  <c r="Q20" i="5" s="1"/>
  <c r="V20" i="5" s="1"/>
  <c r="S20" i="5"/>
  <c r="T20" i="5" s="1"/>
  <c r="H55" i="10" s="1"/>
  <c r="M55" i="10" s="1"/>
  <c r="S9" i="5"/>
  <c r="T9" i="5" s="1"/>
  <c r="H44" i="10" s="1"/>
  <c r="M44" i="10" s="1"/>
  <c r="S14" i="5"/>
  <c r="T14" i="5" s="1"/>
  <c r="H49" i="10" s="1"/>
  <c r="M49" i="10" s="1"/>
  <c r="Y16" i="5"/>
  <c r="S16" i="5"/>
  <c r="T16" i="5" s="1"/>
  <c r="H51" i="10" s="1"/>
  <c r="M51" i="10" s="1"/>
  <c r="K17" i="5"/>
  <c r="Q17" i="5" s="1"/>
  <c r="V17" i="5" s="1"/>
  <c r="S17" i="5"/>
  <c r="T17" i="5" s="1"/>
  <c r="H52" i="10" s="1"/>
  <c r="M52" i="10" s="1"/>
  <c r="Q46" i="5"/>
  <c r="V46" i="5" s="1"/>
  <c r="W46" i="5" s="1"/>
  <c r="O81" i="8" s="1"/>
  <c r="Q42" i="5"/>
  <c r="V42" i="5" s="1"/>
  <c r="W42" i="5" s="1"/>
  <c r="O77" i="8" s="1"/>
  <c r="Q38" i="5"/>
  <c r="V38" i="5" s="1"/>
  <c r="W38" i="5" s="1"/>
  <c r="O73" i="8" s="1"/>
  <c r="Q34" i="5"/>
  <c r="V34" i="5" s="1"/>
  <c r="Q30" i="5"/>
  <c r="V30" i="5" s="1"/>
  <c r="Q26" i="5"/>
  <c r="V26" i="5" s="1"/>
  <c r="Y8" i="5"/>
  <c r="K13" i="5"/>
  <c r="Q13" i="5" s="1"/>
  <c r="V13" i="5" s="1"/>
  <c r="Y13" i="5"/>
  <c r="Y9" i="5"/>
  <c r="Y11" i="5"/>
  <c r="Y10" i="5"/>
  <c r="Y15" i="5"/>
  <c r="Q43" i="5"/>
  <c r="V43" i="5" s="1"/>
  <c r="W43" i="5" s="1"/>
  <c r="O78" i="8" s="1"/>
  <c r="Q39" i="5"/>
  <c r="V39" i="5" s="1"/>
  <c r="W39" i="5" s="1"/>
  <c r="O74" i="8" s="1"/>
  <c r="Q35" i="5"/>
  <c r="V35" i="5" s="1"/>
  <c r="Q31" i="5"/>
  <c r="V31" i="5" s="1"/>
  <c r="Q27" i="5"/>
  <c r="V27" i="5" s="1"/>
  <c r="Q23" i="5"/>
  <c r="V23" i="5" s="1"/>
  <c r="K21" i="5"/>
  <c r="Q21" i="5" s="1"/>
  <c r="V21" i="5" s="1"/>
  <c r="K9" i="5"/>
  <c r="Q9" i="5" s="1"/>
  <c r="V9" i="5" s="1"/>
  <c r="K16" i="5"/>
  <c r="Q16" i="5" s="1"/>
  <c r="V16" i="5" s="1"/>
  <c r="K8" i="5"/>
  <c r="Q8" i="5" s="1"/>
  <c r="V8" i="5" s="1"/>
  <c r="Y7" i="5"/>
  <c r="Y18" i="5"/>
  <c r="Y12" i="5"/>
  <c r="Q45" i="5"/>
  <c r="V45" i="5" s="1"/>
  <c r="W45" i="5" s="1"/>
  <c r="O80" i="8" s="1"/>
  <c r="Q41" i="5"/>
  <c r="V41" i="5" s="1"/>
  <c r="W41" i="5" s="1"/>
  <c r="O76" i="8" s="1"/>
  <c r="Q37" i="5"/>
  <c r="V37" i="5" s="1"/>
  <c r="W37" i="5" s="1"/>
  <c r="O72" i="8" s="1"/>
  <c r="Q33" i="5"/>
  <c r="V33" i="5" s="1"/>
  <c r="Q29" i="5"/>
  <c r="V29" i="5" s="1"/>
  <c r="Q25" i="5"/>
  <c r="V25" i="5" s="1"/>
  <c r="K19" i="5"/>
  <c r="Q19" i="5" s="1"/>
  <c r="V19" i="5" s="1"/>
  <c r="K15" i="5"/>
  <c r="Q15" i="5" s="1"/>
  <c r="V15" i="5" s="1"/>
  <c r="K11" i="5"/>
  <c r="Q11" i="5" s="1"/>
  <c r="V11" i="5" s="1"/>
  <c r="Y20" i="5"/>
  <c r="Y14" i="5"/>
  <c r="Y17" i="5"/>
  <c r="Q44" i="5"/>
  <c r="V44" i="5" s="1"/>
  <c r="W44" i="5" s="1"/>
  <c r="O79" i="8" s="1"/>
  <c r="Q40" i="5"/>
  <c r="V40" i="5" s="1"/>
  <c r="W40" i="5" s="1"/>
  <c r="O75" i="8" s="1"/>
  <c r="Q36" i="5"/>
  <c r="V36" i="5" s="1"/>
  <c r="Q32" i="5"/>
  <c r="V32" i="5" s="1"/>
  <c r="Q28" i="5"/>
  <c r="V28" i="5" s="1"/>
  <c r="Q24" i="5"/>
  <c r="V24" i="5" s="1"/>
  <c r="K18" i="5"/>
  <c r="Q18" i="5" s="1"/>
  <c r="V18" i="5" s="1"/>
  <c r="K14" i="5"/>
  <c r="Q14" i="5" s="1"/>
  <c r="V14" i="5" s="1"/>
  <c r="K10" i="5"/>
  <c r="Q10" i="5" s="1"/>
  <c r="V10" i="5" s="1"/>
  <c r="Q22" i="5"/>
  <c r="V22" i="5" s="1"/>
  <c r="I8" i="4"/>
  <c r="I9" i="4"/>
  <c r="I10" i="4"/>
  <c r="I11" i="4"/>
  <c r="I12" i="4"/>
  <c r="I13" i="4"/>
  <c r="I14" i="4"/>
  <c r="I15" i="4"/>
  <c r="I16" i="4"/>
  <c r="I17" i="4"/>
  <c r="I18" i="4"/>
  <c r="I19" i="4"/>
  <c r="I20" i="4"/>
  <c r="I21" i="4"/>
  <c r="I22" i="4"/>
  <c r="T22" i="4" s="1"/>
  <c r="H17" i="10" s="1"/>
  <c r="M17" i="10" s="1"/>
  <c r="I23" i="4"/>
  <c r="T23" i="4" s="1"/>
  <c r="H18" i="10" s="1"/>
  <c r="M18" i="10" s="1"/>
  <c r="I24" i="4"/>
  <c r="T24" i="4" s="1"/>
  <c r="H19" i="10" s="1"/>
  <c r="M19" i="10" s="1"/>
  <c r="I25" i="4"/>
  <c r="T25" i="4" s="1"/>
  <c r="H20" i="10" s="1"/>
  <c r="M20" i="10" s="1"/>
  <c r="I26" i="4"/>
  <c r="T26" i="4" s="1"/>
  <c r="H21" i="10" s="1"/>
  <c r="M21" i="10" s="1"/>
  <c r="I27" i="4"/>
  <c r="T27" i="4" s="1"/>
  <c r="H22" i="10" s="1"/>
  <c r="M22" i="10" s="1"/>
  <c r="I28" i="4"/>
  <c r="T28" i="4" s="1"/>
  <c r="H23" i="10" s="1"/>
  <c r="M23" i="10" s="1"/>
  <c r="I29" i="4"/>
  <c r="T29" i="4" s="1"/>
  <c r="H24" i="10" s="1"/>
  <c r="M24" i="10" s="1"/>
  <c r="I30" i="4"/>
  <c r="T30" i="4" s="1"/>
  <c r="H25" i="10" s="1"/>
  <c r="M25" i="10" s="1"/>
  <c r="I31" i="4"/>
  <c r="T31" i="4" s="1"/>
  <c r="H26" i="10" s="1"/>
  <c r="M26" i="10" s="1"/>
  <c r="I32" i="4"/>
  <c r="T32" i="4" s="1"/>
  <c r="H27" i="10" s="1"/>
  <c r="M27" i="10" s="1"/>
  <c r="I33" i="4"/>
  <c r="T33" i="4" s="1"/>
  <c r="H28" i="10" s="1"/>
  <c r="M28" i="10" s="1"/>
  <c r="I34" i="4"/>
  <c r="T34" i="4" s="1"/>
  <c r="H29" i="10" s="1"/>
  <c r="M29" i="10" s="1"/>
  <c r="I35" i="4"/>
  <c r="T35" i="4" s="1"/>
  <c r="H30" i="10" s="1"/>
  <c r="M30" i="10" s="1"/>
  <c r="I36" i="4"/>
  <c r="T36" i="4" s="1"/>
  <c r="H31" i="10" s="1"/>
  <c r="M31" i="10" s="1"/>
  <c r="I37" i="4"/>
  <c r="T37" i="4" s="1"/>
  <c r="H32" i="10" s="1"/>
  <c r="M32" i="10" s="1"/>
  <c r="I38" i="4"/>
  <c r="T38" i="4" s="1"/>
  <c r="H33" i="10" s="1"/>
  <c r="M33" i="10" s="1"/>
  <c r="I39" i="4"/>
  <c r="T39" i="4" s="1"/>
  <c r="H34" i="10" s="1"/>
  <c r="M34" i="10" s="1"/>
  <c r="I40" i="4"/>
  <c r="T40" i="4" s="1"/>
  <c r="H35" i="10" s="1"/>
  <c r="M35" i="10" s="1"/>
  <c r="I41" i="4"/>
  <c r="T41" i="4" s="1"/>
  <c r="H36" i="10" s="1"/>
  <c r="M36" i="10" s="1"/>
  <c r="I42" i="4"/>
  <c r="T42" i="4" s="1"/>
  <c r="H37" i="10" s="1"/>
  <c r="M37" i="10" s="1"/>
  <c r="I43" i="4"/>
  <c r="T43" i="4" s="1"/>
  <c r="H38" i="10" s="1"/>
  <c r="M38" i="10" s="1"/>
  <c r="I44" i="4"/>
  <c r="T44" i="4" s="1"/>
  <c r="H39" i="10" s="1"/>
  <c r="M39" i="10" s="1"/>
  <c r="I45" i="4"/>
  <c r="T45" i="4" s="1"/>
  <c r="H40" i="10" s="1"/>
  <c r="M40" i="10" s="1"/>
  <c r="I46" i="4"/>
  <c r="T46" i="4" s="1"/>
  <c r="H41" i="10" s="1"/>
  <c r="M41" i="10" s="1"/>
  <c r="I7" i="4"/>
  <c r="T7" i="4" s="1"/>
  <c r="M72" i="8" l="1"/>
  <c r="AC72" i="8"/>
  <c r="M81" i="8"/>
  <c r="AC81" i="8"/>
  <c r="M78" i="8"/>
  <c r="AC78" i="8"/>
  <c r="M77" i="8"/>
  <c r="AC77" i="8"/>
  <c r="M75" i="8"/>
  <c r="AC75" i="8"/>
  <c r="M76" i="8"/>
  <c r="AC76" i="8"/>
  <c r="M79" i="8"/>
  <c r="AC79" i="8"/>
  <c r="M80" i="8"/>
  <c r="AC80" i="8"/>
  <c r="M74" i="8"/>
  <c r="AC74" i="8"/>
  <c r="M73" i="8"/>
  <c r="AC73" i="8"/>
  <c r="W9" i="5"/>
  <c r="O44" i="8" s="1"/>
  <c r="W21" i="5"/>
  <c r="O56" i="8" s="1"/>
  <c r="W35" i="5"/>
  <c r="O70" i="8" s="1"/>
  <c r="W13" i="5"/>
  <c r="O48" i="8" s="1"/>
  <c r="W34" i="5"/>
  <c r="O69" i="8" s="1"/>
  <c r="W11" i="5"/>
  <c r="O46" i="8" s="1"/>
  <c r="W10" i="5"/>
  <c r="O45" i="8" s="1"/>
  <c r="W15" i="5"/>
  <c r="O50" i="8" s="1"/>
  <c r="W14" i="5"/>
  <c r="O49" i="8" s="1"/>
  <c r="W36" i="5"/>
  <c r="O71" i="8" s="1"/>
  <c r="W19" i="5"/>
  <c r="O54" i="8" s="1"/>
  <c r="W29" i="5"/>
  <c r="O64" i="8" s="1"/>
  <c r="W8" i="5"/>
  <c r="O43" i="8" s="1"/>
  <c r="W12" i="5"/>
  <c r="O47" i="8" s="1"/>
  <c r="W31" i="5"/>
  <c r="O66" i="8" s="1"/>
  <c r="W30" i="5"/>
  <c r="O65" i="8" s="1"/>
  <c r="W20" i="5"/>
  <c r="O55" i="8" s="1"/>
  <c r="W32" i="5"/>
  <c r="O67" i="8" s="1"/>
  <c r="W18" i="5"/>
  <c r="O53" i="8" s="1"/>
  <c r="W33" i="5"/>
  <c r="O68" i="8" s="1"/>
  <c r="W16" i="5"/>
  <c r="O51" i="8" s="1"/>
  <c r="W17" i="5"/>
  <c r="O52" i="8" s="1"/>
  <c r="W7" i="5"/>
  <c r="O42" i="8" s="1"/>
  <c r="W28" i="5"/>
  <c r="O63" i="8" s="1"/>
  <c r="W27" i="5"/>
  <c r="O62" i="8" s="1"/>
  <c r="W26" i="5"/>
  <c r="O61" i="8" s="1"/>
  <c r="W25" i="5"/>
  <c r="O60" i="8" s="1"/>
  <c r="W24" i="5"/>
  <c r="O59" i="8" s="1"/>
  <c r="W23" i="5"/>
  <c r="O58" i="8" s="1"/>
  <c r="W22" i="5"/>
  <c r="O57" i="8" s="1"/>
  <c r="Y22" i="4"/>
  <c r="Y23" i="4"/>
  <c r="Y24" i="4"/>
  <c r="Y25" i="4"/>
  <c r="Y26" i="4"/>
  <c r="Y27" i="4"/>
  <c r="Y28" i="4"/>
  <c r="Y29" i="4"/>
  <c r="Y30" i="4"/>
  <c r="Y31" i="4"/>
  <c r="Y32" i="4"/>
  <c r="Y33" i="4"/>
  <c r="Y34" i="4"/>
  <c r="Y35" i="4"/>
  <c r="Y36" i="4"/>
  <c r="Y37" i="4"/>
  <c r="Y38" i="4"/>
  <c r="Y39" i="4"/>
  <c r="Y40" i="4"/>
  <c r="Y41" i="4"/>
  <c r="Y42" i="4"/>
  <c r="Y43" i="4"/>
  <c r="Y44" i="4"/>
  <c r="Y45" i="4"/>
  <c r="Y46"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7" i="4"/>
  <c r="N46" i="4"/>
  <c r="N8" i="4"/>
  <c r="N9" i="4"/>
  <c r="N10" i="4"/>
  <c r="N11" i="4"/>
  <c r="N12" i="4"/>
  <c r="N13" i="4"/>
  <c r="N14" i="4"/>
  <c r="N16"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7" i="4"/>
  <c r="M8" i="4"/>
  <c r="M9" i="4"/>
  <c r="M10" i="4"/>
  <c r="M11" i="4"/>
  <c r="M12" i="4"/>
  <c r="M16" i="4"/>
  <c r="M18" i="4"/>
  <c r="M19" i="4"/>
  <c r="M22" i="4"/>
  <c r="M23" i="4"/>
  <c r="M24" i="4"/>
  <c r="M25" i="4"/>
  <c r="M26" i="4"/>
  <c r="M27" i="4"/>
  <c r="M28" i="4"/>
  <c r="M29" i="4"/>
  <c r="M30" i="4"/>
  <c r="M31" i="4"/>
  <c r="M32" i="4"/>
  <c r="M33" i="4"/>
  <c r="M34" i="4"/>
  <c r="M35" i="4"/>
  <c r="M36" i="4"/>
  <c r="M37" i="4"/>
  <c r="M38" i="4"/>
  <c r="M39" i="4"/>
  <c r="M40" i="4"/>
  <c r="M41" i="4"/>
  <c r="M42" i="4"/>
  <c r="M43" i="4"/>
  <c r="M44" i="4"/>
  <c r="M45" i="4"/>
  <c r="M46" i="4"/>
  <c r="M7" i="4"/>
  <c r="L22" i="4"/>
  <c r="L23" i="4"/>
  <c r="L24" i="4"/>
  <c r="L25" i="4"/>
  <c r="L26" i="4"/>
  <c r="L27" i="4"/>
  <c r="L28" i="4"/>
  <c r="L29" i="4"/>
  <c r="L30" i="4"/>
  <c r="L31" i="4"/>
  <c r="L32" i="4"/>
  <c r="L33" i="4"/>
  <c r="L34" i="4"/>
  <c r="L35" i="4"/>
  <c r="L36" i="4"/>
  <c r="L37" i="4"/>
  <c r="L38" i="4"/>
  <c r="L39" i="4"/>
  <c r="L40" i="4"/>
  <c r="L41" i="4"/>
  <c r="L42" i="4"/>
  <c r="L43" i="4"/>
  <c r="L44" i="4"/>
  <c r="L45" i="4"/>
  <c r="L46" i="4"/>
  <c r="K22" i="4"/>
  <c r="K23" i="4"/>
  <c r="K24" i="4"/>
  <c r="K25" i="4"/>
  <c r="K26" i="4"/>
  <c r="K27" i="4"/>
  <c r="K28" i="4"/>
  <c r="K29" i="4"/>
  <c r="K30" i="4"/>
  <c r="K31" i="4"/>
  <c r="K32" i="4"/>
  <c r="K33" i="4"/>
  <c r="K34" i="4"/>
  <c r="K35" i="4"/>
  <c r="K36" i="4"/>
  <c r="K37" i="4"/>
  <c r="K38" i="4"/>
  <c r="K39" i="4"/>
  <c r="K40" i="4"/>
  <c r="K41" i="4"/>
  <c r="K42" i="4"/>
  <c r="K43" i="4"/>
  <c r="K44" i="4"/>
  <c r="K45" i="4"/>
  <c r="K46" i="4"/>
  <c r="M20" i="4"/>
  <c r="N17" i="4"/>
  <c r="L21" i="4"/>
  <c r="M17" i="4"/>
  <c r="M21" i="4"/>
  <c r="L20" i="4"/>
  <c r="L17" i="4"/>
  <c r="L19" i="4"/>
  <c r="L16" i="4"/>
  <c r="L8" i="4"/>
  <c r="L10" i="4"/>
  <c r="M14" i="4"/>
  <c r="L12" i="4"/>
  <c r="L18" i="4"/>
  <c r="L7" i="4"/>
  <c r="L9" i="4"/>
  <c r="M13" i="4"/>
  <c r="N15" i="4"/>
  <c r="L13" i="4"/>
  <c r="L11" i="4"/>
  <c r="M15" i="4"/>
  <c r="L14" i="4"/>
  <c r="M59" i="8" l="1"/>
  <c r="AC59" i="8"/>
  <c r="M64" i="8"/>
  <c r="AC64" i="8"/>
  <c r="M48" i="8"/>
  <c r="AC48" i="8"/>
  <c r="M60" i="8"/>
  <c r="AC60" i="8"/>
  <c r="M42" i="8"/>
  <c r="AC42" i="8"/>
  <c r="M53" i="8"/>
  <c r="AC53" i="8"/>
  <c r="M66" i="8"/>
  <c r="AC66" i="8"/>
  <c r="M54" i="8"/>
  <c r="AC54" i="8"/>
  <c r="M45" i="8"/>
  <c r="AC45" i="8"/>
  <c r="M70" i="8"/>
  <c r="AC70" i="8"/>
  <c r="M68" i="8"/>
  <c r="AC68" i="8"/>
  <c r="M57" i="8"/>
  <c r="AC57" i="8"/>
  <c r="M61" i="8"/>
  <c r="AC61" i="8"/>
  <c r="M52" i="8"/>
  <c r="AC52" i="8"/>
  <c r="M67" i="8"/>
  <c r="AC67" i="8"/>
  <c r="M47" i="8"/>
  <c r="AC47" i="8"/>
  <c r="M71" i="8"/>
  <c r="AC71" i="8"/>
  <c r="M46" i="8"/>
  <c r="AC46" i="8"/>
  <c r="M56" i="8"/>
  <c r="AC56" i="8"/>
  <c r="M63" i="8"/>
  <c r="AC63" i="8"/>
  <c r="M65" i="8"/>
  <c r="AC65" i="8"/>
  <c r="M50" i="8"/>
  <c r="AC50" i="8"/>
  <c r="M58" i="8"/>
  <c r="AC58" i="8"/>
  <c r="M62" i="8"/>
  <c r="AC62" i="8"/>
  <c r="M51" i="8"/>
  <c r="AC51" i="8"/>
  <c r="M55" i="8"/>
  <c r="AC55" i="8"/>
  <c r="M43" i="8"/>
  <c r="AC43" i="8"/>
  <c r="M49" i="8"/>
  <c r="AC49" i="8"/>
  <c r="M69" i="8"/>
  <c r="AC69" i="8"/>
  <c r="M44" i="8"/>
  <c r="AC44" i="8"/>
  <c r="T8" i="4"/>
  <c r="H3" i="10" s="1"/>
  <c r="M3" i="10" s="1"/>
  <c r="T20" i="4"/>
  <c r="H15" i="10" s="1"/>
  <c r="M15" i="10" s="1"/>
  <c r="Y9" i="4"/>
  <c r="T9" i="4"/>
  <c r="H4" i="10" s="1"/>
  <c r="M4" i="10" s="1"/>
  <c r="K15" i="4"/>
  <c r="T15" i="4"/>
  <c r="H10" i="10" s="1"/>
  <c r="M10" i="10" s="1"/>
  <c r="K19" i="4"/>
  <c r="Q19" i="4" s="1"/>
  <c r="V19" i="4" s="1"/>
  <c r="W19" i="4" s="1"/>
  <c r="T19" i="4"/>
  <c r="H14" i="10" s="1"/>
  <c r="M14" i="10" s="1"/>
  <c r="K11" i="4"/>
  <c r="Q11" i="4" s="1"/>
  <c r="V11" i="4" s="1"/>
  <c r="W11" i="4" s="1"/>
  <c r="T11" i="4"/>
  <c r="H6" i="10" s="1"/>
  <c r="M6" i="10" s="1"/>
  <c r="K10" i="4"/>
  <c r="Q10" i="4" s="1"/>
  <c r="V10" i="4" s="1"/>
  <c r="W10" i="4" s="1"/>
  <c r="T10" i="4"/>
  <c r="H5" i="10" s="1"/>
  <c r="M5" i="10" s="1"/>
  <c r="K21" i="4"/>
  <c r="Q21" i="4" s="1"/>
  <c r="V21" i="4" s="1"/>
  <c r="W21" i="4" s="1"/>
  <c r="T21" i="4"/>
  <c r="H16" i="10" s="1"/>
  <c r="M16" i="10" s="1"/>
  <c r="K13" i="4"/>
  <c r="Q13" i="4" s="1"/>
  <c r="V13" i="4" s="1"/>
  <c r="W13" i="4" s="1"/>
  <c r="T13" i="4"/>
  <c r="H8" i="10" s="1"/>
  <c r="M8" i="10" s="1"/>
  <c r="T12" i="4"/>
  <c r="H7" i="10" s="1"/>
  <c r="M7" i="10" s="1"/>
  <c r="K18" i="4"/>
  <c r="Q18" i="4" s="1"/>
  <c r="V18" i="4" s="1"/>
  <c r="W18" i="4" s="1"/>
  <c r="T18" i="4"/>
  <c r="H13" i="10" s="1"/>
  <c r="M13" i="10" s="1"/>
  <c r="K14" i="4"/>
  <c r="Q14" i="4" s="1"/>
  <c r="V14" i="4" s="1"/>
  <c r="W14" i="4" s="1"/>
  <c r="T14" i="4"/>
  <c r="H9" i="10" s="1"/>
  <c r="M9" i="10" s="1"/>
  <c r="T16" i="4"/>
  <c r="H11" i="10" s="1"/>
  <c r="M11" i="10" s="1"/>
  <c r="T17" i="4"/>
  <c r="H12" i="10" s="1"/>
  <c r="M12" i="10" s="1"/>
  <c r="H2" i="10"/>
  <c r="M2" i="10" s="1"/>
  <c r="Y8" i="4"/>
  <c r="Y20" i="4"/>
  <c r="Y12" i="4"/>
  <c r="Q43" i="4"/>
  <c r="V43" i="4" s="1"/>
  <c r="W43" i="4" s="1"/>
  <c r="O38" i="8" s="1"/>
  <c r="M38" i="8" s="1"/>
  <c r="Q35" i="4"/>
  <c r="V35" i="4" s="1"/>
  <c r="W35" i="4" s="1"/>
  <c r="Q27" i="4"/>
  <c r="V27" i="4" s="1"/>
  <c r="W27" i="4" s="1"/>
  <c r="Q39" i="4"/>
  <c r="V39" i="4" s="1"/>
  <c r="W39" i="4" s="1"/>
  <c r="O34" i="8" s="1"/>
  <c r="M34" i="8" s="1"/>
  <c r="Q31" i="4"/>
  <c r="V31" i="4" s="1"/>
  <c r="W31" i="4" s="1"/>
  <c r="Q23" i="4"/>
  <c r="V23" i="4" s="1"/>
  <c r="W23" i="4" s="1"/>
  <c r="Q45" i="4"/>
  <c r="V45" i="4" s="1"/>
  <c r="W45" i="4" s="1"/>
  <c r="O40" i="8" s="1"/>
  <c r="M40" i="8" s="1"/>
  <c r="Q41" i="4"/>
  <c r="V41" i="4" s="1"/>
  <c r="W41" i="4" s="1"/>
  <c r="O36" i="8" s="1"/>
  <c r="M36" i="8" s="1"/>
  <c r="Q37" i="4"/>
  <c r="V37" i="4" s="1"/>
  <c r="W37" i="4" s="1"/>
  <c r="O32" i="8" s="1"/>
  <c r="M32" i="8" s="1"/>
  <c r="Q33" i="4"/>
  <c r="V33" i="4" s="1"/>
  <c r="W33" i="4" s="1"/>
  <c r="Q29" i="4"/>
  <c r="V29" i="4" s="1"/>
  <c r="W29" i="4" s="1"/>
  <c r="Q25" i="4"/>
  <c r="V25" i="4" s="1"/>
  <c r="W25" i="4" s="1"/>
  <c r="Y21" i="4"/>
  <c r="Q44" i="4"/>
  <c r="V44" i="4" s="1"/>
  <c r="W44" i="4" s="1"/>
  <c r="O39" i="8" s="1"/>
  <c r="M39" i="8" s="1"/>
  <c r="Q40" i="4"/>
  <c r="V40" i="4" s="1"/>
  <c r="W40" i="4" s="1"/>
  <c r="O35" i="8" s="1"/>
  <c r="M35" i="8" s="1"/>
  <c r="Q36" i="4"/>
  <c r="V36" i="4" s="1"/>
  <c r="W36" i="4" s="1"/>
  <c r="Q32" i="4"/>
  <c r="V32" i="4" s="1"/>
  <c r="W32" i="4" s="1"/>
  <c r="Q28" i="4"/>
  <c r="V28" i="4" s="1"/>
  <c r="W28" i="4" s="1"/>
  <c r="Q24" i="4"/>
  <c r="V24" i="4" s="1"/>
  <c r="W24" i="4" s="1"/>
  <c r="Y19" i="4"/>
  <c r="Y13" i="4"/>
  <c r="Y11" i="4"/>
  <c r="Y15" i="4"/>
  <c r="K9" i="4"/>
  <c r="Q9" i="4" s="1"/>
  <c r="V9" i="4" s="1"/>
  <c r="W9" i="4" s="1"/>
  <c r="Y7" i="4"/>
  <c r="Y16" i="4"/>
  <c r="Y17" i="4"/>
  <c r="Q46" i="4"/>
  <c r="V46" i="4" s="1"/>
  <c r="W46" i="4" s="1"/>
  <c r="O41" i="8" s="1"/>
  <c r="M41" i="8" s="1"/>
  <c r="Q42" i="4"/>
  <c r="V42" i="4" s="1"/>
  <c r="W42" i="4" s="1"/>
  <c r="O37" i="8" s="1"/>
  <c r="M37" i="8" s="1"/>
  <c r="Q38" i="4"/>
  <c r="V38" i="4" s="1"/>
  <c r="W38" i="4" s="1"/>
  <c r="O33" i="8" s="1"/>
  <c r="M33" i="8" s="1"/>
  <c r="Q34" i="4"/>
  <c r="V34" i="4" s="1"/>
  <c r="W34" i="4" s="1"/>
  <c r="Q30" i="4"/>
  <c r="V30" i="4" s="1"/>
  <c r="W30" i="4" s="1"/>
  <c r="Q26" i="4"/>
  <c r="V26" i="4" s="1"/>
  <c r="W26" i="4" s="1"/>
  <c r="Q22" i="4"/>
  <c r="V22" i="4" s="1"/>
  <c r="W22" i="4" s="1"/>
  <c r="L15" i="4"/>
  <c r="K7" i="4"/>
  <c r="Q7" i="4" s="1"/>
  <c r="V7" i="4" s="1"/>
  <c r="W7" i="4" s="1"/>
  <c r="O2" i="8" s="1"/>
  <c r="K17" i="4"/>
  <c r="Q17" i="4" s="1"/>
  <c r="V17" i="4" s="1"/>
  <c r="W17" i="4" s="1"/>
  <c r="K20" i="4"/>
  <c r="Q20" i="4" s="1"/>
  <c r="V20" i="4" s="1"/>
  <c r="W20" i="4" s="1"/>
  <c r="K16" i="4"/>
  <c r="Q16" i="4" s="1"/>
  <c r="V16" i="4" s="1"/>
  <c r="W16" i="4" s="1"/>
  <c r="K12" i="4"/>
  <c r="Q12" i="4" s="1"/>
  <c r="V12" i="4" s="1"/>
  <c r="W12" i="4" s="1"/>
  <c r="K8" i="4"/>
  <c r="Q8" i="4" s="1"/>
  <c r="V8" i="4" s="1"/>
  <c r="W8" i="4" s="1"/>
  <c r="Y18" i="4"/>
  <c r="Y14" i="4"/>
  <c r="Y10" i="4"/>
  <c r="M2" i="8" l="1"/>
  <c r="AC2" i="8"/>
  <c r="AC41" i="8"/>
  <c r="AC36" i="8"/>
  <c r="AC35" i="8"/>
  <c r="AC40" i="8"/>
  <c r="AC37" i="8"/>
  <c r="AC32" i="8"/>
  <c r="AC38" i="8"/>
  <c r="AC34" i="8"/>
  <c r="AC33" i="8"/>
  <c r="AC39" i="8"/>
  <c r="O18" i="8"/>
  <c r="M18" i="8" s="1"/>
  <c r="O27" i="8"/>
  <c r="M27" i="8" s="1"/>
  <c r="O16" i="8"/>
  <c r="M16" i="8" s="1"/>
  <c r="O3" i="8"/>
  <c r="M3" i="8" s="1"/>
  <c r="O21" i="8"/>
  <c r="M21" i="8" s="1"/>
  <c r="O28" i="8"/>
  <c r="M28" i="8" s="1"/>
  <c r="O30" i="8"/>
  <c r="M30" i="8" s="1"/>
  <c r="O9" i="8"/>
  <c r="M9" i="8" s="1"/>
  <c r="O7" i="8"/>
  <c r="M7" i="8" s="1"/>
  <c r="O12" i="8"/>
  <c r="M12" i="8" s="1"/>
  <c r="O29" i="8"/>
  <c r="M29" i="8" s="1"/>
  <c r="O4" i="8"/>
  <c r="M4" i="8" s="1"/>
  <c r="O31" i="8"/>
  <c r="M31" i="8" s="1"/>
  <c r="O20" i="8"/>
  <c r="M20" i="8" s="1"/>
  <c r="O23" i="8"/>
  <c r="M23" i="8" s="1"/>
  <c r="O25" i="8"/>
  <c r="M25" i="8" s="1"/>
  <c r="O26" i="8"/>
  <c r="M26" i="8" s="1"/>
  <c r="O11" i="8"/>
  <c r="M11" i="8" s="1"/>
  <c r="O15" i="8"/>
  <c r="M15" i="8" s="1"/>
  <c r="O17" i="8"/>
  <c r="M17" i="8" s="1"/>
  <c r="O19" i="8"/>
  <c r="M19" i="8" s="1"/>
  <c r="O24" i="8"/>
  <c r="M24" i="8" s="1"/>
  <c r="O22" i="8"/>
  <c r="M22" i="8" s="1"/>
  <c r="O13" i="8"/>
  <c r="M13" i="8" s="1"/>
  <c r="O8" i="8"/>
  <c r="M8" i="8" s="1"/>
  <c r="O5" i="8"/>
  <c r="M5" i="8" s="1"/>
  <c r="O6" i="8"/>
  <c r="M6" i="8" s="1"/>
  <c r="O14" i="8"/>
  <c r="M14" i="8" s="1"/>
  <c r="Q15" i="4"/>
  <c r="V15" i="4" s="1"/>
  <c r="W15" i="4" s="1"/>
  <c r="AB5" i="3"/>
  <c r="AB6" i="3"/>
  <c r="AB7" i="3"/>
  <c r="AB8" i="3"/>
  <c r="AB9" i="3"/>
  <c r="AB10" i="3"/>
  <c r="AB11" i="3"/>
  <c r="AB12" i="3"/>
  <c r="AB13" i="3"/>
  <c r="AB14" i="3"/>
  <c r="AB15" i="3"/>
  <c r="AB16" i="3"/>
  <c r="AB17" i="3"/>
  <c r="AB18" i="3"/>
  <c r="AB19" i="3"/>
  <c r="AB20" i="3"/>
  <c r="AB21" i="3"/>
  <c r="AB22" i="3"/>
  <c r="AB23" i="3"/>
  <c r="AB4" i="3"/>
  <c r="N5" i="3"/>
  <c r="N6" i="3"/>
  <c r="N7" i="3"/>
  <c r="N8" i="3"/>
  <c r="N9" i="3"/>
  <c r="N10" i="3"/>
  <c r="N11" i="3"/>
  <c r="N12" i="3"/>
  <c r="N13" i="3"/>
  <c r="N14" i="3"/>
  <c r="N15" i="3"/>
  <c r="N16" i="3"/>
  <c r="N17" i="3"/>
  <c r="N18" i="3"/>
  <c r="N19" i="3"/>
  <c r="N20" i="3"/>
  <c r="N21" i="3"/>
  <c r="N22" i="3"/>
  <c r="N23" i="3"/>
  <c r="N4" i="3"/>
  <c r="AC11" i="8" l="1"/>
  <c r="AC5" i="8"/>
  <c r="AC24" i="8"/>
  <c r="AC20" i="8"/>
  <c r="AC12" i="8"/>
  <c r="AC28" i="8"/>
  <c r="AC27" i="8"/>
  <c r="AC8" i="8"/>
  <c r="AC19" i="8"/>
  <c r="AC26" i="8"/>
  <c r="AC31" i="8"/>
  <c r="AC7" i="8"/>
  <c r="AC21" i="8"/>
  <c r="AC18" i="8"/>
  <c r="AC14" i="8"/>
  <c r="AC13" i="8"/>
  <c r="AC17" i="8"/>
  <c r="AC25" i="8"/>
  <c r="AC4" i="8"/>
  <c r="AC9" i="8"/>
  <c r="AC3" i="8"/>
  <c r="AC6" i="8"/>
  <c r="AC22" i="8"/>
  <c r="AC15" i="8"/>
  <c r="AC23" i="8"/>
  <c r="AC29" i="8"/>
  <c r="AC30" i="8"/>
  <c r="AC16" i="8"/>
  <c r="O10" i="8"/>
  <c r="M10" i="8" s="1"/>
  <c r="AB24" i="3"/>
  <c r="P25" i="3" s="1"/>
  <c r="N24" i="3"/>
  <c r="B25" i="3" s="1"/>
  <c r="AC10" i="8" l="1"/>
</calcChain>
</file>

<file path=xl/sharedStrings.xml><?xml version="1.0" encoding="utf-8"?>
<sst xmlns="http://schemas.openxmlformats.org/spreadsheetml/2006/main" count="1941" uniqueCount="197">
  <si>
    <t>Premier League</t>
  </si>
  <si>
    <t>Sky Bet Championship</t>
  </si>
  <si>
    <t>Champions League</t>
  </si>
  <si>
    <t>Europa League</t>
  </si>
  <si>
    <t>Spanish La Liga</t>
  </si>
  <si>
    <t>FA Cup</t>
  </si>
  <si>
    <t>Carabao Cup (EFL Cup)</t>
  </si>
  <si>
    <t>Competition</t>
  </si>
  <si>
    <t>Event Name (Copy from Admin)</t>
  </si>
  <si>
    <t>Start Date/Time (Copy from Admin)</t>
  </si>
  <si>
    <t>Shots on Target</t>
  </si>
  <si>
    <t>-</t>
  </si>
  <si>
    <t>Player</t>
  </si>
  <si>
    <t>Remaining SoT</t>
  </si>
  <si>
    <t>Check</t>
  </si>
  <si>
    <t>Market</t>
  </si>
  <si>
    <t>%</t>
  </si>
  <si>
    <t>Player 1</t>
  </si>
  <si>
    <t>Player 2</t>
  </si>
  <si>
    <t>Player 3</t>
  </si>
  <si>
    <t>Player 4</t>
  </si>
  <si>
    <t>Player 5</t>
  </si>
  <si>
    <t>Player 6</t>
  </si>
  <si>
    <t>Total Shots</t>
  </si>
  <si>
    <t>SoT Totals</t>
  </si>
  <si>
    <t>TcK Totals</t>
  </si>
  <si>
    <t>1+</t>
  </si>
  <si>
    <t>2+</t>
  </si>
  <si>
    <t>3+</t>
  </si>
  <si>
    <t>4+</t>
  </si>
  <si>
    <t>5+</t>
  </si>
  <si>
    <t>6+</t>
  </si>
  <si>
    <t>7+</t>
  </si>
  <si>
    <t>8+</t>
  </si>
  <si>
    <t>9+</t>
  </si>
  <si>
    <t>10+</t>
  </si>
  <si>
    <t>11+</t>
  </si>
  <si>
    <t>12+</t>
  </si>
  <si>
    <t>13+</t>
  </si>
  <si>
    <t>14+</t>
  </si>
  <si>
    <t>15+</t>
  </si>
  <si>
    <t>16+</t>
  </si>
  <si>
    <t>17+</t>
  </si>
  <si>
    <t>18+</t>
  </si>
  <si>
    <t>19+</t>
  </si>
  <si>
    <t>20+</t>
  </si>
  <si>
    <t>21+</t>
  </si>
  <si>
    <t>22+</t>
  </si>
  <si>
    <t>23+</t>
  </si>
  <si>
    <t>24+</t>
  </si>
  <si>
    <t>25+</t>
  </si>
  <si>
    <t>Rm1</t>
  </si>
  <si>
    <t>Rm2</t>
  </si>
  <si>
    <t>Rm3</t>
  </si>
  <si>
    <t>Rm4</t>
  </si>
  <si>
    <t>Rm5</t>
  </si>
  <si>
    <t>Rm6</t>
  </si>
  <si>
    <t>True Price</t>
  </si>
  <si>
    <t>Offer Price</t>
  </si>
  <si>
    <t>Parts</t>
  </si>
  <si>
    <t>Selection Name</t>
  </si>
  <si>
    <t>Total Tackles</t>
  </si>
  <si>
    <t>Total</t>
  </si>
  <si>
    <t>Decimal</t>
  </si>
  <si>
    <t>Fraction</t>
  </si>
  <si>
    <t>Margin</t>
  </si>
  <si>
    <t>Required</t>
  </si>
  <si>
    <t>Remaining Tackles</t>
  </si>
  <si>
    <t>blank</t>
  </si>
  <si>
    <t>CATEGORY</t>
  </si>
  <si>
    <t>CLASS</t>
  </si>
  <si>
    <t>TYPE</t>
  </si>
  <si>
    <t>NAME</t>
  </si>
  <si>
    <t>DATE/TIME</t>
  </si>
  <si>
    <t>COUNTRY</t>
  </si>
  <si>
    <t>VENUE</t>
  </si>
  <si>
    <t>FLAGS</t>
  </si>
  <si>
    <t>SORT</t>
  </si>
  <si>
    <t>STATUS</t>
  </si>
  <si>
    <t>DISPLAYED</t>
  </si>
  <si>
    <t>DISPORDER</t>
  </si>
  <si>
    <t>SUSPEND AT</t>
  </si>
  <si>
    <t>URL</t>
  </si>
  <si>
    <t>TAX RATE</t>
  </si>
  <si>
    <t>MIN BET</t>
  </si>
  <si>
    <t>MAX BET</t>
  </si>
  <si>
    <t>FB DOM/INT</t>
  </si>
  <si>
    <t>EXT KEY</t>
  </si>
  <si>
    <t>MULT KEY</t>
  </si>
  <si>
    <t>CLASS SORT</t>
  </si>
  <si>
    <t>HOME TEAM</t>
  </si>
  <si>
    <t>AWAY TEAM</t>
  </si>
  <si>
    <t>CHANNELS</t>
  </si>
  <si>
    <t>EVT_NOTES</t>
  </si>
  <si>
    <t>EVT_PROMO</t>
  </si>
  <si>
    <t>WIN LP</t>
  </si>
  <si>
    <t>WIN SP</t>
  </si>
  <si>
    <t>EW WIN FACTOR</t>
  </si>
  <si>
    <t>MULT FACTOR</t>
  </si>
  <si>
    <t>MULT MAX BET</t>
  </si>
  <si>
    <t>GRP1</t>
  </si>
  <si>
    <t>A</t>
  </si>
  <si>
    <t>N</t>
  </si>
  <si>
    <t>ZWIP</t>
  </si>
  <si>
    <t>FOOTBALL</t>
  </si>
  <si>
    <t>Football</t>
  </si>
  <si>
    <t>MARKET</t>
  </si>
  <si>
    <t>LIVE PRICE</t>
  </si>
  <si>
    <t>STARTING PRICE</t>
  </si>
  <si>
    <t>FORECAST</t>
  </si>
  <si>
    <t>TRICAST</t>
  </si>
  <si>
    <t>EACH-WAY</t>
  </si>
  <si>
    <t>PLACE</t>
  </si>
  <si>
    <t>NUM PLACES</t>
  </si>
  <si>
    <t>PLACE FRACTION</t>
  </si>
  <si>
    <t>TERMS WITH BET</t>
  </si>
  <si>
    <t>ACC MIN</t>
  </si>
  <si>
    <t>ACC MAX</t>
  </si>
  <si>
    <t>HANDICAP</t>
  </si>
  <si>
    <t>LIAB LIMIT</t>
  </si>
  <si>
    <t>AP</t>
  </si>
  <si>
    <t>SP MAX BET</t>
  </si>
  <si>
    <t>BET_IN_RUN</t>
  </si>
  <si>
    <t>MKT_BLURB</t>
  </si>
  <si>
    <t>MKT_PROMO</t>
  </si>
  <si>
    <t>MKT_TERMS</t>
  </si>
  <si>
    <t>Combined Player Shot Multiples</t>
  </si>
  <si>
    <t>Y</t>
  </si>
  <si>
    <t>Combined Player Tackle Multiples</t>
  </si>
  <si>
    <t>SELECTION</t>
  </si>
  <si>
    <t>MAX TOTAL</t>
  </si>
  <si>
    <t>STK/LBT</t>
  </si>
  <si>
    <t>SP GUIDE</t>
  </si>
  <si>
    <t>FB RESULT</t>
  </si>
  <si>
    <t>BAND LOWER</t>
  </si>
  <si>
    <t>BAND UPPER</t>
  </si>
  <si>
    <t>RUNNER NUMBER</t>
  </si>
  <si>
    <t>Export?</t>
  </si>
  <si>
    <t>Tackles</t>
  </si>
  <si>
    <t>Length</t>
  </si>
  <si>
    <t>Upload</t>
  </si>
  <si>
    <t>Yes</t>
  </si>
  <si>
    <t>No</t>
  </si>
  <si>
    <t>Result</t>
  </si>
  <si>
    <t>TotRes</t>
  </si>
  <si>
    <t>RESULT</t>
  </si>
  <si>
    <t>WIN DH REDUCTION</t>
  </si>
  <si>
    <t>PLACE DH REDUCTION</t>
  </si>
  <si>
    <t>Total SoT</t>
  </si>
  <si>
    <t>Export</t>
  </si>
  <si>
    <t>S</t>
  </si>
  <si>
    <t>Shots</t>
  </si>
  <si>
    <t>Exp1</t>
  </si>
  <si>
    <t>Exp2</t>
  </si>
  <si>
    <t>Exp3</t>
  </si>
  <si>
    <t>Exp4</t>
  </si>
  <si>
    <t>Pr1</t>
  </si>
  <si>
    <t>Pr2</t>
  </si>
  <si>
    <t>Pr3</t>
  </si>
  <si>
    <t>Pr4</t>
  </si>
  <si>
    <t>Count</t>
  </si>
  <si>
    <t>Res1</t>
  </si>
  <si>
    <t>Res2</t>
  </si>
  <si>
    <t>Tot</t>
  </si>
  <si>
    <t>1st Half Player Shots On Target</t>
  </si>
  <si>
    <t>German Bundesliga</t>
  </si>
  <si>
    <t>Italian Serie A</t>
  </si>
  <si>
    <t>SelectionName</t>
  </si>
  <si>
    <t>Player Stats RequestABets</t>
  </si>
  <si>
    <t>UEFA Nations League</t>
  </si>
  <si>
    <t>French Ligue 1</t>
  </si>
  <si>
    <t>Player Shots On Target In Each Half</t>
  </si>
  <si>
    <t>1st Half Combined Player Shots On Target</t>
  </si>
  <si>
    <t>Offer</t>
  </si>
  <si>
    <t>|- Opta collect data for all competitions that Sky Bet offer stats markets on. Sky Bet will always reference Opta for resulting.</t>
  </si>
  <si>
    <t>|- Bet void if any player in the selection plays no part in the match.|- Opta collect data for all competitions that Sky Bet offer stats markets on. Sky Bet will always reference Opta for resulting. Full market rules available via the Help and Support page</t>
  </si>
  <si>
    <t>|Chelsea| |.v| |Leeds United|</t>
  </si>
  <si>
    <t>Timo Werner</t>
  </si>
  <si>
    <t>Shots On Target</t>
  </si>
  <si>
    <t>+</t>
  </si>
  <si>
    <t>Tammy Abraham</t>
  </si>
  <si>
    <t>Hakim Ziyech</t>
  </si>
  <si>
    <t>Mason Mount</t>
  </si>
  <si>
    <t>Mateo Kovacic</t>
  </si>
  <si>
    <t>Patrick Bamford</t>
  </si>
  <si>
    <t>Raphinha</t>
  </si>
  <si>
    <t>Mateusz Klich</t>
  </si>
  <si>
    <t>Stuart Dallas</t>
  </si>
  <si>
    <t>Jack Harrison</t>
  </si>
  <si>
    <t>N'Golo Kante</t>
  </si>
  <si>
    <t>Reece James</t>
  </si>
  <si>
    <t>Ben Chilwell</t>
  </si>
  <si>
    <t>Thiago Silva</t>
  </si>
  <si>
    <t>Kalvin Phillips</t>
  </si>
  <si>
    <t>Luke Ayling</t>
  </si>
  <si>
    <t>Ezgjan Alioski</t>
  </si>
  <si>
    <t>Robin Koch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</si>
</sst>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0;;;@"/>
    <numFmt numFmtId="166" formatCode="##/##"/>
    <numFmt numFmtId="167" formatCode="yyyy\-mm\-dd\ hh:mm:ss"/>
  </numFmts>
  <fonts count="41" x14ac:knownFonts="1">
    <font>
      <sz val="11"/>
      <color theme="1"/>
      <name val="Calibri"/>
      <family val="2"/>
      <scheme val="minor"/>
    </font>
    <font>
      <sz val="12"/>
      <color theme="1"/>
      <name val="Sky Text"/>
      <family val="2"/>
    </font>
    <font>
      <b/>
      <sz val="11"/>
      <color theme="0"/>
      <name val="Sky Text"/>
      <family val="2"/>
    </font>
    <font>
      <sz val="11"/>
      <color theme="1"/>
      <name val="Sky Text"/>
      <family val="2"/>
    </font>
    <font>
      <b/>
      <sz val="12"/>
      <color theme="0"/>
      <name val="Sky Text"/>
      <family val="2"/>
    </font>
    <font>
      <sz val="10"/>
      <color theme="1"/>
      <name val="Sky Text"/>
      <family val="2"/>
    </font>
    <font>
      <b/>
      <sz val="11"/>
      <name val="Sky Text"/>
      <family val="2"/>
    </font>
    <font>
      <sz val="11"/>
      <color theme="1"/>
      <name val="Calibri Light"/>
      <family val="2"/>
      <scheme val="major"/>
    </font>
    <font>
      <sz val="11"/>
      <name val="Calibri Light"/>
      <family val="2"/>
      <scheme val="major"/>
    </font>
    <font>
      <b/>
      <sz val="11"/>
      <color theme="1"/>
      <name val="Calibri"/>
      <family val="2"/>
      <scheme val="minor"/>
    </font>
    <font>
      <sz val="10"/>
      <color theme="1"/>
      <name val="Calibri Light"/>
      <family val="2"/>
      <scheme val="major"/>
    </font>
    <font>
      <sz val="11"/>
      <color theme="2" tint="-0.749992370372631"/>
      <name val="Sky Text"/>
      <family val="2"/>
    </font>
    <font>
      <sz val="12"/>
      <color theme="1"/>
      <name val="Calibri Light"/>
      <family val="2"/>
      <scheme val="major"/>
    </font>
    <font>
      <sz val="12"/>
      <color theme="2" tint="-0.749992370372631"/>
      <name val="Sky Text"/>
      <family val="2"/>
    </font>
    <font>
      <sz val="14"/>
      <color theme="1"/>
      <name val="Calibri"/>
      <family val="2"/>
      <scheme val="minor"/>
    </font>
    <font>
      <sz val="8"/>
      <name val="Calibri"/>
      <family val="2"/>
      <scheme val="minor"/>
    </font>
    <font>
      <sz val="11"/>
      <color theme="1"/>
      <name val="Calibri"/>
      <family val="2"/>
      <scheme val="minor"/>
    </font>
    <font>
      <u/>
      <sz val="11"/>
      <color theme="10"/>
      <name val="Calibri"/>
      <family val="2"/>
      <scheme val="minor"/>
    </font>
    <font>
      <sz val="10"/>
      <name val="Arial"/>
      <family val="2"/>
    </font>
    <font>
      <sz val="11"/>
      <color rgb="FF00000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Arial"/>
      <family val="2"/>
    </font>
    <font>
      <u/>
      <sz val="6.5"/>
      <color indexed="12"/>
      <name val="Arial"/>
      <family val="2"/>
    </font>
    <font>
      <sz val="8"/>
      <name val="Univers"/>
      <family val="2"/>
    </font>
    <font>
      <sz val="12"/>
      <color rgb="FFFF0000"/>
      <name val="Sky Text"/>
      <family val="2"/>
    </font>
  </fonts>
  <fills count="32">
    <fill>
      <patternFill patternType="none"/>
    </fill>
    <fill>
      <patternFill patternType="gray125"/>
    </fill>
    <fill>
      <patternFill patternType="solid">
        <fgColor theme="2" tint="-0.74999237037263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64054">
    <xf numFmtId="0" fontId="0" fillId="0" borderId="0"/>
    <xf numFmtId="0" fontId="18" fillId="0" borderId="0"/>
    <xf numFmtId="0" fontId="18" fillId="0" borderId="0"/>
    <xf numFmtId="0" fontId="18" fillId="0" borderId="0"/>
    <xf numFmtId="0" fontId="16" fillId="0" borderId="0"/>
    <xf numFmtId="0" fontId="16" fillId="0" borderId="0"/>
    <xf numFmtId="0" fontId="18" fillId="0" borderId="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5"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3"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4"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28" borderId="16" applyNumberFormat="0" applyAlignment="0" applyProtection="0"/>
    <xf numFmtId="0" fontId="23" fillId="28" borderId="16" applyNumberFormat="0" applyAlignment="0" applyProtection="0"/>
    <xf numFmtId="0" fontId="23" fillId="28" borderId="16" applyNumberFormat="0" applyAlignment="0" applyProtection="0"/>
    <xf numFmtId="0" fontId="24" fillId="29" borderId="17" applyNumberFormat="0" applyAlignment="0" applyProtection="0"/>
    <xf numFmtId="0" fontId="24" fillId="29" borderId="17" applyNumberFormat="0" applyAlignment="0" applyProtection="0"/>
    <xf numFmtId="0" fontId="24" fillId="29" borderId="17" applyNumberForma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7" fillId="0" borderId="18" applyNumberFormat="0" applyFill="0" applyAlignment="0" applyProtection="0"/>
    <xf numFmtId="0" fontId="27" fillId="0" borderId="18" applyNumberFormat="0" applyFill="0" applyAlignment="0" applyProtection="0"/>
    <xf numFmtId="0" fontId="27" fillId="0" borderId="18" applyNumberFormat="0" applyFill="0" applyAlignment="0" applyProtection="0"/>
    <xf numFmtId="0" fontId="28" fillId="0" borderId="19" applyNumberFormat="0" applyFill="0" applyAlignment="0" applyProtection="0"/>
    <xf numFmtId="0" fontId="28" fillId="0" borderId="19" applyNumberFormat="0" applyFill="0" applyAlignment="0" applyProtection="0"/>
    <xf numFmtId="0" fontId="28" fillId="0" borderId="19" applyNumberFormat="0" applyFill="0" applyAlignment="0" applyProtection="0"/>
    <xf numFmtId="0" fontId="29" fillId="0" borderId="20" applyNumberFormat="0" applyFill="0" applyAlignment="0" applyProtection="0"/>
    <xf numFmtId="0" fontId="29" fillId="0" borderId="20" applyNumberFormat="0" applyFill="0" applyAlignment="0" applyProtection="0"/>
    <xf numFmtId="0" fontId="29" fillId="0" borderId="20"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0" fillId="15" borderId="16" applyNumberFormat="0" applyAlignment="0" applyProtection="0"/>
    <xf numFmtId="0" fontId="30" fillId="15" borderId="16" applyNumberFormat="0" applyAlignment="0" applyProtection="0"/>
    <xf numFmtId="0" fontId="30" fillId="15" borderId="16" applyNumberFormat="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2" fillId="30" borderId="0" applyNumberFormat="0" applyBorder="0" applyAlignment="0" applyProtection="0"/>
    <xf numFmtId="0" fontId="32" fillId="30" borderId="0" applyNumberFormat="0" applyBorder="0" applyAlignment="0" applyProtection="0"/>
    <xf numFmtId="0" fontId="32" fillId="3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6" fillId="0" borderId="0"/>
    <xf numFmtId="0" fontId="16" fillId="0" borderId="0"/>
    <xf numFmtId="0" fontId="16" fillId="0" borderId="0"/>
    <xf numFmtId="0" fontId="19" fillId="0" borderId="0"/>
    <xf numFmtId="0" fontId="1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33" fillId="28" borderId="23" applyNumberFormat="0" applyAlignment="0" applyProtection="0"/>
    <xf numFmtId="0" fontId="33" fillId="28" borderId="23" applyNumberFormat="0" applyAlignment="0" applyProtection="0"/>
    <xf numFmtId="0" fontId="33" fillId="28" borderId="23" applyNumberForma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24" applyNumberFormat="0" applyFill="0" applyAlignment="0" applyProtection="0"/>
    <xf numFmtId="0" fontId="35" fillId="0" borderId="24" applyNumberFormat="0" applyFill="0" applyAlignment="0" applyProtection="0"/>
    <xf numFmtId="0" fontId="35" fillId="0" borderId="24" applyNumberFormat="0" applyFill="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16" fillId="0" borderId="0"/>
    <xf numFmtId="0" fontId="18" fillId="0" borderId="0"/>
    <xf numFmtId="0" fontId="16" fillId="0" borderId="0"/>
    <xf numFmtId="0" fontId="16" fillId="0" borderId="0"/>
    <xf numFmtId="0" fontId="16" fillId="0" borderId="0"/>
    <xf numFmtId="0" fontId="16" fillId="0" borderId="0"/>
    <xf numFmtId="0" fontId="18" fillId="31" borderId="22" applyNumberFormat="0" applyFon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7" fillId="0" borderId="0" applyNumberFormat="0" applyFill="0" applyBorder="0" applyAlignment="0" applyProtection="0">
      <alignment vertical="top"/>
      <protection locked="0"/>
    </xf>
    <xf numFmtId="0" fontId="16" fillId="0" borderId="0"/>
    <xf numFmtId="0" fontId="16" fillId="0" borderId="0"/>
    <xf numFmtId="0" fontId="16" fillId="0" borderId="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7" fillId="0" borderId="0" applyNumberFormat="0" applyFill="0" applyBorder="0" applyAlignment="0" applyProtection="0"/>
    <xf numFmtId="0" fontId="17" fillId="0" borderId="0" applyNumberFormat="0" applyFill="0" applyBorder="0" applyAlignment="0" applyProtection="0"/>
    <xf numFmtId="0" fontId="16" fillId="0" borderId="0"/>
    <xf numFmtId="0" fontId="23" fillId="28" borderId="16" applyNumberFormat="0" applyAlignment="0" applyProtection="0"/>
    <xf numFmtId="0" fontId="23" fillId="28" borderId="16" applyNumberForma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0" fillId="15" borderId="16" applyNumberFormat="0" applyAlignment="0" applyProtection="0"/>
    <xf numFmtId="0" fontId="30" fillId="15" borderId="16" applyNumberFormat="0" applyAlignment="0" applyProtection="0"/>
    <xf numFmtId="0" fontId="16" fillId="0" borderId="0"/>
    <xf numFmtId="0" fontId="16" fillId="0" borderId="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33" fillId="28" borderId="23" applyNumberFormat="0" applyAlignment="0" applyProtection="0"/>
    <xf numFmtId="0" fontId="33" fillId="28" borderId="23" applyNumberFormat="0" applyAlignment="0" applyProtection="0"/>
    <xf numFmtId="0" fontId="35" fillId="0" borderId="24" applyNumberFormat="0" applyFill="0" applyAlignment="0" applyProtection="0"/>
    <xf numFmtId="0" fontId="35" fillId="0" borderId="24" applyNumberFormat="0" applyFill="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31" borderId="22" applyNumberFormat="0" applyFon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6" fillId="0" borderId="0"/>
    <xf numFmtId="0" fontId="16" fillId="0" borderId="0"/>
    <xf numFmtId="0" fontId="16" fillId="0" borderId="0"/>
    <xf numFmtId="9" fontId="16" fillId="0" borderId="0" applyFont="0" applyFill="0" applyBorder="0" applyAlignment="0" applyProtection="0"/>
    <xf numFmtId="0" fontId="16" fillId="0" borderId="0"/>
    <xf numFmtId="0" fontId="38" fillId="0" borderId="0" applyNumberFormat="0" applyFill="0" applyBorder="0" applyAlignment="0" applyProtection="0">
      <alignment vertical="top"/>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7" fillId="0" borderId="0" applyNumberFormat="0" applyFill="0" applyBorder="0" applyAlignment="0" applyProtection="0">
      <alignment vertical="top"/>
      <protection locked="0"/>
    </xf>
    <xf numFmtId="0" fontId="18" fillId="0" borderId="0"/>
    <xf numFmtId="0" fontId="18" fillId="0" borderId="0"/>
    <xf numFmtId="0" fontId="18" fillId="0" borderId="0"/>
    <xf numFmtId="0" fontId="18" fillId="0" borderId="0"/>
    <xf numFmtId="0" fontId="39" fillId="0" borderId="0"/>
    <xf numFmtId="0" fontId="18" fillId="0" borderId="0"/>
    <xf numFmtId="0" fontId="1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8" fillId="0" borderId="0" applyFont="0" applyFill="0" applyBorder="0" applyAlignment="0" applyProtection="0"/>
    <xf numFmtId="0" fontId="16" fillId="0" borderId="0"/>
    <xf numFmtId="9" fontId="16" fillId="0" borderId="0" applyFont="0" applyFill="0" applyBorder="0" applyAlignment="0" applyProtection="0"/>
    <xf numFmtId="0" fontId="16" fillId="0" borderId="0"/>
  </cellStyleXfs>
  <cellXfs count="220">
    <xf numFmtId="0" fontId="0" fillId="0" borderId="0" xfId="0"/>
    <xf numFmtId="0" fontId="1" fillId="2" borderId="0" xfId="0" applyFont="1" applyFill="1"/>
    <xf numFmtId="0" fontId="0" fillId="2" borderId="0" xfId="0" applyFill="1"/>
    <xf numFmtId="0" fontId="4" fillId="3" borderId="2"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6" xfId="0" applyFont="1" applyFill="1" applyBorder="1" applyAlignment="1">
      <alignment horizontal="center" vertical="center"/>
    </xf>
    <xf numFmtId="0" fontId="3" fillId="2" borderId="0" xfId="0" applyFont="1" applyFill="1" applyAlignment="1" applyProtection="1">
      <alignment vertical="center"/>
      <protection locked="0"/>
    </xf>
    <xf numFmtId="0" fontId="2" fillId="0" borderId="1" xfId="0" applyFont="1" applyFill="1" applyBorder="1" applyAlignment="1" applyProtection="1">
      <alignment horizontal="center" vertical="center"/>
      <protection locked="0"/>
    </xf>
    <xf numFmtId="0" fontId="6" fillId="0" borderId="1" xfId="0" applyFont="1" applyFill="1" applyBorder="1" applyAlignment="1" applyProtection="1">
      <alignment horizontal="center" vertical="center"/>
      <protection locked="0"/>
    </xf>
    <xf numFmtId="0" fontId="6" fillId="0" borderId="7" xfId="0" applyFont="1" applyFill="1" applyBorder="1" applyAlignment="1" applyProtection="1">
      <alignment horizontal="center" vertical="center"/>
      <protection locked="0"/>
    </xf>
    <xf numFmtId="0" fontId="3" fillId="2" borderId="0" xfId="0" applyFont="1" applyFill="1" applyProtection="1">
      <protection locked="0"/>
    </xf>
    <xf numFmtId="0" fontId="3" fillId="0" borderId="1" xfId="0" applyFont="1" applyFill="1" applyBorder="1" applyAlignment="1" applyProtection="1">
      <alignment horizontal="center"/>
    </xf>
    <xf numFmtId="0" fontId="3" fillId="0" borderId="2" xfId="0" applyFont="1" applyFill="1" applyBorder="1" applyAlignment="1" applyProtection="1">
      <alignment horizontal="center" vertical="center"/>
    </xf>
    <xf numFmtId="0" fontId="2" fillId="3" borderId="0" xfId="0" applyFont="1" applyFill="1"/>
    <xf numFmtId="0" fontId="7" fillId="2" borderId="0" xfId="0" applyFont="1" applyFill="1" applyAlignment="1" applyProtection="1">
      <alignment vertical="center"/>
      <protection locked="0"/>
    </xf>
    <xf numFmtId="0" fontId="2" fillId="3" borderId="12" xfId="0" applyFont="1" applyFill="1" applyBorder="1" applyAlignment="1" applyProtection="1">
      <alignment horizontal="center" vertical="center"/>
      <protection locked="0"/>
    </xf>
    <xf numFmtId="0" fontId="2" fillId="3" borderId="13" xfId="0" applyFont="1" applyFill="1" applyBorder="1" applyAlignment="1" applyProtection="1">
      <alignment horizontal="center" vertical="center"/>
      <protection locked="0"/>
    </xf>
    <xf numFmtId="0" fontId="2" fillId="3" borderId="14"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7" fillId="0" borderId="8" xfId="0" applyFont="1" applyFill="1" applyBorder="1" applyAlignment="1" applyProtection="1">
      <alignment vertical="center"/>
      <protection locked="0"/>
    </xf>
    <xf numFmtId="0" fontId="7" fillId="0" borderId="9" xfId="0" applyFont="1" applyFill="1" applyBorder="1" applyAlignment="1" applyProtection="1">
      <alignment vertical="center"/>
      <protection locked="0"/>
    </xf>
    <xf numFmtId="0" fontId="7" fillId="0" borderId="0" xfId="0" applyFont="1" applyFill="1" applyBorder="1" applyAlignment="1" applyProtection="1">
      <alignment vertical="center"/>
      <protection locked="0"/>
    </xf>
    <xf numFmtId="0" fontId="7" fillId="0" borderId="0" xfId="0" applyFont="1" applyFill="1" applyBorder="1" applyProtection="1">
      <protection locked="0"/>
    </xf>
    <xf numFmtId="0" fontId="7" fillId="2" borderId="0" xfId="0" applyFont="1" applyFill="1" applyProtection="1">
      <protection locked="0"/>
    </xf>
    <xf numFmtId="0" fontId="7" fillId="0" borderId="10" xfId="0" applyFont="1" applyFill="1" applyBorder="1" applyProtection="1">
      <protection locked="0"/>
    </xf>
    <xf numFmtId="165" fontId="8" fillId="0" borderId="5" xfId="0" applyNumberFormat="1" applyFont="1" applyFill="1" applyBorder="1" applyAlignment="1" applyProtection="1">
      <alignment horizontal="center" vertical="center"/>
    </xf>
    <xf numFmtId="165" fontId="8" fillId="0" borderId="3" xfId="0" applyNumberFormat="1" applyFont="1" applyFill="1" applyBorder="1" applyAlignment="1" applyProtection="1">
      <alignment horizontal="center" vertical="center"/>
    </xf>
    <xf numFmtId="2" fontId="2" fillId="3" borderId="7" xfId="0" applyNumberFormat="1" applyFont="1" applyFill="1" applyBorder="1" applyAlignment="1">
      <alignment horizontal="center" vertical="center"/>
    </xf>
    <xf numFmtId="2" fontId="2" fillId="3" borderId="4" xfId="0" applyNumberFormat="1" applyFont="1" applyFill="1" applyBorder="1" applyAlignment="1">
      <alignment horizontal="center" vertical="center"/>
    </xf>
    <xf numFmtId="166" fontId="3" fillId="0" borderId="15" xfId="0"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3" fillId="0" borderId="15" xfId="0" applyNumberFormat="1" applyFont="1" applyFill="1" applyBorder="1" applyAlignment="1">
      <alignment horizontal="center" vertical="center"/>
    </xf>
    <xf numFmtId="2" fontId="3" fillId="0" borderId="10" xfId="0" applyNumberFormat="1" applyFont="1" applyFill="1" applyBorder="1" applyAlignment="1">
      <alignment horizontal="center" vertical="center"/>
    </xf>
    <xf numFmtId="2" fontId="3" fillId="0" borderId="11" xfId="0" applyNumberFormat="1" applyFont="1" applyFill="1" applyBorder="1" applyAlignment="1">
      <alignment horizontal="center" vertical="center"/>
    </xf>
    <xf numFmtId="0" fontId="3" fillId="0" borderId="12" xfId="0" applyFont="1" applyFill="1" applyBorder="1"/>
    <xf numFmtId="0" fontId="3" fillId="0" borderId="8" xfId="0" applyFont="1" applyFill="1" applyBorder="1"/>
    <xf numFmtId="0" fontId="3" fillId="0" borderId="9" xfId="0" applyFont="1" applyFill="1" applyBorder="1"/>
    <xf numFmtId="166" fontId="2" fillId="3" borderId="4" xfId="0" applyNumberFormat="1" applyFont="1" applyFill="1" applyBorder="1" applyAlignment="1">
      <alignment horizontal="center" vertical="center"/>
    </xf>
    <xf numFmtId="0" fontId="3" fillId="2" borderId="0" xfId="0" applyFont="1" applyFill="1" applyBorder="1"/>
    <xf numFmtId="0" fontId="2" fillId="2" borderId="0" xfId="0" applyFont="1" applyFill="1" applyBorder="1"/>
    <xf numFmtId="0" fontId="0" fillId="2" borderId="0" xfId="0" applyFill="1" applyBorder="1"/>
    <xf numFmtId="0" fontId="0" fillId="2" borderId="0" xfId="0" applyFill="1" applyAlignment="1">
      <alignment horizontal="center" vertical="center"/>
    </xf>
    <xf numFmtId="0" fontId="3" fillId="0" borderId="0" xfId="0" applyFont="1" applyFill="1" applyBorder="1" applyAlignment="1">
      <alignment horizontal="center" vertical="center"/>
    </xf>
    <xf numFmtId="0" fontId="3" fillId="0" borderId="10" xfId="0" applyFont="1" applyFill="1" applyBorder="1" applyAlignment="1">
      <alignment horizontal="center" vertical="center"/>
    </xf>
    <xf numFmtId="2" fontId="7" fillId="0" borderId="12" xfId="0" applyNumberFormat="1" applyFont="1" applyFill="1" applyBorder="1" applyAlignment="1" applyProtection="1">
      <alignment horizontal="center" vertical="center"/>
    </xf>
    <xf numFmtId="2" fontId="7" fillId="0" borderId="8" xfId="0" applyNumberFormat="1" applyFont="1" applyFill="1" applyBorder="1" applyAlignment="1" applyProtection="1">
      <alignment horizontal="center" vertical="center"/>
    </xf>
    <xf numFmtId="2" fontId="7" fillId="0" borderId="9" xfId="0" applyNumberFormat="1" applyFont="1" applyFill="1" applyBorder="1" applyAlignment="1" applyProtection="1">
      <alignment horizontal="center" vertical="center"/>
    </xf>
    <xf numFmtId="2" fontId="7" fillId="0" borderId="0" xfId="0" applyNumberFormat="1" applyFont="1" applyFill="1" applyBorder="1" applyAlignment="1" applyProtection="1">
      <alignment horizontal="center" vertical="center"/>
    </xf>
    <xf numFmtId="166" fontId="7" fillId="0" borderId="15" xfId="0" applyNumberFormat="1" applyFont="1" applyFill="1" applyBorder="1" applyAlignment="1" applyProtection="1">
      <alignment horizontal="center" vertical="center"/>
    </xf>
    <xf numFmtId="166" fontId="7" fillId="0" borderId="11" xfId="0" applyNumberFormat="1" applyFont="1" applyFill="1" applyBorder="1" applyAlignment="1" applyProtection="1">
      <alignment horizontal="center" vertical="center"/>
    </xf>
    <xf numFmtId="0" fontId="7" fillId="0"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1" xfId="0" applyFont="1" applyFill="1" applyBorder="1" applyAlignment="1" applyProtection="1">
      <alignment horizontal="center" vertical="center"/>
    </xf>
    <xf numFmtId="2" fontId="7" fillId="0" borderId="13" xfId="0" applyNumberFormat="1" applyFont="1" applyFill="1" applyBorder="1" applyAlignment="1" applyProtection="1">
      <alignment horizontal="center" vertical="center"/>
    </xf>
    <xf numFmtId="2" fontId="7" fillId="0" borderId="14" xfId="0" applyNumberFormat="1" applyFont="1" applyFill="1" applyBorder="1" applyAlignment="1" applyProtection="1">
      <alignment horizontal="center" vertical="center"/>
    </xf>
    <xf numFmtId="2" fontId="7" fillId="0" borderId="15" xfId="0" applyNumberFormat="1" applyFont="1" applyFill="1" applyBorder="1" applyAlignment="1" applyProtection="1">
      <alignment horizontal="center" vertical="center"/>
    </xf>
    <xf numFmtId="2" fontId="7" fillId="0" borderId="10" xfId="0" applyNumberFormat="1" applyFont="1" applyFill="1" applyBorder="1" applyAlignment="1" applyProtection="1">
      <alignment horizontal="center" vertical="center"/>
    </xf>
    <xf numFmtId="2" fontId="7" fillId="0" borderId="11" xfId="0" applyNumberFormat="1" applyFont="1" applyFill="1" applyBorder="1" applyAlignment="1" applyProtection="1">
      <alignment horizontal="center" vertical="center"/>
    </xf>
    <xf numFmtId="0" fontId="2" fillId="3" borderId="12" xfId="0" applyFont="1" applyFill="1" applyBorder="1" applyAlignment="1" applyProtection="1">
      <alignment horizontal="left" vertical="center"/>
      <protection locked="0"/>
    </xf>
    <xf numFmtId="0" fontId="2" fillId="3" borderId="13" xfId="0" applyFont="1" applyFill="1" applyBorder="1" applyAlignment="1" applyProtection="1">
      <alignment horizontal="left" vertical="center"/>
      <protection locked="0"/>
    </xf>
    <xf numFmtId="0" fontId="7" fillId="0" borderId="1" xfId="0" applyFont="1" applyFill="1" applyBorder="1" applyProtection="1">
      <protection locked="0"/>
    </xf>
    <xf numFmtId="0" fontId="7" fillId="0" borderId="1" xfId="0" applyFont="1" applyFill="1" applyBorder="1" applyAlignment="1" applyProtection="1">
      <alignment horizontal="center" vertical="center"/>
      <protection locked="0"/>
    </xf>
    <xf numFmtId="2" fontId="7" fillId="0" borderId="1" xfId="0" applyNumberFormat="1" applyFont="1" applyFill="1" applyBorder="1" applyAlignment="1" applyProtection="1">
      <alignment horizontal="center" vertical="center"/>
      <protection locked="0"/>
    </xf>
    <xf numFmtId="0" fontId="8" fillId="0" borderId="2" xfId="0" applyFont="1" applyFill="1" applyBorder="1" applyAlignment="1" applyProtection="1">
      <alignment horizontal="center" vertical="center"/>
    </xf>
    <xf numFmtId="0" fontId="8" fillId="0" borderId="5" xfId="0" applyFont="1" applyFill="1" applyBorder="1" applyAlignment="1" applyProtection="1">
      <alignment horizontal="center" vertical="center"/>
    </xf>
    <xf numFmtId="0" fontId="11" fillId="2" borderId="0" xfId="0" applyFont="1" applyFill="1" applyProtection="1">
      <protection locked="0"/>
    </xf>
    <xf numFmtId="0" fontId="9" fillId="0" borderId="0" xfId="0" applyFont="1"/>
    <xf numFmtId="167" fontId="9" fillId="0" borderId="0" xfId="0" applyNumberFormat="1" applyFont="1"/>
    <xf numFmtId="167" fontId="0" fillId="0" borderId="0" xfId="0" applyNumberFormat="1"/>
    <xf numFmtId="49" fontId="0" fillId="0" borderId="0" xfId="0" applyNumberFormat="1" applyAlignment="1"/>
    <xf numFmtId="0" fontId="12" fillId="0" borderId="1" xfId="0" applyFont="1" applyFill="1" applyBorder="1" applyAlignment="1">
      <alignment horizontal="center" vertical="center"/>
    </xf>
    <xf numFmtId="167" fontId="12" fillId="0" borderId="1" xfId="0" applyNumberFormat="1" applyFont="1" applyFill="1" applyBorder="1" applyAlignment="1">
      <alignment horizontal="center" vertical="center"/>
    </xf>
    <xf numFmtId="165" fontId="0" fillId="0" borderId="0" xfId="0" applyNumberFormat="1"/>
    <xf numFmtId="0" fontId="13" fillId="2" borderId="0" xfId="0" applyFont="1" applyFill="1" applyAlignment="1">
      <alignment horizontal="center" vertical="center"/>
    </xf>
    <xf numFmtId="0" fontId="7" fillId="4" borderId="1" xfId="0" applyFont="1" applyFill="1" applyBorder="1" applyProtection="1">
      <protection locked="0"/>
    </xf>
    <xf numFmtId="0" fontId="7" fillId="4" borderId="1" xfId="0" applyFont="1" applyFill="1" applyBorder="1" applyAlignment="1" applyProtection="1">
      <alignment horizontal="center" vertical="center"/>
      <protection locked="0"/>
    </xf>
    <xf numFmtId="9" fontId="7" fillId="4" borderId="1" xfId="0" applyNumberFormat="1" applyFont="1" applyFill="1" applyBorder="1" applyAlignment="1" applyProtection="1">
      <alignment horizontal="center" vertical="center"/>
      <protection locked="0"/>
    </xf>
    <xf numFmtId="2" fontId="7" fillId="4" borderId="1" xfId="0" applyNumberFormat="1" applyFont="1" applyFill="1" applyBorder="1" applyAlignment="1" applyProtection="1">
      <alignment horizontal="center" vertical="center"/>
      <protection locked="0"/>
    </xf>
    <xf numFmtId="0" fontId="7" fillId="6" borderId="1" xfId="0" applyFont="1" applyFill="1" applyBorder="1" applyProtection="1">
      <protection locked="0"/>
    </xf>
    <xf numFmtId="0" fontId="7" fillId="6" borderId="1" xfId="0" applyFont="1" applyFill="1" applyBorder="1" applyAlignment="1" applyProtection="1">
      <alignment horizontal="center" vertical="center"/>
      <protection locked="0"/>
    </xf>
    <xf numFmtId="9" fontId="7" fillId="6" borderId="1" xfId="0" applyNumberFormat="1" applyFont="1" applyFill="1" applyBorder="1" applyAlignment="1" applyProtection="1">
      <alignment horizontal="center" vertical="center"/>
      <protection locked="0"/>
    </xf>
    <xf numFmtId="2" fontId="7" fillId="6" borderId="1" xfId="0" applyNumberFormat="1" applyFont="1" applyFill="1" applyBorder="1" applyAlignment="1" applyProtection="1">
      <alignment horizontal="center" vertical="center"/>
      <protection locked="0"/>
    </xf>
    <xf numFmtId="2" fontId="2" fillId="3" borderId="1" xfId="0" applyNumberFormat="1" applyFont="1" applyFill="1" applyBorder="1" applyAlignment="1">
      <alignment horizontal="center" vertical="center"/>
    </xf>
    <xf numFmtId="0" fontId="7" fillId="0" borderId="8" xfId="0" applyFont="1" applyFill="1" applyBorder="1" applyProtection="1">
      <protection locked="0"/>
    </xf>
    <xf numFmtId="0" fontId="7" fillId="0" borderId="9" xfId="0" applyFont="1" applyFill="1" applyBorder="1" applyProtection="1">
      <protection locked="0"/>
    </xf>
    <xf numFmtId="0" fontId="8" fillId="0" borderId="12" xfId="0" applyFont="1" applyFill="1" applyBorder="1" applyAlignment="1" applyProtection="1">
      <alignment horizontal="center" vertical="center"/>
    </xf>
    <xf numFmtId="0" fontId="8" fillId="0" borderId="8" xfId="0" applyFont="1" applyFill="1" applyBorder="1" applyAlignment="1" applyProtection="1">
      <alignment horizontal="center" vertical="center"/>
    </xf>
    <xf numFmtId="165" fontId="8" fillId="0" borderId="8" xfId="0" applyNumberFormat="1"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10" fillId="4" borderId="1" xfId="0" applyFont="1" applyFill="1" applyBorder="1" applyAlignment="1" applyProtection="1">
      <alignment horizontal="center" vertical="center"/>
    </xf>
    <xf numFmtId="0" fontId="10" fillId="5" borderId="1" xfId="0" applyFont="1" applyFill="1" applyBorder="1" applyAlignment="1" applyProtection="1">
      <alignment horizontal="center" vertical="center"/>
    </xf>
    <xf numFmtId="0" fontId="10" fillId="5" borderId="5" xfId="0" applyFont="1" applyFill="1" applyBorder="1" applyAlignment="1" applyProtection="1">
      <alignment horizontal="center" vertical="center"/>
    </xf>
    <xf numFmtId="0" fontId="10" fillId="0" borderId="5" xfId="0" applyFont="1" applyFill="1" applyBorder="1" applyAlignment="1" applyProtection="1">
      <alignment horizontal="center" vertical="center"/>
    </xf>
    <xf numFmtId="0" fontId="10" fillId="0" borderId="1" xfId="0" applyFont="1" applyFill="1" applyBorder="1" applyAlignment="1" applyProtection="1">
      <alignment horizontal="center" vertical="center"/>
    </xf>
    <xf numFmtId="1" fontId="7" fillId="0" borderId="1" xfId="0" applyNumberFormat="1" applyFont="1" applyFill="1" applyBorder="1" applyAlignment="1" applyProtection="1">
      <alignment horizontal="center" vertical="center"/>
      <protection locked="0"/>
    </xf>
    <xf numFmtId="1" fontId="7" fillId="0" borderId="0" xfId="0" applyNumberFormat="1" applyFont="1" applyFill="1" applyBorder="1" applyAlignment="1" applyProtection="1">
      <alignment horizontal="center" vertical="center"/>
    </xf>
    <xf numFmtId="0" fontId="2" fillId="7" borderId="4" xfId="0" applyFont="1" applyFill="1" applyBorder="1" applyAlignment="1" applyProtection="1">
      <alignment horizontal="center" vertical="center"/>
      <protection locked="0"/>
    </xf>
    <xf numFmtId="0" fontId="2" fillId="7" borderId="6" xfId="0" applyFont="1" applyFill="1" applyBorder="1" applyAlignment="1" applyProtection="1">
      <alignment horizontal="center" vertical="center"/>
      <protection locked="0"/>
    </xf>
    <xf numFmtId="2" fontId="0" fillId="0" borderId="0" xfId="0" applyNumberFormat="1"/>
    <xf numFmtId="1" fontId="7" fillId="0" borderId="12" xfId="0" applyNumberFormat="1" applyFont="1" applyFill="1" applyBorder="1" applyAlignment="1" applyProtection="1">
      <alignment horizontal="center" vertical="center"/>
    </xf>
    <xf numFmtId="1" fontId="7" fillId="0" borderId="8" xfId="0" applyNumberFormat="1" applyFont="1" applyFill="1" applyBorder="1" applyAlignment="1" applyProtection="1">
      <alignment horizontal="center" vertical="center"/>
    </xf>
    <xf numFmtId="1" fontId="7" fillId="0" borderId="9" xfId="0" applyNumberFormat="1" applyFont="1" applyFill="1" applyBorder="1" applyAlignment="1" applyProtection="1">
      <alignment horizontal="center" vertical="center"/>
    </xf>
    <xf numFmtId="0" fontId="2" fillId="7" borderId="14" xfId="0" applyFont="1" applyFill="1" applyBorder="1" applyAlignment="1" applyProtection="1">
      <alignment horizontal="center" vertical="center"/>
      <protection locked="0"/>
    </xf>
    <xf numFmtId="0" fontId="2" fillId="7" borderId="12" xfId="0" applyFont="1" applyFill="1" applyBorder="1" applyAlignment="1" applyProtection="1">
      <alignment horizontal="center" vertical="center"/>
      <protection locked="0"/>
    </xf>
    <xf numFmtId="165" fontId="7" fillId="8" borderId="1" xfId="0" applyNumberFormat="1" applyFont="1" applyFill="1" applyBorder="1" applyAlignment="1" applyProtection="1">
      <alignment horizontal="left" vertical="center"/>
    </xf>
    <xf numFmtId="1" fontId="7" fillId="8" borderId="1" xfId="0" applyNumberFormat="1" applyFont="1" applyFill="1" applyBorder="1" applyAlignment="1" applyProtection="1">
      <alignment horizontal="center" vertical="center"/>
      <protection locked="0"/>
    </xf>
    <xf numFmtId="0" fontId="0" fillId="2" borderId="0" xfId="0" applyFill="1" applyProtection="1">
      <protection locked="0"/>
    </xf>
    <xf numFmtId="0" fontId="6" fillId="0" borderId="1" xfId="0" applyFont="1" applyFill="1" applyBorder="1" applyAlignment="1" applyProtection="1">
      <alignment horizontal="center" vertical="center"/>
    </xf>
    <xf numFmtId="0" fontId="14" fillId="2" borderId="0" xfId="0" applyFont="1" applyFill="1" applyProtection="1">
      <protection locked="0"/>
    </xf>
    <xf numFmtId="165" fontId="9" fillId="0" borderId="0" xfId="0" applyNumberFormat="1" applyFont="1"/>
    <xf numFmtId="0" fontId="3" fillId="2" borderId="0" xfId="0" applyFont="1" applyFill="1"/>
    <xf numFmtId="0" fontId="2" fillId="3" borderId="6" xfId="0" applyFont="1" applyFill="1" applyBorder="1"/>
    <xf numFmtId="0" fontId="2" fillId="3" borderId="7" xfId="0" applyFont="1" applyFill="1" applyBorder="1"/>
    <xf numFmtId="0" fontId="2" fillId="3" borderId="4" xfId="0" applyFont="1" applyFill="1" applyBorder="1" applyAlignment="1">
      <alignment horizontal="center"/>
    </xf>
    <xf numFmtId="0" fontId="3" fillId="0" borderId="0" xfId="0" applyFont="1" applyFill="1" applyBorder="1" applyAlignment="1">
      <alignment horizontal="center"/>
    </xf>
    <xf numFmtId="0" fontId="3" fillId="2" borderId="0" xfId="0" applyFont="1" applyFill="1" applyAlignment="1">
      <alignment horizontal="center"/>
    </xf>
    <xf numFmtId="0" fontId="2" fillId="3" borderId="7" xfId="0" applyFont="1" applyFill="1" applyBorder="1" applyAlignment="1">
      <alignment horizontal="center"/>
    </xf>
    <xf numFmtId="0" fontId="2" fillId="3" borderId="6" xfId="0" applyFont="1" applyFill="1" applyBorder="1" applyAlignment="1">
      <alignment horizontal="center"/>
    </xf>
    <xf numFmtId="0" fontId="3" fillId="0" borderId="14" xfId="0" applyFont="1" applyFill="1" applyBorder="1" applyAlignment="1">
      <alignment horizontal="center"/>
    </xf>
    <xf numFmtId="0" fontId="3" fillId="0" borderId="15" xfId="0" applyFont="1" applyFill="1" applyBorder="1" applyAlignment="1">
      <alignment horizontal="center"/>
    </xf>
    <xf numFmtId="0" fontId="3" fillId="0" borderId="11" xfId="0" applyFont="1" applyFill="1" applyBorder="1" applyAlignment="1">
      <alignment horizontal="center"/>
    </xf>
    <xf numFmtId="2" fontId="3" fillId="0" borderId="12" xfId="0" applyNumberFormat="1" applyFont="1" applyFill="1" applyBorder="1" applyAlignment="1">
      <alignment horizontal="center"/>
    </xf>
    <xf numFmtId="2" fontId="3" fillId="0" borderId="13" xfId="0" applyNumberFormat="1" applyFont="1" applyFill="1" applyBorder="1" applyAlignment="1">
      <alignment horizontal="center"/>
    </xf>
    <xf numFmtId="2" fontId="3" fillId="0" borderId="14" xfId="0" applyNumberFormat="1" applyFont="1" applyFill="1" applyBorder="1" applyAlignment="1">
      <alignment horizontal="center"/>
    </xf>
    <xf numFmtId="2" fontId="3" fillId="0" borderId="8" xfId="0" applyNumberFormat="1" applyFont="1" applyFill="1" applyBorder="1" applyAlignment="1">
      <alignment horizontal="center"/>
    </xf>
    <xf numFmtId="2" fontId="3" fillId="0" borderId="0" xfId="0" applyNumberFormat="1" applyFont="1" applyFill="1" applyBorder="1" applyAlignment="1">
      <alignment horizontal="center"/>
    </xf>
    <xf numFmtId="2" fontId="3" fillId="0" borderId="15" xfId="0" applyNumberFormat="1" applyFont="1" applyFill="1" applyBorder="1" applyAlignment="1">
      <alignment horizontal="center"/>
    </xf>
    <xf numFmtId="2" fontId="3" fillId="0" borderId="9" xfId="0" applyNumberFormat="1" applyFont="1" applyFill="1" applyBorder="1" applyAlignment="1">
      <alignment horizontal="center"/>
    </xf>
    <xf numFmtId="2" fontId="3" fillId="0" borderId="10" xfId="0" applyNumberFormat="1" applyFont="1" applyFill="1" applyBorder="1" applyAlignment="1">
      <alignment horizontal="center"/>
    </xf>
    <xf numFmtId="2" fontId="3" fillId="0" borderId="11" xfId="0" applyNumberFormat="1"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2" fillId="3" borderId="14" xfId="0" applyFont="1" applyFill="1" applyBorder="1" applyAlignment="1">
      <alignment horizontal="center"/>
    </xf>
    <xf numFmtId="0" fontId="3" fillId="0" borderId="2" xfId="0" applyFont="1" applyFill="1" applyBorder="1"/>
    <xf numFmtId="0" fontId="3" fillId="0" borderId="5" xfId="0" applyFont="1" applyFill="1" applyBorder="1"/>
    <xf numFmtId="0" fontId="3" fillId="0" borderId="3" xfId="0" applyFont="1" applyFill="1" applyBorder="1"/>
    <xf numFmtId="0" fontId="2" fillId="3" borderId="2" xfId="0" applyFont="1" applyFill="1" applyBorder="1"/>
    <xf numFmtId="166" fontId="3" fillId="0" borderId="14" xfId="0" applyNumberFormat="1" applyFont="1" applyFill="1" applyBorder="1" applyAlignment="1">
      <alignment horizontal="center"/>
    </xf>
    <xf numFmtId="166" fontId="3" fillId="0" borderId="15" xfId="0" applyNumberFormat="1" applyFont="1" applyFill="1" applyBorder="1" applyAlignment="1">
      <alignment horizontal="center"/>
    </xf>
    <xf numFmtId="166" fontId="3" fillId="0" borderId="11" xfId="0" applyNumberFormat="1" applyFont="1" applyFill="1" applyBorder="1" applyAlignment="1">
      <alignment horizontal="center"/>
    </xf>
    <xf numFmtId="166" fontId="9" fillId="0" borderId="0" xfId="0" applyNumberFormat="1" applyFont="1" applyAlignment="1">
      <alignment horizontal="left"/>
    </xf>
    <xf numFmtId="166" fontId="0" fillId="0" borderId="0" xfId="0" applyNumberFormat="1" applyAlignment="1">
      <alignment horizontal="left"/>
    </xf>
    <xf numFmtId="165" fontId="3" fillId="0" borderId="8" xfId="0" applyNumberFormat="1" applyFont="1" applyFill="1" applyBorder="1"/>
    <xf numFmtId="165" fontId="3" fillId="0" borderId="0" xfId="0" applyNumberFormat="1" applyFont="1" applyFill="1" applyBorder="1"/>
    <xf numFmtId="165" fontId="3" fillId="0" borderId="9" xfId="0" applyNumberFormat="1" applyFont="1" applyFill="1" applyBorder="1"/>
    <xf numFmtId="165" fontId="3" fillId="0" borderId="10" xfId="0" applyNumberFormat="1" applyFont="1" applyFill="1" applyBorder="1"/>
    <xf numFmtId="165" fontId="3" fillId="0" borderId="12" xfId="0" applyNumberFormat="1" applyFont="1" applyFill="1" applyBorder="1"/>
    <xf numFmtId="165" fontId="3" fillId="0" borderId="13" xfId="0" applyNumberFormat="1" applyFont="1" applyFill="1" applyBorder="1"/>
    <xf numFmtId="0" fontId="7" fillId="9" borderId="2" xfId="0" applyFont="1" applyFill="1" applyBorder="1" applyAlignment="1" applyProtection="1">
      <alignment horizontal="center" vertical="center"/>
    </xf>
    <xf numFmtId="0" fontId="7" fillId="9" borderId="5" xfId="0" applyFont="1" applyFill="1" applyBorder="1" applyAlignment="1" applyProtection="1">
      <alignment horizontal="center" vertical="center"/>
    </xf>
    <xf numFmtId="0" fontId="7" fillId="9" borderId="3" xfId="0" applyFont="1" applyFill="1" applyBorder="1" applyAlignment="1" applyProtection="1">
      <alignment horizontal="center" vertical="center"/>
    </xf>
    <xf numFmtId="0" fontId="7" fillId="0" borderId="15" xfId="0" applyFont="1" applyFill="1" applyBorder="1" applyAlignment="1" applyProtection="1">
      <alignment horizontal="center" vertical="center"/>
      <protection locked="0"/>
    </xf>
    <xf numFmtId="0" fontId="7" fillId="0" borderId="15" xfId="0" applyFont="1" applyFill="1" applyBorder="1" applyAlignment="1" applyProtection="1">
      <alignment horizontal="center"/>
      <protection locked="0"/>
    </xf>
    <xf numFmtId="0" fontId="7" fillId="0" borderId="11" xfId="0" applyFont="1" applyFill="1" applyBorder="1" applyAlignment="1" applyProtection="1">
      <alignment horizontal="center"/>
      <protection locked="0"/>
    </xf>
    <xf numFmtId="165" fontId="8" fillId="0" borderId="0" xfId="0" applyNumberFormat="1" applyFont="1" applyFill="1" applyBorder="1" applyAlignment="1" applyProtection="1">
      <alignment horizontal="center" vertical="center"/>
    </xf>
    <xf numFmtId="0" fontId="2" fillId="3" borderId="2" xfId="0" applyFont="1" applyFill="1" applyBorder="1" applyAlignment="1" applyProtection="1">
      <alignment horizontal="center" vertical="center"/>
      <protection locked="0"/>
    </xf>
    <xf numFmtId="0" fontId="7" fillId="0" borderId="12" xfId="0" applyFont="1" applyFill="1" applyBorder="1" applyAlignment="1" applyProtection="1">
      <alignment horizontal="center" vertical="center"/>
    </xf>
    <xf numFmtId="0" fontId="7" fillId="0" borderId="8" xfId="0" applyFont="1" applyFill="1" applyBorder="1" applyAlignment="1" applyProtection="1">
      <alignment horizontal="center" vertical="center"/>
    </xf>
    <xf numFmtId="0" fontId="7" fillId="0" borderId="9" xfId="0" applyFont="1" applyFill="1" applyBorder="1" applyAlignment="1" applyProtection="1">
      <alignment horizontal="center" vertical="center"/>
    </xf>
    <xf numFmtId="0" fontId="3" fillId="2" borderId="0" xfId="0" applyFont="1" applyFill="1" applyAlignment="1" applyProtection="1">
      <alignment horizontal="center"/>
      <protection locked="0"/>
    </xf>
    <xf numFmtId="0" fontId="2" fillId="3" borderId="6" xfId="0" applyFont="1" applyFill="1" applyBorder="1" applyProtection="1"/>
    <xf numFmtId="0" fontId="2" fillId="3" borderId="7" xfId="0" applyFont="1" applyFill="1" applyBorder="1" applyProtection="1"/>
    <xf numFmtId="0" fontId="2" fillId="3" borderId="1" xfId="0" applyFont="1" applyFill="1" applyBorder="1" applyAlignment="1" applyProtection="1">
      <alignment horizontal="center"/>
    </xf>
    <xf numFmtId="0" fontId="2" fillId="3" borderId="7" xfId="0" applyFont="1" applyFill="1" applyBorder="1" applyAlignment="1" applyProtection="1">
      <alignment horizontal="center"/>
    </xf>
    <xf numFmtId="0" fontId="2" fillId="3" borderId="4" xfId="0" applyFont="1" applyFill="1" applyBorder="1" applyAlignment="1" applyProtection="1">
      <alignment horizontal="center"/>
    </xf>
    <xf numFmtId="0" fontId="3" fillId="2" borderId="0" xfId="0" applyFont="1" applyFill="1" applyProtection="1"/>
    <xf numFmtId="0" fontId="2" fillId="3" borderId="2" xfId="0" applyFont="1" applyFill="1" applyBorder="1" applyProtection="1"/>
    <xf numFmtId="0" fontId="2" fillId="3" borderId="12" xfId="0" applyFont="1" applyFill="1" applyBorder="1" applyAlignment="1" applyProtection="1">
      <alignment horizontal="center"/>
    </xf>
    <xf numFmtId="0" fontId="2" fillId="3" borderId="13" xfId="0" applyFont="1" applyFill="1" applyBorder="1" applyAlignment="1" applyProtection="1">
      <alignment horizontal="center"/>
    </xf>
    <xf numFmtId="0" fontId="2" fillId="3" borderId="12" xfId="0" applyFont="1" applyFill="1" applyBorder="1" applyProtection="1"/>
    <xf numFmtId="0" fontId="2" fillId="3" borderId="13" xfId="0" applyFont="1" applyFill="1" applyBorder="1" applyProtection="1"/>
    <xf numFmtId="165" fontId="3" fillId="0" borderId="8" xfId="0" applyNumberFormat="1" applyFont="1" applyFill="1" applyBorder="1" applyProtection="1"/>
    <xf numFmtId="165" fontId="3" fillId="0" borderId="0" xfId="0" applyNumberFormat="1" applyFont="1" applyFill="1" applyBorder="1" applyProtection="1"/>
    <xf numFmtId="0" fontId="3" fillId="0" borderId="5" xfId="0" applyFont="1" applyFill="1" applyBorder="1" applyAlignment="1" applyProtection="1">
      <alignment horizontal="center"/>
    </xf>
    <xf numFmtId="0" fontId="3" fillId="0" borderId="0" xfId="0" applyFont="1" applyFill="1" applyBorder="1" applyAlignment="1" applyProtection="1">
      <alignment horizontal="center"/>
    </xf>
    <xf numFmtId="0" fontId="3" fillId="0" borderId="2" xfId="0" applyFont="1" applyFill="1" applyBorder="1" applyProtection="1"/>
    <xf numFmtId="2" fontId="3" fillId="0" borderId="12" xfId="0" applyNumberFormat="1" applyFont="1" applyFill="1" applyBorder="1" applyAlignment="1" applyProtection="1">
      <alignment horizontal="center"/>
    </xf>
    <xf numFmtId="2" fontId="3" fillId="0" borderId="14" xfId="0" applyNumberFormat="1" applyFont="1" applyFill="1" applyBorder="1" applyAlignment="1" applyProtection="1">
      <alignment horizontal="center"/>
    </xf>
    <xf numFmtId="166" fontId="3" fillId="0" borderId="14" xfId="0" applyNumberFormat="1" applyFont="1" applyFill="1" applyBorder="1" applyAlignment="1" applyProtection="1">
      <alignment horizontal="center"/>
    </xf>
    <xf numFmtId="0" fontId="3" fillId="0" borderId="5" xfId="0" applyFont="1" applyFill="1" applyBorder="1" applyProtection="1"/>
    <xf numFmtId="2" fontId="3" fillId="0" borderId="8" xfId="0" applyNumberFormat="1" applyFont="1" applyFill="1" applyBorder="1" applyAlignment="1" applyProtection="1">
      <alignment horizontal="center"/>
    </xf>
    <xf numFmtId="2" fontId="3" fillId="0" borderId="15" xfId="0" applyNumberFormat="1" applyFont="1" applyFill="1" applyBorder="1" applyAlignment="1" applyProtection="1">
      <alignment horizontal="center"/>
    </xf>
    <xf numFmtId="166" fontId="3" fillId="0" borderId="15" xfId="0" applyNumberFormat="1" applyFont="1" applyFill="1" applyBorder="1" applyAlignment="1" applyProtection="1">
      <alignment horizontal="center"/>
    </xf>
    <xf numFmtId="0" fontId="3" fillId="0" borderId="3" xfId="0" applyFont="1" applyFill="1" applyBorder="1" applyAlignment="1" applyProtection="1">
      <alignment horizontal="center"/>
    </xf>
    <xf numFmtId="0" fontId="3" fillId="0" borderId="3" xfId="0" applyFont="1" applyFill="1" applyBorder="1" applyProtection="1"/>
    <xf numFmtId="2" fontId="3" fillId="0" borderId="9" xfId="0" applyNumberFormat="1" applyFont="1" applyFill="1" applyBorder="1" applyAlignment="1" applyProtection="1">
      <alignment horizontal="center"/>
    </xf>
    <xf numFmtId="2" fontId="3" fillId="0" borderId="11" xfId="0" applyNumberFormat="1" applyFont="1" applyFill="1" applyBorder="1" applyAlignment="1" applyProtection="1">
      <alignment horizontal="center"/>
    </xf>
    <xf numFmtId="166" fontId="3" fillId="0" borderId="11" xfId="0" applyNumberFormat="1" applyFont="1" applyFill="1" applyBorder="1" applyAlignment="1" applyProtection="1">
      <alignment horizontal="center"/>
    </xf>
    <xf numFmtId="2" fontId="3" fillId="0" borderId="0" xfId="0" applyNumberFormat="1" applyFont="1" applyFill="1" applyBorder="1" applyAlignment="1" applyProtection="1">
      <alignment horizontal="center"/>
    </xf>
    <xf numFmtId="2" fontId="3" fillId="0" borderId="10" xfId="0" applyNumberFormat="1" applyFont="1" applyFill="1" applyBorder="1" applyAlignment="1" applyProtection="1">
      <alignment horizontal="center"/>
    </xf>
    <xf numFmtId="0" fontId="2" fillId="7" borderId="7" xfId="0" applyFont="1" applyFill="1" applyBorder="1" applyAlignment="1" applyProtection="1">
      <alignment horizontal="center" vertical="center"/>
      <protection locked="0"/>
    </xf>
    <xf numFmtId="0" fontId="2" fillId="3" borderId="12" xfId="0" applyFont="1" applyFill="1" applyBorder="1"/>
    <xf numFmtId="0" fontId="2" fillId="3" borderId="13" xfId="0" applyFont="1" applyFill="1" applyBorder="1"/>
    <xf numFmtId="0" fontId="3" fillId="0" borderId="13" xfId="0" applyFont="1" applyFill="1" applyBorder="1" applyAlignment="1">
      <alignment horizontal="center"/>
    </xf>
    <xf numFmtId="0" fontId="3" fillId="0" borderId="10" xfId="0" applyFont="1" applyFill="1" applyBorder="1" applyAlignment="1">
      <alignment horizontal="center"/>
    </xf>
    <xf numFmtId="0" fontId="1" fillId="8" borderId="5" xfId="0" applyFont="1" applyFill="1" applyBorder="1" applyAlignment="1">
      <alignment horizontal="center"/>
    </xf>
    <xf numFmtId="0" fontId="1" fillId="8" borderId="3" xfId="0" applyFont="1" applyFill="1" applyBorder="1" applyAlignment="1">
      <alignment horizontal="center"/>
    </xf>
    <xf numFmtId="0" fontId="1" fillId="8" borderId="12" xfId="0" applyFont="1" applyFill="1" applyBorder="1"/>
    <xf numFmtId="0" fontId="1" fillId="8" borderId="8" xfId="0" applyFont="1" applyFill="1" applyBorder="1"/>
    <xf numFmtId="0" fontId="1" fillId="8" borderId="9" xfId="0" applyFont="1" applyFill="1" applyBorder="1"/>
    <xf numFmtId="0" fontId="2" fillId="3" borderId="9" xfId="0" applyFont="1" applyFill="1" applyBorder="1" applyAlignment="1" applyProtection="1">
      <alignment horizontal="center" vertical="center"/>
      <protection locked="0"/>
    </xf>
    <xf numFmtId="0" fontId="2" fillId="3" borderId="10" xfId="0"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7" fillId="0" borderId="2" xfId="0" applyFont="1" applyFill="1" applyBorder="1" applyProtection="1">
      <protection locked="0"/>
    </xf>
    <xf numFmtId="0" fontId="7" fillId="0" borderId="5" xfId="0" applyFont="1" applyFill="1" applyBorder="1" applyProtection="1">
      <protection locked="0"/>
    </xf>
    <xf numFmtId="0" fontId="7" fillId="0" borderId="3" xfId="0" applyFont="1" applyFill="1" applyBorder="1" applyProtection="1">
      <protection locked="0"/>
    </xf>
    <xf numFmtId="0" fontId="7" fillId="0" borderId="12" xfId="0" applyFont="1" applyFill="1" applyBorder="1" applyAlignment="1" applyProtection="1">
      <alignment vertical="center"/>
      <protection locked="0"/>
    </xf>
    <xf numFmtId="0" fontId="7" fillId="0" borderId="13" xfId="0" applyFont="1" applyFill="1" applyBorder="1" applyProtection="1">
      <protection locked="0"/>
    </xf>
    <xf numFmtId="0" fontId="7" fillId="0" borderId="14" xfId="0" applyFont="1" applyFill="1" applyBorder="1" applyAlignment="1" applyProtection="1">
      <alignment horizontal="center"/>
      <protection locked="0"/>
    </xf>
    <xf numFmtId="166" fontId="7" fillId="0" borderId="14" xfId="0" applyNumberFormat="1" applyFont="1" applyFill="1" applyBorder="1" applyAlignment="1" applyProtection="1">
      <alignment horizontal="center" vertical="center"/>
    </xf>
    <xf numFmtId="0" fontId="7" fillId="0" borderId="13" xfId="0" applyFont="1" applyFill="1" applyBorder="1" applyAlignment="1" applyProtection="1">
      <alignment vertical="center"/>
      <protection locked="0"/>
    </xf>
    <xf numFmtId="0" fontId="7" fillId="0" borderId="14" xfId="0" applyFont="1" applyFill="1" applyBorder="1" applyAlignment="1" applyProtection="1">
      <alignment horizontal="center" vertical="center"/>
      <protection locked="0"/>
    </xf>
    <xf numFmtId="0" fontId="7" fillId="0" borderId="10" xfId="0" applyFont="1" applyFill="1" applyBorder="1" applyAlignment="1" applyProtection="1">
      <alignment vertical="center"/>
      <protection locked="0"/>
    </xf>
    <xf numFmtId="0" fontId="7" fillId="0" borderId="11" xfId="0" applyFont="1" applyFill="1" applyBorder="1" applyAlignment="1" applyProtection="1">
      <alignment horizontal="center" vertical="center"/>
      <protection locked="0"/>
    </xf>
    <xf numFmtId="0" fontId="7" fillId="0" borderId="2" xfId="0" applyFont="1" applyFill="1" applyBorder="1" applyAlignment="1" applyProtection="1">
      <alignment vertical="center"/>
      <protection locked="0"/>
    </xf>
    <xf numFmtId="0" fontId="7" fillId="0" borderId="5" xfId="0" applyFont="1" applyFill="1" applyBorder="1" applyAlignment="1" applyProtection="1">
      <alignment vertical="center"/>
      <protection locked="0"/>
    </xf>
    <xf numFmtId="0" fontId="7" fillId="0" borderId="3" xfId="0" applyFont="1" applyFill="1" applyBorder="1" applyAlignment="1" applyProtection="1">
      <alignment vertical="center"/>
      <protection locked="0"/>
    </xf>
    <xf numFmtId="0" fontId="40" fillId="8" borderId="2" xfId="0" applyFont="1" applyFill="1" applyBorder="1" applyAlignment="1">
      <alignment horizontal="center"/>
    </xf>
  </cellXfs>
  <cellStyles count="64054">
    <cellStyle name="20% - Accent1 2" xfId="7" xr:uid="{00000000-0005-0000-0000-000000000000}"/>
    <cellStyle name="20% - Accent1 3" xfId="8" xr:uid="{00000000-0005-0000-0000-000001000000}"/>
    <cellStyle name="20% - Accent1 4" xfId="9" xr:uid="{00000000-0005-0000-0000-000002000000}"/>
    <cellStyle name="20% - Accent2 2" xfId="10" xr:uid="{00000000-0005-0000-0000-000003000000}"/>
    <cellStyle name="20% - Accent2 3" xfId="11" xr:uid="{00000000-0005-0000-0000-000004000000}"/>
    <cellStyle name="20% - Accent2 4" xfId="12" xr:uid="{00000000-0005-0000-0000-000005000000}"/>
    <cellStyle name="20% - Accent3 2" xfId="13" xr:uid="{00000000-0005-0000-0000-000006000000}"/>
    <cellStyle name="20% - Accent3 3" xfId="14" xr:uid="{00000000-0005-0000-0000-000007000000}"/>
    <cellStyle name="20% - Accent3 4" xfId="15" xr:uid="{00000000-0005-0000-0000-000008000000}"/>
    <cellStyle name="20% - Accent4 2" xfId="16" xr:uid="{00000000-0005-0000-0000-000009000000}"/>
    <cellStyle name="20% - Accent4 3" xfId="17" xr:uid="{00000000-0005-0000-0000-00000A000000}"/>
    <cellStyle name="20% - Accent4 4" xfId="18" xr:uid="{00000000-0005-0000-0000-00000B000000}"/>
    <cellStyle name="20% - Accent5 2" xfId="19" xr:uid="{00000000-0005-0000-0000-00000C000000}"/>
    <cellStyle name="20% - Accent5 3" xfId="20" xr:uid="{00000000-0005-0000-0000-00000D000000}"/>
    <cellStyle name="20% - Accent5 4" xfId="21" xr:uid="{00000000-0005-0000-0000-00000E000000}"/>
    <cellStyle name="20% - Accent6 2" xfId="22" xr:uid="{00000000-0005-0000-0000-00000F000000}"/>
    <cellStyle name="20% - Accent6 3" xfId="23" xr:uid="{00000000-0005-0000-0000-000010000000}"/>
    <cellStyle name="20% - Accent6 4" xfId="24" xr:uid="{00000000-0005-0000-0000-000011000000}"/>
    <cellStyle name="40% - Accent1 2" xfId="25" xr:uid="{00000000-0005-0000-0000-000012000000}"/>
    <cellStyle name="40% - Accent1 3" xfId="26" xr:uid="{00000000-0005-0000-0000-000013000000}"/>
    <cellStyle name="40% - Accent1 4" xfId="27" xr:uid="{00000000-0005-0000-0000-000014000000}"/>
    <cellStyle name="40% - Accent2 2" xfId="28" xr:uid="{00000000-0005-0000-0000-000015000000}"/>
    <cellStyle name="40% - Accent2 3" xfId="29" xr:uid="{00000000-0005-0000-0000-000016000000}"/>
    <cellStyle name="40% - Accent2 4" xfId="30" xr:uid="{00000000-0005-0000-0000-000017000000}"/>
    <cellStyle name="40% - Accent3 2" xfId="31" xr:uid="{00000000-0005-0000-0000-000018000000}"/>
    <cellStyle name="40% - Accent3 3" xfId="32" xr:uid="{00000000-0005-0000-0000-000019000000}"/>
    <cellStyle name="40% - Accent3 4" xfId="33" xr:uid="{00000000-0005-0000-0000-00001A000000}"/>
    <cellStyle name="40% - Accent4 2" xfId="34" xr:uid="{00000000-0005-0000-0000-00001B000000}"/>
    <cellStyle name="40% - Accent4 3" xfId="35" xr:uid="{00000000-0005-0000-0000-00001C000000}"/>
    <cellStyle name="40% - Accent4 4" xfId="36" xr:uid="{00000000-0005-0000-0000-00001D000000}"/>
    <cellStyle name="40% - Accent5 2" xfId="37" xr:uid="{00000000-0005-0000-0000-00001E000000}"/>
    <cellStyle name="40% - Accent5 3" xfId="38" xr:uid="{00000000-0005-0000-0000-00001F000000}"/>
    <cellStyle name="40% - Accent5 4" xfId="39" xr:uid="{00000000-0005-0000-0000-000020000000}"/>
    <cellStyle name="40% - Accent6 2" xfId="40" xr:uid="{00000000-0005-0000-0000-000021000000}"/>
    <cellStyle name="40% - Accent6 3" xfId="41" xr:uid="{00000000-0005-0000-0000-000022000000}"/>
    <cellStyle name="40% - Accent6 4" xfId="42" xr:uid="{00000000-0005-0000-0000-000023000000}"/>
    <cellStyle name="60% - Accent1 2" xfId="43" xr:uid="{00000000-0005-0000-0000-000024000000}"/>
    <cellStyle name="60% - Accent1 3" xfId="44" xr:uid="{00000000-0005-0000-0000-000025000000}"/>
    <cellStyle name="60% - Accent1 4" xfId="45" xr:uid="{00000000-0005-0000-0000-000026000000}"/>
    <cellStyle name="60% - Accent2 2" xfId="46" xr:uid="{00000000-0005-0000-0000-000027000000}"/>
    <cellStyle name="60% - Accent2 3" xfId="47" xr:uid="{00000000-0005-0000-0000-000028000000}"/>
    <cellStyle name="60% - Accent2 4" xfId="48" xr:uid="{00000000-0005-0000-0000-000029000000}"/>
    <cellStyle name="60% - Accent3 2" xfId="49" xr:uid="{00000000-0005-0000-0000-00002A000000}"/>
    <cellStyle name="60% - Accent3 3" xfId="50" xr:uid="{00000000-0005-0000-0000-00002B000000}"/>
    <cellStyle name="60% - Accent3 4" xfId="51" xr:uid="{00000000-0005-0000-0000-00002C000000}"/>
    <cellStyle name="60% - Accent4 2" xfId="52" xr:uid="{00000000-0005-0000-0000-00002D000000}"/>
    <cellStyle name="60% - Accent4 3" xfId="53" xr:uid="{00000000-0005-0000-0000-00002E000000}"/>
    <cellStyle name="60% - Accent4 4" xfId="54" xr:uid="{00000000-0005-0000-0000-00002F000000}"/>
    <cellStyle name="60% - Accent5 2" xfId="55" xr:uid="{00000000-0005-0000-0000-000030000000}"/>
    <cellStyle name="60% - Accent5 3" xfId="56" xr:uid="{00000000-0005-0000-0000-000031000000}"/>
    <cellStyle name="60% - Accent5 4" xfId="57" xr:uid="{00000000-0005-0000-0000-000032000000}"/>
    <cellStyle name="60% - Accent6 2" xfId="58" xr:uid="{00000000-0005-0000-0000-000033000000}"/>
    <cellStyle name="60% - Accent6 3" xfId="59" xr:uid="{00000000-0005-0000-0000-000034000000}"/>
    <cellStyle name="60% - Accent6 4" xfId="60" xr:uid="{00000000-0005-0000-0000-000035000000}"/>
    <cellStyle name="Accent1 2" xfId="61" xr:uid="{00000000-0005-0000-0000-000036000000}"/>
    <cellStyle name="Accent1 3" xfId="62" xr:uid="{00000000-0005-0000-0000-000037000000}"/>
    <cellStyle name="Accent1 4" xfId="63" xr:uid="{00000000-0005-0000-0000-000038000000}"/>
    <cellStyle name="Accent2 2" xfId="64" xr:uid="{00000000-0005-0000-0000-000039000000}"/>
    <cellStyle name="Accent2 3" xfId="65" xr:uid="{00000000-0005-0000-0000-00003A000000}"/>
    <cellStyle name="Accent2 4" xfId="66" xr:uid="{00000000-0005-0000-0000-00003B000000}"/>
    <cellStyle name="Accent3 2" xfId="67" xr:uid="{00000000-0005-0000-0000-00003C000000}"/>
    <cellStyle name="Accent3 3" xfId="68" xr:uid="{00000000-0005-0000-0000-00003D000000}"/>
    <cellStyle name="Accent3 4" xfId="69" xr:uid="{00000000-0005-0000-0000-00003E000000}"/>
    <cellStyle name="Accent4 2" xfId="70" xr:uid="{00000000-0005-0000-0000-00003F000000}"/>
    <cellStyle name="Accent4 3" xfId="71" xr:uid="{00000000-0005-0000-0000-000040000000}"/>
    <cellStyle name="Accent4 4" xfId="72" xr:uid="{00000000-0005-0000-0000-000041000000}"/>
    <cellStyle name="Accent5 2" xfId="73" xr:uid="{00000000-0005-0000-0000-000042000000}"/>
    <cellStyle name="Accent5 3" xfId="74" xr:uid="{00000000-0005-0000-0000-000043000000}"/>
    <cellStyle name="Accent5 4" xfId="75" xr:uid="{00000000-0005-0000-0000-000044000000}"/>
    <cellStyle name="Accent6 2" xfId="76" xr:uid="{00000000-0005-0000-0000-000045000000}"/>
    <cellStyle name="Accent6 3" xfId="77" xr:uid="{00000000-0005-0000-0000-000046000000}"/>
    <cellStyle name="Accent6 4" xfId="78" xr:uid="{00000000-0005-0000-0000-000047000000}"/>
    <cellStyle name="Bad 2" xfId="79" xr:uid="{00000000-0005-0000-0000-000048000000}"/>
    <cellStyle name="Bad 3" xfId="80" xr:uid="{00000000-0005-0000-0000-000049000000}"/>
    <cellStyle name="Bad 4" xfId="81" xr:uid="{00000000-0005-0000-0000-00004A000000}"/>
    <cellStyle name="Calculation 2" xfId="82" xr:uid="{00000000-0005-0000-0000-00004B000000}"/>
    <cellStyle name="Calculation 2 2" xfId="222" xr:uid="{00000000-0005-0000-0000-00004C000000}"/>
    <cellStyle name="Calculation 3" xfId="83" xr:uid="{00000000-0005-0000-0000-00004D000000}"/>
    <cellStyle name="Calculation 3 2" xfId="223" xr:uid="{00000000-0005-0000-0000-00004E000000}"/>
    <cellStyle name="Calculation 4" xfId="84" xr:uid="{00000000-0005-0000-0000-00004F000000}"/>
    <cellStyle name="Check Cell 2" xfId="85" xr:uid="{00000000-0005-0000-0000-000050000000}"/>
    <cellStyle name="Check Cell 3" xfId="86" xr:uid="{00000000-0005-0000-0000-000051000000}"/>
    <cellStyle name="Check Cell 4" xfId="87" xr:uid="{00000000-0005-0000-0000-000052000000}"/>
    <cellStyle name="Currency 2" xfId="88" xr:uid="{00000000-0005-0000-0000-000053000000}"/>
    <cellStyle name="Currency 2 2" xfId="89" xr:uid="{00000000-0005-0000-0000-000054000000}"/>
    <cellStyle name="Currency 2 2 2" xfId="210" xr:uid="{00000000-0005-0000-0000-000055000000}"/>
    <cellStyle name="Currency 2 2 2 2" xfId="310" xr:uid="{00000000-0005-0000-0000-000056000000}"/>
    <cellStyle name="Currency 2 2 3" xfId="202" xr:uid="{00000000-0005-0000-0000-000057000000}"/>
    <cellStyle name="Currency 2 2 3 2" xfId="306" xr:uid="{00000000-0005-0000-0000-000058000000}"/>
    <cellStyle name="Currency 2 2 4" xfId="225" xr:uid="{00000000-0005-0000-0000-000059000000}"/>
    <cellStyle name="Currency 2 2 4 2" xfId="314" xr:uid="{00000000-0005-0000-0000-00005A000000}"/>
    <cellStyle name="Currency 2 2 5" xfId="242" xr:uid="{00000000-0005-0000-0000-00005B000000}"/>
    <cellStyle name="Currency 2 3" xfId="209" xr:uid="{00000000-0005-0000-0000-00005C000000}"/>
    <cellStyle name="Currency 2 3 2" xfId="309" xr:uid="{00000000-0005-0000-0000-00005D000000}"/>
    <cellStyle name="Currency 2 4" xfId="201" xr:uid="{00000000-0005-0000-0000-00005E000000}"/>
    <cellStyle name="Currency 2 4 2" xfId="305" xr:uid="{00000000-0005-0000-0000-00005F000000}"/>
    <cellStyle name="Currency 2 5" xfId="224" xr:uid="{00000000-0005-0000-0000-000060000000}"/>
    <cellStyle name="Currency 2 5 2" xfId="313" xr:uid="{00000000-0005-0000-0000-000061000000}"/>
    <cellStyle name="Currency 2 6" xfId="241" xr:uid="{00000000-0005-0000-0000-000062000000}"/>
    <cellStyle name="Currency 3" xfId="90" xr:uid="{00000000-0005-0000-0000-000063000000}"/>
    <cellStyle name="Currency 3 2" xfId="91" xr:uid="{00000000-0005-0000-0000-000064000000}"/>
    <cellStyle name="Currency 3 2 2" xfId="212" xr:uid="{00000000-0005-0000-0000-000065000000}"/>
    <cellStyle name="Currency 3 2 2 2" xfId="312" xr:uid="{00000000-0005-0000-0000-000066000000}"/>
    <cellStyle name="Currency 3 2 3" xfId="204" xr:uid="{00000000-0005-0000-0000-000067000000}"/>
    <cellStyle name="Currency 3 2 3 2" xfId="308" xr:uid="{00000000-0005-0000-0000-000068000000}"/>
    <cellStyle name="Currency 3 2 4" xfId="227" xr:uid="{00000000-0005-0000-0000-000069000000}"/>
    <cellStyle name="Currency 3 2 4 2" xfId="316" xr:uid="{00000000-0005-0000-0000-00006A000000}"/>
    <cellStyle name="Currency 3 2 5" xfId="244" xr:uid="{00000000-0005-0000-0000-00006B000000}"/>
    <cellStyle name="Currency 3 3" xfId="211" xr:uid="{00000000-0005-0000-0000-00006C000000}"/>
    <cellStyle name="Currency 3 3 2" xfId="311" xr:uid="{00000000-0005-0000-0000-00006D000000}"/>
    <cellStyle name="Currency 3 4" xfId="203" xr:uid="{00000000-0005-0000-0000-00006E000000}"/>
    <cellStyle name="Currency 3 4 2" xfId="307" xr:uid="{00000000-0005-0000-0000-00006F000000}"/>
    <cellStyle name="Currency 3 5" xfId="226" xr:uid="{00000000-0005-0000-0000-000070000000}"/>
    <cellStyle name="Currency 3 5 2" xfId="315" xr:uid="{00000000-0005-0000-0000-000071000000}"/>
    <cellStyle name="Currency 3 6" xfId="243" xr:uid="{00000000-0005-0000-0000-000072000000}"/>
    <cellStyle name="Explanatory Text 2" xfId="92" xr:uid="{00000000-0005-0000-0000-000073000000}"/>
    <cellStyle name="Explanatory Text 3" xfId="93" xr:uid="{00000000-0005-0000-0000-000074000000}"/>
    <cellStyle name="Explanatory Text 4" xfId="94" xr:uid="{00000000-0005-0000-0000-000075000000}"/>
    <cellStyle name="Good 2" xfId="95" xr:uid="{00000000-0005-0000-0000-000076000000}"/>
    <cellStyle name="Good 3" xfId="96" xr:uid="{00000000-0005-0000-0000-000077000000}"/>
    <cellStyle name="Good 4" xfId="97" xr:uid="{00000000-0005-0000-0000-000078000000}"/>
    <cellStyle name="Heading 1 2" xfId="98" xr:uid="{00000000-0005-0000-0000-000079000000}"/>
    <cellStyle name="Heading 1 3" xfId="99" xr:uid="{00000000-0005-0000-0000-00007A000000}"/>
    <cellStyle name="Heading 1 4" xfId="100" xr:uid="{00000000-0005-0000-0000-00007B000000}"/>
    <cellStyle name="Heading 2 2" xfId="101" xr:uid="{00000000-0005-0000-0000-00007C000000}"/>
    <cellStyle name="Heading 2 3" xfId="102" xr:uid="{00000000-0005-0000-0000-00007D000000}"/>
    <cellStyle name="Heading 2 4" xfId="103" xr:uid="{00000000-0005-0000-0000-00007E000000}"/>
    <cellStyle name="Heading 3 2" xfId="104" xr:uid="{00000000-0005-0000-0000-00007F000000}"/>
    <cellStyle name="Heading 3 3" xfId="105" xr:uid="{00000000-0005-0000-0000-000080000000}"/>
    <cellStyle name="Heading 3 4" xfId="106" xr:uid="{00000000-0005-0000-0000-000081000000}"/>
    <cellStyle name="Heading 4 2" xfId="107" xr:uid="{00000000-0005-0000-0000-000082000000}"/>
    <cellStyle name="Heading 4 3" xfId="108" xr:uid="{00000000-0005-0000-0000-000083000000}"/>
    <cellStyle name="Heading 4 4" xfId="109" xr:uid="{00000000-0005-0000-0000-000084000000}"/>
    <cellStyle name="Hyperlink 2" xfId="205" xr:uid="{00000000-0005-0000-0000-000085000000}"/>
    <cellStyle name="Hyperlink 2 2" xfId="219" xr:uid="{00000000-0005-0000-0000-000086000000}"/>
    <cellStyle name="Hyperlink 2 2 2" xfId="16089" xr:uid="{00000000-0005-0000-0000-000087000000}"/>
    <cellStyle name="Hyperlink 3" xfId="220" xr:uid="{00000000-0005-0000-0000-000088000000}"/>
    <cellStyle name="Hyperlink 3 2" xfId="327" xr:uid="{00000000-0005-0000-0000-000089000000}"/>
    <cellStyle name="Input 2" xfId="110" xr:uid="{00000000-0005-0000-0000-00008A000000}"/>
    <cellStyle name="Input 2 2" xfId="228" xr:uid="{00000000-0005-0000-0000-00008B000000}"/>
    <cellStyle name="Input 3" xfId="111" xr:uid="{00000000-0005-0000-0000-00008C000000}"/>
    <cellStyle name="Input 3 2" xfId="229" xr:uid="{00000000-0005-0000-0000-00008D000000}"/>
    <cellStyle name="Input 4" xfId="112" xr:uid="{00000000-0005-0000-0000-00008E000000}"/>
    <cellStyle name="Linked Cell 2" xfId="113" xr:uid="{00000000-0005-0000-0000-00008F000000}"/>
    <cellStyle name="Linked Cell 3" xfId="114" xr:uid="{00000000-0005-0000-0000-000090000000}"/>
    <cellStyle name="Linked Cell 4" xfId="115" xr:uid="{00000000-0005-0000-0000-000091000000}"/>
    <cellStyle name="Neutral 2" xfId="116" xr:uid="{00000000-0005-0000-0000-000092000000}"/>
    <cellStyle name="Neutral 3" xfId="117" xr:uid="{00000000-0005-0000-0000-000093000000}"/>
    <cellStyle name="Neutral 4" xfId="118" xr:uid="{00000000-0005-0000-0000-000094000000}"/>
    <cellStyle name="Normal" xfId="0" builtinId="0"/>
    <cellStyle name="Normal 10" xfId="119" xr:uid="{00000000-0005-0000-0000-000096000000}"/>
    <cellStyle name="Normal 10 2" xfId="120" xr:uid="{00000000-0005-0000-0000-000097000000}"/>
    <cellStyle name="Normal 10 2 2" xfId="246" xr:uid="{00000000-0005-0000-0000-000098000000}"/>
    <cellStyle name="Normal 10 2 3" xfId="32173" xr:uid="{00000000-0005-0000-0000-000099000000}"/>
    <cellStyle name="Normal 10 2 3 2" xfId="64044" xr:uid="{00000000-0005-0000-0000-00009A000000}"/>
    <cellStyle name="Normal 10 3" xfId="245" xr:uid="{00000000-0005-0000-0000-00009B000000}"/>
    <cellStyle name="Normal 10 4" xfId="328" xr:uid="{00000000-0005-0000-0000-00009C000000}"/>
    <cellStyle name="Normal 10 4 2" xfId="32207" xr:uid="{00000000-0005-0000-0000-00009D000000}"/>
    <cellStyle name="Normal 11" xfId="121" xr:uid="{00000000-0005-0000-0000-00009E000000}"/>
    <cellStyle name="Normal 11 2" xfId="122" xr:uid="{00000000-0005-0000-0000-00009F000000}"/>
    <cellStyle name="Normal 11 2 2" xfId="248" xr:uid="{00000000-0005-0000-0000-0000A0000000}"/>
    <cellStyle name="Normal 11 3" xfId="247" xr:uid="{00000000-0005-0000-0000-0000A1000000}"/>
    <cellStyle name="Normal 11 4" xfId="16416" xr:uid="{00000000-0005-0000-0000-0000A2000000}"/>
    <cellStyle name="Normal 11 4 2" xfId="48287" xr:uid="{00000000-0005-0000-0000-0000A3000000}"/>
    <cellStyle name="Normal 12" xfId="123" xr:uid="{00000000-0005-0000-0000-0000A4000000}"/>
    <cellStyle name="Normal 12 2" xfId="124" xr:uid="{00000000-0005-0000-0000-0000A5000000}"/>
    <cellStyle name="Normal 12 2 2" xfId="250" xr:uid="{00000000-0005-0000-0000-0000A6000000}"/>
    <cellStyle name="Normal 12 3" xfId="249" xr:uid="{00000000-0005-0000-0000-0000A7000000}"/>
    <cellStyle name="Normal 13" xfId="125" xr:uid="{00000000-0005-0000-0000-0000A8000000}"/>
    <cellStyle name="Normal 13 2" xfId="126" xr:uid="{00000000-0005-0000-0000-0000A9000000}"/>
    <cellStyle name="Normal 13 2 2" xfId="252" xr:uid="{00000000-0005-0000-0000-0000AA000000}"/>
    <cellStyle name="Normal 13 3" xfId="251" xr:uid="{00000000-0005-0000-0000-0000AB000000}"/>
    <cellStyle name="Normal 14" xfId="127" xr:uid="{00000000-0005-0000-0000-0000AC000000}"/>
    <cellStyle name="Normal 14 2" xfId="128" xr:uid="{00000000-0005-0000-0000-0000AD000000}"/>
    <cellStyle name="Normal 14 2 2" xfId="254" xr:uid="{00000000-0005-0000-0000-0000AE000000}"/>
    <cellStyle name="Normal 14 3" xfId="253" xr:uid="{00000000-0005-0000-0000-0000AF000000}"/>
    <cellStyle name="Normal 15" xfId="129" xr:uid="{00000000-0005-0000-0000-0000B0000000}"/>
    <cellStyle name="Normal 15 2" xfId="130" xr:uid="{00000000-0005-0000-0000-0000B1000000}"/>
    <cellStyle name="Normal 15 2 2" xfId="256" xr:uid="{00000000-0005-0000-0000-0000B2000000}"/>
    <cellStyle name="Normal 15 3" xfId="255" xr:uid="{00000000-0005-0000-0000-0000B3000000}"/>
    <cellStyle name="Normal 16" xfId="131" xr:uid="{00000000-0005-0000-0000-0000B4000000}"/>
    <cellStyle name="Normal 16 2" xfId="132" xr:uid="{00000000-0005-0000-0000-0000B5000000}"/>
    <cellStyle name="Normal 16 2 2" xfId="258" xr:uid="{00000000-0005-0000-0000-0000B6000000}"/>
    <cellStyle name="Normal 16 3" xfId="257" xr:uid="{00000000-0005-0000-0000-0000B7000000}"/>
    <cellStyle name="Normal 17" xfId="133" xr:uid="{00000000-0005-0000-0000-0000B8000000}"/>
    <cellStyle name="Normal 17 2" xfId="134" xr:uid="{00000000-0005-0000-0000-0000B9000000}"/>
    <cellStyle name="Normal 17 2 2" xfId="260" xr:uid="{00000000-0005-0000-0000-0000BA000000}"/>
    <cellStyle name="Normal 17 3" xfId="259" xr:uid="{00000000-0005-0000-0000-0000BB000000}"/>
    <cellStyle name="Normal 18" xfId="135" xr:uid="{00000000-0005-0000-0000-0000BC000000}"/>
    <cellStyle name="Normal 18 2" xfId="136" xr:uid="{00000000-0005-0000-0000-0000BD000000}"/>
    <cellStyle name="Normal 18 2 2" xfId="262" xr:uid="{00000000-0005-0000-0000-0000BE000000}"/>
    <cellStyle name="Normal 18 3" xfId="261" xr:uid="{00000000-0005-0000-0000-0000BF000000}"/>
    <cellStyle name="Normal 19" xfId="195" xr:uid="{00000000-0005-0000-0000-0000C0000000}"/>
    <cellStyle name="Normal 19 2" xfId="303" xr:uid="{00000000-0005-0000-0000-0000C1000000}"/>
    <cellStyle name="Normal 2" xfId="137" xr:uid="{00000000-0005-0000-0000-0000C2000000}"/>
    <cellStyle name="Normal 2 2" xfId="138" xr:uid="{00000000-0005-0000-0000-0000C3000000}"/>
    <cellStyle name="Normal 2 2 2" xfId="264" xr:uid="{00000000-0005-0000-0000-0000C4000000}"/>
    <cellStyle name="Normal 2 3" xfId="139" xr:uid="{00000000-0005-0000-0000-0000C5000000}"/>
    <cellStyle name="Normal 2 3 2" xfId="265" xr:uid="{00000000-0005-0000-0000-0000C6000000}"/>
    <cellStyle name="Normal 2 4" xfId="263" xr:uid="{00000000-0005-0000-0000-0000C7000000}"/>
    <cellStyle name="Normal 20" xfId="194" xr:uid="{00000000-0005-0000-0000-0000C8000000}"/>
    <cellStyle name="Normal 20 2" xfId="214" xr:uid="{00000000-0005-0000-0000-0000C9000000}"/>
    <cellStyle name="Normal 20 2 2" xfId="32175" xr:uid="{00000000-0005-0000-0000-0000CA000000}"/>
    <cellStyle name="Normal 20 2 2 2" xfId="64046" xr:uid="{00000000-0005-0000-0000-0000CB000000}"/>
    <cellStyle name="Normal 20 2 3" xfId="32194" xr:uid="{00000000-0005-0000-0000-0000CC000000}"/>
    <cellStyle name="Normal 20 3" xfId="32174" xr:uid="{00000000-0005-0000-0000-0000CD000000}"/>
    <cellStyle name="Normal 20 3 2" xfId="64045" xr:uid="{00000000-0005-0000-0000-0000CE000000}"/>
    <cellStyle name="Normal 20 4" xfId="32185" xr:uid="{00000000-0005-0000-0000-0000CF000000}"/>
    <cellStyle name="Normal 21" xfId="6" xr:uid="{00000000-0005-0000-0000-0000D0000000}"/>
    <cellStyle name="Normal 21 2" xfId="324" xr:uid="{00000000-0005-0000-0000-0000D1000000}"/>
    <cellStyle name="Normal 21 2 2" xfId="32178" xr:uid="{00000000-0005-0000-0000-0000D2000000}"/>
    <cellStyle name="Normal 21 2 2 2" xfId="64049" xr:uid="{00000000-0005-0000-0000-0000D3000000}"/>
    <cellStyle name="Normal 21 2 3" xfId="32204" xr:uid="{00000000-0005-0000-0000-0000D4000000}"/>
    <cellStyle name="Normal 22" xfId="322" xr:uid="{00000000-0005-0000-0000-0000D5000000}"/>
    <cellStyle name="Normal 22 2" xfId="32176" xr:uid="{00000000-0005-0000-0000-0000D6000000}"/>
    <cellStyle name="Normal 22 2 2" xfId="64047" xr:uid="{00000000-0005-0000-0000-0000D7000000}"/>
    <cellStyle name="Normal 22 3" xfId="32202" xr:uid="{00000000-0005-0000-0000-0000D8000000}"/>
    <cellStyle name="Normal 23" xfId="323" xr:uid="{00000000-0005-0000-0000-0000D9000000}"/>
    <cellStyle name="Normal 23 2" xfId="32177" xr:uid="{00000000-0005-0000-0000-0000DA000000}"/>
    <cellStyle name="Normal 23 2 2" xfId="64048" xr:uid="{00000000-0005-0000-0000-0000DB000000}"/>
    <cellStyle name="Normal 23 3" xfId="32203" xr:uid="{00000000-0005-0000-0000-0000DC000000}"/>
    <cellStyle name="Normal 24" xfId="4" xr:uid="{00000000-0005-0000-0000-0000DD000000}"/>
    <cellStyle name="Normal 24 2" xfId="16255" xr:uid="{00000000-0005-0000-0000-0000DE000000}"/>
    <cellStyle name="Normal 24 2 2" xfId="48126" xr:uid="{00000000-0005-0000-0000-0000DF000000}"/>
    <cellStyle name="Normal 24 3" xfId="16097" xr:uid="{00000000-0005-0000-0000-0000E0000000}"/>
    <cellStyle name="Normal 24 3 2" xfId="47968" xr:uid="{00000000-0005-0000-0000-0000E1000000}"/>
    <cellStyle name="Normal 24 4" xfId="32179" xr:uid="{00000000-0005-0000-0000-0000E2000000}"/>
    <cellStyle name="Normal 25" xfId="326" xr:uid="{00000000-0005-0000-0000-0000E3000000}"/>
    <cellStyle name="Normal 25 2" xfId="32206" xr:uid="{00000000-0005-0000-0000-0000E4000000}"/>
    <cellStyle name="Normal 26" xfId="3" xr:uid="{00000000-0005-0000-0000-0000E5000000}"/>
    <cellStyle name="Normal 27" xfId="2" xr:uid="{00000000-0005-0000-0000-0000E6000000}"/>
    <cellStyle name="Normal 28" xfId="64051" xr:uid="{00000000-0005-0000-0000-0000E7000000}"/>
    <cellStyle name="Normal 29" xfId="1" xr:uid="{00000000-0005-0000-0000-0000E8000000}"/>
    <cellStyle name="Normal 3" xfId="140" xr:uid="{00000000-0005-0000-0000-0000E9000000}"/>
    <cellStyle name="Normal 3 10" xfId="330" xr:uid="{00000000-0005-0000-0000-0000EA000000}"/>
    <cellStyle name="Normal 3 10 2" xfId="331" xr:uid="{00000000-0005-0000-0000-0000EB000000}"/>
    <cellStyle name="Normal 3 10 2 2" xfId="332" xr:uid="{00000000-0005-0000-0000-0000EC000000}"/>
    <cellStyle name="Normal 3 10 2 2 2" xfId="333" xr:uid="{00000000-0005-0000-0000-0000ED000000}"/>
    <cellStyle name="Normal 3 10 2 2 2 2" xfId="334" xr:uid="{00000000-0005-0000-0000-0000EE000000}"/>
    <cellStyle name="Normal 3 10 2 2 2 2 2" xfId="335" xr:uid="{00000000-0005-0000-0000-0000EF000000}"/>
    <cellStyle name="Normal 3 10 2 2 2 2 2 2" xfId="28507" xr:uid="{00000000-0005-0000-0000-0000F0000000}"/>
    <cellStyle name="Normal 3 10 2 2 2 2 2 2 2" xfId="60378" xr:uid="{00000000-0005-0000-0000-0000F1000000}"/>
    <cellStyle name="Normal 3 10 2 2 2 2 2 3" xfId="32214" xr:uid="{00000000-0005-0000-0000-0000F2000000}"/>
    <cellStyle name="Normal 3 10 2 2 2 2 3" xfId="20629" xr:uid="{00000000-0005-0000-0000-0000F3000000}"/>
    <cellStyle name="Normal 3 10 2 2 2 2 3 2" xfId="52500" xr:uid="{00000000-0005-0000-0000-0000F4000000}"/>
    <cellStyle name="Normal 3 10 2 2 2 2 4" xfId="32213" xr:uid="{00000000-0005-0000-0000-0000F5000000}"/>
    <cellStyle name="Normal 3 10 2 2 2 3" xfId="336" xr:uid="{00000000-0005-0000-0000-0000F6000000}"/>
    <cellStyle name="Normal 3 10 2 2 2 3 2" xfId="24568" xr:uid="{00000000-0005-0000-0000-0000F7000000}"/>
    <cellStyle name="Normal 3 10 2 2 2 3 2 2" xfId="56439" xr:uid="{00000000-0005-0000-0000-0000F8000000}"/>
    <cellStyle name="Normal 3 10 2 2 2 3 3" xfId="32215" xr:uid="{00000000-0005-0000-0000-0000F9000000}"/>
    <cellStyle name="Normal 3 10 2 2 2 4" xfId="16690" xr:uid="{00000000-0005-0000-0000-0000FA000000}"/>
    <cellStyle name="Normal 3 10 2 2 2 4 2" xfId="48561" xr:uid="{00000000-0005-0000-0000-0000FB000000}"/>
    <cellStyle name="Normal 3 10 2 2 2 5" xfId="32212" xr:uid="{00000000-0005-0000-0000-0000FC000000}"/>
    <cellStyle name="Normal 3 10 2 2 3" xfId="337" xr:uid="{00000000-0005-0000-0000-0000FD000000}"/>
    <cellStyle name="Normal 3 10 2 2 3 2" xfId="338" xr:uid="{00000000-0005-0000-0000-0000FE000000}"/>
    <cellStyle name="Normal 3 10 2 2 3 2 2" xfId="28506" xr:uid="{00000000-0005-0000-0000-0000FF000000}"/>
    <cellStyle name="Normal 3 10 2 2 3 2 2 2" xfId="60377" xr:uid="{00000000-0005-0000-0000-000000010000}"/>
    <cellStyle name="Normal 3 10 2 2 3 2 3" xfId="32217" xr:uid="{00000000-0005-0000-0000-000001010000}"/>
    <cellStyle name="Normal 3 10 2 2 3 3" xfId="20628" xr:uid="{00000000-0005-0000-0000-000002010000}"/>
    <cellStyle name="Normal 3 10 2 2 3 3 2" xfId="52499" xr:uid="{00000000-0005-0000-0000-000003010000}"/>
    <cellStyle name="Normal 3 10 2 2 3 4" xfId="32216" xr:uid="{00000000-0005-0000-0000-000004010000}"/>
    <cellStyle name="Normal 3 10 2 2 4" xfId="339" xr:uid="{00000000-0005-0000-0000-000005010000}"/>
    <cellStyle name="Normal 3 10 2 2 4 2" xfId="24567" xr:uid="{00000000-0005-0000-0000-000006010000}"/>
    <cellStyle name="Normal 3 10 2 2 4 2 2" xfId="56438" xr:uid="{00000000-0005-0000-0000-000007010000}"/>
    <cellStyle name="Normal 3 10 2 2 4 3" xfId="32218" xr:uid="{00000000-0005-0000-0000-000008010000}"/>
    <cellStyle name="Normal 3 10 2 2 5" xfId="16689" xr:uid="{00000000-0005-0000-0000-000009010000}"/>
    <cellStyle name="Normal 3 10 2 2 5 2" xfId="48560" xr:uid="{00000000-0005-0000-0000-00000A010000}"/>
    <cellStyle name="Normal 3 10 2 2 6" xfId="32211" xr:uid="{00000000-0005-0000-0000-00000B010000}"/>
    <cellStyle name="Normal 3 10 2 3" xfId="340" xr:uid="{00000000-0005-0000-0000-00000C010000}"/>
    <cellStyle name="Normal 3 10 2 3 2" xfId="341" xr:uid="{00000000-0005-0000-0000-00000D010000}"/>
    <cellStyle name="Normal 3 10 2 3 2 2" xfId="342" xr:uid="{00000000-0005-0000-0000-00000E010000}"/>
    <cellStyle name="Normal 3 10 2 3 2 2 2" xfId="28508" xr:uid="{00000000-0005-0000-0000-00000F010000}"/>
    <cellStyle name="Normal 3 10 2 3 2 2 2 2" xfId="60379" xr:uid="{00000000-0005-0000-0000-000010010000}"/>
    <cellStyle name="Normal 3 10 2 3 2 2 3" xfId="32221" xr:uid="{00000000-0005-0000-0000-000011010000}"/>
    <cellStyle name="Normal 3 10 2 3 2 3" xfId="20630" xr:uid="{00000000-0005-0000-0000-000012010000}"/>
    <cellStyle name="Normal 3 10 2 3 2 3 2" xfId="52501" xr:uid="{00000000-0005-0000-0000-000013010000}"/>
    <cellStyle name="Normal 3 10 2 3 2 4" xfId="32220" xr:uid="{00000000-0005-0000-0000-000014010000}"/>
    <cellStyle name="Normal 3 10 2 3 3" xfId="343" xr:uid="{00000000-0005-0000-0000-000015010000}"/>
    <cellStyle name="Normal 3 10 2 3 3 2" xfId="24569" xr:uid="{00000000-0005-0000-0000-000016010000}"/>
    <cellStyle name="Normal 3 10 2 3 3 2 2" xfId="56440" xr:uid="{00000000-0005-0000-0000-000017010000}"/>
    <cellStyle name="Normal 3 10 2 3 3 3" xfId="32222" xr:uid="{00000000-0005-0000-0000-000018010000}"/>
    <cellStyle name="Normal 3 10 2 3 4" xfId="16691" xr:uid="{00000000-0005-0000-0000-000019010000}"/>
    <cellStyle name="Normal 3 10 2 3 4 2" xfId="48562" xr:uid="{00000000-0005-0000-0000-00001A010000}"/>
    <cellStyle name="Normal 3 10 2 3 5" xfId="32219" xr:uid="{00000000-0005-0000-0000-00001B010000}"/>
    <cellStyle name="Normal 3 10 2 4" xfId="344" xr:uid="{00000000-0005-0000-0000-00001C010000}"/>
    <cellStyle name="Normal 3 10 2 4 2" xfId="345" xr:uid="{00000000-0005-0000-0000-00001D010000}"/>
    <cellStyle name="Normal 3 10 2 4 2 2" xfId="28505" xr:uid="{00000000-0005-0000-0000-00001E010000}"/>
    <cellStyle name="Normal 3 10 2 4 2 2 2" xfId="60376" xr:uid="{00000000-0005-0000-0000-00001F010000}"/>
    <cellStyle name="Normal 3 10 2 4 2 3" xfId="32224" xr:uid="{00000000-0005-0000-0000-000020010000}"/>
    <cellStyle name="Normal 3 10 2 4 3" xfId="20627" xr:uid="{00000000-0005-0000-0000-000021010000}"/>
    <cellStyle name="Normal 3 10 2 4 3 2" xfId="52498" xr:uid="{00000000-0005-0000-0000-000022010000}"/>
    <cellStyle name="Normal 3 10 2 4 4" xfId="32223" xr:uid="{00000000-0005-0000-0000-000023010000}"/>
    <cellStyle name="Normal 3 10 2 5" xfId="346" xr:uid="{00000000-0005-0000-0000-000024010000}"/>
    <cellStyle name="Normal 3 10 2 5 2" xfId="24566" xr:uid="{00000000-0005-0000-0000-000025010000}"/>
    <cellStyle name="Normal 3 10 2 5 2 2" xfId="56437" xr:uid="{00000000-0005-0000-0000-000026010000}"/>
    <cellStyle name="Normal 3 10 2 5 3" xfId="32225" xr:uid="{00000000-0005-0000-0000-000027010000}"/>
    <cellStyle name="Normal 3 10 2 6" xfId="16688" xr:uid="{00000000-0005-0000-0000-000028010000}"/>
    <cellStyle name="Normal 3 10 2 6 2" xfId="48559" xr:uid="{00000000-0005-0000-0000-000029010000}"/>
    <cellStyle name="Normal 3 10 2 7" xfId="32210" xr:uid="{00000000-0005-0000-0000-00002A010000}"/>
    <cellStyle name="Normal 3 10 3" xfId="347" xr:uid="{00000000-0005-0000-0000-00002B010000}"/>
    <cellStyle name="Normal 3 10 3 2" xfId="348" xr:uid="{00000000-0005-0000-0000-00002C010000}"/>
    <cellStyle name="Normal 3 10 3 2 2" xfId="349" xr:uid="{00000000-0005-0000-0000-00002D010000}"/>
    <cellStyle name="Normal 3 10 3 2 2 2" xfId="350" xr:uid="{00000000-0005-0000-0000-00002E010000}"/>
    <cellStyle name="Normal 3 10 3 2 2 2 2" xfId="28510" xr:uid="{00000000-0005-0000-0000-00002F010000}"/>
    <cellStyle name="Normal 3 10 3 2 2 2 2 2" xfId="60381" xr:uid="{00000000-0005-0000-0000-000030010000}"/>
    <cellStyle name="Normal 3 10 3 2 2 2 3" xfId="32229" xr:uid="{00000000-0005-0000-0000-000031010000}"/>
    <cellStyle name="Normal 3 10 3 2 2 3" xfId="20632" xr:uid="{00000000-0005-0000-0000-000032010000}"/>
    <cellStyle name="Normal 3 10 3 2 2 3 2" xfId="52503" xr:uid="{00000000-0005-0000-0000-000033010000}"/>
    <cellStyle name="Normal 3 10 3 2 2 4" xfId="32228" xr:uid="{00000000-0005-0000-0000-000034010000}"/>
    <cellStyle name="Normal 3 10 3 2 3" xfId="351" xr:uid="{00000000-0005-0000-0000-000035010000}"/>
    <cellStyle name="Normal 3 10 3 2 3 2" xfId="24571" xr:uid="{00000000-0005-0000-0000-000036010000}"/>
    <cellStyle name="Normal 3 10 3 2 3 2 2" xfId="56442" xr:uid="{00000000-0005-0000-0000-000037010000}"/>
    <cellStyle name="Normal 3 10 3 2 3 3" xfId="32230" xr:uid="{00000000-0005-0000-0000-000038010000}"/>
    <cellStyle name="Normal 3 10 3 2 4" xfId="16693" xr:uid="{00000000-0005-0000-0000-000039010000}"/>
    <cellStyle name="Normal 3 10 3 2 4 2" xfId="48564" xr:uid="{00000000-0005-0000-0000-00003A010000}"/>
    <cellStyle name="Normal 3 10 3 2 5" xfId="32227" xr:uid="{00000000-0005-0000-0000-00003B010000}"/>
    <cellStyle name="Normal 3 10 3 3" xfId="352" xr:uid="{00000000-0005-0000-0000-00003C010000}"/>
    <cellStyle name="Normal 3 10 3 3 2" xfId="353" xr:uid="{00000000-0005-0000-0000-00003D010000}"/>
    <cellStyle name="Normal 3 10 3 3 2 2" xfId="28509" xr:uid="{00000000-0005-0000-0000-00003E010000}"/>
    <cellStyle name="Normal 3 10 3 3 2 2 2" xfId="60380" xr:uid="{00000000-0005-0000-0000-00003F010000}"/>
    <cellStyle name="Normal 3 10 3 3 2 3" xfId="32232" xr:uid="{00000000-0005-0000-0000-000040010000}"/>
    <cellStyle name="Normal 3 10 3 3 3" xfId="20631" xr:uid="{00000000-0005-0000-0000-000041010000}"/>
    <cellStyle name="Normal 3 10 3 3 3 2" xfId="52502" xr:uid="{00000000-0005-0000-0000-000042010000}"/>
    <cellStyle name="Normal 3 10 3 3 4" xfId="32231" xr:uid="{00000000-0005-0000-0000-000043010000}"/>
    <cellStyle name="Normal 3 10 3 4" xfId="354" xr:uid="{00000000-0005-0000-0000-000044010000}"/>
    <cellStyle name="Normal 3 10 3 4 2" xfId="24570" xr:uid="{00000000-0005-0000-0000-000045010000}"/>
    <cellStyle name="Normal 3 10 3 4 2 2" xfId="56441" xr:uid="{00000000-0005-0000-0000-000046010000}"/>
    <cellStyle name="Normal 3 10 3 4 3" xfId="32233" xr:uid="{00000000-0005-0000-0000-000047010000}"/>
    <cellStyle name="Normal 3 10 3 5" xfId="16692" xr:uid="{00000000-0005-0000-0000-000048010000}"/>
    <cellStyle name="Normal 3 10 3 5 2" xfId="48563" xr:uid="{00000000-0005-0000-0000-000049010000}"/>
    <cellStyle name="Normal 3 10 3 6" xfId="32226" xr:uid="{00000000-0005-0000-0000-00004A010000}"/>
    <cellStyle name="Normal 3 10 4" xfId="355" xr:uid="{00000000-0005-0000-0000-00004B010000}"/>
    <cellStyle name="Normal 3 10 4 2" xfId="356" xr:uid="{00000000-0005-0000-0000-00004C010000}"/>
    <cellStyle name="Normal 3 10 4 2 2" xfId="357" xr:uid="{00000000-0005-0000-0000-00004D010000}"/>
    <cellStyle name="Normal 3 10 4 2 2 2" xfId="28511" xr:uid="{00000000-0005-0000-0000-00004E010000}"/>
    <cellStyle name="Normal 3 10 4 2 2 2 2" xfId="60382" xr:uid="{00000000-0005-0000-0000-00004F010000}"/>
    <cellStyle name="Normal 3 10 4 2 2 3" xfId="32236" xr:uid="{00000000-0005-0000-0000-000050010000}"/>
    <cellStyle name="Normal 3 10 4 2 3" xfId="20633" xr:uid="{00000000-0005-0000-0000-000051010000}"/>
    <cellStyle name="Normal 3 10 4 2 3 2" xfId="52504" xr:uid="{00000000-0005-0000-0000-000052010000}"/>
    <cellStyle name="Normal 3 10 4 2 4" xfId="32235" xr:uid="{00000000-0005-0000-0000-000053010000}"/>
    <cellStyle name="Normal 3 10 4 3" xfId="358" xr:uid="{00000000-0005-0000-0000-000054010000}"/>
    <cellStyle name="Normal 3 10 4 3 2" xfId="24572" xr:uid="{00000000-0005-0000-0000-000055010000}"/>
    <cellStyle name="Normal 3 10 4 3 2 2" xfId="56443" xr:uid="{00000000-0005-0000-0000-000056010000}"/>
    <cellStyle name="Normal 3 10 4 3 3" xfId="32237" xr:uid="{00000000-0005-0000-0000-000057010000}"/>
    <cellStyle name="Normal 3 10 4 4" xfId="16694" xr:uid="{00000000-0005-0000-0000-000058010000}"/>
    <cellStyle name="Normal 3 10 4 4 2" xfId="48565" xr:uid="{00000000-0005-0000-0000-000059010000}"/>
    <cellStyle name="Normal 3 10 4 5" xfId="32234" xr:uid="{00000000-0005-0000-0000-00005A010000}"/>
    <cellStyle name="Normal 3 10 5" xfId="359" xr:uid="{00000000-0005-0000-0000-00005B010000}"/>
    <cellStyle name="Normal 3 10 5 2" xfId="360" xr:uid="{00000000-0005-0000-0000-00005C010000}"/>
    <cellStyle name="Normal 3 10 5 2 2" xfId="28258" xr:uid="{00000000-0005-0000-0000-00005D010000}"/>
    <cellStyle name="Normal 3 10 5 2 2 2" xfId="60129" xr:uid="{00000000-0005-0000-0000-00005E010000}"/>
    <cellStyle name="Normal 3 10 5 2 3" xfId="32239" xr:uid="{00000000-0005-0000-0000-00005F010000}"/>
    <cellStyle name="Normal 3 10 5 3" xfId="20380" xr:uid="{00000000-0005-0000-0000-000060010000}"/>
    <cellStyle name="Normal 3 10 5 3 2" xfId="52251" xr:uid="{00000000-0005-0000-0000-000061010000}"/>
    <cellStyle name="Normal 3 10 5 4" xfId="32238" xr:uid="{00000000-0005-0000-0000-000062010000}"/>
    <cellStyle name="Normal 3 10 6" xfId="361" xr:uid="{00000000-0005-0000-0000-000063010000}"/>
    <cellStyle name="Normal 3 10 6 2" xfId="24319" xr:uid="{00000000-0005-0000-0000-000064010000}"/>
    <cellStyle name="Normal 3 10 6 2 2" xfId="56190" xr:uid="{00000000-0005-0000-0000-000065010000}"/>
    <cellStyle name="Normal 3 10 6 3" xfId="32240" xr:uid="{00000000-0005-0000-0000-000066010000}"/>
    <cellStyle name="Normal 3 10 7" xfId="16441" xr:uid="{00000000-0005-0000-0000-000067010000}"/>
    <cellStyle name="Normal 3 10 7 2" xfId="48312" xr:uid="{00000000-0005-0000-0000-000068010000}"/>
    <cellStyle name="Normal 3 10 8" xfId="32209" xr:uid="{00000000-0005-0000-0000-000069010000}"/>
    <cellStyle name="Normal 3 11" xfId="362" xr:uid="{00000000-0005-0000-0000-00006A010000}"/>
    <cellStyle name="Normal 3 11 2" xfId="363" xr:uid="{00000000-0005-0000-0000-00006B010000}"/>
    <cellStyle name="Normal 3 11 2 2" xfId="364" xr:uid="{00000000-0005-0000-0000-00006C010000}"/>
    <cellStyle name="Normal 3 11 2 2 2" xfId="365" xr:uid="{00000000-0005-0000-0000-00006D010000}"/>
    <cellStyle name="Normal 3 11 2 2 2 2" xfId="366" xr:uid="{00000000-0005-0000-0000-00006E010000}"/>
    <cellStyle name="Normal 3 11 2 2 2 2 2" xfId="28514" xr:uid="{00000000-0005-0000-0000-00006F010000}"/>
    <cellStyle name="Normal 3 11 2 2 2 2 2 2" xfId="60385" xr:uid="{00000000-0005-0000-0000-000070010000}"/>
    <cellStyle name="Normal 3 11 2 2 2 2 3" xfId="32245" xr:uid="{00000000-0005-0000-0000-000071010000}"/>
    <cellStyle name="Normal 3 11 2 2 2 3" xfId="20636" xr:uid="{00000000-0005-0000-0000-000072010000}"/>
    <cellStyle name="Normal 3 11 2 2 2 3 2" xfId="52507" xr:uid="{00000000-0005-0000-0000-000073010000}"/>
    <cellStyle name="Normal 3 11 2 2 2 4" xfId="32244" xr:uid="{00000000-0005-0000-0000-000074010000}"/>
    <cellStyle name="Normal 3 11 2 2 3" xfId="367" xr:uid="{00000000-0005-0000-0000-000075010000}"/>
    <cellStyle name="Normal 3 11 2 2 3 2" xfId="24575" xr:uid="{00000000-0005-0000-0000-000076010000}"/>
    <cellStyle name="Normal 3 11 2 2 3 2 2" xfId="56446" xr:uid="{00000000-0005-0000-0000-000077010000}"/>
    <cellStyle name="Normal 3 11 2 2 3 3" xfId="32246" xr:uid="{00000000-0005-0000-0000-000078010000}"/>
    <cellStyle name="Normal 3 11 2 2 4" xfId="16697" xr:uid="{00000000-0005-0000-0000-000079010000}"/>
    <cellStyle name="Normal 3 11 2 2 4 2" xfId="48568" xr:uid="{00000000-0005-0000-0000-00007A010000}"/>
    <cellStyle name="Normal 3 11 2 2 5" xfId="32243" xr:uid="{00000000-0005-0000-0000-00007B010000}"/>
    <cellStyle name="Normal 3 11 2 3" xfId="368" xr:uid="{00000000-0005-0000-0000-00007C010000}"/>
    <cellStyle name="Normal 3 11 2 3 2" xfId="369" xr:uid="{00000000-0005-0000-0000-00007D010000}"/>
    <cellStyle name="Normal 3 11 2 3 2 2" xfId="28513" xr:uid="{00000000-0005-0000-0000-00007E010000}"/>
    <cellStyle name="Normal 3 11 2 3 2 2 2" xfId="60384" xr:uid="{00000000-0005-0000-0000-00007F010000}"/>
    <cellStyle name="Normal 3 11 2 3 2 3" xfId="32248" xr:uid="{00000000-0005-0000-0000-000080010000}"/>
    <cellStyle name="Normal 3 11 2 3 3" xfId="20635" xr:uid="{00000000-0005-0000-0000-000081010000}"/>
    <cellStyle name="Normal 3 11 2 3 3 2" xfId="52506" xr:uid="{00000000-0005-0000-0000-000082010000}"/>
    <cellStyle name="Normal 3 11 2 3 4" xfId="32247" xr:uid="{00000000-0005-0000-0000-000083010000}"/>
    <cellStyle name="Normal 3 11 2 4" xfId="370" xr:uid="{00000000-0005-0000-0000-000084010000}"/>
    <cellStyle name="Normal 3 11 2 4 2" xfId="24574" xr:uid="{00000000-0005-0000-0000-000085010000}"/>
    <cellStyle name="Normal 3 11 2 4 2 2" xfId="56445" xr:uid="{00000000-0005-0000-0000-000086010000}"/>
    <cellStyle name="Normal 3 11 2 4 3" xfId="32249" xr:uid="{00000000-0005-0000-0000-000087010000}"/>
    <cellStyle name="Normal 3 11 2 5" xfId="16696" xr:uid="{00000000-0005-0000-0000-000088010000}"/>
    <cellStyle name="Normal 3 11 2 5 2" xfId="48567" xr:uid="{00000000-0005-0000-0000-000089010000}"/>
    <cellStyle name="Normal 3 11 2 6" xfId="32242" xr:uid="{00000000-0005-0000-0000-00008A010000}"/>
    <cellStyle name="Normal 3 11 3" xfId="371" xr:uid="{00000000-0005-0000-0000-00008B010000}"/>
    <cellStyle name="Normal 3 11 3 2" xfId="372" xr:uid="{00000000-0005-0000-0000-00008C010000}"/>
    <cellStyle name="Normal 3 11 3 2 2" xfId="373" xr:uid="{00000000-0005-0000-0000-00008D010000}"/>
    <cellStyle name="Normal 3 11 3 2 2 2" xfId="28515" xr:uid="{00000000-0005-0000-0000-00008E010000}"/>
    <cellStyle name="Normal 3 11 3 2 2 2 2" xfId="60386" xr:uid="{00000000-0005-0000-0000-00008F010000}"/>
    <cellStyle name="Normal 3 11 3 2 2 3" xfId="32252" xr:uid="{00000000-0005-0000-0000-000090010000}"/>
    <cellStyle name="Normal 3 11 3 2 3" xfId="20637" xr:uid="{00000000-0005-0000-0000-000091010000}"/>
    <cellStyle name="Normal 3 11 3 2 3 2" xfId="52508" xr:uid="{00000000-0005-0000-0000-000092010000}"/>
    <cellStyle name="Normal 3 11 3 2 4" xfId="32251" xr:uid="{00000000-0005-0000-0000-000093010000}"/>
    <cellStyle name="Normal 3 11 3 3" xfId="374" xr:uid="{00000000-0005-0000-0000-000094010000}"/>
    <cellStyle name="Normal 3 11 3 3 2" xfId="24576" xr:uid="{00000000-0005-0000-0000-000095010000}"/>
    <cellStyle name="Normal 3 11 3 3 2 2" xfId="56447" xr:uid="{00000000-0005-0000-0000-000096010000}"/>
    <cellStyle name="Normal 3 11 3 3 3" xfId="32253" xr:uid="{00000000-0005-0000-0000-000097010000}"/>
    <cellStyle name="Normal 3 11 3 4" xfId="16698" xr:uid="{00000000-0005-0000-0000-000098010000}"/>
    <cellStyle name="Normal 3 11 3 4 2" xfId="48569" xr:uid="{00000000-0005-0000-0000-000099010000}"/>
    <cellStyle name="Normal 3 11 3 5" xfId="32250" xr:uid="{00000000-0005-0000-0000-00009A010000}"/>
    <cellStyle name="Normal 3 11 4" xfId="375" xr:uid="{00000000-0005-0000-0000-00009B010000}"/>
    <cellStyle name="Normal 3 11 4 2" xfId="376" xr:uid="{00000000-0005-0000-0000-00009C010000}"/>
    <cellStyle name="Normal 3 11 4 2 2" xfId="28512" xr:uid="{00000000-0005-0000-0000-00009D010000}"/>
    <cellStyle name="Normal 3 11 4 2 2 2" xfId="60383" xr:uid="{00000000-0005-0000-0000-00009E010000}"/>
    <cellStyle name="Normal 3 11 4 2 3" xfId="32255" xr:uid="{00000000-0005-0000-0000-00009F010000}"/>
    <cellStyle name="Normal 3 11 4 3" xfId="20634" xr:uid="{00000000-0005-0000-0000-0000A0010000}"/>
    <cellStyle name="Normal 3 11 4 3 2" xfId="52505" xr:uid="{00000000-0005-0000-0000-0000A1010000}"/>
    <cellStyle name="Normal 3 11 4 4" xfId="32254" xr:uid="{00000000-0005-0000-0000-0000A2010000}"/>
    <cellStyle name="Normal 3 11 5" xfId="377" xr:uid="{00000000-0005-0000-0000-0000A3010000}"/>
    <cellStyle name="Normal 3 11 5 2" xfId="24573" xr:uid="{00000000-0005-0000-0000-0000A4010000}"/>
    <cellStyle name="Normal 3 11 5 2 2" xfId="56444" xr:uid="{00000000-0005-0000-0000-0000A5010000}"/>
    <cellStyle name="Normal 3 11 5 3" xfId="32256" xr:uid="{00000000-0005-0000-0000-0000A6010000}"/>
    <cellStyle name="Normal 3 11 6" xfId="16695" xr:uid="{00000000-0005-0000-0000-0000A7010000}"/>
    <cellStyle name="Normal 3 11 6 2" xfId="48566" xr:uid="{00000000-0005-0000-0000-0000A8010000}"/>
    <cellStyle name="Normal 3 11 7" xfId="32241" xr:uid="{00000000-0005-0000-0000-0000A9010000}"/>
    <cellStyle name="Normal 3 12" xfId="378" xr:uid="{00000000-0005-0000-0000-0000AA010000}"/>
    <cellStyle name="Normal 3 12 2" xfId="379" xr:uid="{00000000-0005-0000-0000-0000AB010000}"/>
    <cellStyle name="Normal 3 12 2 2" xfId="380" xr:uid="{00000000-0005-0000-0000-0000AC010000}"/>
    <cellStyle name="Normal 3 12 2 2 2" xfId="381" xr:uid="{00000000-0005-0000-0000-0000AD010000}"/>
    <cellStyle name="Normal 3 12 2 2 2 2" xfId="28517" xr:uid="{00000000-0005-0000-0000-0000AE010000}"/>
    <cellStyle name="Normal 3 12 2 2 2 2 2" xfId="60388" xr:uid="{00000000-0005-0000-0000-0000AF010000}"/>
    <cellStyle name="Normal 3 12 2 2 2 3" xfId="32260" xr:uid="{00000000-0005-0000-0000-0000B0010000}"/>
    <cellStyle name="Normal 3 12 2 2 3" xfId="20639" xr:uid="{00000000-0005-0000-0000-0000B1010000}"/>
    <cellStyle name="Normal 3 12 2 2 3 2" xfId="52510" xr:uid="{00000000-0005-0000-0000-0000B2010000}"/>
    <cellStyle name="Normal 3 12 2 2 4" xfId="32259" xr:uid="{00000000-0005-0000-0000-0000B3010000}"/>
    <cellStyle name="Normal 3 12 2 3" xfId="382" xr:uid="{00000000-0005-0000-0000-0000B4010000}"/>
    <cellStyle name="Normal 3 12 2 3 2" xfId="24578" xr:uid="{00000000-0005-0000-0000-0000B5010000}"/>
    <cellStyle name="Normal 3 12 2 3 2 2" xfId="56449" xr:uid="{00000000-0005-0000-0000-0000B6010000}"/>
    <cellStyle name="Normal 3 12 2 3 3" xfId="32261" xr:uid="{00000000-0005-0000-0000-0000B7010000}"/>
    <cellStyle name="Normal 3 12 2 4" xfId="16700" xr:uid="{00000000-0005-0000-0000-0000B8010000}"/>
    <cellStyle name="Normal 3 12 2 4 2" xfId="48571" xr:uid="{00000000-0005-0000-0000-0000B9010000}"/>
    <cellStyle name="Normal 3 12 2 5" xfId="32258" xr:uid="{00000000-0005-0000-0000-0000BA010000}"/>
    <cellStyle name="Normal 3 12 3" xfId="383" xr:uid="{00000000-0005-0000-0000-0000BB010000}"/>
    <cellStyle name="Normal 3 12 3 2" xfId="384" xr:uid="{00000000-0005-0000-0000-0000BC010000}"/>
    <cellStyle name="Normal 3 12 3 2 2" xfId="28516" xr:uid="{00000000-0005-0000-0000-0000BD010000}"/>
    <cellStyle name="Normal 3 12 3 2 2 2" xfId="60387" xr:uid="{00000000-0005-0000-0000-0000BE010000}"/>
    <cellStyle name="Normal 3 12 3 2 3" xfId="32263" xr:uid="{00000000-0005-0000-0000-0000BF010000}"/>
    <cellStyle name="Normal 3 12 3 3" xfId="20638" xr:uid="{00000000-0005-0000-0000-0000C0010000}"/>
    <cellStyle name="Normal 3 12 3 3 2" xfId="52509" xr:uid="{00000000-0005-0000-0000-0000C1010000}"/>
    <cellStyle name="Normal 3 12 3 4" xfId="32262" xr:uid="{00000000-0005-0000-0000-0000C2010000}"/>
    <cellStyle name="Normal 3 12 4" xfId="385" xr:uid="{00000000-0005-0000-0000-0000C3010000}"/>
    <cellStyle name="Normal 3 12 4 2" xfId="24577" xr:uid="{00000000-0005-0000-0000-0000C4010000}"/>
    <cellStyle name="Normal 3 12 4 2 2" xfId="56448" xr:uid="{00000000-0005-0000-0000-0000C5010000}"/>
    <cellStyle name="Normal 3 12 4 3" xfId="32264" xr:uid="{00000000-0005-0000-0000-0000C6010000}"/>
    <cellStyle name="Normal 3 12 5" xfId="16699" xr:uid="{00000000-0005-0000-0000-0000C7010000}"/>
    <cellStyle name="Normal 3 12 5 2" xfId="48570" xr:uid="{00000000-0005-0000-0000-0000C8010000}"/>
    <cellStyle name="Normal 3 12 6" xfId="32257" xr:uid="{00000000-0005-0000-0000-0000C9010000}"/>
    <cellStyle name="Normal 3 13" xfId="386" xr:uid="{00000000-0005-0000-0000-0000CA010000}"/>
    <cellStyle name="Normal 3 13 2" xfId="387" xr:uid="{00000000-0005-0000-0000-0000CB010000}"/>
    <cellStyle name="Normal 3 13 2 2" xfId="388" xr:uid="{00000000-0005-0000-0000-0000CC010000}"/>
    <cellStyle name="Normal 3 13 2 2 2" xfId="28518" xr:uid="{00000000-0005-0000-0000-0000CD010000}"/>
    <cellStyle name="Normal 3 13 2 2 2 2" xfId="60389" xr:uid="{00000000-0005-0000-0000-0000CE010000}"/>
    <cellStyle name="Normal 3 13 2 2 3" xfId="32267" xr:uid="{00000000-0005-0000-0000-0000CF010000}"/>
    <cellStyle name="Normal 3 13 2 3" xfId="20640" xr:uid="{00000000-0005-0000-0000-0000D0010000}"/>
    <cellStyle name="Normal 3 13 2 3 2" xfId="52511" xr:uid="{00000000-0005-0000-0000-0000D1010000}"/>
    <cellStyle name="Normal 3 13 2 4" xfId="32266" xr:uid="{00000000-0005-0000-0000-0000D2010000}"/>
    <cellStyle name="Normal 3 13 3" xfId="389" xr:uid="{00000000-0005-0000-0000-0000D3010000}"/>
    <cellStyle name="Normal 3 13 3 2" xfId="24579" xr:uid="{00000000-0005-0000-0000-0000D4010000}"/>
    <cellStyle name="Normal 3 13 3 2 2" xfId="56450" xr:uid="{00000000-0005-0000-0000-0000D5010000}"/>
    <cellStyle name="Normal 3 13 3 3" xfId="32268" xr:uid="{00000000-0005-0000-0000-0000D6010000}"/>
    <cellStyle name="Normal 3 13 4" xfId="16701" xr:uid="{00000000-0005-0000-0000-0000D7010000}"/>
    <cellStyle name="Normal 3 13 4 2" xfId="48572" xr:uid="{00000000-0005-0000-0000-0000D8010000}"/>
    <cellStyle name="Normal 3 13 5" xfId="32265" xr:uid="{00000000-0005-0000-0000-0000D9010000}"/>
    <cellStyle name="Normal 3 14" xfId="390" xr:uid="{00000000-0005-0000-0000-0000DA010000}"/>
    <cellStyle name="Normal 3 14 2" xfId="391" xr:uid="{00000000-0005-0000-0000-0000DB010000}"/>
    <cellStyle name="Normal 3 14 2 2" xfId="28234" xr:uid="{00000000-0005-0000-0000-0000DC010000}"/>
    <cellStyle name="Normal 3 14 2 2 2" xfId="60105" xr:uid="{00000000-0005-0000-0000-0000DD010000}"/>
    <cellStyle name="Normal 3 14 2 3" xfId="32270" xr:uid="{00000000-0005-0000-0000-0000DE010000}"/>
    <cellStyle name="Normal 3 14 3" xfId="20356" xr:uid="{00000000-0005-0000-0000-0000DF010000}"/>
    <cellStyle name="Normal 3 14 3 2" xfId="52227" xr:uid="{00000000-0005-0000-0000-0000E0010000}"/>
    <cellStyle name="Normal 3 14 4" xfId="32269" xr:uid="{00000000-0005-0000-0000-0000E1010000}"/>
    <cellStyle name="Normal 3 15" xfId="392" xr:uid="{00000000-0005-0000-0000-0000E2010000}"/>
    <cellStyle name="Normal 3 15 2" xfId="24295" xr:uid="{00000000-0005-0000-0000-0000E3010000}"/>
    <cellStyle name="Normal 3 15 2 2" xfId="56166" xr:uid="{00000000-0005-0000-0000-0000E4010000}"/>
    <cellStyle name="Normal 3 15 3" xfId="32271" xr:uid="{00000000-0005-0000-0000-0000E5010000}"/>
    <cellStyle name="Normal 3 16" xfId="16090" xr:uid="{00000000-0005-0000-0000-0000E6010000}"/>
    <cellStyle name="Normal 3 16 2" xfId="16417" xr:uid="{00000000-0005-0000-0000-0000E7010000}"/>
    <cellStyle name="Normal 3 16 2 2" xfId="48288" xr:uid="{00000000-0005-0000-0000-0000E8010000}"/>
    <cellStyle name="Normal 3 17" xfId="329" xr:uid="{00000000-0005-0000-0000-0000E9010000}"/>
    <cellStyle name="Normal 3 17 2" xfId="32208" xr:uid="{00000000-0005-0000-0000-0000EA010000}"/>
    <cellStyle name="Normal 3 18" xfId="64053" xr:uid="{00000000-0005-0000-0000-0000EB010000}"/>
    <cellStyle name="Normal 3 2" xfId="141" xr:uid="{00000000-0005-0000-0000-0000EC010000}"/>
    <cellStyle name="Normal 3 2 10" xfId="394" xr:uid="{00000000-0005-0000-0000-0000ED010000}"/>
    <cellStyle name="Normal 3 2 10 2" xfId="395" xr:uid="{00000000-0005-0000-0000-0000EE010000}"/>
    <cellStyle name="Normal 3 2 10 2 2" xfId="396" xr:uid="{00000000-0005-0000-0000-0000EF010000}"/>
    <cellStyle name="Normal 3 2 10 2 2 2" xfId="397" xr:uid="{00000000-0005-0000-0000-0000F0010000}"/>
    <cellStyle name="Normal 3 2 10 2 2 2 2" xfId="398" xr:uid="{00000000-0005-0000-0000-0000F1010000}"/>
    <cellStyle name="Normal 3 2 10 2 2 2 2 2" xfId="28521" xr:uid="{00000000-0005-0000-0000-0000F2010000}"/>
    <cellStyle name="Normal 3 2 10 2 2 2 2 2 2" xfId="60392" xr:uid="{00000000-0005-0000-0000-0000F3010000}"/>
    <cellStyle name="Normal 3 2 10 2 2 2 2 3" xfId="32277" xr:uid="{00000000-0005-0000-0000-0000F4010000}"/>
    <cellStyle name="Normal 3 2 10 2 2 2 3" xfId="20643" xr:uid="{00000000-0005-0000-0000-0000F5010000}"/>
    <cellStyle name="Normal 3 2 10 2 2 2 3 2" xfId="52514" xr:uid="{00000000-0005-0000-0000-0000F6010000}"/>
    <cellStyle name="Normal 3 2 10 2 2 2 4" xfId="32276" xr:uid="{00000000-0005-0000-0000-0000F7010000}"/>
    <cellStyle name="Normal 3 2 10 2 2 3" xfId="399" xr:uid="{00000000-0005-0000-0000-0000F8010000}"/>
    <cellStyle name="Normal 3 2 10 2 2 3 2" xfId="24582" xr:uid="{00000000-0005-0000-0000-0000F9010000}"/>
    <cellStyle name="Normal 3 2 10 2 2 3 2 2" xfId="56453" xr:uid="{00000000-0005-0000-0000-0000FA010000}"/>
    <cellStyle name="Normal 3 2 10 2 2 3 3" xfId="32278" xr:uid="{00000000-0005-0000-0000-0000FB010000}"/>
    <cellStyle name="Normal 3 2 10 2 2 4" xfId="16704" xr:uid="{00000000-0005-0000-0000-0000FC010000}"/>
    <cellStyle name="Normal 3 2 10 2 2 4 2" xfId="48575" xr:uid="{00000000-0005-0000-0000-0000FD010000}"/>
    <cellStyle name="Normal 3 2 10 2 2 5" xfId="32275" xr:uid="{00000000-0005-0000-0000-0000FE010000}"/>
    <cellStyle name="Normal 3 2 10 2 3" xfId="400" xr:uid="{00000000-0005-0000-0000-0000FF010000}"/>
    <cellStyle name="Normal 3 2 10 2 3 2" xfId="401" xr:uid="{00000000-0005-0000-0000-000000020000}"/>
    <cellStyle name="Normal 3 2 10 2 3 2 2" xfId="28520" xr:uid="{00000000-0005-0000-0000-000001020000}"/>
    <cellStyle name="Normal 3 2 10 2 3 2 2 2" xfId="60391" xr:uid="{00000000-0005-0000-0000-000002020000}"/>
    <cellStyle name="Normal 3 2 10 2 3 2 3" xfId="32280" xr:uid="{00000000-0005-0000-0000-000003020000}"/>
    <cellStyle name="Normal 3 2 10 2 3 3" xfId="20642" xr:uid="{00000000-0005-0000-0000-000004020000}"/>
    <cellStyle name="Normal 3 2 10 2 3 3 2" xfId="52513" xr:uid="{00000000-0005-0000-0000-000005020000}"/>
    <cellStyle name="Normal 3 2 10 2 3 4" xfId="32279" xr:uid="{00000000-0005-0000-0000-000006020000}"/>
    <cellStyle name="Normal 3 2 10 2 4" xfId="402" xr:uid="{00000000-0005-0000-0000-000007020000}"/>
    <cellStyle name="Normal 3 2 10 2 4 2" xfId="24581" xr:uid="{00000000-0005-0000-0000-000008020000}"/>
    <cellStyle name="Normal 3 2 10 2 4 2 2" xfId="56452" xr:uid="{00000000-0005-0000-0000-000009020000}"/>
    <cellStyle name="Normal 3 2 10 2 4 3" xfId="32281" xr:uid="{00000000-0005-0000-0000-00000A020000}"/>
    <cellStyle name="Normal 3 2 10 2 5" xfId="16703" xr:uid="{00000000-0005-0000-0000-00000B020000}"/>
    <cellStyle name="Normal 3 2 10 2 5 2" xfId="48574" xr:uid="{00000000-0005-0000-0000-00000C020000}"/>
    <cellStyle name="Normal 3 2 10 2 6" xfId="32274" xr:uid="{00000000-0005-0000-0000-00000D020000}"/>
    <cellStyle name="Normal 3 2 10 3" xfId="403" xr:uid="{00000000-0005-0000-0000-00000E020000}"/>
    <cellStyle name="Normal 3 2 10 3 2" xfId="404" xr:uid="{00000000-0005-0000-0000-00000F020000}"/>
    <cellStyle name="Normal 3 2 10 3 2 2" xfId="405" xr:uid="{00000000-0005-0000-0000-000010020000}"/>
    <cellStyle name="Normal 3 2 10 3 2 2 2" xfId="28522" xr:uid="{00000000-0005-0000-0000-000011020000}"/>
    <cellStyle name="Normal 3 2 10 3 2 2 2 2" xfId="60393" xr:uid="{00000000-0005-0000-0000-000012020000}"/>
    <cellStyle name="Normal 3 2 10 3 2 2 3" xfId="32284" xr:uid="{00000000-0005-0000-0000-000013020000}"/>
    <cellStyle name="Normal 3 2 10 3 2 3" xfId="20644" xr:uid="{00000000-0005-0000-0000-000014020000}"/>
    <cellStyle name="Normal 3 2 10 3 2 3 2" xfId="52515" xr:uid="{00000000-0005-0000-0000-000015020000}"/>
    <cellStyle name="Normal 3 2 10 3 2 4" xfId="32283" xr:uid="{00000000-0005-0000-0000-000016020000}"/>
    <cellStyle name="Normal 3 2 10 3 3" xfId="406" xr:uid="{00000000-0005-0000-0000-000017020000}"/>
    <cellStyle name="Normal 3 2 10 3 3 2" xfId="24583" xr:uid="{00000000-0005-0000-0000-000018020000}"/>
    <cellStyle name="Normal 3 2 10 3 3 2 2" xfId="56454" xr:uid="{00000000-0005-0000-0000-000019020000}"/>
    <cellStyle name="Normal 3 2 10 3 3 3" xfId="32285" xr:uid="{00000000-0005-0000-0000-00001A020000}"/>
    <cellStyle name="Normal 3 2 10 3 4" xfId="16705" xr:uid="{00000000-0005-0000-0000-00001B020000}"/>
    <cellStyle name="Normal 3 2 10 3 4 2" xfId="48576" xr:uid="{00000000-0005-0000-0000-00001C020000}"/>
    <cellStyle name="Normal 3 2 10 3 5" xfId="32282" xr:uid="{00000000-0005-0000-0000-00001D020000}"/>
    <cellStyle name="Normal 3 2 10 4" xfId="407" xr:uid="{00000000-0005-0000-0000-00001E020000}"/>
    <cellStyle name="Normal 3 2 10 4 2" xfId="408" xr:uid="{00000000-0005-0000-0000-00001F020000}"/>
    <cellStyle name="Normal 3 2 10 4 2 2" xfId="28519" xr:uid="{00000000-0005-0000-0000-000020020000}"/>
    <cellStyle name="Normal 3 2 10 4 2 2 2" xfId="60390" xr:uid="{00000000-0005-0000-0000-000021020000}"/>
    <cellStyle name="Normal 3 2 10 4 2 3" xfId="32287" xr:uid="{00000000-0005-0000-0000-000022020000}"/>
    <cellStyle name="Normal 3 2 10 4 3" xfId="20641" xr:uid="{00000000-0005-0000-0000-000023020000}"/>
    <cellStyle name="Normal 3 2 10 4 3 2" xfId="52512" xr:uid="{00000000-0005-0000-0000-000024020000}"/>
    <cellStyle name="Normal 3 2 10 4 4" xfId="32286" xr:uid="{00000000-0005-0000-0000-000025020000}"/>
    <cellStyle name="Normal 3 2 10 5" xfId="409" xr:uid="{00000000-0005-0000-0000-000026020000}"/>
    <cellStyle name="Normal 3 2 10 5 2" xfId="24580" xr:uid="{00000000-0005-0000-0000-000027020000}"/>
    <cellStyle name="Normal 3 2 10 5 2 2" xfId="56451" xr:uid="{00000000-0005-0000-0000-000028020000}"/>
    <cellStyle name="Normal 3 2 10 5 3" xfId="32288" xr:uid="{00000000-0005-0000-0000-000029020000}"/>
    <cellStyle name="Normal 3 2 10 6" xfId="16702" xr:uid="{00000000-0005-0000-0000-00002A020000}"/>
    <cellStyle name="Normal 3 2 10 6 2" xfId="48573" xr:uid="{00000000-0005-0000-0000-00002B020000}"/>
    <cellStyle name="Normal 3 2 10 7" xfId="32273" xr:uid="{00000000-0005-0000-0000-00002C020000}"/>
    <cellStyle name="Normal 3 2 11" xfId="410" xr:uid="{00000000-0005-0000-0000-00002D020000}"/>
    <cellStyle name="Normal 3 2 11 2" xfId="411" xr:uid="{00000000-0005-0000-0000-00002E020000}"/>
    <cellStyle name="Normal 3 2 11 2 2" xfId="412" xr:uid="{00000000-0005-0000-0000-00002F020000}"/>
    <cellStyle name="Normal 3 2 11 2 2 2" xfId="413" xr:uid="{00000000-0005-0000-0000-000030020000}"/>
    <cellStyle name="Normal 3 2 11 2 2 2 2" xfId="28524" xr:uid="{00000000-0005-0000-0000-000031020000}"/>
    <cellStyle name="Normal 3 2 11 2 2 2 2 2" xfId="60395" xr:uid="{00000000-0005-0000-0000-000032020000}"/>
    <cellStyle name="Normal 3 2 11 2 2 2 3" xfId="32292" xr:uid="{00000000-0005-0000-0000-000033020000}"/>
    <cellStyle name="Normal 3 2 11 2 2 3" xfId="20646" xr:uid="{00000000-0005-0000-0000-000034020000}"/>
    <cellStyle name="Normal 3 2 11 2 2 3 2" xfId="52517" xr:uid="{00000000-0005-0000-0000-000035020000}"/>
    <cellStyle name="Normal 3 2 11 2 2 4" xfId="32291" xr:uid="{00000000-0005-0000-0000-000036020000}"/>
    <cellStyle name="Normal 3 2 11 2 3" xfId="414" xr:uid="{00000000-0005-0000-0000-000037020000}"/>
    <cellStyle name="Normal 3 2 11 2 3 2" xfId="24585" xr:uid="{00000000-0005-0000-0000-000038020000}"/>
    <cellStyle name="Normal 3 2 11 2 3 2 2" xfId="56456" xr:uid="{00000000-0005-0000-0000-000039020000}"/>
    <cellStyle name="Normal 3 2 11 2 3 3" xfId="32293" xr:uid="{00000000-0005-0000-0000-00003A020000}"/>
    <cellStyle name="Normal 3 2 11 2 4" xfId="16707" xr:uid="{00000000-0005-0000-0000-00003B020000}"/>
    <cellStyle name="Normal 3 2 11 2 4 2" xfId="48578" xr:uid="{00000000-0005-0000-0000-00003C020000}"/>
    <cellStyle name="Normal 3 2 11 2 5" xfId="32290" xr:uid="{00000000-0005-0000-0000-00003D020000}"/>
    <cellStyle name="Normal 3 2 11 3" xfId="415" xr:uid="{00000000-0005-0000-0000-00003E020000}"/>
    <cellStyle name="Normal 3 2 11 3 2" xfId="416" xr:uid="{00000000-0005-0000-0000-00003F020000}"/>
    <cellStyle name="Normal 3 2 11 3 2 2" xfId="28523" xr:uid="{00000000-0005-0000-0000-000040020000}"/>
    <cellStyle name="Normal 3 2 11 3 2 2 2" xfId="60394" xr:uid="{00000000-0005-0000-0000-000041020000}"/>
    <cellStyle name="Normal 3 2 11 3 2 3" xfId="32295" xr:uid="{00000000-0005-0000-0000-000042020000}"/>
    <cellStyle name="Normal 3 2 11 3 3" xfId="20645" xr:uid="{00000000-0005-0000-0000-000043020000}"/>
    <cellStyle name="Normal 3 2 11 3 3 2" xfId="52516" xr:uid="{00000000-0005-0000-0000-000044020000}"/>
    <cellStyle name="Normal 3 2 11 3 4" xfId="32294" xr:uid="{00000000-0005-0000-0000-000045020000}"/>
    <cellStyle name="Normal 3 2 11 4" xfId="417" xr:uid="{00000000-0005-0000-0000-000046020000}"/>
    <cellStyle name="Normal 3 2 11 4 2" xfId="24584" xr:uid="{00000000-0005-0000-0000-000047020000}"/>
    <cellStyle name="Normal 3 2 11 4 2 2" xfId="56455" xr:uid="{00000000-0005-0000-0000-000048020000}"/>
    <cellStyle name="Normal 3 2 11 4 3" xfId="32296" xr:uid="{00000000-0005-0000-0000-000049020000}"/>
    <cellStyle name="Normal 3 2 11 5" xfId="16706" xr:uid="{00000000-0005-0000-0000-00004A020000}"/>
    <cellStyle name="Normal 3 2 11 5 2" xfId="48577" xr:uid="{00000000-0005-0000-0000-00004B020000}"/>
    <cellStyle name="Normal 3 2 11 6" xfId="32289" xr:uid="{00000000-0005-0000-0000-00004C020000}"/>
    <cellStyle name="Normal 3 2 12" xfId="418" xr:uid="{00000000-0005-0000-0000-00004D020000}"/>
    <cellStyle name="Normal 3 2 12 2" xfId="419" xr:uid="{00000000-0005-0000-0000-00004E020000}"/>
    <cellStyle name="Normal 3 2 12 2 2" xfId="420" xr:uid="{00000000-0005-0000-0000-00004F020000}"/>
    <cellStyle name="Normal 3 2 12 2 2 2" xfId="28525" xr:uid="{00000000-0005-0000-0000-000050020000}"/>
    <cellStyle name="Normal 3 2 12 2 2 2 2" xfId="60396" xr:uid="{00000000-0005-0000-0000-000051020000}"/>
    <cellStyle name="Normal 3 2 12 2 2 3" xfId="32299" xr:uid="{00000000-0005-0000-0000-000052020000}"/>
    <cellStyle name="Normal 3 2 12 2 3" xfId="20647" xr:uid="{00000000-0005-0000-0000-000053020000}"/>
    <cellStyle name="Normal 3 2 12 2 3 2" xfId="52518" xr:uid="{00000000-0005-0000-0000-000054020000}"/>
    <cellStyle name="Normal 3 2 12 2 4" xfId="32298" xr:uid="{00000000-0005-0000-0000-000055020000}"/>
    <cellStyle name="Normal 3 2 12 3" xfId="421" xr:uid="{00000000-0005-0000-0000-000056020000}"/>
    <cellStyle name="Normal 3 2 12 3 2" xfId="24586" xr:uid="{00000000-0005-0000-0000-000057020000}"/>
    <cellStyle name="Normal 3 2 12 3 2 2" xfId="56457" xr:uid="{00000000-0005-0000-0000-000058020000}"/>
    <cellStyle name="Normal 3 2 12 3 3" xfId="32300" xr:uid="{00000000-0005-0000-0000-000059020000}"/>
    <cellStyle name="Normal 3 2 12 4" xfId="16708" xr:uid="{00000000-0005-0000-0000-00005A020000}"/>
    <cellStyle name="Normal 3 2 12 4 2" xfId="48579" xr:uid="{00000000-0005-0000-0000-00005B020000}"/>
    <cellStyle name="Normal 3 2 12 5" xfId="32297" xr:uid="{00000000-0005-0000-0000-00005C020000}"/>
    <cellStyle name="Normal 3 2 13" xfId="422" xr:uid="{00000000-0005-0000-0000-00005D020000}"/>
    <cellStyle name="Normal 3 2 13 2" xfId="423" xr:uid="{00000000-0005-0000-0000-00005E020000}"/>
    <cellStyle name="Normal 3 2 13 2 2" xfId="28235" xr:uid="{00000000-0005-0000-0000-00005F020000}"/>
    <cellStyle name="Normal 3 2 13 2 2 2" xfId="60106" xr:uid="{00000000-0005-0000-0000-000060020000}"/>
    <cellStyle name="Normal 3 2 13 2 3" xfId="32302" xr:uid="{00000000-0005-0000-0000-000061020000}"/>
    <cellStyle name="Normal 3 2 13 3" xfId="20357" xr:uid="{00000000-0005-0000-0000-000062020000}"/>
    <cellStyle name="Normal 3 2 13 3 2" xfId="52228" xr:uid="{00000000-0005-0000-0000-000063020000}"/>
    <cellStyle name="Normal 3 2 13 4" xfId="32301" xr:uid="{00000000-0005-0000-0000-000064020000}"/>
    <cellStyle name="Normal 3 2 14" xfId="424" xr:uid="{00000000-0005-0000-0000-000065020000}"/>
    <cellStyle name="Normal 3 2 14 2" xfId="24296" xr:uid="{00000000-0005-0000-0000-000066020000}"/>
    <cellStyle name="Normal 3 2 14 2 2" xfId="56167" xr:uid="{00000000-0005-0000-0000-000067020000}"/>
    <cellStyle name="Normal 3 2 14 3" xfId="32303" xr:uid="{00000000-0005-0000-0000-000068020000}"/>
    <cellStyle name="Normal 3 2 15" xfId="16093" xr:uid="{00000000-0005-0000-0000-000069020000}"/>
    <cellStyle name="Normal 3 2 15 2" xfId="16418" xr:uid="{00000000-0005-0000-0000-00006A020000}"/>
    <cellStyle name="Normal 3 2 15 2 2" xfId="48289" xr:uid="{00000000-0005-0000-0000-00006B020000}"/>
    <cellStyle name="Normal 3 2 16" xfId="393" xr:uid="{00000000-0005-0000-0000-00006C020000}"/>
    <cellStyle name="Normal 3 2 16 2" xfId="32272" xr:uid="{00000000-0005-0000-0000-00006D020000}"/>
    <cellStyle name="Normal 3 2 2" xfId="267" xr:uid="{00000000-0005-0000-0000-00006E020000}"/>
    <cellStyle name="Normal 3 2 2 10" xfId="426" xr:uid="{00000000-0005-0000-0000-00006F020000}"/>
    <cellStyle name="Normal 3 2 2 10 2" xfId="427" xr:uid="{00000000-0005-0000-0000-000070020000}"/>
    <cellStyle name="Normal 3 2 2 10 2 2" xfId="428" xr:uid="{00000000-0005-0000-0000-000071020000}"/>
    <cellStyle name="Normal 3 2 2 10 2 2 2" xfId="429" xr:uid="{00000000-0005-0000-0000-000072020000}"/>
    <cellStyle name="Normal 3 2 2 10 2 2 2 2" xfId="28527" xr:uid="{00000000-0005-0000-0000-000073020000}"/>
    <cellStyle name="Normal 3 2 2 10 2 2 2 2 2" xfId="60398" xr:uid="{00000000-0005-0000-0000-000074020000}"/>
    <cellStyle name="Normal 3 2 2 10 2 2 2 3" xfId="32308" xr:uid="{00000000-0005-0000-0000-000075020000}"/>
    <cellStyle name="Normal 3 2 2 10 2 2 3" xfId="20649" xr:uid="{00000000-0005-0000-0000-000076020000}"/>
    <cellStyle name="Normal 3 2 2 10 2 2 3 2" xfId="52520" xr:uid="{00000000-0005-0000-0000-000077020000}"/>
    <cellStyle name="Normal 3 2 2 10 2 2 4" xfId="32307" xr:uid="{00000000-0005-0000-0000-000078020000}"/>
    <cellStyle name="Normal 3 2 2 10 2 3" xfId="430" xr:uid="{00000000-0005-0000-0000-000079020000}"/>
    <cellStyle name="Normal 3 2 2 10 2 3 2" xfId="24588" xr:uid="{00000000-0005-0000-0000-00007A020000}"/>
    <cellStyle name="Normal 3 2 2 10 2 3 2 2" xfId="56459" xr:uid="{00000000-0005-0000-0000-00007B020000}"/>
    <cellStyle name="Normal 3 2 2 10 2 3 3" xfId="32309" xr:uid="{00000000-0005-0000-0000-00007C020000}"/>
    <cellStyle name="Normal 3 2 2 10 2 4" xfId="16710" xr:uid="{00000000-0005-0000-0000-00007D020000}"/>
    <cellStyle name="Normal 3 2 2 10 2 4 2" xfId="48581" xr:uid="{00000000-0005-0000-0000-00007E020000}"/>
    <cellStyle name="Normal 3 2 2 10 2 5" xfId="32306" xr:uid="{00000000-0005-0000-0000-00007F020000}"/>
    <cellStyle name="Normal 3 2 2 10 3" xfId="431" xr:uid="{00000000-0005-0000-0000-000080020000}"/>
    <cellStyle name="Normal 3 2 2 10 3 2" xfId="432" xr:uid="{00000000-0005-0000-0000-000081020000}"/>
    <cellStyle name="Normal 3 2 2 10 3 2 2" xfId="28526" xr:uid="{00000000-0005-0000-0000-000082020000}"/>
    <cellStyle name="Normal 3 2 2 10 3 2 2 2" xfId="60397" xr:uid="{00000000-0005-0000-0000-000083020000}"/>
    <cellStyle name="Normal 3 2 2 10 3 2 3" xfId="32311" xr:uid="{00000000-0005-0000-0000-000084020000}"/>
    <cellStyle name="Normal 3 2 2 10 3 3" xfId="20648" xr:uid="{00000000-0005-0000-0000-000085020000}"/>
    <cellStyle name="Normal 3 2 2 10 3 3 2" xfId="52519" xr:uid="{00000000-0005-0000-0000-000086020000}"/>
    <cellStyle name="Normal 3 2 2 10 3 4" xfId="32310" xr:uid="{00000000-0005-0000-0000-000087020000}"/>
    <cellStyle name="Normal 3 2 2 10 4" xfId="433" xr:uid="{00000000-0005-0000-0000-000088020000}"/>
    <cellStyle name="Normal 3 2 2 10 4 2" xfId="24587" xr:uid="{00000000-0005-0000-0000-000089020000}"/>
    <cellStyle name="Normal 3 2 2 10 4 2 2" xfId="56458" xr:uid="{00000000-0005-0000-0000-00008A020000}"/>
    <cellStyle name="Normal 3 2 2 10 4 3" xfId="32312" xr:uid="{00000000-0005-0000-0000-00008B020000}"/>
    <cellStyle name="Normal 3 2 2 10 5" xfId="16709" xr:uid="{00000000-0005-0000-0000-00008C020000}"/>
    <cellStyle name="Normal 3 2 2 10 5 2" xfId="48580" xr:uid="{00000000-0005-0000-0000-00008D020000}"/>
    <cellStyle name="Normal 3 2 2 10 6" xfId="32305" xr:uid="{00000000-0005-0000-0000-00008E020000}"/>
    <cellStyle name="Normal 3 2 2 11" xfId="434" xr:uid="{00000000-0005-0000-0000-00008F020000}"/>
    <cellStyle name="Normal 3 2 2 11 2" xfId="435" xr:uid="{00000000-0005-0000-0000-000090020000}"/>
    <cellStyle name="Normal 3 2 2 11 2 2" xfId="436" xr:uid="{00000000-0005-0000-0000-000091020000}"/>
    <cellStyle name="Normal 3 2 2 11 2 2 2" xfId="28528" xr:uid="{00000000-0005-0000-0000-000092020000}"/>
    <cellStyle name="Normal 3 2 2 11 2 2 2 2" xfId="60399" xr:uid="{00000000-0005-0000-0000-000093020000}"/>
    <cellStyle name="Normal 3 2 2 11 2 2 3" xfId="32315" xr:uid="{00000000-0005-0000-0000-000094020000}"/>
    <cellStyle name="Normal 3 2 2 11 2 3" xfId="20650" xr:uid="{00000000-0005-0000-0000-000095020000}"/>
    <cellStyle name="Normal 3 2 2 11 2 3 2" xfId="52521" xr:uid="{00000000-0005-0000-0000-000096020000}"/>
    <cellStyle name="Normal 3 2 2 11 2 4" xfId="32314" xr:uid="{00000000-0005-0000-0000-000097020000}"/>
    <cellStyle name="Normal 3 2 2 11 3" xfId="437" xr:uid="{00000000-0005-0000-0000-000098020000}"/>
    <cellStyle name="Normal 3 2 2 11 3 2" xfId="24589" xr:uid="{00000000-0005-0000-0000-000099020000}"/>
    <cellStyle name="Normal 3 2 2 11 3 2 2" xfId="56460" xr:uid="{00000000-0005-0000-0000-00009A020000}"/>
    <cellStyle name="Normal 3 2 2 11 3 3" xfId="32316" xr:uid="{00000000-0005-0000-0000-00009B020000}"/>
    <cellStyle name="Normal 3 2 2 11 4" xfId="16711" xr:uid="{00000000-0005-0000-0000-00009C020000}"/>
    <cellStyle name="Normal 3 2 2 11 4 2" xfId="48582" xr:uid="{00000000-0005-0000-0000-00009D020000}"/>
    <cellStyle name="Normal 3 2 2 11 5" xfId="32313" xr:uid="{00000000-0005-0000-0000-00009E020000}"/>
    <cellStyle name="Normal 3 2 2 12" xfId="438" xr:uid="{00000000-0005-0000-0000-00009F020000}"/>
    <cellStyle name="Normal 3 2 2 12 2" xfId="439" xr:uid="{00000000-0005-0000-0000-0000A0020000}"/>
    <cellStyle name="Normal 3 2 2 12 2 2" xfId="28239" xr:uid="{00000000-0005-0000-0000-0000A1020000}"/>
    <cellStyle name="Normal 3 2 2 12 2 2 2" xfId="60110" xr:uid="{00000000-0005-0000-0000-0000A2020000}"/>
    <cellStyle name="Normal 3 2 2 12 2 3" xfId="32318" xr:uid="{00000000-0005-0000-0000-0000A3020000}"/>
    <cellStyle name="Normal 3 2 2 12 3" xfId="20361" xr:uid="{00000000-0005-0000-0000-0000A4020000}"/>
    <cellStyle name="Normal 3 2 2 12 3 2" xfId="52232" xr:uid="{00000000-0005-0000-0000-0000A5020000}"/>
    <cellStyle name="Normal 3 2 2 12 4" xfId="32317" xr:uid="{00000000-0005-0000-0000-0000A6020000}"/>
    <cellStyle name="Normal 3 2 2 13" xfId="440" xr:uid="{00000000-0005-0000-0000-0000A7020000}"/>
    <cellStyle name="Normal 3 2 2 13 2" xfId="24300" xr:uid="{00000000-0005-0000-0000-0000A8020000}"/>
    <cellStyle name="Normal 3 2 2 13 2 2" xfId="56171" xr:uid="{00000000-0005-0000-0000-0000A9020000}"/>
    <cellStyle name="Normal 3 2 2 13 3" xfId="32319" xr:uid="{00000000-0005-0000-0000-0000AA020000}"/>
    <cellStyle name="Normal 3 2 2 14" xfId="16422" xr:uid="{00000000-0005-0000-0000-0000AB020000}"/>
    <cellStyle name="Normal 3 2 2 14 2" xfId="48293" xr:uid="{00000000-0005-0000-0000-0000AC020000}"/>
    <cellStyle name="Normal 3 2 2 15" xfId="425" xr:uid="{00000000-0005-0000-0000-0000AD020000}"/>
    <cellStyle name="Normal 3 2 2 15 2" xfId="32304" xr:uid="{00000000-0005-0000-0000-0000AE020000}"/>
    <cellStyle name="Normal 3 2 2 2" xfId="441" xr:uid="{00000000-0005-0000-0000-0000AF020000}"/>
    <cellStyle name="Normal 3 2 2 2 10" xfId="442" xr:uid="{00000000-0005-0000-0000-0000B0020000}"/>
    <cellStyle name="Normal 3 2 2 2 10 2" xfId="443" xr:uid="{00000000-0005-0000-0000-0000B1020000}"/>
    <cellStyle name="Normal 3 2 2 2 10 2 2" xfId="28247" xr:uid="{00000000-0005-0000-0000-0000B2020000}"/>
    <cellStyle name="Normal 3 2 2 2 10 2 2 2" xfId="60118" xr:uid="{00000000-0005-0000-0000-0000B3020000}"/>
    <cellStyle name="Normal 3 2 2 2 10 2 3" xfId="32322" xr:uid="{00000000-0005-0000-0000-0000B4020000}"/>
    <cellStyle name="Normal 3 2 2 2 10 3" xfId="20369" xr:uid="{00000000-0005-0000-0000-0000B5020000}"/>
    <cellStyle name="Normal 3 2 2 2 10 3 2" xfId="52240" xr:uid="{00000000-0005-0000-0000-0000B6020000}"/>
    <cellStyle name="Normal 3 2 2 2 10 4" xfId="32321" xr:uid="{00000000-0005-0000-0000-0000B7020000}"/>
    <cellStyle name="Normal 3 2 2 2 11" xfId="444" xr:uid="{00000000-0005-0000-0000-0000B8020000}"/>
    <cellStyle name="Normal 3 2 2 2 11 2" xfId="24308" xr:uid="{00000000-0005-0000-0000-0000B9020000}"/>
    <cellStyle name="Normal 3 2 2 2 11 2 2" xfId="56179" xr:uid="{00000000-0005-0000-0000-0000BA020000}"/>
    <cellStyle name="Normal 3 2 2 2 11 3" xfId="32323" xr:uid="{00000000-0005-0000-0000-0000BB020000}"/>
    <cellStyle name="Normal 3 2 2 2 12" xfId="16430" xr:uid="{00000000-0005-0000-0000-0000BC020000}"/>
    <cellStyle name="Normal 3 2 2 2 12 2" xfId="48301" xr:uid="{00000000-0005-0000-0000-0000BD020000}"/>
    <cellStyle name="Normal 3 2 2 2 13" xfId="32320" xr:uid="{00000000-0005-0000-0000-0000BE020000}"/>
    <cellStyle name="Normal 3 2 2 2 2" xfId="445" xr:uid="{00000000-0005-0000-0000-0000BF020000}"/>
    <cellStyle name="Normal 3 2 2 2 2 10" xfId="446" xr:uid="{00000000-0005-0000-0000-0000C0020000}"/>
    <cellStyle name="Normal 3 2 2 2 2 10 2" xfId="24349" xr:uid="{00000000-0005-0000-0000-0000C1020000}"/>
    <cellStyle name="Normal 3 2 2 2 2 10 2 2" xfId="56220" xr:uid="{00000000-0005-0000-0000-0000C2020000}"/>
    <cellStyle name="Normal 3 2 2 2 2 10 3" xfId="32325" xr:uid="{00000000-0005-0000-0000-0000C3020000}"/>
    <cellStyle name="Normal 3 2 2 2 2 11" xfId="16471" xr:uid="{00000000-0005-0000-0000-0000C4020000}"/>
    <cellStyle name="Normal 3 2 2 2 2 11 2" xfId="48342" xr:uid="{00000000-0005-0000-0000-0000C5020000}"/>
    <cellStyle name="Normal 3 2 2 2 2 12" xfId="32324" xr:uid="{00000000-0005-0000-0000-0000C6020000}"/>
    <cellStyle name="Normal 3 2 2 2 2 2" xfId="447" xr:uid="{00000000-0005-0000-0000-0000C7020000}"/>
    <cellStyle name="Normal 3 2 2 2 2 2 10" xfId="32326" xr:uid="{00000000-0005-0000-0000-0000C8020000}"/>
    <cellStyle name="Normal 3 2 2 2 2 2 2" xfId="448" xr:uid="{00000000-0005-0000-0000-0000C9020000}"/>
    <cellStyle name="Normal 3 2 2 2 2 2 2 2" xfId="449" xr:uid="{00000000-0005-0000-0000-0000CA020000}"/>
    <cellStyle name="Normal 3 2 2 2 2 2 2 2 2" xfId="450" xr:uid="{00000000-0005-0000-0000-0000CB020000}"/>
    <cellStyle name="Normal 3 2 2 2 2 2 2 2 2 2" xfId="451" xr:uid="{00000000-0005-0000-0000-0000CC020000}"/>
    <cellStyle name="Normal 3 2 2 2 2 2 2 2 2 2 2" xfId="452" xr:uid="{00000000-0005-0000-0000-0000CD020000}"/>
    <cellStyle name="Normal 3 2 2 2 2 2 2 2 2 2 2 2" xfId="453" xr:uid="{00000000-0005-0000-0000-0000CE020000}"/>
    <cellStyle name="Normal 3 2 2 2 2 2 2 2 2 2 2 2 2" xfId="454" xr:uid="{00000000-0005-0000-0000-0000CF020000}"/>
    <cellStyle name="Normal 3 2 2 2 2 2 2 2 2 2 2 2 2 2" xfId="28532" xr:uid="{00000000-0005-0000-0000-0000D0020000}"/>
    <cellStyle name="Normal 3 2 2 2 2 2 2 2 2 2 2 2 2 2 2" xfId="60403" xr:uid="{00000000-0005-0000-0000-0000D1020000}"/>
    <cellStyle name="Normal 3 2 2 2 2 2 2 2 2 2 2 2 2 3" xfId="32333" xr:uid="{00000000-0005-0000-0000-0000D2020000}"/>
    <cellStyle name="Normal 3 2 2 2 2 2 2 2 2 2 2 2 3" xfId="20654" xr:uid="{00000000-0005-0000-0000-0000D3020000}"/>
    <cellStyle name="Normal 3 2 2 2 2 2 2 2 2 2 2 2 3 2" xfId="52525" xr:uid="{00000000-0005-0000-0000-0000D4020000}"/>
    <cellStyle name="Normal 3 2 2 2 2 2 2 2 2 2 2 2 4" xfId="32332" xr:uid="{00000000-0005-0000-0000-0000D5020000}"/>
    <cellStyle name="Normal 3 2 2 2 2 2 2 2 2 2 2 3" xfId="455" xr:uid="{00000000-0005-0000-0000-0000D6020000}"/>
    <cellStyle name="Normal 3 2 2 2 2 2 2 2 2 2 2 3 2" xfId="24593" xr:uid="{00000000-0005-0000-0000-0000D7020000}"/>
    <cellStyle name="Normal 3 2 2 2 2 2 2 2 2 2 2 3 2 2" xfId="56464" xr:uid="{00000000-0005-0000-0000-0000D8020000}"/>
    <cellStyle name="Normal 3 2 2 2 2 2 2 2 2 2 2 3 3" xfId="32334" xr:uid="{00000000-0005-0000-0000-0000D9020000}"/>
    <cellStyle name="Normal 3 2 2 2 2 2 2 2 2 2 2 4" xfId="16715" xr:uid="{00000000-0005-0000-0000-0000DA020000}"/>
    <cellStyle name="Normal 3 2 2 2 2 2 2 2 2 2 2 4 2" xfId="48586" xr:uid="{00000000-0005-0000-0000-0000DB020000}"/>
    <cellStyle name="Normal 3 2 2 2 2 2 2 2 2 2 2 5" xfId="32331" xr:uid="{00000000-0005-0000-0000-0000DC020000}"/>
    <cellStyle name="Normal 3 2 2 2 2 2 2 2 2 2 3" xfId="456" xr:uid="{00000000-0005-0000-0000-0000DD020000}"/>
    <cellStyle name="Normal 3 2 2 2 2 2 2 2 2 2 3 2" xfId="457" xr:uid="{00000000-0005-0000-0000-0000DE020000}"/>
    <cellStyle name="Normal 3 2 2 2 2 2 2 2 2 2 3 2 2" xfId="28531" xr:uid="{00000000-0005-0000-0000-0000DF020000}"/>
    <cellStyle name="Normal 3 2 2 2 2 2 2 2 2 2 3 2 2 2" xfId="60402" xr:uid="{00000000-0005-0000-0000-0000E0020000}"/>
    <cellStyle name="Normal 3 2 2 2 2 2 2 2 2 2 3 2 3" xfId="32336" xr:uid="{00000000-0005-0000-0000-0000E1020000}"/>
    <cellStyle name="Normal 3 2 2 2 2 2 2 2 2 2 3 3" xfId="20653" xr:uid="{00000000-0005-0000-0000-0000E2020000}"/>
    <cellStyle name="Normal 3 2 2 2 2 2 2 2 2 2 3 3 2" xfId="52524" xr:uid="{00000000-0005-0000-0000-0000E3020000}"/>
    <cellStyle name="Normal 3 2 2 2 2 2 2 2 2 2 3 4" xfId="32335" xr:uid="{00000000-0005-0000-0000-0000E4020000}"/>
    <cellStyle name="Normal 3 2 2 2 2 2 2 2 2 2 4" xfId="458" xr:uid="{00000000-0005-0000-0000-0000E5020000}"/>
    <cellStyle name="Normal 3 2 2 2 2 2 2 2 2 2 4 2" xfId="24592" xr:uid="{00000000-0005-0000-0000-0000E6020000}"/>
    <cellStyle name="Normal 3 2 2 2 2 2 2 2 2 2 4 2 2" xfId="56463" xr:uid="{00000000-0005-0000-0000-0000E7020000}"/>
    <cellStyle name="Normal 3 2 2 2 2 2 2 2 2 2 4 3" xfId="32337" xr:uid="{00000000-0005-0000-0000-0000E8020000}"/>
    <cellStyle name="Normal 3 2 2 2 2 2 2 2 2 2 5" xfId="16714" xr:uid="{00000000-0005-0000-0000-0000E9020000}"/>
    <cellStyle name="Normal 3 2 2 2 2 2 2 2 2 2 5 2" xfId="48585" xr:uid="{00000000-0005-0000-0000-0000EA020000}"/>
    <cellStyle name="Normal 3 2 2 2 2 2 2 2 2 2 6" xfId="32330" xr:uid="{00000000-0005-0000-0000-0000EB020000}"/>
    <cellStyle name="Normal 3 2 2 2 2 2 2 2 2 3" xfId="459" xr:uid="{00000000-0005-0000-0000-0000EC020000}"/>
    <cellStyle name="Normal 3 2 2 2 2 2 2 2 2 3 2" xfId="460" xr:uid="{00000000-0005-0000-0000-0000ED020000}"/>
    <cellStyle name="Normal 3 2 2 2 2 2 2 2 2 3 2 2" xfId="461" xr:uid="{00000000-0005-0000-0000-0000EE020000}"/>
    <cellStyle name="Normal 3 2 2 2 2 2 2 2 2 3 2 2 2" xfId="28533" xr:uid="{00000000-0005-0000-0000-0000EF020000}"/>
    <cellStyle name="Normal 3 2 2 2 2 2 2 2 2 3 2 2 2 2" xfId="60404" xr:uid="{00000000-0005-0000-0000-0000F0020000}"/>
    <cellStyle name="Normal 3 2 2 2 2 2 2 2 2 3 2 2 3" xfId="32340" xr:uid="{00000000-0005-0000-0000-0000F1020000}"/>
    <cellStyle name="Normal 3 2 2 2 2 2 2 2 2 3 2 3" xfId="20655" xr:uid="{00000000-0005-0000-0000-0000F2020000}"/>
    <cellStyle name="Normal 3 2 2 2 2 2 2 2 2 3 2 3 2" xfId="52526" xr:uid="{00000000-0005-0000-0000-0000F3020000}"/>
    <cellStyle name="Normal 3 2 2 2 2 2 2 2 2 3 2 4" xfId="32339" xr:uid="{00000000-0005-0000-0000-0000F4020000}"/>
    <cellStyle name="Normal 3 2 2 2 2 2 2 2 2 3 3" xfId="462" xr:uid="{00000000-0005-0000-0000-0000F5020000}"/>
    <cellStyle name="Normal 3 2 2 2 2 2 2 2 2 3 3 2" xfId="24594" xr:uid="{00000000-0005-0000-0000-0000F6020000}"/>
    <cellStyle name="Normal 3 2 2 2 2 2 2 2 2 3 3 2 2" xfId="56465" xr:uid="{00000000-0005-0000-0000-0000F7020000}"/>
    <cellStyle name="Normal 3 2 2 2 2 2 2 2 2 3 3 3" xfId="32341" xr:uid="{00000000-0005-0000-0000-0000F8020000}"/>
    <cellStyle name="Normal 3 2 2 2 2 2 2 2 2 3 4" xfId="16716" xr:uid="{00000000-0005-0000-0000-0000F9020000}"/>
    <cellStyle name="Normal 3 2 2 2 2 2 2 2 2 3 4 2" xfId="48587" xr:uid="{00000000-0005-0000-0000-0000FA020000}"/>
    <cellStyle name="Normal 3 2 2 2 2 2 2 2 2 3 5" xfId="32338" xr:uid="{00000000-0005-0000-0000-0000FB020000}"/>
    <cellStyle name="Normal 3 2 2 2 2 2 2 2 2 4" xfId="463" xr:uid="{00000000-0005-0000-0000-0000FC020000}"/>
    <cellStyle name="Normal 3 2 2 2 2 2 2 2 2 4 2" xfId="464" xr:uid="{00000000-0005-0000-0000-0000FD020000}"/>
    <cellStyle name="Normal 3 2 2 2 2 2 2 2 2 4 2 2" xfId="28530" xr:uid="{00000000-0005-0000-0000-0000FE020000}"/>
    <cellStyle name="Normal 3 2 2 2 2 2 2 2 2 4 2 2 2" xfId="60401" xr:uid="{00000000-0005-0000-0000-0000FF020000}"/>
    <cellStyle name="Normal 3 2 2 2 2 2 2 2 2 4 2 3" xfId="32343" xr:uid="{00000000-0005-0000-0000-000000030000}"/>
    <cellStyle name="Normal 3 2 2 2 2 2 2 2 2 4 3" xfId="20652" xr:uid="{00000000-0005-0000-0000-000001030000}"/>
    <cellStyle name="Normal 3 2 2 2 2 2 2 2 2 4 3 2" xfId="52523" xr:uid="{00000000-0005-0000-0000-000002030000}"/>
    <cellStyle name="Normal 3 2 2 2 2 2 2 2 2 4 4" xfId="32342" xr:uid="{00000000-0005-0000-0000-000003030000}"/>
    <cellStyle name="Normal 3 2 2 2 2 2 2 2 2 5" xfId="465" xr:uid="{00000000-0005-0000-0000-000004030000}"/>
    <cellStyle name="Normal 3 2 2 2 2 2 2 2 2 5 2" xfId="24591" xr:uid="{00000000-0005-0000-0000-000005030000}"/>
    <cellStyle name="Normal 3 2 2 2 2 2 2 2 2 5 2 2" xfId="56462" xr:uid="{00000000-0005-0000-0000-000006030000}"/>
    <cellStyle name="Normal 3 2 2 2 2 2 2 2 2 5 3" xfId="32344" xr:uid="{00000000-0005-0000-0000-000007030000}"/>
    <cellStyle name="Normal 3 2 2 2 2 2 2 2 2 6" xfId="16713" xr:uid="{00000000-0005-0000-0000-000008030000}"/>
    <cellStyle name="Normal 3 2 2 2 2 2 2 2 2 6 2" xfId="48584" xr:uid="{00000000-0005-0000-0000-000009030000}"/>
    <cellStyle name="Normal 3 2 2 2 2 2 2 2 2 7" xfId="32329" xr:uid="{00000000-0005-0000-0000-00000A030000}"/>
    <cellStyle name="Normal 3 2 2 2 2 2 2 2 3" xfId="466" xr:uid="{00000000-0005-0000-0000-00000B030000}"/>
    <cellStyle name="Normal 3 2 2 2 2 2 2 2 3 2" xfId="467" xr:uid="{00000000-0005-0000-0000-00000C030000}"/>
    <cellStyle name="Normal 3 2 2 2 2 2 2 2 3 2 2" xfId="468" xr:uid="{00000000-0005-0000-0000-00000D030000}"/>
    <cellStyle name="Normal 3 2 2 2 2 2 2 2 3 2 2 2" xfId="469" xr:uid="{00000000-0005-0000-0000-00000E030000}"/>
    <cellStyle name="Normal 3 2 2 2 2 2 2 2 3 2 2 2 2" xfId="28535" xr:uid="{00000000-0005-0000-0000-00000F030000}"/>
    <cellStyle name="Normal 3 2 2 2 2 2 2 2 3 2 2 2 2 2" xfId="60406" xr:uid="{00000000-0005-0000-0000-000010030000}"/>
    <cellStyle name="Normal 3 2 2 2 2 2 2 2 3 2 2 2 3" xfId="32348" xr:uid="{00000000-0005-0000-0000-000011030000}"/>
    <cellStyle name="Normal 3 2 2 2 2 2 2 2 3 2 2 3" xfId="20657" xr:uid="{00000000-0005-0000-0000-000012030000}"/>
    <cellStyle name="Normal 3 2 2 2 2 2 2 2 3 2 2 3 2" xfId="52528" xr:uid="{00000000-0005-0000-0000-000013030000}"/>
    <cellStyle name="Normal 3 2 2 2 2 2 2 2 3 2 2 4" xfId="32347" xr:uid="{00000000-0005-0000-0000-000014030000}"/>
    <cellStyle name="Normal 3 2 2 2 2 2 2 2 3 2 3" xfId="470" xr:uid="{00000000-0005-0000-0000-000015030000}"/>
    <cellStyle name="Normal 3 2 2 2 2 2 2 2 3 2 3 2" xfId="24596" xr:uid="{00000000-0005-0000-0000-000016030000}"/>
    <cellStyle name="Normal 3 2 2 2 2 2 2 2 3 2 3 2 2" xfId="56467" xr:uid="{00000000-0005-0000-0000-000017030000}"/>
    <cellStyle name="Normal 3 2 2 2 2 2 2 2 3 2 3 3" xfId="32349" xr:uid="{00000000-0005-0000-0000-000018030000}"/>
    <cellStyle name="Normal 3 2 2 2 2 2 2 2 3 2 4" xfId="16718" xr:uid="{00000000-0005-0000-0000-000019030000}"/>
    <cellStyle name="Normal 3 2 2 2 2 2 2 2 3 2 4 2" xfId="48589" xr:uid="{00000000-0005-0000-0000-00001A030000}"/>
    <cellStyle name="Normal 3 2 2 2 2 2 2 2 3 2 5" xfId="32346" xr:uid="{00000000-0005-0000-0000-00001B030000}"/>
    <cellStyle name="Normal 3 2 2 2 2 2 2 2 3 3" xfId="471" xr:uid="{00000000-0005-0000-0000-00001C030000}"/>
    <cellStyle name="Normal 3 2 2 2 2 2 2 2 3 3 2" xfId="472" xr:uid="{00000000-0005-0000-0000-00001D030000}"/>
    <cellStyle name="Normal 3 2 2 2 2 2 2 2 3 3 2 2" xfId="28534" xr:uid="{00000000-0005-0000-0000-00001E030000}"/>
    <cellStyle name="Normal 3 2 2 2 2 2 2 2 3 3 2 2 2" xfId="60405" xr:uid="{00000000-0005-0000-0000-00001F030000}"/>
    <cellStyle name="Normal 3 2 2 2 2 2 2 2 3 3 2 3" xfId="32351" xr:uid="{00000000-0005-0000-0000-000020030000}"/>
    <cellStyle name="Normal 3 2 2 2 2 2 2 2 3 3 3" xfId="20656" xr:uid="{00000000-0005-0000-0000-000021030000}"/>
    <cellStyle name="Normal 3 2 2 2 2 2 2 2 3 3 3 2" xfId="52527" xr:uid="{00000000-0005-0000-0000-000022030000}"/>
    <cellStyle name="Normal 3 2 2 2 2 2 2 2 3 3 4" xfId="32350" xr:uid="{00000000-0005-0000-0000-000023030000}"/>
    <cellStyle name="Normal 3 2 2 2 2 2 2 2 3 4" xfId="473" xr:uid="{00000000-0005-0000-0000-000024030000}"/>
    <cellStyle name="Normal 3 2 2 2 2 2 2 2 3 4 2" xfId="24595" xr:uid="{00000000-0005-0000-0000-000025030000}"/>
    <cellStyle name="Normal 3 2 2 2 2 2 2 2 3 4 2 2" xfId="56466" xr:uid="{00000000-0005-0000-0000-000026030000}"/>
    <cellStyle name="Normal 3 2 2 2 2 2 2 2 3 4 3" xfId="32352" xr:uid="{00000000-0005-0000-0000-000027030000}"/>
    <cellStyle name="Normal 3 2 2 2 2 2 2 2 3 5" xfId="16717" xr:uid="{00000000-0005-0000-0000-000028030000}"/>
    <cellStyle name="Normal 3 2 2 2 2 2 2 2 3 5 2" xfId="48588" xr:uid="{00000000-0005-0000-0000-000029030000}"/>
    <cellStyle name="Normal 3 2 2 2 2 2 2 2 3 6" xfId="32345" xr:uid="{00000000-0005-0000-0000-00002A030000}"/>
    <cellStyle name="Normal 3 2 2 2 2 2 2 2 4" xfId="474" xr:uid="{00000000-0005-0000-0000-00002B030000}"/>
    <cellStyle name="Normal 3 2 2 2 2 2 2 2 4 2" xfId="475" xr:uid="{00000000-0005-0000-0000-00002C030000}"/>
    <cellStyle name="Normal 3 2 2 2 2 2 2 2 4 2 2" xfId="476" xr:uid="{00000000-0005-0000-0000-00002D030000}"/>
    <cellStyle name="Normal 3 2 2 2 2 2 2 2 4 2 2 2" xfId="28536" xr:uid="{00000000-0005-0000-0000-00002E030000}"/>
    <cellStyle name="Normal 3 2 2 2 2 2 2 2 4 2 2 2 2" xfId="60407" xr:uid="{00000000-0005-0000-0000-00002F030000}"/>
    <cellStyle name="Normal 3 2 2 2 2 2 2 2 4 2 2 3" xfId="32355" xr:uid="{00000000-0005-0000-0000-000030030000}"/>
    <cellStyle name="Normal 3 2 2 2 2 2 2 2 4 2 3" xfId="20658" xr:uid="{00000000-0005-0000-0000-000031030000}"/>
    <cellStyle name="Normal 3 2 2 2 2 2 2 2 4 2 3 2" xfId="52529" xr:uid="{00000000-0005-0000-0000-000032030000}"/>
    <cellStyle name="Normal 3 2 2 2 2 2 2 2 4 2 4" xfId="32354" xr:uid="{00000000-0005-0000-0000-000033030000}"/>
    <cellStyle name="Normal 3 2 2 2 2 2 2 2 4 3" xfId="477" xr:uid="{00000000-0005-0000-0000-000034030000}"/>
    <cellStyle name="Normal 3 2 2 2 2 2 2 2 4 3 2" xfId="24597" xr:uid="{00000000-0005-0000-0000-000035030000}"/>
    <cellStyle name="Normal 3 2 2 2 2 2 2 2 4 3 2 2" xfId="56468" xr:uid="{00000000-0005-0000-0000-000036030000}"/>
    <cellStyle name="Normal 3 2 2 2 2 2 2 2 4 3 3" xfId="32356" xr:uid="{00000000-0005-0000-0000-000037030000}"/>
    <cellStyle name="Normal 3 2 2 2 2 2 2 2 4 4" xfId="16719" xr:uid="{00000000-0005-0000-0000-000038030000}"/>
    <cellStyle name="Normal 3 2 2 2 2 2 2 2 4 4 2" xfId="48590" xr:uid="{00000000-0005-0000-0000-000039030000}"/>
    <cellStyle name="Normal 3 2 2 2 2 2 2 2 4 5" xfId="32353" xr:uid="{00000000-0005-0000-0000-00003A030000}"/>
    <cellStyle name="Normal 3 2 2 2 2 2 2 2 5" xfId="478" xr:uid="{00000000-0005-0000-0000-00003B030000}"/>
    <cellStyle name="Normal 3 2 2 2 2 2 2 2 5 2" xfId="479" xr:uid="{00000000-0005-0000-0000-00003C030000}"/>
    <cellStyle name="Normal 3 2 2 2 2 2 2 2 5 2 2" xfId="28529" xr:uid="{00000000-0005-0000-0000-00003D030000}"/>
    <cellStyle name="Normal 3 2 2 2 2 2 2 2 5 2 2 2" xfId="60400" xr:uid="{00000000-0005-0000-0000-00003E030000}"/>
    <cellStyle name="Normal 3 2 2 2 2 2 2 2 5 2 3" xfId="32358" xr:uid="{00000000-0005-0000-0000-00003F030000}"/>
    <cellStyle name="Normal 3 2 2 2 2 2 2 2 5 3" xfId="20651" xr:uid="{00000000-0005-0000-0000-000040030000}"/>
    <cellStyle name="Normal 3 2 2 2 2 2 2 2 5 3 2" xfId="52522" xr:uid="{00000000-0005-0000-0000-000041030000}"/>
    <cellStyle name="Normal 3 2 2 2 2 2 2 2 5 4" xfId="32357" xr:uid="{00000000-0005-0000-0000-000042030000}"/>
    <cellStyle name="Normal 3 2 2 2 2 2 2 2 6" xfId="480" xr:uid="{00000000-0005-0000-0000-000043030000}"/>
    <cellStyle name="Normal 3 2 2 2 2 2 2 2 6 2" xfId="24590" xr:uid="{00000000-0005-0000-0000-000044030000}"/>
    <cellStyle name="Normal 3 2 2 2 2 2 2 2 6 2 2" xfId="56461" xr:uid="{00000000-0005-0000-0000-000045030000}"/>
    <cellStyle name="Normal 3 2 2 2 2 2 2 2 6 3" xfId="32359" xr:uid="{00000000-0005-0000-0000-000046030000}"/>
    <cellStyle name="Normal 3 2 2 2 2 2 2 2 7" xfId="16712" xr:uid="{00000000-0005-0000-0000-000047030000}"/>
    <cellStyle name="Normal 3 2 2 2 2 2 2 2 7 2" xfId="48583" xr:uid="{00000000-0005-0000-0000-000048030000}"/>
    <cellStyle name="Normal 3 2 2 2 2 2 2 2 8" xfId="32328" xr:uid="{00000000-0005-0000-0000-000049030000}"/>
    <cellStyle name="Normal 3 2 2 2 2 2 2 3" xfId="481" xr:uid="{00000000-0005-0000-0000-00004A030000}"/>
    <cellStyle name="Normal 3 2 2 2 2 2 2 3 2" xfId="482" xr:uid="{00000000-0005-0000-0000-00004B030000}"/>
    <cellStyle name="Normal 3 2 2 2 2 2 2 3 2 2" xfId="483" xr:uid="{00000000-0005-0000-0000-00004C030000}"/>
    <cellStyle name="Normal 3 2 2 2 2 2 2 3 2 2 2" xfId="484" xr:uid="{00000000-0005-0000-0000-00004D030000}"/>
    <cellStyle name="Normal 3 2 2 2 2 2 2 3 2 2 2 2" xfId="485" xr:uid="{00000000-0005-0000-0000-00004E030000}"/>
    <cellStyle name="Normal 3 2 2 2 2 2 2 3 2 2 2 2 2" xfId="28539" xr:uid="{00000000-0005-0000-0000-00004F030000}"/>
    <cellStyle name="Normal 3 2 2 2 2 2 2 3 2 2 2 2 2 2" xfId="60410" xr:uid="{00000000-0005-0000-0000-000050030000}"/>
    <cellStyle name="Normal 3 2 2 2 2 2 2 3 2 2 2 2 3" xfId="32364" xr:uid="{00000000-0005-0000-0000-000051030000}"/>
    <cellStyle name="Normal 3 2 2 2 2 2 2 3 2 2 2 3" xfId="20661" xr:uid="{00000000-0005-0000-0000-000052030000}"/>
    <cellStyle name="Normal 3 2 2 2 2 2 2 3 2 2 2 3 2" xfId="52532" xr:uid="{00000000-0005-0000-0000-000053030000}"/>
    <cellStyle name="Normal 3 2 2 2 2 2 2 3 2 2 2 4" xfId="32363" xr:uid="{00000000-0005-0000-0000-000054030000}"/>
    <cellStyle name="Normal 3 2 2 2 2 2 2 3 2 2 3" xfId="486" xr:uid="{00000000-0005-0000-0000-000055030000}"/>
    <cellStyle name="Normal 3 2 2 2 2 2 2 3 2 2 3 2" xfId="24600" xr:uid="{00000000-0005-0000-0000-000056030000}"/>
    <cellStyle name="Normal 3 2 2 2 2 2 2 3 2 2 3 2 2" xfId="56471" xr:uid="{00000000-0005-0000-0000-000057030000}"/>
    <cellStyle name="Normal 3 2 2 2 2 2 2 3 2 2 3 3" xfId="32365" xr:uid="{00000000-0005-0000-0000-000058030000}"/>
    <cellStyle name="Normal 3 2 2 2 2 2 2 3 2 2 4" xfId="16722" xr:uid="{00000000-0005-0000-0000-000059030000}"/>
    <cellStyle name="Normal 3 2 2 2 2 2 2 3 2 2 4 2" xfId="48593" xr:uid="{00000000-0005-0000-0000-00005A030000}"/>
    <cellStyle name="Normal 3 2 2 2 2 2 2 3 2 2 5" xfId="32362" xr:uid="{00000000-0005-0000-0000-00005B030000}"/>
    <cellStyle name="Normal 3 2 2 2 2 2 2 3 2 3" xfId="487" xr:uid="{00000000-0005-0000-0000-00005C030000}"/>
    <cellStyle name="Normal 3 2 2 2 2 2 2 3 2 3 2" xfId="488" xr:uid="{00000000-0005-0000-0000-00005D030000}"/>
    <cellStyle name="Normal 3 2 2 2 2 2 2 3 2 3 2 2" xfId="28538" xr:uid="{00000000-0005-0000-0000-00005E030000}"/>
    <cellStyle name="Normal 3 2 2 2 2 2 2 3 2 3 2 2 2" xfId="60409" xr:uid="{00000000-0005-0000-0000-00005F030000}"/>
    <cellStyle name="Normal 3 2 2 2 2 2 2 3 2 3 2 3" xfId="32367" xr:uid="{00000000-0005-0000-0000-000060030000}"/>
    <cellStyle name="Normal 3 2 2 2 2 2 2 3 2 3 3" xfId="20660" xr:uid="{00000000-0005-0000-0000-000061030000}"/>
    <cellStyle name="Normal 3 2 2 2 2 2 2 3 2 3 3 2" xfId="52531" xr:uid="{00000000-0005-0000-0000-000062030000}"/>
    <cellStyle name="Normal 3 2 2 2 2 2 2 3 2 3 4" xfId="32366" xr:uid="{00000000-0005-0000-0000-000063030000}"/>
    <cellStyle name="Normal 3 2 2 2 2 2 2 3 2 4" xfId="489" xr:uid="{00000000-0005-0000-0000-000064030000}"/>
    <cellStyle name="Normal 3 2 2 2 2 2 2 3 2 4 2" xfId="24599" xr:uid="{00000000-0005-0000-0000-000065030000}"/>
    <cellStyle name="Normal 3 2 2 2 2 2 2 3 2 4 2 2" xfId="56470" xr:uid="{00000000-0005-0000-0000-000066030000}"/>
    <cellStyle name="Normal 3 2 2 2 2 2 2 3 2 4 3" xfId="32368" xr:uid="{00000000-0005-0000-0000-000067030000}"/>
    <cellStyle name="Normal 3 2 2 2 2 2 2 3 2 5" xfId="16721" xr:uid="{00000000-0005-0000-0000-000068030000}"/>
    <cellStyle name="Normal 3 2 2 2 2 2 2 3 2 5 2" xfId="48592" xr:uid="{00000000-0005-0000-0000-000069030000}"/>
    <cellStyle name="Normal 3 2 2 2 2 2 2 3 2 6" xfId="32361" xr:uid="{00000000-0005-0000-0000-00006A030000}"/>
    <cellStyle name="Normal 3 2 2 2 2 2 2 3 3" xfId="490" xr:uid="{00000000-0005-0000-0000-00006B030000}"/>
    <cellStyle name="Normal 3 2 2 2 2 2 2 3 3 2" xfId="491" xr:uid="{00000000-0005-0000-0000-00006C030000}"/>
    <cellStyle name="Normal 3 2 2 2 2 2 2 3 3 2 2" xfId="492" xr:uid="{00000000-0005-0000-0000-00006D030000}"/>
    <cellStyle name="Normal 3 2 2 2 2 2 2 3 3 2 2 2" xfId="28540" xr:uid="{00000000-0005-0000-0000-00006E030000}"/>
    <cellStyle name="Normal 3 2 2 2 2 2 2 3 3 2 2 2 2" xfId="60411" xr:uid="{00000000-0005-0000-0000-00006F030000}"/>
    <cellStyle name="Normal 3 2 2 2 2 2 2 3 3 2 2 3" xfId="32371" xr:uid="{00000000-0005-0000-0000-000070030000}"/>
    <cellStyle name="Normal 3 2 2 2 2 2 2 3 3 2 3" xfId="20662" xr:uid="{00000000-0005-0000-0000-000071030000}"/>
    <cellStyle name="Normal 3 2 2 2 2 2 2 3 3 2 3 2" xfId="52533" xr:uid="{00000000-0005-0000-0000-000072030000}"/>
    <cellStyle name="Normal 3 2 2 2 2 2 2 3 3 2 4" xfId="32370" xr:uid="{00000000-0005-0000-0000-000073030000}"/>
    <cellStyle name="Normal 3 2 2 2 2 2 2 3 3 3" xfId="493" xr:uid="{00000000-0005-0000-0000-000074030000}"/>
    <cellStyle name="Normal 3 2 2 2 2 2 2 3 3 3 2" xfId="24601" xr:uid="{00000000-0005-0000-0000-000075030000}"/>
    <cellStyle name="Normal 3 2 2 2 2 2 2 3 3 3 2 2" xfId="56472" xr:uid="{00000000-0005-0000-0000-000076030000}"/>
    <cellStyle name="Normal 3 2 2 2 2 2 2 3 3 3 3" xfId="32372" xr:uid="{00000000-0005-0000-0000-000077030000}"/>
    <cellStyle name="Normal 3 2 2 2 2 2 2 3 3 4" xfId="16723" xr:uid="{00000000-0005-0000-0000-000078030000}"/>
    <cellStyle name="Normal 3 2 2 2 2 2 2 3 3 4 2" xfId="48594" xr:uid="{00000000-0005-0000-0000-000079030000}"/>
    <cellStyle name="Normal 3 2 2 2 2 2 2 3 3 5" xfId="32369" xr:uid="{00000000-0005-0000-0000-00007A030000}"/>
    <cellStyle name="Normal 3 2 2 2 2 2 2 3 4" xfId="494" xr:uid="{00000000-0005-0000-0000-00007B030000}"/>
    <cellStyle name="Normal 3 2 2 2 2 2 2 3 4 2" xfId="495" xr:uid="{00000000-0005-0000-0000-00007C030000}"/>
    <cellStyle name="Normal 3 2 2 2 2 2 2 3 4 2 2" xfId="28537" xr:uid="{00000000-0005-0000-0000-00007D030000}"/>
    <cellStyle name="Normal 3 2 2 2 2 2 2 3 4 2 2 2" xfId="60408" xr:uid="{00000000-0005-0000-0000-00007E030000}"/>
    <cellStyle name="Normal 3 2 2 2 2 2 2 3 4 2 3" xfId="32374" xr:uid="{00000000-0005-0000-0000-00007F030000}"/>
    <cellStyle name="Normal 3 2 2 2 2 2 2 3 4 3" xfId="20659" xr:uid="{00000000-0005-0000-0000-000080030000}"/>
    <cellStyle name="Normal 3 2 2 2 2 2 2 3 4 3 2" xfId="52530" xr:uid="{00000000-0005-0000-0000-000081030000}"/>
    <cellStyle name="Normal 3 2 2 2 2 2 2 3 4 4" xfId="32373" xr:uid="{00000000-0005-0000-0000-000082030000}"/>
    <cellStyle name="Normal 3 2 2 2 2 2 2 3 5" xfId="496" xr:uid="{00000000-0005-0000-0000-000083030000}"/>
    <cellStyle name="Normal 3 2 2 2 2 2 2 3 5 2" xfId="24598" xr:uid="{00000000-0005-0000-0000-000084030000}"/>
    <cellStyle name="Normal 3 2 2 2 2 2 2 3 5 2 2" xfId="56469" xr:uid="{00000000-0005-0000-0000-000085030000}"/>
    <cellStyle name="Normal 3 2 2 2 2 2 2 3 5 3" xfId="32375" xr:uid="{00000000-0005-0000-0000-000086030000}"/>
    <cellStyle name="Normal 3 2 2 2 2 2 2 3 6" xfId="16720" xr:uid="{00000000-0005-0000-0000-000087030000}"/>
    <cellStyle name="Normal 3 2 2 2 2 2 2 3 6 2" xfId="48591" xr:uid="{00000000-0005-0000-0000-000088030000}"/>
    <cellStyle name="Normal 3 2 2 2 2 2 2 3 7" xfId="32360" xr:uid="{00000000-0005-0000-0000-000089030000}"/>
    <cellStyle name="Normal 3 2 2 2 2 2 2 4" xfId="497" xr:uid="{00000000-0005-0000-0000-00008A030000}"/>
    <cellStyle name="Normal 3 2 2 2 2 2 2 4 2" xfId="498" xr:uid="{00000000-0005-0000-0000-00008B030000}"/>
    <cellStyle name="Normal 3 2 2 2 2 2 2 4 2 2" xfId="499" xr:uid="{00000000-0005-0000-0000-00008C030000}"/>
    <cellStyle name="Normal 3 2 2 2 2 2 2 4 2 2 2" xfId="500" xr:uid="{00000000-0005-0000-0000-00008D030000}"/>
    <cellStyle name="Normal 3 2 2 2 2 2 2 4 2 2 2 2" xfId="28542" xr:uid="{00000000-0005-0000-0000-00008E030000}"/>
    <cellStyle name="Normal 3 2 2 2 2 2 2 4 2 2 2 2 2" xfId="60413" xr:uid="{00000000-0005-0000-0000-00008F030000}"/>
    <cellStyle name="Normal 3 2 2 2 2 2 2 4 2 2 2 3" xfId="32379" xr:uid="{00000000-0005-0000-0000-000090030000}"/>
    <cellStyle name="Normal 3 2 2 2 2 2 2 4 2 2 3" xfId="20664" xr:uid="{00000000-0005-0000-0000-000091030000}"/>
    <cellStyle name="Normal 3 2 2 2 2 2 2 4 2 2 3 2" xfId="52535" xr:uid="{00000000-0005-0000-0000-000092030000}"/>
    <cellStyle name="Normal 3 2 2 2 2 2 2 4 2 2 4" xfId="32378" xr:uid="{00000000-0005-0000-0000-000093030000}"/>
    <cellStyle name="Normal 3 2 2 2 2 2 2 4 2 3" xfId="501" xr:uid="{00000000-0005-0000-0000-000094030000}"/>
    <cellStyle name="Normal 3 2 2 2 2 2 2 4 2 3 2" xfId="24603" xr:uid="{00000000-0005-0000-0000-000095030000}"/>
    <cellStyle name="Normal 3 2 2 2 2 2 2 4 2 3 2 2" xfId="56474" xr:uid="{00000000-0005-0000-0000-000096030000}"/>
    <cellStyle name="Normal 3 2 2 2 2 2 2 4 2 3 3" xfId="32380" xr:uid="{00000000-0005-0000-0000-000097030000}"/>
    <cellStyle name="Normal 3 2 2 2 2 2 2 4 2 4" xfId="16725" xr:uid="{00000000-0005-0000-0000-000098030000}"/>
    <cellStyle name="Normal 3 2 2 2 2 2 2 4 2 4 2" xfId="48596" xr:uid="{00000000-0005-0000-0000-000099030000}"/>
    <cellStyle name="Normal 3 2 2 2 2 2 2 4 2 5" xfId="32377" xr:uid="{00000000-0005-0000-0000-00009A030000}"/>
    <cellStyle name="Normal 3 2 2 2 2 2 2 4 3" xfId="502" xr:uid="{00000000-0005-0000-0000-00009B030000}"/>
    <cellStyle name="Normal 3 2 2 2 2 2 2 4 3 2" xfId="503" xr:uid="{00000000-0005-0000-0000-00009C030000}"/>
    <cellStyle name="Normal 3 2 2 2 2 2 2 4 3 2 2" xfId="28541" xr:uid="{00000000-0005-0000-0000-00009D030000}"/>
    <cellStyle name="Normal 3 2 2 2 2 2 2 4 3 2 2 2" xfId="60412" xr:uid="{00000000-0005-0000-0000-00009E030000}"/>
    <cellStyle name="Normal 3 2 2 2 2 2 2 4 3 2 3" xfId="32382" xr:uid="{00000000-0005-0000-0000-00009F030000}"/>
    <cellStyle name="Normal 3 2 2 2 2 2 2 4 3 3" xfId="20663" xr:uid="{00000000-0005-0000-0000-0000A0030000}"/>
    <cellStyle name="Normal 3 2 2 2 2 2 2 4 3 3 2" xfId="52534" xr:uid="{00000000-0005-0000-0000-0000A1030000}"/>
    <cellStyle name="Normal 3 2 2 2 2 2 2 4 3 4" xfId="32381" xr:uid="{00000000-0005-0000-0000-0000A2030000}"/>
    <cellStyle name="Normal 3 2 2 2 2 2 2 4 4" xfId="504" xr:uid="{00000000-0005-0000-0000-0000A3030000}"/>
    <cellStyle name="Normal 3 2 2 2 2 2 2 4 4 2" xfId="24602" xr:uid="{00000000-0005-0000-0000-0000A4030000}"/>
    <cellStyle name="Normal 3 2 2 2 2 2 2 4 4 2 2" xfId="56473" xr:uid="{00000000-0005-0000-0000-0000A5030000}"/>
    <cellStyle name="Normal 3 2 2 2 2 2 2 4 4 3" xfId="32383" xr:uid="{00000000-0005-0000-0000-0000A6030000}"/>
    <cellStyle name="Normal 3 2 2 2 2 2 2 4 5" xfId="16724" xr:uid="{00000000-0005-0000-0000-0000A7030000}"/>
    <cellStyle name="Normal 3 2 2 2 2 2 2 4 5 2" xfId="48595" xr:uid="{00000000-0005-0000-0000-0000A8030000}"/>
    <cellStyle name="Normal 3 2 2 2 2 2 2 4 6" xfId="32376" xr:uid="{00000000-0005-0000-0000-0000A9030000}"/>
    <cellStyle name="Normal 3 2 2 2 2 2 2 5" xfId="505" xr:uid="{00000000-0005-0000-0000-0000AA030000}"/>
    <cellStyle name="Normal 3 2 2 2 2 2 2 5 2" xfId="506" xr:uid="{00000000-0005-0000-0000-0000AB030000}"/>
    <cellStyle name="Normal 3 2 2 2 2 2 2 5 2 2" xfId="507" xr:uid="{00000000-0005-0000-0000-0000AC030000}"/>
    <cellStyle name="Normal 3 2 2 2 2 2 2 5 2 2 2" xfId="28543" xr:uid="{00000000-0005-0000-0000-0000AD030000}"/>
    <cellStyle name="Normal 3 2 2 2 2 2 2 5 2 2 2 2" xfId="60414" xr:uid="{00000000-0005-0000-0000-0000AE030000}"/>
    <cellStyle name="Normal 3 2 2 2 2 2 2 5 2 2 3" xfId="32386" xr:uid="{00000000-0005-0000-0000-0000AF030000}"/>
    <cellStyle name="Normal 3 2 2 2 2 2 2 5 2 3" xfId="20665" xr:uid="{00000000-0005-0000-0000-0000B0030000}"/>
    <cellStyle name="Normal 3 2 2 2 2 2 2 5 2 3 2" xfId="52536" xr:uid="{00000000-0005-0000-0000-0000B1030000}"/>
    <cellStyle name="Normal 3 2 2 2 2 2 2 5 2 4" xfId="32385" xr:uid="{00000000-0005-0000-0000-0000B2030000}"/>
    <cellStyle name="Normal 3 2 2 2 2 2 2 5 3" xfId="508" xr:uid="{00000000-0005-0000-0000-0000B3030000}"/>
    <cellStyle name="Normal 3 2 2 2 2 2 2 5 3 2" xfId="24604" xr:uid="{00000000-0005-0000-0000-0000B4030000}"/>
    <cellStyle name="Normal 3 2 2 2 2 2 2 5 3 2 2" xfId="56475" xr:uid="{00000000-0005-0000-0000-0000B5030000}"/>
    <cellStyle name="Normal 3 2 2 2 2 2 2 5 3 3" xfId="32387" xr:uid="{00000000-0005-0000-0000-0000B6030000}"/>
    <cellStyle name="Normal 3 2 2 2 2 2 2 5 4" xfId="16726" xr:uid="{00000000-0005-0000-0000-0000B7030000}"/>
    <cellStyle name="Normal 3 2 2 2 2 2 2 5 4 2" xfId="48597" xr:uid="{00000000-0005-0000-0000-0000B8030000}"/>
    <cellStyle name="Normal 3 2 2 2 2 2 2 5 5" xfId="32384" xr:uid="{00000000-0005-0000-0000-0000B9030000}"/>
    <cellStyle name="Normal 3 2 2 2 2 2 2 6" xfId="509" xr:uid="{00000000-0005-0000-0000-0000BA030000}"/>
    <cellStyle name="Normal 3 2 2 2 2 2 2 6 2" xfId="510" xr:uid="{00000000-0005-0000-0000-0000BB030000}"/>
    <cellStyle name="Normal 3 2 2 2 2 2 2 6 2 2" xfId="28452" xr:uid="{00000000-0005-0000-0000-0000BC030000}"/>
    <cellStyle name="Normal 3 2 2 2 2 2 2 6 2 2 2" xfId="60323" xr:uid="{00000000-0005-0000-0000-0000BD030000}"/>
    <cellStyle name="Normal 3 2 2 2 2 2 2 6 2 3" xfId="32389" xr:uid="{00000000-0005-0000-0000-0000BE030000}"/>
    <cellStyle name="Normal 3 2 2 2 2 2 2 6 3" xfId="20574" xr:uid="{00000000-0005-0000-0000-0000BF030000}"/>
    <cellStyle name="Normal 3 2 2 2 2 2 2 6 3 2" xfId="52445" xr:uid="{00000000-0005-0000-0000-0000C0030000}"/>
    <cellStyle name="Normal 3 2 2 2 2 2 2 6 4" xfId="32388" xr:uid="{00000000-0005-0000-0000-0000C1030000}"/>
    <cellStyle name="Normal 3 2 2 2 2 2 2 7" xfId="511" xr:uid="{00000000-0005-0000-0000-0000C2030000}"/>
    <cellStyle name="Normal 3 2 2 2 2 2 2 7 2" xfId="24513" xr:uid="{00000000-0005-0000-0000-0000C3030000}"/>
    <cellStyle name="Normal 3 2 2 2 2 2 2 7 2 2" xfId="56384" xr:uid="{00000000-0005-0000-0000-0000C4030000}"/>
    <cellStyle name="Normal 3 2 2 2 2 2 2 7 3" xfId="32390" xr:uid="{00000000-0005-0000-0000-0000C5030000}"/>
    <cellStyle name="Normal 3 2 2 2 2 2 2 8" xfId="16635" xr:uid="{00000000-0005-0000-0000-0000C6030000}"/>
    <cellStyle name="Normal 3 2 2 2 2 2 2 8 2" xfId="48506" xr:uid="{00000000-0005-0000-0000-0000C7030000}"/>
    <cellStyle name="Normal 3 2 2 2 2 2 2 9" xfId="32327" xr:uid="{00000000-0005-0000-0000-0000C8030000}"/>
    <cellStyle name="Normal 3 2 2 2 2 2 3" xfId="512" xr:uid="{00000000-0005-0000-0000-0000C9030000}"/>
    <cellStyle name="Normal 3 2 2 2 2 2 3 2" xfId="513" xr:uid="{00000000-0005-0000-0000-0000CA030000}"/>
    <cellStyle name="Normal 3 2 2 2 2 2 3 2 2" xfId="514" xr:uid="{00000000-0005-0000-0000-0000CB030000}"/>
    <cellStyle name="Normal 3 2 2 2 2 2 3 2 2 2" xfId="515" xr:uid="{00000000-0005-0000-0000-0000CC030000}"/>
    <cellStyle name="Normal 3 2 2 2 2 2 3 2 2 2 2" xfId="516" xr:uid="{00000000-0005-0000-0000-0000CD030000}"/>
    <cellStyle name="Normal 3 2 2 2 2 2 3 2 2 2 2 2" xfId="517" xr:uid="{00000000-0005-0000-0000-0000CE030000}"/>
    <cellStyle name="Normal 3 2 2 2 2 2 3 2 2 2 2 2 2" xfId="28547" xr:uid="{00000000-0005-0000-0000-0000CF030000}"/>
    <cellStyle name="Normal 3 2 2 2 2 2 3 2 2 2 2 2 2 2" xfId="60418" xr:uid="{00000000-0005-0000-0000-0000D0030000}"/>
    <cellStyle name="Normal 3 2 2 2 2 2 3 2 2 2 2 2 3" xfId="32396" xr:uid="{00000000-0005-0000-0000-0000D1030000}"/>
    <cellStyle name="Normal 3 2 2 2 2 2 3 2 2 2 2 3" xfId="20669" xr:uid="{00000000-0005-0000-0000-0000D2030000}"/>
    <cellStyle name="Normal 3 2 2 2 2 2 3 2 2 2 2 3 2" xfId="52540" xr:uid="{00000000-0005-0000-0000-0000D3030000}"/>
    <cellStyle name="Normal 3 2 2 2 2 2 3 2 2 2 2 4" xfId="32395" xr:uid="{00000000-0005-0000-0000-0000D4030000}"/>
    <cellStyle name="Normal 3 2 2 2 2 2 3 2 2 2 3" xfId="518" xr:uid="{00000000-0005-0000-0000-0000D5030000}"/>
    <cellStyle name="Normal 3 2 2 2 2 2 3 2 2 2 3 2" xfId="24608" xr:uid="{00000000-0005-0000-0000-0000D6030000}"/>
    <cellStyle name="Normal 3 2 2 2 2 2 3 2 2 2 3 2 2" xfId="56479" xr:uid="{00000000-0005-0000-0000-0000D7030000}"/>
    <cellStyle name="Normal 3 2 2 2 2 2 3 2 2 2 3 3" xfId="32397" xr:uid="{00000000-0005-0000-0000-0000D8030000}"/>
    <cellStyle name="Normal 3 2 2 2 2 2 3 2 2 2 4" xfId="16730" xr:uid="{00000000-0005-0000-0000-0000D9030000}"/>
    <cellStyle name="Normal 3 2 2 2 2 2 3 2 2 2 4 2" xfId="48601" xr:uid="{00000000-0005-0000-0000-0000DA030000}"/>
    <cellStyle name="Normal 3 2 2 2 2 2 3 2 2 2 5" xfId="32394" xr:uid="{00000000-0005-0000-0000-0000DB030000}"/>
    <cellStyle name="Normal 3 2 2 2 2 2 3 2 2 3" xfId="519" xr:uid="{00000000-0005-0000-0000-0000DC030000}"/>
    <cellStyle name="Normal 3 2 2 2 2 2 3 2 2 3 2" xfId="520" xr:uid="{00000000-0005-0000-0000-0000DD030000}"/>
    <cellStyle name="Normal 3 2 2 2 2 2 3 2 2 3 2 2" xfId="28546" xr:uid="{00000000-0005-0000-0000-0000DE030000}"/>
    <cellStyle name="Normal 3 2 2 2 2 2 3 2 2 3 2 2 2" xfId="60417" xr:uid="{00000000-0005-0000-0000-0000DF030000}"/>
    <cellStyle name="Normal 3 2 2 2 2 2 3 2 2 3 2 3" xfId="32399" xr:uid="{00000000-0005-0000-0000-0000E0030000}"/>
    <cellStyle name="Normal 3 2 2 2 2 2 3 2 2 3 3" xfId="20668" xr:uid="{00000000-0005-0000-0000-0000E1030000}"/>
    <cellStyle name="Normal 3 2 2 2 2 2 3 2 2 3 3 2" xfId="52539" xr:uid="{00000000-0005-0000-0000-0000E2030000}"/>
    <cellStyle name="Normal 3 2 2 2 2 2 3 2 2 3 4" xfId="32398" xr:uid="{00000000-0005-0000-0000-0000E3030000}"/>
    <cellStyle name="Normal 3 2 2 2 2 2 3 2 2 4" xfId="521" xr:uid="{00000000-0005-0000-0000-0000E4030000}"/>
    <cellStyle name="Normal 3 2 2 2 2 2 3 2 2 4 2" xfId="24607" xr:uid="{00000000-0005-0000-0000-0000E5030000}"/>
    <cellStyle name="Normal 3 2 2 2 2 2 3 2 2 4 2 2" xfId="56478" xr:uid="{00000000-0005-0000-0000-0000E6030000}"/>
    <cellStyle name="Normal 3 2 2 2 2 2 3 2 2 4 3" xfId="32400" xr:uid="{00000000-0005-0000-0000-0000E7030000}"/>
    <cellStyle name="Normal 3 2 2 2 2 2 3 2 2 5" xfId="16729" xr:uid="{00000000-0005-0000-0000-0000E8030000}"/>
    <cellStyle name="Normal 3 2 2 2 2 2 3 2 2 5 2" xfId="48600" xr:uid="{00000000-0005-0000-0000-0000E9030000}"/>
    <cellStyle name="Normal 3 2 2 2 2 2 3 2 2 6" xfId="32393" xr:uid="{00000000-0005-0000-0000-0000EA030000}"/>
    <cellStyle name="Normal 3 2 2 2 2 2 3 2 3" xfId="522" xr:uid="{00000000-0005-0000-0000-0000EB030000}"/>
    <cellStyle name="Normal 3 2 2 2 2 2 3 2 3 2" xfId="523" xr:uid="{00000000-0005-0000-0000-0000EC030000}"/>
    <cellStyle name="Normal 3 2 2 2 2 2 3 2 3 2 2" xfId="524" xr:uid="{00000000-0005-0000-0000-0000ED030000}"/>
    <cellStyle name="Normal 3 2 2 2 2 2 3 2 3 2 2 2" xfId="28548" xr:uid="{00000000-0005-0000-0000-0000EE030000}"/>
    <cellStyle name="Normal 3 2 2 2 2 2 3 2 3 2 2 2 2" xfId="60419" xr:uid="{00000000-0005-0000-0000-0000EF030000}"/>
    <cellStyle name="Normal 3 2 2 2 2 2 3 2 3 2 2 3" xfId="32403" xr:uid="{00000000-0005-0000-0000-0000F0030000}"/>
    <cellStyle name="Normal 3 2 2 2 2 2 3 2 3 2 3" xfId="20670" xr:uid="{00000000-0005-0000-0000-0000F1030000}"/>
    <cellStyle name="Normal 3 2 2 2 2 2 3 2 3 2 3 2" xfId="52541" xr:uid="{00000000-0005-0000-0000-0000F2030000}"/>
    <cellStyle name="Normal 3 2 2 2 2 2 3 2 3 2 4" xfId="32402" xr:uid="{00000000-0005-0000-0000-0000F3030000}"/>
    <cellStyle name="Normal 3 2 2 2 2 2 3 2 3 3" xfId="525" xr:uid="{00000000-0005-0000-0000-0000F4030000}"/>
    <cellStyle name="Normal 3 2 2 2 2 2 3 2 3 3 2" xfId="24609" xr:uid="{00000000-0005-0000-0000-0000F5030000}"/>
    <cellStyle name="Normal 3 2 2 2 2 2 3 2 3 3 2 2" xfId="56480" xr:uid="{00000000-0005-0000-0000-0000F6030000}"/>
    <cellStyle name="Normal 3 2 2 2 2 2 3 2 3 3 3" xfId="32404" xr:uid="{00000000-0005-0000-0000-0000F7030000}"/>
    <cellStyle name="Normal 3 2 2 2 2 2 3 2 3 4" xfId="16731" xr:uid="{00000000-0005-0000-0000-0000F8030000}"/>
    <cellStyle name="Normal 3 2 2 2 2 2 3 2 3 4 2" xfId="48602" xr:uid="{00000000-0005-0000-0000-0000F9030000}"/>
    <cellStyle name="Normal 3 2 2 2 2 2 3 2 3 5" xfId="32401" xr:uid="{00000000-0005-0000-0000-0000FA030000}"/>
    <cellStyle name="Normal 3 2 2 2 2 2 3 2 4" xfId="526" xr:uid="{00000000-0005-0000-0000-0000FB030000}"/>
    <cellStyle name="Normal 3 2 2 2 2 2 3 2 4 2" xfId="527" xr:uid="{00000000-0005-0000-0000-0000FC030000}"/>
    <cellStyle name="Normal 3 2 2 2 2 2 3 2 4 2 2" xfId="28545" xr:uid="{00000000-0005-0000-0000-0000FD030000}"/>
    <cellStyle name="Normal 3 2 2 2 2 2 3 2 4 2 2 2" xfId="60416" xr:uid="{00000000-0005-0000-0000-0000FE030000}"/>
    <cellStyle name="Normal 3 2 2 2 2 2 3 2 4 2 3" xfId="32406" xr:uid="{00000000-0005-0000-0000-0000FF030000}"/>
    <cellStyle name="Normal 3 2 2 2 2 2 3 2 4 3" xfId="20667" xr:uid="{00000000-0005-0000-0000-000000040000}"/>
    <cellStyle name="Normal 3 2 2 2 2 2 3 2 4 3 2" xfId="52538" xr:uid="{00000000-0005-0000-0000-000001040000}"/>
    <cellStyle name="Normal 3 2 2 2 2 2 3 2 4 4" xfId="32405" xr:uid="{00000000-0005-0000-0000-000002040000}"/>
    <cellStyle name="Normal 3 2 2 2 2 2 3 2 5" xfId="528" xr:uid="{00000000-0005-0000-0000-000003040000}"/>
    <cellStyle name="Normal 3 2 2 2 2 2 3 2 5 2" xfId="24606" xr:uid="{00000000-0005-0000-0000-000004040000}"/>
    <cellStyle name="Normal 3 2 2 2 2 2 3 2 5 2 2" xfId="56477" xr:uid="{00000000-0005-0000-0000-000005040000}"/>
    <cellStyle name="Normal 3 2 2 2 2 2 3 2 5 3" xfId="32407" xr:uid="{00000000-0005-0000-0000-000006040000}"/>
    <cellStyle name="Normal 3 2 2 2 2 2 3 2 6" xfId="16728" xr:uid="{00000000-0005-0000-0000-000007040000}"/>
    <cellStyle name="Normal 3 2 2 2 2 2 3 2 6 2" xfId="48599" xr:uid="{00000000-0005-0000-0000-000008040000}"/>
    <cellStyle name="Normal 3 2 2 2 2 2 3 2 7" xfId="32392" xr:uid="{00000000-0005-0000-0000-000009040000}"/>
    <cellStyle name="Normal 3 2 2 2 2 2 3 3" xfId="529" xr:uid="{00000000-0005-0000-0000-00000A040000}"/>
    <cellStyle name="Normal 3 2 2 2 2 2 3 3 2" xfId="530" xr:uid="{00000000-0005-0000-0000-00000B040000}"/>
    <cellStyle name="Normal 3 2 2 2 2 2 3 3 2 2" xfId="531" xr:uid="{00000000-0005-0000-0000-00000C040000}"/>
    <cellStyle name="Normal 3 2 2 2 2 2 3 3 2 2 2" xfId="532" xr:uid="{00000000-0005-0000-0000-00000D040000}"/>
    <cellStyle name="Normal 3 2 2 2 2 2 3 3 2 2 2 2" xfId="28550" xr:uid="{00000000-0005-0000-0000-00000E040000}"/>
    <cellStyle name="Normal 3 2 2 2 2 2 3 3 2 2 2 2 2" xfId="60421" xr:uid="{00000000-0005-0000-0000-00000F040000}"/>
    <cellStyle name="Normal 3 2 2 2 2 2 3 3 2 2 2 3" xfId="32411" xr:uid="{00000000-0005-0000-0000-000010040000}"/>
    <cellStyle name="Normal 3 2 2 2 2 2 3 3 2 2 3" xfId="20672" xr:uid="{00000000-0005-0000-0000-000011040000}"/>
    <cellStyle name="Normal 3 2 2 2 2 2 3 3 2 2 3 2" xfId="52543" xr:uid="{00000000-0005-0000-0000-000012040000}"/>
    <cellStyle name="Normal 3 2 2 2 2 2 3 3 2 2 4" xfId="32410" xr:uid="{00000000-0005-0000-0000-000013040000}"/>
    <cellStyle name="Normal 3 2 2 2 2 2 3 3 2 3" xfId="533" xr:uid="{00000000-0005-0000-0000-000014040000}"/>
    <cellStyle name="Normal 3 2 2 2 2 2 3 3 2 3 2" xfId="24611" xr:uid="{00000000-0005-0000-0000-000015040000}"/>
    <cellStyle name="Normal 3 2 2 2 2 2 3 3 2 3 2 2" xfId="56482" xr:uid="{00000000-0005-0000-0000-000016040000}"/>
    <cellStyle name="Normal 3 2 2 2 2 2 3 3 2 3 3" xfId="32412" xr:uid="{00000000-0005-0000-0000-000017040000}"/>
    <cellStyle name="Normal 3 2 2 2 2 2 3 3 2 4" xfId="16733" xr:uid="{00000000-0005-0000-0000-000018040000}"/>
    <cellStyle name="Normal 3 2 2 2 2 2 3 3 2 4 2" xfId="48604" xr:uid="{00000000-0005-0000-0000-000019040000}"/>
    <cellStyle name="Normal 3 2 2 2 2 2 3 3 2 5" xfId="32409" xr:uid="{00000000-0005-0000-0000-00001A040000}"/>
    <cellStyle name="Normal 3 2 2 2 2 2 3 3 3" xfId="534" xr:uid="{00000000-0005-0000-0000-00001B040000}"/>
    <cellStyle name="Normal 3 2 2 2 2 2 3 3 3 2" xfId="535" xr:uid="{00000000-0005-0000-0000-00001C040000}"/>
    <cellStyle name="Normal 3 2 2 2 2 2 3 3 3 2 2" xfId="28549" xr:uid="{00000000-0005-0000-0000-00001D040000}"/>
    <cellStyle name="Normal 3 2 2 2 2 2 3 3 3 2 2 2" xfId="60420" xr:uid="{00000000-0005-0000-0000-00001E040000}"/>
    <cellStyle name="Normal 3 2 2 2 2 2 3 3 3 2 3" xfId="32414" xr:uid="{00000000-0005-0000-0000-00001F040000}"/>
    <cellStyle name="Normal 3 2 2 2 2 2 3 3 3 3" xfId="20671" xr:uid="{00000000-0005-0000-0000-000020040000}"/>
    <cellStyle name="Normal 3 2 2 2 2 2 3 3 3 3 2" xfId="52542" xr:uid="{00000000-0005-0000-0000-000021040000}"/>
    <cellStyle name="Normal 3 2 2 2 2 2 3 3 3 4" xfId="32413" xr:uid="{00000000-0005-0000-0000-000022040000}"/>
    <cellStyle name="Normal 3 2 2 2 2 2 3 3 4" xfId="536" xr:uid="{00000000-0005-0000-0000-000023040000}"/>
    <cellStyle name="Normal 3 2 2 2 2 2 3 3 4 2" xfId="24610" xr:uid="{00000000-0005-0000-0000-000024040000}"/>
    <cellStyle name="Normal 3 2 2 2 2 2 3 3 4 2 2" xfId="56481" xr:uid="{00000000-0005-0000-0000-000025040000}"/>
    <cellStyle name="Normal 3 2 2 2 2 2 3 3 4 3" xfId="32415" xr:uid="{00000000-0005-0000-0000-000026040000}"/>
    <cellStyle name="Normal 3 2 2 2 2 2 3 3 5" xfId="16732" xr:uid="{00000000-0005-0000-0000-000027040000}"/>
    <cellStyle name="Normal 3 2 2 2 2 2 3 3 5 2" xfId="48603" xr:uid="{00000000-0005-0000-0000-000028040000}"/>
    <cellStyle name="Normal 3 2 2 2 2 2 3 3 6" xfId="32408" xr:uid="{00000000-0005-0000-0000-000029040000}"/>
    <cellStyle name="Normal 3 2 2 2 2 2 3 4" xfId="537" xr:uid="{00000000-0005-0000-0000-00002A040000}"/>
    <cellStyle name="Normal 3 2 2 2 2 2 3 4 2" xfId="538" xr:uid="{00000000-0005-0000-0000-00002B040000}"/>
    <cellStyle name="Normal 3 2 2 2 2 2 3 4 2 2" xfId="539" xr:uid="{00000000-0005-0000-0000-00002C040000}"/>
    <cellStyle name="Normal 3 2 2 2 2 2 3 4 2 2 2" xfId="28551" xr:uid="{00000000-0005-0000-0000-00002D040000}"/>
    <cellStyle name="Normal 3 2 2 2 2 2 3 4 2 2 2 2" xfId="60422" xr:uid="{00000000-0005-0000-0000-00002E040000}"/>
    <cellStyle name="Normal 3 2 2 2 2 2 3 4 2 2 3" xfId="32418" xr:uid="{00000000-0005-0000-0000-00002F040000}"/>
    <cellStyle name="Normal 3 2 2 2 2 2 3 4 2 3" xfId="20673" xr:uid="{00000000-0005-0000-0000-000030040000}"/>
    <cellStyle name="Normal 3 2 2 2 2 2 3 4 2 3 2" xfId="52544" xr:uid="{00000000-0005-0000-0000-000031040000}"/>
    <cellStyle name="Normal 3 2 2 2 2 2 3 4 2 4" xfId="32417" xr:uid="{00000000-0005-0000-0000-000032040000}"/>
    <cellStyle name="Normal 3 2 2 2 2 2 3 4 3" xfId="540" xr:uid="{00000000-0005-0000-0000-000033040000}"/>
    <cellStyle name="Normal 3 2 2 2 2 2 3 4 3 2" xfId="24612" xr:uid="{00000000-0005-0000-0000-000034040000}"/>
    <cellStyle name="Normal 3 2 2 2 2 2 3 4 3 2 2" xfId="56483" xr:uid="{00000000-0005-0000-0000-000035040000}"/>
    <cellStyle name="Normal 3 2 2 2 2 2 3 4 3 3" xfId="32419" xr:uid="{00000000-0005-0000-0000-000036040000}"/>
    <cellStyle name="Normal 3 2 2 2 2 2 3 4 4" xfId="16734" xr:uid="{00000000-0005-0000-0000-000037040000}"/>
    <cellStyle name="Normal 3 2 2 2 2 2 3 4 4 2" xfId="48605" xr:uid="{00000000-0005-0000-0000-000038040000}"/>
    <cellStyle name="Normal 3 2 2 2 2 2 3 4 5" xfId="32416" xr:uid="{00000000-0005-0000-0000-000039040000}"/>
    <cellStyle name="Normal 3 2 2 2 2 2 3 5" xfId="541" xr:uid="{00000000-0005-0000-0000-00003A040000}"/>
    <cellStyle name="Normal 3 2 2 2 2 2 3 5 2" xfId="542" xr:uid="{00000000-0005-0000-0000-00003B040000}"/>
    <cellStyle name="Normal 3 2 2 2 2 2 3 5 2 2" xfId="28544" xr:uid="{00000000-0005-0000-0000-00003C040000}"/>
    <cellStyle name="Normal 3 2 2 2 2 2 3 5 2 2 2" xfId="60415" xr:uid="{00000000-0005-0000-0000-00003D040000}"/>
    <cellStyle name="Normal 3 2 2 2 2 2 3 5 2 3" xfId="32421" xr:uid="{00000000-0005-0000-0000-00003E040000}"/>
    <cellStyle name="Normal 3 2 2 2 2 2 3 5 3" xfId="20666" xr:uid="{00000000-0005-0000-0000-00003F040000}"/>
    <cellStyle name="Normal 3 2 2 2 2 2 3 5 3 2" xfId="52537" xr:uid="{00000000-0005-0000-0000-000040040000}"/>
    <cellStyle name="Normal 3 2 2 2 2 2 3 5 4" xfId="32420" xr:uid="{00000000-0005-0000-0000-000041040000}"/>
    <cellStyle name="Normal 3 2 2 2 2 2 3 6" xfId="543" xr:uid="{00000000-0005-0000-0000-000042040000}"/>
    <cellStyle name="Normal 3 2 2 2 2 2 3 6 2" xfId="24605" xr:uid="{00000000-0005-0000-0000-000043040000}"/>
    <cellStyle name="Normal 3 2 2 2 2 2 3 6 2 2" xfId="56476" xr:uid="{00000000-0005-0000-0000-000044040000}"/>
    <cellStyle name="Normal 3 2 2 2 2 2 3 6 3" xfId="32422" xr:uid="{00000000-0005-0000-0000-000045040000}"/>
    <cellStyle name="Normal 3 2 2 2 2 2 3 7" xfId="16727" xr:uid="{00000000-0005-0000-0000-000046040000}"/>
    <cellStyle name="Normal 3 2 2 2 2 2 3 7 2" xfId="48598" xr:uid="{00000000-0005-0000-0000-000047040000}"/>
    <cellStyle name="Normal 3 2 2 2 2 2 3 8" xfId="32391" xr:uid="{00000000-0005-0000-0000-000048040000}"/>
    <cellStyle name="Normal 3 2 2 2 2 2 4" xfId="544" xr:uid="{00000000-0005-0000-0000-000049040000}"/>
    <cellStyle name="Normal 3 2 2 2 2 2 4 2" xfId="545" xr:uid="{00000000-0005-0000-0000-00004A040000}"/>
    <cellStyle name="Normal 3 2 2 2 2 2 4 2 2" xfId="546" xr:uid="{00000000-0005-0000-0000-00004B040000}"/>
    <cellStyle name="Normal 3 2 2 2 2 2 4 2 2 2" xfId="547" xr:uid="{00000000-0005-0000-0000-00004C040000}"/>
    <cellStyle name="Normal 3 2 2 2 2 2 4 2 2 2 2" xfId="548" xr:uid="{00000000-0005-0000-0000-00004D040000}"/>
    <cellStyle name="Normal 3 2 2 2 2 2 4 2 2 2 2 2" xfId="28554" xr:uid="{00000000-0005-0000-0000-00004E040000}"/>
    <cellStyle name="Normal 3 2 2 2 2 2 4 2 2 2 2 2 2" xfId="60425" xr:uid="{00000000-0005-0000-0000-00004F040000}"/>
    <cellStyle name="Normal 3 2 2 2 2 2 4 2 2 2 2 3" xfId="32427" xr:uid="{00000000-0005-0000-0000-000050040000}"/>
    <cellStyle name="Normal 3 2 2 2 2 2 4 2 2 2 3" xfId="20676" xr:uid="{00000000-0005-0000-0000-000051040000}"/>
    <cellStyle name="Normal 3 2 2 2 2 2 4 2 2 2 3 2" xfId="52547" xr:uid="{00000000-0005-0000-0000-000052040000}"/>
    <cellStyle name="Normal 3 2 2 2 2 2 4 2 2 2 4" xfId="32426" xr:uid="{00000000-0005-0000-0000-000053040000}"/>
    <cellStyle name="Normal 3 2 2 2 2 2 4 2 2 3" xfId="549" xr:uid="{00000000-0005-0000-0000-000054040000}"/>
    <cellStyle name="Normal 3 2 2 2 2 2 4 2 2 3 2" xfId="24615" xr:uid="{00000000-0005-0000-0000-000055040000}"/>
    <cellStyle name="Normal 3 2 2 2 2 2 4 2 2 3 2 2" xfId="56486" xr:uid="{00000000-0005-0000-0000-000056040000}"/>
    <cellStyle name="Normal 3 2 2 2 2 2 4 2 2 3 3" xfId="32428" xr:uid="{00000000-0005-0000-0000-000057040000}"/>
    <cellStyle name="Normal 3 2 2 2 2 2 4 2 2 4" xfId="16737" xr:uid="{00000000-0005-0000-0000-000058040000}"/>
    <cellStyle name="Normal 3 2 2 2 2 2 4 2 2 4 2" xfId="48608" xr:uid="{00000000-0005-0000-0000-000059040000}"/>
    <cellStyle name="Normal 3 2 2 2 2 2 4 2 2 5" xfId="32425" xr:uid="{00000000-0005-0000-0000-00005A040000}"/>
    <cellStyle name="Normal 3 2 2 2 2 2 4 2 3" xfId="550" xr:uid="{00000000-0005-0000-0000-00005B040000}"/>
    <cellStyle name="Normal 3 2 2 2 2 2 4 2 3 2" xfId="551" xr:uid="{00000000-0005-0000-0000-00005C040000}"/>
    <cellStyle name="Normal 3 2 2 2 2 2 4 2 3 2 2" xfId="28553" xr:uid="{00000000-0005-0000-0000-00005D040000}"/>
    <cellStyle name="Normal 3 2 2 2 2 2 4 2 3 2 2 2" xfId="60424" xr:uid="{00000000-0005-0000-0000-00005E040000}"/>
    <cellStyle name="Normal 3 2 2 2 2 2 4 2 3 2 3" xfId="32430" xr:uid="{00000000-0005-0000-0000-00005F040000}"/>
    <cellStyle name="Normal 3 2 2 2 2 2 4 2 3 3" xfId="20675" xr:uid="{00000000-0005-0000-0000-000060040000}"/>
    <cellStyle name="Normal 3 2 2 2 2 2 4 2 3 3 2" xfId="52546" xr:uid="{00000000-0005-0000-0000-000061040000}"/>
    <cellStyle name="Normal 3 2 2 2 2 2 4 2 3 4" xfId="32429" xr:uid="{00000000-0005-0000-0000-000062040000}"/>
    <cellStyle name="Normal 3 2 2 2 2 2 4 2 4" xfId="552" xr:uid="{00000000-0005-0000-0000-000063040000}"/>
    <cellStyle name="Normal 3 2 2 2 2 2 4 2 4 2" xfId="24614" xr:uid="{00000000-0005-0000-0000-000064040000}"/>
    <cellStyle name="Normal 3 2 2 2 2 2 4 2 4 2 2" xfId="56485" xr:uid="{00000000-0005-0000-0000-000065040000}"/>
    <cellStyle name="Normal 3 2 2 2 2 2 4 2 4 3" xfId="32431" xr:uid="{00000000-0005-0000-0000-000066040000}"/>
    <cellStyle name="Normal 3 2 2 2 2 2 4 2 5" xfId="16736" xr:uid="{00000000-0005-0000-0000-000067040000}"/>
    <cellStyle name="Normal 3 2 2 2 2 2 4 2 5 2" xfId="48607" xr:uid="{00000000-0005-0000-0000-000068040000}"/>
    <cellStyle name="Normal 3 2 2 2 2 2 4 2 6" xfId="32424" xr:uid="{00000000-0005-0000-0000-000069040000}"/>
    <cellStyle name="Normal 3 2 2 2 2 2 4 3" xfId="553" xr:uid="{00000000-0005-0000-0000-00006A040000}"/>
    <cellStyle name="Normal 3 2 2 2 2 2 4 3 2" xfId="554" xr:uid="{00000000-0005-0000-0000-00006B040000}"/>
    <cellStyle name="Normal 3 2 2 2 2 2 4 3 2 2" xfId="555" xr:uid="{00000000-0005-0000-0000-00006C040000}"/>
    <cellStyle name="Normal 3 2 2 2 2 2 4 3 2 2 2" xfId="28555" xr:uid="{00000000-0005-0000-0000-00006D040000}"/>
    <cellStyle name="Normal 3 2 2 2 2 2 4 3 2 2 2 2" xfId="60426" xr:uid="{00000000-0005-0000-0000-00006E040000}"/>
    <cellStyle name="Normal 3 2 2 2 2 2 4 3 2 2 3" xfId="32434" xr:uid="{00000000-0005-0000-0000-00006F040000}"/>
    <cellStyle name="Normal 3 2 2 2 2 2 4 3 2 3" xfId="20677" xr:uid="{00000000-0005-0000-0000-000070040000}"/>
    <cellStyle name="Normal 3 2 2 2 2 2 4 3 2 3 2" xfId="52548" xr:uid="{00000000-0005-0000-0000-000071040000}"/>
    <cellStyle name="Normal 3 2 2 2 2 2 4 3 2 4" xfId="32433" xr:uid="{00000000-0005-0000-0000-000072040000}"/>
    <cellStyle name="Normal 3 2 2 2 2 2 4 3 3" xfId="556" xr:uid="{00000000-0005-0000-0000-000073040000}"/>
    <cellStyle name="Normal 3 2 2 2 2 2 4 3 3 2" xfId="24616" xr:uid="{00000000-0005-0000-0000-000074040000}"/>
    <cellStyle name="Normal 3 2 2 2 2 2 4 3 3 2 2" xfId="56487" xr:uid="{00000000-0005-0000-0000-000075040000}"/>
    <cellStyle name="Normal 3 2 2 2 2 2 4 3 3 3" xfId="32435" xr:uid="{00000000-0005-0000-0000-000076040000}"/>
    <cellStyle name="Normal 3 2 2 2 2 2 4 3 4" xfId="16738" xr:uid="{00000000-0005-0000-0000-000077040000}"/>
    <cellStyle name="Normal 3 2 2 2 2 2 4 3 4 2" xfId="48609" xr:uid="{00000000-0005-0000-0000-000078040000}"/>
    <cellStyle name="Normal 3 2 2 2 2 2 4 3 5" xfId="32432" xr:uid="{00000000-0005-0000-0000-000079040000}"/>
    <cellStyle name="Normal 3 2 2 2 2 2 4 4" xfId="557" xr:uid="{00000000-0005-0000-0000-00007A040000}"/>
    <cellStyle name="Normal 3 2 2 2 2 2 4 4 2" xfId="558" xr:uid="{00000000-0005-0000-0000-00007B040000}"/>
    <cellStyle name="Normal 3 2 2 2 2 2 4 4 2 2" xfId="28552" xr:uid="{00000000-0005-0000-0000-00007C040000}"/>
    <cellStyle name="Normal 3 2 2 2 2 2 4 4 2 2 2" xfId="60423" xr:uid="{00000000-0005-0000-0000-00007D040000}"/>
    <cellStyle name="Normal 3 2 2 2 2 2 4 4 2 3" xfId="32437" xr:uid="{00000000-0005-0000-0000-00007E040000}"/>
    <cellStyle name="Normal 3 2 2 2 2 2 4 4 3" xfId="20674" xr:uid="{00000000-0005-0000-0000-00007F040000}"/>
    <cellStyle name="Normal 3 2 2 2 2 2 4 4 3 2" xfId="52545" xr:uid="{00000000-0005-0000-0000-000080040000}"/>
    <cellStyle name="Normal 3 2 2 2 2 2 4 4 4" xfId="32436" xr:uid="{00000000-0005-0000-0000-000081040000}"/>
    <cellStyle name="Normal 3 2 2 2 2 2 4 5" xfId="559" xr:uid="{00000000-0005-0000-0000-000082040000}"/>
    <cellStyle name="Normal 3 2 2 2 2 2 4 5 2" xfId="24613" xr:uid="{00000000-0005-0000-0000-000083040000}"/>
    <cellStyle name="Normal 3 2 2 2 2 2 4 5 2 2" xfId="56484" xr:uid="{00000000-0005-0000-0000-000084040000}"/>
    <cellStyle name="Normal 3 2 2 2 2 2 4 5 3" xfId="32438" xr:uid="{00000000-0005-0000-0000-000085040000}"/>
    <cellStyle name="Normal 3 2 2 2 2 2 4 6" xfId="16735" xr:uid="{00000000-0005-0000-0000-000086040000}"/>
    <cellStyle name="Normal 3 2 2 2 2 2 4 6 2" xfId="48606" xr:uid="{00000000-0005-0000-0000-000087040000}"/>
    <cellStyle name="Normal 3 2 2 2 2 2 4 7" xfId="32423" xr:uid="{00000000-0005-0000-0000-000088040000}"/>
    <cellStyle name="Normal 3 2 2 2 2 2 5" xfId="560" xr:uid="{00000000-0005-0000-0000-000089040000}"/>
    <cellStyle name="Normal 3 2 2 2 2 2 5 2" xfId="561" xr:uid="{00000000-0005-0000-0000-00008A040000}"/>
    <cellStyle name="Normal 3 2 2 2 2 2 5 2 2" xfId="562" xr:uid="{00000000-0005-0000-0000-00008B040000}"/>
    <cellStyle name="Normal 3 2 2 2 2 2 5 2 2 2" xfId="563" xr:uid="{00000000-0005-0000-0000-00008C040000}"/>
    <cellStyle name="Normal 3 2 2 2 2 2 5 2 2 2 2" xfId="28557" xr:uid="{00000000-0005-0000-0000-00008D040000}"/>
    <cellStyle name="Normal 3 2 2 2 2 2 5 2 2 2 2 2" xfId="60428" xr:uid="{00000000-0005-0000-0000-00008E040000}"/>
    <cellStyle name="Normal 3 2 2 2 2 2 5 2 2 2 3" xfId="32442" xr:uid="{00000000-0005-0000-0000-00008F040000}"/>
    <cellStyle name="Normal 3 2 2 2 2 2 5 2 2 3" xfId="20679" xr:uid="{00000000-0005-0000-0000-000090040000}"/>
    <cellStyle name="Normal 3 2 2 2 2 2 5 2 2 3 2" xfId="52550" xr:uid="{00000000-0005-0000-0000-000091040000}"/>
    <cellStyle name="Normal 3 2 2 2 2 2 5 2 2 4" xfId="32441" xr:uid="{00000000-0005-0000-0000-000092040000}"/>
    <cellStyle name="Normal 3 2 2 2 2 2 5 2 3" xfId="564" xr:uid="{00000000-0005-0000-0000-000093040000}"/>
    <cellStyle name="Normal 3 2 2 2 2 2 5 2 3 2" xfId="24618" xr:uid="{00000000-0005-0000-0000-000094040000}"/>
    <cellStyle name="Normal 3 2 2 2 2 2 5 2 3 2 2" xfId="56489" xr:uid="{00000000-0005-0000-0000-000095040000}"/>
    <cellStyle name="Normal 3 2 2 2 2 2 5 2 3 3" xfId="32443" xr:uid="{00000000-0005-0000-0000-000096040000}"/>
    <cellStyle name="Normal 3 2 2 2 2 2 5 2 4" xfId="16740" xr:uid="{00000000-0005-0000-0000-000097040000}"/>
    <cellStyle name="Normal 3 2 2 2 2 2 5 2 4 2" xfId="48611" xr:uid="{00000000-0005-0000-0000-000098040000}"/>
    <cellStyle name="Normal 3 2 2 2 2 2 5 2 5" xfId="32440" xr:uid="{00000000-0005-0000-0000-000099040000}"/>
    <cellStyle name="Normal 3 2 2 2 2 2 5 3" xfId="565" xr:uid="{00000000-0005-0000-0000-00009A040000}"/>
    <cellStyle name="Normal 3 2 2 2 2 2 5 3 2" xfId="566" xr:uid="{00000000-0005-0000-0000-00009B040000}"/>
    <cellStyle name="Normal 3 2 2 2 2 2 5 3 2 2" xfId="28556" xr:uid="{00000000-0005-0000-0000-00009C040000}"/>
    <cellStyle name="Normal 3 2 2 2 2 2 5 3 2 2 2" xfId="60427" xr:uid="{00000000-0005-0000-0000-00009D040000}"/>
    <cellStyle name="Normal 3 2 2 2 2 2 5 3 2 3" xfId="32445" xr:uid="{00000000-0005-0000-0000-00009E040000}"/>
    <cellStyle name="Normal 3 2 2 2 2 2 5 3 3" xfId="20678" xr:uid="{00000000-0005-0000-0000-00009F040000}"/>
    <cellStyle name="Normal 3 2 2 2 2 2 5 3 3 2" xfId="52549" xr:uid="{00000000-0005-0000-0000-0000A0040000}"/>
    <cellStyle name="Normal 3 2 2 2 2 2 5 3 4" xfId="32444" xr:uid="{00000000-0005-0000-0000-0000A1040000}"/>
    <cellStyle name="Normal 3 2 2 2 2 2 5 4" xfId="567" xr:uid="{00000000-0005-0000-0000-0000A2040000}"/>
    <cellStyle name="Normal 3 2 2 2 2 2 5 4 2" xfId="24617" xr:uid="{00000000-0005-0000-0000-0000A3040000}"/>
    <cellStyle name="Normal 3 2 2 2 2 2 5 4 2 2" xfId="56488" xr:uid="{00000000-0005-0000-0000-0000A4040000}"/>
    <cellStyle name="Normal 3 2 2 2 2 2 5 4 3" xfId="32446" xr:uid="{00000000-0005-0000-0000-0000A5040000}"/>
    <cellStyle name="Normal 3 2 2 2 2 2 5 5" xfId="16739" xr:uid="{00000000-0005-0000-0000-0000A6040000}"/>
    <cellStyle name="Normal 3 2 2 2 2 2 5 5 2" xfId="48610" xr:uid="{00000000-0005-0000-0000-0000A7040000}"/>
    <cellStyle name="Normal 3 2 2 2 2 2 5 6" xfId="32439" xr:uid="{00000000-0005-0000-0000-0000A8040000}"/>
    <cellStyle name="Normal 3 2 2 2 2 2 6" xfId="568" xr:uid="{00000000-0005-0000-0000-0000A9040000}"/>
    <cellStyle name="Normal 3 2 2 2 2 2 6 2" xfId="569" xr:uid="{00000000-0005-0000-0000-0000AA040000}"/>
    <cellStyle name="Normal 3 2 2 2 2 2 6 2 2" xfId="570" xr:uid="{00000000-0005-0000-0000-0000AB040000}"/>
    <cellStyle name="Normal 3 2 2 2 2 2 6 2 2 2" xfId="28558" xr:uid="{00000000-0005-0000-0000-0000AC040000}"/>
    <cellStyle name="Normal 3 2 2 2 2 2 6 2 2 2 2" xfId="60429" xr:uid="{00000000-0005-0000-0000-0000AD040000}"/>
    <cellStyle name="Normal 3 2 2 2 2 2 6 2 2 3" xfId="32449" xr:uid="{00000000-0005-0000-0000-0000AE040000}"/>
    <cellStyle name="Normal 3 2 2 2 2 2 6 2 3" xfId="20680" xr:uid="{00000000-0005-0000-0000-0000AF040000}"/>
    <cellStyle name="Normal 3 2 2 2 2 2 6 2 3 2" xfId="52551" xr:uid="{00000000-0005-0000-0000-0000B0040000}"/>
    <cellStyle name="Normal 3 2 2 2 2 2 6 2 4" xfId="32448" xr:uid="{00000000-0005-0000-0000-0000B1040000}"/>
    <cellStyle name="Normal 3 2 2 2 2 2 6 3" xfId="571" xr:uid="{00000000-0005-0000-0000-0000B2040000}"/>
    <cellStyle name="Normal 3 2 2 2 2 2 6 3 2" xfId="24619" xr:uid="{00000000-0005-0000-0000-0000B3040000}"/>
    <cellStyle name="Normal 3 2 2 2 2 2 6 3 2 2" xfId="56490" xr:uid="{00000000-0005-0000-0000-0000B4040000}"/>
    <cellStyle name="Normal 3 2 2 2 2 2 6 3 3" xfId="32450" xr:uid="{00000000-0005-0000-0000-0000B5040000}"/>
    <cellStyle name="Normal 3 2 2 2 2 2 6 4" xfId="16741" xr:uid="{00000000-0005-0000-0000-0000B6040000}"/>
    <cellStyle name="Normal 3 2 2 2 2 2 6 4 2" xfId="48612" xr:uid="{00000000-0005-0000-0000-0000B7040000}"/>
    <cellStyle name="Normal 3 2 2 2 2 2 6 5" xfId="32447" xr:uid="{00000000-0005-0000-0000-0000B8040000}"/>
    <cellStyle name="Normal 3 2 2 2 2 2 7" xfId="572" xr:uid="{00000000-0005-0000-0000-0000B9040000}"/>
    <cellStyle name="Normal 3 2 2 2 2 2 7 2" xfId="573" xr:uid="{00000000-0005-0000-0000-0000BA040000}"/>
    <cellStyle name="Normal 3 2 2 2 2 2 7 2 2" xfId="28329" xr:uid="{00000000-0005-0000-0000-0000BB040000}"/>
    <cellStyle name="Normal 3 2 2 2 2 2 7 2 2 2" xfId="60200" xr:uid="{00000000-0005-0000-0000-0000BC040000}"/>
    <cellStyle name="Normal 3 2 2 2 2 2 7 2 3" xfId="32452" xr:uid="{00000000-0005-0000-0000-0000BD040000}"/>
    <cellStyle name="Normal 3 2 2 2 2 2 7 3" xfId="20451" xr:uid="{00000000-0005-0000-0000-0000BE040000}"/>
    <cellStyle name="Normal 3 2 2 2 2 2 7 3 2" xfId="52322" xr:uid="{00000000-0005-0000-0000-0000BF040000}"/>
    <cellStyle name="Normal 3 2 2 2 2 2 7 4" xfId="32451" xr:uid="{00000000-0005-0000-0000-0000C0040000}"/>
    <cellStyle name="Normal 3 2 2 2 2 2 8" xfId="574" xr:uid="{00000000-0005-0000-0000-0000C1040000}"/>
    <cellStyle name="Normal 3 2 2 2 2 2 8 2" xfId="24390" xr:uid="{00000000-0005-0000-0000-0000C2040000}"/>
    <cellStyle name="Normal 3 2 2 2 2 2 8 2 2" xfId="56261" xr:uid="{00000000-0005-0000-0000-0000C3040000}"/>
    <cellStyle name="Normal 3 2 2 2 2 2 8 3" xfId="32453" xr:uid="{00000000-0005-0000-0000-0000C4040000}"/>
    <cellStyle name="Normal 3 2 2 2 2 2 9" xfId="16512" xr:uid="{00000000-0005-0000-0000-0000C5040000}"/>
    <cellStyle name="Normal 3 2 2 2 2 2 9 2" xfId="48383" xr:uid="{00000000-0005-0000-0000-0000C6040000}"/>
    <cellStyle name="Normal 3 2 2 2 2 3" xfId="575" xr:uid="{00000000-0005-0000-0000-0000C7040000}"/>
    <cellStyle name="Normal 3 2 2 2 2 3 10" xfId="32454" xr:uid="{00000000-0005-0000-0000-0000C8040000}"/>
    <cellStyle name="Normal 3 2 2 2 2 3 2" xfId="576" xr:uid="{00000000-0005-0000-0000-0000C9040000}"/>
    <cellStyle name="Normal 3 2 2 2 2 3 2 2" xfId="577" xr:uid="{00000000-0005-0000-0000-0000CA040000}"/>
    <cellStyle name="Normal 3 2 2 2 2 3 2 2 2" xfId="578" xr:uid="{00000000-0005-0000-0000-0000CB040000}"/>
    <cellStyle name="Normal 3 2 2 2 2 3 2 2 2 2" xfId="579" xr:uid="{00000000-0005-0000-0000-0000CC040000}"/>
    <cellStyle name="Normal 3 2 2 2 2 3 2 2 2 2 2" xfId="580" xr:uid="{00000000-0005-0000-0000-0000CD040000}"/>
    <cellStyle name="Normal 3 2 2 2 2 3 2 2 2 2 2 2" xfId="581" xr:uid="{00000000-0005-0000-0000-0000CE040000}"/>
    <cellStyle name="Normal 3 2 2 2 2 3 2 2 2 2 2 2 2" xfId="582" xr:uid="{00000000-0005-0000-0000-0000CF040000}"/>
    <cellStyle name="Normal 3 2 2 2 2 3 2 2 2 2 2 2 2 2" xfId="28562" xr:uid="{00000000-0005-0000-0000-0000D0040000}"/>
    <cellStyle name="Normal 3 2 2 2 2 3 2 2 2 2 2 2 2 2 2" xfId="60433" xr:uid="{00000000-0005-0000-0000-0000D1040000}"/>
    <cellStyle name="Normal 3 2 2 2 2 3 2 2 2 2 2 2 2 3" xfId="32461" xr:uid="{00000000-0005-0000-0000-0000D2040000}"/>
    <cellStyle name="Normal 3 2 2 2 2 3 2 2 2 2 2 2 3" xfId="20684" xr:uid="{00000000-0005-0000-0000-0000D3040000}"/>
    <cellStyle name="Normal 3 2 2 2 2 3 2 2 2 2 2 2 3 2" xfId="52555" xr:uid="{00000000-0005-0000-0000-0000D4040000}"/>
    <cellStyle name="Normal 3 2 2 2 2 3 2 2 2 2 2 2 4" xfId="32460" xr:uid="{00000000-0005-0000-0000-0000D5040000}"/>
    <cellStyle name="Normal 3 2 2 2 2 3 2 2 2 2 2 3" xfId="583" xr:uid="{00000000-0005-0000-0000-0000D6040000}"/>
    <cellStyle name="Normal 3 2 2 2 2 3 2 2 2 2 2 3 2" xfId="24623" xr:uid="{00000000-0005-0000-0000-0000D7040000}"/>
    <cellStyle name="Normal 3 2 2 2 2 3 2 2 2 2 2 3 2 2" xfId="56494" xr:uid="{00000000-0005-0000-0000-0000D8040000}"/>
    <cellStyle name="Normal 3 2 2 2 2 3 2 2 2 2 2 3 3" xfId="32462" xr:uid="{00000000-0005-0000-0000-0000D9040000}"/>
    <cellStyle name="Normal 3 2 2 2 2 3 2 2 2 2 2 4" xfId="16745" xr:uid="{00000000-0005-0000-0000-0000DA040000}"/>
    <cellStyle name="Normal 3 2 2 2 2 3 2 2 2 2 2 4 2" xfId="48616" xr:uid="{00000000-0005-0000-0000-0000DB040000}"/>
    <cellStyle name="Normal 3 2 2 2 2 3 2 2 2 2 2 5" xfId="32459" xr:uid="{00000000-0005-0000-0000-0000DC040000}"/>
    <cellStyle name="Normal 3 2 2 2 2 3 2 2 2 2 3" xfId="584" xr:uid="{00000000-0005-0000-0000-0000DD040000}"/>
    <cellStyle name="Normal 3 2 2 2 2 3 2 2 2 2 3 2" xfId="585" xr:uid="{00000000-0005-0000-0000-0000DE040000}"/>
    <cellStyle name="Normal 3 2 2 2 2 3 2 2 2 2 3 2 2" xfId="28561" xr:uid="{00000000-0005-0000-0000-0000DF040000}"/>
    <cellStyle name="Normal 3 2 2 2 2 3 2 2 2 2 3 2 2 2" xfId="60432" xr:uid="{00000000-0005-0000-0000-0000E0040000}"/>
    <cellStyle name="Normal 3 2 2 2 2 3 2 2 2 2 3 2 3" xfId="32464" xr:uid="{00000000-0005-0000-0000-0000E1040000}"/>
    <cellStyle name="Normal 3 2 2 2 2 3 2 2 2 2 3 3" xfId="20683" xr:uid="{00000000-0005-0000-0000-0000E2040000}"/>
    <cellStyle name="Normal 3 2 2 2 2 3 2 2 2 2 3 3 2" xfId="52554" xr:uid="{00000000-0005-0000-0000-0000E3040000}"/>
    <cellStyle name="Normal 3 2 2 2 2 3 2 2 2 2 3 4" xfId="32463" xr:uid="{00000000-0005-0000-0000-0000E4040000}"/>
    <cellStyle name="Normal 3 2 2 2 2 3 2 2 2 2 4" xfId="586" xr:uid="{00000000-0005-0000-0000-0000E5040000}"/>
    <cellStyle name="Normal 3 2 2 2 2 3 2 2 2 2 4 2" xfId="24622" xr:uid="{00000000-0005-0000-0000-0000E6040000}"/>
    <cellStyle name="Normal 3 2 2 2 2 3 2 2 2 2 4 2 2" xfId="56493" xr:uid="{00000000-0005-0000-0000-0000E7040000}"/>
    <cellStyle name="Normal 3 2 2 2 2 3 2 2 2 2 4 3" xfId="32465" xr:uid="{00000000-0005-0000-0000-0000E8040000}"/>
    <cellStyle name="Normal 3 2 2 2 2 3 2 2 2 2 5" xfId="16744" xr:uid="{00000000-0005-0000-0000-0000E9040000}"/>
    <cellStyle name="Normal 3 2 2 2 2 3 2 2 2 2 5 2" xfId="48615" xr:uid="{00000000-0005-0000-0000-0000EA040000}"/>
    <cellStyle name="Normal 3 2 2 2 2 3 2 2 2 2 6" xfId="32458" xr:uid="{00000000-0005-0000-0000-0000EB040000}"/>
    <cellStyle name="Normal 3 2 2 2 2 3 2 2 2 3" xfId="587" xr:uid="{00000000-0005-0000-0000-0000EC040000}"/>
    <cellStyle name="Normal 3 2 2 2 2 3 2 2 2 3 2" xfId="588" xr:uid="{00000000-0005-0000-0000-0000ED040000}"/>
    <cellStyle name="Normal 3 2 2 2 2 3 2 2 2 3 2 2" xfId="589" xr:uid="{00000000-0005-0000-0000-0000EE040000}"/>
    <cellStyle name="Normal 3 2 2 2 2 3 2 2 2 3 2 2 2" xfId="28563" xr:uid="{00000000-0005-0000-0000-0000EF040000}"/>
    <cellStyle name="Normal 3 2 2 2 2 3 2 2 2 3 2 2 2 2" xfId="60434" xr:uid="{00000000-0005-0000-0000-0000F0040000}"/>
    <cellStyle name="Normal 3 2 2 2 2 3 2 2 2 3 2 2 3" xfId="32468" xr:uid="{00000000-0005-0000-0000-0000F1040000}"/>
    <cellStyle name="Normal 3 2 2 2 2 3 2 2 2 3 2 3" xfId="20685" xr:uid="{00000000-0005-0000-0000-0000F2040000}"/>
    <cellStyle name="Normal 3 2 2 2 2 3 2 2 2 3 2 3 2" xfId="52556" xr:uid="{00000000-0005-0000-0000-0000F3040000}"/>
    <cellStyle name="Normal 3 2 2 2 2 3 2 2 2 3 2 4" xfId="32467" xr:uid="{00000000-0005-0000-0000-0000F4040000}"/>
    <cellStyle name="Normal 3 2 2 2 2 3 2 2 2 3 3" xfId="590" xr:uid="{00000000-0005-0000-0000-0000F5040000}"/>
    <cellStyle name="Normal 3 2 2 2 2 3 2 2 2 3 3 2" xfId="24624" xr:uid="{00000000-0005-0000-0000-0000F6040000}"/>
    <cellStyle name="Normal 3 2 2 2 2 3 2 2 2 3 3 2 2" xfId="56495" xr:uid="{00000000-0005-0000-0000-0000F7040000}"/>
    <cellStyle name="Normal 3 2 2 2 2 3 2 2 2 3 3 3" xfId="32469" xr:uid="{00000000-0005-0000-0000-0000F8040000}"/>
    <cellStyle name="Normal 3 2 2 2 2 3 2 2 2 3 4" xfId="16746" xr:uid="{00000000-0005-0000-0000-0000F9040000}"/>
    <cellStyle name="Normal 3 2 2 2 2 3 2 2 2 3 4 2" xfId="48617" xr:uid="{00000000-0005-0000-0000-0000FA040000}"/>
    <cellStyle name="Normal 3 2 2 2 2 3 2 2 2 3 5" xfId="32466" xr:uid="{00000000-0005-0000-0000-0000FB040000}"/>
    <cellStyle name="Normal 3 2 2 2 2 3 2 2 2 4" xfId="591" xr:uid="{00000000-0005-0000-0000-0000FC040000}"/>
    <cellStyle name="Normal 3 2 2 2 2 3 2 2 2 4 2" xfId="592" xr:uid="{00000000-0005-0000-0000-0000FD040000}"/>
    <cellStyle name="Normal 3 2 2 2 2 3 2 2 2 4 2 2" xfId="28560" xr:uid="{00000000-0005-0000-0000-0000FE040000}"/>
    <cellStyle name="Normal 3 2 2 2 2 3 2 2 2 4 2 2 2" xfId="60431" xr:uid="{00000000-0005-0000-0000-0000FF040000}"/>
    <cellStyle name="Normal 3 2 2 2 2 3 2 2 2 4 2 3" xfId="32471" xr:uid="{00000000-0005-0000-0000-000000050000}"/>
    <cellStyle name="Normal 3 2 2 2 2 3 2 2 2 4 3" xfId="20682" xr:uid="{00000000-0005-0000-0000-000001050000}"/>
    <cellStyle name="Normal 3 2 2 2 2 3 2 2 2 4 3 2" xfId="52553" xr:uid="{00000000-0005-0000-0000-000002050000}"/>
    <cellStyle name="Normal 3 2 2 2 2 3 2 2 2 4 4" xfId="32470" xr:uid="{00000000-0005-0000-0000-000003050000}"/>
    <cellStyle name="Normal 3 2 2 2 2 3 2 2 2 5" xfId="593" xr:uid="{00000000-0005-0000-0000-000004050000}"/>
    <cellStyle name="Normal 3 2 2 2 2 3 2 2 2 5 2" xfId="24621" xr:uid="{00000000-0005-0000-0000-000005050000}"/>
    <cellStyle name="Normal 3 2 2 2 2 3 2 2 2 5 2 2" xfId="56492" xr:uid="{00000000-0005-0000-0000-000006050000}"/>
    <cellStyle name="Normal 3 2 2 2 2 3 2 2 2 5 3" xfId="32472" xr:uid="{00000000-0005-0000-0000-000007050000}"/>
    <cellStyle name="Normal 3 2 2 2 2 3 2 2 2 6" xfId="16743" xr:uid="{00000000-0005-0000-0000-000008050000}"/>
    <cellStyle name="Normal 3 2 2 2 2 3 2 2 2 6 2" xfId="48614" xr:uid="{00000000-0005-0000-0000-000009050000}"/>
    <cellStyle name="Normal 3 2 2 2 2 3 2 2 2 7" xfId="32457" xr:uid="{00000000-0005-0000-0000-00000A050000}"/>
    <cellStyle name="Normal 3 2 2 2 2 3 2 2 3" xfId="594" xr:uid="{00000000-0005-0000-0000-00000B050000}"/>
    <cellStyle name="Normal 3 2 2 2 2 3 2 2 3 2" xfId="595" xr:uid="{00000000-0005-0000-0000-00000C050000}"/>
    <cellStyle name="Normal 3 2 2 2 2 3 2 2 3 2 2" xfId="596" xr:uid="{00000000-0005-0000-0000-00000D050000}"/>
    <cellStyle name="Normal 3 2 2 2 2 3 2 2 3 2 2 2" xfId="597" xr:uid="{00000000-0005-0000-0000-00000E050000}"/>
    <cellStyle name="Normal 3 2 2 2 2 3 2 2 3 2 2 2 2" xfId="28565" xr:uid="{00000000-0005-0000-0000-00000F050000}"/>
    <cellStyle name="Normal 3 2 2 2 2 3 2 2 3 2 2 2 2 2" xfId="60436" xr:uid="{00000000-0005-0000-0000-000010050000}"/>
    <cellStyle name="Normal 3 2 2 2 2 3 2 2 3 2 2 2 3" xfId="32476" xr:uid="{00000000-0005-0000-0000-000011050000}"/>
    <cellStyle name="Normal 3 2 2 2 2 3 2 2 3 2 2 3" xfId="20687" xr:uid="{00000000-0005-0000-0000-000012050000}"/>
    <cellStyle name="Normal 3 2 2 2 2 3 2 2 3 2 2 3 2" xfId="52558" xr:uid="{00000000-0005-0000-0000-000013050000}"/>
    <cellStyle name="Normal 3 2 2 2 2 3 2 2 3 2 2 4" xfId="32475" xr:uid="{00000000-0005-0000-0000-000014050000}"/>
    <cellStyle name="Normal 3 2 2 2 2 3 2 2 3 2 3" xfId="598" xr:uid="{00000000-0005-0000-0000-000015050000}"/>
    <cellStyle name="Normal 3 2 2 2 2 3 2 2 3 2 3 2" xfId="24626" xr:uid="{00000000-0005-0000-0000-000016050000}"/>
    <cellStyle name="Normal 3 2 2 2 2 3 2 2 3 2 3 2 2" xfId="56497" xr:uid="{00000000-0005-0000-0000-000017050000}"/>
    <cellStyle name="Normal 3 2 2 2 2 3 2 2 3 2 3 3" xfId="32477" xr:uid="{00000000-0005-0000-0000-000018050000}"/>
    <cellStyle name="Normal 3 2 2 2 2 3 2 2 3 2 4" xfId="16748" xr:uid="{00000000-0005-0000-0000-000019050000}"/>
    <cellStyle name="Normal 3 2 2 2 2 3 2 2 3 2 4 2" xfId="48619" xr:uid="{00000000-0005-0000-0000-00001A050000}"/>
    <cellStyle name="Normal 3 2 2 2 2 3 2 2 3 2 5" xfId="32474" xr:uid="{00000000-0005-0000-0000-00001B050000}"/>
    <cellStyle name="Normal 3 2 2 2 2 3 2 2 3 3" xfId="599" xr:uid="{00000000-0005-0000-0000-00001C050000}"/>
    <cellStyle name="Normal 3 2 2 2 2 3 2 2 3 3 2" xfId="600" xr:uid="{00000000-0005-0000-0000-00001D050000}"/>
    <cellStyle name="Normal 3 2 2 2 2 3 2 2 3 3 2 2" xfId="28564" xr:uid="{00000000-0005-0000-0000-00001E050000}"/>
    <cellStyle name="Normal 3 2 2 2 2 3 2 2 3 3 2 2 2" xfId="60435" xr:uid="{00000000-0005-0000-0000-00001F050000}"/>
    <cellStyle name="Normal 3 2 2 2 2 3 2 2 3 3 2 3" xfId="32479" xr:uid="{00000000-0005-0000-0000-000020050000}"/>
    <cellStyle name="Normal 3 2 2 2 2 3 2 2 3 3 3" xfId="20686" xr:uid="{00000000-0005-0000-0000-000021050000}"/>
    <cellStyle name="Normal 3 2 2 2 2 3 2 2 3 3 3 2" xfId="52557" xr:uid="{00000000-0005-0000-0000-000022050000}"/>
    <cellStyle name="Normal 3 2 2 2 2 3 2 2 3 3 4" xfId="32478" xr:uid="{00000000-0005-0000-0000-000023050000}"/>
    <cellStyle name="Normal 3 2 2 2 2 3 2 2 3 4" xfId="601" xr:uid="{00000000-0005-0000-0000-000024050000}"/>
    <cellStyle name="Normal 3 2 2 2 2 3 2 2 3 4 2" xfId="24625" xr:uid="{00000000-0005-0000-0000-000025050000}"/>
    <cellStyle name="Normal 3 2 2 2 2 3 2 2 3 4 2 2" xfId="56496" xr:uid="{00000000-0005-0000-0000-000026050000}"/>
    <cellStyle name="Normal 3 2 2 2 2 3 2 2 3 4 3" xfId="32480" xr:uid="{00000000-0005-0000-0000-000027050000}"/>
    <cellStyle name="Normal 3 2 2 2 2 3 2 2 3 5" xfId="16747" xr:uid="{00000000-0005-0000-0000-000028050000}"/>
    <cellStyle name="Normal 3 2 2 2 2 3 2 2 3 5 2" xfId="48618" xr:uid="{00000000-0005-0000-0000-000029050000}"/>
    <cellStyle name="Normal 3 2 2 2 2 3 2 2 3 6" xfId="32473" xr:uid="{00000000-0005-0000-0000-00002A050000}"/>
    <cellStyle name="Normal 3 2 2 2 2 3 2 2 4" xfId="602" xr:uid="{00000000-0005-0000-0000-00002B050000}"/>
    <cellStyle name="Normal 3 2 2 2 2 3 2 2 4 2" xfId="603" xr:uid="{00000000-0005-0000-0000-00002C050000}"/>
    <cellStyle name="Normal 3 2 2 2 2 3 2 2 4 2 2" xfId="604" xr:uid="{00000000-0005-0000-0000-00002D050000}"/>
    <cellStyle name="Normal 3 2 2 2 2 3 2 2 4 2 2 2" xfId="28566" xr:uid="{00000000-0005-0000-0000-00002E050000}"/>
    <cellStyle name="Normal 3 2 2 2 2 3 2 2 4 2 2 2 2" xfId="60437" xr:uid="{00000000-0005-0000-0000-00002F050000}"/>
    <cellStyle name="Normal 3 2 2 2 2 3 2 2 4 2 2 3" xfId="32483" xr:uid="{00000000-0005-0000-0000-000030050000}"/>
    <cellStyle name="Normal 3 2 2 2 2 3 2 2 4 2 3" xfId="20688" xr:uid="{00000000-0005-0000-0000-000031050000}"/>
    <cellStyle name="Normal 3 2 2 2 2 3 2 2 4 2 3 2" xfId="52559" xr:uid="{00000000-0005-0000-0000-000032050000}"/>
    <cellStyle name="Normal 3 2 2 2 2 3 2 2 4 2 4" xfId="32482" xr:uid="{00000000-0005-0000-0000-000033050000}"/>
    <cellStyle name="Normal 3 2 2 2 2 3 2 2 4 3" xfId="605" xr:uid="{00000000-0005-0000-0000-000034050000}"/>
    <cellStyle name="Normal 3 2 2 2 2 3 2 2 4 3 2" xfId="24627" xr:uid="{00000000-0005-0000-0000-000035050000}"/>
    <cellStyle name="Normal 3 2 2 2 2 3 2 2 4 3 2 2" xfId="56498" xr:uid="{00000000-0005-0000-0000-000036050000}"/>
    <cellStyle name="Normal 3 2 2 2 2 3 2 2 4 3 3" xfId="32484" xr:uid="{00000000-0005-0000-0000-000037050000}"/>
    <cellStyle name="Normal 3 2 2 2 2 3 2 2 4 4" xfId="16749" xr:uid="{00000000-0005-0000-0000-000038050000}"/>
    <cellStyle name="Normal 3 2 2 2 2 3 2 2 4 4 2" xfId="48620" xr:uid="{00000000-0005-0000-0000-000039050000}"/>
    <cellStyle name="Normal 3 2 2 2 2 3 2 2 4 5" xfId="32481" xr:uid="{00000000-0005-0000-0000-00003A050000}"/>
    <cellStyle name="Normal 3 2 2 2 2 3 2 2 5" xfId="606" xr:uid="{00000000-0005-0000-0000-00003B050000}"/>
    <cellStyle name="Normal 3 2 2 2 2 3 2 2 5 2" xfId="607" xr:uid="{00000000-0005-0000-0000-00003C050000}"/>
    <cellStyle name="Normal 3 2 2 2 2 3 2 2 5 2 2" xfId="28559" xr:uid="{00000000-0005-0000-0000-00003D050000}"/>
    <cellStyle name="Normal 3 2 2 2 2 3 2 2 5 2 2 2" xfId="60430" xr:uid="{00000000-0005-0000-0000-00003E050000}"/>
    <cellStyle name="Normal 3 2 2 2 2 3 2 2 5 2 3" xfId="32486" xr:uid="{00000000-0005-0000-0000-00003F050000}"/>
    <cellStyle name="Normal 3 2 2 2 2 3 2 2 5 3" xfId="20681" xr:uid="{00000000-0005-0000-0000-000040050000}"/>
    <cellStyle name="Normal 3 2 2 2 2 3 2 2 5 3 2" xfId="52552" xr:uid="{00000000-0005-0000-0000-000041050000}"/>
    <cellStyle name="Normal 3 2 2 2 2 3 2 2 5 4" xfId="32485" xr:uid="{00000000-0005-0000-0000-000042050000}"/>
    <cellStyle name="Normal 3 2 2 2 2 3 2 2 6" xfId="608" xr:uid="{00000000-0005-0000-0000-000043050000}"/>
    <cellStyle name="Normal 3 2 2 2 2 3 2 2 6 2" xfId="24620" xr:uid="{00000000-0005-0000-0000-000044050000}"/>
    <cellStyle name="Normal 3 2 2 2 2 3 2 2 6 2 2" xfId="56491" xr:uid="{00000000-0005-0000-0000-000045050000}"/>
    <cellStyle name="Normal 3 2 2 2 2 3 2 2 6 3" xfId="32487" xr:uid="{00000000-0005-0000-0000-000046050000}"/>
    <cellStyle name="Normal 3 2 2 2 2 3 2 2 7" xfId="16742" xr:uid="{00000000-0005-0000-0000-000047050000}"/>
    <cellStyle name="Normal 3 2 2 2 2 3 2 2 7 2" xfId="48613" xr:uid="{00000000-0005-0000-0000-000048050000}"/>
    <cellStyle name="Normal 3 2 2 2 2 3 2 2 8" xfId="32456" xr:uid="{00000000-0005-0000-0000-000049050000}"/>
    <cellStyle name="Normal 3 2 2 2 2 3 2 3" xfId="609" xr:uid="{00000000-0005-0000-0000-00004A050000}"/>
    <cellStyle name="Normal 3 2 2 2 2 3 2 3 2" xfId="610" xr:uid="{00000000-0005-0000-0000-00004B050000}"/>
    <cellStyle name="Normal 3 2 2 2 2 3 2 3 2 2" xfId="611" xr:uid="{00000000-0005-0000-0000-00004C050000}"/>
    <cellStyle name="Normal 3 2 2 2 2 3 2 3 2 2 2" xfId="612" xr:uid="{00000000-0005-0000-0000-00004D050000}"/>
    <cellStyle name="Normal 3 2 2 2 2 3 2 3 2 2 2 2" xfId="613" xr:uid="{00000000-0005-0000-0000-00004E050000}"/>
    <cellStyle name="Normal 3 2 2 2 2 3 2 3 2 2 2 2 2" xfId="28569" xr:uid="{00000000-0005-0000-0000-00004F050000}"/>
    <cellStyle name="Normal 3 2 2 2 2 3 2 3 2 2 2 2 2 2" xfId="60440" xr:uid="{00000000-0005-0000-0000-000050050000}"/>
    <cellStyle name="Normal 3 2 2 2 2 3 2 3 2 2 2 2 3" xfId="32492" xr:uid="{00000000-0005-0000-0000-000051050000}"/>
    <cellStyle name="Normal 3 2 2 2 2 3 2 3 2 2 2 3" xfId="20691" xr:uid="{00000000-0005-0000-0000-000052050000}"/>
    <cellStyle name="Normal 3 2 2 2 2 3 2 3 2 2 2 3 2" xfId="52562" xr:uid="{00000000-0005-0000-0000-000053050000}"/>
    <cellStyle name="Normal 3 2 2 2 2 3 2 3 2 2 2 4" xfId="32491" xr:uid="{00000000-0005-0000-0000-000054050000}"/>
    <cellStyle name="Normal 3 2 2 2 2 3 2 3 2 2 3" xfId="614" xr:uid="{00000000-0005-0000-0000-000055050000}"/>
    <cellStyle name="Normal 3 2 2 2 2 3 2 3 2 2 3 2" xfId="24630" xr:uid="{00000000-0005-0000-0000-000056050000}"/>
    <cellStyle name="Normal 3 2 2 2 2 3 2 3 2 2 3 2 2" xfId="56501" xr:uid="{00000000-0005-0000-0000-000057050000}"/>
    <cellStyle name="Normal 3 2 2 2 2 3 2 3 2 2 3 3" xfId="32493" xr:uid="{00000000-0005-0000-0000-000058050000}"/>
    <cellStyle name="Normal 3 2 2 2 2 3 2 3 2 2 4" xfId="16752" xr:uid="{00000000-0005-0000-0000-000059050000}"/>
    <cellStyle name="Normal 3 2 2 2 2 3 2 3 2 2 4 2" xfId="48623" xr:uid="{00000000-0005-0000-0000-00005A050000}"/>
    <cellStyle name="Normal 3 2 2 2 2 3 2 3 2 2 5" xfId="32490" xr:uid="{00000000-0005-0000-0000-00005B050000}"/>
    <cellStyle name="Normal 3 2 2 2 2 3 2 3 2 3" xfId="615" xr:uid="{00000000-0005-0000-0000-00005C050000}"/>
    <cellStyle name="Normal 3 2 2 2 2 3 2 3 2 3 2" xfId="616" xr:uid="{00000000-0005-0000-0000-00005D050000}"/>
    <cellStyle name="Normal 3 2 2 2 2 3 2 3 2 3 2 2" xfId="28568" xr:uid="{00000000-0005-0000-0000-00005E050000}"/>
    <cellStyle name="Normal 3 2 2 2 2 3 2 3 2 3 2 2 2" xfId="60439" xr:uid="{00000000-0005-0000-0000-00005F050000}"/>
    <cellStyle name="Normal 3 2 2 2 2 3 2 3 2 3 2 3" xfId="32495" xr:uid="{00000000-0005-0000-0000-000060050000}"/>
    <cellStyle name="Normal 3 2 2 2 2 3 2 3 2 3 3" xfId="20690" xr:uid="{00000000-0005-0000-0000-000061050000}"/>
    <cellStyle name="Normal 3 2 2 2 2 3 2 3 2 3 3 2" xfId="52561" xr:uid="{00000000-0005-0000-0000-000062050000}"/>
    <cellStyle name="Normal 3 2 2 2 2 3 2 3 2 3 4" xfId="32494" xr:uid="{00000000-0005-0000-0000-000063050000}"/>
    <cellStyle name="Normal 3 2 2 2 2 3 2 3 2 4" xfId="617" xr:uid="{00000000-0005-0000-0000-000064050000}"/>
    <cellStyle name="Normal 3 2 2 2 2 3 2 3 2 4 2" xfId="24629" xr:uid="{00000000-0005-0000-0000-000065050000}"/>
    <cellStyle name="Normal 3 2 2 2 2 3 2 3 2 4 2 2" xfId="56500" xr:uid="{00000000-0005-0000-0000-000066050000}"/>
    <cellStyle name="Normal 3 2 2 2 2 3 2 3 2 4 3" xfId="32496" xr:uid="{00000000-0005-0000-0000-000067050000}"/>
    <cellStyle name="Normal 3 2 2 2 2 3 2 3 2 5" xfId="16751" xr:uid="{00000000-0005-0000-0000-000068050000}"/>
    <cellStyle name="Normal 3 2 2 2 2 3 2 3 2 5 2" xfId="48622" xr:uid="{00000000-0005-0000-0000-000069050000}"/>
    <cellStyle name="Normal 3 2 2 2 2 3 2 3 2 6" xfId="32489" xr:uid="{00000000-0005-0000-0000-00006A050000}"/>
    <cellStyle name="Normal 3 2 2 2 2 3 2 3 3" xfId="618" xr:uid="{00000000-0005-0000-0000-00006B050000}"/>
    <cellStyle name="Normal 3 2 2 2 2 3 2 3 3 2" xfId="619" xr:uid="{00000000-0005-0000-0000-00006C050000}"/>
    <cellStyle name="Normal 3 2 2 2 2 3 2 3 3 2 2" xfId="620" xr:uid="{00000000-0005-0000-0000-00006D050000}"/>
    <cellStyle name="Normal 3 2 2 2 2 3 2 3 3 2 2 2" xfId="28570" xr:uid="{00000000-0005-0000-0000-00006E050000}"/>
    <cellStyle name="Normal 3 2 2 2 2 3 2 3 3 2 2 2 2" xfId="60441" xr:uid="{00000000-0005-0000-0000-00006F050000}"/>
    <cellStyle name="Normal 3 2 2 2 2 3 2 3 3 2 2 3" xfId="32499" xr:uid="{00000000-0005-0000-0000-000070050000}"/>
    <cellStyle name="Normal 3 2 2 2 2 3 2 3 3 2 3" xfId="20692" xr:uid="{00000000-0005-0000-0000-000071050000}"/>
    <cellStyle name="Normal 3 2 2 2 2 3 2 3 3 2 3 2" xfId="52563" xr:uid="{00000000-0005-0000-0000-000072050000}"/>
    <cellStyle name="Normal 3 2 2 2 2 3 2 3 3 2 4" xfId="32498" xr:uid="{00000000-0005-0000-0000-000073050000}"/>
    <cellStyle name="Normal 3 2 2 2 2 3 2 3 3 3" xfId="621" xr:uid="{00000000-0005-0000-0000-000074050000}"/>
    <cellStyle name="Normal 3 2 2 2 2 3 2 3 3 3 2" xfId="24631" xr:uid="{00000000-0005-0000-0000-000075050000}"/>
    <cellStyle name="Normal 3 2 2 2 2 3 2 3 3 3 2 2" xfId="56502" xr:uid="{00000000-0005-0000-0000-000076050000}"/>
    <cellStyle name="Normal 3 2 2 2 2 3 2 3 3 3 3" xfId="32500" xr:uid="{00000000-0005-0000-0000-000077050000}"/>
    <cellStyle name="Normal 3 2 2 2 2 3 2 3 3 4" xfId="16753" xr:uid="{00000000-0005-0000-0000-000078050000}"/>
    <cellStyle name="Normal 3 2 2 2 2 3 2 3 3 4 2" xfId="48624" xr:uid="{00000000-0005-0000-0000-000079050000}"/>
    <cellStyle name="Normal 3 2 2 2 2 3 2 3 3 5" xfId="32497" xr:uid="{00000000-0005-0000-0000-00007A050000}"/>
    <cellStyle name="Normal 3 2 2 2 2 3 2 3 4" xfId="622" xr:uid="{00000000-0005-0000-0000-00007B050000}"/>
    <cellStyle name="Normal 3 2 2 2 2 3 2 3 4 2" xfId="623" xr:uid="{00000000-0005-0000-0000-00007C050000}"/>
    <cellStyle name="Normal 3 2 2 2 2 3 2 3 4 2 2" xfId="28567" xr:uid="{00000000-0005-0000-0000-00007D050000}"/>
    <cellStyle name="Normal 3 2 2 2 2 3 2 3 4 2 2 2" xfId="60438" xr:uid="{00000000-0005-0000-0000-00007E050000}"/>
    <cellStyle name="Normal 3 2 2 2 2 3 2 3 4 2 3" xfId="32502" xr:uid="{00000000-0005-0000-0000-00007F050000}"/>
    <cellStyle name="Normal 3 2 2 2 2 3 2 3 4 3" xfId="20689" xr:uid="{00000000-0005-0000-0000-000080050000}"/>
    <cellStyle name="Normal 3 2 2 2 2 3 2 3 4 3 2" xfId="52560" xr:uid="{00000000-0005-0000-0000-000081050000}"/>
    <cellStyle name="Normal 3 2 2 2 2 3 2 3 4 4" xfId="32501" xr:uid="{00000000-0005-0000-0000-000082050000}"/>
    <cellStyle name="Normal 3 2 2 2 2 3 2 3 5" xfId="624" xr:uid="{00000000-0005-0000-0000-000083050000}"/>
    <cellStyle name="Normal 3 2 2 2 2 3 2 3 5 2" xfId="24628" xr:uid="{00000000-0005-0000-0000-000084050000}"/>
    <cellStyle name="Normal 3 2 2 2 2 3 2 3 5 2 2" xfId="56499" xr:uid="{00000000-0005-0000-0000-000085050000}"/>
    <cellStyle name="Normal 3 2 2 2 2 3 2 3 5 3" xfId="32503" xr:uid="{00000000-0005-0000-0000-000086050000}"/>
    <cellStyle name="Normal 3 2 2 2 2 3 2 3 6" xfId="16750" xr:uid="{00000000-0005-0000-0000-000087050000}"/>
    <cellStyle name="Normal 3 2 2 2 2 3 2 3 6 2" xfId="48621" xr:uid="{00000000-0005-0000-0000-000088050000}"/>
    <cellStyle name="Normal 3 2 2 2 2 3 2 3 7" xfId="32488" xr:uid="{00000000-0005-0000-0000-000089050000}"/>
    <cellStyle name="Normal 3 2 2 2 2 3 2 4" xfId="625" xr:uid="{00000000-0005-0000-0000-00008A050000}"/>
    <cellStyle name="Normal 3 2 2 2 2 3 2 4 2" xfId="626" xr:uid="{00000000-0005-0000-0000-00008B050000}"/>
    <cellStyle name="Normal 3 2 2 2 2 3 2 4 2 2" xfId="627" xr:uid="{00000000-0005-0000-0000-00008C050000}"/>
    <cellStyle name="Normal 3 2 2 2 2 3 2 4 2 2 2" xfId="628" xr:uid="{00000000-0005-0000-0000-00008D050000}"/>
    <cellStyle name="Normal 3 2 2 2 2 3 2 4 2 2 2 2" xfId="28572" xr:uid="{00000000-0005-0000-0000-00008E050000}"/>
    <cellStyle name="Normal 3 2 2 2 2 3 2 4 2 2 2 2 2" xfId="60443" xr:uid="{00000000-0005-0000-0000-00008F050000}"/>
    <cellStyle name="Normal 3 2 2 2 2 3 2 4 2 2 2 3" xfId="32507" xr:uid="{00000000-0005-0000-0000-000090050000}"/>
    <cellStyle name="Normal 3 2 2 2 2 3 2 4 2 2 3" xfId="20694" xr:uid="{00000000-0005-0000-0000-000091050000}"/>
    <cellStyle name="Normal 3 2 2 2 2 3 2 4 2 2 3 2" xfId="52565" xr:uid="{00000000-0005-0000-0000-000092050000}"/>
    <cellStyle name="Normal 3 2 2 2 2 3 2 4 2 2 4" xfId="32506" xr:uid="{00000000-0005-0000-0000-000093050000}"/>
    <cellStyle name="Normal 3 2 2 2 2 3 2 4 2 3" xfId="629" xr:uid="{00000000-0005-0000-0000-000094050000}"/>
    <cellStyle name="Normal 3 2 2 2 2 3 2 4 2 3 2" xfId="24633" xr:uid="{00000000-0005-0000-0000-000095050000}"/>
    <cellStyle name="Normal 3 2 2 2 2 3 2 4 2 3 2 2" xfId="56504" xr:uid="{00000000-0005-0000-0000-000096050000}"/>
    <cellStyle name="Normal 3 2 2 2 2 3 2 4 2 3 3" xfId="32508" xr:uid="{00000000-0005-0000-0000-000097050000}"/>
    <cellStyle name="Normal 3 2 2 2 2 3 2 4 2 4" xfId="16755" xr:uid="{00000000-0005-0000-0000-000098050000}"/>
    <cellStyle name="Normal 3 2 2 2 2 3 2 4 2 4 2" xfId="48626" xr:uid="{00000000-0005-0000-0000-000099050000}"/>
    <cellStyle name="Normal 3 2 2 2 2 3 2 4 2 5" xfId="32505" xr:uid="{00000000-0005-0000-0000-00009A050000}"/>
    <cellStyle name="Normal 3 2 2 2 2 3 2 4 3" xfId="630" xr:uid="{00000000-0005-0000-0000-00009B050000}"/>
    <cellStyle name="Normal 3 2 2 2 2 3 2 4 3 2" xfId="631" xr:uid="{00000000-0005-0000-0000-00009C050000}"/>
    <cellStyle name="Normal 3 2 2 2 2 3 2 4 3 2 2" xfId="28571" xr:uid="{00000000-0005-0000-0000-00009D050000}"/>
    <cellStyle name="Normal 3 2 2 2 2 3 2 4 3 2 2 2" xfId="60442" xr:uid="{00000000-0005-0000-0000-00009E050000}"/>
    <cellStyle name="Normal 3 2 2 2 2 3 2 4 3 2 3" xfId="32510" xr:uid="{00000000-0005-0000-0000-00009F050000}"/>
    <cellStyle name="Normal 3 2 2 2 2 3 2 4 3 3" xfId="20693" xr:uid="{00000000-0005-0000-0000-0000A0050000}"/>
    <cellStyle name="Normal 3 2 2 2 2 3 2 4 3 3 2" xfId="52564" xr:uid="{00000000-0005-0000-0000-0000A1050000}"/>
    <cellStyle name="Normal 3 2 2 2 2 3 2 4 3 4" xfId="32509" xr:uid="{00000000-0005-0000-0000-0000A2050000}"/>
    <cellStyle name="Normal 3 2 2 2 2 3 2 4 4" xfId="632" xr:uid="{00000000-0005-0000-0000-0000A3050000}"/>
    <cellStyle name="Normal 3 2 2 2 2 3 2 4 4 2" xfId="24632" xr:uid="{00000000-0005-0000-0000-0000A4050000}"/>
    <cellStyle name="Normal 3 2 2 2 2 3 2 4 4 2 2" xfId="56503" xr:uid="{00000000-0005-0000-0000-0000A5050000}"/>
    <cellStyle name="Normal 3 2 2 2 2 3 2 4 4 3" xfId="32511" xr:uid="{00000000-0005-0000-0000-0000A6050000}"/>
    <cellStyle name="Normal 3 2 2 2 2 3 2 4 5" xfId="16754" xr:uid="{00000000-0005-0000-0000-0000A7050000}"/>
    <cellStyle name="Normal 3 2 2 2 2 3 2 4 5 2" xfId="48625" xr:uid="{00000000-0005-0000-0000-0000A8050000}"/>
    <cellStyle name="Normal 3 2 2 2 2 3 2 4 6" xfId="32504" xr:uid="{00000000-0005-0000-0000-0000A9050000}"/>
    <cellStyle name="Normal 3 2 2 2 2 3 2 5" xfId="633" xr:uid="{00000000-0005-0000-0000-0000AA050000}"/>
    <cellStyle name="Normal 3 2 2 2 2 3 2 5 2" xfId="634" xr:uid="{00000000-0005-0000-0000-0000AB050000}"/>
    <cellStyle name="Normal 3 2 2 2 2 3 2 5 2 2" xfId="635" xr:uid="{00000000-0005-0000-0000-0000AC050000}"/>
    <cellStyle name="Normal 3 2 2 2 2 3 2 5 2 2 2" xfId="28573" xr:uid="{00000000-0005-0000-0000-0000AD050000}"/>
    <cellStyle name="Normal 3 2 2 2 2 3 2 5 2 2 2 2" xfId="60444" xr:uid="{00000000-0005-0000-0000-0000AE050000}"/>
    <cellStyle name="Normal 3 2 2 2 2 3 2 5 2 2 3" xfId="32514" xr:uid="{00000000-0005-0000-0000-0000AF050000}"/>
    <cellStyle name="Normal 3 2 2 2 2 3 2 5 2 3" xfId="20695" xr:uid="{00000000-0005-0000-0000-0000B0050000}"/>
    <cellStyle name="Normal 3 2 2 2 2 3 2 5 2 3 2" xfId="52566" xr:uid="{00000000-0005-0000-0000-0000B1050000}"/>
    <cellStyle name="Normal 3 2 2 2 2 3 2 5 2 4" xfId="32513" xr:uid="{00000000-0005-0000-0000-0000B2050000}"/>
    <cellStyle name="Normal 3 2 2 2 2 3 2 5 3" xfId="636" xr:uid="{00000000-0005-0000-0000-0000B3050000}"/>
    <cellStyle name="Normal 3 2 2 2 2 3 2 5 3 2" xfId="24634" xr:uid="{00000000-0005-0000-0000-0000B4050000}"/>
    <cellStyle name="Normal 3 2 2 2 2 3 2 5 3 2 2" xfId="56505" xr:uid="{00000000-0005-0000-0000-0000B5050000}"/>
    <cellStyle name="Normal 3 2 2 2 2 3 2 5 3 3" xfId="32515" xr:uid="{00000000-0005-0000-0000-0000B6050000}"/>
    <cellStyle name="Normal 3 2 2 2 2 3 2 5 4" xfId="16756" xr:uid="{00000000-0005-0000-0000-0000B7050000}"/>
    <cellStyle name="Normal 3 2 2 2 2 3 2 5 4 2" xfId="48627" xr:uid="{00000000-0005-0000-0000-0000B8050000}"/>
    <cellStyle name="Normal 3 2 2 2 2 3 2 5 5" xfId="32512" xr:uid="{00000000-0005-0000-0000-0000B9050000}"/>
    <cellStyle name="Normal 3 2 2 2 2 3 2 6" xfId="637" xr:uid="{00000000-0005-0000-0000-0000BA050000}"/>
    <cellStyle name="Normal 3 2 2 2 2 3 2 6 2" xfId="638" xr:uid="{00000000-0005-0000-0000-0000BB050000}"/>
    <cellStyle name="Normal 3 2 2 2 2 3 2 6 2 2" xfId="28493" xr:uid="{00000000-0005-0000-0000-0000BC050000}"/>
    <cellStyle name="Normal 3 2 2 2 2 3 2 6 2 2 2" xfId="60364" xr:uid="{00000000-0005-0000-0000-0000BD050000}"/>
    <cellStyle name="Normal 3 2 2 2 2 3 2 6 2 3" xfId="32517" xr:uid="{00000000-0005-0000-0000-0000BE050000}"/>
    <cellStyle name="Normal 3 2 2 2 2 3 2 6 3" xfId="20615" xr:uid="{00000000-0005-0000-0000-0000BF050000}"/>
    <cellStyle name="Normal 3 2 2 2 2 3 2 6 3 2" xfId="52486" xr:uid="{00000000-0005-0000-0000-0000C0050000}"/>
    <cellStyle name="Normal 3 2 2 2 2 3 2 6 4" xfId="32516" xr:uid="{00000000-0005-0000-0000-0000C1050000}"/>
    <cellStyle name="Normal 3 2 2 2 2 3 2 7" xfId="639" xr:uid="{00000000-0005-0000-0000-0000C2050000}"/>
    <cellStyle name="Normal 3 2 2 2 2 3 2 7 2" xfId="24554" xr:uid="{00000000-0005-0000-0000-0000C3050000}"/>
    <cellStyle name="Normal 3 2 2 2 2 3 2 7 2 2" xfId="56425" xr:uid="{00000000-0005-0000-0000-0000C4050000}"/>
    <cellStyle name="Normal 3 2 2 2 2 3 2 7 3" xfId="32518" xr:uid="{00000000-0005-0000-0000-0000C5050000}"/>
    <cellStyle name="Normal 3 2 2 2 2 3 2 8" xfId="16676" xr:uid="{00000000-0005-0000-0000-0000C6050000}"/>
    <cellStyle name="Normal 3 2 2 2 2 3 2 8 2" xfId="48547" xr:uid="{00000000-0005-0000-0000-0000C7050000}"/>
    <cellStyle name="Normal 3 2 2 2 2 3 2 9" xfId="32455" xr:uid="{00000000-0005-0000-0000-0000C8050000}"/>
    <cellStyle name="Normal 3 2 2 2 2 3 3" xfId="640" xr:uid="{00000000-0005-0000-0000-0000C9050000}"/>
    <cellStyle name="Normal 3 2 2 2 2 3 3 2" xfId="641" xr:uid="{00000000-0005-0000-0000-0000CA050000}"/>
    <cellStyle name="Normal 3 2 2 2 2 3 3 2 2" xfId="642" xr:uid="{00000000-0005-0000-0000-0000CB050000}"/>
    <cellStyle name="Normal 3 2 2 2 2 3 3 2 2 2" xfId="643" xr:uid="{00000000-0005-0000-0000-0000CC050000}"/>
    <cellStyle name="Normal 3 2 2 2 2 3 3 2 2 2 2" xfId="644" xr:uid="{00000000-0005-0000-0000-0000CD050000}"/>
    <cellStyle name="Normal 3 2 2 2 2 3 3 2 2 2 2 2" xfId="645" xr:uid="{00000000-0005-0000-0000-0000CE050000}"/>
    <cellStyle name="Normal 3 2 2 2 2 3 3 2 2 2 2 2 2" xfId="28577" xr:uid="{00000000-0005-0000-0000-0000CF050000}"/>
    <cellStyle name="Normal 3 2 2 2 2 3 3 2 2 2 2 2 2 2" xfId="60448" xr:uid="{00000000-0005-0000-0000-0000D0050000}"/>
    <cellStyle name="Normal 3 2 2 2 2 3 3 2 2 2 2 2 3" xfId="32524" xr:uid="{00000000-0005-0000-0000-0000D1050000}"/>
    <cellStyle name="Normal 3 2 2 2 2 3 3 2 2 2 2 3" xfId="20699" xr:uid="{00000000-0005-0000-0000-0000D2050000}"/>
    <cellStyle name="Normal 3 2 2 2 2 3 3 2 2 2 2 3 2" xfId="52570" xr:uid="{00000000-0005-0000-0000-0000D3050000}"/>
    <cellStyle name="Normal 3 2 2 2 2 3 3 2 2 2 2 4" xfId="32523" xr:uid="{00000000-0005-0000-0000-0000D4050000}"/>
    <cellStyle name="Normal 3 2 2 2 2 3 3 2 2 2 3" xfId="646" xr:uid="{00000000-0005-0000-0000-0000D5050000}"/>
    <cellStyle name="Normal 3 2 2 2 2 3 3 2 2 2 3 2" xfId="24638" xr:uid="{00000000-0005-0000-0000-0000D6050000}"/>
    <cellStyle name="Normal 3 2 2 2 2 3 3 2 2 2 3 2 2" xfId="56509" xr:uid="{00000000-0005-0000-0000-0000D7050000}"/>
    <cellStyle name="Normal 3 2 2 2 2 3 3 2 2 2 3 3" xfId="32525" xr:uid="{00000000-0005-0000-0000-0000D8050000}"/>
    <cellStyle name="Normal 3 2 2 2 2 3 3 2 2 2 4" xfId="16760" xr:uid="{00000000-0005-0000-0000-0000D9050000}"/>
    <cellStyle name="Normal 3 2 2 2 2 3 3 2 2 2 4 2" xfId="48631" xr:uid="{00000000-0005-0000-0000-0000DA050000}"/>
    <cellStyle name="Normal 3 2 2 2 2 3 3 2 2 2 5" xfId="32522" xr:uid="{00000000-0005-0000-0000-0000DB050000}"/>
    <cellStyle name="Normal 3 2 2 2 2 3 3 2 2 3" xfId="647" xr:uid="{00000000-0005-0000-0000-0000DC050000}"/>
    <cellStyle name="Normal 3 2 2 2 2 3 3 2 2 3 2" xfId="648" xr:uid="{00000000-0005-0000-0000-0000DD050000}"/>
    <cellStyle name="Normal 3 2 2 2 2 3 3 2 2 3 2 2" xfId="28576" xr:uid="{00000000-0005-0000-0000-0000DE050000}"/>
    <cellStyle name="Normal 3 2 2 2 2 3 3 2 2 3 2 2 2" xfId="60447" xr:uid="{00000000-0005-0000-0000-0000DF050000}"/>
    <cellStyle name="Normal 3 2 2 2 2 3 3 2 2 3 2 3" xfId="32527" xr:uid="{00000000-0005-0000-0000-0000E0050000}"/>
    <cellStyle name="Normal 3 2 2 2 2 3 3 2 2 3 3" xfId="20698" xr:uid="{00000000-0005-0000-0000-0000E1050000}"/>
    <cellStyle name="Normal 3 2 2 2 2 3 3 2 2 3 3 2" xfId="52569" xr:uid="{00000000-0005-0000-0000-0000E2050000}"/>
    <cellStyle name="Normal 3 2 2 2 2 3 3 2 2 3 4" xfId="32526" xr:uid="{00000000-0005-0000-0000-0000E3050000}"/>
    <cellStyle name="Normal 3 2 2 2 2 3 3 2 2 4" xfId="649" xr:uid="{00000000-0005-0000-0000-0000E4050000}"/>
    <cellStyle name="Normal 3 2 2 2 2 3 3 2 2 4 2" xfId="24637" xr:uid="{00000000-0005-0000-0000-0000E5050000}"/>
    <cellStyle name="Normal 3 2 2 2 2 3 3 2 2 4 2 2" xfId="56508" xr:uid="{00000000-0005-0000-0000-0000E6050000}"/>
    <cellStyle name="Normal 3 2 2 2 2 3 3 2 2 4 3" xfId="32528" xr:uid="{00000000-0005-0000-0000-0000E7050000}"/>
    <cellStyle name="Normal 3 2 2 2 2 3 3 2 2 5" xfId="16759" xr:uid="{00000000-0005-0000-0000-0000E8050000}"/>
    <cellStyle name="Normal 3 2 2 2 2 3 3 2 2 5 2" xfId="48630" xr:uid="{00000000-0005-0000-0000-0000E9050000}"/>
    <cellStyle name="Normal 3 2 2 2 2 3 3 2 2 6" xfId="32521" xr:uid="{00000000-0005-0000-0000-0000EA050000}"/>
    <cellStyle name="Normal 3 2 2 2 2 3 3 2 3" xfId="650" xr:uid="{00000000-0005-0000-0000-0000EB050000}"/>
    <cellStyle name="Normal 3 2 2 2 2 3 3 2 3 2" xfId="651" xr:uid="{00000000-0005-0000-0000-0000EC050000}"/>
    <cellStyle name="Normal 3 2 2 2 2 3 3 2 3 2 2" xfId="652" xr:uid="{00000000-0005-0000-0000-0000ED050000}"/>
    <cellStyle name="Normal 3 2 2 2 2 3 3 2 3 2 2 2" xfId="28578" xr:uid="{00000000-0005-0000-0000-0000EE050000}"/>
    <cellStyle name="Normal 3 2 2 2 2 3 3 2 3 2 2 2 2" xfId="60449" xr:uid="{00000000-0005-0000-0000-0000EF050000}"/>
    <cellStyle name="Normal 3 2 2 2 2 3 3 2 3 2 2 3" xfId="32531" xr:uid="{00000000-0005-0000-0000-0000F0050000}"/>
    <cellStyle name="Normal 3 2 2 2 2 3 3 2 3 2 3" xfId="20700" xr:uid="{00000000-0005-0000-0000-0000F1050000}"/>
    <cellStyle name="Normal 3 2 2 2 2 3 3 2 3 2 3 2" xfId="52571" xr:uid="{00000000-0005-0000-0000-0000F2050000}"/>
    <cellStyle name="Normal 3 2 2 2 2 3 3 2 3 2 4" xfId="32530" xr:uid="{00000000-0005-0000-0000-0000F3050000}"/>
    <cellStyle name="Normal 3 2 2 2 2 3 3 2 3 3" xfId="653" xr:uid="{00000000-0005-0000-0000-0000F4050000}"/>
    <cellStyle name="Normal 3 2 2 2 2 3 3 2 3 3 2" xfId="24639" xr:uid="{00000000-0005-0000-0000-0000F5050000}"/>
    <cellStyle name="Normal 3 2 2 2 2 3 3 2 3 3 2 2" xfId="56510" xr:uid="{00000000-0005-0000-0000-0000F6050000}"/>
    <cellStyle name="Normal 3 2 2 2 2 3 3 2 3 3 3" xfId="32532" xr:uid="{00000000-0005-0000-0000-0000F7050000}"/>
    <cellStyle name="Normal 3 2 2 2 2 3 3 2 3 4" xfId="16761" xr:uid="{00000000-0005-0000-0000-0000F8050000}"/>
    <cellStyle name="Normal 3 2 2 2 2 3 3 2 3 4 2" xfId="48632" xr:uid="{00000000-0005-0000-0000-0000F9050000}"/>
    <cellStyle name="Normal 3 2 2 2 2 3 3 2 3 5" xfId="32529" xr:uid="{00000000-0005-0000-0000-0000FA050000}"/>
    <cellStyle name="Normal 3 2 2 2 2 3 3 2 4" xfId="654" xr:uid="{00000000-0005-0000-0000-0000FB050000}"/>
    <cellStyle name="Normal 3 2 2 2 2 3 3 2 4 2" xfId="655" xr:uid="{00000000-0005-0000-0000-0000FC050000}"/>
    <cellStyle name="Normal 3 2 2 2 2 3 3 2 4 2 2" xfId="28575" xr:uid="{00000000-0005-0000-0000-0000FD050000}"/>
    <cellStyle name="Normal 3 2 2 2 2 3 3 2 4 2 2 2" xfId="60446" xr:uid="{00000000-0005-0000-0000-0000FE050000}"/>
    <cellStyle name="Normal 3 2 2 2 2 3 3 2 4 2 3" xfId="32534" xr:uid="{00000000-0005-0000-0000-0000FF050000}"/>
    <cellStyle name="Normal 3 2 2 2 2 3 3 2 4 3" xfId="20697" xr:uid="{00000000-0005-0000-0000-000000060000}"/>
    <cellStyle name="Normal 3 2 2 2 2 3 3 2 4 3 2" xfId="52568" xr:uid="{00000000-0005-0000-0000-000001060000}"/>
    <cellStyle name="Normal 3 2 2 2 2 3 3 2 4 4" xfId="32533" xr:uid="{00000000-0005-0000-0000-000002060000}"/>
    <cellStyle name="Normal 3 2 2 2 2 3 3 2 5" xfId="656" xr:uid="{00000000-0005-0000-0000-000003060000}"/>
    <cellStyle name="Normal 3 2 2 2 2 3 3 2 5 2" xfId="24636" xr:uid="{00000000-0005-0000-0000-000004060000}"/>
    <cellStyle name="Normal 3 2 2 2 2 3 3 2 5 2 2" xfId="56507" xr:uid="{00000000-0005-0000-0000-000005060000}"/>
    <cellStyle name="Normal 3 2 2 2 2 3 3 2 5 3" xfId="32535" xr:uid="{00000000-0005-0000-0000-000006060000}"/>
    <cellStyle name="Normal 3 2 2 2 2 3 3 2 6" xfId="16758" xr:uid="{00000000-0005-0000-0000-000007060000}"/>
    <cellStyle name="Normal 3 2 2 2 2 3 3 2 6 2" xfId="48629" xr:uid="{00000000-0005-0000-0000-000008060000}"/>
    <cellStyle name="Normal 3 2 2 2 2 3 3 2 7" xfId="32520" xr:uid="{00000000-0005-0000-0000-000009060000}"/>
    <cellStyle name="Normal 3 2 2 2 2 3 3 3" xfId="657" xr:uid="{00000000-0005-0000-0000-00000A060000}"/>
    <cellStyle name="Normal 3 2 2 2 2 3 3 3 2" xfId="658" xr:uid="{00000000-0005-0000-0000-00000B060000}"/>
    <cellStyle name="Normal 3 2 2 2 2 3 3 3 2 2" xfId="659" xr:uid="{00000000-0005-0000-0000-00000C060000}"/>
    <cellStyle name="Normal 3 2 2 2 2 3 3 3 2 2 2" xfId="660" xr:uid="{00000000-0005-0000-0000-00000D060000}"/>
    <cellStyle name="Normal 3 2 2 2 2 3 3 3 2 2 2 2" xfId="28580" xr:uid="{00000000-0005-0000-0000-00000E060000}"/>
    <cellStyle name="Normal 3 2 2 2 2 3 3 3 2 2 2 2 2" xfId="60451" xr:uid="{00000000-0005-0000-0000-00000F060000}"/>
    <cellStyle name="Normal 3 2 2 2 2 3 3 3 2 2 2 3" xfId="32539" xr:uid="{00000000-0005-0000-0000-000010060000}"/>
    <cellStyle name="Normal 3 2 2 2 2 3 3 3 2 2 3" xfId="20702" xr:uid="{00000000-0005-0000-0000-000011060000}"/>
    <cellStyle name="Normal 3 2 2 2 2 3 3 3 2 2 3 2" xfId="52573" xr:uid="{00000000-0005-0000-0000-000012060000}"/>
    <cellStyle name="Normal 3 2 2 2 2 3 3 3 2 2 4" xfId="32538" xr:uid="{00000000-0005-0000-0000-000013060000}"/>
    <cellStyle name="Normal 3 2 2 2 2 3 3 3 2 3" xfId="661" xr:uid="{00000000-0005-0000-0000-000014060000}"/>
    <cellStyle name="Normal 3 2 2 2 2 3 3 3 2 3 2" xfId="24641" xr:uid="{00000000-0005-0000-0000-000015060000}"/>
    <cellStyle name="Normal 3 2 2 2 2 3 3 3 2 3 2 2" xfId="56512" xr:uid="{00000000-0005-0000-0000-000016060000}"/>
    <cellStyle name="Normal 3 2 2 2 2 3 3 3 2 3 3" xfId="32540" xr:uid="{00000000-0005-0000-0000-000017060000}"/>
    <cellStyle name="Normal 3 2 2 2 2 3 3 3 2 4" xfId="16763" xr:uid="{00000000-0005-0000-0000-000018060000}"/>
    <cellStyle name="Normal 3 2 2 2 2 3 3 3 2 4 2" xfId="48634" xr:uid="{00000000-0005-0000-0000-000019060000}"/>
    <cellStyle name="Normal 3 2 2 2 2 3 3 3 2 5" xfId="32537" xr:uid="{00000000-0005-0000-0000-00001A060000}"/>
    <cellStyle name="Normal 3 2 2 2 2 3 3 3 3" xfId="662" xr:uid="{00000000-0005-0000-0000-00001B060000}"/>
    <cellStyle name="Normal 3 2 2 2 2 3 3 3 3 2" xfId="663" xr:uid="{00000000-0005-0000-0000-00001C060000}"/>
    <cellStyle name="Normal 3 2 2 2 2 3 3 3 3 2 2" xfId="28579" xr:uid="{00000000-0005-0000-0000-00001D060000}"/>
    <cellStyle name="Normal 3 2 2 2 2 3 3 3 3 2 2 2" xfId="60450" xr:uid="{00000000-0005-0000-0000-00001E060000}"/>
    <cellStyle name="Normal 3 2 2 2 2 3 3 3 3 2 3" xfId="32542" xr:uid="{00000000-0005-0000-0000-00001F060000}"/>
    <cellStyle name="Normal 3 2 2 2 2 3 3 3 3 3" xfId="20701" xr:uid="{00000000-0005-0000-0000-000020060000}"/>
    <cellStyle name="Normal 3 2 2 2 2 3 3 3 3 3 2" xfId="52572" xr:uid="{00000000-0005-0000-0000-000021060000}"/>
    <cellStyle name="Normal 3 2 2 2 2 3 3 3 3 4" xfId="32541" xr:uid="{00000000-0005-0000-0000-000022060000}"/>
    <cellStyle name="Normal 3 2 2 2 2 3 3 3 4" xfId="664" xr:uid="{00000000-0005-0000-0000-000023060000}"/>
    <cellStyle name="Normal 3 2 2 2 2 3 3 3 4 2" xfId="24640" xr:uid="{00000000-0005-0000-0000-000024060000}"/>
    <cellStyle name="Normal 3 2 2 2 2 3 3 3 4 2 2" xfId="56511" xr:uid="{00000000-0005-0000-0000-000025060000}"/>
    <cellStyle name="Normal 3 2 2 2 2 3 3 3 4 3" xfId="32543" xr:uid="{00000000-0005-0000-0000-000026060000}"/>
    <cellStyle name="Normal 3 2 2 2 2 3 3 3 5" xfId="16762" xr:uid="{00000000-0005-0000-0000-000027060000}"/>
    <cellStyle name="Normal 3 2 2 2 2 3 3 3 5 2" xfId="48633" xr:uid="{00000000-0005-0000-0000-000028060000}"/>
    <cellStyle name="Normal 3 2 2 2 2 3 3 3 6" xfId="32536" xr:uid="{00000000-0005-0000-0000-000029060000}"/>
    <cellStyle name="Normal 3 2 2 2 2 3 3 4" xfId="665" xr:uid="{00000000-0005-0000-0000-00002A060000}"/>
    <cellStyle name="Normal 3 2 2 2 2 3 3 4 2" xfId="666" xr:uid="{00000000-0005-0000-0000-00002B060000}"/>
    <cellStyle name="Normal 3 2 2 2 2 3 3 4 2 2" xfId="667" xr:uid="{00000000-0005-0000-0000-00002C060000}"/>
    <cellStyle name="Normal 3 2 2 2 2 3 3 4 2 2 2" xfId="28581" xr:uid="{00000000-0005-0000-0000-00002D060000}"/>
    <cellStyle name="Normal 3 2 2 2 2 3 3 4 2 2 2 2" xfId="60452" xr:uid="{00000000-0005-0000-0000-00002E060000}"/>
    <cellStyle name="Normal 3 2 2 2 2 3 3 4 2 2 3" xfId="32546" xr:uid="{00000000-0005-0000-0000-00002F060000}"/>
    <cellStyle name="Normal 3 2 2 2 2 3 3 4 2 3" xfId="20703" xr:uid="{00000000-0005-0000-0000-000030060000}"/>
    <cellStyle name="Normal 3 2 2 2 2 3 3 4 2 3 2" xfId="52574" xr:uid="{00000000-0005-0000-0000-000031060000}"/>
    <cellStyle name="Normal 3 2 2 2 2 3 3 4 2 4" xfId="32545" xr:uid="{00000000-0005-0000-0000-000032060000}"/>
    <cellStyle name="Normal 3 2 2 2 2 3 3 4 3" xfId="668" xr:uid="{00000000-0005-0000-0000-000033060000}"/>
    <cellStyle name="Normal 3 2 2 2 2 3 3 4 3 2" xfId="24642" xr:uid="{00000000-0005-0000-0000-000034060000}"/>
    <cellStyle name="Normal 3 2 2 2 2 3 3 4 3 2 2" xfId="56513" xr:uid="{00000000-0005-0000-0000-000035060000}"/>
    <cellStyle name="Normal 3 2 2 2 2 3 3 4 3 3" xfId="32547" xr:uid="{00000000-0005-0000-0000-000036060000}"/>
    <cellStyle name="Normal 3 2 2 2 2 3 3 4 4" xfId="16764" xr:uid="{00000000-0005-0000-0000-000037060000}"/>
    <cellStyle name="Normal 3 2 2 2 2 3 3 4 4 2" xfId="48635" xr:uid="{00000000-0005-0000-0000-000038060000}"/>
    <cellStyle name="Normal 3 2 2 2 2 3 3 4 5" xfId="32544" xr:uid="{00000000-0005-0000-0000-000039060000}"/>
    <cellStyle name="Normal 3 2 2 2 2 3 3 5" xfId="669" xr:uid="{00000000-0005-0000-0000-00003A060000}"/>
    <cellStyle name="Normal 3 2 2 2 2 3 3 5 2" xfId="670" xr:uid="{00000000-0005-0000-0000-00003B060000}"/>
    <cellStyle name="Normal 3 2 2 2 2 3 3 5 2 2" xfId="28574" xr:uid="{00000000-0005-0000-0000-00003C060000}"/>
    <cellStyle name="Normal 3 2 2 2 2 3 3 5 2 2 2" xfId="60445" xr:uid="{00000000-0005-0000-0000-00003D060000}"/>
    <cellStyle name="Normal 3 2 2 2 2 3 3 5 2 3" xfId="32549" xr:uid="{00000000-0005-0000-0000-00003E060000}"/>
    <cellStyle name="Normal 3 2 2 2 2 3 3 5 3" xfId="20696" xr:uid="{00000000-0005-0000-0000-00003F060000}"/>
    <cellStyle name="Normal 3 2 2 2 2 3 3 5 3 2" xfId="52567" xr:uid="{00000000-0005-0000-0000-000040060000}"/>
    <cellStyle name="Normal 3 2 2 2 2 3 3 5 4" xfId="32548" xr:uid="{00000000-0005-0000-0000-000041060000}"/>
    <cellStyle name="Normal 3 2 2 2 2 3 3 6" xfId="671" xr:uid="{00000000-0005-0000-0000-000042060000}"/>
    <cellStyle name="Normal 3 2 2 2 2 3 3 6 2" xfId="24635" xr:uid="{00000000-0005-0000-0000-000043060000}"/>
    <cellStyle name="Normal 3 2 2 2 2 3 3 6 2 2" xfId="56506" xr:uid="{00000000-0005-0000-0000-000044060000}"/>
    <cellStyle name="Normal 3 2 2 2 2 3 3 6 3" xfId="32550" xr:uid="{00000000-0005-0000-0000-000045060000}"/>
    <cellStyle name="Normal 3 2 2 2 2 3 3 7" xfId="16757" xr:uid="{00000000-0005-0000-0000-000046060000}"/>
    <cellStyle name="Normal 3 2 2 2 2 3 3 7 2" xfId="48628" xr:uid="{00000000-0005-0000-0000-000047060000}"/>
    <cellStyle name="Normal 3 2 2 2 2 3 3 8" xfId="32519" xr:uid="{00000000-0005-0000-0000-000048060000}"/>
    <cellStyle name="Normal 3 2 2 2 2 3 4" xfId="672" xr:uid="{00000000-0005-0000-0000-000049060000}"/>
    <cellStyle name="Normal 3 2 2 2 2 3 4 2" xfId="673" xr:uid="{00000000-0005-0000-0000-00004A060000}"/>
    <cellStyle name="Normal 3 2 2 2 2 3 4 2 2" xfId="674" xr:uid="{00000000-0005-0000-0000-00004B060000}"/>
    <cellStyle name="Normal 3 2 2 2 2 3 4 2 2 2" xfId="675" xr:uid="{00000000-0005-0000-0000-00004C060000}"/>
    <cellStyle name="Normal 3 2 2 2 2 3 4 2 2 2 2" xfId="676" xr:uid="{00000000-0005-0000-0000-00004D060000}"/>
    <cellStyle name="Normal 3 2 2 2 2 3 4 2 2 2 2 2" xfId="28584" xr:uid="{00000000-0005-0000-0000-00004E060000}"/>
    <cellStyle name="Normal 3 2 2 2 2 3 4 2 2 2 2 2 2" xfId="60455" xr:uid="{00000000-0005-0000-0000-00004F060000}"/>
    <cellStyle name="Normal 3 2 2 2 2 3 4 2 2 2 2 3" xfId="32555" xr:uid="{00000000-0005-0000-0000-000050060000}"/>
    <cellStyle name="Normal 3 2 2 2 2 3 4 2 2 2 3" xfId="20706" xr:uid="{00000000-0005-0000-0000-000051060000}"/>
    <cellStyle name="Normal 3 2 2 2 2 3 4 2 2 2 3 2" xfId="52577" xr:uid="{00000000-0005-0000-0000-000052060000}"/>
    <cellStyle name="Normal 3 2 2 2 2 3 4 2 2 2 4" xfId="32554" xr:uid="{00000000-0005-0000-0000-000053060000}"/>
    <cellStyle name="Normal 3 2 2 2 2 3 4 2 2 3" xfId="677" xr:uid="{00000000-0005-0000-0000-000054060000}"/>
    <cellStyle name="Normal 3 2 2 2 2 3 4 2 2 3 2" xfId="24645" xr:uid="{00000000-0005-0000-0000-000055060000}"/>
    <cellStyle name="Normal 3 2 2 2 2 3 4 2 2 3 2 2" xfId="56516" xr:uid="{00000000-0005-0000-0000-000056060000}"/>
    <cellStyle name="Normal 3 2 2 2 2 3 4 2 2 3 3" xfId="32556" xr:uid="{00000000-0005-0000-0000-000057060000}"/>
    <cellStyle name="Normal 3 2 2 2 2 3 4 2 2 4" xfId="16767" xr:uid="{00000000-0005-0000-0000-000058060000}"/>
    <cellStyle name="Normal 3 2 2 2 2 3 4 2 2 4 2" xfId="48638" xr:uid="{00000000-0005-0000-0000-000059060000}"/>
    <cellStyle name="Normal 3 2 2 2 2 3 4 2 2 5" xfId="32553" xr:uid="{00000000-0005-0000-0000-00005A060000}"/>
    <cellStyle name="Normal 3 2 2 2 2 3 4 2 3" xfId="678" xr:uid="{00000000-0005-0000-0000-00005B060000}"/>
    <cellStyle name="Normal 3 2 2 2 2 3 4 2 3 2" xfId="679" xr:uid="{00000000-0005-0000-0000-00005C060000}"/>
    <cellStyle name="Normal 3 2 2 2 2 3 4 2 3 2 2" xfId="28583" xr:uid="{00000000-0005-0000-0000-00005D060000}"/>
    <cellStyle name="Normal 3 2 2 2 2 3 4 2 3 2 2 2" xfId="60454" xr:uid="{00000000-0005-0000-0000-00005E060000}"/>
    <cellStyle name="Normal 3 2 2 2 2 3 4 2 3 2 3" xfId="32558" xr:uid="{00000000-0005-0000-0000-00005F060000}"/>
    <cellStyle name="Normal 3 2 2 2 2 3 4 2 3 3" xfId="20705" xr:uid="{00000000-0005-0000-0000-000060060000}"/>
    <cellStyle name="Normal 3 2 2 2 2 3 4 2 3 3 2" xfId="52576" xr:uid="{00000000-0005-0000-0000-000061060000}"/>
    <cellStyle name="Normal 3 2 2 2 2 3 4 2 3 4" xfId="32557" xr:uid="{00000000-0005-0000-0000-000062060000}"/>
    <cellStyle name="Normal 3 2 2 2 2 3 4 2 4" xfId="680" xr:uid="{00000000-0005-0000-0000-000063060000}"/>
    <cellStyle name="Normal 3 2 2 2 2 3 4 2 4 2" xfId="24644" xr:uid="{00000000-0005-0000-0000-000064060000}"/>
    <cellStyle name="Normal 3 2 2 2 2 3 4 2 4 2 2" xfId="56515" xr:uid="{00000000-0005-0000-0000-000065060000}"/>
    <cellStyle name="Normal 3 2 2 2 2 3 4 2 4 3" xfId="32559" xr:uid="{00000000-0005-0000-0000-000066060000}"/>
    <cellStyle name="Normal 3 2 2 2 2 3 4 2 5" xfId="16766" xr:uid="{00000000-0005-0000-0000-000067060000}"/>
    <cellStyle name="Normal 3 2 2 2 2 3 4 2 5 2" xfId="48637" xr:uid="{00000000-0005-0000-0000-000068060000}"/>
    <cellStyle name="Normal 3 2 2 2 2 3 4 2 6" xfId="32552" xr:uid="{00000000-0005-0000-0000-000069060000}"/>
    <cellStyle name="Normal 3 2 2 2 2 3 4 3" xfId="681" xr:uid="{00000000-0005-0000-0000-00006A060000}"/>
    <cellStyle name="Normal 3 2 2 2 2 3 4 3 2" xfId="682" xr:uid="{00000000-0005-0000-0000-00006B060000}"/>
    <cellStyle name="Normal 3 2 2 2 2 3 4 3 2 2" xfId="683" xr:uid="{00000000-0005-0000-0000-00006C060000}"/>
    <cellStyle name="Normal 3 2 2 2 2 3 4 3 2 2 2" xfId="28585" xr:uid="{00000000-0005-0000-0000-00006D060000}"/>
    <cellStyle name="Normal 3 2 2 2 2 3 4 3 2 2 2 2" xfId="60456" xr:uid="{00000000-0005-0000-0000-00006E060000}"/>
    <cellStyle name="Normal 3 2 2 2 2 3 4 3 2 2 3" xfId="32562" xr:uid="{00000000-0005-0000-0000-00006F060000}"/>
    <cellStyle name="Normal 3 2 2 2 2 3 4 3 2 3" xfId="20707" xr:uid="{00000000-0005-0000-0000-000070060000}"/>
    <cellStyle name="Normal 3 2 2 2 2 3 4 3 2 3 2" xfId="52578" xr:uid="{00000000-0005-0000-0000-000071060000}"/>
    <cellStyle name="Normal 3 2 2 2 2 3 4 3 2 4" xfId="32561" xr:uid="{00000000-0005-0000-0000-000072060000}"/>
    <cellStyle name="Normal 3 2 2 2 2 3 4 3 3" xfId="684" xr:uid="{00000000-0005-0000-0000-000073060000}"/>
    <cellStyle name="Normal 3 2 2 2 2 3 4 3 3 2" xfId="24646" xr:uid="{00000000-0005-0000-0000-000074060000}"/>
    <cellStyle name="Normal 3 2 2 2 2 3 4 3 3 2 2" xfId="56517" xr:uid="{00000000-0005-0000-0000-000075060000}"/>
    <cellStyle name="Normal 3 2 2 2 2 3 4 3 3 3" xfId="32563" xr:uid="{00000000-0005-0000-0000-000076060000}"/>
    <cellStyle name="Normal 3 2 2 2 2 3 4 3 4" xfId="16768" xr:uid="{00000000-0005-0000-0000-000077060000}"/>
    <cellStyle name="Normal 3 2 2 2 2 3 4 3 4 2" xfId="48639" xr:uid="{00000000-0005-0000-0000-000078060000}"/>
    <cellStyle name="Normal 3 2 2 2 2 3 4 3 5" xfId="32560" xr:uid="{00000000-0005-0000-0000-000079060000}"/>
    <cellStyle name="Normal 3 2 2 2 2 3 4 4" xfId="685" xr:uid="{00000000-0005-0000-0000-00007A060000}"/>
    <cellStyle name="Normal 3 2 2 2 2 3 4 4 2" xfId="686" xr:uid="{00000000-0005-0000-0000-00007B060000}"/>
    <cellStyle name="Normal 3 2 2 2 2 3 4 4 2 2" xfId="28582" xr:uid="{00000000-0005-0000-0000-00007C060000}"/>
    <cellStyle name="Normal 3 2 2 2 2 3 4 4 2 2 2" xfId="60453" xr:uid="{00000000-0005-0000-0000-00007D060000}"/>
    <cellStyle name="Normal 3 2 2 2 2 3 4 4 2 3" xfId="32565" xr:uid="{00000000-0005-0000-0000-00007E060000}"/>
    <cellStyle name="Normal 3 2 2 2 2 3 4 4 3" xfId="20704" xr:uid="{00000000-0005-0000-0000-00007F060000}"/>
    <cellStyle name="Normal 3 2 2 2 2 3 4 4 3 2" xfId="52575" xr:uid="{00000000-0005-0000-0000-000080060000}"/>
    <cellStyle name="Normal 3 2 2 2 2 3 4 4 4" xfId="32564" xr:uid="{00000000-0005-0000-0000-000081060000}"/>
    <cellStyle name="Normal 3 2 2 2 2 3 4 5" xfId="687" xr:uid="{00000000-0005-0000-0000-000082060000}"/>
    <cellStyle name="Normal 3 2 2 2 2 3 4 5 2" xfId="24643" xr:uid="{00000000-0005-0000-0000-000083060000}"/>
    <cellStyle name="Normal 3 2 2 2 2 3 4 5 2 2" xfId="56514" xr:uid="{00000000-0005-0000-0000-000084060000}"/>
    <cellStyle name="Normal 3 2 2 2 2 3 4 5 3" xfId="32566" xr:uid="{00000000-0005-0000-0000-000085060000}"/>
    <cellStyle name="Normal 3 2 2 2 2 3 4 6" xfId="16765" xr:uid="{00000000-0005-0000-0000-000086060000}"/>
    <cellStyle name="Normal 3 2 2 2 2 3 4 6 2" xfId="48636" xr:uid="{00000000-0005-0000-0000-000087060000}"/>
    <cellStyle name="Normal 3 2 2 2 2 3 4 7" xfId="32551" xr:uid="{00000000-0005-0000-0000-000088060000}"/>
    <cellStyle name="Normal 3 2 2 2 2 3 5" xfId="688" xr:uid="{00000000-0005-0000-0000-000089060000}"/>
    <cellStyle name="Normal 3 2 2 2 2 3 5 2" xfId="689" xr:uid="{00000000-0005-0000-0000-00008A060000}"/>
    <cellStyle name="Normal 3 2 2 2 2 3 5 2 2" xfId="690" xr:uid="{00000000-0005-0000-0000-00008B060000}"/>
    <cellStyle name="Normal 3 2 2 2 2 3 5 2 2 2" xfId="691" xr:uid="{00000000-0005-0000-0000-00008C060000}"/>
    <cellStyle name="Normal 3 2 2 2 2 3 5 2 2 2 2" xfId="28587" xr:uid="{00000000-0005-0000-0000-00008D060000}"/>
    <cellStyle name="Normal 3 2 2 2 2 3 5 2 2 2 2 2" xfId="60458" xr:uid="{00000000-0005-0000-0000-00008E060000}"/>
    <cellStyle name="Normal 3 2 2 2 2 3 5 2 2 2 3" xfId="32570" xr:uid="{00000000-0005-0000-0000-00008F060000}"/>
    <cellStyle name="Normal 3 2 2 2 2 3 5 2 2 3" xfId="20709" xr:uid="{00000000-0005-0000-0000-000090060000}"/>
    <cellStyle name="Normal 3 2 2 2 2 3 5 2 2 3 2" xfId="52580" xr:uid="{00000000-0005-0000-0000-000091060000}"/>
    <cellStyle name="Normal 3 2 2 2 2 3 5 2 2 4" xfId="32569" xr:uid="{00000000-0005-0000-0000-000092060000}"/>
    <cellStyle name="Normal 3 2 2 2 2 3 5 2 3" xfId="692" xr:uid="{00000000-0005-0000-0000-000093060000}"/>
    <cellStyle name="Normal 3 2 2 2 2 3 5 2 3 2" xfId="24648" xr:uid="{00000000-0005-0000-0000-000094060000}"/>
    <cellStyle name="Normal 3 2 2 2 2 3 5 2 3 2 2" xfId="56519" xr:uid="{00000000-0005-0000-0000-000095060000}"/>
    <cellStyle name="Normal 3 2 2 2 2 3 5 2 3 3" xfId="32571" xr:uid="{00000000-0005-0000-0000-000096060000}"/>
    <cellStyle name="Normal 3 2 2 2 2 3 5 2 4" xfId="16770" xr:uid="{00000000-0005-0000-0000-000097060000}"/>
    <cellStyle name="Normal 3 2 2 2 2 3 5 2 4 2" xfId="48641" xr:uid="{00000000-0005-0000-0000-000098060000}"/>
    <cellStyle name="Normal 3 2 2 2 2 3 5 2 5" xfId="32568" xr:uid="{00000000-0005-0000-0000-000099060000}"/>
    <cellStyle name="Normal 3 2 2 2 2 3 5 3" xfId="693" xr:uid="{00000000-0005-0000-0000-00009A060000}"/>
    <cellStyle name="Normal 3 2 2 2 2 3 5 3 2" xfId="694" xr:uid="{00000000-0005-0000-0000-00009B060000}"/>
    <cellStyle name="Normal 3 2 2 2 2 3 5 3 2 2" xfId="28586" xr:uid="{00000000-0005-0000-0000-00009C060000}"/>
    <cellStyle name="Normal 3 2 2 2 2 3 5 3 2 2 2" xfId="60457" xr:uid="{00000000-0005-0000-0000-00009D060000}"/>
    <cellStyle name="Normal 3 2 2 2 2 3 5 3 2 3" xfId="32573" xr:uid="{00000000-0005-0000-0000-00009E060000}"/>
    <cellStyle name="Normal 3 2 2 2 2 3 5 3 3" xfId="20708" xr:uid="{00000000-0005-0000-0000-00009F060000}"/>
    <cellStyle name="Normal 3 2 2 2 2 3 5 3 3 2" xfId="52579" xr:uid="{00000000-0005-0000-0000-0000A0060000}"/>
    <cellStyle name="Normal 3 2 2 2 2 3 5 3 4" xfId="32572" xr:uid="{00000000-0005-0000-0000-0000A1060000}"/>
    <cellStyle name="Normal 3 2 2 2 2 3 5 4" xfId="695" xr:uid="{00000000-0005-0000-0000-0000A2060000}"/>
    <cellStyle name="Normal 3 2 2 2 2 3 5 4 2" xfId="24647" xr:uid="{00000000-0005-0000-0000-0000A3060000}"/>
    <cellStyle name="Normal 3 2 2 2 2 3 5 4 2 2" xfId="56518" xr:uid="{00000000-0005-0000-0000-0000A4060000}"/>
    <cellStyle name="Normal 3 2 2 2 2 3 5 4 3" xfId="32574" xr:uid="{00000000-0005-0000-0000-0000A5060000}"/>
    <cellStyle name="Normal 3 2 2 2 2 3 5 5" xfId="16769" xr:uid="{00000000-0005-0000-0000-0000A6060000}"/>
    <cellStyle name="Normal 3 2 2 2 2 3 5 5 2" xfId="48640" xr:uid="{00000000-0005-0000-0000-0000A7060000}"/>
    <cellStyle name="Normal 3 2 2 2 2 3 5 6" xfId="32567" xr:uid="{00000000-0005-0000-0000-0000A8060000}"/>
    <cellStyle name="Normal 3 2 2 2 2 3 6" xfId="696" xr:uid="{00000000-0005-0000-0000-0000A9060000}"/>
    <cellStyle name="Normal 3 2 2 2 2 3 6 2" xfId="697" xr:uid="{00000000-0005-0000-0000-0000AA060000}"/>
    <cellStyle name="Normal 3 2 2 2 2 3 6 2 2" xfId="698" xr:uid="{00000000-0005-0000-0000-0000AB060000}"/>
    <cellStyle name="Normal 3 2 2 2 2 3 6 2 2 2" xfId="28588" xr:uid="{00000000-0005-0000-0000-0000AC060000}"/>
    <cellStyle name="Normal 3 2 2 2 2 3 6 2 2 2 2" xfId="60459" xr:uid="{00000000-0005-0000-0000-0000AD060000}"/>
    <cellStyle name="Normal 3 2 2 2 2 3 6 2 2 3" xfId="32577" xr:uid="{00000000-0005-0000-0000-0000AE060000}"/>
    <cellStyle name="Normal 3 2 2 2 2 3 6 2 3" xfId="20710" xr:uid="{00000000-0005-0000-0000-0000AF060000}"/>
    <cellStyle name="Normal 3 2 2 2 2 3 6 2 3 2" xfId="52581" xr:uid="{00000000-0005-0000-0000-0000B0060000}"/>
    <cellStyle name="Normal 3 2 2 2 2 3 6 2 4" xfId="32576" xr:uid="{00000000-0005-0000-0000-0000B1060000}"/>
    <cellStyle name="Normal 3 2 2 2 2 3 6 3" xfId="699" xr:uid="{00000000-0005-0000-0000-0000B2060000}"/>
    <cellStyle name="Normal 3 2 2 2 2 3 6 3 2" xfId="24649" xr:uid="{00000000-0005-0000-0000-0000B3060000}"/>
    <cellStyle name="Normal 3 2 2 2 2 3 6 3 2 2" xfId="56520" xr:uid="{00000000-0005-0000-0000-0000B4060000}"/>
    <cellStyle name="Normal 3 2 2 2 2 3 6 3 3" xfId="32578" xr:uid="{00000000-0005-0000-0000-0000B5060000}"/>
    <cellStyle name="Normal 3 2 2 2 2 3 6 4" xfId="16771" xr:uid="{00000000-0005-0000-0000-0000B6060000}"/>
    <cellStyle name="Normal 3 2 2 2 2 3 6 4 2" xfId="48642" xr:uid="{00000000-0005-0000-0000-0000B7060000}"/>
    <cellStyle name="Normal 3 2 2 2 2 3 6 5" xfId="32575" xr:uid="{00000000-0005-0000-0000-0000B8060000}"/>
    <cellStyle name="Normal 3 2 2 2 2 3 7" xfId="700" xr:uid="{00000000-0005-0000-0000-0000B9060000}"/>
    <cellStyle name="Normal 3 2 2 2 2 3 7 2" xfId="701" xr:uid="{00000000-0005-0000-0000-0000BA060000}"/>
    <cellStyle name="Normal 3 2 2 2 2 3 7 2 2" xfId="28370" xr:uid="{00000000-0005-0000-0000-0000BB060000}"/>
    <cellStyle name="Normal 3 2 2 2 2 3 7 2 2 2" xfId="60241" xr:uid="{00000000-0005-0000-0000-0000BC060000}"/>
    <cellStyle name="Normal 3 2 2 2 2 3 7 2 3" xfId="32580" xr:uid="{00000000-0005-0000-0000-0000BD060000}"/>
    <cellStyle name="Normal 3 2 2 2 2 3 7 3" xfId="20492" xr:uid="{00000000-0005-0000-0000-0000BE060000}"/>
    <cellStyle name="Normal 3 2 2 2 2 3 7 3 2" xfId="52363" xr:uid="{00000000-0005-0000-0000-0000BF060000}"/>
    <cellStyle name="Normal 3 2 2 2 2 3 7 4" xfId="32579" xr:uid="{00000000-0005-0000-0000-0000C0060000}"/>
    <cellStyle name="Normal 3 2 2 2 2 3 8" xfId="702" xr:uid="{00000000-0005-0000-0000-0000C1060000}"/>
    <cellStyle name="Normal 3 2 2 2 2 3 8 2" xfId="24431" xr:uid="{00000000-0005-0000-0000-0000C2060000}"/>
    <cellStyle name="Normal 3 2 2 2 2 3 8 2 2" xfId="56302" xr:uid="{00000000-0005-0000-0000-0000C3060000}"/>
    <cellStyle name="Normal 3 2 2 2 2 3 8 3" xfId="32581" xr:uid="{00000000-0005-0000-0000-0000C4060000}"/>
    <cellStyle name="Normal 3 2 2 2 2 3 9" xfId="16553" xr:uid="{00000000-0005-0000-0000-0000C5060000}"/>
    <cellStyle name="Normal 3 2 2 2 2 3 9 2" xfId="48424" xr:uid="{00000000-0005-0000-0000-0000C6060000}"/>
    <cellStyle name="Normal 3 2 2 2 2 4" xfId="703" xr:uid="{00000000-0005-0000-0000-0000C7060000}"/>
    <cellStyle name="Normal 3 2 2 2 2 4 2" xfId="704" xr:uid="{00000000-0005-0000-0000-0000C8060000}"/>
    <cellStyle name="Normal 3 2 2 2 2 4 2 2" xfId="705" xr:uid="{00000000-0005-0000-0000-0000C9060000}"/>
    <cellStyle name="Normal 3 2 2 2 2 4 2 2 2" xfId="706" xr:uid="{00000000-0005-0000-0000-0000CA060000}"/>
    <cellStyle name="Normal 3 2 2 2 2 4 2 2 2 2" xfId="707" xr:uid="{00000000-0005-0000-0000-0000CB060000}"/>
    <cellStyle name="Normal 3 2 2 2 2 4 2 2 2 2 2" xfId="708" xr:uid="{00000000-0005-0000-0000-0000CC060000}"/>
    <cellStyle name="Normal 3 2 2 2 2 4 2 2 2 2 2 2" xfId="709" xr:uid="{00000000-0005-0000-0000-0000CD060000}"/>
    <cellStyle name="Normal 3 2 2 2 2 4 2 2 2 2 2 2 2" xfId="28592" xr:uid="{00000000-0005-0000-0000-0000CE060000}"/>
    <cellStyle name="Normal 3 2 2 2 2 4 2 2 2 2 2 2 2 2" xfId="60463" xr:uid="{00000000-0005-0000-0000-0000CF060000}"/>
    <cellStyle name="Normal 3 2 2 2 2 4 2 2 2 2 2 2 3" xfId="32588" xr:uid="{00000000-0005-0000-0000-0000D0060000}"/>
    <cellStyle name="Normal 3 2 2 2 2 4 2 2 2 2 2 3" xfId="20714" xr:uid="{00000000-0005-0000-0000-0000D1060000}"/>
    <cellStyle name="Normal 3 2 2 2 2 4 2 2 2 2 2 3 2" xfId="52585" xr:uid="{00000000-0005-0000-0000-0000D2060000}"/>
    <cellStyle name="Normal 3 2 2 2 2 4 2 2 2 2 2 4" xfId="32587" xr:uid="{00000000-0005-0000-0000-0000D3060000}"/>
    <cellStyle name="Normal 3 2 2 2 2 4 2 2 2 2 3" xfId="710" xr:uid="{00000000-0005-0000-0000-0000D4060000}"/>
    <cellStyle name="Normal 3 2 2 2 2 4 2 2 2 2 3 2" xfId="24653" xr:uid="{00000000-0005-0000-0000-0000D5060000}"/>
    <cellStyle name="Normal 3 2 2 2 2 4 2 2 2 2 3 2 2" xfId="56524" xr:uid="{00000000-0005-0000-0000-0000D6060000}"/>
    <cellStyle name="Normal 3 2 2 2 2 4 2 2 2 2 3 3" xfId="32589" xr:uid="{00000000-0005-0000-0000-0000D7060000}"/>
    <cellStyle name="Normal 3 2 2 2 2 4 2 2 2 2 4" xfId="16775" xr:uid="{00000000-0005-0000-0000-0000D8060000}"/>
    <cellStyle name="Normal 3 2 2 2 2 4 2 2 2 2 4 2" xfId="48646" xr:uid="{00000000-0005-0000-0000-0000D9060000}"/>
    <cellStyle name="Normal 3 2 2 2 2 4 2 2 2 2 5" xfId="32586" xr:uid="{00000000-0005-0000-0000-0000DA060000}"/>
    <cellStyle name="Normal 3 2 2 2 2 4 2 2 2 3" xfId="711" xr:uid="{00000000-0005-0000-0000-0000DB060000}"/>
    <cellStyle name="Normal 3 2 2 2 2 4 2 2 2 3 2" xfId="712" xr:uid="{00000000-0005-0000-0000-0000DC060000}"/>
    <cellStyle name="Normal 3 2 2 2 2 4 2 2 2 3 2 2" xfId="28591" xr:uid="{00000000-0005-0000-0000-0000DD060000}"/>
    <cellStyle name="Normal 3 2 2 2 2 4 2 2 2 3 2 2 2" xfId="60462" xr:uid="{00000000-0005-0000-0000-0000DE060000}"/>
    <cellStyle name="Normal 3 2 2 2 2 4 2 2 2 3 2 3" xfId="32591" xr:uid="{00000000-0005-0000-0000-0000DF060000}"/>
    <cellStyle name="Normal 3 2 2 2 2 4 2 2 2 3 3" xfId="20713" xr:uid="{00000000-0005-0000-0000-0000E0060000}"/>
    <cellStyle name="Normal 3 2 2 2 2 4 2 2 2 3 3 2" xfId="52584" xr:uid="{00000000-0005-0000-0000-0000E1060000}"/>
    <cellStyle name="Normal 3 2 2 2 2 4 2 2 2 3 4" xfId="32590" xr:uid="{00000000-0005-0000-0000-0000E2060000}"/>
    <cellStyle name="Normal 3 2 2 2 2 4 2 2 2 4" xfId="713" xr:uid="{00000000-0005-0000-0000-0000E3060000}"/>
    <cellStyle name="Normal 3 2 2 2 2 4 2 2 2 4 2" xfId="24652" xr:uid="{00000000-0005-0000-0000-0000E4060000}"/>
    <cellStyle name="Normal 3 2 2 2 2 4 2 2 2 4 2 2" xfId="56523" xr:uid="{00000000-0005-0000-0000-0000E5060000}"/>
    <cellStyle name="Normal 3 2 2 2 2 4 2 2 2 4 3" xfId="32592" xr:uid="{00000000-0005-0000-0000-0000E6060000}"/>
    <cellStyle name="Normal 3 2 2 2 2 4 2 2 2 5" xfId="16774" xr:uid="{00000000-0005-0000-0000-0000E7060000}"/>
    <cellStyle name="Normal 3 2 2 2 2 4 2 2 2 5 2" xfId="48645" xr:uid="{00000000-0005-0000-0000-0000E8060000}"/>
    <cellStyle name="Normal 3 2 2 2 2 4 2 2 2 6" xfId="32585" xr:uid="{00000000-0005-0000-0000-0000E9060000}"/>
    <cellStyle name="Normal 3 2 2 2 2 4 2 2 3" xfId="714" xr:uid="{00000000-0005-0000-0000-0000EA060000}"/>
    <cellStyle name="Normal 3 2 2 2 2 4 2 2 3 2" xfId="715" xr:uid="{00000000-0005-0000-0000-0000EB060000}"/>
    <cellStyle name="Normal 3 2 2 2 2 4 2 2 3 2 2" xfId="716" xr:uid="{00000000-0005-0000-0000-0000EC060000}"/>
    <cellStyle name="Normal 3 2 2 2 2 4 2 2 3 2 2 2" xfId="28593" xr:uid="{00000000-0005-0000-0000-0000ED060000}"/>
    <cellStyle name="Normal 3 2 2 2 2 4 2 2 3 2 2 2 2" xfId="60464" xr:uid="{00000000-0005-0000-0000-0000EE060000}"/>
    <cellStyle name="Normal 3 2 2 2 2 4 2 2 3 2 2 3" xfId="32595" xr:uid="{00000000-0005-0000-0000-0000EF060000}"/>
    <cellStyle name="Normal 3 2 2 2 2 4 2 2 3 2 3" xfId="20715" xr:uid="{00000000-0005-0000-0000-0000F0060000}"/>
    <cellStyle name="Normal 3 2 2 2 2 4 2 2 3 2 3 2" xfId="52586" xr:uid="{00000000-0005-0000-0000-0000F1060000}"/>
    <cellStyle name="Normal 3 2 2 2 2 4 2 2 3 2 4" xfId="32594" xr:uid="{00000000-0005-0000-0000-0000F2060000}"/>
    <cellStyle name="Normal 3 2 2 2 2 4 2 2 3 3" xfId="717" xr:uid="{00000000-0005-0000-0000-0000F3060000}"/>
    <cellStyle name="Normal 3 2 2 2 2 4 2 2 3 3 2" xfId="24654" xr:uid="{00000000-0005-0000-0000-0000F4060000}"/>
    <cellStyle name="Normal 3 2 2 2 2 4 2 2 3 3 2 2" xfId="56525" xr:uid="{00000000-0005-0000-0000-0000F5060000}"/>
    <cellStyle name="Normal 3 2 2 2 2 4 2 2 3 3 3" xfId="32596" xr:uid="{00000000-0005-0000-0000-0000F6060000}"/>
    <cellStyle name="Normal 3 2 2 2 2 4 2 2 3 4" xfId="16776" xr:uid="{00000000-0005-0000-0000-0000F7060000}"/>
    <cellStyle name="Normal 3 2 2 2 2 4 2 2 3 4 2" xfId="48647" xr:uid="{00000000-0005-0000-0000-0000F8060000}"/>
    <cellStyle name="Normal 3 2 2 2 2 4 2 2 3 5" xfId="32593" xr:uid="{00000000-0005-0000-0000-0000F9060000}"/>
    <cellStyle name="Normal 3 2 2 2 2 4 2 2 4" xfId="718" xr:uid="{00000000-0005-0000-0000-0000FA060000}"/>
    <cellStyle name="Normal 3 2 2 2 2 4 2 2 4 2" xfId="719" xr:uid="{00000000-0005-0000-0000-0000FB060000}"/>
    <cellStyle name="Normal 3 2 2 2 2 4 2 2 4 2 2" xfId="28590" xr:uid="{00000000-0005-0000-0000-0000FC060000}"/>
    <cellStyle name="Normal 3 2 2 2 2 4 2 2 4 2 2 2" xfId="60461" xr:uid="{00000000-0005-0000-0000-0000FD060000}"/>
    <cellStyle name="Normal 3 2 2 2 2 4 2 2 4 2 3" xfId="32598" xr:uid="{00000000-0005-0000-0000-0000FE060000}"/>
    <cellStyle name="Normal 3 2 2 2 2 4 2 2 4 3" xfId="20712" xr:uid="{00000000-0005-0000-0000-0000FF060000}"/>
    <cellStyle name="Normal 3 2 2 2 2 4 2 2 4 3 2" xfId="52583" xr:uid="{00000000-0005-0000-0000-000000070000}"/>
    <cellStyle name="Normal 3 2 2 2 2 4 2 2 4 4" xfId="32597" xr:uid="{00000000-0005-0000-0000-000001070000}"/>
    <cellStyle name="Normal 3 2 2 2 2 4 2 2 5" xfId="720" xr:uid="{00000000-0005-0000-0000-000002070000}"/>
    <cellStyle name="Normal 3 2 2 2 2 4 2 2 5 2" xfId="24651" xr:uid="{00000000-0005-0000-0000-000003070000}"/>
    <cellStyle name="Normal 3 2 2 2 2 4 2 2 5 2 2" xfId="56522" xr:uid="{00000000-0005-0000-0000-000004070000}"/>
    <cellStyle name="Normal 3 2 2 2 2 4 2 2 5 3" xfId="32599" xr:uid="{00000000-0005-0000-0000-000005070000}"/>
    <cellStyle name="Normal 3 2 2 2 2 4 2 2 6" xfId="16773" xr:uid="{00000000-0005-0000-0000-000006070000}"/>
    <cellStyle name="Normal 3 2 2 2 2 4 2 2 6 2" xfId="48644" xr:uid="{00000000-0005-0000-0000-000007070000}"/>
    <cellStyle name="Normal 3 2 2 2 2 4 2 2 7" xfId="32584" xr:uid="{00000000-0005-0000-0000-000008070000}"/>
    <cellStyle name="Normal 3 2 2 2 2 4 2 3" xfId="721" xr:uid="{00000000-0005-0000-0000-000009070000}"/>
    <cellStyle name="Normal 3 2 2 2 2 4 2 3 2" xfId="722" xr:uid="{00000000-0005-0000-0000-00000A070000}"/>
    <cellStyle name="Normal 3 2 2 2 2 4 2 3 2 2" xfId="723" xr:uid="{00000000-0005-0000-0000-00000B070000}"/>
    <cellStyle name="Normal 3 2 2 2 2 4 2 3 2 2 2" xfId="724" xr:uid="{00000000-0005-0000-0000-00000C070000}"/>
    <cellStyle name="Normal 3 2 2 2 2 4 2 3 2 2 2 2" xfId="28595" xr:uid="{00000000-0005-0000-0000-00000D070000}"/>
    <cellStyle name="Normal 3 2 2 2 2 4 2 3 2 2 2 2 2" xfId="60466" xr:uid="{00000000-0005-0000-0000-00000E070000}"/>
    <cellStyle name="Normal 3 2 2 2 2 4 2 3 2 2 2 3" xfId="32603" xr:uid="{00000000-0005-0000-0000-00000F070000}"/>
    <cellStyle name="Normal 3 2 2 2 2 4 2 3 2 2 3" xfId="20717" xr:uid="{00000000-0005-0000-0000-000010070000}"/>
    <cellStyle name="Normal 3 2 2 2 2 4 2 3 2 2 3 2" xfId="52588" xr:uid="{00000000-0005-0000-0000-000011070000}"/>
    <cellStyle name="Normal 3 2 2 2 2 4 2 3 2 2 4" xfId="32602" xr:uid="{00000000-0005-0000-0000-000012070000}"/>
    <cellStyle name="Normal 3 2 2 2 2 4 2 3 2 3" xfId="725" xr:uid="{00000000-0005-0000-0000-000013070000}"/>
    <cellStyle name="Normal 3 2 2 2 2 4 2 3 2 3 2" xfId="24656" xr:uid="{00000000-0005-0000-0000-000014070000}"/>
    <cellStyle name="Normal 3 2 2 2 2 4 2 3 2 3 2 2" xfId="56527" xr:uid="{00000000-0005-0000-0000-000015070000}"/>
    <cellStyle name="Normal 3 2 2 2 2 4 2 3 2 3 3" xfId="32604" xr:uid="{00000000-0005-0000-0000-000016070000}"/>
    <cellStyle name="Normal 3 2 2 2 2 4 2 3 2 4" xfId="16778" xr:uid="{00000000-0005-0000-0000-000017070000}"/>
    <cellStyle name="Normal 3 2 2 2 2 4 2 3 2 4 2" xfId="48649" xr:uid="{00000000-0005-0000-0000-000018070000}"/>
    <cellStyle name="Normal 3 2 2 2 2 4 2 3 2 5" xfId="32601" xr:uid="{00000000-0005-0000-0000-000019070000}"/>
    <cellStyle name="Normal 3 2 2 2 2 4 2 3 3" xfId="726" xr:uid="{00000000-0005-0000-0000-00001A070000}"/>
    <cellStyle name="Normal 3 2 2 2 2 4 2 3 3 2" xfId="727" xr:uid="{00000000-0005-0000-0000-00001B070000}"/>
    <cellStyle name="Normal 3 2 2 2 2 4 2 3 3 2 2" xfId="28594" xr:uid="{00000000-0005-0000-0000-00001C070000}"/>
    <cellStyle name="Normal 3 2 2 2 2 4 2 3 3 2 2 2" xfId="60465" xr:uid="{00000000-0005-0000-0000-00001D070000}"/>
    <cellStyle name="Normal 3 2 2 2 2 4 2 3 3 2 3" xfId="32606" xr:uid="{00000000-0005-0000-0000-00001E070000}"/>
    <cellStyle name="Normal 3 2 2 2 2 4 2 3 3 3" xfId="20716" xr:uid="{00000000-0005-0000-0000-00001F070000}"/>
    <cellStyle name="Normal 3 2 2 2 2 4 2 3 3 3 2" xfId="52587" xr:uid="{00000000-0005-0000-0000-000020070000}"/>
    <cellStyle name="Normal 3 2 2 2 2 4 2 3 3 4" xfId="32605" xr:uid="{00000000-0005-0000-0000-000021070000}"/>
    <cellStyle name="Normal 3 2 2 2 2 4 2 3 4" xfId="728" xr:uid="{00000000-0005-0000-0000-000022070000}"/>
    <cellStyle name="Normal 3 2 2 2 2 4 2 3 4 2" xfId="24655" xr:uid="{00000000-0005-0000-0000-000023070000}"/>
    <cellStyle name="Normal 3 2 2 2 2 4 2 3 4 2 2" xfId="56526" xr:uid="{00000000-0005-0000-0000-000024070000}"/>
    <cellStyle name="Normal 3 2 2 2 2 4 2 3 4 3" xfId="32607" xr:uid="{00000000-0005-0000-0000-000025070000}"/>
    <cellStyle name="Normal 3 2 2 2 2 4 2 3 5" xfId="16777" xr:uid="{00000000-0005-0000-0000-000026070000}"/>
    <cellStyle name="Normal 3 2 2 2 2 4 2 3 5 2" xfId="48648" xr:uid="{00000000-0005-0000-0000-000027070000}"/>
    <cellStyle name="Normal 3 2 2 2 2 4 2 3 6" xfId="32600" xr:uid="{00000000-0005-0000-0000-000028070000}"/>
    <cellStyle name="Normal 3 2 2 2 2 4 2 4" xfId="729" xr:uid="{00000000-0005-0000-0000-000029070000}"/>
    <cellStyle name="Normal 3 2 2 2 2 4 2 4 2" xfId="730" xr:uid="{00000000-0005-0000-0000-00002A070000}"/>
    <cellStyle name="Normal 3 2 2 2 2 4 2 4 2 2" xfId="731" xr:uid="{00000000-0005-0000-0000-00002B070000}"/>
    <cellStyle name="Normal 3 2 2 2 2 4 2 4 2 2 2" xfId="28596" xr:uid="{00000000-0005-0000-0000-00002C070000}"/>
    <cellStyle name="Normal 3 2 2 2 2 4 2 4 2 2 2 2" xfId="60467" xr:uid="{00000000-0005-0000-0000-00002D070000}"/>
    <cellStyle name="Normal 3 2 2 2 2 4 2 4 2 2 3" xfId="32610" xr:uid="{00000000-0005-0000-0000-00002E070000}"/>
    <cellStyle name="Normal 3 2 2 2 2 4 2 4 2 3" xfId="20718" xr:uid="{00000000-0005-0000-0000-00002F070000}"/>
    <cellStyle name="Normal 3 2 2 2 2 4 2 4 2 3 2" xfId="52589" xr:uid="{00000000-0005-0000-0000-000030070000}"/>
    <cellStyle name="Normal 3 2 2 2 2 4 2 4 2 4" xfId="32609" xr:uid="{00000000-0005-0000-0000-000031070000}"/>
    <cellStyle name="Normal 3 2 2 2 2 4 2 4 3" xfId="732" xr:uid="{00000000-0005-0000-0000-000032070000}"/>
    <cellStyle name="Normal 3 2 2 2 2 4 2 4 3 2" xfId="24657" xr:uid="{00000000-0005-0000-0000-000033070000}"/>
    <cellStyle name="Normal 3 2 2 2 2 4 2 4 3 2 2" xfId="56528" xr:uid="{00000000-0005-0000-0000-000034070000}"/>
    <cellStyle name="Normal 3 2 2 2 2 4 2 4 3 3" xfId="32611" xr:uid="{00000000-0005-0000-0000-000035070000}"/>
    <cellStyle name="Normal 3 2 2 2 2 4 2 4 4" xfId="16779" xr:uid="{00000000-0005-0000-0000-000036070000}"/>
    <cellStyle name="Normal 3 2 2 2 2 4 2 4 4 2" xfId="48650" xr:uid="{00000000-0005-0000-0000-000037070000}"/>
    <cellStyle name="Normal 3 2 2 2 2 4 2 4 5" xfId="32608" xr:uid="{00000000-0005-0000-0000-000038070000}"/>
    <cellStyle name="Normal 3 2 2 2 2 4 2 5" xfId="733" xr:uid="{00000000-0005-0000-0000-000039070000}"/>
    <cellStyle name="Normal 3 2 2 2 2 4 2 5 2" xfId="734" xr:uid="{00000000-0005-0000-0000-00003A070000}"/>
    <cellStyle name="Normal 3 2 2 2 2 4 2 5 2 2" xfId="28589" xr:uid="{00000000-0005-0000-0000-00003B070000}"/>
    <cellStyle name="Normal 3 2 2 2 2 4 2 5 2 2 2" xfId="60460" xr:uid="{00000000-0005-0000-0000-00003C070000}"/>
    <cellStyle name="Normal 3 2 2 2 2 4 2 5 2 3" xfId="32613" xr:uid="{00000000-0005-0000-0000-00003D070000}"/>
    <cellStyle name="Normal 3 2 2 2 2 4 2 5 3" xfId="20711" xr:uid="{00000000-0005-0000-0000-00003E070000}"/>
    <cellStyle name="Normal 3 2 2 2 2 4 2 5 3 2" xfId="52582" xr:uid="{00000000-0005-0000-0000-00003F070000}"/>
    <cellStyle name="Normal 3 2 2 2 2 4 2 5 4" xfId="32612" xr:uid="{00000000-0005-0000-0000-000040070000}"/>
    <cellStyle name="Normal 3 2 2 2 2 4 2 6" xfId="735" xr:uid="{00000000-0005-0000-0000-000041070000}"/>
    <cellStyle name="Normal 3 2 2 2 2 4 2 6 2" xfId="24650" xr:uid="{00000000-0005-0000-0000-000042070000}"/>
    <cellStyle name="Normal 3 2 2 2 2 4 2 6 2 2" xfId="56521" xr:uid="{00000000-0005-0000-0000-000043070000}"/>
    <cellStyle name="Normal 3 2 2 2 2 4 2 6 3" xfId="32614" xr:uid="{00000000-0005-0000-0000-000044070000}"/>
    <cellStyle name="Normal 3 2 2 2 2 4 2 7" xfId="16772" xr:uid="{00000000-0005-0000-0000-000045070000}"/>
    <cellStyle name="Normal 3 2 2 2 2 4 2 7 2" xfId="48643" xr:uid="{00000000-0005-0000-0000-000046070000}"/>
    <cellStyle name="Normal 3 2 2 2 2 4 2 8" xfId="32583" xr:uid="{00000000-0005-0000-0000-000047070000}"/>
    <cellStyle name="Normal 3 2 2 2 2 4 3" xfId="736" xr:uid="{00000000-0005-0000-0000-000048070000}"/>
    <cellStyle name="Normal 3 2 2 2 2 4 3 2" xfId="737" xr:uid="{00000000-0005-0000-0000-000049070000}"/>
    <cellStyle name="Normal 3 2 2 2 2 4 3 2 2" xfId="738" xr:uid="{00000000-0005-0000-0000-00004A070000}"/>
    <cellStyle name="Normal 3 2 2 2 2 4 3 2 2 2" xfId="739" xr:uid="{00000000-0005-0000-0000-00004B070000}"/>
    <cellStyle name="Normal 3 2 2 2 2 4 3 2 2 2 2" xfId="740" xr:uid="{00000000-0005-0000-0000-00004C070000}"/>
    <cellStyle name="Normal 3 2 2 2 2 4 3 2 2 2 2 2" xfId="28599" xr:uid="{00000000-0005-0000-0000-00004D070000}"/>
    <cellStyle name="Normal 3 2 2 2 2 4 3 2 2 2 2 2 2" xfId="60470" xr:uid="{00000000-0005-0000-0000-00004E070000}"/>
    <cellStyle name="Normal 3 2 2 2 2 4 3 2 2 2 2 3" xfId="32619" xr:uid="{00000000-0005-0000-0000-00004F070000}"/>
    <cellStyle name="Normal 3 2 2 2 2 4 3 2 2 2 3" xfId="20721" xr:uid="{00000000-0005-0000-0000-000050070000}"/>
    <cellStyle name="Normal 3 2 2 2 2 4 3 2 2 2 3 2" xfId="52592" xr:uid="{00000000-0005-0000-0000-000051070000}"/>
    <cellStyle name="Normal 3 2 2 2 2 4 3 2 2 2 4" xfId="32618" xr:uid="{00000000-0005-0000-0000-000052070000}"/>
    <cellStyle name="Normal 3 2 2 2 2 4 3 2 2 3" xfId="741" xr:uid="{00000000-0005-0000-0000-000053070000}"/>
    <cellStyle name="Normal 3 2 2 2 2 4 3 2 2 3 2" xfId="24660" xr:uid="{00000000-0005-0000-0000-000054070000}"/>
    <cellStyle name="Normal 3 2 2 2 2 4 3 2 2 3 2 2" xfId="56531" xr:uid="{00000000-0005-0000-0000-000055070000}"/>
    <cellStyle name="Normal 3 2 2 2 2 4 3 2 2 3 3" xfId="32620" xr:uid="{00000000-0005-0000-0000-000056070000}"/>
    <cellStyle name="Normal 3 2 2 2 2 4 3 2 2 4" xfId="16782" xr:uid="{00000000-0005-0000-0000-000057070000}"/>
    <cellStyle name="Normal 3 2 2 2 2 4 3 2 2 4 2" xfId="48653" xr:uid="{00000000-0005-0000-0000-000058070000}"/>
    <cellStyle name="Normal 3 2 2 2 2 4 3 2 2 5" xfId="32617" xr:uid="{00000000-0005-0000-0000-000059070000}"/>
    <cellStyle name="Normal 3 2 2 2 2 4 3 2 3" xfId="742" xr:uid="{00000000-0005-0000-0000-00005A070000}"/>
    <cellStyle name="Normal 3 2 2 2 2 4 3 2 3 2" xfId="743" xr:uid="{00000000-0005-0000-0000-00005B070000}"/>
    <cellStyle name="Normal 3 2 2 2 2 4 3 2 3 2 2" xfId="28598" xr:uid="{00000000-0005-0000-0000-00005C070000}"/>
    <cellStyle name="Normal 3 2 2 2 2 4 3 2 3 2 2 2" xfId="60469" xr:uid="{00000000-0005-0000-0000-00005D070000}"/>
    <cellStyle name="Normal 3 2 2 2 2 4 3 2 3 2 3" xfId="32622" xr:uid="{00000000-0005-0000-0000-00005E070000}"/>
    <cellStyle name="Normal 3 2 2 2 2 4 3 2 3 3" xfId="20720" xr:uid="{00000000-0005-0000-0000-00005F070000}"/>
    <cellStyle name="Normal 3 2 2 2 2 4 3 2 3 3 2" xfId="52591" xr:uid="{00000000-0005-0000-0000-000060070000}"/>
    <cellStyle name="Normal 3 2 2 2 2 4 3 2 3 4" xfId="32621" xr:uid="{00000000-0005-0000-0000-000061070000}"/>
    <cellStyle name="Normal 3 2 2 2 2 4 3 2 4" xfId="744" xr:uid="{00000000-0005-0000-0000-000062070000}"/>
    <cellStyle name="Normal 3 2 2 2 2 4 3 2 4 2" xfId="24659" xr:uid="{00000000-0005-0000-0000-000063070000}"/>
    <cellStyle name="Normal 3 2 2 2 2 4 3 2 4 2 2" xfId="56530" xr:uid="{00000000-0005-0000-0000-000064070000}"/>
    <cellStyle name="Normal 3 2 2 2 2 4 3 2 4 3" xfId="32623" xr:uid="{00000000-0005-0000-0000-000065070000}"/>
    <cellStyle name="Normal 3 2 2 2 2 4 3 2 5" xfId="16781" xr:uid="{00000000-0005-0000-0000-000066070000}"/>
    <cellStyle name="Normal 3 2 2 2 2 4 3 2 5 2" xfId="48652" xr:uid="{00000000-0005-0000-0000-000067070000}"/>
    <cellStyle name="Normal 3 2 2 2 2 4 3 2 6" xfId="32616" xr:uid="{00000000-0005-0000-0000-000068070000}"/>
    <cellStyle name="Normal 3 2 2 2 2 4 3 3" xfId="745" xr:uid="{00000000-0005-0000-0000-000069070000}"/>
    <cellStyle name="Normal 3 2 2 2 2 4 3 3 2" xfId="746" xr:uid="{00000000-0005-0000-0000-00006A070000}"/>
    <cellStyle name="Normal 3 2 2 2 2 4 3 3 2 2" xfId="747" xr:uid="{00000000-0005-0000-0000-00006B070000}"/>
    <cellStyle name="Normal 3 2 2 2 2 4 3 3 2 2 2" xfId="28600" xr:uid="{00000000-0005-0000-0000-00006C070000}"/>
    <cellStyle name="Normal 3 2 2 2 2 4 3 3 2 2 2 2" xfId="60471" xr:uid="{00000000-0005-0000-0000-00006D070000}"/>
    <cellStyle name="Normal 3 2 2 2 2 4 3 3 2 2 3" xfId="32626" xr:uid="{00000000-0005-0000-0000-00006E070000}"/>
    <cellStyle name="Normal 3 2 2 2 2 4 3 3 2 3" xfId="20722" xr:uid="{00000000-0005-0000-0000-00006F070000}"/>
    <cellStyle name="Normal 3 2 2 2 2 4 3 3 2 3 2" xfId="52593" xr:uid="{00000000-0005-0000-0000-000070070000}"/>
    <cellStyle name="Normal 3 2 2 2 2 4 3 3 2 4" xfId="32625" xr:uid="{00000000-0005-0000-0000-000071070000}"/>
    <cellStyle name="Normal 3 2 2 2 2 4 3 3 3" xfId="748" xr:uid="{00000000-0005-0000-0000-000072070000}"/>
    <cellStyle name="Normal 3 2 2 2 2 4 3 3 3 2" xfId="24661" xr:uid="{00000000-0005-0000-0000-000073070000}"/>
    <cellStyle name="Normal 3 2 2 2 2 4 3 3 3 2 2" xfId="56532" xr:uid="{00000000-0005-0000-0000-000074070000}"/>
    <cellStyle name="Normal 3 2 2 2 2 4 3 3 3 3" xfId="32627" xr:uid="{00000000-0005-0000-0000-000075070000}"/>
    <cellStyle name="Normal 3 2 2 2 2 4 3 3 4" xfId="16783" xr:uid="{00000000-0005-0000-0000-000076070000}"/>
    <cellStyle name="Normal 3 2 2 2 2 4 3 3 4 2" xfId="48654" xr:uid="{00000000-0005-0000-0000-000077070000}"/>
    <cellStyle name="Normal 3 2 2 2 2 4 3 3 5" xfId="32624" xr:uid="{00000000-0005-0000-0000-000078070000}"/>
    <cellStyle name="Normal 3 2 2 2 2 4 3 4" xfId="749" xr:uid="{00000000-0005-0000-0000-000079070000}"/>
    <cellStyle name="Normal 3 2 2 2 2 4 3 4 2" xfId="750" xr:uid="{00000000-0005-0000-0000-00007A070000}"/>
    <cellStyle name="Normal 3 2 2 2 2 4 3 4 2 2" xfId="28597" xr:uid="{00000000-0005-0000-0000-00007B070000}"/>
    <cellStyle name="Normal 3 2 2 2 2 4 3 4 2 2 2" xfId="60468" xr:uid="{00000000-0005-0000-0000-00007C070000}"/>
    <cellStyle name="Normal 3 2 2 2 2 4 3 4 2 3" xfId="32629" xr:uid="{00000000-0005-0000-0000-00007D070000}"/>
    <cellStyle name="Normal 3 2 2 2 2 4 3 4 3" xfId="20719" xr:uid="{00000000-0005-0000-0000-00007E070000}"/>
    <cellStyle name="Normal 3 2 2 2 2 4 3 4 3 2" xfId="52590" xr:uid="{00000000-0005-0000-0000-00007F070000}"/>
    <cellStyle name="Normal 3 2 2 2 2 4 3 4 4" xfId="32628" xr:uid="{00000000-0005-0000-0000-000080070000}"/>
    <cellStyle name="Normal 3 2 2 2 2 4 3 5" xfId="751" xr:uid="{00000000-0005-0000-0000-000081070000}"/>
    <cellStyle name="Normal 3 2 2 2 2 4 3 5 2" xfId="24658" xr:uid="{00000000-0005-0000-0000-000082070000}"/>
    <cellStyle name="Normal 3 2 2 2 2 4 3 5 2 2" xfId="56529" xr:uid="{00000000-0005-0000-0000-000083070000}"/>
    <cellStyle name="Normal 3 2 2 2 2 4 3 5 3" xfId="32630" xr:uid="{00000000-0005-0000-0000-000084070000}"/>
    <cellStyle name="Normal 3 2 2 2 2 4 3 6" xfId="16780" xr:uid="{00000000-0005-0000-0000-000085070000}"/>
    <cellStyle name="Normal 3 2 2 2 2 4 3 6 2" xfId="48651" xr:uid="{00000000-0005-0000-0000-000086070000}"/>
    <cellStyle name="Normal 3 2 2 2 2 4 3 7" xfId="32615" xr:uid="{00000000-0005-0000-0000-000087070000}"/>
    <cellStyle name="Normal 3 2 2 2 2 4 4" xfId="752" xr:uid="{00000000-0005-0000-0000-000088070000}"/>
    <cellStyle name="Normal 3 2 2 2 2 4 4 2" xfId="753" xr:uid="{00000000-0005-0000-0000-000089070000}"/>
    <cellStyle name="Normal 3 2 2 2 2 4 4 2 2" xfId="754" xr:uid="{00000000-0005-0000-0000-00008A070000}"/>
    <cellStyle name="Normal 3 2 2 2 2 4 4 2 2 2" xfId="755" xr:uid="{00000000-0005-0000-0000-00008B070000}"/>
    <cellStyle name="Normal 3 2 2 2 2 4 4 2 2 2 2" xfId="28602" xr:uid="{00000000-0005-0000-0000-00008C070000}"/>
    <cellStyle name="Normal 3 2 2 2 2 4 4 2 2 2 2 2" xfId="60473" xr:uid="{00000000-0005-0000-0000-00008D070000}"/>
    <cellStyle name="Normal 3 2 2 2 2 4 4 2 2 2 3" xfId="32634" xr:uid="{00000000-0005-0000-0000-00008E070000}"/>
    <cellStyle name="Normal 3 2 2 2 2 4 4 2 2 3" xfId="20724" xr:uid="{00000000-0005-0000-0000-00008F070000}"/>
    <cellStyle name="Normal 3 2 2 2 2 4 4 2 2 3 2" xfId="52595" xr:uid="{00000000-0005-0000-0000-000090070000}"/>
    <cellStyle name="Normal 3 2 2 2 2 4 4 2 2 4" xfId="32633" xr:uid="{00000000-0005-0000-0000-000091070000}"/>
    <cellStyle name="Normal 3 2 2 2 2 4 4 2 3" xfId="756" xr:uid="{00000000-0005-0000-0000-000092070000}"/>
    <cellStyle name="Normal 3 2 2 2 2 4 4 2 3 2" xfId="24663" xr:uid="{00000000-0005-0000-0000-000093070000}"/>
    <cellStyle name="Normal 3 2 2 2 2 4 4 2 3 2 2" xfId="56534" xr:uid="{00000000-0005-0000-0000-000094070000}"/>
    <cellStyle name="Normal 3 2 2 2 2 4 4 2 3 3" xfId="32635" xr:uid="{00000000-0005-0000-0000-000095070000}"/>
    <cellStyle name="Normal 3 2 2 2 2 4 4 2 4" xfId="16785" xr:uid="{00000000-0005-0000-0000-000096070000}"/>
    <cellStyle name="Normal 3 2 2 2 2 4 4 2 4 2" xfId="48656" xr:uid="{00000000-0005-0000-0000-000097070000}"/>
    <cellStyle name="Normal 3 2 2 2 2 4 4 2 5" xfId="32632" xr:uid="{00000000-0005-0000-0000-000098070000}"/>
    <cellStyle name="Normal 3 2 2 2 2 4 4 3" xfId="757" xr:uid="{00000000-0005-0000-0000-000099070000}"/>
    <cellStyle name="Normal 3 2 2 2 2 4 4 3 2" xfId="758" xr:uid="{00000000-0005-0000-0000-00009A070000}"/>
    <cellStyle name="Normal 3 2 2 2 2 4 4 3 2 2" xfId="28601" xr:uid="{00000000-0005-0000-0000-00009B070000}"/>
    <cellStyle name="Normal 3 2 2 2 2 4 4 3 2 2 2" xfId="60472" xr:uid="{00000000-0005-0000-0000-00009C070000}"/>
    <cellStyle name="Normal 3 2 2 2 2 4 4 3 2 3" xfId="32637" xr:uid="{00000000-0005-0000-0000-00009D070000}"/>
    <cellStyle name="Normal 3 2 2 2 2 4 4 3 3" xfId="20723" xr:uid="{00000000-0005-0000-0000-00009E070000}"/>
    <cellStyle name="Normal 3 2 2 2 2 4 4 3 3 2" xfId="52594" xr:uid="{00000000-0005-0000-0000-00009F070000}"/>
    <cellStyle name="Normal 3 2 2 2 2 4 4 3 4" xfId="32636" xr:uid="{00000000-0005-0000-0000-0000A0070000}"/>
    <cellStyle name="Normal 3 2 2 2 2 4 4 4" xfId="759" xr:uid="{00000000-0005-0000-0000-0000A1070000}"/>
    <cellStyle name="Normal 3 2 2 2 2 4 4 4 2" xfId="24662" xr:uid="{00000000-0005-0000-0000-0000A2070000}"/>
    <cellStyle name="Normal 3 2 2 2 2 4 4 4 2 2" xfId="56533" xr:uid="{00000000-0005-0000-0000-0000A3070000}"/>
    <cellStyle name="Normal 3 2 2 2 2 4 4 4 3" xfId="32638" xr:uid="{00000000-0005-0000-0000-0000A4070000}"/>
    <cellStyle name="Normal 3 2 2 2 2 4 4 5" xfId="16784" xr:uid="{00000000-0005-0000-0000-0000A5070000}"/>
    <cellStyle name="Normal 3 2 2 2 2 4 4 5 2" xfId="48655" xr:uid="{00000000-0005-0000-0000-0000A6070000}"/>
    <cellStyle name="Normal 3 2 2 2 2 4 4 6" xfId="32631" xr:uid="{00000000-0005-0000-0000-0000A7070000}"/>
    <cellStyle name="Normal 3 2 2 2 2 4 5" xfId="760" xr:uid="{00000000-0005-0000-0000-0000A8070000}"/>
    <cellStyle name="Normal 3 2 2 2 2 4 5 2" xfId="761" xr:uid="{00000000-0005-0000-0000-0000A9070000}"/>
    <cellStyle name="Normal 3 2 2 2 2 4 5 2 2" xfId="762" xr:uid="{00000000-0005-0000-0000-0000AA070000}"/>
    <cellStyle name="Normal 3 2 2 2 2 4 5 2 2 2" xfId="28603" xr:uid="{00000000-0005-0000-0000-0000AB070000}"/>
    <cellStyle name="Normal 3 2 2 2 2 4 5 2 2 2 2" xfId="60474" xr:uid="{00000000-0005-0000-0000-0000AC070000}"/>
    <cellStyle name="Normal 3 2 2 2 2 4 5 2 2 3" xfId="32641" xr:uid="{00000000-0005-0000-0000-0000AD070000}"/>
    <cellStyle name="Normal 3 2 2 2 2 4 5 2 3" xfId="20725" xr:uid="{00000000-0005-0000-0000-0000AE070000}"/>
    <cellStyle name="Normal 3 2 2 2 2 4 5 2 3 2" xfId="52596" xr:uid="{00000000-0005-0000-0000-0000AF070000}"/>
    <cellStyle name="Normal 3 2 2 2 2 4 5 2 4" xfId="32640" xr:uid="{00000000-0005-0000-0000-0000B0070000}"/>
    <cellStyle name="Normal 3 2 2 2 2 4 5 3" xfId="763" xr:uid="{00000000-0005-0000-0000-0000B1070000}"/>
    <cellStyle name="Normal 3 2 2 2 2 4 5 3 2" xfId="24664" xr:uid="{00000000-0005-0000-0000-0000B2070000}"/>
    <cellStyle name="Normal 3 2 2 2 2 4 5 3 2 2" xfId="56535" xr:uid="{00000000-0005-0000-0000-0000B3070000}"/>
    <cellStyle name="Normal 3 2 2 2 2 4 5 3 3" xfId="32642" xr:uid="{00000000-0005-0000-0000-0000B4070000}"/>
    <cellStyle name="Normal 3 2 2 2 2 4 5 4" xfId="16786" xr:uid="{00000000-0005-0000-0000-0000B5070000}"/>
    <cellStyle name="Normal 3 2 2 2 2 4 5 4 2" xfId="48657" xr:uid="{00000000-0005-0000-0000-0000B6070000}"/>
    <cellStyle name="Normal 3 2 2 2 2 4 5 5" xfId="32639" xr:uid="{00000000-0005-0000-0000-0000B7070000}"/>
    <cellStyle name="Normal 3 2 2 2 2 4 6" xfId="764" xr:uid="{00000000-0005-0000-0000-0000B8070000}"/>
    <cellStyle name="Normal 3 2 2 2 2 4 6 2" xfId="765" xr:uid="{00000000-0005-0000-0000-0000B9070000}"/>
    <cellStyle name="Normal 3 2 2 2 2 4 6 2 2" xfId="28411" xr:uid="{00000000-0005-0000-0000-0000BA070000}"/>
    <cellStyle name="Normal 3 2 2 2 2 4 6 2 2 2" xfId="60282" xr:uid="{00000000-0005-0000-0000-0000BB070000}"/>
    <cellStyle name="Normal 3 2 2 2 2 4 6 2 3" xfId="32644" xr:uid="{00000000-0005-0000-0000-0000BC070000}"/>
    <cellStyle name="Normal 3 2 2 2 2 4 6 3" xfId="20533" xr:uid="{00000000-0005-0000-0000-0000BD070000}"/>
    <cellStyle name="Normal 3 2 2 2 2 4 6 3 2" xfId="52404" xr:uid="{00000000-0005-0000-0000-0000BE070000}"/>
    <cellStyle name="Normal 3 2 2 2 2 4 6 4" xfId="32643" xr:uid="{00000000-0005-0000-0000-0000BF070000}"/>
    <cellStyle name="Normal 3 2 2 2 2 4 7" xfId="766" xr:uid="{00000000-0005-0000-0000-0000C0070000}"/>
    <cellStyle name="Normal 3 2 2 2 2 4 7 2" xfId="24472" xr:uid="{00000000-0005-0000-0000-0000C1070000}"/>
    <cellStyle name="Normal 3 2 2 2 2 4 7 2 2" xfId="56343" xr:uid="{00000000-0005-0000-0000-0000C2070000}"/>
    <cellStyle name="Normal 3 2 2 2 2 4 7 3" xfId="32645" xr:uid="{00000000-0005-0000-0000-0000C3070000}"/>
    <cellStyle name="Normal 3 2 2 2 2 4 8" xfId="16594" xr:uid="{00000000-0005-0000-0000-0000C4070000}"/>
    <cellStyle name="Normal 3 2 2 2 2 4 8 2" xfId="48465" xr:uid="{00000000-0005-0000-0000-0000C5070000}"/>
    <cellStyle name="Normal 3 2 2 2 2 4 9" xfId="32582" xr:uid="{00000000-0005-0000-0000-0000C6070000}"/>
    <cellStyle name="Normal 3 2 2 2 2 5" xfId="767" xr:uid="{00000000-0005-0000-0000-0000C7070000}"/>
    <cellStyle name="Normal 3 2 2 2 2 5 2" xfId="768" xr:uid="{00000000-0005-0000-0000-0000C8070000}"/>
    <cellStyle name="Normal 3 2 2 2 2 5 2 2" xfId="769" xr:uid="{00000000-0005-0000-0000-0000C9070000}"/>
    <cellStyle name="Normal 3 2 2 2 2 5 2 2 2" xfId="770" xr:uid="{00000000-0005-0000-0000-0000CA070000}"/>
    <cellStyle name="Normal 3 2 2 2 2 5 2 2 2 2" xfId="771" xr:uid="{00000000-0005-0000-0000-0000CB070000}"/>
    <cellStyle name="Normal 3 2 2 2 2 5 2 2 2 2 2" xfId="772" xr:uid="{00000000-0005-0000-0000-0000CC070000}"/>
    <cellStyle name="Normal 3 2 2 2 2 5 2 2 2 2 2 2" xfId="28607" xr:uid="{00000000-0005-0000-0000-0000CD070000}"/>
    <cellStyle name="Normal 3 2 2 2 2 5 2 2 2 2 2 2 2" xfId="60478" xr:uid="{00000000-0005-0000-0000-0000CE070000}"/>
    <cellStyle name="Normal 3 2 2 2 2 5 2 2 2 2 2 3" xfId="32651" xr:uid="{00000000-0005-0000-0000-0000CF070000}"/>
    <cellStyle name="Normal 3 2 2 2 2 5 2 2 2 2 3" xfId="20729" xr:uid="{00000000-0005-0000-0000-0000D0070000}"/>
    <cellStyle name="Normal 3 2 2 2 2 5 2 2 2 2 3 2" xfId="52600" xr:uid="{00000000-0005-0000-0000-0000D1070000}"/>
    <cellStyle name="Normal 3 2 2 2 2 5 2 2 2 2 4" xfId="32650" xr:uid="{00000000-0005-0000-0000-0000D2070000}"/>
    <cellStyle name="Normal 3 2 2 2 2 5 2 2 2 3" xfId="773" xr:uid="{00000000-0005-0000-0000-0000D3070000}"/>
    <cellStyle name="Normal 3 2 2 2 2 5 2 2 2 3 2" xfId="24668" xr:uid="{00000000-0005-0000-0000-0000D4070000}"/>
    <cellStyle name="Normal 3 2 2 2 2 5 2 2 2 3 2 2" xfId="56539" xr:uid="{00000000-0005-0000-0000-0000D5070000}"/>
    <cellStyle name="Normal 3 2 2 2 2 5 2 2 2 3 3" xfId="32652" xr:uid="{00000000-0005-0000-0000-0000D6070000}"/>
    <cellStyle name="Normal 3 2 2 2 2 5 2 2 2 4" xfId="16790" xr:uid="{00000000-0005-0000-0000-0000D7070000}"/>
    <cellStyle name="Normal 3 2 2 2 2 5 2 2 2 4 2" xfId="48661" xr:uid="{00000000-0005-0000-0000-0000D8070000}"/>
    <cellStyle name="Normal 3 2 2 2 2 5 2 2 2 5" xfId="32649" xr:uid="{00000000-0005-0000-0000-0000D9070000}"/>
    <cellStyle name="Normal 3 2 2 2 2 5 2 2 3" xfId="774" xr:uid="{00000000-0005-0000-0000-0000DA070000}"/>
    <cellStyle name="Normal 3 2 2 2 2 5 2 2 3 2" xfId="775" xr:uid="{00000000-0005-0000-0000-0000DB070000}"/>
    <cellStyle name="Normal 3 2 2 2 2 5 2 2 3 2 2" xfId="28606" xr:uid="{00000000-0005-0000-0000-0000DC070000}"/>
    <cellStyle name="Normal 3 2 2 2 2 5 2 2 3 2 2 2" xfId="60477" xr:uid="{00000000-0005-0000-0000-0000DD070000}"/>
    <cellStyle name="Normal 3 2 2 2 2 5 2 2 3 2 3" xfId="32654" xr:uid="{00000000-0005-0000-0000-0000DE070000}"/>
    <cellStyle name="Normal 3 2 2 2 2 5 2 2 3 3" xfId="20728" xr:uid="{00000000-0005-0000-0000-0000DF070000}"/>
    <cellStyle name="Normal 3 2 2 2 2 5 2 2 3 3 2" xfId="52599" xr:uid="{00000000-0005-0000-0000-0000E0070000}"/>
    <cellStyle name="Normal 3 2 2 2 2 5 2 2 3 4" xfId="32653" xr:uid="{00000000-0005-0000-0000-0000E1070000}"/>
    <cellStyle name="Normal 3 2 2 2 2 5 2 2 4" xfId="776" xr:uid="{00000000-0005-0000-0000-0000E2070000}"/>
    <cellStyle name="Normal 3 2 2 2 2 5 2 2 4 2" xfId="24667" xr:uid="{00000000-0005-0000-0000-0000E3070000}"/>
    <cellStyle name="Normal 3 2 2 2 2 5 2 2 4 2 2" xfId="56538" xr:uid="{00000000-0005-0000-0000-0000E4070000}"/>
    <cellStyle name="Normal 3 2 2 2 2 5 2 2 4 3" xfId="32655" xr:uid="{00000000-0005-0000-0000-0000E5070000}"/>
    <cellStyle name="Normal 3 2 2 2 2 5 2 2 5" xfId="16789" xr:uid="{00000000-0005-0000-0000-0000E6070000}"/>
    <cellStyle name="Normal 3 2 2 2 2 5 2 2 5 2" xfId="48660" xr:uid="{00000000-0005-0000-0000-0000E7070000}"/>
    <cellStyle name="Normal 3 2 2 2 2 5 2 2 6" xfId="32648" xr:uid="{00000000-0005-0000-0000-0000E8070000}"/>
    <cellStyle name="Normal 3 2 2 2 2 5 2 3" xfId="777" xr:uid="{00000000-0005-0000-0000-0000E9070000}"/>
    <cellStyle name="Normal 3 2 2 2 2 5 2 3 2" xfId="778" xr:uid="{00000000-0005-0000-0000-0000EA070000}"/>
    <cellStyle name="Normal 3 2 2 2 2 5 2 3 2 2" xfId="779" xr:uid="{00000000-0005-0000-0000-0000EB070000}"/>
    <cellStyle name="Normal 3 2 2 2 2 5 2 3 2 2 2" xfId="28608" xr:uid="{00000000-0005-0000-0000-0000EC070000}"/>
    <cellStyle name="Normal 3 2 2 2 2 5 2 3 2 2 2 2" xfId="60479" xr:uid="{00000000-0005-0000-0000-0000ED070000}"/>
    <cellStyle name="Normal 3 2 2 2 2 5 2 3 2 2 3" xfId="32658" xr:uid="{00000000-0005-0000-0000-0000EE070000}"/>
    <cellStyle name="Normal 3 2 2 2 2 5 2 3 2 3" xfId="20730" xr:uid="{00000000-0005-0000-0000-0000EF070000}"/>
    <cellStyle name="Normal 3 2 2 2 2 5 2 3 2 3 2" xfId="52601" xr:uid="{00000000-0005-0000-0000-0000F0070000}"/>
    <cellStyle name="Normal 3 2 2 2 2 5 2 3 2 4" xfId="32657" xr:uid="{00000000-0005-0000-0000-0000F1070000}"/>
    <cellStyle name="Normal 3 2 2 2 2 5 2 3 3" xfId="780" xr:uid="{00000000-0005-0000-0000-0000F2070000}"/>
    <cellStyle name="Normal 3 2 2 2 2 5 2 3 3 2" xfId="24669" xr:uid="{00000000-0005-0000-0000-0000F3070000}"/>
    <cellStyle name="Normal 3 2 2 2 2 5 2 3 3 2 2" xfId="56540" xr:uid="{00000000-0005-0000-0000-0000F4070000}"/>
    <cellStyle name="Normal 3 2 2 2 2 5 2 3 3 3" xfId="32659" xr:uid="{00000000-0005-0000-0000-0000F5070000}"/>
    <cellStyle name="Normal 3 2 2 2 2 5 2 3 4" xfId="16791" xr:uid="{00000000-0005-0000-0000-0000F6070000}"/>
    <cellStyle name="Normal 3 2 2 2 2 5 2 3 4 2" xfId="48662" xr:uid="{00000000-0005-0000-0000-0000F7070000}"/>
    <cellStyle name="Normal 3 2 2 2 2 5 2 3 5" xfId="32656" xr:uid="{00000000-0005-0000-0000-0000F8070000}"/>
    <cellStyle name="Normal 3 2 2 2 2 5 2 4" xfId="781" xr:uid="{00000000-0005-0000-0000-0000F9070000}"/>
    <cellStyle name="Normal 3 2 2 2 2 5 2 4 2" xfId="782" xr:uid="{00000000-0005-0000-0000-0000FA070000}"/>
    <cellStyle name="Normal 3 2 2 2 2 5 2 4 2 2" xfId="28605" xr:uid="{00000000-0005-0000-0000-0000FB070000}"/>
    <cellStyle name="Normal 3 2 2 2 2 5 2 4 2 2 2" xfId="60476" xr:uid="{00000000-0005-0000-0000-0000FC070000}"/>
    <cellStyle name="Normal 3 2 2 2 2 5 2 4 2 3" xfId="32661" xr:uid="{00000000-0005-0000-0000-0000FD070000}"/>
    <cellStyle name="Normal 3 2 2 2 2 5 2 4 3" xfId="20727" xr:uid="{00000000-0005-0000-0000-0000FE070000}"/>
    <cellStyle name="Normal 3 2 2 2 2 5 2 4 3 2" xfId="52598" xr:uid="{00000000-0005-0000-0000-0000FF070000}"/>
    <cellStyle name="Normal 3 2 2 2 2 5 2 4 4" xfId="32660" xr:uid="{00000000-0005-0000-0000-000000080000}"/>
    <cellStyle name="Normal 3 2 2 2 2 5 2 5" xfId="783" xr:uid="{00000000-0005-0000-0000-000001080000}"/>
    <cellStyle name="Normal 3 2 2 2 2 5 2 5 2" xfId="24666" xr:uid="{00000000-0005-0000-0000-000002080000}"/>
    <cellStyle name="Normal 3 2 2 2 2 5 2 5 2 2" xfId="56537" xr:uid="{00000000-0005-0000-0000-000003080000}"/>
    <cellStyle name="Normal 3 2 2 2 2 5 2 5 3" xfId="32662" xr:uid="{00000000-0005-0000-0000-000004080000}"/>
    <cellStyle name="Normal 3 2 2 2 2 5 2 6" xfId="16788" xr:uid="{00000000-0005-0000-0000-000005080000}"/>
    <cellStyle name="Normal 3 2 2 2 2 5 2 6 2" xfId="48659" xr:uid="{00000000-0005-0000-0000-000006080000}"/>
    <cellStyle name="Normal 3 2 2 2 2 5 2 7" xfId="32647" xr:uid="{00000000-0005-0000-0000-000007080000}"/>
    <cellStyle name="Normal 3 2 2 2 2 5 3" xfId="784" xr:uid="{00000000-0005-0000-0000-000008080000}"/>
    <cellStyle name="Normal 3 2 2 2 2 5 3 2" xfId="785" xr:uid="{00000000-0005-0000-0000-000009080000}"/>
    <cellStyle name="Normal 3 2 2 2 2 5 3 2 2" xfId="786" xr:uid="{00000000-0005-0000-0000-00000A080000}"/>
    <cellStyle name="Normal 3 2 2 2 2 5 3 2 2 2" xfId="787" xr:uid="{00000000-0005-0000-0000-00000B080000}"/>
    <cellStyle name="Normal 3 2 2 2 2 5 3 2 2 2 2" xfId="28610" xr:uid="{00000000-0005-0000-0000-00000C080000}"/>
    <cellStyle name="Normal 3 2 2 2 2 5 3 2 2 2 2 2" xfId="60481" xr:uid="{00000000-0005-0000-0000-00000D080000}"/>
    <cellStyle name="Normal 3 2 2 2 2 5 3 2 2 2 3" xfId="32666" xr:uid="{00000000-0005-0000-0000-00000E080000}"/>
    <cellStyle name="Normal 3 2 2 2 2 5 3 2 2 3" xfId="20732" xr:uid="{00000000-0005-0000-0000-00000F080000}"/>
    <cellStyle name="Normal 3 2 2 2 2 5 3 2 2 3 2" xfId="52603" xr:uid="{00000000-0005-0000-0000-000010080000}"/>
    <cellStyle name="Normal 3 2 2 2 2 5 3 2 2 4" xfId="32665" xr:uid="{00000000-0005-0000-0000-000011080000}"/>
    <cellStyle name="Normal 3 2 2 2 2 5 3 2 3" xfId="788" xr:uid="{00000000-0005-0000-0000-000012080000}"/>
    <cellStyle name="Normal 3 2 2 2 2 5 3 2 3 2" xfId="24671" xr:uid="{00000000-0005-0000-0000-000013080000}"/>
    <cellStyle name="Normal 3 2 2 2 2 5 3 2 3 2 2" xfId="56542" xr:uid="{00000000-0005-0000-0000-000014080000}"/>
    <cellStyle name="Normal 3 2 2 2 2 5 3 2 3 3" xfId="32667" xr:uid="{00000000-0005-0000-0000-000015080000}"/>
    <cellStyle name="Normal 3 2 2 2 2 5 3 2 4" xfId="16793" xr:uid="{00000000-0005-0000-0000-000016080000}"/>
    <cellStyle name="Normal 3 2 2 2 2 5 3 2 4 2" xfId="48664" xr:uid="{00000000-0005-0000-0000-000017080000}"/>
    <cellStyle name="Normal 3 2 2 2 2 5 3 2 5" xfId="32664" xr:uid="{00000000-0005-0000-0000-000018080000}"/>
    <cellStyle name="Normal 3 2 2 2 2 5 3 3" xfId="789" xr:uid="{00000000-0005-0000-0000-000019080000}"/>
    <cellStyle name="Normal 3 2 2 2 2 5 3 3 2" xfId="790" xr:uid="{00000000-0005-0000-0000-00001A080000}"/>
    <cellStyle name="Normal 3 2 2 2 2 5 3 3 2 2" xfId="28609" xr:uid="{00000000-0005-0000-0000-00001B080000}"/>
    <cellStyle name="Normal 3 2 2 2 2 5 3 3 2 2 2" xfId="60480" xr:uid="{00000000-0005-0000-0000-00001C080000}"/>
    <cellStyle name="Normal 3 2 2 2 2 5 3 3 2 3" xfId="32669" xr:uid="{00000000-0005-0000-0000-00001D080000}"/>
    <cellStyle name="Normal 3 2 2 2 2 5 3 3 3" xfId="20731" xr:uid="{00000000-0005-0000-0000-00001E080000}"/>
    <cellStyle name="Normal 3 2 2 2 2 5 3 3 3 2" xfId="52602" xr:uid="{00000000-0005-0000-0000-00001F080000}"/>
    <cellStyle name="Normal 3 2 2 2 2 5 3 3 4" xfId="32668" xr:uid="{00000000-0005-0000-0000-000020080000}"/>
    <cellStyle name="Normal 3 2 2 2 2 5 3 4" xfId="791" xr:uid="{00000000-0005-0000-0000-000021080000}"/>
    <cellStyle name="Normal 3 2 2 2 2 5 3 4 2" xfId="24670" xr:uid="{00000000-0005-0000-0000-000022080000}"/>
    <cellStyle name="Normal 3 2 2 2 2 5 3 4 2 2" xfId="56541" xr:uid="{00000000-0005-0000-0000-000023080000}"/>
    <cellStyle name="Normal 3 2 2 2 2 5 3 4 3" xfId="32670" xr:uid="{00000000-0005-0000-0000-000024080000}"/>
    <cellStyle name="Normal 3 2 2 2 2 5 3 5" xfId="16792" xr:uid="{00000000-0005-0000-0000-000025080000}"/>
    <cellStyle name="Normal 3 2 2 2 2 5 3 5 2" xfId="48663" xr:uid="{00000000-0005-0000-0000-000026080000}"/>
    <cellStyle name="Normal 3 2 2 2 2 5 3 6" xfId="32663" xr:uid="{00000000-0005-0000-0000-000027080000}"/>
    <cellStyle name="Normal 3 2 2 2 2 5 4" xfId="792" xr:uid="{00000000-0005-0000-0000-000028080000}"/>
    <cellStyle name="Normal 3 2 2 2 2 5 4 2" xfId="793" xr:uid="{00000000-0005-0000-0000-000029080000}"/>
    <cellStyle name="Normal 3 2 2 2 2 5 4 2 2" xfId="794" xr:uid="{00000000-0005-0000-0000-00002A080000}"/>
    <cellStyle name="Normal 3 2 2 2 2 5 4 2 2 2" xfId="28611" xr:uid="{00000000-0005-0000-0000-00002B080000}"/>
    <cellStyle name="Normal 3 2 2 2 2 5 4 2 2 2 2" xfId="60482" xr:uid="{00000000-0005-0000-0000-00002C080000}"/>
    <cellStyle name="Normal 3 2 2 2 2 5 4 2 2 3" xfId="32673" xr:uid="{00000000-0005-0000-0000-00002D080000}"/>
    <cellStyle name="Normal 3 2 2 2 2 5 4 2 3" xfId="20733" xr:uid="{00000000-0005-0000-0000-00002E080000}"/>
    <cellStyle name="Normal 3 2 2 2 2 5 4 2 3 2" xfId="52604" xr:uid="{00000000-0005-0000-0000-00002F080000}"/>
    <cellStyle name="Normal 3 2 2 2 2 5 4 2 4" xfId="32672" xr:uid="{00000000-0005-0000-0000-000030080000}"/>
    <cellStyle name="Normal 3 2 2 2 2 5 4 3" xfId="795" xr:uid="{00000000-0005-0000-0000-000031080000}"/>
    <cellStyle name="Normal 3 2 2 2 2 5 4 3 2" xfId="24672" xr:uid="{00000000-0005-0000-0000-000032080000}"/>
    <cellStyle name="Normal 3 2 2 2 2 5 4 3 2 2" xfId="56543" xr:uid="{00000000-0005-0000-0000-000033080000}"/>
    <cellStyle name="Normal 3 2 2 2 2 5 4 3 3" xfId="32674" xr:uid="{00000000-0005-0000-0000-000034080000}"/>
    <cellStyle name="Normal 3 2 2 2 2 5 4 4" xfId="16794" xr:uid="{00000000-0005-0000-0000-000035080000}"/>
    <cellStyle name="Normal 3 2 2 2 2 5 4 4 2" xfId="48665" xr:uid="{00000000-0005-0000-0000-000036080000}"/>
    <cellStyle name="Normal 3 2 2 2 2 5 4 5" xfId="32671" xr:uid="{00000000-0005-0000-0000-000037080000}"/>
    <cellStyle name="Normal 3 2 2 2 2 5 5" xfId="796" xr:uid="{00000000-0005-0000-0000-000038080000}"/>
    <cellStyle name="Normal 3 2 2 2 2 5 5 2" xfId="797" xr:uid="{00000000-0005-0000-0000-000039080000}"/>
    <cellStyle name="Normal 3 2 2 2 2 5 5 2 2" xfId="28604" xr:uid="{00000000-0005-0000-0000-00003A080000}"/>
    <cellStyle name="Normal 3 2 2 2 2 5 5 2 2 2" xfId="60475" xr:uid="{00000000-0005-0000-0000-00003B080000}"/>
    <cellStyle name="Normal 3 2 2 2 2 5 5 2 3" xfId="32676" xr:uid="{00000000-0005-0000-0000-00003C080000}"/>
    <cellStyle name="Normal 3 2 2 2 2 5 5 3" xfId="20726" xr:uid="{00000000-0005-0000-0000-00003D080000}"/>
    <cellStyle name="Normal 3 2 2 2 2 5 5 3 2" xfId="52597" xr:uid="{00000000-0005-0000-0000-00003E080000}"/>
    <cellStyle name="Normal 3 2 2 2 2 5 5 4" xfId="32675" xr:uid="{00000000-0005-0000-0000-00003F080000}"/>
    <cellStyle name="Normal 3 2 2 2 2 5 6" xfId="798" xr:uid="{00000000-0005-0000-0000-000040080000}"/>
    <cellStyle name="Normal 3 2 2 2 2 5 6 2" xfId="24665" xr:uid="{00000000-0005-0000-0000-000041080000}"/>
    <cellStyle name="Normal 3 2 2 2 2 5 6 2 2" xfId="56536" xr:uid="{00000000-0005-0000-0000-000042080000}"/>
    <cellStyle name="Normal 3 2 2 2 2 5 6 3" xfId="32677" xr:uid="{00000000-0005-0000-0000-000043080000}"/>
    <cellStyle name="Normal 3 2 2 2 2 5 7" xfId="16787" xr:uid="{00000000-0005-0000-0000-000044080000}"/>
    <cellStyle name="Normal 3 2 2 2 2 5 7 2" xfId="48658" xr:uid="{00000000-0005-0000-0000-000045080000}"/>
    <cellStyle name="Normal 3 2 2 2 2 5 8" xfId="32646" xr:uid="{00000000-0005-0000-0000-000046080000}"/>
    <cellStyle name="Normal 3 2 2 2 2 6" xfId="799" xr:uid="{00000000-0005-0000-0000-000047080000}"/>
    <cellStyle name="Normal 3 2 2 2 2 6 2" xfId="800" xr:uid="{00000000-0005-0000-0000-000048080000}"/>
    <cellStyle name="Normal 3 2 2 2 2 6 2 2" xfId="801" xr:uid="{00000000-0005-0000-0000-000049080000}"/>
    <cellStyle name="Normal 3 2 2 2 2 6 2 2 2" xfId="802" xr:uid="{00000000-0005-0000-0000-00004A080000}"/>
    <cellStyle name="Normal 3 2 2 2 2 6 2 2 2 2" xfId="803" xr:uid="{00000000-0005-0000-0000-00004B080000}"/>
    <cellStyle name="Normal 3 2 2 2 2 6 2 2 2 2 2" xfId="28614" xr:uid="{00000000-0005-0000-0000-00004C080000}"/>
    <cellStyle name="Normal 3 2 2 2 2 6 2 2 2 2 2 2" xfId="60485" xr:uid="{00000000-0005-0000-0000-00004D080000}"/>
    <cellStyle name="Normal 3 2 2 2 2 6 2 2 2 2 3" xfId="32682" xr:uid="{00000000-0005-0000-0000-00004E080000}"/>
    <cellStyle name="Normal 3 2 2 2 2 6 2 2 2 3" xfId="20736" xr:uid="{00000000-0005-0000-0000-00004F080000}"/>
    <cellStyle name="Normal 3 2 2 2 2 6 2 2 2 3 2" xfId="52607" xr:uid="{00000000-0005-0000-0000-000050080000}"/>
    <cellStyle name="Normal 3 2 2 2 2 6 2 2 2 4" xfId="32681" xr:uid="{00000000-0005-0000-0000-000051080000}"/>
    <cellStyle name="Normal 3 2 2 2 2 6 2 2 3" xfId="804" xr:uid="{00000000-0005-0000-0000-000052080000}"/>
    <cellStyle name="Normal 3 2 2 2 2 6 2 2 3 2" xfId="24675" xr:uid="{00000000-0005-0000-0000-000053080000}"/>
    <cellStyle name="Normal 3 2 2 2 2 6 2 2 3 2 2" xfId="56546" xr:uid="{00000000-0005-0000-0000-000054080000}"/>
    <cellStyle name="Normal 3 2 2 2 2 6 2 2 3 3" xfId="32683" xr:uid="{00000000-0005-0000-0000-000055080000}"/>
    <cellStyle name="Normal 3 2 2 2 2 6 2 2 4" xfId="16797" xr:uid="{00000000-0005-0000-0000-000056080000}"/>
    <cellStyle name="Normal 3 2 2 2 2 6 2 2 4 2" xfId="48668" xr:uid="{00000000-0005-0000-0000-000057080000}"/>
    <cellStyle name="Normal 3 2 2 2 2 6 2 2 5" xfId="32680" xr:uid="{00000000-0005-0000-0000-000058080000}"/>
    <cellStyle name="Normal 3 2 2 2 2 6 2 3" xfId="805" xr:uid="{00000000-0005-0000-0000-000059080000}"/>
    <cellStyle name="Normal 3 2 2 2 2 6 2 3 2" xfId="806" xr:uid="{00000000-0005-0000-0000-00005A080000}"/>
    <cellStyle name="Normal 3 2 2 2 2 6 2 3 2 2" xfId="28613" xr:uid="{00000000-0005-0000-0000-00005B080000}"/>
    <cellStyle name="Normal 3 2 2 2 2 6 2 3 2 2 2" xfId="60484" xr:uid="{00000000-0005-0000-0000-00005C080000}"/>
    <cellStyle name="Normal 3 2 2 2 2 6 2 3 2 3" xfId="32685" xr:uid="{00000000-0005-0000-0000-00005D080000}"/>
    <cellStyle name="Normal 3 2 2 2 2 6 2 3 3" xfId="20735" xr:uid="{00000000-0005-0000-0000-00005E080000}"/>
    <cellStyle name="Normal 3 2 2 2 2 6 2 3 3 2" xfId="52606" xr:uid="{00000000-0005-0000-0000-00005F080000}"/>
    <cellStyle name="Normal 3 2 2 2 2 6 2 3 4" xfId="32684" xr:uid="{00000000-0005-0000-0000-000060080000}"/>
    <cellStyle name="Normal 3 2 2 2 2 6 2 4" xfId="807" xr:uid="{00000000-0005-0000-0000-000061080000}"/>
    <cellStyle name="Normal 3 2 2 2 2 6 2 4 2" xfId="24674" xr:uid="{00000000-0005-0000-0000-000062080000}"/>
    <cellStyle name="Normal 3 2 2 2 2 6 2 4 2 2" xfId="56545" xr:uid="{00000000-0005-0000-0000-000063080000}"/>
    <cellStyle name="Normal 3 2 2 2 2 6 2 4 3" xfId="32686" xr:uid="{00000000-0005-0000-0000-000064080000}"/>
    <cellStyle name="Normal 3 2 2 2 2 6 2 5" xfId="16796" xr:uid="{00000000-0005-0000-0000-000065080000}"/>
    <cellStyle name="Normal 3 2 2 2 2 6 2 5 2" xfId="48667" xr:uid="{00000000-0005-0000-0000-000066080000}"/>
    <cellStyle name="Normal 3 2 2 2 2 6 2 6" xfId="32679" xr:uid="{00000000-0005-0000-0000-000067080000}"/>
    <cellStyle name="Normal 3 2 2 2 2 6 3" xfId="808" xr:uid="{00000000-0005-0000-0000-000068080000}"/>
    <cellStyle name="Normal 3 2 2 2 2 6 3 2" xfId="809" xr:uid="{00000000-0005-0000-0000-000069080000}"/>
    <cellStyle name="Normal 3 2 2 2 2 6 3 2 2" xfId="810" xr:uid="{00000000-0005-0000-0000-00006A080000}"/>
    <cellStyle name="Normal 3 2 2 2 2 6 3 2 2 2" xfId="28615" xr:uid="{00000000-0005-0000-0000-00006B080000}"/>
    <cellStyle name="Normal 3 2 2 2 2 6 3 2 2 2 2" xfId="60486" xr:uid="{00000000-0005-0000-0000-00006C080000}"/>
    <cellStyle name="Normal 3 2 2 2 2 6 3 2 2 3" xfId="32689" xr:uid="{00000000-0005-0000-0000-00006D080000}"/>
    <cellStyle name="Normal 3 2 2 2 2 6 3 2 3" xfId="20737" xr:uid="{00000000-0005-0000-0000-00006E080000}"/>
    <cellStyle name="Normal 3 2 2 2 2 6 3 2 3 2" xfId="52608" xr:uid="{00000000-0005-0000-0000-00006F080000}"/>
    <cellStyle name="Normal 3 2 2 2 2 6 3 2 4" xfId="32688" xr:uid="{00000000-0005-0000-0000-000070080000}"/>
    <cellStyle name="Normal 3 2 2 2 2 6 3 3" xfId="811" xr:uid="{00000000-0005-0000-0000-000071080000}"/>
    <cellStyle name="Normal 3 2 2 2 2 6 3 3 2" xfId="24676" xr:uid="{00000000-0005-0000-0000-000072080000}"/>
    <cellStyle name="Normal 3 2 2 2 2 6 3 3 2 2" xfId="56547" xr:uid="{00000000-0005-0000-0000-000073080000}"/>
    <cellStyle name="Normal 3 2 2 2 2 6 3 3 3" xfId="32690" xr:uid="{00000000-0005-0000-0000-000074080000}"/>
    <cellStyle name="Normal 3 2 2 2 2 6 3 4" xfId="16798" xr:uid="{00000000-0005-0000-0000-000075080000}"/>
    <cellStyle name="Normal 3 2 2 2 2 6 3 4 2" xfId="48669" xr:uid="{00000000-0005-0000-0000-000076080000}"/>
    <cellStyle name="Normal 3 2 2 2 2 6 3 5" xfId="32687" xr:uid="{00000000-0005-0000-0000-000077080000}"/>
    <cellStyle name="Normal 3 2 2 2 2 6 4" xfId="812" xr:uid="{00000000-0005-0000-0000-000078080000}"/>
    <cellStyle name="Normal 3 2 2 2 2 6 4 2" xfId="813" xr:uid="{00000000-0005-0000-0000-000079080000}"/>
    <cellStyle name="Normal 3 2 2 2 2 6 4 2 2" xfId="28612" xr:uid="{00000000-0005-0000-0000-00007A080000}"/>
    <cellStyle name="Normal 3 2 2 2 2 6 4 2 2 2" xfId="60483" xr:uid="{00000000-0005-0000-0000-00007B080000}"/>
    <cellStyle name="Normal 3 2 2 2 2 6 4 2 3" xfId="32692" xr:uid="{00000000-0005-0000-0000-00007C080000}"/>
    <cellStyle name="Normal 3 2 2 2 2 6 4 3" xfId="20734" xr:uid="{00000000-0005-0000-0000-00007D080000}"/>
    <cellStyle name="Normal 3 2 2 2 2 6 4 3 2" xfId="52605" xr:uid="{00000000-0005-0000-0000-00007E080000}"/>
    <cellStyle name="Normal 3 2 2 2 2 6 4 4" xfId="32691" xr:uid="{00000000-0005-0000-0000-00007F080000}"/>
    <cellStyle name="Normal 3 2 2 2 2 6 5" xfId="814" xr:uid="{00000000-0005-0000-0000-000080080000}"/>
    <cellStyle name="Normal 3 2 2 2 2 6 5 2" xfId="24673" xr:uid="{00000000-0005-0000-0000-000081080000}"/>
    <cellStyle name="Normal 3 2 2 2 2 6 5 2 2" xfId="56544" xr:uid="{00000000-0005-0000-0000-000082080000}"/>
    <cellStyle name="Normal 3 2 2 2 2 6 5 3" xfId="32693" xr:uid="{00000000-0005-0000-0000-000083080000}"/>
    <cellStyle name="Normal 3 2 2 2 2 6 6" xfId="16795" xr:uid="{00000000-0005-0000-0000-000084080000}"/>
    <cellStyle name="Normal 3 2 2 2 2 6 6 2" xfId="48666" xr:uid="{00000000-0005-0000-0000-000085080000}"/>
    <cellStyle name="Normal 3 2 2 2 2 6 7" xfId="32678" xr:uid="{00000000-0005-0000-0000-000086080000}"/>
    <cellStyle name="Normal 3 2 2 2 2 7" xfId="815" xr:uid="{00000000-0005-0000-0000-000087080000}"/>
    <cellStyle name="Normal 3 2 2 2 2 7 2" xfId="816" xr:uid="{00000000-0005-0000-0000-000088080000}"/>
    <cellStyle name="Normal 3 2 2 2 2 7 2 2" xfId="817" xr:uid="{00000000-0005-0000-0000-000089080000}"/>
    <cellStyle name="Normal 3 2 2 2 2 7 2 2 2" xfId="818" xr:uid="{00000000-0005-0000-0000-00008A080000}"/>
    <cellStyle name="Normal 3 2 2 2 2 7 2 2 2 2" xfId="28617" xr:uid="{00000000-0005-0000-0000-00008B080000}"/>
    <cellStyle name="Normal 3 2 2 2 2 7 2 2 2 2 2" xfId="60488" xr:uid="{00000000-0005-0000-0000-00008C080000}"/>
    <cellStyle name="Normal 3 2 2 2 2 7 2 2 2 3" xfId="32697" xr:uid="{00000000-0005-0000-0000-00008D080000}"/>
    <cellStyle name="Normal 3 2 2 2 2 7 2 2 3" xfId="20739" xr:uid="{00000000-0005-0000-0000-00008E080000}"/>
    <cellStyle name="Normal 3 2 2 2 2 7 2 2 3 2" xfId="52610" xr:uid="{00000000-0005-0000-0000-00008F080000}"/>
    <cellStyle name="Normal 3 2 2 2 2 7 2 2 4" xfId="32696" xr:uid="{00000000-0005-0000-0000-000090080000}"/>
    <cellStyle name="Normal 3 2 2 2 2 7 2 3" xfId="819" xr:uid="{00000000-0005-0000-0000-000091080000}"/>
    <cellStyle name="Normal 3 2 2 2 2 7 2 3 2" xfId="24678" xr:uid="{00000000-0005-0000-0000-000092080000}"/>
    <cellStyle name="Normal 3 2 2 2 2 7 2 3 2 2" xfId="56549" xr:uid="{00000000-0005-0000-0000-000093080000}"/>
    <cellStyle name="Normal 3 2 2 2 2 7 2 3 3" xfId="32698" xr:uid="{00000000-0005-0000-0000-000094080000}"/>
    <cellStyle name="Normal 3 2 2 2 2 7 2 4" xfId="16800" xr:uid="{00000000-0005-0000-0000-000095080000}"/>
    <cellStyle name="Normal 3 2 2 2 2 7 2 4 2" xfId="48671" xr:uid="{00000000-0005-0000-0000-000096080000}"/>
    <cellStyle name="Normal 3 2 2 2 2 7 2 5" xfId="32695" xr:uid="{00000000-0005-0000-0000-000097080000}"/>
    <cellStyle name="Normal 3 2 2 2 2 7 3" xfId="820" xr:uid="{00000000-0005-0000-0000-000098080000}"/>
    <cellStyle name="Normal 3 2 2 2 2 7 3 2" xfId="821" xr:uid="{00000000-0005-0000-0000-000099080000}"/>
    <cellStyle name="Normal 3 2 2 2 2 7 3 2 2" xfId="28616" xr:uid="{00000000-0005-0000-0000-00009A080000}"/>
    <cellStyle name="Normal 3 2 2 2 2 7 3 2 2 2" xfId="60487" xr:uid="{00000000-0005-0000-0000-00009B080000}"/>
    <cellStyle name="Normal 3 2 2 2 2 7 3 2 3" xfId="32700" xr:uid="{00000000-0005-0000-0000-00009C080000}"/>
    <cellStyle name="Normal 3 2 2 2 2 7 3 3" xfId="20738" xr:uid="{00000000-0005-0000-0000-00009D080000}"/>
    <cellStyle name="Normal 3 2 2 2 2 7 3 3 2" xfId="52609" xr:uid="{00000000-0005-0000-0000-00009E080000}"/>
    <cellStyle name="Normal 3 2 2 2 2 7 3 4" xfId="32699" xr:uid="{00000000-0005-0000-0000-00009F080000}"/>
    <cellStyle name="Normal 3 2 2 2 2 7 4" xfId="822" xr:uid="{00000000-0005-0000-0000-0000A0080000}"/>
    <cellStyle name="Normal 3 2 2 2 2 7 4 2" xfId="24677" xr:uid="{00000000-0005-0000-0000-0000A1080000}"/>
    <cellStyle name="Normal 3 2 2 2 2 7 4 2 2" xfId="56548" xr:uid="{00000000-0005-0000-0000-0000A2080000}"/>
    <cellStyle name="Normal 3 2 2 2 2 7 4 3" xfId="32701" xr:uid="{00000000-0005-0000-0000-0000A3080000}"/>
    <cellStyle name="Normal 3 2 2 2 2 7 5" xfId="16799" xr:uid="{00000000-0005-0000-0000-0000A4080000}"/>
    <cellStyle name="Normal 3 2 2 2 2 7 5 2" xfId="48670" xr:uid="{00000000-0005-0000-0000-0000A5080000}"/>
    <cellStyle name="Normal 3 2 2 2 2 7 6" xfId="32694" xr:uid="{00000000-0005-0000-0000-0000A6080000}"/>
    <cellStyle name="Normal 3 2 2 2 2 8" xfId="823" xr:uid="{00000000-0005-0000-0000-0000A7080000}"/>
    <cellStyle name="Normal 3 2 2 2 2 8 2" xfId="824" xr:uid="{00000000-0005-0000-0000-0000A8080000}"/>
    <cellStyle name="Normal 3 2 2 2 2 8 2 2" xfId="825" xr:uid="{00000000-0005-0000-0000-0000A9080000}"/>
    <cellStyle name="Normal 3 2 2 2 2 8 2 2 2" xfId="28618" xr:uid="{00000000-0005-0000-0000-0000AA080000}"/>
    <cellStyle name="Normal 3 2 2 2 2 8 2 2 2 2" xfId="60489" xr:uid="{00000000-0005-0000-0000-0000AB080000}"/>
    <cellStyle name="Normal 3 2 2 2 2 8 2 2 3" xfId="32704" xr:uid="{00000000-0005-0000-0000-0000AC080000}"/>
    <cellStyle name="Normal 3 2 2 2 2 8 2 3" xfId="20740" xr:uid="{00000000-0005-0000-0000-0000AD080000}"/>
    <cellStyle name="Normal 3 2 2 2 2 8 2 3 2" xfId="52611" xr:uid="{00000000-0005-0000-0000-0000AE080000}"/>
    <cellStyle name="Normal 3 2 2 2 2 8 2 4" xfId="32703" xr:uid="{00000000-0005-0000-0000-0000AF080000}"/>
    <cellStyle name="Normal 3 2 2 2 2 8 3" xfId="826" xr:uid="{00000000-0005-0000-0000-0000B0080000}"/>
    <cellStyle name="Normal 3 2 2 2 2 8 3 2" xfId="24679" xr:uid="{00000000-0005-0000-0000-0000B1080000}"/>
    <cellStyle name="Normal 3 2 2 2 2 8 3 2 2" xfId="56550" xr:uid="{00000000-0005-0000-0000-0000B2080000}"/>
    <cellStyle name="Normal 3 2 2 2 2 8 3 3" xfId="32705" xr:uid="{00000000-0005-0000-0000-0000B3080000}"/>
    <cellStyle name="Normal 3 2 2 2 2 8 4" xfId="16801" xr:uid="{00000000-0005-0000-0000-0000B4080000}"/>
    <cellStyle name="Normal 3 2 2 2 2 8 4 2" xfId="48672" xr:uid="{00000000-0005-0000-0000-0000B5080000}"/>
    <cellStyle name="Normal 3 2 2 2 2 8 5" xfId="32702" xr:uid="{00000000-0005-0000-0000-0000B6080000}"/>
    <cellStyle name="Normal 3 2 2 2 2 9" xfId="827" xr:uid="{00000000-0005-0000-0000-0000B7080000}"/>
    <cellStyle name="Normal 3 2 2 2 2 9 2" xfId="828" xr:uid="{00000000-0005-0000-0000-0000B8080000}"/>
    <cellStyle name="Normal 3 2 2 2 2 9 2 2" xfId="28288" xr:uid="{00000000-0005-0000-0000-0000B9080000}"/>
    <cellStyle name="Normal 3 2 2 2 2 9 2 2 2" xfId="60159" xr:uid="{00000000-0005-0000-0000-0000BA080000}"/>
    <cellStyle name="Normal 3 2 2 2 2 9 2 3" xfId="32707" xr:uid="{00000000-0005-0000-0000-0000BB080000}"/>
    <cellStyle name="Normal 3 2 2 2 2 9 3" xfId="20410" xr:uid="{00000000-0005-0000-0000-0000BC080000}"/>
    <cellStyle name="Normal 3 2 2 2 2 9 3 2" xfId="52281" xr:uid="{00000000-0005-0000-0000-0000BD080000}"/>
    <cellStyle name="Normal 3 2 2 2 2 9 4" xfId="32706" xr:uid="{00000000-0005-0000-0000-0000BE080000}"/>
    <cellStyle name="Normal 3 2 2 2 3" xfId="829" xr:uid="{00000000-0005-0000-0000-0000BF080000}"/>
    <cellStyle name="Normal 3 2 2 2 3 10" xfId="32708" xr:uid="{00000000-0005-0000-0000-0000C0080000}"/>
    <cellStyle name="Normal 3 2 2 2 3 2" xfId="830" xr:uid="{00000000-0005-0000-0000-0000C1080000}"/>
    <cellStyle name="Normal 3 2 2 2 3 2 2" xfId="831" xr:uid="{00000000-0005-0000-0000-0000C2080000}"/>
    <cellStyle name="Normal 3 2 2 2 3 2 2 2" xfId="832" xr:uid="{00000000-0005-0000-0000-0000C3080000}"/>
    <cellStyle name="Normal 3 2 2 2 3 2 2 2 2" xfId="833" xr:uid="{00000000-0005-0000-0000-0000C4080000}"/>
    <cellStyle name="Normal 3 2 2 2 3 2 2 2 2 2" xfId="834" xr:uid="{00000000-0005-0000-0000-0000C5080000}"/>
    <cellStyle name="Normal 3 2 2 2 3 2 2 2 2 2 2" xfId="835" xr:uid="{00000000-0005-0000-0000-0000C6080000}"/>
    <cellStyle name="Normal 3 2 2 2 3 2 2 2 2 2 2 2" xfId="836" xr:uid="{00000000-0005-0000-0000-0000C7080000}"/>
    <cellStyle name="Normal 3 2 2 2 3 2 2 2 2 2 2 2 2" xfId="28622" xr:uid="{00000000-0005-0000-0000-0000C8080000}"/>
    <cellStyle name="Normal 3 2 2 2 3 2 2 2 2 2 2 2 2 2" xfId="60493" xr:uid="{00000000-0005-0000-0000-0000C9080000}"/>
    <cellStyle name="Normal 3 2 2 2 3 2 2 2 2 2 2 2 3" xfId="32715" xr:uid="{00000000-0005-0000-0000-0000CA080000}"/>
    <cellStyle name="Normal 3 2 2 2 3 2 2 2 2 2 2 3" xfId="20744" xr:uid="{00000000-0005-0000-0000-0000CB080000}"/>
    <cellStyle name="Normal 3 2 2 2 3 2 2 2 2 2 2 3 2" xfId="52615" xr:uid="{00000000-0005-0000-0000-0000CC080000}"/>
    <cellStyle name="Normal 3 2 2 2 3 2 2 2 2 2 2 4" xfId="32714" xr:uid="{00000000-0005-0000-0000-0000CD080000}"/>
    <cellStyle name="Normal 3 2 2 2 3 2 2 2 2 2 3" xfId="837" xr:uid="{00000000-0005-0000-0000-0000CE080000}"/>
    <cellStyle name="Normal 3 2 2 2 3 2 2 2 2 2 3 2" xfId="24683" xr:uid="{00000000-0005-0000-0000-0000CF080000}"/>
    <cellStyle name="Normal 3 2 2 2 3 2 2 2 2 2 3 2 2" xfId="56554" xr:uid="{00000000-0005-0000-0000-0000D0080000}"/>
    <cellStyle name="Normal 3 2 2 2 3 2 2 2 2 2 3 3" xfId="32716" xr:uid="{00000000-0005-0000-0000-0000D1080000}"/>
    <cellStyle name="Normal 3 2 2 2 3 2 2 2 2 2 4" xfId="16805" xr:uid="{00000000-0005-0000-0000-0000D2080000}"/>
    <cellStyle name="Normal 3 2 2 2 3 2 2 2 2 2 4 2" xfId="48676" xr:uid="{00000000-0005-0000-0000-0000D3080000}"/>
    <cellStyle name="Normal 3 2 2 2 3 2 2 2 2 2 5" xfId="32713" xr:uid="{00000000-0005-0000-0000-0000D4080000}"/>
    <cellStyle name="Normal 3 2 2 2 3 2 2 2 2 3" xfId="838" xr:uid="{00000000-0005-0000-0000-0000D5080000}"/>
    <cellStyle name="Normal 3 2 2 2 3 2 2 2 2 3 2" xfId="839" xr:uid="{00000000-0005-0000-0000-0000D6080000}"/>
    <cellStyle name="Normal 3 2 2 2 3 2 2 2 2 3 2 2" xfId="28621" xr:uid="{00000000-0005-0000-0000-0000D7080000}"/>
    <cellStyle name="Normal 3 2 2 2 3 2 2 2 2 3 2 2 2" xfId="60492" xr:uid="{00000000-0005-0000-0000-0000D8080000}"/>
    <cellStyle name="Normal 3 2 2 2 3 2 2 2 2 3 2 3" xfId="32718" xr:uid="{00000000-0005-0000-0000-0000D9080000}"/>
    <cellStyle name="Normal 3 2 2 2 3 2 2 2 2 3 3" xfId="20743" xr:uid="{00000000-0005-0000-0000-0000DA080000}"/>
    <cellStyle name="Normal 3 2 2 2 3 2 2 2 2 3 3 2" xfId="52614" xr:uid="{00000000-0005-0000-0000-0000DB080000}"/>
    <cellStyle name="Normal 3 2 2 2 3 2 2 2 2 3 4" xfId="32717" xr:uid="{00000000-0005-0000-0000-0000DC080000}"/>
    <cellStyle name="Normal 3 2 2 2 3 2 2 2 2 4" xfId="840" xr:uid="{00000000-0005-0000-0000-0000DD080000}"/>
    <cellStyle name="Normal 3 2 2 2 3 2 2 2 2 4 2" xfId="24682" xr:uid="{00000000-0005-0000-0000-0000DE080000}"/>
    <cellStyle name="Normal 3 2 2 2 3 2 2 2 2 4 2 2" xfId="56553" xr:uid="{00000000-0005-0000-0000-0000DF080000}"/>
    <cellStyle name="Normal 3 2 2 2 3 2 2 2 2 4 3" xfId="32719" xr:uid="{00000000-0005-0000-0000-0000E0080000}"/>
    <cellStyle name="Normal 3 2 2 2 3 2 2 2 2 5" xfId="16804" xr:uid="{00000000-0005-0000-0000-0000E1080000}"/>
    <cellStyle name="Normal 3 2 2 2 3 2 2 2 2 5 2" xfId="48675" xr:uid="{00000000-0005-0000-0000-0000E2080000}"/>
    <cellStyle name="Normal 3 2 2 2 3 2 2 2 2 6" xfId="32712" xr:uid="{00000000-0005-0000-0000-0000E3080000}"/>
    <cellStyle name="Normal 3 2 2 2 3 2 2 2 3" xfId="841" xr:uid="{00000000-0005-0000-0000-0000E4080000}"/>
    <cellStyle name="Normal 3 2 2 2 3 2 2 2 3 2" xfId="842" xr:uid="{00000000-0005-0000-0000-0000E5080000}"/>
    <cellStyle name="Normal 3 2 2 2 3 2 2 2 3 2 2" xfId="843" xr:uid="{00000000-0005-0000-0000-0000E6080000}"/>
    <cellStyle name="Normal 3 2 2 2 3 2 2 2 3 2 2 2" xfId="28623" xr:uid="{00000000-0005-0000-0000-0000E7080000}"/>
    <cellStyle name="Normal 3 2 2 2 3 2 2 2 3 2 2 2 2" xfId="60494" xr:uid="{00000000-0005-0000-0000-0000E8080000}"/>
    <cellStyle name="Normal 3 2 2 2 3 2 2 2 3 2 2 3" xfId="32722" xr:uid="{00000000-0005-0000-0000-0000E9080000}"/>
    <cellStyle name="Normal 3 2 2 2 3 2 2 2 3 2 3" xfId="20745" xr:uid="{00000000-0005-0000-0000-0000EA080000}"/>
    <cellStyle name="Normal 3 2 2 2 3 2 2 2 3 2 3 2" xfId="52616" xr:uid="{00000000-0005-0000-0000-0000EB080000}"/>
    <cellStyle name="Normal 3 2 2 2 3 2 2 2 3 2 4" xfId="32721" xr:uid="{00000000-0005-0000-0000-0000EC080000}"/>
    <cellStyle name="Normal 3 2 2 2 3 2 2 2 3 3" xfId="844" xr:uid="{00000000-0005-0000-0000-0000ED080000}"/>
    <cellStyle name="Normal 3 2 2 2 3 2 2 2 3 3 2" xfId="24684" xr:uid="{00000000-0005-0000-0000-0000EE080000}"/>
    <cellStyle name="Normal 3 2 2 2 3 2 2 2 3 3 2 2" xfId="56555" xr:uid="{00000000-0005-0000-0000-0000EF080000}"/>
    <cellStyle name="Normal 3 2 2 2 3 2 2 2 3 3 3" xfId="32723" xr:uid="{00000000-0005-0000-0000-0000F0080000}"/>
    <cellStyle name="Normal 3 2 2 2 3 2 2 2 3 4" xfId="16806" xr:uid="{00000000-0005-0000-0000-0000F1080000}"/>
    <cellStyle name="Normal 3 2 2 2 3 2 2 2 3 4 2" xfId="48677" xr:uid="{00000000-0005-0000-0000-0000F2080000}"/>
    <cellStyle name="Normal 3 2 2 2 3 2 2 2 3 5" xfId="32720" xr:uid="{00000000-0005-0000-0000-0000F3080000}"/>
    <cellStyle name="Normal 3 2 2 2 3 2 2 2 4" xfId="845" xr:uid="{00000000-0005-0000-0000-0000F4080000}"/>
    <cellStyle name="Normal 3 2 2 2 3 2 2 2 4 2" xfId="846" xr:uid="{00000000-0005-0000-0000-0000F5080000}"/>
    <cellStyle name="Normal 3 2 2 2 3 2 2 2 4 2 2" xfId="28620" xr:uid="{00000000-0005-0000-0000-0000F6080000}"/>
    <cellStyle name="Normal 3 2 2 2 3 2 2 2 4 2 2 2" xfId="60491" xr:uid="{00000000-0005-0000-0000-0000F7080000}"/>
    <cellStyle name="Normal 3 2 2 2 3 2 2 2 4 2 3" xfId="32725" xr:uid="{00000000-0005-0000-0000-0000F8080000}"/>
    <cellStyle name="Normal 3 2 2 2 3 2 2 2 4 3" xfId="20742" xr:uid="{00000000-0005-0000-0000-0000F9080000}"/>
    <cellStyle name="Normal 3 2 2 2 3 2 2 2 4 3 2" xfId="52613" xr:uid="{00000000-0005-0000-0000-0000FA080000}"/>
    <cellStyle name="Normal 3 2 2 2 3 2 2 2 4 4" xfId="32724" xr:uid="{00000000-0005-0000-0000-0000FB080000}"/>
    <cellStyle name="Normal 3 2 2 2 3 2 2 2 5" xfId="847" xr:uid="{00000000-0005-0000-0000-0000FC080000}"/>
    <cellStyle name="Normal 3 2 2 2 3 2 2 2 5 2" xfId="24681" xr:uid="{00000000-0005-0000-0000-0000FD080000}"/>
    <cellStyle name="Normal 3 2 2 2 3 2 2 2 5 2 2" xfId="56552" xr:uid="{00000000-0005-0000-0000-0000FE080000}"/>
    <cellStyle name="Normal 3 2 2 2 3 2 2 2 5 3" xfId="32726" xr:uid="{00000000-0005-0000-0000-0000FF080000}"/>
    <cellStyle name="Normal 3 2 2 2 3 2 2 2 6" xfId="16803" xr:uid="{00000000-0005-0000-0000-000000090000}"/>
    <cellStyle name="Normal 3 2 2 2 3 2 2 2 6 2" xfId="48674" xr:uid="{00000000-0005-0000-0000-000001090000}"/>
    <cellStyle name="Normal 3 2 2 2 3 2 2 2 7" xfId="32711" xr:uid="{00000000-0005-0000-0000-000002090000}"/>
    <cellStyle name="Normal 3 2 2 2 3 2 2 3" xfId="848" xr:uid="{00000000-0005-0000-0000-000003090000}"/>
    <cellStyle name="Normal 3 2 2 2 3 2 2 3 2" xfId="849" xr:uid="{00000000-0005-0000-0000-000004090000}"/>
    <cellStyle name="Normal 3 2 2 2 3 2 2 3 2 2" xfId="850" xr:uid="{00000000-0005-0000-0000-000005090000}"/>
    <cellStyle name="Normal 3 2 2 2 3 2 2 3 2 2 2" xfId="851" xr:uid="{00000000-0005-0000-0000-000006090000}"/>
    <cellStyle name="Normal 3 2 2 2 3 2 2 3 2 2 2 2" xfId="28625" xr:uid="{00000000-0005-0000-0000-000007090000}"/>
    <cellStyle name="Normal 3 2 2 2 3 2 2 3 2 2 2 2 2" xfId="60496" xr:uid="{00000000-0005-0000-0000-000008090000}"/>
    <cellStyle name="Normal 3 2 2 2 3 2 2 3 2 2 2 3" xfId="32730" xr:uid="{00000000-0005-0000-0000-000009090000}"/>
    <cellStyle name="Normal 3 2 2 2 3 2 2 3 2 2 3" xfId="20747" xr:uid="{00000000-0005-0000-0000-00000A090000}"/>
    <cellStyle name="Normal 3 2 2 2 3 2 2 3 2 2 3 2" xfId="52618" xr:uid="{00000000-0005-0000-0000-00000B090000}"/>
    <cellStyle name="Normal 3 2 2 2 3 2 2 3 2 2 4" xfId="32729" xr:uid="{00000000-0005-0000-0000-00000C090000}"/>
    <cellStyle name="Normal 3 2 2 2 3 2 2 3 2 3" xfId="852" xr:uid="{00000000-0005-0000-0000-00000D090000}"/>
    <cellStyle name="Normal 3 2 2 2 3 2 2 3 2 3 2" xfId="24686" xr:uid="{00000000-0005-0000-0000-00000E090000}"/>
    <cellStyle name="Normal 3 2 2 2 3 2 2 3 2 3 2 2" xfId="56557" xr:uid="{00000000-0005-0000-0000-00000F090000}"/>
    <cellStyle name="Normal 3 2 2 2 3 2 2 3 2 3 3" xfId="32731" xr:uid="{00000000-0005-0000-0000-000010090000}"/>
    <cellStyle name="Normal 3 2 2 2 3 2 2 3 2 4" xfId="16808" xr:uid="{00000000-0005-0000-0000-000011090000}"/>
    <cellStyle name="Normal 3 2 2 2 3 2 2 3 2 4 2" xfId="48679" xr:uid="{00000000-0005-0000-0000-000012090000}"/>
    <cellStyle name="Normal 3 2 2 2 3 2 2 3 2 5" xfId="32728" xr:uid="{00000000-0005-0000-0000-000013090000}"/>
    <cellStyle name="Normal 3 2 2 2 3 2 2 3 3" xfId="853" xr:uid="{00000000-0005-0000-0000-000014090000}"/>
    <cellStyle name="Normal 3 2 2 2 3 2 2 3 3 2" xfId="854" xr:uid="{00000000-0005-0000-0000-000015090000}"/>
    <cellStyle name="Normal 3 2 2 2 3 2 2 3 3 2 2" xfId="28624" xr:uid="{00000000-0005-0000-0000-000016090000}"/>
    <cellStyle name="Normal 3 2 2 2 3 2 2 3 3 2 2 2" xfId="60495" xr:uid="{00000000-0005-0000-0000-000017090000}"/>
    <cellStyle name="Normal 3 2 2 2 3 2 2 3 3 2 3" xfId="32733" xr:uid="{00000000-0005-0000-0000-000018090000}"/>
    <cellStyle name="Normal 3 2 2 2 3 2 2 3 3 3" xfId="20746" xr:uid="{00000000-0005-0000-0000-000019090000}"/>
    <cellStyle name="Normal 3 2 2 2 3 2 2 3 3 3 2" xfId="52617" xr:uid="{00000000-0005-0000-0000-00001A090000}"/>
    <cellStyle name="Normal 3 2 2 2 3 2 2 3 3 4" xfId="32732" xr:uid="{00000000-0005-0000-0000-00001B090000}"/>
    <cellStyle name="Normal 3 2 2 2 3 2 2 3 4" xfId="855" xr:uid="{00000000-0005-0000-0000-00001C090000}"/>
    <cellStyle name="Normal 3 2 2 2 3 2 2 3 4 2" xfId="24685" xr:uid="{00000000-0005-0000-0000-00001D090000}"/>
    <cellStyle name="Normal 3 2 2 2 3 2 2 3 4 2 2" xfId="56556" xr:uid="{00000000-0005-0000-0000-00001E090000}"/>
    <cellStyle name="Normal 3 2 2 2 3 2 2 3 4 3" xfId="32734" xr:uid="{00000000-0005-0000-0000-00001F090000}"/>
    <cellStyle name="Normal 3 2 2 2 3 2 2 3 5" xfId="16807" xr:uid="{00000000-0005-0000-0000-000020090000}"/>
    <cellStyle name="Normal 3 2 2 2 3 2 2 3 5 2" xfId="48678" xr:uid="{00000000-0005-0000-0000-000021090000}"/>
    <cellStyle name="Normal 3 2 2 2 3 2 2 3 6" xfId="32727" xr:uid="{00000000-0005-0000-0000-000022090000}"/>
    <cellStyle name="Normal 3 2 2 2 3 2 2 4" xfId="856" xr:uid="{00000000-0005-0000-0000-000023090000}"/>
    <cellStyle name="Normal 3 2 2 2 3 2 2 4 2" xfId="857" xr:uid="{00000000-0005-0000-0000-000024090000}"/>
    <cellStyle name="Normal 3 2 2 2 3 2 2 4 2 2" xfId="858" xr:uid="{00000000-0005-0000-0000-000025090000}"/>
    <cellStyle name="Normal 3 2 2 2 3 2 2 4 2 2 2" xfId="28626" xr:uid="{00000000-0005-0000-0000-000026090000}"/>
    <cellStyle name="Normal 3 2 2 2 3 2 2 4 2 2 2 2" xfId="60497" xr:uid="{00000000-0005-0000-0000-000027090000}"/>
    <cellStyle name="Normal 3 2 2 2 3 2 2 4 2 2 3" xfId="32737" xr:uid="{00000000-0005-0000-0000-000028090000}"/>
    <cellStyle name="Normal 3 2 2 2 3 2 2 4 2 3" xfId="20748" xr:uid="{00000000-0005-0000-0000-000029090000}"/>
    <cellStyle name="Normal 3 2 2 2 3 2 2 4 2 3 2" xfId="52619" xr:uid="{00000000-0005-0000-0000-00002A090000}"/>
    <cellStyle name="Normal 3 2 2 2 3 2 2 4 2 4" xfId="32736" xr:uid="{00000000-0005-0000-0000-00002B090000}"/>
    <cellStyle name="Normal 3 2 2 2 3 2 2 4 3" xfId="859" xr:uid="{00000000-0005-0000-0000-00002C090000}"/>
    <cellStyle name="Normal 3 2 2 2 3 2 2 4 3 2" xfId="24687" xr:uid="{00000000-0005-0000-0000-00002D090000}"/>
    <cellStyle name="Normal 3 2 2 2 3 2 2 4 3 2 2" xfId="56558" xr:uid="{00000000-0005-0000-0000-00002E090000}"/>
    <cellStyle name="Normal 3 2 2 2 3 2 2 4 3 3" xfId="32738" xr:uid="{00000000-0005-0000-0000-00002F090000}"/>
    <cellStyle name="Normal 3 2 2 2 3 2 2 4 4" xfId="16809" xr:uid="{00000000-0005-0000-0000-000030090000}"/>
    <cellStyle name="Normal 3 2 2 2 3 2 2 4 4 2" xfId="48680" xr:uid="{00000000-0005-0000-0000-000031090000}"/>
    <cellStyle name="Normal 3 2 2 2 3 2 2 4 5" xfId="32735" xr:uid="{00000000-0005-0000-0000-000032090000}"/>
    <cellStyle name="Normal 3 2 2 2 3 2 2 5" xfId="860" xr:uid="{00000000-0005-0000-0000-000033090000}"/>
    <cellStyle name="Normal 3 2 2 2 3 2 2 5 2" xfId="861" xr:uid="{00000000-0005-0000-0000-000034090000}"/>
    <cellStyle name="Normal 3 2 2 2 3 2 2 5 2 2" xfId="28619" xr:uid="{00000000-0005-0000-0000-000035090000}"/>
    <cellStyle name="Normal 3 2 2 2 3 2 2 5 2 2 2" xfId="60490" xr:uid="{00000000-0005-0000-0000-000036090000}"/>
    <cellStyle name="Normal 3 2 2 2 3 2 2 5 2 3" xfId="32740" xr:uid="{00000000-0005-0000-0000-000037090000}"/>
    <cellStyle name="Normal 3 2 2 2 3 2 2 5 3" xfId="20741" xr:uid="{00000000-0005-0000-0000-000038090000}"/>
    <cellStyle name="Normal 3 2 2 2 3 2 2 5 3 2" xfId="52612" xr:uid="{00000000-0005-0000-0000-000039090000}"/>
    <cellStyle name="Normal 3 2 2 2 3 2 2 5 4" xfId="32739" xr:uid="{00000000-0005-0000-0000-00003A090000}"/>
    <cellStyle name="Normal 3 2 2 2 3 2 2 6" xfId="862" xr:uid="{00000000-0005-0000-0000-00003B090000}"/>
    <cellStyle name="Normal 3 2 2 2 3 2 2 6 2" xfId="24680" xr:uid="{00000000-0005-0000-0000-00003C090000}"/>
    <cellStyle name="Normal 3 2 2 2 3 2 2 6 2 2" xfId="56551" xr:uid="{00000000-0005-0000-0000-00003D090000}"/>
    <cellStyle name="Normal 3 2 2 2 3 2 2 6 3" xfId="32741" xr:uid="{00000000-0005-0000-0000-00003E090000}"/>
    <cellStyle name="Normal 3 2 2 2 3 2 2 7" xfId="16802" xr:uid="{00000000-0005-0000-0000-00003F090000}"/>
    <cellStyle name="Normal 3 2 2 2 3 2 2 7 2" xfId="48673" xr:uid="{00000000-0005-0000-0000-000040090000}"/>
    <cellStyle name="Normal 3 2 2 2 3 2 2 8" xfId="32710" xr:uid="{00000000-0005-0000-0000-000041090000}"/>
    <cellStyle name="Normal 3 2 2 2 3 2 3" xfId="863" xr:uid="{00000000-0005-0000-0000-000042090000}"/>
    <cellStyle name="Normal 3 2 2 2 3 2 3 2" xfId="864" xr:uid="{00000000-0005-0000-0000-000043090000}"/>
    <cellStyle name="Normal 3 2 2 2 3 2 3 2 2" xfId="865" xr:uid="{00000000-0005-0000-0000-000044090000}"/>
    <cellStyle name="Normal 3 2 2 2 3 2 3 2 2 2" xfId="866" xr:uid="{00000000-0005-0000-0000-000045090000}"/>
    <cellStyle name="Normal 3 2 2 2 3 2 3 2 2 2 2" xfId="867" xr:uid="{00000000-0005-0000-0000-000046090000}"/>
    <cellStyle name="Normal 3 2 2 2 3 2 3 2 2 2 2 2" xfId="28629" xr:uid="{00000000-0005-0000-0000-000047090000}"/>
    <cellStyle name="Normal 3 2 2 2 3 2 3 2 2 2 2 2 2" xfId="60500" xr:uid="{00000000-0005-0000-0000-000048090000}"/>
    <cellStyle name="Normal 3 2 2 2 3 2 3 2 2 2 2 3" xfId="32746" xr:uid="{00000000-0005-0000-0000-000049090000}"/>
    <cellStyle name="Normal 3 2 2 2 3 2 3 2 2 2 3" xfId="20751" xr:uid="{00000000-0005-0000-0000-00004A090000}"/>
    <cellStyle name="Normal 3 2 2 2 3 2 3 2 2 2 3 2" xfId="52622" xr:uid="{00000000-0005-0000-0000-00004B090000}"/>
    <cellStyle name="Normal 3 2 2 2 3 2 3 2 2 2 4" xfId="32745" xr:uid="{00000000-0005-0000-0000-00004C090000}"/>
    <cellStyle name="Normal 3 2 2 2 3 2 3 2 2 3" xfId="868" xr:uid="{00000000-0005-0000-0000-00004D090000}"/>
    <cellStyle name="Normal 3 2 2 2 3 2 3 2 2 3 2" xfId="24690" xr:uid="{00000000-0005-0000-0000-00004E090000}"/>
    <cellStyle name="Normal 3 2 2 2 3 2 3 2 2 3 2 2" xfId="56561" xr:uid="{00000000-0005-0000-0000-00004F090000}"/>
    <cellStyle name="Normal 3 2 2 2 3 2 3 2 2 3 3" xfId="32747" xr:uid="{00000000-0005-0000-0000-000050090000}"/>
    <cellStyle name="Normal 3 2 2 2 3 2 3 2 2 4" xfId="16812" xr:uid="{00000000-0005-0000-0000-000051090000}"/>
    <cellStyle name="Normal 3 2 2 2 3 2 3 2 2 4 2" xfId="48683" xr:uid="{00000000-0005-0000-0000-000052090000}"/>
    <cellStyle name="Normal 3 2 2 2 3 2 3 2 2 5" xfId="32744" xr:uid="{00000000-0005-0000-0000-000053090000}"/>
    <cellStyle name="Normal 3 2 2 2 3 2 3 2 3" xfId="869" xr:uid="{00000000-0005-0000-0000-000054090000}"/>
    <cellStyle name="Normal 3 2 2 2 3 2 3 2 3 2" xfId="870" xr:uid="{00000000-0005-0000-0000-000055090000}"/>
    <cellStyle name="Normal 3 2 2 2 3 2 3 2 3 2 2" xfId="28628" xr:uid="{00000000-0005-0000-0000-000056090000}"/>
    <cellStyle name="Normal 3 2 2 2 3 2 3 2 3 2 2 2" xfId="60499" xr:uid="{00000000-0005-0000-0000-000057090000}"/>
    <cellStyle name="Normal 3 2 2 2 3 2 3 2 3 2 3" xfId="32749" xr:uid="{00000000-0005-0000-0000-000058090000}"/>
    <cellStyle name="Normal 3 2 2 2 3 2 3 2 3 3" xfId="20750" xr:uid="{00000000-0005-0000-0000-000059090000}"/>
    <cellStyle name="Normal 3 2 2 2 3 2 3 2 3 3 2" xfId="52621" xr:uid="{00000000-0005-0000-0000-00005A090000}"/>
    <cellStyle name="Normal 3 2 2 2 3 2 3 2 3 4" xfId="32748" xr:uid="{00000000-0005-0000-0000-00005B090000}"/>
    <cellStyle name="Normal 3 2 2 2 3 2 3 2 4" xfId="871" xr:uid="{00000000-0005-0000-0000-00005C090000}"/>
    <cellStyle name="Normal 3 2 2 2 3 2 3 2 4 2" xfId="24689" xr:uid="{00000000-0005-0000-0000-00005D090000}"/>
    <cellStyle name="Normal 3 2 2 2 3 2 3 2 4 2 2" xfId="56560" xr:uid="{00000000-0005-0000-0000-00005E090000}"/>
    <cellStyle name="Normal 3 2 2 2 3 2 3 2 4 3" xfId="32750" xr:uid="{00000000-0005-0000-0000-00005F090000}"/>
    <cellStyle name="Normal 3 2 2 2 3 2 3 2 5" xfId="16811" xr:uid="{00000000-0005-0000-0000-000060090000}"/>
    <cellStyle name="Normal 3 2 2 2 3 2 3 2 5 2" xfId="48682" xr:uid="{00000000-0005-0000-0000-000061090000}"/>
    <cellStyle name="Normal 3 2 2 2 3 2 3 2 6" xfId="32743" xr:uid="{00000000-0005-0000-0000-000062090000}"/>
    <cellStyle name="Normal 3 2 2 2 3 2 3 3" xfId="872" xr:uid="{00000000-0005-0000-0000-000063090000}"/>
    <cellStyle name="Normal 3 2 2 2 3 2 3 3 2" xfId="873" xr:uid="{00000000-0005-0000-0000-000064090000}"/>
    <cellStyle name="Normal 3 2 2 2 3 2 3 3 2 2" xfId="874" xr:uid="{00000000-0005-0000-0000-000065090000}"/>
    <cellStyle name="Normal 3 2 2 2 3 2 3 3 2 2 2" xfId="28630" xr:uid="{00000000-0005-0000-0000-000066090000}"/>
    <cellStyle name="Normal 3 2 2 2 3 2 3 3 2 2 2 2" xfId="60501" xr:uid="{00000000-0005-0000-0000-000067090000}"/>
    <cellStyle name="Normal 3 2 2 2 3 2 3 3 2 2 3" xfId="32753" xr:uid="{00000000-0005-0000-0000-000068090000}"/>
    <cellStyle name="Normal 3 2 2 2 3 2 3 3 2 3" xfId="20752" xr:uid="{00000000-0005-0000-0000-000069090000}"/>
    <cellStyle name="Normal 3 2 2 2 3 2 3 3 2 3 2" xfId="52623" xr:uid="{00000000-0005-0000-0000-00006A090000}"/>
    <cellStyle name="Normal 3 2 2 2 3 2 3 3 2 4" xfId="32752" xr:uid="{00000000-0005-0000-0000-00006B090000}"/>
    <cellStyle name="Normal 3 2 2 2 3 2 3 3 3" xfId="875" xr:uid="{00000000-0005-0000-0000-00006C090000}"/>
    <cellStyle name="Normal 3 2 2 2 3 2 3 3 3 2" xfId="24691" xr:uid="{00000000-0005-0000-0000-00006D090000}"/>
    <cellStyle name="Normal 3 2 2 2 3 2 3 3 3 2 2" xfId="56562" xr:uid="{00000000-0005-0000-0000-00006E090000}"/>
    <cellStyle name="Normal 3 2 2 2 3 2 3 3 3 3" xfId="32754" xr:uid="{00000000-0005-0000-0000-00006F090000}"/>
    <cellStyle name="Normal 3 2 2 2 3 2 3 3 4" xfId="16813" xr:uid="{00000000-0005-0000-0000-000070090000}"/>
    <cellStyle name="Normal 3 2 2 2 3 2 3 3 4 2" xfId="48684" xr:uid="{00000000-0005-0000-0000-000071090000}"/>
    <cellStyle name="Normal 3 2 2 2 3 2 3 3 5" xfId="32751" xr:uid="{00000000-0005-0000-0000-000072090000}"/>
    <cellStyle name="Normal 3 2 2 2 3 2 3 4" xfId="876" xr:uid="{00000000-0005-0000-0000-000073090000}"/>
    <cellStyle name="Normal 3 2 2 2 3 2 3 4 2" xfId="877" xr:uid="{00000000-0005-0000-0000-000074090000}"/>
    <cellStyle name="Normal 3 2 2 2 3 2 3 4 2 2" xfId="28627" xr:uid="{00000000-0005-0000-0000-000075090000}"/>
    <cellStyle name="Normal 3 2 2 2 3 2 3 4 2 2 2" xfId="60498" xr:uid="{00000000-0005-0000-0000-000076090000}"/>
    <cellStyle name="Normal 3 2 2 2 3 2 3 4 2 3" xfId="32756" xr:uid="{00000000-0005-0000-0000-000077090000}"/>
    <cellStyle name="Normal 3 2 2 2 3 2 3 4 3" xfId="20749" xr:uid="{00000000-0005-0000-0000-000078090000}"/>
    <cellStyle name="Normal 3 2 2 2 3 2 3 4 3 2" xfId="52620" xr:uid="{00000000-0005-0000-0000-000079090000}"/>
    <cellStyle name="Normal 3 2 2 2 3 2 3 4 4" xfId="32755" xr:uid="{00000000-0005-0000-0000-00007A090000}"/>
    <cellStyle name="Normal 3 2 2 2 3 2 3 5" xfId="878" xr:uid="{00000000-0005-0000-0000-00007B090000}"/>
    <cellStyle name="Normal 3 2 2 2 3 2 3 5 2" xfId="24688" xr:uid="{00000000-0005-0000-0000-00007C090000}"/>
    <cellStyle name="Normal 3 2 2 2 3 2 3 5 2 2" xfId="56559" xr:uid="{00000000-0005-0000-0000-00007D090000}"/>
    <cellStyle name="Normal 3 2 2 2 3 2 3 5 3" xfId="32757" xr:uid="{00000000-0005-0000-0000-00007E090000}"/>
    <cellStyle name="Normal 3 2 2 2 3 2 3 6" xfId="16810" xr:uid="{00000000-0005-0000-0000-00007F090000}"/>
    <cellStyle name="Normal 3 2 2 2 3 2 3 6 2" xfId="48681" xr:uid="{00000000-0005-0000-0000-000080090000}"/>
    <cellStyle name="Normal 3 2 2 2 3 2 3 7" xfId="32742" xr:uid="{00000000-0005-0000-0000-000081090000}"/>
    <cellStyle name="Normal 3 2 2 2 3 2 4" xfId="879" xr:uid="{00000000-0005-0000-0000-000082090000}"/>
    <cellStyle name="Normal 3 2 2 2 3 2 4 2" xfId="880" xr:uid="{00000000-0005-0000-0000-000083090000}"/>
    <cellStyle name="Normal 3 2 2 2 3 2 4 2 2" xfId="881" xr:uid="{00000000-0005-0000-0000-000084090000}"/>
    <cellStyle name="Normal 3 2 2 2 3 2 4 2 2 2" xfId="882" xr:uid="{00000000-0005-0000-0000-000085090000}"/>
    <cellStyle name="Normal 3 2 2 2 3 2 4 2 2 2 2" xfId="28632" xr:uid="{00000000-0005-0000-0000-000086090000}"/>
    <cellStyle name="Normal 3 2 2 2 3 2 4 2 2 2 2 2" xfId="60503" xr:uid="{00000000-0005-0000-0000-000087090000}"/>
    <cellStyle name="Normal 3 2 2 2 3 2 4 2 2 2 3" xfId="32761" xr:uid="{00000000-0005-0000-0000-000088090000}"/>
    <cellStyle name="Normal 3 2 2 2 3 2 4 2 2 3" xfId="20754" xr:uid="{00000000-0005-0000-0000-000089090000}"/>
    <cellStyle name="Normal 3 2 2 2 3 2 4 2 2 3 2" xfId="52625" xr:uid="{00000000-0005-0000-0000-00008A090000}"/>
    <cellStyle name="Normal 3 2 2 2 3 2 4 2 2 4" xfId="32760" xr:uid="{00000000-0005-0000-0000-00008B090000}"/>
    <cellStyle name="Normal 3 2 2 2 3 2 4 2 3" xfId="883" xr:uid="{00000000-0005-0000-0000-00008C090000}"/>
    <cellStyle name="Normal 3 2 2 2 3 2 4 2 3 2" xfId="24693" xr:uid="{00000000-0005-0000-0000-00008D090000}"/>
    <cellStyle name="Normal 3 2 2 2 3 2 4 2 3 2 2" xfId="56564" xr:uid="{00000000-0005-0000-0000-00008E090000}"/>
    <cellStyle name="Normal 3 2 2 2 3 2 4 2 3 3" xfId="32762" xr:uid="{00000000-0005-0000-0000-00008F090000}"/>
    <cellStyle name="Normal 3 2 2 2 3 2 4 2 4" xfId="16815" xr:uid="{00000000-0005-0000-0000-000090090000}"/>
    <cellStyle name="Normal 3 2 2 2 3 2 4 2 4 2" xfId="48686" xr:uid="{00000000-0005-0000-0000-000091090000}"/>
    <cellStyle name="Normal 3 2 2 2 3 2 4 2 5" xfId="32759" xr:uid="{00000000-0005-0000-0000-000092090000}"/>
    <cellStyle name="Normal 3 2 2 2 3 2 4 3" xfId="884" xr:uid="{00000000-0005-0000-0000-000093090000}"/>
    <cellStyle name="Normal 3 2 2 2 3 2 4 3 2" xfId="885" xr:uid="{00000000-0005-0000-0000-000094090000}"/>
    <cellStyle name="Normal 3 2 2 2 3 2 4 3 2 2" xfId="28631" xr:uid="{00000000-0005-0000-0000-000095090000}"/>
    <cellStyle name="Normal 3 2 2 2 3 2 4 3 2 2 2" xfId="60502" xr:uid="{00000000-0005-0000-0000-000096090000}"/>
    <cellStyle name="Normal 3 2 2 2 3 2 4 3 2 3" xfId="32764" xr:uid="{00000000-0005-0000-0000-000097090000}"/>
    <cellStyle name="Normal 3 2 2 2 3 2 4 3 3" xfId="20753" xr:uid="{00000000-0005-0000-0000-000098090000}"/>
    <cellStyle name="Normal 3 2 2 2 3 2 4 3 3 2" xfId="52624" xr:uid="{00000000-0005-0000-0000-000099090000}"/>
    <cellStyle name="Normal 3 2 2 2 3 2 4 3 4" xfId="32763" xr:uid="{00000000-0005-0000-0000-00009A090000}"/>
    <cellStyle name="Normal 3 2 2 2 3 2 4 4" xfId="886" xr:uid="{00000000-0005-0000-0000-00009B090000}"/>
    <cellStyle name="Normal 3 2 2 2 3 2 4 4 2" xfId="24692" xr:uid="{00000000-0005-0000-0000-00009C090000}"/>
    <cellStyle name="Normal 3 2 2 2 3 2 4 4 2 2" xfId="56563" xr:uid="{00000000-0005-0000-0000-00009D090000}"/>
    <cellStyle name="Normal 3 2 2 2 3 2 4 4 3" xfId="32765" xr:uid="{00000000-0005-0000-0000-00009E090000}"/>
    <cellStyle name="Normal 3 2 2 2 3 2 4 5" xfId="16814" xr:uid="{00000000-0005-0000-0000-00009F090000}"/>
    <cellStyle name="Normal 3 2 2 2 3 2 4 5 2" xfId="48685" xr:uid="{00000000-0005-0000-0000-0000A0090000}"/>
    <cellStyle name="Normal 3 2 2 2 3 2 4 6" xfId="32758" xr:uid="{00000000-0005-0000-0000-0000A1090000}"/>
    <cellStyle name="Normal 3 2 2 2 3 2 5" xfId="887" xr:uid="{00000000-0005-0000-0000-0000A2090000}"/>
    <cellStyle name="Normal 3 2 2 2 3 2 5 2" xfId="888" xr:uid="{00000000-0005-0000-0000-0000A3090000}"/>
    <cellStyle name="Normal 3 2 2 2 3 2 5 2 2" xfId="889" xr:uid="{00000000-0005-0000-0000-0000A4090000}"/>
    <cellStyle name="Normal 3 2 2 2 3 2 5 2 2 2" xfId="28633" xr:uid="{00000000-0005-0000-0000-0000A5090000}"/>
    <cellStyle name="Normal 3 2 2 2 3 2 5 2 2 2 2" xfId="60504" xr:uid="{00000000-0005-0000-0000-0000A6090000}"/>
    <cellStyle name="Normal 3 2 2 2 3 2 5 2 2 3" xfId="32768" xr:uid="{00000000-0005-0000-0000-0000A7090000}"/>
    <cellStyle name="Normal 3 2 2 2 3 2 5 2 3" xfId="20755" xr:uid="{00000000-0005-0000-0000-0000A8090000}"/>
    <cellStyle name="Normal 3 2 2 2 3 2 5 2 3 2" xfId="52626" xr:uid="{00000000-0005-0000-0000-0000A9090000}"/>
    <cellStyle name="Normal 3 2 2 2 3 2 5 2 4" xfId="32767" xr:uid="{00000000-0005-0000-0000-0000AA090000}"/>
    <cellStyle name="Normal 3 2 2 2 3 2 5 3" xfId="890" xr:uid="{00000000-0005-0000-0000-0000AB090000}"/>
    <cellStyle name="Normal 3 2 2 2 3 2 5 3 2" xfId="24694" xr:uid="{00000000-0005-0000-0000-0000AC090000}"/>
    <cellStyle name="Normal 3 2 2 2 3 2 5 3 2 2" xfId="56565" xr:uid="{00000000-0005-0000-0000-0000AD090000}"/>
    <cellStyle name="Normal 3 2 2 2 3 2 5 3 3" xfId="32769" xr:uid="{00000000-0005-0000-0000-0000AE090000}"/>
    <cellStyle name="Normal 3 2 2 2 3 2 5 4" xfId="16816" xr:uid="{00000000-0005-0000-0000-0000AF090000}"/>
    <cellStyle name="Normal 3 2 2 2 3 2 5 4 2" xfId="48687" xr:uid="{00000000-0005-0000-0000-0000B0090000}"/>
    <cellStyle name="Normal 3 2 2 2 3 2 5 5" xfId="32766" xr:uid="{00000000-0005-0000-0000-0000B1090000}"/>
    <cellStyle name="Normal 3 2 2 2 3 2 6" xfId="891" xr:uid="{00000000-0005-0000-0000-0000B2090000}"/>
    <cellStyle name="Normal 3 2 2 2 3 2 6 2" xfId="892" xr:uid="{00000000-0005-0000-0000-0000B3090000}"/>
    <cellStyle name="Normal 3 2 2 2 3 2 6 2 2" xfId="28435" xr:uid="{00000000-0005-0000-0000-0000B4090000}"/>
    <cellStyle name="Normal 3 2 2 2 3 2 6 2 2 2" xfId="60306" xr:uid="{00000000-0005-0000-0000-0000B5090000}"/>
    <cellStyle name="Normal 3 2 2 2 3 2 6 2 3" xfId="32771" xr:uid="{00000000-0005-0000-0000-0000B6090000}"/>
    <cellStyle name="Normal 3 2 2 2 3 2 6 3" xfId="20557" xr:uid="{00000000-0005-0000-0000-0000B7090000}"/>
    <cellStyle name="Normal 3 2 2 2 3 2 6 3 2" xfId="52428" xr:uid="{00000000-0005-0000-0000-0000B8090000}"/>
    <cellStyle name="Normal 3 2 2 2 3 2 6 4" xfId="32770" xr:uid="{00000000-0005-0000-0000-0000B9090000}"/>
    <cellStyle name="Normal 3 2 2 2 3 2 7" xfId="893" xr:uid="{00000000-0005-0000-0000-0000BA090000}"/>
    <cellStyle name="Normal 3 2 2 2 3 2 7 2" xfId="24496" xr:uid="{00000000-0005-0000-0000-0000BB090000}"/>
    <cellStyle name="Normal 3 2 2 2 3 2 7 2 2" xfId="56367" xr:uid="{00000000-0005-0000-0000-0000BC090000}"/>
    <cellStyle name="Normal 3 2 2 2 3 2 7 3" xfId="32772" xr:uid="{00000000-0005-0000-0000-0000BD090000}"/>
    <cellStyle name="Normal 3 2 2 2 3 2 8" xfId="16618" xr:uid="{00000000-0005-0000-0000-0000BE090000}"/>
    <cellStyle name="Normal 3 2 2 2 3 2 8 2" xfId="48489" xr:uid="{00000000-0005-0000-0000-0000BF090000}"/>
    <cellStyle name="Normal 3 2 2 2 3 2 9" xfId="32709" xr:uid="{00000000-0005-0000-0000-0000C0090000}"/>
    <cellStyle name="Normal 3 2 2 2 3 3" xfId="894" xr:uid="{00000000-0005-0000-0000-0000C1090000}"/>
    <cellStyle name="Normal 3 2 2 2 3 3 2" xfId="895" xr:uid="{00000000-0005-0000-0000-0000C2090000}"/>
    <cellStyle name="Normal 3 2 2 2 3 3 2 2" xfId="896" xr:uid="{00000000-0005-0000-0000-0000C3090000}"/>
    <cellStyle name="Normal 3 2 2 2 3 3 2 2 2" xfId="897" xr:uid="{00000000-0005-0000-0000-0000C4090000}"/>
    <cellStyle name="Normal 3 2 2 2 3 3 2 2 2 2" xfId="898" xr:uid="{00000000-0005-0000-0000-0000C5090000}"/>
    <cellStyle name="Normal 3 2 2 2 3 3 2 2 2 2 2" xfId="899" xr:uid="{00000000-0005-0000-0000-0000C6090000}"/>
    <cellStyle name="Normal 3 2 2 2 3 3 2 2 2 2 2 2" xfId="28637" xr:uid="{00000000-0005-0000-0000-0000C7090000}"/>
    <cellStyle name="Normal 3 2 2 2 3 3 2 2 2 2 2 2 2" xfId="60508" xr:uid="{00000000-0005-0000-0000-0000C8090000}"/>
    <cellStyle name="Normal 3 2 2 2 3 3 2 2 2 2 2 3" xfId="32778" xr:uid="{00000000-0005-0000-0000-0000C9090000}"/>
    <cellStyle name="Normal 3 2 2 2 3 3 2 2 2 2 3" xfId="20759" xr:uid="{00000000-0005-0000-0000-0000CA090000}"/>
    <cellStyle name="Normal 3 2 2 2 3 3 2 2 2 2 3 2" xfId="52630" xr:uid="{00000000-0005-0000-0000-0000CB090000}"/>
    <cellStyle name="Normal 3 2 2 2 3 3 2 2 2 2 4" xfId="32777" xr:uid="{00000000-0005-0000-0000-0000CC090000}"/>
    <cellStyle name="Normal 3 2 2 2 3 3 2 2 2 3" xfId="900" xr:uid="{00000000-0005-0000-0000-0000CD090000}"/>
    <cellStyle name="Normal 3 2 2 2 3 3 2 2 2 3 2" xfId="24698" xr:uid="{00000000-0005-0000-0000-0000CE090000}"/>
    <cellStyle name="Normal 3 2 2 2 3 3 2 2 2 3 2 2" xfId="56569" xr:uid="{00000000-0005-0000-0000-0000CF090000}"/>
    <cellStyle name="Normal 3 2 2 2 3 3 2 2 2 3 3" xfId="32779" xr:uid="{00000000-0005-0000-0000-0000D0090000}"/>
    <cellStyle name="Normal 3 2 2 2 3 3 2 2 2 4" xfId="16820" xr:uid="{00000000-0005-0000-0000-0000D1090000}"/>
    <cellStyle name="Normal 3 2 2 2 3 3 2 2 2 4 2" xfId="48691" xr:uid="{00000000-0005-0000-0000-0000D2090000}"/>
    <cellStyle name="Normal 3 2 2 2 3 3 2 2 2 5" xfId="32776" xr:uid="{00000000-0005-0000-0000-0000D3090000}"/>
    <cellStyle name="Normal 3 2 2 2 3 3 2 2 3" xfId="901" xr:uid="{00000000-0005-0000-0000-0000D4090000}"/>
    <cellStyle name="Normal 3 2 2 2 3 3 2 2 3 2" xfId="902" xr:uid="{00000000-0005-0000-0000-0000D5090000}"/>
    <cellStyle name="Normal 3 2 2 2 3 3 2 2 3 2 2" xfId="28636" xr:uid="{00000000-0005-0000-0000-0000D6090000}"/>
    <cellStyle name="Normal 3 2 2 2 3 3 2 2 3 2 2 2" xfId="60507" xr:uid="{00000000-0005-0000-0000-0000D7090000}"/>
    <cellStyle name="Normal 3 2 2 2 3 3 2 2 3 2 3" xfId="32781" xr:uid="{00000000-0005-0000-0000-0000D8090000}"/>
    <cellStyle name="Normal 3 2 2 2 3 3 2 2 3 3" xfId="20758" xr:uid="{00000000-0005-0000-0000-0000D9090000}"/>
    <cellStyle name="Normal 3 2 2 2 3 3 2 2 3 3 2" xfId="52629" xr:uid="{00000000-0005-0000-0000-0000DA090000}"/>
    <cellStyle name="Normal 3 2 2 2 3 3 2 2 3 4" xfId="32780" xr:uid="{00000000-0005-0000-0000-0000DB090000}"/>
    <cellStyle name="Normal 3 2 2 2 3 3 2 2 4" xfId="903" xr:uid="{00000000-0005-0000-0000-0000DC090000}"/>
    <cellStyle name="Normal 3 2 2 2 3 3 2 2 4 2" xfId="24697" xr:uid="{00000000-0005-0000-0000-0000DD090000}"/>
    <cellStyle name="Normal 3 2 2 2 3 3 2 2 4 2 2" xfId="56568" xr:uid="{00000000-0005-0000-0000-0000DE090000}"/>
    <cellStyle name="Normal 3 2 2 2 3 3 2 2 4 3" xfId="32782" xr:uid="{00000000-0005-0000-0000-0000DF090000}"/>
    <cellStyle name="Normal 3 2 2 2 3 3 2 2 5" xfId="16819" xr:uid="{00000000-0005-0000-0000-0000E0090000}"/>
    <cellStyle name="Normal 3 2 2 2 3 3 2 2 5 2" xfId="48690" xr:uid="{00000000-0005-0000-0000-0000E1090000}"/>
    <cellStyle name="Normal 3 2 2 2 3 3 2 2 6" xfId="32775" xr:uid="{00000000-0005-0000-0000-0000E2090000}"/>
    <cellStyle name="Normal 3 2 2 2 3 3 2 3" xfId="904" xr:uid="{00000000-0005-0000-0000-0000E3090000}"/>
    <cellStyle name="Normal 3 2 2 2 3 3 2 3 2" xfId="905" xr:uid="{00000000-0005-0000-0000-0000E4090000}"/>
    <cellStyle name="Normal 3 2 2 2 3 3 2 3 2 2" xfId="906" xr:uid="{00000000-0005-0000-0000-0000E5090000}"/>
    <cellStyle name="Normal 3 2 2 2 3 3 2 3 2 2 2" xfId="28638" xr:uid="{00000000-0005-0000-0000-0000E6090000}"/>
    <cellStyle name="Normal 3 2 2 2 3 3 2 3 2 2 2 2" xfId="60509" xr:uid="{00000000-0005-0000-0000-0000E7090000}"/>
    <cellStyle name="Normal 3 2 2 2 3 3 2 3 2 2 3" xfId="32785" xr:uid="{00000000-0005-0000-0000-0000E8090000}"/>
    <cellStyle name="Normal 3 2 2 2 3 3 2 3 2 3" xfId="20760" xr:uid="{00000000-0005-0000-0000-0000E9090000}"/>
    <cellStyle name="Normal 3 2 2 2 3 3 2 3 2 3 2" xfId="52631" xr:uid="{00000000-0005-0000-0000-0000EA090000}"/>
    <cellStyle name="Normal 3 2 2 2 3 3 2 3 2 4" xfId="32784" xr:uid="{00000000-0005-0000-0000-0000EB090000}"/>
    <cellStyle name="Normal 3 2 2 2 3 3 2 3 3" xfId="907" xr:uid="{00000000-0005-0000-0000-0000EC090000}"/>
    <cellStyle name="Normal 3 2 2 2 3 3 2 3 3 2" xfId="24699" xr:uid="{00000000-0005-0000-0000-0000ED090000}"/>
    <cellStyle name="Normal 3 2 2 2 3 3 2 3 3 2 2" xfId="56570" xr:uid="{00000000-0005-0000-0000-0000EE090000}"/>
    <cellStyle name="Normal 3 2 2 2 3 3 2 3 3 3" xfId="32786" xr:uid="{00000000-0005-0000-0000-0000EF090000}"/>
    <cellStyle name="Normal 3 2 2 2 3 3 2 3 4" xfId="16821" xr:uid="{00000000-0005-0000-0000-0000F0090000}"/>
    <cellStyle name="Normal 3 2 2 2 3 3 2 3 4 2" xfId="48692" xr:uid="{00000000-0005-0000-0000-0000F1090000}"/>
    <cellStyle name="Normal 3 2 2 2 3 3 2 3 5" xfId="32783" xr:uid="{00000000-0005-0000-0000-0000F2090000}"/>
    <cellStyle name="Normal 3 2 2 2 3 3 2 4" xfId="908" xr:uid="{00000000-0005-0000-0000-0000F3090000}"/>
    <cellStyle name="Normal 3 2 2 2 3 3 2 4 2" xfId="909" xr:uid="{00000000-0005-0000-0000-0000F4090000}"/>
    <cellStyle name="Normal 3 2 2 2 3 3 2 4 2 2" xfId="28635" xr:uid="{00000000-0005-0000-0000-0000F5090000}"/>
    <cellStyle name="Normal 3 2 2 2 3 3 2 4 2 2 2" xfId="60506" xr:uid="{00000000-0005-0000-0000-0000F6090000}"/>
    <cellStyle name="Normal 3 2 2 2 3 3 2 4 2 3" xfId="32788" xr:uid="{00000000-0005-0000-0000-0000F7090000}"/>
    <cellStyle name="Normal 3 2 2 2 3 3 2 4 3" xfId="20757" xr:uid="{00000000-0005-0000-0000-0000F8090000}"/>
    <cellStyle name="Normal 3 2 2 2 3 3 2 4 3 2" xfId="52628" xr:uid="{00000000-0005-0000-0000-0000F9090000}"/>
    <cellStyle name="Normal 3 2 2 2 3 3 2 4 4" xfId="32787" xr:uid="{00000000-0005-0000-0000-0000FA090000}"/>
    <cellStyle name="Normal 3 2 2 2 3 3 2 5" xfId="910" xr:uid="{00000000-0005-0000-0000-0000FB090000}"/>
    <cellStyle name="Normal 3 2 2 2 3 3 2 5 2" xfId="24696" xr:uid="{00000000-0005-0000-0000-0000FC090000}"/>
    <cellStyle name="Normal 3 2 2 2 3 3 2 5 2 2" xfId="56567" xr:uid="{00000000-0005-0000-0000-0000FD090000}"/>
    <cellStyle name="Normal 3 2 2 2 3 3 2 5 3" xfId="32789" xr:uid="{00000000-0005-0000-0000-0000FE090000}"/>
    <cellStyle name="Normal 3 2 2 2 3 3 2 6" xfId="16818" xr:uid="{00000000-0005-0000-0000-0000FF090000}"/>
    <cellStyle name="Normal 3 2 2 2 3 3 2 6 2" xfId="48689" xr:uid="{00000000-0005-0000-0000-0000000A0000}"/>
    <cellStyle name="Normal 3 2 2 2 3 3 2 7" xfId="32774" xr:uid="{00000000-0005-0000-0000-0000010A0000}"/>
    <cellStyle name="Normal 3 2 2 2 3 3 3" xfId="911" xr:uid="{00000000-0005-0000-0000-0000020A0000}"/>
    <cellStyle name="Normal 3 2 2 2 3 3 3 2" xfId="912" xr:uid="{00000000-0005-0000-0000-0000030A0000}"/>
    <cellStyle name="Normal 3 2 2 2 3 3 3 2 2" xfId="913" xr:uid="{00000000-0005-0000-0000-0000040A0000}"/>
    <cellStyle name="Normal 3 2 2 2 3 3 3 2 2 2" xfId="914" xr:uid="{00000000-0005-0000-0000-0000050A0000}"/>
    <cellStyle name="Normal 3 2 2 2 3 3 3 2 2 2 2" xfId="28640" xr:uid="{00000000-0005-0000-0000-0000060A0000}"/>
    <cellStyle name="Normal 3 2 2 2 3 3 3 2 2 2 2 2" xfId="60511" xr:uid="{00000000-0005-0000-0000-0000070A0000}"/>
    <cellStyle name="Normal 3 2 2 2 3 3 3 2 2 2 3" xfId="32793" xr:uid="{00000000-0005-0000-0000-0000080A0000}"/>
    <cellStyle name="Normal 3 2 2 2 3 3 3 2 2 3" xfId="20762" xr:uid="{00000000-0005-0000-0000-0000090A0000}"/>
    <cellStyle name="Normal 3 2 2 2 3 3 3 2 2 3 2" xfId="52633" xr:uid="{00000000-0005-0000-0000-00000A0A0000}"/>
    <cellStyle name="Normal 3 2 2 2 3 3 3 2 2 4" xfId="32792" xr:uid="{00000000-0005-0000-0000-00000B0A0000}"/>
    <cellStyle name="Normal 3 2 2 2 3 3 3 2 3" xfId="915" xr:uid="{00000000-0005-0000-0000-00000C0A0000}"/>
    <cellStyle name="Normal 3 2 2 2 3 3 3 2 3 2" xfId="24701" xr:uid="{00000000-0005-0000-0000-00000D0A0000}"/>
    <cellStyle name="Normal 3 2 2 2 3 3 3 2 3 2 2" xfId="56572" xr:uid="{00000000-0005-0000-0000-00000E0A0000}"/>
    <cellStyle name="Normal 3 2 2 2 3 3 3 2 3 3" xfId="32794" xr:uid="{00000000-0005-0000-0000-00000F0A0000}"/>
    <cellStyle name="Normal 3 2 2 2 3 3 3 2 4" xfId="16823" xr:uid="{00000000-0005-0000-0000-0000100A0000}"/>
    <cellStyle name="Normal 3 2 2 2 3 3 3 2 4 2" xfId="48694" xr:uid="{00000000-0005-0000-0000-0000110A0000}"/>
    <cellStyle name="Normal 3 2 2 2 3 3 3 2 5" xfId="32791" xr:uid="{00000000-0005-0000-0000-0000120A0000}"/>
    <cellStyle name="Normal 3 2 2 2 3 3 3 3" xfId="916" xr:uid="{00000000-0005-0000-0000-0000130A0000}"/>
    <cellStyle name="Normal 3 2 2 2 3 3 3 3 2" xfId="917" xr:uid="{00000000-0005-0000-0000-0000140A0000}"/>
    <cellStyle name="Normal 3 2 2 2 3 3 3 3 2 2" xfId="28639" xr:uid="{00000000-0005-0000-0000-0000150A0000}"/>
    <cellStyle name="Normal 3 2 2 2 3 3 3 3 2 2 2" xfId="60510" xr:uid="{00000000-0005-0000-0000-0000160A0000}"/>
    <cellStyle name="Normal 3 2 2 2 3 3 3 3 2 3" xfId="32796" xr:uid="{00000000-0005-0000-0000-0000170A0000}"/>
    <cellStyle name="Normal 3 2 2 2 3 3 3 3 3" xfId="20761" xr:uid="{00000000-0005-0000-0000-0000180A0000}"/>
    <cellStyle name="Normal 3 2 2 2 3 3 3 3 3 2" xfId="52632" xr:uid="{00000000-0005-0000-0000-0000190A0000}"/>
    <cellStyle name="Normal 3 2 2 2 3 3 3 3 4" xfId="32795" xr:uid="{00000000-0005-0000-0000-00001A0A0000}"/>
    <cellStyle name="Normal 3 2 2 2 3 3 3 4" xfId="918" xr:uid="{00000000-0005-0000-0000-00001B0A0000}"/>
    <cellStyle name="Normal 3 2 2 2 3 3 3 4 2" xfId="24700" xr:uid="{00000000-0005-0000-0000-00001C0A0000}"/>
    <cellStyle name="Normal 3 2 2 2 3 3 3 4 2 2" xfId="56571" xr:uid="{00000000-0005-0000-0000-00001D0A0000}"/>
    <cellStyle name="Normal 3 2 2 2 3 3 3 4 3" xfId="32797" xr:uid="{00000000-0005-0000-0000-00001E0A0000}"/>
    <cellStyle name="Normal 3 2 2 2 3 3 3 5" xfId="16822" xr:uid="{00000000-0005-0000-0000-00001F0A0000}"/>
    <cellStyle name="Normal 3 2 2 2 3 3 3 5 2" xfId="48693" xr:uid="{00000000-0005-0000-0000-0000200A0000}"/>
    <cellStyle name="Normal 3 2 2 2 3 3 3 6" xfId="32790" xr:uid="{00000000-0005-0000-0000-0000210A0000}"/>
    <cellStyle name="Normal 3 2 2 2 3 3 4" xfId="919" xr:uid="{00000000-0005-0000-0000-0000220A0000}"/>
    <cellStyle name="Normal 3 2 2 2 3 3 4 2" xfId="920" xr:uid="{00000000-0005-0000-0000-0000230A0000}"/>
    <cellStyle name="Normal 3 2 2 2 3 3 4 2 2" xfId="921" xr:uid="{00000000-0005-0000-0000-0000240A0000}"/>
    <cellStyle name="Normal 3 2 2 2 3 3 4 2 2 2" xfId="28641" xr:uid="{00000000-0005-0000-0000-0000250A0000}"/>
    <cellStyle name="Normal 3 2 2 2 3 3 4 2 2 2 2" xfId="60512" xr:uid="{00000000-0005-0000-0000-0000260A0000}"/>
    <cellStyle name="Normal 3 2 2 2 3 3 4 2 2 3" xfId="32800" xr:uid="{00000000-0005-0000-0000-0000270A0000}"/>
    <cellStyle name="Normal 3 2 2 2 3 3 4 2 3" xfId="20763" xr:uid="{00000000-0005-0000-0000-0000280A0000}"/>
    <cellStyle name="Normal 3 2 2 2 3 3 4 2 3 2" xfId="52634" xr:uid="{00000000-0005-0000-0000-0000290A0000}"/>
    <cellStyle name="Normal 3 2 2 2 3 3 4 2 4" xfId="32799" xr:uid="{00000000-0005-0000-0000-00002A0A0000}"/>
    <cellStyle name="Normal 3 2 2 2 3 3 4 3" xfId="922" xr:uid="{00000000-0005-0000-0000-00002B0A0000}"/>
    <cellStyle name="Normal 3 2 2 2 3 3 4 3 2" xfId="24702" xr:uid="{00000000-0005-0000-0000-00002C0A0000}"/>
    <cellStyle name="Normal 3 2 2 2 3 3 4 3 2 2" xfId="56573" xr:uid="{00000000-0005-0000-0000-00002D0A0000}"/>
    <cellStyle name="Normal 3 2 2 2 3 3 4 3 3" xfId="32801" xr:uid="{00000000-0005-0000-0000-00002E0A0000}"/>
    <cellStyle name="Normal 3 2 2 2 3 3 4 4" xfId="16824" xr:uid="{00000000-0005-0000-0000-00002F0A0000}"/>
    <cellStyle name="Normal 3 2 2 2 3 3 4 4 2" xfId="48695" xr:uid="{00000000-0005-0000-0000-0000300A0000}"/>
    <cellStyle name="Normal 3 2 2 2 3 3 4 5" xfId="32798" xr:uid="{00000000-0005-0000-0000-0000310A0000}"/>
    <cellStyle name="Normal 3 2 2 2 3 3 5" xfId="923" xr:uid="{00000000-0005-0000-0000-0000320A0000}"/>
    <cellStyle name="Normal 3 2 2 2 3 3 5 2" xfId="924" xr:uid="{00000000-0005-0000-0000-0000330A0000}"/>
    <cellStyle name="Normal 3 2 2 2 3 3 5 2 2" xfId="28634" xr:uid="{00000000-0005-0000-0000-0000340A0000}"/>
    <cellStyle name="Normal 3 2 2 2 3 3 5 2 2 2" xfId="60505" xr:uid="{00000000-0005-0000-0000-0000350A0000}"/>
    <cellStyle name="Normal 3 2 2 2 3 3 5 2 3" xfId="32803" xr:uid="{00000000-0005-0000-0000-0000360A0000}"/>
    <cellStyle name="Normal 3 2 2 2 3 3 5 3" xfId="20756" xr:uid="{00000000-0005-0000-0000-0000370A0000}"/>
    <cellStyle name="Normal 3 2 2 2 3 3 5 3 2" xfId="52627" xr:uid="{00000000-0005-0000-0000-0000380A0000}"/>
    <cellStyle name="Normal 3 2 2 2 3 3 5 4" xfId="32802" xr:uid="{00000000-0005-0000-0000-0000390A0000}"/>
    <cellStyle name="Normal 3 2 2 2 3 3 6" xfId="925" xr:uid="{00000000-0005-0000-0000-00003A0A0000}"/>
    <cellStyle name="Normal 3 2 2 2 3 3 6 2" xfId="24695" xr:uid="{00000000-0005-0000-0000-00003B0A0000}"/>
    <cellStyle name="Normal 3 2 2 2 3 3 6 2 2" xfId="56566" xr:uid="{00000000-0005-0000-0000-00003C0A0000}"/>
    <cellStyle name="Normal 3 2 2 2 3 3 6 3" xfId="32804" xr:uid="{00000000-0005-0000-0000-00003D0A0000}"/>
    <cellStyle name="Normal 3 2 2 2 3 3 7" xfId="16817" xr:uid="{00000000-0005-0000-0000-00003E0A0000}"/>
    <cellStyle name="Normal 3 2 2 2 3 3 7 2" xfId="48688" xr:uid="{00000000-0005-0000-0000-00003F0A0000}"/>
    <cellStyle name="Normal 3 2 2 2 3 3 8" xfId="32773" xr:uid="{00000000-0005-0000-0000-0000400A0000}"/>
    <cellStyle name="Normal 3 2 2 2 3 4" xfId="926" xr:uid="{00000000-0005-0000-0000-0000410A0000}"/>
    <cellStyle name="Normal 3 2 2 2 3 4 2" xfId="927" xr:uid="{00000000-0005-0000-0000-0000420A0000}"/>
    <cellStyle name="Normal 3 2 2 2 3 4 2 2" xfId="928" xr:uid="{00000000-0005-0000-0000-0000430A0000}"/>
    <cellStyle name="Normal 3 2 2 2 3 4 2 2 2" xfId="929" xr:uid="{00000000-0005-0000-0000-0000440A0000}"/>
    <cellStyle name="Normal 3 2 2 2 3 4 2 2 2 2" xfId="930" xr:uid="{00000000-0005-0000-0000-0000450A0000}"/>
    <cellStyle name="Normal 3 2 2 2 3 4 2 2 2 2 2" xfId="28644" xr:uid="{00000000-0005-0000-0000-0000460A0000}"/>
    <cellStyle name="Normal 3 2 2 2 3 4 2 2 2 2 2 2" xfId="60515" xr:uid="{00000000-0005-0000-0000-0000470A0000}"/>
    <cellStyle name="Normal 3 2 2 2 3 4 2 2 2 2 3" xfId="32809" xr:uid="{00000000-0005-0000-0000-0000480A0000}"/>
    <cellStyle name="Normal 3 2 2 2 3 4 2 2 2 3" xfId="20766" xr:uid="{00000000-0005-0000-0000-0000490A0000}"/>
    <cellStyle name="Normal 3 2 2 2 3 4 2 2 2 3 2" xfId="52637" xr:uid="{00000000-0005-0000-0000-00004A0A0000}"/>
    <cellStyle name="Normal 3 2 2 2 3 4 2 2 2 4" xfId="32808" xr:uid="{00000000-0005-0000-0000-00004B0A0000}"/>
    <cellStyle name="Normal 3 2 2 2 3 4 2 2 3" xfId="931" xr:uid="{00000000-0005-0000-0000-00004C0A0000}"/>
    <cellStyle name="Normal 3 2 2 2 3 4 2 2 3 2" xfId="24705" xr:uid="{00000000-0005-0000-0000-00004D0A0000}"/>
    <cellStyle name="Normal 3 2 2 2 3 4 2 2 3 2 2" xfId="56576" xr:uid="{00000000-0005-0000-0000-00004E0A0000}"/>
    <cellStyle name="Normal 3 2 2 2 3 4 2 2 3 3" xfId="32810" xr:uid="{00000000-0005-0000-0000-00004F0A0000}"/>
    <cellStyle name="Normal 3 2 2 2 3 4 2 2 4" xfId="16827" xr:uid="{00000000-0005-0000-0000-0000500A0000}"/>
    <cellStyle name="Normal 3 2 2 2 3 4 2 2 4 2" xfId="48698" xr:uid="{00000000-0005-0000-0000-0000510A0000}"/>
    <cellStyle name="Normal 3 2 2 2 3 4 2 2 5" xfId="32807" xr:uid="{00000000-0005-0000-0000-0000520A0000}"/>
    <cellStyle name="Normal 3 2 2 2 3 4 2 3" xfId="932" xr:uid="{00000000-0005-0000-0000-0000530A0000}"/>
    <cellStyle name="Normal 3 2 2 2 3 4 2 3 2" xfId="933" xr:uid="{00000000-0005-0000-0000-0000540A0000}"/>
    <cellStyle name="Normal 3 2 2 2 3 4 2 3 2 2" xfId="28643" xr:uid="{00000000-0005-0000-0000-0000550A0000}"/>
    <cellStyle name="Normal 3 2 2 2 3 4 2 3 2 2 2" xfId="60514" xr:uid="{00000000-0005-0000-0000-0000560A0000}"/>
    <cellStyle name="Normal 3 2 2 2 3 4 2 3 2 3" xfId="32812" xr:uid="{00000000-0005-0000-0000-0000570A0000}"/>
    <cellStyle name="Normal 3 2 2 2 3 4 2 3 3" xfId="20765" xr:uid="{00000000-0005-0000-0000-0000580A0000}"/>
    <cellStyle name="Normal 3 2 2 2 3 4 2 3 3 2" xfId="52636" xr:uid="{00000000-0005-0000-0000-0000590A0000}"/>
    <cellStyle name="Normal 3 2 2 2 3 4 2 3 4" xfId="32811" xr:uid="{00000000-0005-0000-0000-00005A0A0000}"/>
    <cellStyle name="Normal 3 2 2 2 3 4 2 4" xfId="934" xr:uid="{00000000-0005-0000-0000-00005B0A0000}"/>
    <cellStyle name="Normal 3 2 2 2 3 4 2 4 2" xfId="24704" xr:uid="{00000000-0005-0000-0000-00005C0A0000}"/>
    <cellStyle name="Normal 3 2 2 2 3 4 2 4 2 2" xfId="56575" xr:uid="{00000000-0005-0000-0000-00005D0A0000}"/>
    <cellStyle name="Normal 3 2 2 2 3 4 2 4 3" xfId="32813" xr:uid="{00000000-0005-0000-0000-00005E0A0000}"/>
    <cellStyle name="Normal 3 2 2 2 3 4 2 5" xfId="16826" xr:uid="{00000000-0005-0000-0000-00005F0A0000}"/>
    <cellStyle name="Normal 3 2 2 2 3 4 2 5 2" xfId="48697" xr:uid="{00000000-0005-0000-0000-0000600A0000}"/>
    <cellStyle name="Normal 3 2 2 2 3 4 2 6" xfId="32806" xr:uid="{00000000-0005-0000-0000-0000610A0000}"/>
    <cellStyle name="Normal 3 2 2 2 3 4 3" xfId="935" xr:uid="{00000000-0005-0000-0000-0000620A0000}"/>
    <cellStyle name="Normal 3 2 2 2 3 4 3 2" xfId="936" xr:uid="{00000000-0005-0000-0000-0000630A0000}"/>
    <cellStyle name="Normal 3 2 2 2 3 4 3 2 2" xfId="937" xr:uid="{00000000-0005-0000-0000-0000640A0000}"/>
    <cellStyle name="Normal 3 2 2 2 3 4 3 2 2 2" xfId="28645" xr:uid="{00000000-0005-0000-0000-0000650A0000}"/>
    <cellStyle name="Normal 3 2 2 2 3 4 3 2 2 2 2" xfId="60516" xr:uid="{00000000-0005-0000-0000-0000660A0000}"/>
    <cellStyle name="Normal 3 2 2 2 3 4 3 2 2 3" xfId="32816" xr:uid="{00000000-0005-0000-0000-0000670A0000}"/>
    <cellStyle name="Normal 3 2 2 2 3 4 3 2 3" xfId="20767" xr:uid="{00000000-0005-0000-0000-0000680A0000}"/>
    <cellStyle name="Normal 3 2 2 2 3 4 3 2 3 2" xfId="52638" xr:uid="{00000000-0005-0000-0000-0000690A0000}"/>
    <cellStyle name="Normal 3 2 2 2 3 4 3 2 4" xfId="32815" xr:uid="{00000000-0005-0000-0000-00006A0A0000}"/>
    <cellStyle name="Normal 3 2 2 2 3 4 3 3" xfId="938" xr:uid="{00000000-0005-0000-0000-00006B0A0000}"/>
    <cellStyle name="Normal 3 2 2 2 3 4 3 3 2" xfId="24706" xr:uid="{00000000-0005-0000-0000-00006C0A0000}"/>
    <cellStyle name="Normal 3 2 2 2 3 4 3 3 2 2" xfId="56577" xr:uid="{00000000-0005-0000-0000-00006D0A0000}"/>
    <cellStyle name="Normal 3 2 2 2 3 4 3 3 3" xfId="32817" xr:uid="{00000000-0005-0000-0000-00006E0A0000}"/>
    <cellStyle name="Normal 3 2 2 2 3 4 3 4" xfId="16828" xr:uid="{00000000-0005-0000-0000-00006F0A0000}"/>
    <cellStyle name="Normal 3 2 2 2 3 4 3 4 2" xfId="48699" xr:uid="{00000000-0005-0000-0000-0000700A0000}"/>
    <cellStyle name="Normal 3 2 2 2 3 4 3 5" xfId="32814" xr:uid="{00000000-0005-0000-0000-0000710A0000}"/>
    <cellStyle name="Normal 3 2 2 2 3 4 4" xfId="939" xr:uid="{00000000-0005-0000-0000-0000720A0000}"/>
    <cellStyle name="Normal 3 2 2 2 3 4 4 2" xfId="940" xr:uid="{00000000-0005-0000-0000-0000730A0000}"/>
    <cellStyle name="Normal 3 2 2 2 3 4 4 2 2" xfId="28642" xr:uid="{00000000-0005-0000-0000-0000740A0000}"/>
    <cellStyle name="Normal 3 2 2 2 3 4 4 2 2 2" xfId="60513" xr:uid="{00000000-0005-0000-0000-0000750A0000}"/>
    <cellStyle name="Normal 3 2 2 2 3 4 4 2 3" xfId="32819" xr:uid="{00000000-0005-0000-0000-0000760A0000}"/>
    <cellStyle name="Normal 3 2 2 2 3 4 4 3" xfId="20764" xr:uid="{00000000-0005-0000-0000-0000770A0000}"/>
    <cellStyle name="Normal 3 2 2 2 3 4 4 3 2" xfId="52635" xr:uid="{00000000-0005-0000-0000-0000780A0000}"/>
    <cellStyle name="Normal 3 2 2 2 3 4 4 4" xfId="32818" xr:uid="{00000000-0005-0000-0000-0000790A0000}"/>
    <cellStyle name="Normal 3 2 2 2 3 4 5" xfId="941" xr:uid="{00000000-0005-0000-0000-00007A0A0000}"/>
    <cellStyle name="Normal 3 2 2 2 3 4 5 2" xfId="24703" xr:uid="{00000000-0005-0000-0000-00007B0A0000}"/>
    <cellStyle name="Normal 3 2 2 2 3 4 5 2 2" xfId="56574" xr:uid="{00000000-0005-0000-0000-00007C0A0000}"/>
    <cellStyle name="Normal 3 2 2 2 3 4 5 3" xfId="32820" xr:uid="{00000000-0005-0000-0000-00007D0A0000}"/>
    <cellStyle name="Normal 3 2 2 2 3 4 6" xfId="16825" xr:uid="{00000000-0005-0000-0000-00007E0A0000}"/>
    <cellStyle name="Normal 3 2 2 2 3 4 6 2" xfId="48696" xr:uid="{00000000-0005-0000-0000-00007F0A0000}"/>
    <cellStyle name="Normal 3 2 2 2 3 4 7" xfId="32805" xr:uid="{00000000-0005-0000-0000-0000800A0000}"/>
    <cellStyle name="Normal 3 2 2 2 3 5" xfId="942" xr:uid="{00000000-0005-0000-0000-0000810A0000}"/>
    <cellStyle name="Normal 3 2 2 2 3 5 2" xfId="943" xr:uid="{00000000-0005-0000-0000-0000820A0000}"/>
    <cellStyle name="Normal 3 2 2 2 3 5 2 2" xfId="944" xr:uid="{00000000-0005-0000-0000-0000830A0000}"/>
    <cellStyle name="Normal 3 2 2 2 3 5 2 2 2" xfId="945" xr:uid="{00000000-0005-0000-0000-0000840A0000}"/>
    <cellStyle name="Normal 3 2 2 2 3 5 2 2 2 2" xfId="28647" xr:uid="{00000000-0005-0000-0000-0000850A0000}"/>
    <cellStyle name="Normal 3 2 2 2 3 5 2 2 2 2 2" xfId="60518" xr:uid="{00000000-0005-0000-0000-0000860A0000}"/>
    <cellStyle name="Normal 3 2 2 2 3 5 2 2 2 3" xfId="32824" xr:uid="{00000000-0005-0000-0000-0000870A0000}"/>
    <cellStyle name="Normal 3 2 2 2 3 5 2 2 3" xfId="20769" xr:uid="{00000000-0005-0000-0000-0000880A0000}"/>
    <cellStyle name="Normal 3 2 2 2 3 5 2 2 3 2" xfId="52640" xr:uid="{00000000-0005-0000-0000-0000890A0000}"/>
    <cellStyle name="Normal 3 2 2 2 3 5 2 2 4" xfId="32823" xr:uid="{00000000-0005-0000-0000-00008A0A0000}"/>
    <cellStyle name="Normal 3 2 2 2 3 5 2 3" xfId="946" xr:uid="{00000000-0005-0000-0000-00008B0A0000}"/>
    <cellStyle name="Normal 3 2 2 2 3 5 2 3 2" xfId="24708" xr:uid="{00000000-0005-0000-0000-00008C0A0000}"/>
    <cellStyle name="Normal 3 2 2 2 3 5 2 3 2 2" xfId="56579" xr:uid="{00000000-0005-0000-0000-00008D0A0000}"/>
    <cellStyle name="Normal 3 2 2 2 3 5 2 3 3" xfId="32825" xr:uid="{00000000-0005-0000-0000-00008E0A0000}"/>
    <cellStyle name="Normal 3 2 2 2 3 5 2 4" xfId="16830" xr:uid="{00000000-0005-0000-0000-00008F0A0000}"/>
    <cellStyle name="Normal 3 2 2 2 3 5 2 4 2" xfId="48701" xr:uid="{00000000-0005-0000-0000-0000900A0000}"/>
    <cellStyle name="Normal 3 2 2 2 3 5 2 5" xfId="32822" xr:uid="{00000000-0005-0000-0000-0000910A0000}"/>
    <cellStyle name="Normal 3 2 2 2 3 5 3" xfId="947" xr:uid="{00000000-0005-0000-0000-0000920A0000}"/>
    <cellStyle name="Normal 3 2 2 2 3 5 3 2" xfId="948" xr:uid="{00000000-0005-0000-0000-0000930A0000}"/>
    <cellStyle name="Normal 3 2 2 2 3 5 3 2 2" xfId="28646" xr:uid="{00000000-0005-0000-0000-0000940A0000}"/>
    <cellStyle name="Normal 3 2 2 2 3 5 3 2 2 2" xfId="60517" xr:uid="{00000000-0005-0000-0000-0000950A0000}"/>
    <cellStyle name="Normal 3 2 2 2 3 5 3 2 3" xfId="32827" xr:uid="{00000000-0005-0000-0000-0000960A0000}"/>
    <cellStyle name="Normal 3 2 2 2 3 5 3 3" xfId="20768" xr:uid="{00000000-0005-0000-0000-0000970A0000}"/>
    <cellStyle name="Normal 3 2 2 2 3 5 3 3 2" xfId="52639" xr:uid="{00000000-0005-0000-0000-0000980A0000}"/>
    <cellStyle name="Normal 3 2 2 2 3 5 3 4" xfId="32826" xr:uid="{00000000-0005-0000-0000-0000990A0000}"/>
    <cellStyle name="Normal 3 2 2 2 3 5 4" xfId="949" xr:uid="{00000000-0005-0000-0000-00009A0A0000}"/>
    <cellStyle name="Normal 3 2 2 2 3 5 4 2" xfId="24707" xr:uid="{00000000-0005-0000-0000-00009B0A0000}"/>
    <cellStyle name="Normal 3 2 2 2 3 5 4 2 2" xfId="56578" xr:uid="{00000000-0005-0000-0000-00009C0A0000}"/>
    <cellStyle name="Normal 3 2 2 2 3 5 4 3" xfId="32828" xr:uid="{00000000-0005-0000-0000-00009D0A0000}"/>
    <cellStyle name="Normal 3 2 2 2 3 5 5" xfId="16829" xr:uid="{00000000-0005-0000-0000-00009E0A0000}"/>
    <cellStyle name="Normal 3 2 2 2 3 5 5 2" xfId="48700" xr:uid="{00000000-0005-0000-0000-00009F0A0000}"/>
    <cellStyle name="Normal 3 2 2 2 3 5 6" xfId="32821" xr:uid="{00000000-0005-0000-0000-0000A00A0000}"/>
    <cellStyle name="Normal 3 2 2 2 3 6" xfId="950" xr:uid="{00000000-0005-0000-0000-0000A10A0000}"/>
    <cellStyle name="Normal 3 2 2 2 3 6 2" xfId="951" xr:uid="{00000000-0005-0000-0000-0000A20A0000}"/>
    <cellStyle name="Normal 3 2 2 2 3 6 2 2" xfId="952" xr:uid="{00000000-0005-0000-0000-0000A30A0000}"/>
    <cellStyle name="Normal 3 2 2 2 3 6 2 2 2" xfId="28648" xr:uid="{00000000-0005-0000-0000-0000A40A0000}"/>
    <cellStyle name="Normal 3 2 2 2 3 6 2 2 2 2" xfId="60519" xr:uid="{00000000-0005-0000-0000-0000A50A0000}"/>
    <cellStyle name="Normal 3 2 2 2 3 6 2 2 3" xfId="32831" xr:uid="{00000000-0005-0000-0000-0000A60A0000}"/>
    <cellStyle name="Normal 3 2 2 2 3 6 2 3" xfId="20770" xr:uid="{00000000-0005-0000-0000-0000A70A0000}"/>
    <cellStyle name="Normal 3 2 2 2 3 6 2 3 2" xfId="52641" xr:uid="{00000000-0005-0000-0000-0000A80A0000}"/>
    <cellStyle name="Normal 3 2 2 2 3 6 2 4" xfId="32830" xr:uid="{00000000-0005-0000-0000-0000A90A0000}"/>
    <cellStyle name="Normal 3 2 2 2 3 6 3" xfId="953" xr:uid="{00000000-0005-0000-0000-0000AA0A0000}"/>
    <cellStyle name="Normal 3 2 2 2 3 6 3 2" xfId="24709" xr:uid="{00000000-0005-0000-0000-0000AB0A0000}"/>
    <cellStyle name="Normal 3 2 2 2 3 6 3 2 2" xfId="56580" xr:uid="{00000000-0005-0000-0000-0000AC0A0000}"/>
    <cellStyle name="Normal 3 2 2 2 3 6 3 3" xfId="32832" xr:uid="{00000000-0005-0000-0000-0000AD0A0000}"/>
    <cellStyle name="Normal 3 2 2 2 3 6 4" xfId="16831" xr:uid="{00000000-0005-0000-0000-0000AE0A0000}"/>
    <cellStyle name="Normal 3 2 2 2 3 6 4 2" xfId="48702" xr:uid="{00000000-0005-0000-0000-0000AF0A0000}"/>
    <cellStyle name="Normal 3 2 2 2 3 6 5" xfId="32829" xr:uid="{00000000-0005-0000-0000-0000B00A0000}"/>
    <cellStyle name="Normal 3 2 2 2 3 7" xfId="954" xr:uid="{00000000-0005-0000-0000-0000B10A0000}"/>
    <cellStyle name="Normal 3 2 2 2 3 7 2" xfId="955" xr:uid="{00000000-0005-0000-0000-0000B20A0000}"/>
    <cellStyle name="Normal 3 2 2 2 3 7 2 2" xfId="28312" xr:uid="{00000000-0005-0000-0000-0000B30A0000}"/>
    <cellStyle name="Normal 3 2 2 2 3 7 2 2 2" xfId="60183" xr:uid="{00000000-0005-0000-0000-0000B40A0000}"/>
    <cellStyle name="Normal 3 2 2 2 3 7 2 3" xfId="32834" xr:uid="{00000000-0005-0000-0000-0000B50A0000}"/>
    <cellStyle name="Normal 3 2 2 2 3 7 3" xfId="20434" xr:uid="{00000000-0005-0000-0000-0000B60A0000}"/>
    <cellStyle name="Normal 3 2 2 2 3 7 3 2" xfId="52305" xr:uid="{00000000-0005-0000-0000-0000B70A0000}"/>
    <cellStyle name="Normal 3 2 2 2 3 7 4" xfId="32833" xr:uid="{00000000-0005-0000-0000-0000B80A0000}"/>
    <cellStyle name="Normal 3 2 2 2 3 8" xfId="956" xr:uid="{00000000-0005-0000-0000-0000B90A0000}"/>
    <cellStyle name="Normal 3 2 2 2 3 8 2" xfId="24373" xr:uid="{00000000-0005-0000-0000-0000BA0A0000}"/>
    <cellStyle name="Normal 3 2 2 2 3 8 2 2" xfId="56244" xr:uid="{00000000-0005-0000-0000-0000BB0A0000}"/>
    <cellStyle name="Normal 3 2 2 2 3 8 3" xfId="32835" xr:uid="{00000000-0005-0000-0000-0000BC0A0000}"/>
    <cellStyle name="Normal 3 2 2 2 3 9" xfId="16495" xr:uid="{00000000-0005-0000-0000-0000BD0A0000}"/>
    <cellStyle name="Normal 3 2 2 2 3 9 2" xfId="48366" xr:uid="{00000000-0005-0000-0000-0000BE0A0000}"/>
    <cellStyle name="Normal 3 2 2 2 4" xfId="957" xr:uid="{00000000-0005-0000-0000-0000BF0A0000}"/>
    <cellStyle name="Normal 3 2 2 2 4 10" xfId="32836" xr:uid="{00000000-0005-0000-0000-0000C00A0000}"/>
    <cellStyle name="Normal 3 2 2 2 4 2" xfId="958" xr:uid="{00000000-0005-0000-0000-0000C10A0000}"/>
    <cellStyle name="Normal 3 2 2 2 4 2 2" xfId="959" xr:uid="{00000000-0005-0000-0000-0000C20A0000}"/>
    <cellStyle name="Normal 3 2 2 2 4 2 2 2" xfId="960" xr:uid="{00000000-0005-0000-0000-0000C30A0000}"/>
    <cellStyle name="Normal 3 2 2 2 4 2 2 2 2" xfId="961" xr:uid="{00000000-0005-0000-0000-0000C40A0000}"/>
    <cellStyle name="Normal 3 2 2 2 4 2 2 2 2 2" xfId="962" xr:uid="{00000000-0005-0000-0000-0000C50A0000}"/>
    <cellStyle name="Normal 3 2 2 2 4 2 2 2 2 2 2" xfId="963" xr:uid="{00000000-0005-0000-0000-0000C60A0000}"/>
    <cellStyle name="Normal 3 2 2 2 4 2 2 2 2 2 2 2" xfId="964" xr:uid="{00000000-0005-0000-0000-0000C70A0000}"/>
    <cellStyle name="Normal 3 2 2 2 4 2 2 2 2 2 2 2 2" xfId="28652" xr:uid="{00000000-0005-0000-0000-0000C80A0000}"/>
    <cellStyle name="Normal 3 2 2 2 4 2 2 2 2 2 2 2 2 2" xfId="60523" xr:uid="{00000000-0005-0000-0000-0000C90A0000}"/>
    <cellStyle name="Normal 3 2 2 2 4 2 2 2 2 2 2 2 3" xfId="32843" xr:uid="{00000000-0005-0000-0000-0000CA0A0000}"/>
    <cellStyle name="Normal 3 2 2 2 4 2 2 2 2 2 2 3" xfId="20774" xr:uid="{00000000-0005-0000-0000-0000CB0A0000}"/>
    <cellStyle name="Normal 3 2 2 2 4 2 2 2 2 2 2 3 2" xfId="52645" xr:uid="{00000000-0005-0000-0000-0000CC0A0000}"/>
    <cellStyle name="Normal 3 2 2 2 4 2 2 2 2 2 2 4" xfId="32842" xr:uid="{00000000-0005-0000-0000-0000CD0A0000}"/>
    <cellStyle name="Normal 3 2 2 2 4 2 2 2 2 2 3" xfId="965" xr:uid="{00000000-0005-0000-0000-0000CE0A0000}"/>
    <cellStyle name="Normal 3 2 2 2 4 2 2 2 2 2 3 2" xfId="24713" xr:uid="{00000000-0005-0000-0000-0000CF0A0000}"/>
    <cellStyle name="Normal 3 2 2 2 4 2 2 2 2 2 3 2 2" xfId="56584" xr:uid="{00000000-0005-0000-0000-0000D00A0000}"/>
    <cellStyle name="Normal 3 2 2 2 4 2 2 2 2 2 3 3" xfId="32844" xr:uid="{00000000-0005-0000-0000-0000D10A0000}"/>
    <cellStyle name="Normal 3 2 2 2 4 2 2 2 2 2 4" xfId="16835" xr:uid="{00000000-0005-0000-0000-0000D20A0000}"/>
    <cellStyle name="Normal 3 2 2 2 4 2 2 2 2 2 4 2" xfId="48706" xr:uid="{00000000-0005-0000-0000-0000D30A0000}"/>
    <cellStyle name="Normal 3 2 2 2 4 2 2 2 2 2 5" xfId="32841" xr:uid="{00000000-0005-0000-0000-0000D40A0000}"/>
    <cellStyle name="Normal 3 2 2 2 4 2 2 2 2 3" xfId="966" xr:uid="{00000000-0005-0000-0000-0000D50A0000}"/>
    <cellStyle name="Normal 3 2 2 2 4 2 2 2 2 3 2" xfId="967" xr:uid="{00000000-0005-0000-0000-0000D60A0000}"/>
    <cellStyle name="Normal 3 2 2 2 4 2 2 2 2 3 2 2" xfId="28651" xr:uid="{00000000-0005-0000-0000-0000D70A0000}"/>
    <cellStyle name="Normal 3 2 2 2 4 2 2 2 2 3 2 2 2" xfId="60522" xr:uid="{00000000-0005-0000-0000-0000D80A0000}"/>
    <cellStyle name="Normal 3 2 2 2 4 2 2 2 2 3 2 3" xfId="32846" xr:uid="{00000000-0005-0000-0000-0000D90A0000}"/>
    <cellStyle name="Normal 3 2 2 2 4 2 2 2 2 3 3" xfId="20773" xr:uid="{00000000-0005-0000-0000-0000DA0A0000}"/>
    <cellStyle name="Normal 3 2 2 2 4 2 2 2 2 3 3 2" xfId="52644" xr:uid="{00000000-0005-0000-0000-0000DB0A0000}"/>
    <cellStyle name="Normal 3 2 2 2 4 2 2 2 2 3 4" xfId="32845" xr:uid="{00000000-0005-0000-0000-0000DC0A0000}"/>
    <cellStyle name="Normal 3 2 2 2 4 2 2 2 2 4" xfId="968" xr:uid="{00000000-0005-0000-0000-0000DD0A0000}"/>
    <cellStyle name="Normal 3 2 2 2 4 2 2 2 2 4 2" xfId="24712" xr:uid="{00000000-0005-0000-0000-0000DE0A0000}"/>
    <cellStyle name="Normal 3 2 2 2 4 2 2 2 2 4 2 2" xfId="56583" xr:uid="{00000000-0005-0000-0000-0000DF0A0000}"/>
    <cellStyle name="Normal 3 2 2 2 4 2 2 2 2 4 3" xfId="32847" xr:uid="{00000000-0005-0000-0000-0000E00A0000}"/>
    <cellStyle name="Normal 3 2 2 2 4 2 2 2 2 5" xfId="16834" xr:uid="{00000000-0005-0000-0000-0000E10A0000}"/>
    <cellStyle name="Normal 3 2 2 2 4 2 2 2 2 5 2" xfId="48705" xr:uid="{00000000-0005-0000-0000-0000E20A0000}"/>
    <cellStyle name="Normal 3 2 2 2 4 2 2 2 2 6" xfId="32840" xr:uid="{00000000-0005-0000-0000-0000E30A0000}"/>
    <cellStyle name="Normal 3 2 2 2 4 2 2 2 3" xfId="969" xr:uid="{00000000-0005-0000-0000-0000E40A0000}"/>
    <cellStyle name="Normal 3 2 2 2 4 2 2 2 3 2" xfId="970" xr:uid="{00000000-0005-0000-0000-0000E50A0000}"/>
    <cellStyle name="Normal 3 2 2 2 4 2 2 2 3 2 2" xfId="971" xr:uid="{00000000-0005-0000-0000-0000E60A0000}"/>
    <cellStyle name="Normal 3 2 2 2 4 2 2 2 3 2 2 2" xfId="28653" xr:uid="{00000000-0005-0000-0000-0000E70A0000}"/>
    <cellStyle name="Normal 3 2 2 2 4 2 2 2 3 2 2 2 2" xfId="60524" xr:uid="{00000000-0005-0000-0000-0000E80A0000}"/>
    <cellStyle name="Normal 3 2 2 2 4 2 2 2 3 2 2 3" xfId="32850" xr:uid="{00000000-0005-0000-0000-0000E90A0000}"/>
    <cellStyle name="Normal 3 2 2 2 4 2 2 2 3 2 3" xfId="20775" xr:uid="{00000000-0005-0000-0000-0000EA0A0000}"/>
    <cellStyle name="Normal 3 2 2 2 4 2 2 2 3 2 3 2" xfId="52646" xr:uid="{00000000-0005-0000-0000-0000EB0A0000}"/>
    <cellStyle name="Normal 3 2 2 2 4 2 2 2 3 2 4" xfId="32849" xr:uid="{00000000-0005-0000-0000-0000EC0A0000}"/>
    <cellStyle name="Normal 3 2 2 2 4 2 2 2 3 3" xfId="972" xr:uid="{00000000-0005-0000-0000-0000ED0A0000}"/>
    <cellStyle name="Normal 3 2 2 2 4 2 2 2 3 3 2" xfId="24714" xr:uid="{00000000-0005-0000-0000-0000EE0A0000}"/>
    <cellStyle name="Normal 3 2 2 2 4 2 2 2 3 3 2 2" xfId="56585" xr:uid="{00000000-0005-0000-0000-0000EF0A0000}"/>
    <cellStyle name="Normal 3 2 2 2 4 2 2 2 3 3 3" xfId="32851" xr:uid="{00000000-0005-0000-0000-0000F00A0000}"/>
    <cellStyle name="Normal 3 2 2 2 4 2 2 2 3 4" xfId="16836" xr:uid="{00000000-0005-0000-0000-0000F10A0000}"/>
    <cellStyle name="Normal 3 2 2 2 4 2 2 2 3 4 2" xfId="48707" xr:uid="{00000000-0005-0000-0000-0000F20A0000}"/>
    <cellStyle name="Normal 3 2 2 2 4 2 2 2 3 5" xfId="32848" xr:uid="{00000000-0005-0000-0000-0000F30A0000}"/>
    <cellStyle name="Normal 3 2 2 2 4 2 2 2 4" xfId="973" xr:uid="{00000000-0005-0000-0000-0000F40A0000}"/>
    <cellStyle name="Normal 3 2 2 2 4 2 2 2 4 2" xfId="974" xr:uid="{00000000-0005-0000-0000-0000F50A0000}"/>
    <cellStyle name="Normal 3 2 2 2 4 2 2 2 4 2 2" xfId="28650" xr:uid="{00000000-0005-0000-0000-0000F60A0000}"/>
    <cellStyle name="Normal 3 2 2 2 4 2 2 2 4 2 2 2" xfId="60521" xr:uid="{00000000-0005-0000-0000-0000F70A0000}"/>
    <cellStyle name="Normal 3 2 2 2 4 2 2 2 4 2 3" xfId="32853" xr:uid="{00000000-0005-0000-0000-0000F80A0000}"/>
    <cellStyle name="Normal 3 2 2 2 4 2 2 2 4 3" xfId="20772" xr:uid="{00000000-0005-0000-0000-0000F90A0000}"/>
    <cellStyle name="Normal 3 2 2 2 4 2 2 2 4 3 2" xfId="52643" xr:uid="{00000000-0005-0000-0000-0000FA0A0000}"/>
    <cellStyle name="Normal 3 2 2 2 4 2 2 2 4 4" xfId="32852" xr:uid="{00000000-0005-0000-0000-0000FB0A0000}"/>
    <cellStyle name="Normal 3 2 2 2 4 2 2 2 5" xfId="975" xr:uid="{00000000-0005-0000-0000-0000FC0A0000}"/>
    <cellStyle name="Normal 3 2 2 2 4 2 2 2 5 2" xfId="24711" xr:uid="{00000000-0005-0000-0000-0000FD0A0000}"/>
    <cellStyle name="Normal 3 2 2 2 4 2 2 2 5 2 2" xfId="56582" xr:uid="{00000000-0005-0000-0000-0000FE0A0000}"/>
    <cellStyle name="Normal 3 2 2 2 4 2 2 2 5 3" xfId="32854" xr:uid="{00000000-0005-0000-0000-0000FF0A0000}"/>
    <cellStyle name="Normal 3 2 2 2 4 2 2 2 6" xfId="16833" xr:uid="{00000000-0005-0000-0000-0000000B0000}"/>
    <cellStyle name="Normal 3 2 2 2 4 2 2 2 6 2" xfId="48704" xr:uid="{00000000-0005-0000-0000-0000010B0000}"/>
    <cellStyle name="Normal 3 2 2 2 4 2 2 2 7" xfId="32839" xr:uid="{00000000-0005-0000-0000-0000020B0000}"/>
    <cellStyle name="Normal 3 2 2 2 4 2 2 3" xfId="976" xr:uid="{00000000-0005-0000-0000-0000030B0000}"/>
    <cellStyle name="Normal 3 2 2 2 4 2 2 3 2" xfId="977" xr:uid="{00000000-0005-0000-0000-0000040B0000}"/>
    <cellStyle name="Normal 3 2 2 2 4 2 2 3 2 2" xfId="978" xr:uid="{00000000-0005-0000-0000-0000050B0000}"/>
    <cellStyle name="Normal 3 2 2 2 4 2 2 3 2 2 2" xfId="979" xr:uid="{00000000-0005-0000-0000-0000060B0000}"/>
    <cellStyle name="Normal 3 2 2 2 4 2 2 3 2 2 2 2" xfId="28655" xr:uid="{00000000-0005-0000-0000-0000070B0000}"/>
    <cellStyle name="Normal 3 2 2 2 4 2 2 3 2 2 2 2 2" xfId="60526" xr:uid="{00000000-0005-0000-0000-0000080B0000}"/>
    <cellStyle name="Normal 3 2 2 2 4 2 2 3 2 2 2 3" xfId="32858" xr:uid="{00000000-0005-0000-0000-0000090B0000}"/>
    <cellStyle name="Normal 3 2 2 2 4 2 2 3 2 2 3" xfId="20777" xr:uid="{00000000-0005-0000-0000-00000A0B0000}"/>
    <cellStyle name="Normal 3 2 2 2 4 2 2 3 2 2 3 2" xfId="52648" xr:uid="{00000000-0005-0000-0000-00000B0B0000}"/>
    <cellStyle name="Normal 3 2 2 2 4 2 2 3 2 2 4" xfId="32857" xr:uid="{00000000-0005-0000-0000-00000C0B0000}"/>
    <cellStyle name="Normal 3 2 2 2 4 2 2 3 2 3" xfId="980" xr:uid="{00000000-0005-0000-0000-00000D0B0000}"/>
    <cellStyle name="Normal 3 2 2 2 4 2 2 3 2 3 2" xfId="24716" xr:uid="{00000000-0005-0000-0000-00000E0B0000}"/>
    <cellStyle name="Normal 3 2 2 2 4 2 2 3 2 3 2 2" xfId="56587" xr:uid="{00000000-0005-0000-0000-00000F0B0000}"/>
    <cellStyle name="Normal 3 2 2 2 4 2 2 3 2 3 3" xfId="32859" xr:uid="{00000000-0005-0000-0000-0000100B0000}"/>
    <cellStyle name="Normal 3 2 2 2 4 2 2 3 2 4" xfId="16838" xr:uid="{00000000-0005-0000-0000-0000110B0000}"/>
    <cellStyle name="Normal 3 2 2 2 4 2 2 3 2 4 2" xfId="48709" xr:uid="{00000000-0005-0000-0000-0000120B0000}"/>
    <cellStyle name="Normal 3 2 2 2 4 2 2 3 2 5" xfId="32856" xr:uid="{00000000-0005-0000-0000-0000130B0000}"/>
    <cellStyle name="Normal 3 2 2 2 4 2 2 3 3" xfId="981" xr:uid="{00000000-0005-0000-0000-0000140B0000}"/>
    <cellStyle name="Normal 3 2 2 2 4 2 2 3 3 2" xfId="982" xr:uid="{00000000-0005-0000-0000-0000150B0000}"/>
    <cellStyle name="Normal 3 2 2 2 4 2 2 3 3 2 2" xfId="28654" xr:uid="{00000000-0005-0000-0000-0000160B0000}"/>
    <cellStyle name="Normal 3 2 2 2 4 2 2 3 3 2 2 2" xfId="60525" xr:uid="{00000000-0005-0000-0000-0000170B0000}"/>
    <cellStyle name="Normal 3 2 2 2 4 2 2 3 3 2 3" xfId="32861" xr:uid="{00000000-0005-0000-0000-0000180B0000}"/>
    <cellStyle name="Normal 3 2 2 2 4 2 2 3 3 3" xfId="20776" xr:uid="{00000000-0005-0000-0000-0000190B0000}"/>
    <cellStyle name="Normal 3 2 2 2 4 2 2 3 3 3 2" xfId="52647" xr:uid="{00000000-0005-0000-0000-00001A0B0000}"/>
    <cellStyle name="Normal 3 2 2 2 4 2 2 3 3 4" xfId="32860" xr:uid="{00000000-0005-0000-0000-00001B0B0000}"/>
    <cellStyle name="Normal 3 2 2 2 4 2 2 3 4" xfId="983" xr:uid="{00000000-0005-0000-0000-00001C0B0000}"/>
    <cellStyle name="Normal 3 2 2 2 4 2 2 3 4 2" xfId="24715" xr:uid="{00000000-0005-0000-0000-00001D0B0000}"/>
    <cellStyle name="Normal 3 2 2 2 4 2 2 3 4 2 2" xfId="56586" xr:uid="{00000000-0005-0000-0000-00001E0B0000}"/>
    <cellStyle name="Normal 3 2 2 2 4 2 2 3 4 3" xfId="32862" xr:uid="{00000000-0005-0000-0000-00001F0B0000}"/>
    <cellStyle name="Normal 3 2 2 2 4 2 2 3 5" xfId="16837" xr:uid="{00000000-0005-0000-0000-0000200B0000}"/>
    <cellStyle name="Normal 3 2 2 2 4 2 2 3 5 2" xfId="48708" xr:uid="{00000000-0005-0000-0000-0000210B0000}"/>
    <cellStyle name="Normal 3 2 2 2 4 2 2 3 6" xfId="32855" xr:uid="{00000000-0005-0000-0000-0000220B0000}"/>
    <cellStyle name="Normal 3 2 2 2 4 2 2 4" xfId="984" xr:uid="{00000000-0005-0000-0000-0000230B0000}"/>
    <cellStyle name="Normal 3 2 2 2 4 2 2 4 2" xfId="985" xr:uid="{00000000-0005-0000-0000-0000240B0000}"/>
    <cellStyle name="Normal 3 2 2 2 4 2 2 4 2 2" xfId="986" xr:uid="{00000000-0005-0000-0000-0000250B0000}"/>
    <cellStyle name="Normal 3 2 2 2 4 2 2 4 2 2 2" xfId="28656" xr:uid="{00000000-0005-0000-0000-0000260B0000}"/>
    <cellStyle name="Normal 3 2 2 2 4 2 2 4 2 2 2 2" xfId="60527" xr:uid="{00000000-0005-0000-0000-0000270B0000}"/>
    <cellStyle name="Normal 3 2 2 2 4 2 2 4 2 2 3" xfId="32865" xr:uid="{00000000-0005-0000-0000-0000280B0000}"/>
    <cellStyle name="Normal 3 2 2 2 4 2 2 4 2 3" xfId="20778" xr:uid="{00000000-0005-0000-0000-0000290B0000}"/>
    <cellStyle name="Normal 3 2 2 2 4 2 2 4 2 3 2" xfId="52649" xr:uid="{00000000-0005-0000-0000-00002A0B0000}"/>
    <cellStyle name="Normal 3 2 2 2 4 2 2 4 2 4" xfId="32864" xr:uid="{00000000-0005-0000-0000-00002B0B0000}"/>
    <cellStyle name="Normal 3 2 2 2 4 2 2 4 3" xfId="987" xr:uid="{00000000-0005-0000-0000-00002C0B0000}"/>
    <cellStyle name="Normal 3 2 2 2 4 2 2 4 3 2" xfId="24717" xr:uid="{00000000-0005-0000-0000-00002D0B0000}"/>
    <cellStyle name="Normal 3 2 2 2 4 2 2 4 3 2 2" xfId="56588" xr:uid="{00000000-0005-0000-0000-00002E0B0000}"/>
    <cellStyle name="Normal 3 2 2 2 4 2 2 4 3 3" xfId="32866" xr:uid="{00000000-0005-0000-0000-00002F0B0000}"/>
    <cellStyle name="Normal 3 2 2 2 4 2 2 4 4" xfId="16839" xr:uid="{00000000-0005-0000-0000-0000300B0000}"/>
    <cellStyle name="Normal 3 2 2 2 4 2 2 4 4 2" xfId="48710" xr:uid="{00000000-0005-0000-0000-0000310B0000}"/>
    <cellStyle name="Normal 3 2 2 2 4 2 2 4 5" xfId="32863" xr:uid="{00000000-0005-0000-0000-0000320B0000}"/>
    <cellStyle name="Normal 3 2 2 2 4 2 2 5" xfId="988" xr:uid="{00000000-0005-0000-0000-0000330B0000}"/>
    <cellStyle name="Normal 3 2 2 2 4 2 2 5 2" xfId="989" xr:uid="{00000000-0005-0000-0000-0000340B0000}"/>
    <cellStyle name="Normal 3 2 2 2 4 2 2 5 2 2" xfId="28649" xr:uid="{00000000-0005-0000-0000-0000350B0000}"/>
    <cellStyle name="Normal 3 2 2 2 4 2 2 5 2 2 2" xfId="60520" xr:uid="{00000000-0005-0000-0000-0000360B0000}"/>
    <cellStyle name="Normal 3 2 2 2 4 2 2 5 2 3" xfId="32868" xr:uid="{00000000-0005-0000-0000-0000370B0000}"/>
    <cellStyle name="Normal 3 2 2 2 4 2 2 5 3" xfId="20771" xr:uid="{00000000-0005-0000-0000-0000380B0000}"/>
    <cellStyle name="Normal 3 2 2 2 4 2 2 5 3 2" xfId="52642" xr:uid="{00000000-0005-0000-0000-0000390B0000}"/>
    <cellStyle name="Normal 3 2 2 2 4 2 2 5 4" xfId="32867" xr:uid="{00000000-0005-0000-0000-00003A0B0000}"/>
    <cellStyle name="Normal 3 2 2 2 4 2 2 6" xfId="990" xr:uid="{00000000-0005-0000-0000-00003B0B0000}"/>
    <cellStyle name="Normal 3 2 2 2 4 2 2 6 2" xfId="24710" xr:uid="{00000000-0005-0000-0000-00003C0B0000}"/>
    <cellStyle name="Normal 3 2 2 2 4 2 2 6 2 2" xfId="56581" xr:uid="{00000000-0005-0000-0000-00003D0B0000}"/>
    <cellStyle name="Normal 3 2 2 2 4 2 2 6 3" xfId="32869" xr:uid="{00000000-0005-0000-0000-00003E0B0000}"/>
    <cellStyle name="Normal 3 2 2 2 4 2 2 7" xfId="16832" xr:uid="{00000000-0005-0000-0000-00003F0B0000}"/>
    <cellStyle name="Normal 3 2 2 2 4 2 2 7 2" xfId="48703" xr:uid="{00000000-0005-0000-0000-0000400B0000}"/>
    <cellStyle name="Normal 3 2 2 2 4 2 2 8" xfId="32838" xr:uid="{00000000-0005-0000-0000-0000410B0000}"/>
    <cellStyle name="Normal 3 2 2 2 4 2 3" xfId="991" xr:uid="{00000000-0005-0000-0000-0000420B0000}"/>
    <cellStyle name="Normal 3 2 2 2 4 2 3 2" xfId="992" xr:uid="{00000000-0005-0000-0000-0000430B0000}"/>
    <cellStyle name="Normal 3 2 2 2 4 2 3 2 2" xfId="993" xr:uid="{00000000-0005-0000-0000-0000440B0000}"/>
    <cellStyle name="Normal 3 2 2 2 4 2 3 2 2 2" xfId="994" xr:uid="{00000000-0005-0000-0000-0000450B0000}"/>
    <cellStyle name="Normal 3 2 2 2 4 2 3 2 2 2 2" xfId="995" xr:uid="{00000000-0005-0000-0000-0000460B0000}"/>
    <cellStyle name="Normal 3 2 2 2 4 2 3 2 2 2 2 2" xfId="28659" xr:uid="{00000000-0005-0000-0000-0000470B0000}"/>
    <cellStyle name="Normal 3 2 2 2 4 2 3 2 2 2 2 2 2" xfId="60530" xr:uid="{00000000-0005-0000-0000-0000480B0000}"/>
    <cellStyle name="Normal 3 2 2 2 4 2 3 2 2 2 2 3" xfId="32874" xr:uid="{00000000-0005-0000-0000-0000490B0000}"/>
    <cellStyle name="Normal 3 2 2 2 4 2 3 2 2 2 3" xfId="20781" xr:uid="{00000000-0005-0000-0000-00004A0B0000}"/>
    <cellStyle name="Normal 3 2 2 2 4 2 3 2 2 2 3 2" xfId="52652" xr:uid="{00000000-0005-0000-0000-00004B0B0000}"/>
    <cellStyle name="Normal 3 2 2 2 4 2 3 2 2 2 4" xfId="32873" xr:uid="{00000000-0005-0000-0000-00004C0B0000}"/>
    <cellStyle name="Normal 3 2 2 2 4 2 3 2 2 3" xfId="996" xr:uid="{00000000-0005-0000-0000-00004D0B0000}"/>
    <cellStyle name="Normal 3 2 2 2 4 2 3 2 2 3 2" xfId="24720" xr:uid="{00000000-0005-0000-0000-00004E0B0000}"/>
    <cellStyle name="Normal 3 2 2 2 4 2 3 2 2 3 2 2" xfId="56591" xr:uid="{00000000-0005-0000-0000-00004F0B0000}"/>
    <cellStyle name="Normal 3 2 2 2 4 2 3 2 2 3 3" xfId="32875" xr:uid="{00000000-0005-0000-0000-0000500B0000}"/>
    <cellStyle name="Normal 3 2 2 2 4 2 3 2 2 4" xfId="16842" xr:uid="{00000000-0005-0000-0000-0000510B0000}"/>
    <cellStyle name="Normal 3 2 2 2 4 2 3 2 2 4 2" xfId="48713" xr:uid="{00000000-0005-0000-0000-0000520B0000}"/>
    <cellStyle name="Normal 3 2 2 2 4 2 3 2 2 5" xfId="32872" xr:uid="{00000000-0005-0000-0000-0000530B0000}"/>
    <cellStyle name="Normal 3 2 2 2 4 2 3 2 3" xfId="997" xr:uid="{00000000-0005-0000-0000-0000540B0000}"/>
    <cellStyle name="Normal 3 2 2 2 4 2 3 2 3 2" xfId="998" xr:uid="{00000000-0005-0000-0000-0000550B0000}"/>
    <cellStyle name="Normal 3 2 2 2 4 2 3 2 3 2 2" xfId="28658" xr:uid="{00000000-0005-0000-0000-0000560B0000}"/>
    <cellStyle name="Normal 3 2 2 2 4 2 3 2 3 2 2 2" xfId="60529" xr:uid="{00000000-0005-0000-0000-0000570B0000}"/>
    <cellStyle name="Normal 3 2 2 2 4 2 3 2 3 2 3" xfId="32877" xr:uid="{00000000-0005-0000-0000-0000580B0000}"/>
    <cellStyle name="Normal 3 2 2 2 4 2 3 2 3 3" xfId="20780" xr:uid="{00000000-0005-0000-0000-0000590B0000}"/>
    <cellStyle name="Normal 3 2 2 2 4 2 3 2 3 3 2" xfId="52651" xr:uid="{00000000-0005-0000-0000-00005A0B0000}"/>
    <cellStyle name="Normal 3 2 2 2 4 2 3 2 3 4" xfId="32876" xr:uid="{00000000-0005-0000-0000-00005B0B0000}"/>
    <cellStyle name="Normal 3 2 2 2 4 2 3 2 4" xfId="999" xr:uid="{00000000-0005-0000-0000-00005C0B0000}"/>
    <cellStyle name="Normal 3 2 2 2 4 2 3 2 4 2" xfId="24719" xr:uid="{00000000-0005-0000-0000-00005D0B0000}"/>
    <cellStyle name="Normal 3 2 2 2 4 2 3 2 4 2 2" xfId="56590" xr:uid="{00000000-0005-0000-0000-00005E0B0000}"/>
    <cellStyle name="Normal 3 2 2 2 4 2 3 2 4 3" xfId="32878" xr:uid="{00000000-0005-0000-0000-00005F0B0000}"/>
    <cellStyle name="Normal 3 2 2 2 4 2 3 2 5" xfId="16841" xr:uid="{00000000-0005-0000-0000-0000600B0000}"/>
    <cellStyle name="Normal 3 2 2 2 4 2 3 2 5 2" xfId="48712" xr:uid="{00000000-0005-0000-0000-0000610B0000}"/>
    <cellStyle name="Normal 3 2 2 2 4 2 3 2 6" xfId="32871" xr:uid="{00000000-0005-0000-0000-0000620B0000}"/>
    <cellStyle name="Normal 3 2 2 2 4 2 3 3" xfId="1000" xr:uid="{00000000-0005-0000-0000-0000630B0000}"/>
    <cellStyle name="Normal 3 2 2 2 4 2 3 3 2" xfId="1001" xr:uid="{00000000-0005-0000-0000-0000640B0000}"/>
    <cellStyle name="Normal 3 2 2 2 4 2 3 3 2 2" xfId="1002" xr:uid="{00000000-0005-0000-0000-0000650B0000}"/>
    <cellStyle name="Normal 3 2 2 2 4 2 3 3 2 2 2" xfId="28660" xr:uid="{00000000-0005-0000-0000-0000660B0000}"/>
    <cellStyle name="Normal 3 2 2 2 4 2 3 3 2 2 2 2" xfId="60531" xr:uid="{00000000-0005-0000-0000-0000670B0000}"/>
    <cellStyle name="Normal 3 2 2 2 4 2 3 3 2 2 3" xfId="32881" xr:uid="{00000000-0005-0000-0000-0000680B0000}"/>
    <cellStyle name="Normal 3 2 2 2 4 2 3 3 2 3" xfId="20782" xr:uid="{00000000-0005-0000-0000-0000690B0000}"/>
    <cellStyle name="Normal 3 2 2 2 4 2 3 3 2 3 2" xfId="52653" xr:uid="{00000000-0005-0000-0000-00006A0B0000}"/>
    <cellStyle name="Normal 3 2 2 2 4 2 3 3 2 4" xfId="32880" xr:uid="{00000000-0005-0000-0000-00006B0B0000}"/>
    <cellStyle name="Normal 3 2 2 2 4 2 3 3 3" xfId="1003" xr:uid="{00000000-0005-0000-0000-00006C0B0000}"/>
    <cellStyle name="Normal 3 2 2 2 4 2 3 3 3 2" xfId="24721" xr:uid="{00000000-0005-0000-0000-00006D0B0000}"/>
    <cellStyle name="Normal 3 2 2 2 4 2 3 3 3 2 2" xfId="56592" xr:uid="{00000000-0005-0000-0000-00006E0B0000}"/>
    <cellStyle name="Normal 3 2 2 2 4 2 3 3 3 3" xfId="32882" xr:uid="{00000000-0005-0000-0000-00006F0B0000}"/>
    <cellStyle name="Normal 3 2 2 2 4 2 3 3 4" xfId="16843" xr:uid="{00000000-0005-0000-0000-0000700B0000}"/>
    <cellStyle name="Normal 3 2 2 2 4 2 3 3 4 2" xfId="48714" xr:uid="{00000000-0005-0000-0000-0000710B0000}"/>
    <cellStyle name="Normal 3 2 2 2 4 2 3 3 5" xfId="32879" xr:uid="{00000000-0005-0000-0000-0000720B0000}"/>
    <cellStyle name="Normal 3 2 2 2 4 2 3 4" xfId="1004" xr:uid="{00000000-0005-0000-0000-0000730B0000}"/>
    <cellStyle name="Normal 3 2 2 2 4 2 3 4 2" xfId="1005" xr:uid="{00000000-0005-0000-0000-0000740B0000}"/>
    <cellStyle name="Normal 3 2 2 2 4 2 3 4 2 2" xfId="28657" xr:uid="{00000000-0005-0000-0000-0000750B0000}"/>
    <cellStyle name="Normal 3 2 2 2 4 2 3 4 2 2 2" xfId="60528" xr:uid="{00000000-0005-0000-0000-0000760B0000}"/>
    <cellStyle name="Normal 3 2 2 2 4 2 3 4 2 3" xfId="32884" xr:uid="{00000000-0005-0000-0000-0000770B0000}"/>
    <cellStyle name="Normal 3 2 2 2 4 2 3 4 3" xfId="20779" xr:uid="{00000000-0005-0000-0000-0000780B0000}"/>
    <cellStyle name="Normal 3 2 2 2 4 2 3 4 3 2" xfId="52650" xr:uid="{00000000-0005-0000-0000-0000790B0000}"/>
    <cellStyle name="Normal 3 2 2 2 4 2 3 4 4" xfId="32883" xr:uid="{00000000-0005-0000-0000-00007A0B0000}"/>
    <cellStyle name="Normal 3 2 2 2 4 2 3 5" xfId="1006" xr:uid="{00000000-0005-0000-0000-00007B0B0000}"/>
    <cellStyle name="Normal 3 2 2 2 4 2 3 5 2" xfId="24718" xr:uid="{00000000-0005-0000-0000-00007C0B0000}"/>
    <cellStyle name="Normal 3 2 2 2 4 2 3 5 2 2" xfId="56589" xr:uid="{00000000-0005-0000-0000-00007D0B0000}"/>
    <cellStyle name="Normal 3 2 2 2 4 2 3 5 3" xfId="32885" xr:uid="{00000000-0005-0000-0000-00007E0B0000}"/>
    <cellStyle name="Normal 3 2 2 2 4 2 3 6" xfId="16840" xr:uid="{00000000-0005-0000-0000-00007F0B0000}"/>
    <cellStyle name="Normal 3 2 2 2 4 2 3 6 2" xfId="48711" xr:uid="{00000000-0005-0000-0000-0000800B0000}"/>
    <cellStyle name="Normal 3 2 2 2 4 2 3 7" xfId="32870" xr:uid="{00000000-0005-0000-0000-0000810B0000}"/>
    <cellStyle name="Normal 3 2 2 2 4 2 4" xfId="1007" xr:uid="{00000000-0005-0000-0000-0000820B0000}"/>
    <cellStyle name="Normal 3 2 2 2 4 2 4 2" xfId="1008" xr:uid="{00000000-0005-0000-0000-0000830B0000}"/>
    <cellStyle name="Normal 3 2 2 2 4 2 4 2 2" xfId="1009" xr:uid="{00000000-0005-0000-0000-0000840B0000}"/>
    <cellStyle name="Normal 3 2 2 2 4 2 4 2 2 2" xfId="1010" xr:uid="{00000000-0005-0000-0000-0000850B0000}"/>
    <cellStyle name="Normal 3 2 2 2 4 2 4 2 2 2 2" xfId="28662" xr:uid="{00000000-0005-0000-0000-0000860B0000}"/>
    <cellStyle name="Normal 3 2 2 2 4 2 4 2 2 2 2 2" xfId="60533" xr:uid="{00000000-0005-0000-0000-0000870B0000}"/>
    <cellStyle name="Normal 3 2 2 2 4 2 4 2 2 2 3" xfId="32889" xr:uid="{00000000-0005-0000-0000-0000880B0000}"/>
    <cellStyle name="Normal 3 2 2 2 4 2 4 2 2 3" xfId="20784" xr:uid="{00000000-0005-0000-0000-0000890B0000}"/>
    <cellStyle name="Normal 3 2 2 2 4 2 4 2 2 3 2" xfId="52655" xr:uid="{00000000-0005-0000-0000-00008A0B0000}"/>
    <cellStyle name="Normal 3 2 2 2 4 2 4 2 2 4" xfId="32888" xr:uid="{00000000-0005-0000-0000-00008B0B0000}"/>
    <cellStyle name="Normal 3 2 2 2 4 2 4 2 3" xfId="1011" xr:uid="{00000000-0005-0000-0000-00008C0B0000}"/>
    <cellStyle name="Normal 3 2 2 2 4 2 4 2 3 2" xfId="24723" xr:uid="{00000000-0005-0000-0000-00008D0B0000}"/>
    <cellStyle name="Normal 3 2 2 2 4 2 4 2 3 2 2" xfId="56594" xr:uid="{00000000-0005-0000-0000-00008E0B0000}"/>
    <cellStyle name="Normal 3 2 2 2 4 2 4 2 3 3" xfId="32890" xr:uid="{00000000-0005-0000-0000-00008F0B0000}"/>
    <cellStyle name="Normal 3 2 2 2 4 2 4 2 4" xfId="16845" xr:uid="{00000000-0005-0000-0000-0000900B0000}"/>
    <cellStyle name="Normal 3 2 2 2 4 2 4 2 4 2" xfId="48716" xr:uid="{00000000-0005-0000-0000-0000910B0000}"/>
    <cellStyle name="Normal 3 2 2 2 4 2 4 2 5" xfId="32887" xr:uid="{00000000-0005-0000-0000-0000920B0000}"/>
    <cellStyle name="Normal 3 2 2 2 4 2 4 3" xfId="1012" xr:uid="{00000000-0005-0000-0000-0000930B0000}"/>
    <cellStyle name="Normal 3 2 2 2 4 2 4 3 2" xfId="1013" xr:uid="{00000000-0005-0000-0000-0000940B0000}"/>
    <cellStyle name="Normal 3 2 2 2 4 2 4 3 2 2" xfId="28661" xr:uid="{00000000-0005-0000-0000-0000950B0000}"/>
    <cellStyle name="Normal 3 2 2 2 4 2 4 3 2 2 2" xfId="60532" xr:uid="{00000000-0005-0000-0000-0000960B0000}"/>
    <cellStyle name="Normal 3 2 2 2 4 2 4 3 2 3" xfId="32892" xr:uid="{00000000-0005-0000-0000-0000970B0000}"/>
    <cellStyle name="Normal 3 2 2 2 4 2 4 3 3" xfId="20783" xr:uid="{00000000-0005-0000-0000-0000980B0000}"/>
    <cellStyle name="Normal 3 2 2 2 4 2 4 3 3 2" xfId="52654" xr:uid="{00000000-0005-0000-0000-0000990B0000}"/>
    <cellStyle name="Normal 3 2 2 2 4 2 4 3 4" xfId="32891" xr:uid="{00000000-0005-0000-0000-00009A0B0000}"/>
    <cellStyle name="Normal 3 2 2 2 4 2 4 4" xfId="1014" xr:uid="{00000000-0005-0000-0000-00009B0B0000}"/>
    <cellStyle name="Normal 3 2 2 2 4 2 4 4 2" xfId="24722" xr:uid="{00000000-0005-0000-0000-00009C0B0000}"/>
    <cellStyle name="Normal 3 2 2 2 4 2 4 4 2 2" xfId="56593" xr:uid="{00000000-0005-0000-0000-00009D0B0000}"/>
    <cellStyle name="Normal 3 2 2 2 4 2 4 4 3" xfId="32893" xr:uid="{00000000-0005-0000-0000-00009E0B0000}"/>
    <cellStyle name="Normal 3 2 2 2 4 2 4 5" xfId="16844" xr:uid="{00000000-0005-0000-0000-00009F0B0000}"/>
    <cellStyle name="Normal 3 2 2 2 4 2 4 5 2" xfId="48715" xr:uid="{00000000-0005-0000-0000-0000A00B0000}"/>
    <cellStyle name="Normal 3 2 2 2 4 2 4 6" xfId="32886" xr:uid="{00000000-0005-0000-0000-0000A10B0000}"/>
    <cellStyle name="Normal 3 2 2 2 4 2 5" xfId="1015" xr:uid="{00000000-0005-0000-0000-0000A20B0000}"/>
    <cellStyle name="Normal 3 2 2 2 4 2 5 2" xfId="1016" xr:uid="{00000000-0005-0000-0000-0000A30B0000}"/>
    <cellStyle name="Normal 3 2 2 2 4 2 5 2 2" xfId="1017" xr:uid="{00000000-0005-0000-0000-0000A40B0000}"/>
    <cellStyle name="Normal 3 2 2 2 4 2 5 2 2 2" xfId="28663" xr:uid="{00000000-0005-0000-0000-0000A50B0000}"/>
    <cellStyle name="Normal 3 2 2 2 4 2 5 2 2 2 2" xfId="60534" xr:uid="{00000000-0005-0000-0000-0000A60B0000}"/>
    <cellStyle name="Normal 3 2 2 2 4 2 5 2 2 3" xfId="32896" xr:uid="{00000000-0005-0000-0000-0000A70B0000}"/>
    <cellStyle name="Normal 3 2 2 2 4 2 5 2 3" xfId="20785" xr:uid="{00000000-0005-0000-0000-0000A80B0000}"/>
    <cellStyle name="Normal 3 2 2 2 4 2 5 2 3 2" xfId="52656" xr:uid="{00000000-0005-0000-0000-0000A90B0000}"/>
    <cellStyle name="Normal 3 2 2 2 4 2 5 2 4" xfId="32895" xr:uid="{00000000-0005-0000-0000-0000AA0B0000}"/>
    <cellStyle name="Normal 3 2 2 2 4 2 5 3" xfId="1018" xr:uid="{00000000-0005-0000-0000-0000AB0B0000}"/>
    <cellStyle name="Normal 3 2 2 2 4 2 5 3 2" xfId="24724" xr:uid="{00000000-0005-0000-0000-0000AC0B0000}"/>
    <cellStyle name="Normal 3 2 2 2 4 2 5 3 2 2" xfId="56595" xr:uid="{00000000-0005-0000-0000-0000AD0B0000}"/>
    <cellStyle name="Normal 3 2 2 2 4 2 5 3 3" xfId="32897" xr:uid="{00000000-0005-0000-0000-0000AE0B0000}"/>
    <cellStyle name="Normal 3 2 2 2 4 2 5 4" xfId="16846" xr:uid="{00000000-0005-0000-0000-0000AF0B0000}"/>
    <cellStyle name="Normal 3 2 2 2 4 2 5 4 2" xfId="48717" xr:uid="{00000000-0005-0000-0000-0000B00B0000}"/>
    <cellStyle name="Normal 3 2 2 2 4 2 5 5" xfId="32894" xr:uid="{00000000-0005-0000-0000-0000B10B0000}"/>
    <cellStyle name="Normal 3 2 2 2 4 2 6" xfId="1019" xr:uid="{00000000-0005-0000-0000-0000B20B0000}"/>
    <cellStyle name="Normal 3 2 2 2 4 2 6 2" xfId="1020" xr:uid="{00000000-0005-0000-0000-0000B30B0000}"/>
    <cellStyle name="Normal 3 2 2 2 4 2 6 2 2" xfId="28476" xr:uid="{00000000-0005-0000-0000-0000B40B0000}"/>
    <cellStyle name="Normal 3 2 2 2 4 2 6 2 2 2" xfId="60347" xr:uid="{00000000-0005-0000-0000-0000B50B0000}"/>
    <cellStyle name="Normal 3 2 2 2 4 2 6 2 3" xfId="32899" xr:uid="{00000000-0005-0000-0000-0000B60B0000}"/>
    <cellStyle name="Normal 3 2 2 2 4 2 6 3" xfId="20598" xr:uid="{00000000-0005-0000-0000-0000B70B0000}"/>
    <cellStyle name="Normal 3 2 2 2 4 2 6 3 2" xfId="52469" xr:uid="{00000000-0005-0000-0000-0000B80B0000}"/>
    <cellStyle name="Normal 3 2 2 2 4 2 6 4" xfId="32898" xr:uid="{00000000-0005-0000-0000-0000B90B0000}"/>
    <cellStyle name="Normal 3 2 2 2 4 2 7" xfId="1021" xr:uid="{00000000-0005-0000-0000-0000BA0B0000}"/>
    <cellStyle name="Normal 3 2 2 2 4 2 7 2" xfId="24537" xr:uid="{00000000-0005-0000-0000-0000BB0B0000}"/>
    <cellStyle name="Normal 3 2 2 2 4 2 7 2 2" xfId="56408" xr:uid="{00000000-0005-0000-0000-0000BC0B0000}"/>
    <cellStyle name="Normal 3 2 2 2 4 2 7 3" xfId="32900" xr:uid="{00000000-0005-0000-0000-0000BD0B0000}"/>
    <cellStyle name="Normal 3 2 2 2 4 2 8" xfId="16659" xr:uid="{00000000-0005-0000-0000-0000BE0B0000}"/>
    <cellStyle name="Normal 3 2 2 2 4 2 8 2" xfId="48530" xr:uid="{00000000-0005-0000-0000-0000BF0B0000}"/>
    <cellStyle name="Normal 3 2 2 2 4 2 9" xfId="32837" xr:uid="{00000000-0005-0000-0000-0000C00B0000}"/>
    <cellStyle name="Normal 3 2 2 2 4 3" xfId="1022" xr:uid="{00000000-0005-0000-0000-0000C10B0000}"/>
    <cellStyle name="Normal 3 2 2 2 4 3 2" xfId="1023" xr:uid="{00000000-0005-0000-0000-0000C20B0000}"/>
    <cellStyle name="Normal 3 2 2 2 4 3 2 2" xfId="1024" xr:uid="{00000000-0005-0000-0000-0000C30B0000}"/>
    <cellStyle name="Normal 3 2 2 2 4 3 2 2 2" xfId="1025" xr:uid="{00000000-0005-0000-0000-0000C40B0000}"/>
    <cellStyle name="Normal 3 2 2 2 4 3 2 2 2 2" xfId="1026" xr:uid="{00000000-0005-0000-0000-0000C50B0000}"/>
    <cellStyle name="Normal 3 2 2 2 4 3 2 2 2 2 2" xfId="1027" xr:uid="{00000000-0005-0000-0000-0000C60B0000}"/>
    <cellStyle name="Normal 3 2 2 2 4 3 2 2 2 2 2 2" xfId="28667" xr:uid="{00000000-0005-0000-0000-0000C70B0000}"/>
    <cellStyle name="Normal 3 2 2 2 4 3 2 2 2 2 2 2 2" xfId="60538" xr:uid="{00000000-0005-0000-0000-0000C80B0000}"/>
    <cellStyle name="Normal 3 2 2 2 4 3 2 2 2 2 2 3" xfId="32906" xr:uid="{00000000-0005-0000-0000-0000C90B0000}"/>
    <cellStyle name="Normal 3 2 2 2 4 3 2 2 2 2 3" xfId="20789" xr:uid="{00000000-0005-0000-0000-0000CA0B0000}"/>
    <cellStyle name="Normal 3 2 2 2 4 3 2 2 2 2 3 2" xfId="52660" xr:uid="{00000000-0005-0000-0000-0000CB0B0000}"/>
    <cellStyle name="Normal 3 2 2 2 4 3 2 2 2 2 4" xfId="32905" xr:uid="{00000000-0005-0000-0000-0000CC0B0000}"/>
    <cellStyle name="Normal 3 2 2 2 4 3 2 2 2 3" xfId="1028" xr:uid="{00000000-0005-0000-0000-0000CD0B0000}"/>
    <cellStyle name="Normal 3 2 2 2 4 3 2 2 2 3 2" xfId="24728" xr:uid="{00000000-0005-0000-0000-0000CE0B0000}"/>
    <cellStyle name="Normal 3 2 2 2 4 3 2 2 2 3 2 2" xfId="56599" xr:uid="{00000000-0005-0000-0000-0000CF0B0000}"/>
    <cellStyle name="Normal 3 2 2 2 4 3 2 2 2 3 3" xfId="32907" xr:uid="{00000000-0005-0000-0000-0000D00B0000}"/>
    <cellStyle name="Normal 3 2 2 2 4 3 2 2 2 4" xfId="16850" xr:uid="{00000000-0005-0000-0000-0000D10B0000}"/>
    <cellStyle name="Normal 3 2 2 2 4 3 2 2 2 4 2" xfId="48721" xr:uid="{00000000-0005-0000-0000-0000D20B0000}"/>
    <cellStyle name="Normal 3 2 2 2 4 3 2 2 2 5" xfId="32904" xr:uid="{00000000-0005-0000-0000-0000D30B0000}"/>
    <cellStyle name="Normal 3 2 2 2 4 3 2 2 3" xfId="1029" xr:uid="{00000000-0005-0000-0000-0000D40B0000}"/>
    <cellStyle name="Normal 3 2 2 2 4 3 2 2 3 2" xfId="1030" xr:uid="{00000000-0005-0000-0000-0000D50B0000}"/>
    <cellStyle name="Normal 3 2 2 2 4 3 2 2 3 2 2" xfId="28666" xr:uid="{00000000-0005-0000-0000-0000D60B0000}"/>
    <cellStyle name="Normal 3 2 2 2 4 3 2 2 3 2 2 2" xfId="60537" xr:uid="{00000000-0005-0000-0000-0000D70B0000}"/>
    <cellStyle name="Normal 3 2 2 2 4 3 2 2 3 2 3" xfId="32909" xr:uid="{00000000-0005-0000-0000-0000D80B0000}"/>
    <cellStyle name="Normal 3 2 2 2 4 3 2 2 3 3" xfId="20788" xr:uid="{00000000-0005-0000-0000-0000D90B0000}"/>
    <cellStyle name="Normal 3 2 2 2 4 3 2 2 3 3 2" xfId="52659" xr:uid="{00000000-0005-0000-0000-0000DA0B0000}"/>
    <cellStyle name="Normal 3 2 2 2 4 3 2 2 3 4" xfId="32908" xr:uid="{00000000-0005-0000-0000-0000DB0B0000}"/>
    <cellStyle name="Normal 3 2 2 2 4 3 2 2 4" xfId="1031" xr:uid="{00000000-0005-0000-0000-0000DC0B0000}"/>
    <cellStyle name="Normal 3 2 2 2 4 3 2 2 4 2" xfId="24727" xr:uid="{00000000-0005-0000-0000-0000DD0B0000}"/>
    <cellStyle name="Normal 3 2 2 2 4 3 2 2 4 2 2" xfId="56598" xr:uid="{00000000-0005-0000-0000-0000DE0B0000}"/>
    <cellStyle name="Normal 3 2 2 2 4 3 2 2 4 3" xfId="32910" xr:uid="{00000000-0005-0000-0000-0000DF0B0000}"/>
    <cellStyle name="Normal 3 2 2 2 4 3 2 2 5" xfId="16849" xr:uid="{00000000-0005-0000-0000-0000E00B0000}"/>
    <cellStyle name="Normal 3 2 2 2 4 3 2 2 5 2" xfId="48720" xr:uid="{00000000-0005-0000-0000-0000E10B0000}"/>
    <cellStyle name="Normal 3 2 2 2 4 3 2 2 6" xfId="32903" xr:uid="{00000000-0005-0000-0000-0000E20B0000}"/>
    <cellStyle name="Normal 3 2 2 2 4 3 2 3" xfId="1032" xr:uid="{00000000-0005-0000-0000-0000E30B0000}"/>
    <cellStyle name="Normal 3 2 2 2 4 3 2 3 2" xfId="1033" xr:uid="{00000000-0005-0000-0000-0000E40B0000}"/>
    <cellStyle name="Normal 3 2 2 2 4 3 2 3 2 2" xfId="1034" xr:uid="{00000000-0005-0000-0000-0000E50B0000}"/>
    <cellStyle name="Normal 3 2 2 2 4 3 2 3 2 2 2" xfId="28668" xr:uid="{00000000-0005-0000-0000-0000E60B0000}"/>
    <cellStyle name="Normal 3 2 2 2 4 3 2 3 2 2 2 2" xfId="60539" xr:uid="{00000000-0005-0000-0000-0000E70B0000}"/>
    <cellStyle name="Normal 3 2 2 2 4 3 2 3 2 2 3" xfId="32913" xr:uid="{00000000-0005-0000-0000-0000E80B0000}"/>
    <cellStyle name="Normal 3 2 2 2 4 3 2 3 2 3" xfId="20790" xr:uid="{00000000-0005-0000-0000-0000E90B0000}"/>
    <cellStyle name="Normal 3 2 2 2 4 3 2 3 2 3 2" xfId="52661" xr:uid="{00000000-0005-0000-0000-0000EA0B0000}"/>
    <cellStyle name="Normal 3 2 2 2 4 3 2 3 2 4" xfId="32912" xr:uid="{00000000-0005-0000-0000-0000EB0B0000}"/>
    <cellStyle name="Normal 3 2 2 2 4 3 2 3 3" xfId="1035" xr:uid="{00000000-0005-0000-0000-0000EC0B0000}"/>
    <cellStyle name="Normal 3 2 2 2 4 3 2 3 3 2" xfId="24729" xr:uid="{00000000-0005-0000-0000-0000ED0B0000}"/>
    <cellStyle name="Normal 3 2 2 2 4 3 2 3 3 2 2" xfId="56600" xr:uid="{00000000-0005-0000-0000-0000EE0B0000}"/>
    <cellStyle name="Normal 3 2 2 2 4 3 2 3 3 3" xfId="32914" xr:uid="{00000000-0005-0000-0000-0000EF0B0000}"/>
    <cellStyle name="Normal 3 2 2 2 4 3 2 3 4" xfId="16851" xr:uid="{00000000-0005-0000-0000-0000F00B0000}"/>
    <cellStyle name="Normal 3 2 2 2 4 3 2 3 4 2" xfId="48722" xr:uid="{00000000-0005-0000-0000-0000F10B0000}"/>
    <cellStyle name="Normal 3 2 2 2 4 3 2 3 5" xfId="32911" xr:uid="{00000000-0005-0000-0000-0000F20B0000}"/>
    <cellStyle name="Normal 3 2 2 2 4 3 2 4" xfId="1036" xr:uid="{00000000-0005-0000-0000-0000F30B0000}"/>
    <cellStyle name="Normal 3 2 2 2 4 3 2 4 2" xfId="1037" xr:uid="{00000000-0005-0000-0000-0000F40B0000}"/>
    <cellStyle name="Normal 3 2 2 2 4 3 2 4 2 2" xfId="28665" xr:uid="{00000000-0005-0000-0000-0000F50B0000}"/>
    <cellStyle name="Normal 3 2 2 2 4 3 2 4 2 2 2" xfId="60536" xr:uid="{00000000-0005-0000-0000-0000F60B0000}"/>
    <cellStyle name="Normal 3 2 2 2 4 3 2 4 2 3" xfId="32916" xr:uid="{00000000-0005-0000-0000-0000F70B0000}"/>
    <cellStyle name="Normal 3 2 2 2 4 3 2 4 3" xfId="20787" xr:uid="{00000000-0005-0000-0000-0000F80B0000}"/>
    <cellStyle name="Normal 3 2 2 2 4 3 2 4 3 2" xfId="52658" xr:uid="{00000000-0005-0000-0000-0000F90B0000}"/>
    <cellStyle name="Normal 3 2 2 2 4 3 2 4 4" xfId="32915" xr:uid="{00000000-0005-0000-0000-0000FA0B0000}"/>
    <cellStyle name="Normal 3 2 2 2 4 3 2 5" xfId="1038" xr:uid="{00000000-0005-0000-0000-0000FB0B0000}"/>
    <cellStyle name="Normal 3 2 2 2 4 3 2 5 2" xfId="24726" xr:uid="{00000000-0005-0000-0000-0000FC0B0000}"/>
    <cellStyle name="Normal 3 2 2 2 4 3 2 5 2 2" xfId="56597" xr:uid="{00000000-0005-0000-0000-0000FD0B0000}"/>
    <cellStyle name="Normal 3 2 2 2 4 3 2 5 3" xfId="32917" xr:uid="{00000000-0005-0000-0000-0000FE0B0000}"/>
    <cellStyle name="Normal 3 2 2 2 4 3 2 6" xfId="16848" xr:uid="{00000000-0005-0000-0000-0000FF0B0000}"/>
    <cellStyle name="Normal 3 2 2 2 4 3 2 6 2" xfId="48719" xr:uid="{00000000-0005-0000-0000-0000000C0000}"/>
    <cellStyle name="Normal 3 2 2 2 4 3 2 7" xfId="32902" xr:uid="{00000000-0005-0000-0000-0000010C0000}"/>
    <cellStyle name="Normal 3 2 2 2 4 3 3" xfId="1039" xr:uid="{00000000-0005-0000-0000-0000020C0000}"/>
    <cellStyle name="Normal 3 2 2 2 4 3 3 2" xfId="1040" xr:uid="{00000000-0005-0000-0000-0000030C0000}"/>
    <cellStyle name="Normal 3 2 2 2 4 3 3 2 2" xfId="1041" xr:uid="{00000000-0005-0000-0000-0000040C0000}"/>
    <cellStyle name="Normal 3 2 2 2 4 3 3 2 2 2" xfId="1042" xr:uid="{00000000-0005-0000-0000-0000050C0000}"/>
    <cellStyle name="Normal 3 2 2 2 4 3 3 2 2 2 2" xfId="28670" xr:uid="{00000000-0005-0000-0000-0000060C0000}"/>
    <cellStyle name="Normal 3 2 2 2 4 3 3 2 2 2 2 2" xfId="60541" xr:uid="{00000000-0005-0000-0000-0000070C0000}"/>
    <cellStyle name="Normal 3 2 2 2 4 3 3 2 2 2 3" xfId="32921" xr:uid="{00000000-0005-0000-0000-0000080C0000}"/>
    <cellStyle name="Normal 3 2 2 2 4 3 3 2 2 3" xfId="20792" xr:uid="{00000000-0005-0000-0000-0000090C0000}"/>
    <cellStyle name="Normal 3 2 2 2 4 3 3 2 2 3 2" xfId="52663" xr:uid="{00000000-0005-0000-0000-00000A0C0000}"/>
    <cellStyle name="Normal 3 2 2 2 4 3 3 2 2 4" xfId="32920" xr:uid="{00000000-0005-0000-0000-00000B0C0000}"/>
    <cellStyle name="Normal 3 2 2 2 4 3 3 2 3" xfId="1043" xr:uid="{00000000-0005-0000-0000-00000C0C0000}"/>
    <cellStyle name="Normal 3 2 2 2 4 3 3 2 3 2" xfId="24731" xr:uid="{00000000-0005-0000-0000-00000D0C0000}"/>
    <cellStyle name="Normal 3 2 2 2 4 3 3 2 3 2 2" xfId="56602" xr:uid="{00000000-0005-0000-0000-00000E0C0000}"/>
    <cellStyle name="Normal 3 2 2 2 4 3 3 2 3 3" xfId="32922" xr:uid="{00000000-0005-0000-0000-00000F0C0000}"/>
    <cellStyle name="Normal 3 2 2 2 4 3 3 2 4" xfId="16853" xr:uid="{00000000-0005-0000-0000-0000100C0000}"/>
    <cellStyle name="Normal 3 2 2 2 4 3 3 2 4 2" xfId="48724" xr:uid="{00000000-0005-0000-0000-0000110C0000}"/>
    <cellStyle name="Normal 3 2 2 2 4 3 3 2 5" xfId="32919" xr:uid="{00000000-0005-0000-0000-0000120C0000}"/>
    <cellStyle name="Normal 3 2 2 2 4 3 3 3" xfId="1044" xr:uid="{00000000-0005-0000-0000-0000130C0000}"/>
    <cellStyle name="Normal 3 2 2 2 4 3 3 3 2" xfId="1045" xr:uid="{00000000-0005-0000-0000-0000140C0000}"/>
    <cellStyle name="Normal 3 2 2 2 4 3 3 3 2 2" xfId="28669" xr:uid="{00000000-0005-0000-0000-0000150C0000}"/>
    <cellStyle name="Normal 3 2 2 2 4 3 3 3 2 2 2" xfId="60540" xr:uid="{00000000-0005-0000-0000-0000160C0000}"/>
    <cellStyle name="Normal 3 2 2 2 4 3 3 3 2 3" xfId="32924" xr:uid="{00000000-0005-0000-0000-0000170C0000}"/>
    <cellStyle name="Normal 3 2 2 2 4 3 3 3 3" xfId="20791" xr:uid="{00000000-0005-0000-0000-0000180C0000}"/>
    <cellStyle name="Normal 3 2 2 2 4 3 3 3 3 2" xfId="52662" xr:uid="{00000000-0005-0000-0000-0000190C0000}"/>
    <cellStyle name="Normal 3 2 2 2 4 3 3 3 4" xfId="32923" xr:uid="{00000000-0005-0000-0000-00001A0C0000}"/>
    <cellStyle name="Normal 3 2 2 2 4 3 3 4" xfId="1046" xr:uid="{00000000-0005-0000-0000-00001B0C0000}"/>
    <cellStyle name="Normal 3 2 2 2 4 3 3 4 2" xfId="24730" xr:uid="{00000000-0005-0000-0000-00001C0C0000}"/>
    <cellStyle name="Normal 3 2 2 2 4 3 3 4 2 2" xfId="56601" xr:uid="{00000000-0005-0000-0000-00001D0C0000}"/>
    <cellStyle name="Normal 3 2 2 2 4 3 3 4 3" xfId="32925" xr:uid="{00000000-0005-0000-0000-00001E0C0000}"/>
    <cellStyle name="Normal 3 2 2 2 4 3 3 5" xfId="16852" xr:uid="{00000000-0005-0000-0000-00001F0C0000}"/>
    <cellStyle name="Normal 3 2 2 2 4 3 3 5 2" xfId="48723" xr:uid="{00000000-0005-0000-0000-0000200C0000}"/>
    <cellStyle name="Normal 3 2 2 2 4 3 3 6" xfId="32918" xr:uid="{00000000-0005-0000-0000-0000210C0000}"/>
    <cellStyle name="Normal 3 2 2 2 4 3 4" xfId="1047" xr:uid="{00000000-0005-0000-0000-0000220C0000}"/>
    <cellStyle name="Normal 3 2 2 2 4 3 4 2" xfId="1048" xr:uid="{00000000-0005-0000-0000-0000230C0000}"/>
    <cellStyle name="Normal 3 2 2 2 4 3 4 2 2" xfId="1049" xr:uid="{00000000-0005-0000-0000-0000240C0000}"/>
    <cellStyle name="Normal 3 2 2 2 4 3 4 2 2 2" xfId="28671" xr:uid="{00000000-0005-0000-0000-0000250C0000}"/>
    <cellStyle name="Normal 3 2 2 2 4 3 4 2 2 2 2" xfId="60542" xr:uid="{00000000-0005-0000-0000-0000260C0000}"/>
    <cellStyle name="Normal 3 2 2 2 4 3 4 2 2 3" xfId="32928" xr:uid="{00000000-0005-0000-0000-0000270C0000}"/>
    <cellStyle name="Normal 3 2 2 2 4 3 4 2 3" xfId="20793" xr:uid="{00000000-0005-0000-0000-0000280C0000}"/>
    <cellStyle name="Normal 3 2 2 2 4 3 4 2 3 2" xfId="52664" xr:uid="{00000000-0005-0000-0000-0000290C0000}"/>
    <cellStyle name="Normal 3 2 2 2 4 3 4 2 4" xfId="32927" xr:uid="{00000000-0005-0000-0000-00002A0C0000}"/>
    <cellStyle name="Normal 3 2 2 2 4 3 4 3" xfId="1050" xr:uid="{00000000-0005-0000-0000-00002B0C0000}"/>
    <cellStyle name="Normal 3 2 2 2 4 3 4 3 2" xfId="24732" xr:uid="{00000000-0005-0000-0000-00002C0C0000}"/>
    <cellStyle name="Normal 3 2 2 2 4 3 4 3 2 2" xfId="56603" xr:uid="{00000000-0005-0000-0000-00002D0C0000}"/>
    <cellStyle name="Normal 3 2 2 2 4 3 4 3 3" xfId="32929" xr:uid="{00000000-0005-0000-0000-00002E0C0000}"/>
    <cellStyle name="Normal 3 2 2 2 4 3 4 4" xfId="16854" xr:uid="{00000000-0005-0000-0000-00002F0C0000}"/>
    <cellStyle name="Normal 3 2 2 2 4 3 4 4 2" xfId="48725" xr:uid="{00000000-0005-0000-0000-0000300C0000}"/>
    <cellStyle name="Normal 3 2 2 2 4 3 4 5" xfId="32926" xr:uid="{00000000-0005-0000-0000-0000310C0000}"/>
    <cellStyle name="Normal 3 2 2 2 4 3 5" xfId="1051" xr:uid="{00000000-0005-0000-0000-0000320C0000}"/>
    <cellStyle name="Normal 3 2 2 2 4 3 5 2" xfId="1052" xr:uid="{00000000-0005-0000-0000-0000330C0000}"/>
    <cellStyle name="Normal 3 2 2 2 4 3 5 2 2" xfId="28664" xr:uid="{00000000-0005-0000-0000-0000340C0000}"/>
    <cellStyle name="Normal 3 2 2 2 4 3 5 2 2 2" xfId="60535" xr:uid="{00000000-0005-0000-0000-0000350C0000}"/>
    <cellStyle name="Normal 3 2 2 2 4 3 5 2 3" xfId="32931" xr:uid="{00000000-0005-0000-0000-0000360C0000}"/>
    <cellStyle name="Normal 3 2 2 2 4 3 5 3" xfId="20786" xr:uid="{00000000-0005-0000-0000-0000370C0000}"/>
    <cellStyle name="Normal 3 2 2 2 4 3 5 3 2" xfId="52657" xr:uid="{00000000-0005-0000-0000-0000380C0000}"/>
    <cellStyle name="Normal 3 2 2 2 4 3 5 4" xfId="32930" xr:uid="{00000000-0005-0000-0000-0000390C0000}"/>
    <cellStyle name="Normal 3 2 2 2 4 3 6" xfId="1053" xr:uid="{00000000-0005-0000-0000-00003A0C0000}"/>
    <cellStyle name="Normal 3 2 2 2 4 3 6 2" xfId="24725" xr:uid="{00000000-0005-0000-0000-00003B0C0000}"/>
    <cellStyle name="Normal 3 2 2 2 4 3 6 2 2" xfId="56596" xr:uid="{00000000-0005-0000-0000-00003C0C0000}"/>
    <cellStyle name="Normal 3 2 2 2 4 3 6 3" xfId="32932" xr:uid="{00000000-0005-0000-0000-00003D0C0000}"/>
    <cellStyle name="Normal 3 2 2 2 4 3 7" xfId="16847" xr:uid="{00000000-0005-0000-0000-00003E0C0000}"/>
    <cellStyle name="Normal 3 2 2 2 4 3 7 2" xfId="48718" xr:uid="{00000000-0005-0000-0000-00003F0C0000}"/>
    <cellStyle name="Normal 3 2 2 2 4 3 8" xfId="32901" xr:uid="{00000000-0005-0000-0000-0000400C0000}"/>
    <cellStyle name="Normal 3 2 2 2 4 4" xfId="1054" xr:uid="{00000000-0005-0000-0000-0000410C0000}"/>
    <cellStyle name="Normal 3 2 2 2 4 4 2" xfId="1055" xr:uid="{00000000-0005-0000-0000-0000420C0000}"/>
    <cellStyle name="Normal 3 2 2 2 4 4 2 2" xfId="1056" xr:uid="{00000000-0005-0000-0000-0000430C0000}"/>
    <cellStyle name="Normal 3 2 2 2 4 4 2 2 2" xfId="1057" xr:uid="{00000000-0005-0000-0000-0000440C0000}"/>
    <cellStyle name="Normal 3 2 2 2 4 4 2 2 2 2" xfId="1058" xr:uid="{00000000-0005-0000-0000-0000450C0000}"/>
    <cellStyle name="Normal 3 2 2 2 4 4 2 2 2 2 2" xfId="28674" xr:uid="{00000000-0005-0000-0000-0000460C0000}"/>
    <cellStyle name="Normal 3 2 2 2 4 4 2 2 2 2 2 2" xfId="60545" xr:uid="{00000000-0005-0000-0000-0000470C0000}"/>
    <cellStyle name="Normal 3 2 2 2 4 4 2 2 2 2 3" xfId="32937" xr:uid="{00000000-0005-0000-0000-0000480C0000}"/>
    <cellStyle name="Normal 3 2 2 2 4 4 2 2 2 3" xfId="20796" xr:uid="{00000000-0005-0000-0000-0000490C0000}"/>
    <cellStyle name="Normal 3 2 2 2 4 4 2 2 2 3 2" xfId="52667" xr:uid="{00000000-0005-0000-0000-00004A0C0000}"/>
    <cellStyle name="Normal 3 2 2 2 4 4 2 2 2 4" xfId="32936" xr:uid="{00000000-0005-0000-0000-00004B0C0000}"/>
    <cellStyle name="Normal 3 2 2 2 4 4 2 2 3" xfId="1059" xr:uid="{00000000-0005-0000-0000-00004C0C0000}"/>
    <cellStyle name="Normal 3 2 2 2 4 4 2 2 3 2" xfId="24735" xr:uid="{00000000-0005-0000-0000-00004D0C0000}"/>
    <cellStyle name="Normal 3 2 2 2 4 4 2 2 3 2 2" xfId="56606" xr:uid="{00000000-0005-0000-0000-00004E0C0000}"/>
    <cellStyle name="Normal 3 2 2 2 4 4 2 2 3 3" xfId="32938" xr:uid="{00000000-0005-0000-0000-00004F0C0000}"/>
    <cellStyle name="Normal 3 2 2 2 4 4 2 2 4" xfId="16857" xr:uid="{00000000-0005-0000-0000-0000500C0000}"/>
    <cellStyle name="Normal 3 2 2 2 4 4 2 2 4 2" xfId="48728" xr:uid="{00000000-0005-0000-0000-0000510C0000}"/>
    <cellStyle name="Normal 3 2 2 2 4 4 2 2 5" xfId="32935" xr:uid="{00000000-0005-0000-0000-0000520C0000}"/>
    <cellStyle name="Normal 3 2 2 2 4 4 2 3" xfId="1060" xr:uid="{00000000-0005-0000-0000-0000530C0000}"/>
    <cellStyle name="Normal 3 2 2 2 4 4 2 3 2" xfId="1061" xr:uid="{00000000-0005-0000-0000-0000540C0000}"/>
    <cellStyle name="Normal 3 2 2 2 4 4 2 3 2 2" xfId="28673" xr:uid="{00000000-0005-0000-0000-0000550C0000}"/>
    <cellStyle name="Normal 3 2 2 2 4 4 2 3 2 2 2" xfId="60544" xr:uid="{00000000-0005-0000-0000-0000560C0000}"/>
    <cellStyle name="Normal 3 2 2 2 4 4 2 3 2 3" xfId="32940" xr:uid="{00000000-0005-0000-0000-0000570C0000}"/>
    <cellStyle name="Normal 3 2 2 2 4 4 2 3 3" xfId="20795" xr:uid="{00000000-0005-0000-0000-0000580C0000}"/>
    <cellStyle name="Normal 3 2 2 2 4 4 2 3 3 2" xfId="52666" xr:uid="{00000000-0005-0000-0000-0000590C0000}"/>
    <cellStyle name="Normal 3 2 2 2 4 4 2 3 4" xfId="32939" xr:uid="{00000000-0005-0000-0000-00005A0C0000}"/>
    <cellStyle name="Normal 3 2 2 2 4 4 2 4" xfId="1062" xr:uid="{00000000-0005-0000-0000-00005B0C0000}"/>
    <cellStyle name="Normal 3 2 2 2 4 4 2 4 2" xfId="24734" xr:uid="{00000000-0005-0000-0000-00005C0C0000}"/>
    <cellStyle name="Normal 3 2 2 2 4 4 2 4 2 2" xfId="56605" xr:uid="{00000000-0005-0000-0000-00005D0C0000}"/>
    <cellStyle name="Normal 3 2 2 2 4 4 2 4 3" xfId="32941" xr:uid="{00000000-0005-0000-0000-00005E0C0000}"/>
    <cellStyle name="Normal 3 2 2 2 4 4 2 5" xfId="16856" xr:uid="{00000000-0005-0000-0000-00005F0C0000}"/>
    <cellStyle name="Normal 3 2 2 2 4 4 2 5 2" xfId="48727" xr:uid="{00000000-0005-0000-0000-0000600C0000}"/>
    <cellStyle name="Normal 3 2 2 2 4 4 2 6" xfId="32934" xr:uid="{00000000-0005-0000-0000-0000610C0000}"/>
    <cellStyle name="Normal 3 2 2 2 4 4 3" xfId="1063" xr:uid="{00000000-0005-0000-0000-0000620C0000}"/>
    <cellStyle name="Normal 3 2 2 2 4 4 3 2" xfId="1064" xr:uid="{00000000-0005-0000-0000-0000630C0000}"/>
    <cellStyle name="Normal 3 2 2 2 4 4 3 2 2" xfId="1065" xr:uid="{00000000-0005-0000-0000-0000640C0000}"/>
    <cellStyle name="Normal 3 2 2 2 4 4 3 2 2 2" xfId="28675" xr:uid="{00000000-0005-0000-0000-0000650C0000}"/>
    <cellStyle name="Normal 3 2 2 2 4 4 3 2 2 2 2" xfId="60546" xr:uid="{00000000-0005-0000-0000-0000660C0000}"/>
    <cellStyle name="Normal 3 2 2 2 4 4 3 2 2 3" xfId="32944" xr:uid="{00000000-0005-0000-0000-0000670C0000}"/>
    <cellStyle name="Normal 3 2 2 2 4 4 3 2 3" xfId="20797" xr:uid="{00000000-0005-0000-0000-0000680C0000}"/>
    <cellStyle name="Normal 3 2 2 2 4 4 3 2 3 2" xfId="52668" xr:uid="{00000000-0005-0000-0000-0000690C0000}"/>
    <cellStyle name="Normal 3 2 2 2 4 4 3 2 4" xfId="32943" xr:uid="{00000000-0005-0000-0000-00006A0C0000}"/>
    <cellStyle name="Normal 3 2 2 2 4 4 3 3" xfId="1066" xr:uid="{00000000-0005-0000-0000-00006B0C0000}"/>
    <cellStyle name="Normal 3 2 2 2 4 4 3 3 2" xfId="24736" xr:uid="{00000000-0005-0000-0000-00006C0C0000}"/>
    <cellStyle name="Normal 3 2 2 2 4 4 3 3 2 2" xfId="56607" xr:uid="{00000000-0005-0000-0000-00006D0C0000}"/>
    <cellStyle name="Normal 3 2 2 2 4 4 3 3 3" xfId="32945" xr:uid="{00000000-0005-0000-0000-00006E0C0000}"/>
    <cellStyle name="Normal 3 2 2 2 4 4 3 4" xfId="16858" xr:uid="{00000000-0005-0000-0000-00006F0C0000}"/>
    <cellStyle name="Normal 3 2 2 2 4 4 3 4 2" xfId="48729" xr:uid="{00000000-0005-0000-0000-0000700C0000}"/>
    <cellStyle name="Normal 3 2 2 2 4 4 3 5" xfId="32942" xr:uid="{00000000-0005-0000-0000-0000710C0000}"/>
    <cellStyle name="Normal 3 2 2 2 4 4 4" xfId="1067" xr:uid="{00000000-0005-0000-0000-0000720C0000}"/>
    <cellStyle name="Normal 3 2 2 2 4 4 4 2" xfId="1068" xr:uid="{00000000-0005-0000-0000-0000730C0000}"/>
    <cellStyle name="Normal 3 2 2 2 4 4 4 2 2" xfId="28672" xr:uid="{00000000-0005-0000-0000-0000740C0000}"/>
    <cellStyle name="Normal 3 2 2 2 4 4 4 2 2 2" xfId="60543" xr:uid="{00000000-0005-0000-0000-0000750C0000}"/>
    <cellStyle name="Normal 3 2 2 2 4 4 4 2 3" xfId="32947" xr:uid="{00000000-0005-0000-0000-0000760C0000}"/>
    <cellStyle name="Normal 3 2 2 2 4 4 4 3" xfId="20794" xr:uid="{00000000-0005-0000-0000-0000770C0000}"/>
    <cellStyle name="Normal 3 2 2 2 4 4 4 3 2" xfId="52665" xr:uid="{00000000-0005-0000-0000-0000780C0000}"/>
    <cellStyle name="Normal 3 2 2 2 4 4 4 4" xfId="32946" xr:uid="{00000000-0005-0000-0000-0000790C0000}"/>
    <cellStyle name="Normal 3 2 2 2 4 4 5" xfId="1069" xr:uid="{00000000-0005-0000-0000-00007A0C0000}"/>
    <cellStyle name="Normal 3 2 2 2 4 4 5 2" xfId="24733" xr:uid="{00000000-0005-0000-0000-00007B0C0000}"/>
    <cellStyle name="Normal 3 2 2 2 4 4 5 2 2" xfId="56604" xr:uid="{00000000-0005-0000-0000-00007C0C0000}"/>
    <cellStyle name="Normal 3 2 2 2 4 4 5 3" xfId="32948" xr:uid="{00000000-0005-0000-0000-00007D0C0000}"/>
    <cellStyle name="Normal 3 2 2 2 4 4 6" xfId="16855" xr:uid="{00000000-0005-0000-0000-00007E0C0000}"/>
    <cellStyle name="Normal 3 2 2 2 4 4 6 2" xfId="48726" xr:uid="{00000000-0005-0000-0000-00007F0C0000}"/>
    <cellStyle name="Normal 3 2 2 2 4 4 7" xfId="32933" xr:uid="{00000000-0005-0000-0000-0000800C0000}"/>
    <cellStyle name="Normal 3 2 2 2 4 5" xfId="1070" xr:uid="{00000000-0005-0000-0000-0000810C0000}"/>
    <cellStyle name="Normal 3 2 2 2 4 5 2" xfId="1071" xr:uid="{00000000-0005-0000-0000-0000820C0000}"/>
    <cellStyle name="Normal 3 2 2 2 4 5 2 2" xfId="1072" xr:uid="{00000000-0005-0000-0000-0000830C0000}"/>
    <cellStyle name="Normal 3 2 2 2 4 5 2 2 2" xfId="1073" xr:uid="{00000000-0005-0000-0000-0000840C0000}"/>
    <cellStyle name="Normal 3 2 2 2 4 5 2 2 2 2" xfId="28677" xr:uid="{00000000-0005-0000-0000-0000850C0000}"/>
    <cellStyle name="Normal 3 2 2 2 4 5 2 2 2 2 2" xfId="60548" xr:uid="{00000000-0005-0000-0000-0000860C0000}"/>
    <cellStyle name="Normal 3 2 2 2 4 5 2 2 2 3" xfId="32952" xr:uid="{00000000-0005-0000-0000-0000870C0000}"/>
    <cellStyle name="Normal 3 2 2 2 4 5 2 2 3" xfId="20799" xr:uid="{00000000-0005-0000-0000-0000880C0000}"/>
    <cellStyle name="Normal 3 2 2 2 4 5 2 2 3 2" xfId="52670" xr:uid="{00000000-0005-0000-0000-0000890C0000}"/>
    <cellStyle name="Normal 3 2 2 2 4 5 2 2 4" xfId="32951" xr:uid="{00000000-0005-0000-0000-00008A0C0000}"/>
    <cellStyle name="Normal 3 2 2 2 4 5 2 3" xfId="1074" xr:uid="{00000000-0005-0000-0000-00008B0C0000}"/>
    <cellStyle name="Normal 3 2 2 2 4 5 2 3 2" xfId="24738" xr:uid="{00000000-0005-0000-0000-00008C0C0000}"/>
    <cellStyle name="Normal 3 2 2 2 4 5 2 3 2 2" xfId="56609" xr:uid="{00000000-0005-0000-0000-00008D0C0000}"/>
    <cellStyle name="Normal 3 2 2 2 4 5 2 3 3" xfId="32953" xr:uid="{00000000-0005-0000-0000-00008E0C0000}"/>
    <cellStyle name="Normal 3 2 2 2 4 5 2 4" xfId="16860" xr:uid="{00000000-0005-0000-0000-00008F0C0000}"/>
    <cellStyle name="Normal 3 2 2 2 4 5 2 4 2" xfId="48731" xr:uid="{00000000-0005-0000-0000-0000900C0000}"/>
    <cellStyle name="Normal 3 2 2 2 4 5 2 5" xfId="32950" xr:uid="{00000000-0005-0000-0000-0000910C0000}"/>
    <cellStyle name="Normal 3 2 2 2 4 5 3" xfId="1075" xr:uid="{00000000-0005-0000-0000-0000920C0000}"/>
    <cellStyle name="Normal 3 2 2 2 4 5 3 2" xfId="1076" xr:uid="{00000000-0005-0000-0000-0000930C0000}"/>
    <cellStyle name="Normal 3 2 2 2 4 5 3 2 2" xfId="28676" xr:uid="{00000000-0005-0000-0000-0000940C0000}"/>
    <cellStyle name="Normal 3 2 2 2 4 5 3 2 2 2" xfId="60547" xr:uid="{00000000-0005-0000-0000-0000950C0000}"/>
    <cellStyle name="Normal 3 2 2 2 4 5 3 2 3" xfId="32955" xr:uid="{00000000-0005-0000-0000-0000960C0000}"/>
    <cellStyle name="Normal 3 2 2 2 4 5 3 3" xfId="20798" xr:uid="{00000000-0005-0000-0000-0000970C0000}"/>
    <cellStyle name="Normal 3 2 2 2 4 5 3 3 2" xfId="52669" xr:uid="{00000000-0005-0000-0000-0000980C0000}"/>
    <cellStyle name="Normal 3 2 2 2 4 5 3 4" xfId="32954" xr:uid="{00000000-0005-0000-0000-0000990C0000}"/>
    <cellStyle name="Normal 3 2 2 2 4 5 4" xfId="1077" xr:uid="{00000000-0005-0000-0000-00009A0C0000}"/>
    <cellStyle name="Normal 3 2 2 2 4 5 4 2" xfId="24737" xr:uid="{00000000-0005-0000-0000-00009B0C0000}"/>
    <cellStyle name="Normal 3 2 2 2 4 5 4 2 2" xfId="56608" xr:uid="{00000000-0005-0000-0000-00009C0C0000}"/>
    <cellStyle name="Normal 3 2 2 2 4 5 4 3" xfId="32956" xr:uid="{00000000-0005-0000-0000-00009D0C0000}"/>
    <cellStyle name="Normal 3 2 2 2 4 5 5" xfId="16859" xr:uid="{00000000-0005-0000-0000-00009E0C0000}"/>
    <cellStyle name="Normal 3 2 2 2 4 5 5 2" xfId="48730" xr:uid="{00000000-0005-0000-0000-00009F0C0000}"/>
    <cellStyle name="Normal 3 2 2 2 4 5 6" xfId="32949" xr:uid="{00000000-0005-0000-0000-0000A00C0000}"/>
    <cellStyle name="Normal 3 2 2 2 4 6" xfId="1078" xr:uid="{00000000-0005-0000-0000-0000A10C0000}"/>
    <cellStyle name="Normal 3 2 2 2 4 6 2" xfId="1079" xr:uid="{00000000-0005-0000-0000-0000A20C0000}"/>
    <cellStyle name="Normal 3 2 2 2 4 6 2 2" xfId="1080" xr:uid="{00000000-0005-0000-0000-0000A30C0000}"/>
    <cellStyle name="Normal 3 2 2 2 4 6 2 2 2" xfId="28678" xr:uid="{00000000-0005-0000-0000-0000A40C0000}"/>
    <cellStyle name="Normal 3 2 2 2 4 6 2 2 2 2" xfId="60549" xr:uid="{00000000-0005-0000-0000-0000A50C0000}"/>
    <cellStyle name="Normal 3 2 2 2 4 6 2 2 3" xfId="32959" xr:uid="{00000000-0005-0000-0000-0000A60C0000}"/>
    <cellStyle name="Normal 3 2 2 2 4 6 2 3" xfId="20800" xr:uid="{00000000-0005-0000-0000-0000A70C0000}"/>
    <cellStyle name="Normal 3 2 2 2 4 6 2 3 2" xfId="52671" xr:uid="{00000000-0005-0000-0000-0000A80C0000}"/>
    <cellStyle name="Normal 3 2 2 2 4 6 2 4" xfId="32958" xr:uid="{00000000-0005-0000-0000-0000A90C0000}"/>
    <cellStyle name="Normal 3 2 2 2 4 6 3" xfId="1081" xr:uid="{00000000-0005-0000-0000-0000AA0C0000}"/>
    <cellStyle name="Normal 3 2 2 2 4 6 3 2" xfId="24739" xr:uid="{00000000-0005-0000-0000-0000AB0C0000}"/>
    <cellStyle name="Normal 3 2 2 2 4 6 3 2 2" xfId="56610" xr:uid="{00000000-0005-0000-0000-0000AC0C0000}"/>
    <cellStyle name="Normal 3 2 2 2 4 6 3 3" xfId="32960" xr:uid="{00000000-0005-0000-0000-0000AD0C0000}"/>
    <cellStyle name="Normal 3 2 2 2 4 6 4" xfId="16861" xr:uid="{00000000-0005-0000-0000-0000AE0C0000}"/>
    <cellStyle name="Normal 3 2 2 2 4 6 4 2" xfId="48732" xr:uid="{00000000-0005-0000-0000-0000AF0C0000}"/>
    <cellStyle name="Normal 3 2 2 2 4 6 5" xfId="32957" xr:uid="{00000000-0005-0000-0000-0000B00C0000}"/>
    <cellStyle name="Normal 3 2 2 2 4 7" xfId="1082" xr:uid="{00000000-0005-0000-0000-0000B10C0000}"/>
    <cellStyle name="Normal 3 2 2 2 4 7 2" xfId="1083" xr:uid="{00000000-0005-0000-0000-0000B20C0000}"/>
    <cellStyle name="Normal 3 2 2 2 4 7 2 2" xfId="28353" xr:uid="{00000000-0005-0000-0000-0000B30C0000}"/>
    <cellStyle name="Normal 3 2 2 2 4 7 2 2 2" xfId="60224" xr:uid="{00000000-0005-0000-0000-0000B40C0000}"/>
    <cellStyle name="Normal 3 2 2 2 4 7 2 3" xfId="32962" xr:uid="{00000000-0005-0000-0000-0000B50C0000}"/>
    <cellStyle name="Normal 3 2 2 2 4 7 3" xfId="20475" xr:uid="{00000000-0005-0000-0000-0000B60C0000}"/>
    <cellStyle name="Normal 3 2 2 2 4 7 3 2" xfId="52346" xr:uid="{00000000-0005-0000-0000-0000B70C0000}"/>
    <cellStyle name="Normal 3 2 2 2 4 7 4" xfId="32961" xr:uid="{00000000-0005-0000-0000-0000B80C0000}"/>
    <cellStyle name="Normal 3 2 2 2 4 8" xfId="1084" xr:uid="{00000000-0005-0000-0000-0000B90C0000}"/>
    <cellStyle name="Normal 3 2 2 2 4 8 2" xfId="24414" xr:uid="{00000000-0005-0000-0000-0000BA0C0000}"/>
    <cellStyle name="Normal 3 2 2 2 4 8 2 2" xfId="56285" xr:uid="{00000000-0005-0000-0000-0000BB0C0000}"/>
    <cellStyle name="Normal 3 2 2 2 4 8 3" xfId="32963" xr:uid="{00000000-0005-0000-0000-0000BC0C0000}"/>
    <cellStyle name="Normal 3 2 2 2 4 9" xfId="16536" xr:uid="{00000000-0005-0000-0000-0000BD0C0000}"/>
    <cellStyle name="Normal 3 2 2 2 4 9 2" xfId="48407" xr:uid="{00000000-0005-0000-0000-0000BE0C0000}"/>
    <cellStyle name="Normal 3 2 2 2 5" xfId="1085" xr:uid="{00000000-0005-0000-0000-0000BF0C0000}"/>
    <cellStyle name="Normal 3 2 2 2 5 2" xfId="1086" xr:uid="{00000000-0005-0000-0000-0000C00C0000}"/>
    <cellStyle name="Normal 3 2 2 2 5 2 2" xfId="1087" xr:uid="{00000000-0005-0000-0000-0000C10C0000}"/>
    <cellStyle name="Normal 3 2 2 2 5 2 2 2" xfId="1088" xr:uid="{00000000-0005-0000-0000-0000C20C0000}"/>
    <cellStyle name="Normal 3 2 2 2 5 2 2 2 2" xfId="1089" xr:uid="{00000000-0005-0000-0000-0000C30C0000}"/>
    <cellStyle name="Normal 3 2 2 2 5 2 2 2 2 2" xfId="1090" xr:uid="{00000000-0005-0000-0000-0000C40C0000}"/>
    <cellStyle name="Normal 3 2 2 2 5 2 2 2 2 2 2" xfId="1091" xr:uid="{00000000-0005-0000-0000-0000C50C0000}"/>
    <cellStyle name="Normal 3 2 2 2 5 2 2 2 2 2 2 2" xfId="28682" xr:uid="{00000000-0005-0000-0000-0000C60C0000}"/>
    <cellStyle name="Normal 3 2 2 2 5 2 2 2 2 2 2 2 2" xfId="60553" xr:uid="{00000000-0005-0000-0000-0000C70C0000}"/>
    <cellStyle name="Normal 3 2 2 2 5 2 2 2 2 2 2 3" xfId="32970" xr:uid="{00000000-0005-0000-0000-0000C80C0000}"/>
    <cellStyle name="Normal 3 2 2 2 5 2 2 2 2 2 3" xfId="20804" xr:uid="{00000000-0005-0000-0000-0000C90C0000}"/>
    <cellStyle name="Normal 3 2 2 2 5 2 2 2 2 2 3 2" xfId="52675" xr:uid="{00000000-0005-0000-0000-0000CA0C0000}"/>
    <cellStyle name="Normal 3 2 2 2 5 2 2 2 2 2 4" xfId="32969" xr:uid="{00000000-0005-0000-0000-0000CB0C0000}"/>
    <cellStyle name="Normal 3 2 2 2 5 2 2 2 2 3" xfId="1092" xr:uid="{00000000-0005-0000-0000-0000CC0C0000}"/>
    <cellStyle name="Normal 3 2 2 2 5 2 2 2 2 3 2" xfId="24743" xr:uid="{00000000-0005-0000-0000-0000CD0C0000}"/>
    <cellStyle name="Normal 3 2 2 2 5 2 2 2 2 3 2 2" xfId="56614" xr:uid="{00000000-0005-0000-0000-0000CE0C0000}"/>
    <cellStyle name="Normal 3 2 2 2 5 2 2 2 2 3 3" xfId="32971" xr:uid="{00000000-0005-0000-0000-0000CF0C0000}"/>
    <cellStyle name="Normal 3 2 2 2 5 2 2 2 2 4" xfId="16865" xr:uid="{00000000-0005-0000-0000-0000D00C0000}"/>
    <cellStyle name="Normal 3 2 2 2 5 2 2 2 2 4 2" xfId="48736" xr:uid="{00000000-0005-0000-0000-0000D10C0000}"/>
    <cellStyle name="Normal 3 2 2 2 5 2 2 2 2 5" xfId="32968" xr:uid="{00000000-0005-0000-0000-0000D20C0000}"/>
    <cellStyle name="Normal 3 2 2 2 5 2 2 2 3" xfId="1093" xr:uid="{00000000-0005-0000-0000-0000D30C0000}"/>
    <cellStyle name="Normal 3 2 2 2 5 2 2 2 3 2" xfId="1094" xr:uid="{00000000-0005-0000-0000-0000D40C0000}"/>
    <cellStyle name="Normal 3 2 2 2 5 2 2 2 3 2 2" xfId="28681" xr:uid="{00000000-0005-0000-0000-0000D50C0000}"/>
    <cellStyle name="Normal 3 2 2 2 5 2 2 2 3 2 2 2" xfId="60552" xr:uid="{00000000-0005-0000-0000-0000D60C0000}"/>
    <cellStyle name="Normal 3 2 2 2 5 2 2 2 3 2 3" xfId="32973" xr:uid="{00000000-0005-0000-0000-0000D70C0000}"/>
    <cellStyle name="Normal 3 2 2 2 5 2 2 2 3 3" xfId="20803" xr:uid="{00000000-0005-0000-0000-0000D80C0000}"/>
    <cellStyle name="Normal 3 2 2 2 5 2 2 2 3 3 2" xfId="52674" xr:uid="{00000000-0005-0000-0000-0000D90C0000}"/>
    <cellStyle name="Normal 3 2 2 2 5 2 2 2 3 4" xfId="32972" xr:uid="{00000000-0005-0000-0000-0000DA0C0000}"/>
    <cellStyle name="Normal 3 2 2 2 5 2 2 2 4" xfId="1095" xr:uid="{00000000-0005-0000-0000-0000DB0C0000}"/>
    <cellStyle name="Normal 3 2 2 2 5 2 2 2 4 2" xfId="24742" xr:uid="{00000000-0005-0000-0000-0000DC0C0000}"/>
    <cellStyle name="Normal 3 2 2 2 5 2 2 2 4 2 2" xfId="56613" xr:uid="{00000000-0005-0000-0000-0000DD0C0000}"/>
    <cellStyle name="Normal 3 2 2 2 5 2 2 2 4 3" xfId="32974" xr:uid="{00000000-0005-0000-0000-0000DE0C0000}"/>
    <cellStyle name="Normal 3 2 2 2 5 2 2 2 5" xfId="16864" xr:uid="{00000000-0005-0000-0000-0000DF0C0000}"/>
    <cellStyle name="Normal 3 2 2 2 5 2 2 2 5 2" xfId="48735" xr:uid="{00000000-0005-0000-0000-0000E00C0000}"/>
    <cellStyle name="Normal 3 2 2 2 5 2 2 2 6" xfId="32967" xr:uid="{00000000-0005-0000-0000-0000E10C0000}"/>
    <cellStyle name="Normal 3 2 2 2 5 2 2 3" xfId="1096" xr:uid="{00000000-0005-0000-0000-0000E20C0000}"/>
    <cellStyle name="Normal 3 2 2 2 5 2 2 3 2" xfId="1097" xr:uid="{00000000-0005-0000-0000-0000E30C0000}"/>
    <cellStyle name="Normal 3 2 2 2 5 2 2 3 2 2" xfId="1098" xr:uid="{00000000-0005-0000-0000-0000E40C0000}"/>
    <cellStyle name="Normal 3 2 2 2 5 2 2 3 2 2 2" xfId="28683" xr:uid="{00000000-0005-0000-0000-0000E50C0000}"/>
    <cellStyle name="Normal 3 2 2 2 5 2 2 3 2 2 2 2" xfId="60554" xr:uid="{00000000-0005-0000-0000-0000E60C0000}"/>
    <cellStyle name="Normal 3 2 2 2 5 2 2 3 2 2 3" xfId="32977" xr:uid="{00000000-0005-0000-0000-0000E70C0000}"/>
    <cellStyle name="Normal 3 2 2 2 5 2 2 3 2 3" xfId="20805" xr:uid="{00000000-0005-0000-0000-0000E80C0000}"/>
    <cellStyle name="Normal 3 2 2 2 5 2 2 3 2 3 2" xfId="52676" xr:uid="{00000000-0005-0000-0000-0000E90C0000}"/>
    <cellStyle name="Normal 3 2 2 2 5 2 2 3 2 4" xfId="32976" xr:uid="{00000000-0005-0000-0000-0000EA0C0000}"/>
    <cellStyle name="Normal 3 2 2 2 5 2 2 3 3" xfId="1099" xr:uid="{00000000-0005-0000-0000-0000EB0C0000}"/>
    <cellStyle name="Normal 3 2 2 2 5 2 2 3 3 2" xfId="24744" xr:uid="{00000000-0005-0000-0000-0000EC0C0000}"/>
    <cellStyle name="Normal 3 2 2 2 5 2 2 3 3 2 2" xfId="56615" xr:uid="{00000000-0005-0000-0000-0000ED0C0000}"/>
    <cellStyle name="Normal 3 2 2 2 5 2 2 3 3 3" xfId="32978" xr:uid="{00000000-0005-0000-0000-0000EE0C0000}"/>
    <cellStyle name="Normal 3 2 2 2 5 2 2 3 4" xfId="16866" xr:uid="{00000000-0005-0000-0000-0000EF0C0000}"/>
    <cellStyle name="Normal 3 2 2 2 5 2 2 3 4 2" xfId="48737" xr:uid="{00000000-0005-0000-0000-0000F00C0000}"/>
    <cellStyle name="Normal 3 2 2 2 5 2 2 3 5" xfId="32975" xr:uid="{00000000-0005-0000-0000-0000F10C0000}"/>
    <cellStyle name="Normal 3 2 2 2 5 2 2 4" xfId="1100" xr:uid="{00000000-0005-0000-0000-0000F20C0000}"/>
    <cellStyle name="Normal 3 2 2 2 5 2 2 4 2" xfId="1101" xr:uid="{00000000-0005-0000-0000-0000F30C0000}"/>
    <cellStyle name="Normal 3 2 2 2 5 2 2 4 2 2" xfId="28680" xr:uid="{00000000-0005-0000-0000-0000F40C0000}"/>
    <cellStyle name="Normal 3 2 2 2 5 2 2 4 2 2 2" xfId="60551" xr:uid="{00000000-0005-0000-0000-0000F50C0000}"/>
    <cellStyle name="Normal 3 2 2 2 5 2 2 4 2 3" xfId="32980" xr:uid="{00000000-0005-0000-0000-0000F60C0000}"/>
    <cellStyle name="Normal 3 2 2 2 5 2 2 4 3" xfId="20802" xr:uid="{00000000-0005-0000-0000-0000F70C0000}"/>
    <cellStyle name="Normal 3 2 2 2 5 2 2 4 3 2" xfId="52673" xr:uid="{00000000-0005-0000-0000-0000F80C0000}"/>
    <cellStyle name="Normal 3 2 2 2 5 2 2 4 4" xfId="32979" xr:uid="{00000000-0005-0000-0000-0000F90C0000}"/>
    <cellStyle name="Normal 3 2 2 2 5 2 2 5" xfId="1102" xr:uid="{00000000-0005-0000-0000-0000FA0C0000}"/>
    <cellStyle name="Normal 3 2 2 2 5 2 2 5 2" xfId="24741" xr:uid="{00000000-0005-0000-0000-0000FB0C0000}"/>
    <cellStyle name="Normal 3 2 2 2 5 2 2 5 2 2" xfId="56612" xr:uid="{00000000-0005-0000-0000-0000FC0C0000}"/>
    <cellStyle name="Normal 3 2 2 2 5 2 2 5 3" xfId="32981" xr:uid="{00000000-0005-0000-0000-0000FD0C0000}"/>
    <cellStyle name="Normal 3 2 2 2 5 2 2 6" xfId="16863" xr:uid="{00000000-0005-0000-0000-0000FE0C0000}"/>
    <cellStyle name="Normal 3 2 2 2 5 2 2 6 2" xfId="48734" xr:uid="{00000000-0005-0000-0000-0000FF0C0000}"/>
    <cellStyle name="Normal 3 2 2 2 5 2 2 7" xfId="32966" xr:uid="{00000000-0005-0000-0000-0000000D0000}"/>
    <cellStyle name="Normal 3 2 2 2 5 2 3" xfId="1103" xr:uid="{00000000-0005-0000-0000-0000010D0000}"/>
    <cellStyle name="Normal 3 2 2 2 5 2 3 2" xfId="1104" xr:uid="{00000000-0005-0000-0000-0000020D0000}"/>
    <cellStyle name="Normal 3 2 2 2 5 2 3 2 2" xfId="1105" xr:uid="{00000000-0005-0000-0000-0000030D0000}"/>
    <cellStyle name="Normal 3 2 2 2 5 2 3 2 2 2" xfId="1106" xr:uid="{00000000-0005-0000-0000-0000040D0000}"/>
    <cellStyle name="Normal 3 2 2 2 5 2 3 2 2 2 2" xfId="28685" xr:uid="{00000000-0005-0000-0000-0000050D0000}"/>
    <cellStyle name="Normal 3 2 2 2 5 2 3 2 2 2 2 2" xfId="60556" xr:uid="{00000000-0005-0000-0000-0000060D0000}"/>
    <cellStyle name="Normal 3 2 2 2 5 2 3 2 2 2 3" xfId="32985" xr:uid="{00000000-0005-0000-0000-0000070D0000}"/>
    <cellStyle name="Normal 3 2 2 2 5 2 3 2 2 3" xfId="20807" xr:uid="{00000000-0005-0000-0000-0000080D0000}"/>
    <cellStyle name="Normal 3 2 2 2 5 2 3 2 2 3 2" xfId="52678" xr:uid="{00000000-0005-0000-0000-0000090D0000}"/>
    <cellStyle name="Normal 3 2 2 2 5 2 3 2 2 4" xfId="32984" xr:uid="{00000000-0005-0000-0000-00000A0D0000}"/>
    <cellStyle name="Normal 3 2 2 2 5 2 3 2 3" xfId="1107" xr:uid="{00000000-0005-0000-0000-00000B0D0000}"/>
    <cellStyle name="Normal 3 2 2 2 5 2 3 2 3 2" xfId="24746" xr:uid="{00000000-0005-0000-0000-00000C0D0000}"/>
    <cellStyle name="Normal 3 2 2 2 5 2 3 2 3 2 2" xfId="56617" xr:uid="{00000000-0005-0000-0000-00000D0D0000}"/>
    <cellStyle name="Normal 3 2 2 2 5 2 3 2 3 3" xfId="32986" xr:uid="{00000000-0005-0000-0000-00000E0D0000}"/>
    <cellStyle name="Normal 3 2 2 2 5 2 3 2 4" xfId="16868" xr:uid="{00000000-0005-0000-0000-00000F0D0000}"/>
    <cellStyle name="Normal 3 2 2 2 5 2 3 2 4 2" xfId="48739" xr:uid="{00000000-0005-0000-0000-0000100D0000}"/>
    <cellStyle name="Normal 3 2 2 2 5 2 3 2 5" xfId="32983" xr:uid="{00000000-0005-0000-0000-0000110D0000}"/>
    <cellStyle name="Normal 3 2 2 2 5 2 3 3" xfId="1108" xr:uid="{00000000-0005-0000-0000-0000120D0000}"/>
    <cellStyle name="Normal 3 2 2 2 5 2 3 3 2" xfId="1109" xr:uid="{00000000-0005-0000-0000-0000130D0000}"/>
    <cellStyle name="Normal 3 2 2 2 5 2 3 3 2 2" xfId="28684" xr:uid="{00000000-0005-0000-0000-0000140D0000}"/>
    <cellStyle name="Normal 3 2 2 2 5 2 3 3 2 2 2" xfId="60555" xr:uid="{00000000-0005-0000-0000-0000150D0000}"/>
    <cellStyle name="Normal 3 2 2 2 5 2 3 3 2 3" xfId="32988" xr:uid="{00000000-0005-0000-0000-0000160D0000}"/>
    <cellStyle name="Normal 3 2 2 2 5 2 3 3 3" xfId="20806" xr:uid="{00000000-0005-0000-0000-0000170D0000}"/>
    <cellStyle name="Normal 3 2 2 2 5 2 3 3 3 2" xfId="52677" xr:uid="{00000000-0005-0000-0000-0000180D0000}"/>
    <cellStyle name="Normal 3 2 2 2 5 2 3 3 4" xfId="32987" xr:uid="{00000000-0005-0000-0000-0000190D0000}"/>
    <cellStyle name="Normal 3 2 2 2 5 2 3 4" xfId="1110" xr:uid="{00000000-0005-0000-0000-00001A0D0000}"/>
    <cellStyle name="Normal 3 2 2 2 5 2 3 4 2" xfId="24745" xr:uid="{00000000-0005-0000-0000-00001B0D0000}"/>
    <cellStyle name="Normal 3 2 2 2 5 2 3 4 2 2" xfId="56616" xr:uid="{00000000-0005-0000-0000-00001C0D0000}"/>
    <cellStyle name="Normal 3 2 2 2 5 2 3 4 3" xfId="32989" xr:uid="{00000000-0005-0000-0000-00001D0D0000}"/>
    <cellStyle name="Normal 3 2 2 2 5 2 3 5" xfId="16867" xr:uid="{00000000-0005-0000-0000-00001E0D0000}"/>
    <cellStyle name="Normal 3 2 2 2 5 2 3 5 2" xfId="48738" xr:uid="{00000000-0005-0000-0000-00001F0D0000}"/>
    <cellStyle name="Normal 3 2 2 2 5 2 3 6" xfId="32982" xr:uid="{00000000-0005-0000-0000-0000200D0000}"/>
    <cellStyle name="Normal 3 2 2 2 5 2 4" xfId="1111" xr:uid="{00000000-0005-0000-0000-0000210D0000}"/>
    <cellStyle name="Normal 3 2 2 2 5 2 4 2" xfId="1112" xr:uid="{00000000-0005-0000-0000-0000220D0000}"/>
    <cellStyle name="Normal 3 2 2 2 5 2 4 2 2" xfId="1113" xr:uid="{00000000-0005-0000-0000-0000230D0000}"/>
    <cellStyle name="Normal 3 2 2 2 5 2 4 2 2 2" xfId="28686" xr:uid="{00000000-0005-0000-0000-0000240D0000}"/>
    <cellStyle name="Normal 3 2 2 2 5 2 4 2 2 2 2" xfId="60557" xr:uid="{00000000-0005-0000-0000-0000250D0000}"/>
    <cellStyle name="Normal 3 2 2 2 5 2 4 2 2 3" xfId="32992" xr:uid="{00000000-0005-0000-0000-0000260D0000}"/>
    <cellStyle name="Normal 3 2 2 2 5 2 4 2 3" xfId="20808" xr:uid="{00000000-0005-0000-0000-0000270D0000}"/>
    <cellStyle name="Normal 3 2 2 2 5 2 4 2 3 2" xfId="52679" xr:uid="{00000000-0005-0000-0000-0000280D0000}"/>
    <cellStyle name="Normal 3 2 2 2 5 2 4 2 4" xfId="32991" xr:uid="{00000000-0005-0000-0000-0000290D0000}"/>
    <cellStyle name="Normal 3 2 2 2 5 2 4 3" xfId="1114" xr:uid="{00000000-0005-0000-0000-00002A0D0000}"/>
    <cellStyle name="Normal 3 2 2 2 5 2 4 3 2" xfId="24747" xr:uid="{00000000-0005-0000-0000-00002B0D0000}"/>
    <cellStyle name="Normal 3 2 2 2 5 2 4 3 2 2" xfId="56618" xr:uid="{00000000-0005-0000-0000-00002C0D0000}"/>
    <cellStyle name="Normal 3 2 2 2 5 2 4 3 3" xfId="32993" xr:uid="{00000000-0005-0000-0000-00002D0D0000}"/>
    <cellStyle name="Normal 3 2 2 2 5 2 4 4" xfId="16869" xr:uid="{00000000-0005-0000-0000-00002E0D0000}"/>
    <cellStyle name="Normal 3 2 2 2 5 2 4 4 2" xfId="48740" xr:uid="{00000000-0005-0000-0000-00002F0D0000}"/>
    <cellStyle name="Normal 3 2 2 2 5 2 4 5" xfId="32990" xr:uid="{00000000-0005-0000-0000-0000300D0000}"/>
    <cellStyle name="Normal 3 2 2 2 5 2 5" xfId="1115" xr:uid="{00000000-0005-0000-0000-0000310D0000}"/>
    <cellStyle name="Normal 3 2 2 2 5 2 5 2" xfId="1116" xr:uid="{00000000-0005-0000-0000-0000320D0000}"/>
    <cellStyle name="Normal 3 2 2 2 5 2 5 2 2" xfId="28679" xr:uid="{00000000-0005-0000-0000-0000330D0000}"/>
    <cellStyle name="Normal 3 2 2 2 5 2 5 2 2 2" xfId="60550" xr:uid="{00000000-0005-0000-0000-0000340D0000}"/>
    <cellStyle name="Normal 3 2 2 2 5 2 5 2 3" xfId="32995" xr:uid="{00000000-0005-0000-0000-0000350D0000}"/>
    <cellStyle name="Normal 3 2 2 2 5 2 5 3" xfId="20801" xr:uid="{00000000-0005-0000-0000-0000360D0000}"/>
    <cellStyle name="Normal 3 2 2 2 5 2 5 3 2" xfId="52672" xr:uid="{00000000-0005-0000-0000-0000370D0000}"/>
    <cellStyle name="Normal 3 2 2 2 5 2 5 4" xfId="32994" xr:uid="{00000000-0005-0000-0000-0000380D0000}"/>
    <cellStyle name="Normal 3 2 2 2 5 2 6" xfId="1117" xr:uid="{00000000-0005-0000-0000-0000390D0000}"/>
    <cellStyle name="Normal 3 2 2 2 5 2 6 2" xfId="24740" xr:uid="{00000000-0005-0000-0000-00003A0D0000}"/>
    <cellStyle name="Normal 3 2 2 2 5 2 6 2 2" xfId="56611" xr:uid="{00000000-0005-0000-0000-00003B0D0000}"/>
    <cellStyle name="Normal 3 2 2 2 5 2 6 3" xfId="32996" xr:uid="{00000000-0005-0000-0000-00003C0D0000}"/>
    <cellStyle name="Normal 3 2 2 2 5 2 7" xfId="16862" xr:uid="{00000000-0005-0000-0000-00003D0D0000}"/>
    <cellStyle name="Normal 3 2 2 2 5 2 7 2" xfId="48733" xr:uid="{00000000-0005-0000-0000-00003E0D0000}"/>
    <cellStyle name="Normal 3 2 2 2 5 2 8" xfId="32965" xr:uid="{00000000-0005-0000-0000-00003F0D0000}"/>
    <cellStyle name="Normal 3 2 2 2 5 3" xfId="1118" xr:uid="{00000000-0005-0000-0000-0000400D0000}"/>
    <cellStyle name="Normal 3 2 2 2 5 3 2" xfId="1119" xr:uid="{00000000-0005-0000-0000-0000410D0000}"/>
    <cellStyle name="Normal 3 2 2 2 5 3 2 2" xfId="1120" xr:uid="{00000000-0005-0000-0000-0000420D0000}"/>
    <cellStyle name="Normal 3 2 2 2 5 3 2 2 2" xfId="1121" xr:uid="{00000000-0005-0000-0000-0000430D0000}"/>
    <cellStyle name="Normal 3 2 2 2 5 3 2 2 2 2" xfId="1122" xr:uid="{00000000-0005-0000-0000-0000440D0000}"/>
    <cellStyle name="Normal 3 2 2 2 5 3 2 2 2 2 2" xfId="28689" xr:uid="{00000000-0005-0000-0000-0000450D0000}"/>
    <cellStyle name="Normal 3 2 2 2 5 3 2 2 2 2 2 2" xfId="60560" xr:uid="{00000000-0005-0000-0000-0000460D0000}"/>
    <cellStyle name="Normal 3 2 2 2 5 3 2 2 2 2 3" xfId="33001" xr:uid="{00000000-0005-0000-0000-0000470D0000}"/>
    <cellStyle name="Normal 3 2 2 2 5 3 2 2 2 3" xfId="20811" xr:uid="{00000000-0005-0000-0000-0000480D0000}"/>
    <cellStyle name="Normal 3 2 2 2 5 3 2 2 2 3 2" xfId="52682" xr:uid="{00000000-0005-0000-0000-0000490D0000}"/>
    <cellStyle name="Normal 3 2 2 2 5 3 2 2 2 4" xfId="33000" xr:uid="{00000000-0005-0000-0000-00004A0D0000}"/>
    <cellStyle name="Normal 3 2 2 2 5 3 2 2 3" xfId="1123" xr:uid="{00000000-0005-0000-0000-00004B0D0000}"/>
    <cellStyle name="Normal 3 2 2 2 5 3 2 2 3 2" xfId="24750" xr:uid="{00000000-0005-0000-0000-00004C0D0000}"/>
    <cellStyle name="Normal 3 2 2 2 5 3 2 2 3 2 2" xfId="56621" xr:uid="{00000000-0005-0000-0000-00004D0D0000}"/>
    <cellStyle name="Normal 3 2 2 2 5 3 2 2 3 3" xfId="33002" xr:uid="{00000000-0005-0000-0000-00004E0D0000}"/>
    <cellStyle name="Normal 3 2 2 2 5 3 2 2 4" xfId="16872" xr:uid="{00000000-0005-0000-0000-00004F0D0000}"/>
    <cellStyle name="Normal 3 2 2 2 5 3 2 2 4 2" xfId="48743" xr:uid="{00000000-0005-0000-0000-0000500D0000}"/>
    <cellStyle name="Normal 3 2 2 2 5 3 2 2 5" xfId="32999" xr:uid="{00000000-0005-0000-0000-0000510D0000}"/>
    <cellStyle name="Normal 3 2 2 2 5 3 2 3" xfId="1124" xr:uid="{00000000-0005-0000-0000-0000520D0000}"/>
    <cellStyle name="Normal 3 2 2 2 5 3 2 3 2" xfId="1125" xr:uid="{00000000-0005-0000-0000-0000530D0000}"/>
    <cellStyle name="Normal 3 2 2 2 5 3 2 3 2 2" xfId="28688" xr:uid="{00000000-0005-0000-0000-0000540D0000}"/>
    <cellStyle name="Normal 3 2 2 2 5 3 2 3 2 2 2" xfId="60559" xr:uid="{00000000-0005-0000-0000-0000550D0000}"/>
    <cellStyle name="Normal 3 2 2 2 5 3 2 3 2 3" xfId="33004" xr:uid="{00000000-0005-0000-0000-0000560D0000}"/>
    <cellStyle name="Normal 3 2 2 2 5 3 2 3 3" xfId="20810" xr:uid="{00000000-0005-0000-0000-0000570D0000}"/>
    <cellStyle name="Normal 3 2 2 2 5 3 2 3 3 2" xfId="52681" xr:uid="{00000000-0005-0000-0000-0000580D0000}"/>
    <cellStyle name="Normal 3 2 2 2 5 3 2 3 4" xfId="33003" xr:uid="{00000000-0005-0000-0000-0000590D0000}"/>
    <cellStyle name="Normal 3 2 2 2 5 3 2 4" xfId="1126" xr:uid="{00000000-0005-0000-0000-00005A0D0000}"/>
    <cellStyle name="Normal 3 2 2 2 5 3 2 4 2" xfId="24749" xr:uid="{00000000-0005-0000-0000-00005B0D0000}"/>
    <cellStyle name="Normal 3 2 2 2 5 3 2 4 2 2" xfId="56620" xr:uid="{00000000-0005-0000-0000-00005C0D0000}"/>
    <cellStyle name="Normal 3 2 2 2 5 3 2 4 3" xfId="33005" xr:uid="{00000000-0005-0000-0000-00005D0D0000}"/>
    <cellStyle name="Normal 3 2 2 2 5 3 2 5" xfId="16871" xr:uid="{00000000-0005-0000-0000-00005E0D0000}"/>
    <cellStyle name="Normal 3 2 2 2 5 3 2 5 2" xfId="48742" xr:uid="{00000000-0005-0000-0000-00005F0D0000}"/>
    <cellStyle name="Normal 3 2 2 2 5 3 2 6" xfId="32998" xr:uid="{00000000-0005-0000-0000-0000600D0000}"/>
    <cellStyle name="Normal 3 2 2 2 5 3 3" xfId="1127" xr:uid="{00000000-0005-0000-0000-0000610D0000}"/>
    <cellStyle name="Normal 3 2 2 2 5 3 3 2" xfId="1128" xr:uid="{00000000-0005-0000-0000-0000620D0000}"/>
    <cellStyle name="Normal 3 2 2 2 5 3 3 2 2" xfId="1129" xr:uid="{00000000-0005-0000-0000-0000630D0000}"/>
    <cellStyle name="Normal 3 2 2 2 5 3 3 2 2 2" xfId="28690" xr:uid="{00000000-0005-0000-0000-0000640D0000}"/>
    <cellStyle name="Normal 3 2 2 2 5 3 3 2 2 2 2" xfId="60561" xr:uid="{00000000-0005-0000-0000-0000650D0000}"/>
    <cellStyle name="Normal 3 2 2 2 5 3 3 2 2 3" xfId="33008" xr:uid="{00000000-0005-0000-0000-0000660D0000}"/>
    <cellStyle name="Normal 3 2 2 2 5 3 3 2 3" xfId="20812" xr:uid="{00000000-0005-0000-0000-0000670D0000}"/>
    <cellStyle name="Normal 3 2 2 2 5 3 3 2 3 2" xfId="52683" xr:uid="{00000000-0005-0000-0000-0000680D0000}"/>
    <cellStyle name="Normal 3 2 2 2 5 3 3 2 4" xfId="33007" xr:uid="{00000000-0005-0000-0000-0000690D0000}"/>
    <cellStyle name="Normal 3 2 2 2 5 3 3 3" xfId="1130" xr:uid="{00000000-0005-0000-0000-00006A0D0000}"/>
    <cellStyle name="Normal 3 2 2 2 5 3 3 3 2" xfId="24751" xr:uid="{00000000-0005-0000-0000-00006B0D0000}"/>
    <cellStyle name="Normal 3 2 2 2 5 3 3 3 2 2" xfId="56622" xr:uid="{00000000-0005-0000-0000-00006C0D0000}"/>
    <cellStyle name="Normal 3 2 2 2 5 3 3 3 3" xfId="33009" xr:uid="{00000000-0005-0000-0000-00006D0D0000}"/>
    <cellStyle name="Normal 3 2 2 2 5 3 3 4" xfId="16873" xr:uid="{00000000-0005-0000-0000-00006E0D0000}"/>
    <cellStyle name="Normal 3 2 2 2 5 3 3 4 2" xfId="48744" xr:uid="{00000000-0005-0000-0000-00006F0D0000}"/>
    <cellStyle name="Normal 3 2 2 2 5 3 3 5" xfId="33006" xr:uid="{00000000-0005-0000-0000-0000700D0000}"/>
    <cellStyle name="Normal 3 2 2 2 5 3 4" xfId="1131" xr:uid="{00000000-0005-0000-0000-0000710D0000}"/>
    <cellStyle name="Normal 3 2 2 2 5 3 4 2" xfId="1132" xr:uid="{00000000-0005-0000-0000-0000720D0000}"/>
    <cellStyle name="Normal 3 2 2 2 5 3 4 2 2" xfId="28687" xr:uid="{00000000-0005-0000-0000-0000730D0000}"/>
    <cellStyle name="Normal 3 2 2 2 5 3 4 2 2 2" xfId="60558" xr:uid="{00000000-0005-0000-0000-0000740D0000}"/>
    <cellStyle name="Normal 3 2 2 2 5 3 4 2 3" xfId="33011" xr:uid="{00000000-0005-0000-0000-0000750D0000}"/>
    <cellStyle name="Normal 3 2 2 2 5 3 4 3" xfId="20809" xr:uid="{00000000-0005-0000-0000-0000760D0000}"/>
    <cellStyle name="Normal 3 2 2 2 5 3 4 3 2" xfId="52680" xr:uid="{00000000-0005-0000-0000-0000770D0000}"/>
    <cellStyle name="Normal 3 2 2 2 5 3 4 4" xfId="33010" xr:uid="{00000000-0005-0000-0000-0000780D0000}"/>
    <cellStyle name="Normal 3 2 2 2 5 3 5" xfId="1133" xr:uid="{00000000-0005-0000-0000-0000790D0000}"/>
    <cellStyle name="Normal 3 2 2 2 5 3 5 2" xfId="24748" xr:uid="{00000000-0005-0000-0000-00007A0D0000}"/>
    <cellStyle name="Normal 3 2 2 2 5 3 5 2 2" xfId="56619" xr:uid="{00000000-0005-0000-0000-00007B0D0000}"/>
    <cellStyle name="Normal 3 2 2 2 5 3 5 3" xfId="33012" xr:uid="{00000000-0005-0000-0000-00007C0D0000}"/>
    <cellStyle name="Normal 3 2 2 2 5 3 6" xfId="16870" xr:uid="{00000000-0005-0000-0000-00007D0D0000}"/>
    <cellStyle name="Normal 3 2 2 2 5 3 6 2" xfId="48741" xr:uid="{00000000-0005-0000-0000-00007E0D0000}"/>
    <cellStyle name="Normal 3 2 2 2 5 3 7" xfId="32997" xr:uid="{00000000-0005-0000-0000-00007F0D0000}"/>
    <cellStyle name="Normal 3 2 2 2 5 4" xfId="1134" xr:uid="{00000000-0005-0000-0000-0000800D0000}"/>
    <cellStyle name="Normal 3 2 2 2 5 4 2" xfId="1135" xr:uid="{00000000-0005-0000-0000-0000810D0000}"/>
    <cellStyle name="Normal 3 2 2 2 5 4 2 2" xfId="1136" xr:uid="{00000000-0005-0000-0000-0000820D0000}"/>
    <cellStyle name="Normal 3 2 2 2 5 4 2 2 2" xfId="1137" xr:uid="{00000000-0005-0000-0000-0000830D0000}"/>
    <cellStyle name="Normal 3 2 2 2 5 4 2 2 2 2" xfId="28692" xr:uid="{00000000-0005-0000-0000-0000840D0000}"/>
    <cellStyle name="Normal 3 2 2 2 5 4 2 2 2 2 2" xfId="60563" xr:uid="{00000000-0005-0000-0000-0000850D0000}"/>
    <cellStyle name="Normal 3 2 2 2 5 4 2 2 2 3" xfId="33016" xr:uid="{00000000-0005-0000-0000-0000860D0000}"/>
    <cellStyle name="Normal 3 2 2 2 5 4 2 2 3" xfId="20814" xr:uid="{00000000-0005-0000-0000-0000870D0000}"/>
    <cellStyle name="Normal 3 2 2 2 5 4 2 2 3 2" xfId="52685" xr:uid="{00000000-0005-0000-0000-0000880D0000}"/>
    <cellStyle name="Normal 3 2 2 2 5 4 2 2 4" xfId="33015" xr:uid="{00000000-0005-0000-0000-0000890D0000}"/>
    <cellStyle name="Normal 3 2 2 2 5 4 2 3" xfId="1138" xr:uid="{00000000-0005-0000-0000-00008A0D0000}"/>
    <cellStyle name="Normal 3 2 2 2 5 4 2 3 2" xfId="24753" xr:uid="{00000000-0005-0000-0000-00008B0D0000}"/>
    <cellStyle name="Normal 3 2 2 2 5 4 2 3 2 2" xfId="56624" xr:uid="{00000000-0005-0000-0000-00008C0D0000}"/>
    <cellStyle name="Normal 3 2 2 2 5 4 2 3 3" xfId="33017" xr:uid="{00000000-0005-0000-0000-00008D0D0000}"/>
    <cellStyle name="Normal 3 2 2 2 5 4 2 4" xfId="16875" xr:uid="{00000000-0005-0000-0000-00008E0D0000}"/>
    <cellStyle name="Normal 3 2 2 2 5 4 2 4 2" xfId="48746" xr:uid="{00000000-0005-0000-0000-00008F0D0000}"/>
    <cellStyle name="Normal 3 2 2 2 5 4 2 5" xfId="33014" xr:uid="{00000000-0005-0000-0000-0000900D0000}"/>
    <cellStyle name="Normal 3 2 2 2 5 4 3" xfId="1139" xr:uid="{00000000-0005-0000-0000-0000910D0000}"/>
    <cellStyle name="Normal 3 2 2 2 5 4 3 2" xfId="1140" xr:uid="{00000000-0005-0000-0000-0000920D0000}"/>
    <cellStyle name="Normal 3 2 2 2 5 4 3 2 2" xfId="28691" xr:uid="{00000000-0005-0000-0000-0000930D0000}"/>
    <cellStyle name="Normal 3 2 2 2 5 4 3 2 2 2" xfId="60562" xr:uid="{00000000-0005-0000-0000-0000940D0000}"/>
    <cellStyle name="Normal 3 2 2 2 5 4 3 2 3" xfId="33019" xr:uid="{00000000-0005-0000-0000-0000950D0000}"/>
    <cellStyle name="Normal 3 2 2 2 5 4 3 3" xfId="20813" xr:uid="{00000000-0005-0000-0000-0000960D0000}"/>
    <cellStyle name="Normal 3 2 2 2 5 4 3 3 2" xfId="52684" xr:uid="{00000000-0005-0000-0000-0000970D0000}"/>
    <cellStyle name="Normal 3 2 2 2 5 4 3 4" xfId="33018" xr:uid="{00000000-0005-0000-0000-0000980D0000}"/>
    <cellStyle name="Normal 3 2 2 2 5 4 4" xfId="1141" xr:uid="{00000000-0005-0000-0000-0000990D0000}"/>
    <cellStyle name="Normal 3 2 2 2 5 4 4 2" xfId="24752" xr:uid="{00000000-0005-0000-0000-00009A0D0000}"/>
    <cellStyle name="Normal 3 2 2 2 5 4 4 2 2" xfId="56623" xr:uid="{00000000-0005-0000-0000-00009B0D0000}"/>
    <cellStyle name="Normal 3 2 2 2 5 4 4 3" xfId="33020" xr:uid="{00000000-0005-0000-0000-00009C0D0000}"/>
    <cellStyle name="Normal 3 2 2 2 5 4 5" xfId="16874" xr:uid="{00000000-0005-0000-0000-00009D0D0000}"/>
    <cellStyle name="Normal 3 2 2 2 5 4 5 2" xfId="48745" xr:uid="{00000000-0005-0000-0000-00009E0D0000}"/>
    <cellStyle name="Normal 3 2 2 2 5 4 6" xfId="33013" xr:uid="{00000000-0005-0000-0000-00009F0D0000}"/>
    <cellStyle name="Normal 3 2 2 2 5 5" xfId="1142" xr:uid="{00000000-0005-0000-0000-0000A00D0000}"/>
    <cellStyle name="Normal 3 2 2 2 5 5 2" xfId="1143" xr:uid="{00000000-0005-0000-0000-0000A10D0000}"/>
    <cellStyle name="Normal 3 2 2 2 5 5 2 2" xfId="1144" xr:uid="{00000000-0005-0000-0000-0000A20D0000}"/>
    <cellStyle name="Normal 3 2 2 2 5 5 2 2 2" xfId="28693" xr:uid="{00000000-0005-0000-0000-0000A30D0000}"/>
    <cellStyle name="Normal 3 2 2 2 5 5 2 2 2 2" xfId="60564" xr:uid="{00000000-0005-0000-0000-0000A40D0000}"/>
    <cellStyle name="Normal 3 2 2 2 5 5 2 2 3" xfId="33023" xr:uid="{00000000-0005-0000-0000-0000A50D0000}"/>
    <cellStyle name="Normal 3 2 2 2 5 5 2 3" xfId="20815" xr:uid="{00000000-0005-0000-0000-0000A60D0000}"/>
    <cellStyle name="Normal 3 2 2 2 5 5 2 3 2" xfId="52686" xr:uid="{00000000-0005-0000-0000-0000A70D0000}"/>
    <cellStyle name="Normal 3 2 2 2 5 5 2 4" xfId="33022" xr:uid="{00000000-0005-0000-0000-0000A80D0000}"/>
    <cellStyle name="Normal 3 2 2 2 5 5 3" xfId="1145" xr:uid="{00000000-0005-0000-0000-0000A90D0000}"/>
    <cellStyle name="Normal 3 2 2 2 5 5 3 2" xfId="24754" xr:uid="{00000000-0005-0000-0000-0000AA0D0000}"/>
    <cellStyle name="Normal 3 2 2 2 5 5 3 2 2" xfId="56625" xr:uid="{00000000-0005-0000-0000-0000AB0D0000}"/>
    <cellStyle name="Normal 3 2 2 2 5 5 3 3" xfId="33024" xr:uid="{00000000-0005-0000-0000-0000AC0D0000}"/>
    <cellStyle name="Normal 3 2 2 2 5 5 4" xfId="16876" xr:uid="{00000000-0005-0000-0000-0000AD0D0000}"/>
    <cellStyle name="Normal 3 2 2 2 5 5 4 2" xfId="48747" xr:uid="{00000000-0005-0000-0000-0000AE0D0000}"/>
    <cellStyle name="Normal 3 2 2 2 5 5 5" xfId="33021" xr:uid="{00000000-0005-0000-0000-0000AF0D0000}"/>
    <cellStyle name="Normal 3 2 2 2 5 6" xfId="1146" xr:uid="{00000000-0005-0000-0000-0000B00D0000}"/>
    <cellStyle name="Normal 3 2 2 2 5 6 2" xfId="1147" xr:uid="{00000000-0005-0000-0000-0000B10D0000}"/>
    <cellStyle name="Normal 3 2 2 2 5 6 2 2" xfId="28394" xr:uid="{00000000-0005-0000-0000-0000B20D0000}"/>
    <cellStyle name="Normal 3 2 2 2 5 6 2 2 2" xfId="60265" xr:uid="{00000000-0005-0000-0000-0000B30D0000}"/>
    <cellStyle name="Normal 3 2 2 2 5 6 2 3" xfId="33026" xr:uid="{00000000-0005-0000-0000-0000B40D0000}"/>
    <cellStyle name="Normal 3 2 2 2 5 6 3" xfId="20516" xr:uid="{00000000-0005-0000-0000-0000B50D0000}"/>
    <cellStyle name="Normal 3 2 2 2 5 6 3 2" xfId="52387" xr:uid="{00000000-0005-0000-0000-0000B60D0000}"/>
    <cellStyle name="Normal 3 2 2 2 5 6 4" xfId="33025" xr:uid="{00000000-0005-0000-0000-0000B70D0000}"/>
    <cellStyle name="Normal 3 2 2 2 5 7" xfId="1148" xr:uid="{00000000-0005-0000-0000-0000B80D0000}"/>
    <cellStyle name="Normal 3 2 2 2 5 7 2" xfId="24455" xr:uid="{00000000-0005-0000-0000-0000B90D0000}"/>
    <cellStyle name="Normal 3 2 2 2 5 7 2 2" xfId="56326" xr:uid="{00000000-0005-0000-0000-0000BA0D0000}"/>
    <cellStyle name="Normal 3 2 2 2 5 7 3" xfId="33027" xr:uid="{00000000-0005-0000-0000-0000BB0D0000}"/>
    <cellStyle name="Normal 3 2 2 2 5 8" xfId="16577" xr:uid="{00000000-0005-0000-0000-0000BC0D0000}"/>
    <cellStyle name="Normal 3 2 2 2 5 8 2" xfId="48448" xr:uid="{00000000-0005-0000-0000-0000BD0D0000}"/>
    <cellStyle name="Normal 3 2 2 2 5 9" xfId="32964" xr:uid="{00000000-0005-0000-0000-0000BE0D0000}"/>
    <cellStyle name="Normal 3 2 2 2 6" xfId="1149" xr:uid="{00000000-0005-0000-0000-0000BF0D0000}"/>
    <cellStyle name="Normal 3 2 2 2 6 2" xfId="1150" xr:uid="{00000000-0005-0000-0000-0000C00D0000}"/>
    <cellStyle name="Normal 3 2 2 2 6 2 2" xfId="1151" xr:uid="{00000000-0005-0000-0000-0000C10D0000}"/>
    <cellStyle name="Normal 3 2 2 2 6 2 2 2" xfId="1152" xr:uid="{00000000-0005-0000-0000-0000C20D0000}"/>
    <cellStyle name="Normal 3 2 2 2 6 2 2 2 2" xfId="1153" xr:uid="{00000000-0005-0000-0000-0000C30D0000}"/>
    <cellStyle name="Normal 3 2 2 2 6 2 2 2 2 2" xfId="1154" xr:uid="{00000000-0005-0000-0000-0000C40D0000}"/>
    <cellStyle name="Normal 3 2 2 2 6 2 2 2 2 2 2" xfId="28696" xr:uid="{00000000-0005-0000-0000-0000C50D0000}"/>
    <cellStyle name="Normal 3 2 2 2 6 2 2 2 2 2 2 2" xfId="60567" xr:uid="{00000000-0005-0000-0000-0000C60D0000}"/>
    <cellStyle name="Normal 3 2 2 2 6 2 2 2 2 2 3" xfId="33033" xr:uid="{00000000-0005-0000-0000-0000C70D0000}"/>
    <cellStyle name="Normal 3 2 2 2 6 2 2 2 2 3" xfId="20818" xr:uid="{00000000-0005-0000-0000-0000C80D0000}"/>
    <cellStyle name="Normal 3 2 2 2 6 2 2 2 2 3 2" xfId="52689" xr:uid="{00000000-0005-0000-0000-0000C90D0000}"/>
    <cellStyle name="Normal 3 2 2 2 6 2 2 2 2 4" xfId="33032" xr:uid="{00000000-0005-0000-0000-0000CA0D0000}"/>
    <cellStyle name="Normal 3 2 2 2 6 2 2 2 3" xfId="1155" xr:uid="{00000000-0005-0000-0000-0000CB0D0000}"/>
    <cellStyle name="Normal 3 2 2 2 6 2 2 2 3 2" xfId="24757" xr:uid="{00000000-0005-0000-0000-0000CC0D0000}"/>
    <cellStyle name="Normal 3 2 2 2 6 2 2 2 3 2 2" xfId="56628" xr:uid="{00000000-0005-0000-0000-0000CD0D0000}"/>
    <cellStyle name="Normal 3 2 2 2 6 2 2 2 3 3" xfId="33034" xr:uid="{00000000-0005-0000-0000-0000CE0D0000}"/>
    <cellStyle name="Normal 3 2 2 2 6 2 2 2 4" xfId="16879" xr:uid="{00000000-0005-0000-0000-0000CF0D0000}"/>
    <cellStyle name="Normal 3 2 2 2 6 2 2 2 4 2" xfId="48750" xr:uid="{00000000-0005-0000-0000-0000D00D0000}"/>
    <cellStyle name="Normal 3 2 2 2 6 2 2 2 5" xfId="33031" xr:uid="{00000000-0005-0000-0000-0000D10D0000}"/>
    <cellStyle name="Normal 3 2 2 2 6 2 2 3" xfId="1156" xr:uid="{00000000-0005-0000-0000-0000D20D0000}"/>
    <cellStyle name="Normal 3 2 2 2 6 2 2 3 2" xfId="1157" xr:uid="{00000000-0005-0000-0000-0000D30D0000}"/>
    <cellStyle name="Normal 3 2 2 2 6 2 2 3 2 2" xfId="28695" xr:uid="{00000000-0005-0000-0000-0000D40D0000}"/>
    <cellStyle name="Normal 3 2 2 2 6 2 2 3 2 2 2" xfId="60566" xr:uid="{00000000-0005-0000-0000-0000D50D0000}"/>
    <cellStyle name="Normal 3 2 2 2 6 2 2 3 2 3" xfId="33036" xr:uid="{00000000-0005-0000-0000-0000D60D0000}"/>
    <cellStyle name="Normal 3 2 2 2 6 2 2 3 3" xfId="20817" xr:uid="{00000000-0005-0000-0000-0000D70D0000}"/>
    <cellStyle name="Normal 3 2 2 2 6 2 2 3 3 2" xfId="52688" xr:uid="{00000000-0005-0000-0000-0000D80D0000}"/>
    <cellStyle name="Normal 3 2 2 2 6 2 2 3 4" xfId="33035" xr:uid="{00000000-0005-0000-0000-0000D90D0000}"/>
    <cellStyle name="Normal 3 2 2 2 6 2 2 4" xfId="1158" xr:uid="{00000000-0005-0000-0000-0000DA0D0000}"/>
    <cellStyle name="Normal 3 2 2 2 6 2 2 4 2" xfId="24756" xr:uid="{00000000-0005-0000-0000-0000DB0D0000}"/>
    <cellStyle name="Normal 3 2 2 2 6 2 2 4 2 2" xfId="56627" xr:uid="{00000000-0005-0000-0000-0000DC0D0000}"/>
    <cellStyle name="Normal 3 2 2 2 6 2 2 4 3" xfId="33037" xr:uid="{00000000-0005-0000-0000-0000DD0D0000}"/>
    <cellStyle name="Normal 3 2 2 2 6 2 2 5" xfId="16878" xr:uid="{00000000-0005-0000-0000-0000DE0D0000}"/>
    <cellStyle name="Normal 3 2 2 2 6 2 2 5 2" xfId="48749" xr:uid="{00000000-0005-0000-0000-0000DF0D0000}"/>
    <cellStyle name="Normal 3 2 2 2 6 2 2 6" xfId="33030" xr:uid="{00000000-0005-0000-0000-0000E00D0000}"/>
    <cellStyle name="Normal 3 2 2 2 6 2 3" xfId="1159" xr:uid="{00000000-0005-0000-0000-0000E10D0000}"/>
    <cellStyle name="Normal 3 2 2 2 6 2 3 2" xfId="1160" xr:uid="{00000000-0005-0000-0000-0000E20D0000}"/>
    <cellStyle name="Normal 3 2 2 2 6 2 3 2 2" xfId="1161" xr:uid="{00000000-0005-0000-0000-0000E30D0000}"/>
    <cellStyle name="Normal 3 2 2 2 6 2 3 2 2 2" xfId="28697" xr:uid="{00000000-0005-0000-0000-0000E40D0000}"/>
    <cellStyle name="Normal 3 2 2 2 6 2 3 2 2 2 2" xfId="60568" xr:uid="{00000000-0005-0000-0000-0000E50D0000}"/>
    <cellStyle name="Normal 3 2 2 2 6 2 3 2 2 3" xfId="33040" xr:uid="{00000000-0005-0000-0000-0000E60D0000}"/>
    <cellStyle name="Normal 3 2 2 2 6 2 3 2 3" xfId="20819" xr:uid="{00000000-0005-0000-0000-0000E70D0000}"/>
    <cellStyle name="Normal 3 2 2 2 6 2 3 2 3 2" xfId="52690" xr:uid="{00000000-0005-0000-0000-0000E80D0000}"/>
    <cellStyle name="Normal 3 2 2 2 6 2 3 2 4" xfId="33039" xr:uid="{00000000-0005-0000-0000-0000E90D0000}"/>
    <cellStyle name="Normal 3 2 2 2 6 2 3 3" xfId="1162" xr:uid="{00000000-0005-0000-0000-0000EA0D0000}"/>
    <cellStyle name="Normal 3 2 2 2 6 2 3 3 2" xfId="24758" xr:uid="{00000000-0005-0000-0000-0000EB0D0000}"/>
    <cellStyle name="Normal 3 2 2 2 6 2 3 3 2 2" xfId="56629" xr:uid="{00000000-0005-0000-0000-0000EC0D0000}"/>
    <cellStyle name="Normal 3 2 2 2 6 2 3 3 3" xfId="33041" xr:uid="{00000000-0005-0000-0000-0000ED0D0000}"/>
    <cellStyle name="Normal 3 2 2 2 6 2 3 4" xfId="16880" xr:uid="{00000000-0005-0000-0000-0000EE0D0000}"/>
    <cellStyle name="Normal 3 2 2 2 6 2 3 4 2" xfId="48751" xr:uid="{00000000-0005-0000-0000-0000EF0D0000}"/>
    <cellStyle name="Normal 3 2 2 2 6 2 3 5" xfId="33038" xr:uid="{00000000-0005-0000-0000-0000F00D0000}"/>
    <cellStyle name="Normal 3 2 2 2 6 2 4" xfId="1163" xr:uid="{00000000-0005-0000-0000-0000F10D0000}"/>
    <cellStyle name="Normal 3 2 2 2 6 2 4 2" xfId="1164" xr:uid="{00000000-0005-0000-0000-0000F20D0000}"/>
    <cellStyle name="Normal 3 2 2 2 6 2 4 2 2" xfId="28694" xr:uid="{00000000-0005-0000-0000-0000F30D0000}"/>
    <cellStyle name="Normal 3 2 2 2 6 2 4 2 2 2" xfId="60565" xr:uid="{00000000-0005-0000-0000-0000F40D0000}"/>
    <cellStyle name="Normal 3 2 2 2 6 2 4 2 3" xfId="33043" xr:uid="{00000000-0005-0000-0000-0000F50D0000}"/>
    <cellStyle name="Normal 3 2 2 2 6 2 4 3" xfId="20816" xr:uid="{00000000-0005-0000-0000-0000F60D0000}"/>
    <cellStyle name="Normal 3 2 2 2 6 2 4 3 2" xfId="52687" xr:uid="{00000000-0005-0000-0000-0000F70D0000}"/>
    <cellStyle name="Normal 3 2 2 2 6 2 4 4" xfId="33042" xr:uid="{00000000-0005-0000-0000-0000F80D0000}"/>
    <cellStyle name="Normal 3 2 2 2 6 2 5" xfId="1165" xr:uid="{00000000-0005-0000-0000-0000F90D0000}"/>
    <cellStyle name="Normal 3 2 2 2 6 2 5 2" xfId="24755" xr:uid="{00000000-0005-0000-0000-0000FA0D0000}"/>
    <cellStyle name="Normal 3 2 2 2 6 2 5 2 2" xfId="56626" xr:uid="{00000000-0005-0000-0000-0000FB0D0000}"/>
    <cellStyle name="Normal 3 2 2 2 6 2 5 3" xfId="33044" xr:uid="{00000000-0005-0000-0000-0000FC0D0000}"/>
    <cellStyle name="Normal 3 2 2 2 6 2 6" xfId="16877" xr:uid="{00000000-0005-0000-0000-0000FD0D0000}"/>
    <cellStyle name="Normal 3 2 2 2 6 2 6 2" xfId="48748" xr:uid="{00000000-0005-0000-0000-0000FE0D0000}"/>
    <cellStyle name="Normal 3 2 2 2 6 2 7" xfId="33029" xr:uid="{00000000-0005-0000-0000-0000FF0D0000}"/>
    <cellStyle name="Normal 3 2 2 2 6 3" xfId="1166" xr:uid="{00000000-0005-0000-0000-0000000E0000}"/>
    <cellStyle name="Normal 3 2 2 2 6 3 2" xfId="1167" xr:uid="{00000000-0005-0000-0000-0000010E0000}"/>
    <cellStyle name="Normal 3 2 2 2 6 3 2 2" xfId="1168" xr:uid="{00000000-0005-0000-0000-0000020E0000}"/>
    <cellStyle name="Normal 3 2 2 2 6 3 2 2 2" xfId="1169" xr:uid="{00000000-0005-0000-0000-0000030E0000}"/>
    <cellStyle name="Normal 3 2 2 2 6 3 2 2 2 2" xfId="28699" xr:uid="{00000000-0005-0000-0000-0000040E0000}"/>
    <cellStyle name="Normal 3 2 2 2 6 3 2 2 2 2 2" xfId="60570" xr:uid="{00000000-0005-0000-0000-0000050E0000}"/>
    <cellStyle name="Normal 3 2 2 2 6 3 2 2 2 3" xfId="33048" xr:uid="{00000000-0005-0000-0000-0000060E0000}"/>
    <cellStyle name="Normal 3 2 2 2 6 3 2 2 3" xfId="20821" xr:uid="{00000000-0005-0000-0000-0000070E0000}"/>
    <cellStyle name="Normal 3 2 2 2 6 3 2 2 3 2" xfId="52692" xr:uid="{00000000-0005-0000-0000-0000080E0000}"/>
    <cellStyle name="Normal 3 2 2 2 6 3 2 2 4" xfId="33047" xr:uid="{00000000-0005-0000-0000-0000090E0000}"/>
    <cellStyle name="Normal 3 2 2 2 6 3 2 3" xfId="1170" xr:uid="{00000000-0005-0000-0000-00000A0E0000}"/>
    <cellStyle name="Normal 3 2 2 2 6 3 2 3 2" xfId="24760" xr:uid="{00000000-0005-0000-0000-00000B0E0000}"/>
    <cellStyle name="Normal 3 2 2 2 6 3 2 3 2 2" xfId="56631" xr:uid="{00000000-0005-0000-0000-00000C0E0000}"/>
    <cellStyle name="Normal 3 2 2 2 6 3 2 3 3" xfId="33049" xr:uid="{00000000-0005-0000-0000-00000D0E0000}"/>
    <cellStyle name="Normal 3 2 2 2 6 3 2 4" xfId="16882" xr:uid="{00000000-0005-0000-0000-00000E0E0000}"/>
    <cellStyle name="Normal 3 2 2 2 6 3 2 4 2" xfId="48753" xr:uid="{00000000-0005-0000-0000-00000F0E0000}"/>
    <cellStyle name="Normal 3 2 2 2 6 3 2 5" xfId="33046" xr:uid="{00000000-0005-0000-0000-0000100E0000}"/>
    <cellStyle name="Normal 3 2 2 2 6 3 3" xfId="1171" xr:uid="{00000000-0005-0000-0000-0000110E0000}"/>
    <cellStyle name="Normal 3 2 2 2 6 3 3 2" xfId="1172" xr:uid="{00000000-0005-0000-0000-0000120E0000}"/>
    <cellStyle name="Normal 3 2 2 2 6 3 3 2 2" xfId="28698" xr:uid="{00000000-0005-0000-0000-0000130E0000}"/>
    <cellStyle name="Normal 3 2 2 2 6 3 3 2 2 2" xfId="60569" xr:uid="{00000000-0005-0000-0000-0000140E0000}"/>
    <cellStyle name="Normal 3 2 2 2 6 3 3 2 3" xfId="33051" xr:uid="{00000000-0005-0000-0000-0000150E0000}"/>
    <cellStyle name="Normal 3 2 2 2 6 3 3 3" xfId="20820" xr:uid="{00000000-0005-0000-0000-0000160E0000}"/>
    <cellStyle name="Normal 3 2 2 2 6 3 3 3 2" xfId="52691" xr:uid="{00000000-0005-0000-0000-0000170E0000}"/>
    <cellStyle name="Normal 3 2 2 2 6 3 3 4" xfId="33050" xr:uid="{00000000-0005-0000-0000-0000180E0000}"/>
    <cellStyle name="Normal 3 2 2 2 6 3 4" xfId="1173" xr:uid="{00000000-0005-0000-0000-0000190E0000}"/>
    <cellStyle name="Normal 3 2 2 2 6 3 4 2" xfId="24759" xr:uid="{00000000-0005-0000-0000-00001A0E0000}"/>
    <cellStyle name="Normal 3 2 2 2 6 3 4 2 2" xfId="56630" xr:uid="{00000000-0005-0000-0000-00001B0E0000}"/>
    <cellStyle name="Normal 3 2 2 2 6 3 4 3" xfId="33052" xr:uid="{00000000-0005-0000-0000-00001C0E0000}"/>
    <cellStyle name="Normal 3 2 2 2 6 3 5" xfId="16881" xr:uid="{00000000-0005-0000-0000-00001D0E0000}"/>
    <cellStyle name="Normal 3 2 2 2 6 3 5 2" xfId="48752" xr:uid="{00000000-0005-0000-0000-00001E0E0000}"/>
    <cellStyle name="Normal 3 2 2 2 6 3 6" xfId="33045" xr:uid="{00000000-0005-0000-0000-00001F0E0000}"/>
    <cellStyle name="Normal 3 2 2 2 6 4" xfId="1174" xr:uid="{00000000-0005-0000-0000-0000200E0000}"/>
    <cellStyle name="Normal 3 2 2 2 6 4 2" xfId="1175" xr:uid="{00000000-0005-0000-0000-0000210E0000}"/>
    <cellStyle name="Normal 3 2 2 2 6 4 2 2" xfId="1176" xr:uid="{00000000-0005-0000-0000-0000220E0000}"/>
    <cellStyle name="Normal 3 2 2 2 6 4 2 2 2" xfId="28700" xr:uid="{00000000-0005-0000-0000-0000230E0000}"/>
    <cellStyle name="Normal 3 2 2 2 6 4 2 2 2 2" xfId="60571" xr:uid="{00000000-0005-0000-0000-0000240E0000}"/>
    <cellStyle name="Normal 3 2 2 2 6 4 2 2 3" xfId="33055" xr:uid="{00000000-0005-0000-0000-0000250E0000}"/>
    <cellStyle name="Normal 3 2 2 2 6 4 2 3" xfId="20822" xr:uid="{00000000-0005-0000-0000-0000260E0000}"/>
    <cellStyle name="Normal 3 2 2 2 6 4 2 3 2" xfId="52693" xr:uid="{00000000-0005-0000-0000-0000270E0000}"/>
    <cellStyle name="Normal 3 2 2 2 6 4 2 4" xfId="33054" xr:uid="{00000000-0005-0000-0000-0000280E0000}"/>
    <cellStyle name="Normal 3 2 2 2 6 4 3" xfId="1177" xr:uid="{00000000-0005-0000-0000-0000290E0000}"/>
    <cellStyle name="Normal 3 2 2 2 6 4 3 2" xfId="24761" xr:uid="{00000000-0005-0000-0000-00002A0E0000}"/>
    <cellStyle name="Normal 3 2 2 2 6 4 3 2 2" xfId="56632" xr:uid="{00000000-0005-0000-0000-00002B0E0000}"/>
    <cellStyle name="Normal 3 2 2 2 6 4 3 3" xfId="33056" xr:uid="{00000000-0005-0000-0000-00002C0E0000}"/>
    <cellStyle name="Normal 3 2 2 2 6 4 4" xfId="16883" xr:uid="{00000000-0005-0000-0000-00002D0E0000}"/>
    <cellStyle name="Normal 3 2 2 2 6 4 4 2" xfId="48754" xr:uid="{00000000-0005-0000-0000-00002E0E0000}"/>
    <cellStyle name="Normal 3 2 2 2 6 4 5" xfId="33053" xr:uid="{00000000-0005-0000-0000-00002F0E0000}"/>
    <cellStyle name="Normal 3 2 2 2 6 5" xfId="1178" xr:uid="{00000000-0005-0000-0000-0000300E0000}"/>
    <cellStyle name="Normal 3 2 2 2 6 5 2" xfId="1179" xr:uid="{00000000-0005-0000-0000-0000310E0000}"/>
    <cellStyle name="Normal 3 2 2 2 6 5 2 2" xfId="28271" xr:uid="{00000000-0005-0000-0000-0000320E0000}"/>
    <cellStyle name="Normal 3 2 2 2 6 5 2 2 2" xfId="60142" xr:uid="{00000000-0005-0000-0000-0000330E0000}"/>
    <cellStyle name="Normal 3 2 2 2 6 5 2 3" xfId="33058" xr:uid="{00000000-0005-0000-0000-0000340E0000}"/>
    <cellStyle name="Normal 3 2 2 2 6 5 3" xfId="20393" xr:uid="{00000000-0005-0000-0000-0000350E0000}"/>
    <cellStyle name="Normal 3 2 2 2 6 5 3 2" xfId="52264" xr:uid="{00000000-0005-0000-0000-0000360E0000}"/>
    <cellStyle name="Normal 3 2 2 2 6 5 4" xfId="33057" xr:uid="{00000000-0005-0000-0000-0000370E0000}"/>
    <cellStyle name="Normal 3 2 2 2 6 6" xfId="1180" xr:uid="{00000000-0005-0000-0000-0000380E0000}"/>
    <cellStyle name="Normal 3 2 2 2 6 6 2" xfId="24332" xr:uid="{00000000-0005-0000-0000-0000390E0000}"/>
    <cellStyle name="Normal 3 2 2 2 6 6 2 2" xfId="56203" xr:uid="{00000000-0005-0000-0000-00003A0E0000}"/>
    <cellStyle name="Normal 3 2 2 2 6 6 3" xfId="33059" xr:uid="{00000000-0005-0000-0000-00003B0E0000}"/>
    <cellStyle name="Normal 3 2 2 2 6 7" xfId="16454" xr:uid="{00000000-0005-0000-0000-00003C0E0000}"/>
    <cellStyle name="Normal 3 2 2 2 6 7 2" xfId="48325" xr:uid="{00000000-0005-0000-0000-00003D0E0000}"/>
    <cellStyle name="Normal 3 2 2 2 6 8" xfId="33028" xr:uid="{00000000-0005-0000-0000-00003E0E0000}"/>
    <cellStyle name="Normal 3 2 2 2 7" xfId="1181" xr:uid="{00000000-0005-0000-0000-00003F0E0000}"/>
    <cellStyle name="Normal 3 2 2 2 7 2" xfId="1182" xr:uid="{00000000-0005-0000-0000-0000400E0000}"/>
    <cellStyle name="Normal 3 2 2 2 7 2 2" xfId="1183" xr:uid="{00000000-0005-0000-0000-0000410E0000}"/>
    <cellStyle name="Normal 3 2 2 2 7 2 2 2" xfId="1184" xr:uid="{00000000-0005-0000-0000-0000420E0000}"/>
    <cellStyle name="Normal 3 2 2 2 7 2 2 2 2" xfId="1185" xr:uid="{00000000-0005-0000-0000-0000430E0000}"/>
    <cellStyle name="Normal 3 2 2 2 7 2 2 2 2 2" xfId="28703" xr:uid="{00000000-0005-0000-0000-0000440E0000}"/>
    <cellStyle name="Normal 3 2 2 2 7 2 2 2 2 2 2" xfId="60574" xr:uid="{00000000-0005-0000-0000-0000450E0000}"/>
    <cellStyle name="Normal 3 2 2 2 7 2 2 2 2 3" xfId="33064" xr:uid="{00000000-0005-0000-0000-0000460E0000}"/>
    <cellStyle name="Normal 3 2 2 2 7 2 2 2 3" xfId="20825" xr:uid="{00000000-0005-0000-0000-0000470E0000}"/>
    <cellStyle name="Normal 3 2 2 2 7 2 2 2 3 2" xfId="52696" xr:uid="{00000000-0005-0000-0000-0000480E0000}"/>
    <cellStyle name="Normal 3 2 2 2 7 2 2 2 4" xfId="33063" xr:uid="{00000000-0005-0000-0000-0000490E0000}"/>
    <cellStyle name="Normal 3 2 2 2 7 2 2 3" xfId="1186" xr:uid="{00000000-0005-0000-0000-00004A0E0000}"/>
    <cellStyle name="Normal 3 2 2 2 7 2 2 3 2" xfId="24764" xr:uid="{00000000-0005-0000-0000-00004B0E0000}"/>
    <cellStyle name="Normal 3 2 2 2 7 2 2 3 2 2" xfId="56635" xr:uid="{00000000-0005-0000-0000-00004C0E0000}"/>
    <cellStyle name="Normal 3 2 2 2 7 2 2 3 3" xfId="33065" xr:uid="{00000000-0005-0000-0000-00004D0E0000}"/>
    <cellStyle name="Normal 3 2 2 2 7 2 2 4" xfId="16886" xr:uid="{00000000-0005-0000-0000-00004E0E0000}"/>
    <cellStyle name="Normal 3 2 2 2 7 2 2 4 2" xfId="48757" xr:uid="{00000000-0005-0000-0000-00004F0E0000}"/>
    <cellStyle name="Normal 3 2 2 2 7 2 2 5" xfId="33062" xr:uid="{00000000-0005-0000-0000-0000500E0000}"/>
    <cellStyle name="Normal 3 2 2 2 7 2 3" xfId="1187" xr:uid="{00000000-0005-0000-0000-0000510E0000}"/>
    <cellStyle name="Normal 3 2 2 2 7 2 3 2" xfId="1188" xr:uid="{00000000-0005-0000-0000-0000520E0000}"/>
    <cellStyle name="Normal 3 2 2 2 7 2 3 2 2" xfId="28702" xr:uid="{00000000-0005-0000-0000-0000530E0000}"/>
    <cellStyle name="Normal 3 2 2 2 7 2 3 2 2 2" xfId="60573" xr:uid="{00000000-0005-0000-0000-0000540E0000}"/>
    <cellStyle name="Normal 3 2 2 2 7 2 3 2 3" xfId="33067" xr:uid="{00000000-0005-0000-0000-0000550E0000}"/>
    <cellStyle name="Normal 3 2 2 2 7 2 3 3" xfId="20824" xr:uid="{00000000-0005-0000-0000-0000560E0000}"/>
    <cellStyle name="Normal 3 2 2 2 7 2 3 3 2" xfId="52695" xr:uid="{00000000-0005-0000-0000-0000570E0000}"/>
    <cellStyle name="Normal 3 2 2 2 7 2 3 4" xfId="33066" xr:uid="{00000000-0005-0000-0000-0000580E0000}"/>
    <cellStyle name="Normal 3 2 2 2 7 2 4" xfId="1189" xr:uid="{00000000-0005-0000-0000-0000590E0000}"/>
    <cellStyle name="Normal 3 2 2 2 7 2 4 2" xfId="24763" xr:uid="{00000000-0005-0000-0000-00005A0E0000}"/>
    <cellStyle name="Normal 3 2 2 2 7 2 4 2 2" xfId="56634" xr:uid="{00000000-0005-0000-0000-00005B0E0000}"/>
    <cellStyle name="Normal 3 2 2 2 7 2 4 3" xfId="33068" xr:uid="{00000000-0005-0000-0000-00005C0E0000}"/>
    <cellStyle name="Normal 3 2 2 2 7 2 5" xfId="16885" xr:uid="{00000000-0005-0000-0000-00005D0E0000}"/>
    <cellStyle name="Normal 3 2 2 2 7 2 5 2" xfId="48756" xr:uid="{00000000-0005-0000-0000-00005E0E0000}"/>
    <cellStyle name="Normal 3 2 2 2 7 2 6" xfId="33061" xr:uid="{00000000-0005-0000-0000-00005F0E0000}"/>
    <cellStyle name="Normal 3 2 2 2 7 3" xfId="1190" xr:uid="{00000000-0005-0000-0000-0000600E0000}"/>
    <cellStyle name="Normal 3 2 2 2 7 3 2" xfId="1191" xr:uid="{00000000-0005-0000-0000-0000610E0000}"/>
    <cellStyle name="Normal 3 2 2 2 7 3 2 2" xfId="1192" xr:uid="{00000000-0005-0000-0000-0000620E0000}"/>
    <cellStyle name="Normal 3 2 2 2 7 3 2 2 2" xfId="28704" xr:uid="{00000000-0005-0000-0000-0000630E0000}"/>
    <cellStyle name="Normal 3 2 2 2 7 3 2 2 2 2" xfId="60575" xr:uid="{00000000-0005-0000-0000-0000640E0000}"/>
    <cellStyle name="Normal 3 2 2 2 7 3 2 2 3" xfId="33071" xr:uid="{00000000-0005-0000-0000-0000650E0000}"/>
    <cellStyle name="Normal 3 2 2 2 7 3 2 3" xfId="20826" xr:uid="{00000000-0005-0000-0000-0000660E0000}"/>
    <cellStyle name="Normal 3 2 2 2 7 3 2 3 2" xfId="52697" xr:uid="{00000000-0005-0000-0000-0000670E0000}"/>
    <cellStyle name="Normal 3 2 2 2 7 3 2 4" xfId="33070" xr:uid="{00000000-0005-0000-0000-0000680E0000}"/>
    <cellStyle name="Normal 3 2 2 2 7 3 3" xfId="1193" xr:uid="{00000000-0005-0000-0000-0000690E0000}"/>
    <cellStyle name="Normal 3 2 2 2 7 3 3 2" xfId="24765" xr:uid="{00000000-0005-0000-0000-00006A0E0000}"/>
    <cellStyle name="Normal 3 2 2 2 7 3 3 2 2" xfId="56636" xr:uid="{00000000-0005-0000-0000-00006B0E0000}"/>
    <cellStyle name="Normal 3 2 2 2 7 3 3 3" xfId="33072" xr:uid="{00000000-0005-0000-0000-00006C0E0000}"/>
    <cellStyle name="Normal 3 2 2 2 7 3 4" xfId="16887" xr:uid="{00000000-0005-0000-0000-00006D0E0000}"/>
    <cellStyle name="Normal 3 2 2 2 7 3 4 2" xfId="48758" xr:uid="{00000000-0005-0000-0000-00006E0E0000}"/>
    <cellStyle name="Normal 3 2 2 2 7 3 5" xfId="33069" xr:uid="{00000000-0005-0000-0000-00006F0E0000}"/>
    <cellStyle name="Normal 3 2 2 2 7 4" xfId="1194" xr:uid="{00000000-0005-0000-0000-0000700E0000}"/>
    <cellStyle name="Normal 3 2 2 2 7 4 2" xfId="1195" xr:uid="{00000000-0005-0000-0000-0000710E0000}"/>
    <cellStyle name="Normal 3 2 2 2 7 4 2 2" xfId="28701" xr:uid="{00000000-0005-0000-0000-0000720E0000}"/>
    <cellStyle name="Normal 3 2 2 2 7 4 2 2 2" xfId="60572" xr:uid="{00000000-0005-0000-0000-0000730E0000}"/>
    <cellStyle name="Normal 3 2 2 2 7 4 2 3" xfId="33074" xr:uid="{00000000-0005-0000-0000-0000740E0000}"/>
    <cellStyle name="Normal 3 2 2 2 7 4 3" xfId="20823" xr:uid="{00000000-0005-0000-0000-0000750E0000}"/>
    <cellStyle name="Normal 3 2 2 2 7 4 3 2" xfId="52694" xr:uid="{00000000-0005-0000-0000-0000760E0000}"/>
    <cellStyle name="Normal 3 2 2 2 7 4 4" xfId="33073" xr:uid="{00000000-0005-0000-0000-0000770E0000}"/>
    <cellStyle name="Normal 3 2 2 2 7 5" xfId="1196" xr:uid="{00000000-0005-0000-0000-0000780E0000}"/>
    <cellStyle name="Normal 3 2 2 2 7 5 2" xfId="24762" xr:uid="{00000000-0005-0000-0000-0000790E0000}"/>
    <cellStyle name="Normal 3 2 2 2 7 5 2 2" xfId="56633" xr:uid="{00000000-0005-0000-0000-00007A0E0000}"/>
    <cellStyle name="Normal 3 2 2 2 7 5 3" xfId="33075" xr:uid="{00000000-0005-0000-0000-00007B0E0000}"/>
    <cellStyle name="Normal 3 2 2 2 7 6" xfId="16884" xr:uid="{00000000-0005-0000-0000-00007C0E0000}"/>
    <cellStyle name="Normal 3 2 2 2 7 6 2" xfId="48755" xr:uid="{00000000-0005-0000-0000-00007D0E0000}"/>
    <cellStyle name="Normal 3 2 2 2 7 7" xfId="33060" xr:uid="{00000000-0005-0000-0000-00007E0E0000}"/>
    <cellStyle name="Normal 3 2 2 2 8" xfId="1197" xr:uid="{00000000-0005-0000-0000-00007F0E0000}"/>
    <cellStyle name="Normal 3 2 2 2 8 2" xfId="1198" xr:uid="{00000000-0005-0000-0000-0000800E0000}"/>
    <cellStyle name="Normal 3 2 2 2 8 2 2" xfId="1199" xr:uid="{00000000-0005-0000-0000-0000810E0000}"/>
    <cellStyle name="Normal 3 2 2 2 8 2 2 2" xfId="1200" xr:uid="{00000000-0005-0000-0000-0000820E0000}"/>
    <cellStyle name="Normal 3 2 2 2 8 2 2 2 2" xfId="28706" xr:uid="{00000000-0005-0000-0000-0000830E0000}"/>
    <cellStyle name="Normal 3 2 2 2 8 2 2 2 2 2" xfId="60577" xr:uid="{00000000-0005-0000-0000-0000840E0000}"/>
    <cellStyle name="Normal 3 2 2 2 8 2 2 2 3" xfId="33079" xr:uid="{00000000-0005-0000-0000-0000850E0000}"/>
    <cellStyle name="Normal 3 2 2 2 8 2 2 3" xfId="20828" xr:uid="{00000000-0005-0000-0000-0000860E0000}"/>
    <cellStyle name="Normal 3 2 2 2 8 2 2 3 2" xfId="52699" xr:uid="{00000000-0005-0000-0000-0000870E0000}"/>
    <cellStyle name="Normal 3 2 2 2 8 2 2 4" xfId="33078" xr:uid="{00000000-0005-0000-0000-0000880E0000}"/>
    <cellStyle name="Normal 3 2 2 2 8 2 3" xfId="1201" xr:uid="{00000000-0005-0000-0000-0000890E0000}"/>
    <cellStyle name="Normal 3 2 2 2 8 2 3 2" xfId="24767" xr:uid="{00000000-0005-0000-0000-00008A0E0000}"/>
    <cellStyle name="Normal 3 2 2 2 8 2 3 2 2" xfId="56638" xr:uid="{00000000-0005-0000-0000-00008B0E0000}"/>
    <cellStyle name="Normal 3 2 2 2 8 2 3 3" xfId="33080" xr:uid="{00000000-0005-0000-0000-00008C0E0000}"/>
    <cellStyle name="Normal 3 2 2 2 8 2 4" xfId="16889" xr:uid="{00000000-0005-0000-0000-00008D0E0000}"/>
    <cellStyle name="Normal 3 2 2 2 8 2 4 2" xfId="48760" xr:uid="{00000000-0005-0000-0000-00008E0E0000}"/>
    <cellStyle name="Normal 3 2 2 2 8 2 5" xfId="33077" xr:uid="{00000000-0005-0000-0000-00008F0E0000}"/>
    <cellStyle name="Normal 3 2 2 2 8 3" xfId="1202" xr:uid="{00000000-0005-0000-0000-0000900E0000}"/>
    <cellStyle name="Normal 3 2 2 2 8 3 2" xfId="1203" xr:uid="{00000000-0005-0000-0000-0000910E0000}"/>
    <cellStyle name="Normal 3 2 2 2 8 3 2 2" xfId="28705" xr:uid="{00000000-0005-0000-0000-0000920E0000}"/>
    <cellStyle name="Normal 3 2 2 2 8 3 2 2 2" xfId="60576" xr:uid="{00000000-0005-0000-0000-0000930E0000}"/>
    <cellStyle name="Normal 3 2 2 2 8 3 2 3" xfId="33082" xr:uid="{00000000-0005-0000-0000-0000940E0000}"/>
    <cellStyle name="Normal 3 2 2 2 8 3 3" xfId="20827" xr:uid="{00000000-0005-0000-0000-0000950E0000}"/>
    <cellStyle name="Normal 3 2 2 2 8 3 3 2" xfId="52698" xr:uid="{00000000-0005-0000-0000-0000960E0000}"/>
    <cellStyle name="Normal 3 2 2 2 8 3 4" xfId="33081" xr:uid="{00000000-0005-0000-0000-0000970E0000}"/>
    <cellStyle name="Normal 3 2 2 2 8 4" xfId="1204" xr:uid="{00000000-0005-0000-0000-0000980E0000}"/>
    <cellStyle name="Normal 3 2 2 2 8 4 2" xfId="24766" xr:uid="{00000000-0005-0000-0000-0000990E0000}"/>
    <cellStyle name="Normal 3 2 2 2 8 4 2 2" xfId="56637" xr:uid="{00000000-0005-0000-0000-00009A0E0000}"/>
    <cellStyle name="Normal 3 2 2 2 8 4 3" xfId="33083" xr:uid="{00000000-0005-0000-0000-00009B0E0000}"/>
    <cellStyle name="Normal 3 2 2 2 8 5" xfId="16888" xr:uid="{00000000-0005-0000-0000-00009C0E0000}"/>
    <cellStyle name="Normal 3 2 2 2 8 5 2" xfId="48759" xr:uid="{00000000-0005-0000-0000-00009D0E0000}"/>
    <cellStyle name="Normal 3 2 2 2 8 6" xfId="33076" xr:uid="{00000000-0005-0000-0000-00009E0E0000}"/>
    <cellStyle name="Normal 3 2 2 2 9" xfId="1205" xr:uid="{00000000-0005-0000-0000-00009F0E0000}"/>
    <cellStyle name="Normal 3 2 2 2 9 2" xfId="1206" xr:uid="{00000000-0005-0000-0000-0000A00E0000}"/>
    <cellStyle name="Normal 3 2 2 2 9 2 2" xfId="1207" xr:uid="{00000000-0005-0000-0000-0000A10E0000}"/>
    <cellStyle name="Normal 3 2 2 2 9 2 2 2" xfId="28707" xr:uid="{00000000-0005-0000-0000-0000A20E0000}"/>
    <cellStyle name="Normal 3 2 2 2 9 2 2 2 2" xfId="60578" xr:uid="{00000000-0005-0000-0000-0000A30E0000}"/>
    <cellStyle name="Normal 3 2 2 2 9 2 2 3" xfId="33086" xr:uid="{00000000-0005-0000-0000-0000A40E0000}"/>
    <cellStyle name="Normal 3 2 2 2 9 2 3" xfId="20829" xr:uid="{00000000-0005-0000-0000-0000A50E0000}"/>
    <cellStyle name="Normal 3 2 2 2 9 2 3 2" xfId="52700" xr:uid="{00000000-0005-0000-0000-0000A60E0000}"/>
    <cellStyle name="Normal 3 2 2 2 9 2 4" xfId="33085" xr:uid="{00000000-0005-0000-0000-0000A70E0000}"/>
    <cellStyle name="Normal 3 2 2 2 9 3" xfId="1208" xr:uid="{00000000-0005-0000-0000-0000A80E0000}"/>
    <cellStyle name="Normal 3 2 2 2 9 3 2" xfId="24768" xr:uid="{00000000-0005-0000-0000-0000A90E0000}"/>
    <cellStyle name="Normal 3 2 2 2 9 3 2 2" xfId="56639" xr:uid="{00000000-0005-0000-0000-0000AA0E0000}"/>
    <cellStyle name="Normal 3 2 2 2 9 3 3" xfId="33087" xr:uid="{00000000-0005-0000-0000-0000AB0E0000}"/>
    <cellStyle name="Normal 3 2 2 2 9 4" xfId="16890" xr:uid="{00000000-0005-0000-0000-0000AC0E0000}"/>
    <cellStyle name="Normal 3 2 2 2 9 4 2" xfId="48761" xr:uid="{00000000-0005-0000-0000-0000AD0E0000}"/>
    <cellStyle name="Normal 3 2 2 2 9 5" xfId="33084" xr:uid="{00000000-0005-0000-0000-0000AE0E0000}"/>
    <cellStyle name="Normal 3 2 2 3" xfId="1209" xr:uid="{00000000-0005-0000-0000-0000AF0E0000}"/>
    <cellStyle name="Normal 3 2 2 3 10" xfId="1210" xr:uid="{00000000-0005-0000-0000-0000B00E0000}"/>
    <cellStyle name="Normal 3 2 2 3 10 2" xfId="24316" xr:uid="{00000000-0005-0000-0000-0000B10E0000}"/>
    <cellStyle name="Normal 3 2 2 3 10 2 2" xfId="56187" xr:uid="{00000000-0005-0000-0000-0000B20E0000}"/>
    <cellStyle name="Normal 3 2 2 3 10 3" xfId="33089" xr:uid="{00000000-0005-0000-0000-0000B30E0000}"/>
    <cellStyle name="Normal 3 2 2 3 11" xfId="16438" xr:uid="{00000000-0005-0000-0000-0000B40E0000}"/>
    <cellStyle name="Normal 3 2 2 3 11 2" xfId="48309" xr:uid="{00000000-0005-0000-0000-0000B50E0000}"/>
    <cellStyle name="Normal 3 2 2 3 12" xfId="33088" xr:uid="{00000000-0005-0000-0000-0000B60E0000}"/>
    <cellStyle name="Normal 3 2 2 3 2" xfId="1211" xr:uid="{00000000-0005-0000-0000-0000B70E0000}"/>
    <cellStyle name="Normal 3 2 2 3 2 10" xfId="33090" xr:uid="{00000000-0005-0000-0000-0000B80E0000}"/>
    <cellStyle name="Normal 3 2 2 3 2 2" xfId="1212" xr:uid="{00000000-0005-0000-0000-0000B90E0000}"/>
    <cellStyle name="Normal 3 2 2 3 2 2 2" xfId="1213" xr:uid="{00000000-0005-0000-0000-0000BA0E0000}"/>
    <cellStyle name="Normal 3 2 2 3 2 2 2 2" xfId="1214" xr:uid="{00000000-0005-0000-0000-0000BB0E0000}"/>
    <cellStyle name="Normal 3 2 2 3 2 2 2 2 2" xfId="1215" xr:uid="{00000000-0005-0000-0000-0000BC0E0000}"/>
    <cellStyle name="Normal 3 2 2 3 2 2 2 2 2 2" xfId="1216" xr:uid="{00000000-0005-0000-0000-0000BD0E0000}"/>
    <cellStyle name="Normal 3 2 2 3 2 2 2 2 2 2 2" xfId="1217" xr:uid="{00000000-0005-0000-0000-0000BE0E0000}"/>
    <cellStyle name="Normal 3 2 2 3 2 2 2 2 2 2 2 2" xfId="1218" xr:uid="{00000000-0005-0000-0000-0000BF0E0000}"/>
    <cellStyle name="Normal 3 2 2 3 2 2 2 2 2 2 2 2 2" xfId="28711" xr:uid="{00000000-0005-0000-0000-0000C00E0000}"/>
    <cellStyle name="Normal 3 2 2 3 2 2 2 2 2 2 2 2 2 2" xfId="60582" xr:uid="{00000000-0005-0000-0000-0000C10E0000}"/>
    <cellStyle name="Normal 3 2 2 3 2 2 2 2 2 2 2 2 3" xfId="33097" xr:uid="{00000000-0005-0000-0000-0000C20E0000}"/>
    <cellStyle name="Normal 3 2 2 3 2 2 2 2 2 2 2 3" xfId="20833" xr:uid="{00000000-0005-0000-0000-0000C30E0000}"/>
    <cellStyle name="Normal 3 2 2 3 2 2 2 2 2 2 2 3 2" xfId="52704" xr:uid="{00000000-0005-0000-0000-0000C40E0000}"/>
    <cellStyle name="Normal 3 2 2 3 2 2 2 2 2 2 2 4" xfId="33096" xr:uid="{00000000-0005-0000-0000-0000C50E0000}"/>
    <cellStyle name="Normal 3 2 2 3 2 2 2 2 2 2 3" xfId="1219" xr:uid="{00000000-0005-0000-0000-0000C60E0000}"/>
    <cellStyle name="Normal 3 2 2 3 2 2 2 2 2 2 3 2" xfId="24772" xr:uid="{00000000-0005-0000-0000-0000C70E0000}"/>
    <cellStyle name="Normal 3 2 2 3 2 2 2 2 2 2 3 2 2" xfId="56643" xr:uid="{00000000-0005-0000-0000-0000C80E0000}"/>
    <cellStyle name="Normal 3 2 2 3 2 2 2 2 2 2 3 3" xfId="33098" xr:uid="{00000000-0005-0000-0000-0000C90E0000}"/>
    <cellStyle name="Normal 3 2 2 3 2 2 2 2 2 2 4" xfId="16894" xr:uid="{00000000-0005-0000-0000-0000CA0E0000}"/>
    <cellStyle name="Normal 3 2 2 3 2 2 2 2 2 2 4 2" xfId="48765" xr:uid="{00000000-0005-0000-0000-0000CB0E0000}"/>
    <cellStyle name="Normal 3 2 2 3 2 2 2 2 2 2 5" xfId="33095" xr:uid="{00000000-0005-0000-0000-0000CC0E0000}"/>
    <cellStyle name="Normal 3 2 2 3 2 2 2 2 2 3" xfId="1220" xr:uid="{00000000-0005-0000-0000-0000CD0E0000}"/>
    <cellStyle name="Normal 3 2 2 3 2 2 2 2 2 3 2" xfId="1221" xr:uid="{00000000-0005-0000-0000-0000CE0E0000}"/>
    <cellStyle name="Normal 3 2 2 3 2 2 2 2 2 3 2 2" xfId="28710" xr:uid="{00000000-0005-0000-0000-0000CF0E0000}"/>
    <cellStyle name="Normal 3 2 2 3 2 2 2 2 2 3 2 2 2" xfId="60581" xr:uid="{00000000-0005-0000-0000-0000D00E0000}"/>
    <cellStyle name="Normal 3 2 2 3 2 2 2 2 2 3 2 3" xfId="33100" xr:uid="{00000000-0005-0000-0000-0000D10E0000}"/>
    <cellStyle name="Normal 3 2 2 3 2 2 2 2 2 3 3" xfId="20832" xr:uid="{00000000-0005-0000-0000-0000D20E0000}"/>
    <cellStyle name="Normal 3 2 2 3 2 2 2 2 2 3 3 2" xfId="52703" xr:uid="{00000000-0005-0000-0000-0000D30E0000}"/>
    <cellStyle name="Normal 3 2 2 3 2 2 2 2 2 3 4" xfId="33099" xr:uid="{00000000-0005-0000-0000-0000D40E0000}"/>
    <cellStyle name="Normal 3 2 2 3 2 2 2 2 2 4" xfId="1222" xr:uid="{00000000-0005-0000-0000-0000D50E0000}"/>
    <cellStyle name="Normal 3 2 2 3 2 2 2 2 2 4 2" xfId="24771" xr:uid="{00000000-0005-0000-0000-0000D60E0000}"/>
    <cellStyle name="Normal 3 2 2 3 2 2 2 2 2 4 2 2" xfId="56642" xr:uid="{00000000-0005-0000-0000-0000D70E0000}"/>
    <cellStyle name="Normal 3 2 2 3 2 2 2 2 2 4 3" xfId="33101" xr:uid="{00000000-0005-0000-0000-0000D80E0000}"/>
    <cellStyle name="Normal 3 2 2 3 2 2 2 2 2 5" xfId="16893" xr:uid="{00000000-0005-0000-0000-0000D90E0000}"/>
    <cellStyle name="Normal 3 2 2 3 2 2 2 2 2 5 2" xfId="48764" xr:uid="{00000000-0005-0000-0000-0000DA0E0000}"/>
    <cellStyle name="Normal 3 2 2 3 2 2 2 2 2 6" xfId="33094" xr:uid="{00000000-0005-0000-0000-0000DB0E0000}"/>
    <cellStyle name="Normal 3 2 2 3 2 2 2 2 3" xfId="1223" xr:uid="{00000000-0005-0000-0000-0000DC0E0000}"/>
    <cellStyle name="Normal 3 2 2 3 2 2 2 2 3 2" xfId="1224" xr:uid="{00000000-0005-0000-0000-0000DD0E0000}"/>
    <cellStyle name="Normal 3 2 2 3 2 2 2 2 3 2 2" xfId="1225" xr:uid="{00000000-0005-0000-0000-0000DE0E0000}"/>
    <cellStyle name="Normal 3 2 2 3 2 2 2 2 3 2 2 2" xfId="28712" xr:uid="{00000000-0005-0000-0000-0000DF0E0000}"/>
    <cellStyle name="Normal 3 2 2 3 2 2 2 2 3 2 2 2 2" xfId="60583" xr:uid="{00000000-0005-0000-0000-0000E00E0000}"/>
    <cellStyle name="Normal 3 2 2 3 2 2 2 2 3 2 2 3" xfId="33104" xr:uid="{00000000-0005-0000-0000-0000E10E0000}"/>
    <cellStyle name="Normal 3 2 2 3 2 2 2 2 3 2 3" xfId="20834" xr:uid="{00000000-0005-0000-0000-0000E20E0000}"/>
    <cellStyle name="Normal 3 2 2 3 2 2 2 2 3 2 3 2" xfId="52705" xr:uid="{00000000-0005-0000-0000-0000E30E0000}"/>
    <cellStyle name="Normal 3 2 2 3 2 2 2 2 3 2 4" xfId="33103" xr:uid="{00000000-0005-0000-0000-0000E40E0000}"/>
    <cellStyle name="Normal 3 2 2 3 2 2 2 2 3 3" xfId="1226" xr:uid="{00000000-0005-0000-0000-0000E50E0000}"/>
    <cellStyle name="Normal 3 2 2 3 2 2 2 2 3 3 2" xfId="24773" xr:uid="{00000000-0005-0000-0000-0000E60E0000}"/>
    <cellStyle name="Normal 3 2 2 3 2 2 2 2 3 3 2 2" xfId="56644" xr:uid="{00000000-0005-0000-0000-0000E70E0000}"/>
    <cellStyle name="Normal 3 2 2 3 2 2 2 2 3 3 3" xfId="33105" xr:uid="{00000000-0005-0000-0000-0000E80E0000}"/>
    <cellStyle name="Normal 3 2 2 3 2 2 2 2 3 4" xfId="16895" xr:uid="{00000000-0005-0000-0000-0000E90E0000}"/>
    <cellStyle name="Normal 3 2 2 3 2 2 2 2 3 4 2" xfId="48766" xr:uid="{00000000-0005-0000-0000-0000EA0E0000}"/>
    <cellStyle name="Normal 3 2 2 3 2 2 2 2 3 5" xfId="33102" xr:uid="{00000000-0005-0000-0000-0000EB0E0000}"/>
    <cellStyle name="Normal 3 2 2 3 2 2 2 2 4" xfId="1227" xr:uid="{00000000-0005-0000-0000-0000EC0E0000}"/>
    <cellStyle name="Normal 3 2 2 3 2 2 2 2 4 2" xfId="1228" xr:uid="{00000000-0005-0000-0000-0000ED0E0000}"/>
    <cellStyle name="Normal 3 2 2 3 2 2 2 2 4 2 2" xfId="28709" xr:uid="{00000000-0005-0000-0000-0000EE0E0000}"/>
    <cellStyle name="Normal 3 2 2 3 2 2 2 2 4 2 2 2" xfId="60580" xr:uid="{00000000-0005-0000-0000-0000EF0E0000}"/>
    <cellStyle name="Normal 3 2 2 3 2 2 2 2 4 2 3" xfId="33107" xr:uid="{00000000-0005-0000-0000-0000F00E0000}"/>
    <cellStyle name="Normal 3 2 2 3 2 2 2 2 4 3" xfId="20831" xr:uid="{00000000-0005-0000-0000-0000F10E0000}"/>
    <cellStyle name="Normal 3 2 2 3 2 2 2 2 4 3 2" xfId="52702" xr:uid="{00000000-0005-0000-0000-0000F20E0000}"/>
    <cellStyle name="Normal 3 2 2 3 2 2 2 2 4 4" xfId="33106" xr:uid="{00000000-0005-0000-0000-0000F30E0000}"/>
    <cellStyle name="Normal 3 2 2 3 2 2 2 2 5" xfId="1229" xr:uid="{00000000-0005-0000-0000-0000F40E0000}"/>
    <cellStyle name="Normal 3 2 2 3 2 2 2 2 5 2" xfId="24770" xr:uid="{00000000-0005-0000-0000-0000F50E0000}"/>
    <cellStyle name="Normal 3 2 2 3 2 2 2 2 5 2 2" xfId="56641" xr:uid="{00000000-0005-0000-0000-0000F60E0000}"/>
    <cellStyle name="Normal 3 2 2 3 2 2 2 2 5 3" xfId="33108" xr:uid="{00000000-0005-0000-0000-0000F70E0000}"/>
    <cellStyle name="Normal 3 2 2 3 2 2 2 2 6" xfId="16892" xr:uid="{00000000-0005-0000-0000-0000F80E0000}"/>
    <cellStyle name="Normal 3 2 2 3 2 2 2 2 6 2" xfId="48763" xr:uid="{00000000-0005-0000-0000-0000F90E0000}"/>
    <cellStyle name="Normal 3 2 2 3 2 2 2 2 7" xfId="33093" xr:uid="{00000000-0005-0000-0000-0000FA0E0000}"/>
    <cellStyle name="Normal 3 2 2 3 2 2 2 3" xfId="1230" xr:uid="{00000000-0005-0000-0000-0000FB0E0000}"/>
    <cellStyle name="Normal 3 2 2 3 2 2 2 3 2" xfId="1231" xr:uid="{00000000-0005-0000-0000-0000FC0E0000}"/>
    <cellStyle name="Normal 3 2 2 3 2 2 2 3 2 2" xfId="1232" xr:uid="{00000000-0005-0000-0000-0000FD0E0000}"/>
    <cellStyle name="Normal 3 2 2 3 2 2 2 3 2 2 2" xfId="1233" xr:uid="{00000000-0005-0000-0000-0000FE0E0000}"/>
    <cellStyle name="Normal 3 2 2 3 2 2 2 3 2 2 2 2" xfId="28714" xr:uid="{00000000-0005-0000-0000-0000FF0E0000}"/>
    <cellStyle name="Normal 3 2 2 3 2 2 2 3 2 2 2 2 2" xfId="60585" xr:uid="{00000000-0005-0000-0000-0000000F0000}"/>
    <cellStyle name="Normal 3 2 2 3 2 2 2 3 2 2 2 3" xfId="33112" xr:uid="{00000000-0005-0000-0000-0000010F0000}"/>
    <cellStyle name="Normal 3 2 2 3 2 2 2 3 2 2 3" xfId="20836" xr:uid="{00000000-0005-0000-0000-0000020F0000}"/>
    <cellStyle name="Normal 3 2 2 3 2 2 2 3 2 2 3 2" xfId="52707" xr:uid="{00000000-0005-0000-0000-0000030F0000}"/>
    <cellStyle name="Normal 3 2 2 3 2 2 2 3 2 2 4" xfId="33111" xr:uid="{00000000-0005-0000-0000-0000040F0000}"/>
    <cellStyle name="Normal 3 2 2 3 2 2 2 3 2 3" xfId="1234" xr:uid="{00000000-0005-0000-0000-0000050F0000}"/>
    <cellStyle name="Normal 3 2 2 3 2 2 2 3 2 3 2" xfId="24775" xr:uid="{00000000-0005-0000-0000-0000060F0000}"/>
    <cellStyle name="Normal 3 2 2 3 2 2 2 3 2 3 2 2" xfId="56646" xr:uid="{00000000-0005-0000-0000-0000070F0000}"/>
    <cellStyle name="Normal 3 2 2 3 2 2 2 3 2 3 3" xfId="33113" xr:uid="{00000000-0005-0000-0000-0000080F0000}"/>
    <cellStyle name="Normal 3 2 2 3 2 2 2 3 2 4" xfId="16897" xr:uid="{00000000-0005-0000-0000-0000090F0000}"/>
    <cellStyle name="Normal 3 2 2 3 2 2 2 3 2 4 2" xfId="48768" xr:uid="{00000000-0005-0000-0000-00000A0F0000}"/>
    <cellStyle name="Normal 3 2 2 3 2 2 2 3 2 5" xfId="33110" xr:uid="{00000000-0005-0000-0000-00000B0F0000}"/>
    <cellStyle name="Normal 3 2 2 3 2 2 2 3 3" xfId="1235" xr:uid="{00000000-0005-0000-0000-00000C0F0000}"/>
    <cellStyle name="Normal 3 2 2 3 2 2 2 3 3 2" xfId="1236" xr:uid="{00000000-0005-0000-0000-00000D0F0000}"/>
    <cellStyle name="Normal 3 2 2 3 2 2 2 3 3 2 2" xfId="28713" xr:uid="{00000000-0005-0000-0000-00000E0F0000}"/>
    <cellStyle name="Normal 3 2 2 3 2 2 2 3 3 2 2 2" xfId="60584" xr:uid="{00000000-0005-0000-0000-00000F0F0000}"/>
    <cellStyle name="Normal 3 2 2 3 2 2 2 3 3 2 3" xfId="33115" xr:uid="{00000000-0005-0000-0000-0000100F0000}"/>
    <cellStyle name="Normal 3 2 2 3 2 2 2 3 3 3" xfId="20835" xr:uid="{00000000-0005-0000-0000-0000110F0000}"/>
    <cellStyle name="Normal 3 2 2 3 2 2 2 3 3 3 2" xfId="52706" xr:uid="{00000000-0005-0000-0000-0000120F0000}"/>
    <cellStyle name="Normal 3 2 2 3 2 2 2 3 3 4" xfId="33114" xr:uid="{00000000-0005-0000-0000-0000130F0000}"/>
    <cellStyle name="Normal 3 2 2 3 2 2 2 3 4" xfId="1237" xr:uid="{00000000-0005-0000-0000-0000140F0000}"/>
    <cellStyle name="Normal 3 2 2 3 2 2 2 3 4 2" xfId="24774" xr:uid="{00000000-0005-0000-0000-0000150F0000}"/>
    <cellStyle name="Normal 3 2 2 3 2 2 2 3 4 2 2" xfId="56645" xr:uid="{00000000-0005-0000-0000-0000160F0000}"/>
    <cellStyle name="Normal 3 2 2 3 2 2 2 3 4 3" xfId="33116" xr:uid="{00000000-0005-0000-0000-0000170F0000}"/>
    <cellStyle name="Normal 3 2 2 3 2 2 2 3 5" xfId="16896" xr:uid="{00000000-0005-0000-0000-0000180F0000}"/>
    <cellStyle name="Normal 3 2 2 3 2 2 2 3 5 2" xfId="48767" xr:uid="{00000000-0005-0000-0000-0000190F0000}"/>
    <cellStyle name="Normal 3 2 2 3 2 2 2 3 6" xfId="33109" xr:uid="{00000000-0005-0000-0000-00001A0F0000}"/>
    <cellStyle name="Normal 3 2 2 3 2 2 2 4" xfId="1238" xr:uid="{00000000-0005-0000-0000-00001B0F0000}"/>
    <cellStyle name="Normal 3 2 2 3 2 2 2 4 2" xfId="1239" xr:uid="{00000000-0005-0000-0000-00001C0F0000}"/>
    <cellStyle name="Normal 3 2 2 3 2 2 2 4 2 2" xfId="1240" xr:uid="{00000000-0005-0000-0000-00001D0F0000}"/>
    <cellStyle name="Normal 3 2 2 3 2 2 2 4 2 2 2" xfId="28715" xr:uid="{00000000-0005-0000-0000-00001E0F0000}"/>
    <cellStyle name="Normal 3 2 2 3 2 2 2 4 2 2 2 2" xfId="60586" xr:uid="{00000000-0005-0000-0000-00001F0F0000}"/>
    <cellStyle name="Normal 3 2 2 3 2 2 2 4 2 2 3" xfId="33119" xr:uid="{00000000-0005-0000-0000-0000200F0000}"/>
    <cellStyle name="Normal 3 2 2 3 2 2 2 4 2 3" xfId="20837" xr:uid="{00000000-0005-0000-0000-0000210F0000}"/>
    <cellStyle name="Normal 3 2 2 3 2 2 2 4 2 3 2" xfId="52708" xr:uid="{00000000-0005-0000-0000-0000220F0000}"/>
    <cellStyle name="Normal 3 2 2 3 2 2 2 4 2 4" xfId="33118" xr:uid="{00000000-0005-0000-0000-0000230F0000}"/>
    <cellStyle name="Normal 3 2 2 3 2 2 2 4 3" xfId="1241" xr:uid="{00000000-0005-0000-0000-0000240F0000}"/>
    <cellStyle name="Normal 3 2 2 3 2 2 2 4 3 2" xfId="24776" xr:uid="{00000000-0005-0000-0000-0000250F0000}"/>
    <cellStyle name="Normal 3 2 2 3 2 2 2 4 3 2 2" xfId="56647" xr:uid="{00000000-0005-0000-0000-0000260F0000}"/>
    <cellStyle name="Normal 3 2 2 3 2 2 2 4 3 3" xfId="33120" xr:uid="{00000000-0005-0000-0000-0000270F0000}"/>
    <cellStyle name="Normal 3 2 2 3 2 2 2 4 4" xfId="16898" xr:uid="{00000000-0005-0000-0000-0000280F0000}"/>
    <cellStyle name="Normal 3 2 2 3 2 2 2 4 4 2" xfId="48769" xr:uid="{00000000-0005-0000-0000-0000290F0000}"/>
    <cellStyle name="Normal 3 2 2 3 2 2 2 4 5" xfId="33117" xr:uid="{00000000-0005-0000-0000-00002A0F0000}"/>
    <cellStyle name="Normal 3 2 2 3 2 2 2 5" xfId="1242" xr:uid="{00000000-0005-0000-0000-00002B0F0000}"/>
    <cellStyle name="Normal 3 2 2 3 2 2 2 5 2" xfId="1243" xr:uid="{00000000-0005-0000-0000-00002C0F0000}"/>
    <cellStyle name="Normal 3 2 2 3 2 2 2 5 2 2" xfId="28708" xr:uid="{00000000-0005-0000-0000-00002D0F0000}"/>
    <cellStyle name="Normal 3 2 2 3 2 2 2 5 2 2 2" xfId="60579" xr:uid="{00000000-0005-0000-0000-00002E0F0000}"/>
    <cellStyle name="Normal 3 2 2 3 2 2 2 5 2 3" xfId="33122" xr:uid="{00000000-0005-0000-0000-00002F0F0000}"/>
    <cellStyle name="Normal 3 2 2 3 2 2 2 5 3" xfId="20830" xr:uid="{00000000-0005-0000-0000-0000300F0000}"/>
    <cellStyle name="Normal 3 2 2 3 2 2 2 5 3 2" xfId="52701" xr:uid="{00000000-0005-0000-0000-0000310F0000}"/>
    <cellStyle name="Normal 3 2 2 3 2 2 2 5 4" xfId="33121" xr:uid="{00000000-0005-0000-0000-0000320F0000}"/>
    <cellStyle name="Normal 3 2 2 3 2 2 2 6" xfId="1244" xr:uid="{00000000-0005-0000-0000-0000330F0000}"/>
    <cellStyle name="Normal 3 2 2 3 2 2 2 6 2" xfId="24769" xr:uid="{00000000-0005-0000-0000-0000340F0000}"/>
    <cellStyle name="Normal 3 2 2 3 2 2 2 6 2 2" xfId="56640" xr:uid="{00000000-0005-0000-0000-0000350F0000}"/>
    <cellStyle name="Normal 3 2 2 3 2 2 2 6 3" xfId="33123" xr:uid="{00000000-0005-0000-0000-0000360F0000}"/>
    <cellStyle name="Normal 3 2 2 3 2 2 2 7" xfId="16891" xr:uid="{00000000-0005-0000-0000-0000370F0000}"/>
    <cellStyle name="Normal 3 2 2 3 2 2 2 7 2" xfId="48762" xr:uid="{00000000-0005-0000-0000-0000380F0000}"/>
    <cellStyle name="Normal 3 2 2 3 2 2 2 8" xfId="33092" xr:uid="{00000000-0005-0000-0000-0000390F0000}"/>
    <cellStyle name="Normal 3 2 2 3 2 2 3" xfId="1245" xr:uid="{00000000-0005-0000-0000-00003A0F0000}"/>
    <cellStyle name="Normal 3 2 2 3 2 2 3 2" xfId="1246" xr:uid="{00000000-0005-0000-0000-00003B0F0000}"/>
    <cellStyle name="Normal 3 2 2 3 2 2 3 2 2" xfId="1247" xr:uid="{00000000-0005-0000-0000-00003C0F0000}"/>
    <cellStyle name="Normal 3 2 2 3 2 2 3 2 2 2" xfId="1248" xr:uid="{00000000-0005-0000-0000-00003D0F0000}"/>
    <cellStyle name="Normal 3 2 2 3 2 2 3 2 2 2 2" xfId="1249" xr:uid="{00000000-0005-0000-0000-00003E0F0000}"/>
    <cellStyle name="Normal 3 2 2 3 2 2 3 2 2 2 2 2" xfId="28718" xr:uid="{00000000-0005-0000-0000-00003F0F0000}"/>
    <cellStyle name="Normal 3 2 2 3 2 2 3 2 2 2 2 2 2" xfId="60589" xr:uid="{00000000-0005-0000-0000-0000400F0000}"/>
    <cellStyle name="Normal 3 2 2 3 2 2 3 2 2 2 2 3" xfId="33128" xr:uid="{00000000-0005-0000-0000-0000410F0000}"/>
    <cellStyle name="Normal 3 2 2 3 2 2 3 2 2 2 3" xfId="20840" xr:uid="{00000000-0005-0000-0000-0000420F0000}"/>
    <cellStyle name="Normal 3 2 2 3 2 2 3 2 2 2 3 2" xfId="52711" xr:uid="{00000000-0005-0000-0000-0000430F0000}"/>
    <cellStyle name="Normal 3 2 2 3 2 2 3 2 2 2 4" xfId="33127" xr:uid="{00000000-0005-0000-0000-0000440F0000}"/>
    <cellStyle name="Normal 3 2 2 3 2 2 3 2 2 3" xfId="1250" xr:uid="{00000000-0005-0000-0000-0000450F0000}"/>
    <cellStyle name="Normal 3 2 2 3 2 2 3 2 2 3 2" xfId="24779" xr:uid="{00000000-0005-0000-0000-0000460F0000}"/>
    <cellStyle name="Normal 3 2 2 3 2 2 3 2 2 3 2 2" xfId="56650" xr:uid="{00000000-0005-0000-0000-0000470F0000}"/>
    <cellStyle name="Normal 3 2 2 3 2 2 3 2 2 3 3" xfId="33129" xr:uid="{00000000-0005-0000-0000-0000480F0000}"/>
    <cellStyle name="Normal 3 2 2 3 2 2 3 2 2 4" xfId="16901" xr:uid="{00000000-0005-0000-0000-0000490F0000}"/>
    <cellStyle name="Normal 3 2 2 3 2 2 3 2 2 4 2" xfId="48772" xr:uid="{00000000-0005-0000-0000-00004A0F0000}"/>
    <cellStyle name="Normal 3 2 2 3 2 2 3 2 2 5" xfId="33126" xr:uid="{00000000-0005-0000-0000-00004B0F0000}"/>
    <cellStyle name="Normal 3 2 2 3 2 2 3 2 3" xfId="1251" xr:uid="{00000000-0005-0000-0000-00004C0F0000}"/>
    <cellStyle name="Normal 3 2 2 3 2 2 3 2 3 2" xfId="1252" xr:uid="{00000000-0005-0000-0000-00004D0F0000}"/>
    <cellStyle name="Normal 3 2 2 3 2 2 3 2 3 2 2" xfId="28717" xr:uid="{00000000-0005-0000-0000-00004E0F0000}"/>
    <cellStyle name="Normal 3 2 2 3 2 2 3 2 3 2 2 2" xfId="60588" xr:uid="{00000000-0005-0000-0000-00004F0F0000}"/>
    <cellStyle name="Normal 3 2 2 3 2 2 3 2 3 2 3" xfId="33131" xr:uid="{00000000-0005-0000-0000-0000500F0000}"/>
    <cellStyle name="Normal 3 2 2 3 2 2 3 2 3 3" xfId="20839" xr:uid="{00000000-0005-0000-0000-0000510F0000}"/>
    <cellStyle name="Normal 3 2 2 3 2 2 3 2 3 3 2" xfId="52710" xr:uid="{00000000-0005-0000-0000-0000520F0000}"/>
    <cellStyle name="Normal 3 2 2 3 2 2 3 2 3 4" xfId="33130" xr:uid="{00000000-0005-0000-0000-0000530F0000}"/>
    <cellStyle name="Normal 3 2 2 3 2 2 3 2 4" xfId="1253" xr:uid="{00000000-0005-0000-0000-0000540F0000}"/>
    <cellStyle name="Normal 3 2 2 3 2 2 3 2 4 2" xfId="24778" xr:uid="{00000000-0005-0000-0000-0000550F0000}"/>
    <cellStyle name="Normal 3 2 2 3 2 2 3 2 4 2 2" xfId="56649" xr:uid="{00000000-0005-0000-0000-0000560F0000}"/>
    <cellStyle name="Normal 3 2 2 3 2 2 3 2 4 3" xfId="33132" xr:uid="{00000000-0005-0000-0000-0000570F0000}"/>
    <cellStyle name="Normal 3 2 2 3 2 2 3 2 5" xfId="16900" xr:uid="{00000000-0005-0000-0000-0000580F0000}"/>
    <cellStyle name="Normal 3 2 2 3 2 2 3 2 5 2" xfId="48771" xr:uid="{00000000-0005-0000-0000-0000590F0000}"/>
    <cellStyle name="Normal 3 2 2 3 2 2 3 2 6" xfId="33125" xr:uid="{00000000-0005-0000-0000-00005A0F0000}"/>
    <cellStyle name="Normal 3 2 2 3 2 2 3 3" xfId="1254" xr:uid="{00000000-0005-0000-0000-00005B0F0000}"/>
    <cellStyle name="Normal 3 2 2 3 2 2 3 3 2" xfId="1255" xr:uid="{00000000-0005-0000-0000-00005C0F0000}"/>
    <cellStyle name="Normal 3 2 2 3 2 2 3 3 2 2" xfId="1256" xr:uid="{00000000-0005-0000-0000-00005D0F0000}"/>
    <cellStyle name="Normal 3 2 2 3 2 2 3 3 2 2 2" xfId="28719" xr:uid="{00000000-0005-0000-0000-00005E0F0000}"/>
    <cellStyle name="Normal 3 2 2 3 2 2 3 3 2 2 2 2" xfId="60590" xr:uid="{00000000-0005-0000-0000-00005F0F0000}"/>
    <cellStyle name="Normal 3 2 2 3 2 2 3 3 2 2 3" xfId="33135" xr:uid="{00000000-0005-0000-0000-0000600F0000}"/>
    <cellStyle name="Normal 3 2 2 3 2 2 3 3 2 3" xfId="20841" xr:uid="{00000000-0005-0000-0000-0000610F0000}"/>
    <cellStyle name="Normal 3 2 2 3 2 2 3 3 2 3 2" xfId="52712" xr:uid="{00000000-0005-0000-0000-0000620F0000}"/>
    <cellStyle name="Normal 3 2 2 3 2 2 3 3 2 4" xfId="33134" xr:uid="{00000000-0005-0000-0000-0000630F0000}"/>
    <cellStyle name="Normal 3 2 2 3 2 2 3 3 3" xfId="1257" xr:uid="{00000000-0005-0000-0000-0000640F0000}"/>
    <cellStyle name="Normal 3 2 2 3 2 2 3 3 3 2" xfId="24780" xr:uid="{00000000-0005-0000-0000-0000650F0000}"/>
    <cellStyle name="Normal 3 2 2 3 2 2 3 3 3 2 2" xfId="56651" xr:uid="{00000000-0005-0000-0000-0000660F0000}"/>
    <cellStyle name="Normal 3 2 2 3 2 2 3 3 3 3" xfId="33136" xr:uid="{00000000-0005-0000-0000-0000670F0000}"/>
    <cellStyle name="Normal 3 2 2 3 2 2 3 3 4" xfId="16902" xr:uid="{00000000-0005-0000-0000-0000680F0000}"/>
    <cellStyle name="Normal 3 2 2 3 2 2 3 3 4 2" xfId="48773" xr:uid="{00000000-0005-0000-0000-0000690F0000}"/>
    <cellStyle name="Normal 3 2 2 3 2 2 3 3 5" xfId="33133" xr:uid="{00000000-0005-0000-0000-00006A0F0000}"/>
    <cellStyle name="Normal 3 2 2 3 2 2 3 4" xfId="1258" xr:uid="{00000000-0005-0000-0000-00006B0F0000}"/>
    <cellStyle name="Normal 3 2 2 3 2 2 3 4 2" xfId="1259" xr:uid="{00000000-0005-0000-0000-00006C0F0000}"/>
    <cellStyle name="Normal 3 2 2 3 2 2 3 4 2 2" xfId="28716" xr:uid="{00000000-0005-0000-0000-00006D0F0000}"/>
    <cellStyle name="Normal 3 2 2 3 2 2 3 4 2 2 2" xfId="60587" xr:uid="{00000000-0005-0000-0000-00006E0F0000}"/>
    <cellStyle name="Normal 3 2 2 3 2 2 3 4 2 3" xfId="33138" xr:uid="{00000000-0005-0000-0000-00006F0F0000}"/>
    <cellStyle name="Normal 3 2 2 3 2 2 3 4 3" xfId="20838" xr:uid="{00000000-0005-0000-0000-0000700F0000}"/>
    <cellStyle name="Normal 3 2 2 3 2 2 3 4 3 2" xfId="52709" xr:uid="{00000000-0005-0000-0000-0000710F0000}"/>
    <cellStyle name="Normal 3 2 2 3 2 2 3 4 4" xfId="33137" xr:uid="{00000000-0005-0000-0000-0000720F0000}"/>
    <cellStyle name="Normal 3 2 2 3 2 2 3 5" xfId="1260" xr:uid="{00000000-0005-0000-0000-0000730F0000}"/>
    <cellStyle name="Normal 3 2 2 3 2 2 3 5 2" xfId="24777" xr:uid="{00000000-0005-0000-0000-0000740F0000}"/>
    <cellStyle name="Normal 3 2 2 3 2 2 3 5 2 2" xfId="56648" xr:uid="{00000000-0005-0000-0000-0000750F0000}"/>
    <cellStyle name="Normal 3 2 2 3 2 2 3 5 3" xfId="33139" xr:uid="{00000000-0005-0000-0000-0000760F0000}"/>
    <cellStyle name="Normal 3 2 2 3 2 2 3 6" xfId="16899" xr:uid="{00000000-0005-0000-0000-0000770F0000}"/>
    <cellStyle name="Normal 3 2 2 3 2 2 3 6 2" xfId="48770" xr:uid="{00000000-0005-0000-0000-0000780F0000}"/>
    <cellStyle name="Normal 3 2 2 3 2 2 3 7" xfId="33124" xr:uid="{00000000-0005-0000-0000-0000790F0000}"/>
    <cellStyle name="Normal 3 2 2 3 2 2 4" xfId="1261" xr:uid="{00000000-0005-0000-0000-00007A0F0000}"/>
    <cellStyle name="Normal 3 2 2 3 2 2 4 2" xfId="1262" xr:uid="{00000000-0005-0000-0000-00007B0F0000}"/>
    <cellStyle name="Normal 3 2 2 3 2 2 4 2 2" xfId="1263" xr:uid="{00000000-0005-0000-0000-00007C0F0000}"/>
    <cellStyle name="Normal 3 2 2 3 2 2 4 2 2 2" xfId="1264" xr:uid="{00000000-0005-0000-0000-00007D0F0000}"/>
    <cellStyle name="Normal 3 2 2 3 2 2 4 2 2 2 2" xfId="28721" xr:uid="{00000000-0005-0000-0000-00007E0F0000}"/>
    <cellStyle name="Normal 3 2 2 3 2 2 4 2 2 2 2 2" xfId="60592" xr:uid="{00000000-0005-0000-0000-00007F0F0000}"/>
    <cellStyle name="Normal 3 2 2 3 2 2 4 2 2 2 3" xfId="33143" xr:uid="{00000000-0005-0000-0000-0000800F0000}"/>
    <cellStyle name="Normal 3 2 2 3 2 2 4 2 2 3" xfId="20843" xr:uid="{00000000-0005-0000-0000-0000810F0000}"/>
    <cellStyle name="Normal 3 2 2 3 2 2 4 2 2 3 2" xfId="52714" xr:uid="{00000000-0005-0000-0000-0000820F0000}"/>
    <cellStyle name="Normal 3 2 2 3 2 2 4 2 2 4" xfId="33142" xr:uid="{00000000-0005-0000-0000-0000830F0000}"/>
    <cellStyle name="Normal 3 2 2 3 2 2 4 2 3" xfId="1265" xr:uid="{00000000-0005-0000-0000-0000840F0000}"/>
    <cellStyle name="Normal 3 2 2 3 2 2 4 2 3 2" xfId="24782" xr:uid="{00000000-0005-0000-0000-0000850F0000}"/>
    <cellStyle name="Normal 3 2 2 3 2 2 4 2 3 2 2" xfId="56653" xr:uid="{00000000-0005-0000-0000-0000860F0000}"/>
    <cellStyle name="Normal 3 2 2 3 2 2 4 2 3 3" xfId="33144" xr:uid="{00000000-0005-0000-0000-0000870F0000}"/>
    <cellStyle name="Normal 3 2 2 3 2 2 4 2 4" xfId="16904" xr:uid="{00000000-0005-0000-0000-0000880F0000}"/>
    <cellStyle name="Normal 3 2 2 3 2 2 4 2 4 2" xfId="48775" xr:uid="{00000000-0005-0000-0000-0000890F0000}"/>
    <cellStyle name="Normal 3 2 2 3 2 2 4 2 5" xfId="33141" xr:uid="{00000000-0005-0000-0000-00008A0F0000}"/>
    <cellStyle name="Normal 3 2 2 3 2 2 4 3" xfId="1266" xr:uid="{00000000-0005-0000-0000-00008B0F0000}"/>
    <cellStyle name="Normal 3 2 2 3 2 2 4 3 2" xfId="1267" xr:uid="{00000000-0005-0000-0000-00008C0F0000}"/>
    <cellStyle name="Normal 3 2 2 3 2 2 4 3 2 2" xfId="28720" xr:uid="{00000000-0005-0000-0000-00008D0F0000}"/>
    <cellStyle name="Normal 3 2 2 3 2 2 4 3 2 2 2" xfId="60591" xr:uid="{00000000-0005-0000-0000-00008E0F0000}"/>
    <cellStyle name="Normal 3 2 2 3 2 2 4 3 2 3" xfId="33146" xr:uid="{00000000-0005-0000-0000-00008F0F0000}"/>
    <cellStyle name="Normal 3 2 2 3 2 2 4 3 3" xfId="20842" xr:uid="{00000000-0005-0000-0000-0000900F0000}"/>
    <cellStyle name="Normal 3 2 2 3 2 2 4 3 3 2" xfId="52713" xr:uid="{00000000-0005-0000-0000-0000910F0000}"/>
    <cellStyle name="Normal 3 2 2 3 2 2 4 3 4" xfId="33145" xr:uid="{00000000-0005-0000-0000-0000920F0000}"/>
    <cellStyle name="Normal 3 2 2 3 2 2 4 4" xfId="1268" xr:uid="{00000000-0005-0000-0000-0000930F0000}"/>
    <cellStyle name="Normal 3 2 2 3 2 2 4 4 2" xfId="24781" xr:uid="{00000000-0005-0000-0000-0000940F0000}"/>
    <cellStyle name="Normal 3 2 2 3 2 2 4 4 2 2" xfId="56652" xr:uid="{00000000-0005-0000-0000-0000950F0000}"/>
    <cellStyle name="Normal 3 2 2 3 2 2 4 4 3" xfId="33147" xr:uid="{00000000-0005-0000-0000-0000960F0000}"/>
    <cellStyle name="Normal 3 2 2 3 2 2 4 5" xfId="16903" xr:uid="{00000000-0005-0000-0000-0000970F0000}"/>
    <cellStyle name="Normal 3 2 2 3 2 2 4 5 2" xfId="48774" xr:uid="{00000000-0005-0000-0000-0000980F0000}"/>
    <cellStyle name="Normal 3 2 2 3 2 2 4 6" xfId="33140" xr:uid="{00000000-0005-0000-0000-0000990F0000}"/>
    <cellStyle name="Normal 3 2 2 3 2 2 5" xfId="1269" xr:uid="{00000000-0005-0000-0000-00009A0F0000}"/>
    <cellStyle name="Normal 3 2 2 3 2 2 5 2" xfId="1270" xr:uid="{00000000-0005-0000-0000-00009B0F0000}"/>
    <cellStyle name="Normal 3 2 2 3 2 2 5 2 2" xfId="1271" xr:uid="{00000000-0005-0000-0000-00009C0F0000}"/>
    <cellStyle name="Normal 3 2 2 3 2 2 5 2 2 2" xfId="28722" xr:uid="{00000000-0005-0000-0000-00009D0F0000}"/>
    <cellStyle name="Normal 3 2 2 3 2 2 5 2 2 2 2" xfId="60593" xr:uid="{00000000-0005-0000-0000-00009E0F0000}"/>
    <cellStyle name="Normal 3 2 2 3 2 2 5 2 2 3" xfId="33150" xr:uid="{00000000-0005-0000-0000-00009F0F0000}"/>
    <cellStyle name="Normal 3 2 2 3 2 2 5 2 3" xfId="20844" xr:uid="{00000000-0005-0000-0000-0000A00F0000}"/>
    <cellStyle name="Normal 3 2 2 3 2 2 5 2 3 2" xfId="52715" xr:uid="{00000000-0005-0000-0000-0000A10F0000}"/>
    <cellStyle name="Normal 3 2 2 3 2 2 5 2 4" xfId="33149" xr:uid="{00000000-0005-0000-0000-0000A20F0000}"/>
    <cellStyle name="Normal 3 2 2 3 2 2 5 3" xfId="1272" xr:uid="{00000000-0005-0000-0000-0000A30F0000}"/>
    <cellStyle name="Normal 3 2 2 3 2 2 5 3 2" xfId="24783" xr:uid="{00000000-0005-0000-0000-0000A40F0000}"/>
    <cellStyle name="Normal 3 2 2 3 2 2 5 3 2 2" xfId="56654" xr:uid="{00000000-0005-0000-0000-0000A50F0000}"/>
    <cellStyle name="Normal 3 2 2 3 2 2 5 3 3" xfId="33151" xr:uid="{00000000-0005-0000-0000-0000A60F0000}"/>
    <cellStyle name="Normal 3 2 2 3 2 2 5 4" xfId="16905" xr:uid="{00000000-0005-0000-0000-0000A70F0000}"/>
    <cellStyle name="Normal 3 2 2 3 2 2 5 4 2" xfId="48776" xr:uid="{00000000-0005-0000-0000-0000A80F0000}"/>
    <cellStyle name="Normal 3 2 2 3 2 2 5 5" xfId="33148" xr:uid="{00000000-0005-0000-0000-0000A90F0000}"/>
    <cellStyle name="Normal 3 2 2 3 2 2 6" xfId="1273" xr:uid="{00000000-0005-0000-0000-0000AA0F0000}"/>
    <cellStyle name="Normal 3 2 2 3 2 2 6 2" xfId="1274" xr:uid="{00000000-0005-0000-0000-0000AB0F0000}"/>
    <cellStyle name="Normal 3 2 2 3 2 2 6 2 2" xfId="28460" xr:uid="{00000000-0005-0000-0000-0000AC0F0000}"/>
    <cellStyle name="Normal 3 2 2 3 2 2 6 2 2 2" xfId="60331" xr:uid="{00000000-0005-0000-0000-0000AD0F0000}"/>
    <cellStyle name="Normal 3 2 2 3 2 2 6 2 3" xfId="33153" xr:uid="{00000000-0005-0000-0000-0000AE0F0000}"/>
    <cellStyle name="Normal 3 2 2 3 2 2 6 3" xfId="20582" xr:uid="{00000000-0005-0000-0000-0000AF0F0000}"/>
    <cellStyle name="Normal 3 2 2 3 2 2 6 3 2" xfId="52453" xr:uid="{00000000-0005-0000-0000-0000B00F0000}"/>
    <cellStyle name="Normal 3 2 2 3 2 2 6 4" xfId="33152" xr:uid="{00000000-0005-0000-0000-0000B10F0000}"/>
    <cellStyle name="Normal 3 2 2 3 2 2 7" xfId="1275" xr:uid="{00000000-0005-0000-0000-0000B20F0000}"/>
    <cellStyle name="Normal 3 2 2 3 2 2 7 2" xfId="24521" xr:uid="{00000000-0005-0000-0000-0000B30F0000}"/>
    <cellStyle name="Normal 3 2 2 3 2 2 7 2 2" xfId="56392" xr:uid="{00000000-0005-0000-0000-0000B40F0000}"/>
    <cellStyle name="Normal 3 2 2 3 2 2 7 3" xfId="33154" xr:uid="{00000000-0005-0000-0000-0000B50F0000}"/>
    <cellStyle name="Normal 3 2 2 3 2 2 8" xfId="16643" xr:uid="{00000000-0005-0000-0000-0000B60F0000}"/>
    <cellStyle name="Normal 3 2 2 3 2 2 8 2" xfId="48514" xr:uid="{00000000-0005-0000-0000-0000B70F0000}"/>
    <cellStyle name="Normal 3 2 2 3 2 2 9" xfId="33091" xr:uid="{00000000-0005-0000-0000-0000B80F0000}"/>
    <cellStyle name="Normal 3 2 2 3 2 3" xfId="1276" xr:uid="{00000000-0005-0000-0000-0000B90F0000}"/>
    <cellStyle name="Normal 3 2 2 3 2 3 2" xfId="1277" xr:uid="{00000000-0005-0000-0000-0000BA0F0000}"/>
    <cellStyle name="Normal 3 2 2 3 2 3 2 2" xfId="1278" xr:uid="{00000000-0005-0000-0000-0000BB0F0000}"/>
    <cellStyle name="Normal 3 2 2 3 2 3 2 2 2" xfId="1279" xr:uid="{00000000-0005-0000-0000-0000BC0F0000}"/>
    <cellStyle name="Normal 3 2 2 3 2 3 2 2 2 2" xfId="1280" xr:uid="{00000000-0005-0000-0000-0000BD0F0000}"/>
    <cellStyle name="Normal 3 2 2 3 2 3 2 2 2 2 2" xfId="1281" xr:uid="{00000000-0005-0000-0000-0000BE0F0000}"/>
    <cellStyle name="Normal 3 2 2 3 2 3 2 2 2 2 2 2" xfId="28726" xr:uid="{00000000-0005-0000-0000-0000BF0F0000}"/>
    <cellStyle name="Normal 3 2 2 3 2 3 2 2 2 2 2 2 2" xfId="60597" xr:uid="{00000000-0005-0000-0000-0000C00F0000}"/>
    <cellStyle name="Normal 3 2 2 3 2 3 2 2 2 2 2 3" xfId="33160" xr:uid="{00000000-0005-0000-0000-0000C10F0000}"/>
    <cellStyle name="Normal 3 2 2 3 2 3 2 2 2 2 3" xfId="20848" xr:uid="{00000000-0005-0000-0000-0000C20F0000}"/>
    <cellStyle name="Normal 3 2 2 3 2 3 2 2 2 2 3 2" xfId="52719" xr:uid="{00000000-0005-0000-0000-0000C30F0000}"/>
    <cellStyle name="Normal 3 2 2 3 2 3 2 2 2 2 4" xfId="33159" xr:uid="{00000000-0005-0000-0000-0000C40F0000}"/>
    <cellStyle name="Normal 3 2 2 3 2 3 2 2 2 3" xfId="1282" xr:uid="{00000000-0005-0000-0000-0000C50F0000}"/>
    <cellStyle name="Normal 3 2 2 3 2 3 2 2 2 3 2" xfId="24787" xr:uid="{00000000-0005-0000-0000-0000C60F0000}"/>
    <cellStyle name="Normal 3 2 2 3 2 3 2 2 2 3 2 2" xfId="56658" xr:uid="{00000000-0005-0000-0000-0000C70F0000}"/>
    <cellStyle name="Normal 3 2 2 3 2 3 2 2 2 3 3" xfId="33161" xr:uid="{00000000-0005-0000-0000-0000C80F0000}"/>
    <cellStyle name="Normal 3 2 2 3 2 3 2 2 2 4" xfId="16909" xr:uid="{00000000-0005-0000-0000-0000C90F0000}"/>
    <cellStyle name="Normal 3 2 2 3 2 3 2 2 2 4 2" xfId="48780" xr:uid="{00000000-0005-0000-0000-0000CA0F0000}"/>
    <cellStyle name="Normal 3 2 2 3 2 3 2 2 2 5" xfId="33158" xr:uid="{00000000-0005-0000-0000-0000CB0F0000}"/>
    <cellStyle name="Normal 3 2 2 3 2 3 2 2 3" xfId="1283" xr:uid="{00000000-0005-0000-0000-0000CC0F0000}"/>
    <cellStyle name="Normal 3 2 2 3 2 3 2 2 3 2" xfId="1284" xr:uid="{00000000-0005-0000-0000-0000CD0F0000}"/>
    <cellStyle name="Normal 3 2 2 3 2 3 2 2 3 2 2" xfId="28725" xr:uid="{00000000-0005-0000-0000-0000CE0F0000}"/>
    <cellStyle name="Normal 3 2 2 3 2 3 2 2 3 2 2 2" xfId="60596" xr:uid="{00000000-0005-0000-0000-0000CF0F0000}"/>
    <cellStyle name="Normal 3 2 2 3 2 3 2 2 3 2 3" xfId="33163" xr:uid="{00000000-0005-0000-0000-0000D00F0000}"/>
    <cellStyle name="Normal 3 2 2 3 2 3 2 2 3 3" xfId="20847" xr:uid="{00000000-0005-0000-0000-0000D10F0000}"/>
    <cellStyle name="Normal 3 2 2 3 2 3 2 2 3 3 2" xfId="52718" xr:uid="{00000000-0005-0000-0000-0000D20F0000}"/>
    <cellStyle name="Normal 3 2 2 3 2 3 2 2 3 4" xfId="33162" xr:uid="{00000000-0005-0000-0000-0000D30F0000}"/>
    <cellStyle name="Normal 3 2 2 3 2 3 2 2 4" xfId="1285" xr:uid="{00000000-0005-0000-0000-0000D40F0000}"/>
    <cellStyle name="Normal 3 2 2 3 2 3 2 2 4 2" xfId="24786" xr:uid="{00000000-0005-0000-0000-0000D50F0000}"/>
    <cellStyle name="Normal 3 2 2 3 2 3 2 2 4 2 2" xfId="56657" xr:uid="{00000000-0005-0000-0000-0000D60F0000}"/>
    <cellStyle name="Normal 3 2 2 3 2 3 2 2 4 3" xfId="33164" xr:uid="{00000000-0005-0000-0000-0000D70F0000}"/>
    <cellStyle name="Normal 3 2 2 3 2 3 2 2 5" xfId="16908" xr:uid="{00000000-0005-0000-0000-0000D80F0000}"/>
    <cellStyle name="Normal 3 2 2 3 2 3 2 2 5 2" xfId="48779" xr:uid="{00000000-0005-0000-0000-0000D90F0000}"/>
    <cellStyle name="Normal 3 2 2 3 2 3 2 2 6" xfId="33157" xr:uid="{00000000-0005-0000-0000-0000DA0F0000}"/>
    <cellStyle name="Normal 3 2 2 3 2 3 2 3" xfId="1286" xr:uid="{00000000-0005-0000-0000-0000DB0F0000}"/>
    <cellStyle name="Normal 3 2 2 3 2 3 2 3 2" xfId="1287" xr:uid="{00000000-0005-0000-0000-0000DC0F0000}"/>
    <cellStyle name="Normal 3 2 2 3 2 3 2 3 2 2" xfId="1288" xr:uid="{00000000-0005-0000-0000-0000DD0F0000}"/>
    <cellStyle name="Normal 3 2 2 3 2 3 2 3 2 2 2" xfId="28727" xr:uid="{00000000-0005-0000-0000-0000DE0F0000}"/>
    <cellStyle name="Normal 3 2 2 3 2 3 2 3 2 2 2 2" xfId="60598" xr:uid="{00000000-0005-0000-0000-0000DF0F0000}"/>
    <cellStyle name="Normal 3 2 2 3 2 3 2 3 2 2 3" xfId="33167" xr:uid="{00000000-0005-0000-0000-0000E00F0000}"/>
    <cellStyle name="Normal 3 2 2 3 2 3 2 3 2 3" xfId="20849" xr:uid="{00000000-0005-0000-0000-0000E10F0000}"/>
    <cellStyle name="Normal 3 2 2 3 2 3 2 3 2 3 2" xfId="52720" xr:uid="{00000000-0005-0000-0000-0000E20F0000}"/>
    <cellStyle name="Normal 3 2 2 3 2 3 2 3 2 4" xfId="33166" xr:uid="{00000000-0005-0000-0000-0000E30F0000}"/>
    <cellStyle name="Normal 3 2 2 3 2 3 2 3 3" xfId="1289" xr:uid="{00000000-0005-0000-0000-0000E40F0000}"/>
    <cellStyle name="Normal 3 2 2 3 2 3 2 3 3 2" xfId="24788" xr:uid="{00000000-0005-0000-0000-0000E50F0000}"/>
    <cellStyle name="Normal 3 2 2 3 2 3 2 3 3 2 2" xfId="56659" xr:uid="{00000000-0005-0000-0000-0000E60F0000}"/>
    <cellStyle name="Normal 3 2 2 3 2 3 2 3 3 3" xfId="33168" xr:uid="{00000000-0005-0000-0000-0000E70F0000}"/>
    <cellStyle name="Normal 3 2 2 3 2 3 2 3 4" xfId="16910" xr:uid="{00000000-0005-0000-0000-0000E80F0000}"/>
    <cellStyle name="Normal 3 2 2 3 2 3 2 3 4 2" xfId="48781" xr:uid="{00000000-0005-0000-0000-0000E90F0000}"/>
    <cellStyle name="Normal 3 2 2 3 2 3 2 3 5" xfId="33165" xr:uid="{00000000-0005-0000-0000-0000EA0F0000}"/>
    <cellStyle name="Normal 3 2 2 3 2 3 2 4" xfId="1290" xr:uid="{00000000-0005-0000-0000-0000EB0F0000}"/>
    <cellStyle name="Normal 3 2 2 3 2 3 2 4 2" xfId="1291" xr:uid="{00000000-0005-0000-0000-0000EC0F0000}"/>
    <cellStyle name="Normal 3 2 2 3 2 3 2 4 2 2" xfId="28724" xr:uid="{00000000-0005-0000-0000-0000ED0F0000}"/>
    <cellStyle name="Normal 3 2 2 3 2 3 2 4 2 2 2" xfId="60595" xr:uid="{00000000-0005-0000-0000-0000EE0F0000}"/>
    <cellStyle name="Normal 3 2 2 3 2 3 2 4 2 3" xfId="33170" xr:uid="{00000000-0005-0000-0000-0000EF0F0000}"/>
    <cellStyle name="Normal 3 2 2 3 2 3 2 4 3" xfId="20846" xr:uid="{00000000-0005-0000-0000-0000F00F0000}"/>
    <cellStyle name="Normal 3 2 2 3 2 3 2 4 3 2" xfId="52717" xr:uid="{00000000-0005-0000-0000-0000F10F0000}"/>
    <cellStyle name="Normal 3 2 2 3 2 3 2 4 4" xfId="33169" xr:uid="{00000000-0005-0000-0000-0000F20F0000}"/>
    <cellStyle name="Normal 3 2 2 3 2 3 2 5" xfId="1292" xr:uid="{00000000-0005-0000-0000-0000F30F0000}"/>
    <cellStyle name="Normal 3 2 2 3 2 3 2 5 2" xfId="24785" xr:uid="{00000000-0005-0000-0000-0000F40F0000}"/>
    <cellStyle name="Normal 3 2 2 3 2 3 2 5 2 2" xfId="56656" xr:uid="{00000000-0005-0000-0000-0000F50F0000}"/>
    <cellStyle name="Normal 3 2 2 3 2 3 2 5 3" xfId="33171" xr:uid="{00000000-0005-0000-0000-0000F60F0000}"/>
    <cellStyle name="Normal 3 2 2 3 2 3 2 6" xfId="16907" xr:uid="{00000000-0005-0000-0000-0000F70F0000}"/>
    <cellStyle name="Normal 3 2 2 3 2 3 2 6 2" xfId="48778" xr:uid="{00000000-0005-0000-0000-0000F80F0000}"/>
    <cellStyle name="Normal 3 2 2 3 2 3 2 7" xfId="33156" xr:uid="{00000000-0005-0000-0000-0000F90F0000}"/>
    <cellStyle name="Normal 3 2 2 3 2 3 3" xfId="1293" xr:uid="{00000000-0005-0000-0000-0000FA0F0000}"/>
    <cellStyle name="Normal 3 2 2 3 2 3 3 2" xfId="1294" xr:uid="{00000000-0005-0000-0000-0000FB0F0000}"/>
    <cellStyle name="Normal 3 2 2 3 2 3 3 2 2" xfId="1295" xr:uid="{00000000-0005-0000-0000-0000FC0F0000}"/>
    <cellStyle name="Normal 3 2 2 3 2 3 3 2 2 2" xfId="1296" xr:uid="{00000000-0005-0000-0000-0000FD0F0000}"/>
    <cellStyle name="Normal 3 2 2 3 2 3 3 2 2 2 2" xfId="28729" xr:uid="{00000000-0005-0000-0000-0000FE0F0000}"/>
    <cellStyle name="Normal 3 2 2 3 2 3 3 2 2 2 2 2" xfId="60600" xr:uid="{00000000-0005-0000-0000-0000FF0F0000}"/>
    <cellStyle name="Normal 3 2 2 3 2 3 3 2 2 2 3" xfId="33175" xr:uid="{00000000-0005-0000-0000-000000100000}"/>
    <cellStyle name="Normal 3 2 2 3 2 3 3 2 2 3" xfId="20851" xr:uid="{00000000-0005-0000-0000-000001100000}"/>
    <cellStyle name="Normal 3 2 2 3 2 3 3 2 2 3 2" xfId="52722" xr:uid="{00000000-0005-0000-0000-000002100000}"/>
    <cellStyle name="Normal 3 2 2 3 2 3 3 2 2 4" xfId="33174" xr:uid="{00000000-0005-0000-0000-000003100000}"/>
    <cellStyle name="Normal 3 2 2 3 2 3 3 2 3" xfId="1297" xr:uid="{00000000-0005-0000-0000-000004100000}"/>
    <cellStyle name="Normal 3 2 2 3 2 3 3 2 3 2" xfId="24790" xr:uid="{00000000-0005-0000-0000-000005100000}"/>
    <cellStyle name="Normal 3 2 2 3 2 3 3 2 3 2 2" xfId="56661" xr:uid="{00000000-0005-0000-0000-000006100000}"/>
    <cellStyle name="Normal 3 2 2 3 2 3 3 2 3 3" xfId="33176" xr:uid="{00000000-0005-0000-0000-000007100000}"/>
    <cellStyle name="Normal 3 2 2 3 2 3 3 2 4" xfId="16912" xr:uid="{00000000-0005-0000-0000-000008100000}"/>
    <cellStyle name="Normal 3 2 2 3 2 3 3 2 4 2" xfId="48783" xr:uid="{00000000-0005-0000-0000-000009100000}"/>
    <cellStyle name="Normal 3 2 2 3 2 3 3 2 5" xfId="33173" xr:uid="{00000000-0005-0000-0000-00000A100000}"/>
    <cellStyle name="Normal 3 2 2 3 2 3 3 3" xfId="1298" xr:uid="{00000000-0005-0000-0000-00000B100000}"/>
    <cellStyle name="Normal 3 2 2 3 2 3 3 3 2" xfId="1299" xr:uid="{00000000-0005-0000-0000-00000C100000}"/>
    <cellStyle name="Normal 3 2 2 3 2 3 3 3 2 2" xfId="28728" xr:uid="{00000000-0005-0000-0000-00000D100000}"/>
    <cellStyle name="Normal 3 2 2 3 2 3 3 3 2 2 2" xfId="60599" xr:uid="{00000000-0005-0000-0000-00000E100000}"/>
    <cellStyle name="Normal 3 2 2 3 2 3 3 3 2 3" xfId="33178" xr:uid="{00000000-0005-0000-0000-00000F100000}"/>
    <cellStyle name="Normal 3 2 2 3 2 3 3 3 3" xfId="20850" xr:uid="{00000000-0005-0000-0000-000010100000}"/>
    <cellStyle name="Normal 3 2 2 3 2 3 3 3 3 2" xfId="52721" xr:uid="{00000000-0005-0000-0000-000011100000}"/>
    <cellStyle name="Normal 3 2 2 3 2 3 3 3 4" xfId="33177" xr:uid="{00000000-0005-0000-0000-000012100000}"/>
    <cellStyle name="Normal 3 2 2 3 2 3 3 4" xfId="1300" xr:uid="{00000000-0005-0000-0000-000013100000}"/>
    <cellStyle name="Normal 3 2 2 3 2 3 3 4 2" xfId="24789" xr:uid="{00000000-0005-0000-0000-000014100000}"/>
    <cellStyle name="Normal 3 2 2 3 2 3 3 4 2 2" xfId="56660" xr:uid="{00000000-0005-0000-0000-000015100000}"/>
    <cellStyle name="Normal 3 2 2 3 2 3 3 4 3" xfId="33179" xr:uid="{00000000-0005-0000-0000-000016100000}"/>
    <cellStyle name="Normal 3 2 2 3 2 3 3 5" xfId="16911" xr:uid="{00000000-0005-0000-0000-000017100000}"/>
    <cellStyle name="Normal 3 2 2 3 2 3 3 5 2" xfId="48782" xr:uid="{00000000-0005-0000-0000-000018100000}"/>
    <cellStyle name="Normal 3 2 2 3 2 3 3 6" xfId="33172" xr:uid="{00000000-0005-0000-0000-000019100000}"/>
    <cellStyle name="Normal 3 2 2 3 2 3 4" xfId="1301" xr:uid="{00000000-0005-0000-0000-00001A100000}"/>
    <cellStyle name="Normal 3 2 2 3 2 3 4 2" xfId="1302" xr:uid="{00000000-0005-0000-0000-00001B100000}"/>
    <cellStyle name="Normal 3 2 2 3 2 3 4 2 2" xfId="1303" xr:uid="{00000000-0005-0000-0000-00001C100000}"/>
    <cellStyle name="Normal 3 2 2 3 2 3 4 2 2 2" xfId="28730" xr:uid="{00000000-0005-0000-0000-00001D100000}"/>
    <cellStyle name="Normal 3 2 2 3 2 3 4 2 2 2 2" xfId="60601" xr:uid="{00000000-0005-0000-0000-00001E100000}"/>
    <cellStyle name="Normal 3 2 2 3 2 3 4 2 2 3" xfId="33182" xr:uid="{00000000-0005-0000-0000-00001F100000}"/>
    <cellStyle name="Normal 3 2 2 3 2 3 4 2 3" xfId="20852" xr:uid="{00000000-0005-0000-0000-000020100000}"/>
    <cellStyle name="Normal 3 2 2 3 2 3 4 2 3 2" xfId="52723" xr:uid="{00000000-0005-0000-0000-000021100000}"/>
    <cellStyle name="Normal 3 2 2 3 2 3 4 2 4" xfId="33181" xr:uid="{00000000-0005-0000-0000-000022100000}"/>
    <cellStyle name="Normal 3 2 2 3 2 3 4 3" xfId="1304" xr:uid="{00000000-0005-0000-0000-000023100000}"/>
    <cellStyle name="Normal 3 2 2 3 2 3 4 3 2" xfId="24791" xr:uid="{00000000-0005-0000-0000-000024100000}"/>
    <cellStyle name="Normal 3 2 2 3 2 3 4 3 2 2" xfId="56662" xr:uid="{00000000-0005-0000-0000-000025100000}"/>
    <cellStyle name="Normal 3 2 2 3 2 3 4 3 3" xfId="33183" xr:uid="{00000000-0005-0000-0000-000026100000}"/>
    <cellStyle name="Normal 3 2 2 3 2 3 4 4" xfId="16913" xr:uid="{00000000-0005-0000-0000-000027100000}"/>
    <cellStyle name="Normal 3 2 2 3 2 3 4 4 2" xfId="48784" xr:uid="{00000000-0005-0000-0000-000028100000}"/>
    <cellStyle name="Normal 3 2 2 3 2 3 4 5" xfId="33180" xr:uid="{00000000-0005-0000-0000-000029100000}"/>
    <cellStyle name="Normal 3 2 2 3 2 3 5" xfId="1305" xr:uid="{00000000-0005-0000-0000-00002A100000}"/>
    <cellStyle name="Normal 3 2 2 3 2 3 5 2" xfId="1306" xr:uid="{00000000-0005-0000-0000-00002B100000}"/>
    <cellStyle name="Normal 3 2 2 3 2 3 5 2 2" xfId="28723" xr:uid="{00000000-0005-0000-0000-00002C100000}"/>
    <cellStyle name="Normal 3 2 2 3 2 3 5 2 2 2" xfId="60594" xr:uid="{00000000-0005-0000-0000-00002D100000}"/>
    <cellStyle name="Normal 3 2 2 3 2 3 5 2 3" xfId="33185" xr:uid="{00000000-0005-0000-0000-00002E100000}"/>
    <cellStyle name="Normal 3 2 2 3 2 3 5 3" xfId="20845" xr:uid="{00000000-0005-0000-0000-00002F100000}"/>
    <cellStyle name="Normal 3 2 2 3 2 3 5 3 2" xfId="52716" xr:uid="{00000000-0005-0000-0000-000030100000}"/>
    <cellStyle name="Normal 3 2 2 3 2 3 5 4" xfId="33184" xr:uid="{00000000-0005-0000-0000-000031100000}"/>
    <cellStyle name="Normal 3 2 2 3 2 3 6" xfId="1307" xr:uid="{00000000-0005-0000-0000-000032100000}"/>
    <cellStyle name="Normal 3 2 2 3 2 3 6 2" xfId="24784" xr:uid="{00000000-0005-0000-0000-000033100000}"/>
    <cellStyle name="Normal 3 2 2 3 2 3 6 2 2" xfId="56655" xr:uid="{00000000-0005-0000-0000-000034100000}"/>
    <cellStyle name="Normal 3 2 2 3 2 3 6 3" xfId="33186" xr:uid="{00000000-0005-0000-0000-000035100000}"/>
    <cellStyle name="Normal 3 2 2 3 2 3 7" xfId="16906" xr:uid="{00000000-0005-0000-0000-000036100000}"/>
    <cellStyle name="Normal 3 2 2 3 2 3 7 2" xfId="48777" xr:uid="{00000000-0005-0000-0000-000037100000}"/>
    <cellStyle name="Normal 3 2 2 3 2 3 8" xfId="33155" xr:uid="{00000000-0005-0000-0000-000038100000}"/>
    <cellStyle name="Normal 3 2 2 3 2 4" xfId="1308" xr:uid="{00000000-0005-0000-0000-000039100000}"/>
    <cellStyle name="Normal 3 2 2 3 2 4 2" xfId="1309" xr:uid="{00000000-0005-0000-0000-00003A100000}"/>
    <cellStyle name="Normal 3 2 2 3 2 4 2 2" xfId="1310" xr:uid="{00000000-0005-0000-0000-00003B100000}"/>
    <cellStyle name="Normal 3 2 2 3 2 4 2 2 2" xfId="1311" xr:uid="{00000000-0005-0000-0000-00003C100000}"/>
    <cellStyle name="Normal 3 2 2 3 2 4 2 2 2 2" xfId="1312" xr:uid="{00000000-0005-0000-0000-00003D100000}"/>
    <cellStyle name="Normal 3 2 2 3 2 4 2 2 2 2 2" xfId="28733" xr:uid="{00000000-0005-0000-0000-00003E100000}"/>
    <cellStyle name="Normal 3 2 2 3 2 4 2 2 2 2 2 2" xfId="60604" xr:uid="{00000000-0005-0000-0000-00003F100000}"/>
    <cellStyle name="Normal 3 2 2 3 2 4 2 2 2 2 3" xfId="33191" xr:uid="{00000000-0005-0000-0000-000040100000}"/>
    <cellStyle name="Normal 3 2 2 3 2 4 2 2 2 3" xfId="20855" xr:uid="{00000000-0005-0000-0000-000041100000}"/>
    <cellStyle name="Normal 3 2 2 3 2 4 2 2 2 3 2" xfId="52726" xr:uid="{00000000-0005-0000-0000-000042100000}"/>
    <cellStyle name="Normal 3 2 2 3 2 4 2 2 2 4" xfId="33190" xr:uid="{00000000-0005-0000-0000-000043100000}"/>
    <cellStyle name="Normal 3 2 2 3 2 4 2 2 3" xfId="1313" xr:uid="{00000000-0005-0000-0000-000044100000}"/>
    <cellStyle name="Normal 3 2 2 3 2 4 2 2 3 2" xfId="24794" xr:uid="{00000000-0005-0000-0000-000045100000}"/>
    <cellStyle name="Normal 3 2 2 3 2 4 2 2 3 2 2" xfId="56665" xr:uid="{00000000-0005-0000-0000-000046100000}"/>
    <cellStyle name="Normal 3 2 2 3 2 4 2 2 3 3" xfId="33192" xr:uid="{00000000-0005-0000-0000-000047100000}"/>
    <cellStyle name="Normal 3 2 2 3 2 4 2 2 4" xfId="16916" xr:uid="{00000000-0005-0000-0000-000048100000}"/>
    <cellStyle name="Normal 3 2 2 3 2 4 2 2 4 2" xfId="48787" xr:uid="{00000000-0005-0000-0000-000049100000}"/>
    <cellStyle name="Normal 3 2 2 3 2 4 2 2 5" xfId="33189" xr:uid="{00000000-0005-0000-0000-00004A100000}"/>
    <cellStyle name="Normal 3 2 2 3 2 4 2 3" xfId="1314" xr:uid="{00000000-0005-0000-0000-00004B100000}"/>
    <cellStyle name="Normal 3 2 2 3 2 4 2 3 2" xfId="1315" xr:uid="{00000000-0005-0000-0000-00004C100000}"/>
    <cellStyle name="Normal 3 2 2 3 2 4 2 3 2 2" xfId="28732" xr:uid="{00000000-0005-0000-0000-00004D100000}"/>
    <cellStyle name="Normal 3 2 2 3 2 4 2 3 2 2 2" xfId="60603" xr:uid="{00000000-0005-0000-0000-00004E100000}"/>
    <cellStyle name="Normal 3 2 2 3 2 4 2 3 2 3" xfId="33194" xr:uid="{00000000-0005-0000-0000-00004F100000}"/>
    <cellStyle name="Normal 3 2 2 3 2 4 2 3 3" xfId="20854" xr:uid="{00000000-0005-0000-0000-000050100000}"/>
    <cellStyle name="Normal 3 2 2 3 2 4 2 3 3 2" xfId="52725" xr:uid="{00000000-0005-0000-0000-000051100000}"/>
    <cellStyle name="Normal 3 2 2 3 2 4 2 3 4" xfId="33193" xr:uid="{00000000-0005-0000-0000-000052100000}"/>
    <cellStyle name="Normal 3 2 2 3 2 4 2 4" xfId="1316" xr:uid="{00000000-0005-0000-0000-000053100000}"/>
    <cellStyle name="Normal 3 2 2 3 2 4 2 4 2" xfId="24793" xr:uid="{00000000-0005-0000-0000-000054100000}"/>
    <cellStyle name="Normal 3 2 2 3 2 4 2 4 2 2" xfId="56664" xr:uid="{00000000-0005-0000-0000-000055100000}"/>
    <cellStyle name="Normal 3 2 2 3 2 4 2 4 3" xfId="33195" xr:uid="{00000000-0005-0000-0000-000056100000}"/>
    <cellStyle name="Normal 3 2 2 3 2 4 2 5" xfId="16915" xr:uid="{00000000-0005-0000-0000-000057100000}"/>
    <cellStyle name="Normal 3 2 2 3 2 4 2 5 2" xfId="48786" xr:uid="{00000000-0005-0000-0000-000058100000}"/>
    <cellStyle name="Normal 3 2 2 3 2 4 2 6" xfId="33188" xr:uid="{00000000-0005-0000-0000-000059100000}"/>
    <cellStyle name="Normal 3 2 2 3 2 4 3" xfId="1317" xr:uid="{00000000-0005-0000-0000-00005A100000}"/>
    <cellStyle name="Normal 3 2 2 3 2 4 3 2" xfId="1318" xr:uid="{00000000-0005-0000-0000-00005B100000}"/>
    <cellStyle name="Normal 3 2 2 3 2 4 3 2 2" xfId="1319" xr:uid="{00000000-0005-0000-0000-00005C100000}"/>
    <cellStyle name="Normal 3 2 2 3 2 4 3 2 2 2" xfId="28734" xr:uid="{00000000-0005-0000-0000-00005D100000}"/>
    <cellStyle name="Normal 3 2 2 3 2 4 3 2 2 2 2" xfId="60605" xr:uid="{00000000-0005-0000-0000-00005E100000}"/>
    <cellStyle name="Normal 3 2 2 3 2 4 3 2 2 3" xfId="33198" xr:uid="{00000000-0005-0000-0000-00005F100000}"/>
    <cellStyle name="Normal 3 2 2 3 2 4 3 2 3" xfId="20856" xr:uid="{00000000-0005-0000-0000-000060100000}"/>
    <cellStyle name="Normal 3 2 2 3 2 4 3 2 3 2" xfId="52727" xr:uid="{00000000-0005-0000-0000-000061100000}"/>
    <cellStyle name="Normal 3 2 2 3 2 4 3 2 4" xfId="33197" xr:uid="{00000000-0005-0000-0000-000062100000}"/>
    <cellStyle name="Normal 3 2 2 3 2 4 3 3" xfId="1320" xr:uid="{00000000-0005-0000-0000-000063100000}"/>
    <cellStyle name="Normal 3 2 2 3 2 4 3 3 2" xfId="24795" xr:uid="{00000000-0005-0000-0000-000064100000}"/>
    <cellStyle name="Normal 3 2 2 3 2 4 3 3 2 2" xfId="56666" xr:uid="{00000000-0005-0000-0000-000065100000}"/>
    <cellStyle name="Normal 3 2 2 3 2 4 3 3 3" xfId="33199" xr:uid="{00000000-0005-0000-0000-000066100000}"/>
    <cellStyle name="Normal 3 2 2 3 2 4 3 4" xfId="16917" xr:uid="{00000000-0005-0000-0000-000067100000}"/>
    <cellStyle name="Normal 3 2 2 3 2 4 3 4 2" xfId="48788" xr:uid="{00000000-0005-0000-0000-000068100000}"/>
    <cellStyle name="Normal 3 2 2 3 2 4 3 5" xfId="33196" xr:uid="{00000000-0005-0000-0000-000069100000}"/>
    <cellStyle name="Normal 3 2 2 3 2 4 4" xfId="1321" xr:uid="{00000000-0005-0000-0000-00006A100000}"/>
    <cellStyle name="Normal 3 2 2 3 2 4 4 2" xfId="1322" xr:uid="{00000000-0005-0000-0000-00006B100000}"/>
    <cellStyle name="Normal 3 2 2 3 2 4 4 2 2" xfId="28731" xr:uid="{00000000-0005-0000-0000-00006C100000}"/>
    <cellStyle name="Normal 3 2 2 3 2 4 4 2 2 2" xfId="60602" xr:uid="{00000000-0005-0000-0000-00006D100000}"/>
    <cellStyle name="Normal 3 2 2 3 2 4 4 2 3" xfId="33201" xr:uid="{00000000-0005-0000-0000-00006E100000}"/>
    <cellStyle name="Normal 3 2 2 3 2 4 4 3" xfId="20853" xr:uid="{00000000-0005-0000-0000-00006F100000}"/>
    <cellStyle name="Normal 3 2 2 3 2 4 4 3 2" xfId="52724" xr:uid="{00000000-0005-0000-0000-000070100000}"/>
    <cellStyle name="Normal 3 2 2 3 2 4 4 4" xfId="33200" xr:uid="{00000000-0005-0000-0000-000071100000}"/>
    <cellStyle name="Normal 3 2 2 3 2 4 5" xfId="1323" xr:uid="{00000000-0005-0000-0000-000072100000}"/>
    <cellStyle name="Normal 3 2 2 3 2 4 5 2" xfId="24792" xr:uid="{00000000-0005-0000-0000-000073100000}"/>
    <cellStyle name="Normal 3 2 2 3 2 4 5 2 2" xfId="56663" xr:uid="{00000000-0005-0000-0000-000074100000}"/>
    <cellStyle name="Normal 3 2 2 3 2 4 5 3" xfId="33202" xr:uid="{00000000-0005-0000-0000-000075100000}"/>
    <cellStyle name="Normal 3 2 2 3 2 4 6" xfId="16914" xr:uid="{00000000-0005-0000-0000-000076100000}"/>
    <cellStyle name="Normal 3 2 2 3 2 4 6 2" xfId="48785" xr:uid="{00000000-0005-0000-0000-000077100000}"/>
    <cellStyle name="Normal 3 2 2 3 2 4 7" xfId="33187" xr:uid="{00000000-0005-0000-0000-000078100000}"/>
    <cellStyle name="Normal 3 2 2 3 2 5" xfId="1324" xr:uid="{00000000-0005-0000-0000-000079100000}"/>
    <cellStyle name="Normal 3 2 2 3 2 5 2" xfId="1325" xr:uid="{00000000-0005-0000-0000-00007A100000}"/>
    <cellStyle name="Normal 3 2 2 3 2 5 2 2" xfId="1326" xr:uid="{00000000-0005-0000-0000-00007B100000}"/>
    <cellStyle name="Normal 3 2 2 3 2 5 2 2 2" xfId="1327" xr:uid="{00000000-0005-0000-0000-00007C100000}"/>
    <cellStyle name="Normal 3 2 2 3 2 5 2 2 2 2" xfId="28736" xr:uid="{00000000-0005-0000-0000-00007D100000}"/>
    <cellStyle name="Normal 3 2 2 3 2 5 2 2 2 2 2" xfId="60607" xr:uid="{00000000-0005-0000-0000-00007E100000}"/>
    <cellStyle name="Normal 3 2 2 3 2 5 2 2 2 3" xfId="33206" xr:uid="{00000000-0005-0000-0000-00007F100000}"/>
    <cellStyle name="Normal 3 2 2 3 2 5 2 2 3" xfId="20858" xr:uid="{00000000-0005-0000-0000-000080100000}"/>
    <cellStyle name="Normal 3 2 2 3 2 5 2 2 3 2" xfId="52729" xr:uid="{00000000-0005-0000-0000-000081100000}"/>
    <cellStyle name="Normal 3 2 2 3 2 5 2 2 4" xfId="33205" xr:uid="{00000000-0005-0000-0000-000082100000}"/>
    <cellStyle name="Normal 3 2 2 3 2 5 2 3" xfId="1328" xr:uid="{00000000-0005-0000-0000-000083100000}"/>
    <cellStyle name="Normal 3 2 2 3 2 5 2 3 2" xfId="24797" xr:uid="{00000000-0005-0000-0000-000084100000}"/>
    <cellStyle name="Normal 3 2 2 3 2 5 2 3 2 2" xfId="56668" xr:uid="{00000000-0005-0000-0000-000085100000}"/>
    <cellStyle name="Normal 3 2 2 3 2 5 2 3 3" xfId="33207" xr:uid="{00000000-0005-0000-0000-000086100000}"/>
    <cellStyle name="Normal 3 2 2 3 2 5 2 4" xfId="16919" xr:uid="{00000000-0005-0000-0000-000087100000}"/>
    <cellStyle name="Normal 3 2 2 3 2 5 2 4 2" xfId="48790" xr:uid="{00000000-0005-0000-0000-000088100000}"/>
    <cellStyle name="Normal 3 2 2 3 2 5 2 5" xfId="33204" xr:uid="{00000000-0005-0000-0000-000089100000}"/>
    <cellStyle name="Normal 3 2 2 3 2 5 3" xfId="1329" xr:uid="{00000000-0005-0000-0000-00008A100000}"/>
    <cellStyle name="Normal 3 2 2 3 2 5 3 2" xfId="1330" xr:uid="{00000000-0005-0000-0000-00008B100000}"/>
    <cellStyle name="Normal 3 2 2 3 2 5 3 2 2" xfId="28735" xr:uid="{00000000-0005-0000-0000-00008C100000}"/>
    <cellStyle name="Normal 3 2 2 3 2 5 3 2 2 2" xfId="60606" xr:uid="{00000000-0005-0000-0000-00008D100000}"/>
    <cellStyle name="Normal 3 2 2 3 2 5 3 2 3" xfId="33209" xr:uid="{00000000-0005-0000-0000-00008E100000}"/>
    <cellStyle name="Normal 3 2 2 3 2 5 3 3" xfId="20857" xr:uid="{00000000-0005-0000-0000-00008F100000}"/>
    <cellStyle name="Normal 3 2 2 3 2 5 3 3 2" xfId="52728" xr:uid="{00000000-0005-0000-0000-000090100000}"/>
    <cellStyle name="Normal 3 2 2 3 2 5 3 4" xfId="33208" xr:uid="{00000000-0005-0000-0000-000091100000}"/>
    <cellStyle name="Normal 3 2 2 3 2 5 4" xfId="1331" xr:uid="{00000000-0005-0000-0000-000092100000}"/>
    <cellStyle name="Normal 3 2 2 3 2 5 4 2" xfId="24796" xr:uid="{00000000-0005-0000-0000-000093100000}"/>
    <cellStyle name="Normal 3 2 2 3 2 5 4 2 2" xfId="56667" xr:uid="{00000000-0005-0000-0000-000094100000}"/>
    <cellStyle name="Normal 3 2 2 3 2 5 4 3" xfId="33210" xr:uid="{00000000-0005-0000-0000-000095100000}"/>
    <cellStyle name="Normal 3 2 2 3 2 5 5" xfId="16918" xr:uid="{00000000-0005-0000-0000-000096100000}"/>
    <cellStyle name="Normal 3 2 2 3 2 5 5 2" xfId="48789" xr:uid="{00000000-0005-0000-0000-000097100000}"/>
    <cellStyle name="Normal 3 2 2 3 2 5 6" xfId="33203" xr:uid="{00000000-0005-0000-0000-000098100000}"/>
    <cellStyle name="Normal 3 2 2 3 2 6" xfId="1332" xr:uid="{00000000-0005-0000-0000-000099100000}"/>
    <cellStyle name="Normal 3 2 2 3 2 6 2" xfId="1333" xr:uid="{00000000-0005-0000-0000-00009A100000}"/>
    <cellStyle name="Normal 3 2 2 3 2 6 2 2" xfId="1334" xr:uid="{00000000-0005-0000-0000-00009B100000}"/>
    <cellStyle name="Normal 3 2 2 3 2 6 2 2 2" xfId="28737" xr:uid="{00000000-0005-0000-0000-00009C100000}"/>
    <cellStyle name="Normal 3 2 2 3 2 6 2 2 2 2" xfId="60608" xr:uid="{00000000-0005-0000-0000-00009D100000}"/>
    <cellStyle name="Normal 3 2 2 3 2 6 2 2 3" xfId="33213" xr:uid="{00000000-0005-0000-0000-00009E100000}"/>
    <cellStyle name="Normal 3 2 2 3 2 6 2 3" xfId="20859" xr:uid="{00000000-0005-0000-0000-00009F100000}"/>
    <cellStyle name="Normal 3 2 2 3 2 6 2 3 2" xfId="52730" xr:uid="{00000000-0005-0000-0000-0000A0100000}"/>
    <cellStyle name="Normal 3 2 2 3 2 6 2 4" xfId="33212" xr:uid="{00000000-0005-0000-0000-0000A1100000}"/>
    <cellStyle name="Normal 3 2 2 3 2 6 3" xfId="1335" xr:uid="{00000000-0005-0000-0000-0000A2100000}"/>
    <cellStyle name="Normal 3 2 2 3 2 6 3 2" xfId="24798" xr:uid="{00000000-0005-0000-0000-0000A3100000}"/>
    <cellStyle name="Normal 3 2 2 3 2 6 3 2 2" xfId="56669" xr:uid="{00000000-0005-0000-0000-0000A4100000}"/>
    <cellStyle name="Normal 3 2 2 3 2 6 3 3" xfId="33214" xr:uid="{00000000-0005-0000-0000-0000A5100000}"/>
    <cellStyle name="Normal 3 2 2 3 2 6 4" xfId="16920" xr:uid="{00000000-0005-0000-0000-0000A6100000}"/>
    <cellStyle name="Normal 3 2 2 3 2 6 4 2" xfId="48791" xr:uid="{00000000-0005-0000-0000-0000A7100000}"/>
    <cellStyle name="Normal 3 2 2 3 2 6 5" xfId="33211" xr:uid="{00000000-0005-0000-0000-0000A8100000}"/>
    <cellStyle name="Normal 3 2 2 3 2 7" xfId="1336" xr:uid="{00000000-0005-0000-0000-0000A9100000}"/>
    <cellStyle name="Normal 3 2 2 3 2 7 2" xfId="1337" xr:uid="{00000000-0005-0000-0000-0000AA100000}"/>
    <cellStyle name="Normal 3 2 2 3 2 7 2 2" xfId="28337" xr:uid="{00000000-0005-0000-0000-0000AB100000}"/>
    <cellStyle name="Normal 3 2 2 3 2 7 2 2 2" xfId="60208" xr:uid="{00000000-0005-0000-0000-0000AC100000}"/>
    <cellStyle name="Normal 3 2 2 3 2 7 2 3" xfId="33216" xr:uid="{00000000-0005-0000-0000-0000AD100000}"/>
    <cellStyle name="Normal 3 2 2 3 2 7 3" xfId="20459" xr:uid="{00000000-0005-0000-0000-0000AE100000}"/>
    <cellStyle name="Normal 3 2 2 3 2 7 3 2" xfId="52330" xr:uid="{00000000-0005-0000-0000-0000AF100000}"/>
    <cellStyle name="Normal 3 2 2 3 2 7 4" xfId="33215" xr:uid="{00000000-0005-0000-0000-0000B0100000}"/>
    <cellStyle name="Normal 3 2 2 3 2 8" xfId="1338" xr:uid="{00000000-0005-0000-0000-0000B1100000}"/>
    <cellStyle name="Normal 3 2 2 3 2 8 2" xfId="24398" xr:uid="{00000000-0005-0000-0000-0000B2100000}"/>
    <cellStyle name="Normal 3 2 2 3 2 8 2 2" xfId="56269" xr:uid="{00000000-0005-0000-0000-0000B3100000}"/>
    <cellStyle name="Normal 3 2 2 3 2 8 3" xfId="33217" xr:uid="{00000000-0005-0000-0000-0000B4100000}"/>
    <cellStyle name="Normal 3 2 2 3 2 9" xfId="16520" xr:uid="{00000000-0005-0000-0000-0000B5100000}"/>
    <cellStyle name="Normal 3 2 2 3 2 9 2" xfId="48391" xr:uid="{00000000-0005-0000-0000-0000B6100000}"/>
    <cellStyle name="Normal 3 2 2 3 3" xfId="1339" xr:uid="{00000000-0005-0000-0000-0000B7100000}"/>
    <cellStyle name="Normal 3 2 2 3 3 10" xfId="33218" xr:uid="{00000000-0005-0000-0000-0000B8100000}"/>
    <cellStyle name="Normal 3 2 2 3 3 2" xfId="1340" xr:uid="{00000000-0005-0000-0000-0000B9100000}"/>
    <cellStyle name="Normal 3 2 2 3 3 2 2" xfId="1341" xr:uid="{00000000-0005-0000-0000-0000BA100000}"/>
    <cellStyle name="Normal 3 2 2 3 3 2 2 2" xfId="1342" xr:uid="{00000000-0005-0000-0000-0000BB100000}"/>
    <cellStyle name="Normal 3 2 2 3 3 2 2 2 2" xfId="1343" xr:uid="{00000000-0005-0000-0000-0000BC100000}"/>
    <cellStyle name="Normal 3 2 2 3 3 2 2 2 2 2" xfId="1344" xr:uid="{00000000-0005-0000-0000-0000BD100000}"/>
    <cellStyle name="Normal 3 2 2 3 3 2 2 2 2 2 2" xfId="1345" xr:uid="{00000000-0005-0000-0000-0000BE100000}"/>
    <cellStyle name="Normal 3 2 2 3 3 2 2 2 2 2 2 2" xfId="1346" xr:uid="{00000000-0005-0000-0000-0000BF100000}"/>
    <cellStyle name="Normal 3 2 2 3 3 2 2 2 2 2 2 2 2" xfId="28741" xr:uid="{00000000-0005-0000-0000-0000C0100000}"/>
    <cellStyle name="Normal 3 2 2 3 3 2 2 2 2 2 2 2 2 2" xfId="60612" xr:uid="{00000000-0005-0000-0000-0000C1100000}"/>
    <cellStyle name="Normal 3 2 2 3 3 2 2 2 2 2 2 2 3" xfId="33225" xr:uid="{00000000-0005-0000-0000-0000C2100000}"/>
    <cellStyle name="Normal 3 2 2 3 3 2 2 2 2 2 2 3" xfId="20863" xr:uid="{00000000-0005-0000-0000-0000C3100000}"/>
    <cellStyle name="Normal 3 2 2 3 3 2 2 2 2 2 2 3 2" xfId="52734" xr:uid="{00000000-0005-0000-0000-0000C4100000}"/>
    <cellStyle name="Normal 3 2 2 3 3 2 2 2 2 2 2 4" xfId="33224" xr:uid="{00000000-0005-0000-0000-0000C5100000}"/>
    <cellStyle name="Normal 3 2 2 3 3 2 2 2 2 2 3" xfId="1347" xr:uid="{00000000-0005-0000-0000-0000C6100000}"/>
    <cellStyle name="Normal 3 2 2 3 3 2 2 2 2 2 3 2" xfId="24802" xr:uid="{00000000-0005-0000-0000-0000C7100000}"/>
    <cellStyle name="Normal 3 2 2 3 3 2 2 2 2 2 3 2 2" xfId="56673" xr:uid="{00000000-0005-0000-0000-0000C8100000}"/>
    <cellStyle name="Normal 3 2 2 3 3 2 2 2 2 2 3 3" xfId="33226" xr:uid="{00000000-0005-0000-0000-0000C9100000}"/>
    <cellStyle name="Normal 3 2 2 3 3 2 2 2 2 2 4" xfId="16924" xr:uid="{00000000-0005-0000-0000-0000CA100000}"/>
    <cellStyle name="Normal 3 2 2 3 3 2 2 2 2 2 4 2" xfId="48795" xr:uid="{00000000-0005-0000-0000-0000CB100000}"/>
    <cellStyle name="Normal 3 2 2 3 3 2 2 2 2 2 5" xfId="33223" xr:uid="{00000000-0005-0000-0000-0000CC100000}"/>
    <cellStyle name="Normal 3 2 2 3 3 2 2 2 2 3" xfId="1348" xr:uid="{00000000-0005-0000-0000-0000CD100000}"/>
    <cellStyle name="Normal 3 2 2 3 3 2 2 2 2 3 2" xfId="1349" xr:uid="{00000000-0005-0000-0000-0000CE100000}"/>
    <cellStyle name="Normal 3 2 2 3 3 2 2 2 2 3 2 2" xfId="28740" xr:uid="{00000000-0005-0000-0000-0000CF100000}"/>
    <cellStyle name="Normal 3 2 2 3 3 2 2 2 2 3 2 2 2" xfId="60611" xr:uid="{00000000-0005-0000-0000-0000D0100000}"/>
    <cellStyle name="Normal 3 2 2 3 3 2 2 2 2 3 2 3" xfId="33228" xr:uid="{00000000-0005-0000-0000-0000D1100000}"/>
    <cellStyle name="Normal 3 2 2 3 3 2 2 2 2 3 3" xfId="20862" xr:uid="{00000000-0005-0000-0000-0000D2100000}"/>
    <cellStyle name="Normal 3 2 2 3 3 2 2 2 2 3 3 2" xfId="52733" xr:uid="{00000000-0005-0000-0000-0000D3100000}"/>
    <cellStyle name="Normal 3 2 2 3 3 2 2 2 2 3 4" xfId="33227" xr:uid="{00000000-0005-0000-0000-0000D4100000}"/>
    <cellStyle name="Normal 3 2 2 3 3 2 2 2 2 4" xfId="1350" xr:uid="{00000000-0005-0000-0000-0000D5100000}"/>
    <cellStyle name="Normal 3 2 2 3 3 2 2 2 2 4 2" xfId="24801" xr:uid="{00000000-0005-0000-0000-0000D6100000}"/>
    <cellStyle name="Normal 3 2 2 3 3 2 2 2 2 4 2 2" xfId="56672" xr:uid="{00000000-0005-0000-0000-0000D7100000}"/>
    <cellStyle name="Normal 3 2 2 3 3 2 2 2 2 4 3" xfId="33229" xr:uid="{00000000-0005-0000-0000-0000D8100000}"/>
    <cellStyle name="Normal 3 2 2 3 3 2 2 2 2 5" xfId="16923" xr:uid="{00000000-0005-0000-0000-0000D9100000}"/>
    <cellStyle name="Normal 3 2 2 3 3 2 2 2 2 5 2" xfId="48794" xr:uid="{00000000-0005-0000-0000-0000DA100000}"/>
    <cellStyle name="Normal 3 2 2 3 3 2 2 2 2 6" xfId="33222" xr:uid="{00000000-0005-0000-0000-0000DB100000}"/>
    <cellStyle name="Normal 3 2 2 3 3 2 2 2 3" xfId="1351" xr:uid="{00000000-0005-0000-0000-0000DC100000}"/>
    <cellStyle name="Normal 3 2 2 3 3 2 2 2 3 2" xfId="1352" xr:uid="{00000000-0005-0000-0000-0000DD100000}"/>
    <cellStyle name="Normal 3 2 2 3 3 2 2 2 3 2 2" xfId="1353" xr:uid="{00000000-0005-0000-0000-0000DE100000}"/>
    <cellStyle name="Normal 3 2 2 3 3 2 2 2 3 2 2 2" xfId="28742" xr:uid="{00000000-0005-0000-0000-0000DF100000}"/>
    <cellStyle name="Normal 3 2 2 3 3 2 2 2 3 2 2 2 2" xfId="60613" xr:uid="{00000000-0005-0000-0000-0000E0100000}"/>
    <cellStyle name="Normal 3 2 2 3 3 2 2 2 3 2 2 3" xfId="33232" xr:uid="{00000000-0005-0000-0000-0000E1100000}"/>
    <cellStyle name="Normal 3 2 2 3 3 2 2 2 3 2 3" xfId="20864" xr:uid="{00000000-0005-0000-0000-0000E2100000}"/>
    <cellStyle name="Normal 3 2 2 3 3 2 2 2 3 2 3 2" xfId="52735" xr:uid="{00000000-0005-0000-0000-0000E3100000}"/>
    <cellStyle name="Normal 3 2 2 3 3 2 2 2 3 2 4" xfId="33231" xr:uid="{00000000-0005-0000-0000-0000E4100000}"/>
    <cellStyle name="Normal 3 2 2 3 3 2 2 2 3 3" xfId="1354" xr:uid="{00000000-0005-0000-0000-0000E5100000}"/>
    <cellStyle name="Normal 3 2 2 3 3 2 2 2 3 3 2" xfId="24803" xr:uid="{00000000-0005-0000-0000-0000E6100000}"/>
    <cellStyle name="Normal 3 2 2 3 3 2 2 2 3 3 2 2" xfId="56674" xr:uid="{00000000-0005-0000-0000-0000E7100000}"/>
    <cellStyle name="Normal 3 2 2 3 3 2 2 2 3 3 3" xfId="33233" xr:uid="{00000000-0005-0000-0000-0000E8100000}"/>
    <cellStyle name="Normal 3 2 2 3 3 2 2 2 3 4" xfId="16925" xr:uid="{00000000-0005-0000-0000-0000E9100000}"/>
    <cellStyle name="Normal 3 2 2 3 3 2 2 2 3 4 2" xfId="48796" xr:uid="{00000000-0005-0000-0000-0000EA100000}"/>
    <cellStyle name="Normal 3 2 2 3 3 2 2 2 3 5" xfId="33230" xr:uid="{00000000-0005-0000-0000-0000EB100000}"/>
    <cellStyle name="Normal 3 2 2 3 3 2 2 2 4" xfId="1355" xr:uid="{00000000-0005-0000-0000-0000EC100000}"/>
    <cellStyle name="Normal 3 2 2 3 3 2 2 2 4 2" xfId="1356" xr:uid="{00000000-0005-0000-0000-0000ED100000}"/>
    <cellStyle name="Normal 3 2 2 3 3 2 2 2 4 2 2" xfId="28739" xr:uid="{00000000-0005-0000-0000-0000EE100000}"/>
    <cellStyle name="Normal 3 2 2 3 3 2 2 2 4 2 2 2" xfId="60610" xr:uid="{00000000-0005-0000-0000-0000EF100000}"/>
    <cellStyle name="Normal 3 2 2 3 3 2 2 2 4 2 3" xfId="33235" xr:uid="{00000000-0005-0000-0000-0000F0100000}"/>
    <cellStyle name="Normal 3 2 2 3 3 2 2 2 4 3" xfId="20861" xr:uid="{00000000-0005-0000-0000-0000F1100000}"/>
    <cellStyle name="Normal 3 2 2 3 3 2 2 2 4 3 2" xfId="52732" xr:uid="{00000000-0005-0000-0000-0000F2100000}"/>
    <cellStyle name="Normal 3 2 2 3 3 2 2 2 4 4" xfId="33234" xr:uid="{00000000-0005-0000-0000-0000F3100000}"/>
    <cellStyle name="Normal 3 2 2 3 3 2 2 2 5" xfId="1357" xr:uid="{00000000-0005-0000-0000-0000F4100000}"/>
    <cellStyle name="Normal 3 2 2 3 3 2 2 2 5 2" xfId="24800" xr:uid="{00000000-0005-0000-0000-0000F5100000}"/>
    <cellStyle name="Normal 3 2 2 3 3 2 2 2 5 2 2" xfId="56671" xr:uid="{00000000-0005-0000-0000-0000F6100000}"/>
    <cellStyle name="Normal 3 2 2 3 3 2 2 2 5 3" xfId="33236" xr:uid="{00000000-0005-0000-0000-0000F7100000}"/>
    <cellStyle name="Normal 3 2 2 3 3 2 2 2 6" xfId="16922" xr:uid="{00000000-0005-0000-0000-0000F8100000}"/>
    <cellStyle name="Normal 3 2 2 3 3 2 2 2 6 2" xfId="48793" xr:uid="{00000000-0005-0000-0000-0000F9100000}"/>
    <cellStyle name="Normal 3 2 2 3 3 2 2 2 7" xfId="33221" xr:uid="{00000000-0005-0000-0000-0000FA100000}"/>
    <cellStyle name="Normal 3 2 2 3 3 2 2 3" xfId="1358" xr:uid="{00000000-0005-0000-0000-0000FB100000}"/>
    <cellStyle name="Normal 3 2 2 3 3 2 2 3 2" xfId="1359" xr:uid="{00000000-0005-0000-0000-0000FC100000}"/>
    <cellStyle name="Normal 3 2 2 3 3 2 2 3 2 2" xfId="1360" xr:uid="{00000000-0005-0000-0000-0000FD100000}"/>
    <cellStyle name="Normal 3 2 2 3 3 2 2 3 2 2 2" xfId="1361" xr:uid="{00000000-0005-0000-0000-0000FE100000}"/>
    <cellStyle name="Normal 3 2 2 3 3 2 2 3 2 2 2 2" xfId="28744" xr:uid="{00000000-0005-0000-0000-0000FF100000}"/>
    <cellStyle name="Normal 3 2 2 3 3 2 2 3 2 2 2 2 2" xfId="60615" xr:uid="{00000000-0005-0000-0000-000000110000}"/>
    <cellStyle name="Normal 3 2 2 3 3 2 2 3 2 2 2 3" xfId="33240" xr:uid="{00000000-0005-0000-0000-000001110000}"/>
    <cellStyle name="Normal 3 2 2 3 3 2 2 3 2 2 3" xfId="20866" xr:uid="{00000000-0005-0000-0000-000002110000}"/>
    <cellStyle name="Normal 3 2 2 3 3 2 2 3 2 2 3 2" xfId="52737" xr:uid="{00000000-0005-0000-0000-000003110000}"/>
    <cellStyle name="Normal 3 2 2 3 3 2 2 3 2 2 4" xfId="33239" xr:uid="{00000000-0005-0000-0000-000004110000}"/>
    <cellStyle name="Normal 3 2 2 3 3 2 2 3 2 3" xfId="1362" xr:uid="{00000000-0005-0000-0000-000005110000}"/>
    <cellStyle name="Normal 3 2 2 3 3 2 2 3 2 3 2" xfId="24805" xr:uid="{00000000-0005-0000-0000-000006110000}"/>
    <cellStyle name="Normal 3 2 2 3 3 2 2 3 2 3 2 2" xfId="56676" xr:uid="{00000000-0005-0000-0000-000007110000}"/>
    <cellStyle name="Normal 3 2 2 3 3 2 2 3 2 3 3" xfId="33241" xr:uid="{00000000-0005-0000-0000-000008110000}"/>
    <cellStyle name="Normal 3 2 2 3 3 2 2 3 2 4" xfId="16927" xr:uid="{00000000-0005-0000-0000-000009110000}"/>
    <cellStyle name="Normal 3 2 2 3 3 2 2 3 2 4 2" xfId="48798" xr:uid="{00000000-0005-0000-0000-00000A110000}"/>
    <cellStyle name="Normal 3 2 2 3 3 2 2 3 2 5" xfId="33238" xr:uid="{00000000-0005-0000-0000-00000B110000}"/>
    <cellStyle name="Normal 3 2 2 3 3 2 2 3 3" xfId="1363" xr:uid="{00000000-0005-0000-0000-00000C110000}"/>
    <cellStyle name="Normal 3 2 2 3 3 2 2 3 3 2" xfId="1364" xr:uid="{00000000-0005-0000-0000-00000D110000}"/>
    <cellStyle name="Normal 3 2 2 3 3 2 2 3 3 2 2" xfId="28743" xr:uid="{00000000-0005-0000-0000-00000E110000}"/>
    <cellStyle name="Normal 3 2 2 3 3 2 2 3 3 2 2 2" xfId="60614" xr:uid="{00000000-0005-0000-0000-00000F110000}"/>
    <cellStyle name="Normal 3 2 2 3 3 2 2 3 3 2 3" xfId="33243" xr:uid="{00000000-0005-0000-0000-000010110000}"/>
    <cellStyle name="Normal 3 2 2 3 3 2 2 3 3 3" xfId="20865" xr:uid="{00000000-0005-0000-0000-000011110000}"/>
    <cellStyle name="Normal 3 2 2 3 3 2 2 3 3 3 2" xfId="52736" xr:uid="{00000000-0005-0000-0000-000012110000}"/>
    <cellStyle name="Normal 3 2 2 3 3 2 2 3 3 4" xfId="33242" xr:uid="{00000000-0005-0000-0000-000013110000}"/>
    <cellStyle name="Normal 3 2 2 3 3 2 2 3 4" xfId="1365" xr:uid="{00000000-0005-0000-0000-000014110000}"/>
    <cellStyle name="Normal 3 2 2 3 3 2 2 3 4 2" xfId="24804" xr:uid="{00000000-0005-0000-0000-000015110000}"/>
    <cellStyle name="Normal 3 2 2 3 3 2 2 3 4 2 2" xfId="56675" xr:uid="{00000000-0005-0000-0000-000016110000}"/>
    <cellStyle name="Normal 3 2 2 3 3 2 2 3 4 3" xfId="33244" xr:uid="{00000000-0005-0000-0000-000017110000}"/>
    <cellStyle name="Normal 3 2 2 3 3 2 2 3 5" xfId="16926" xr:uid="{00000000-0005-0000-0000-000018110000}"/>
    <cellStyle name="Normal 3 2 2 3 3 2 2 3 5 2" xfId="48797" xr:uid="{00000000-0005-0000-0000-000019110000}"/>
    <cellStyle name="Normal 3 2 2 3 3 2 2 3 6" xfId="33237" xr:uid="{00000000-0005-0000-0000-00001A110000}"/>
    <cellStyle name="Normal 3 2 2 3 3 2 2 4" xfId="1366" xr:uid="{00000000-0005-0000-0000-00001B110000}"/>
    <cellStyle name="Normal 3 2 2 3 3 2 2 4 2" xfId="1367" xr:uid="{00000000-0005-0000-0000-00001C110000}"/>
    <cellStyle name="Normal 3 2 2 3 3 2 2 4 2 2" xfId="1368" xr:uid="{00000000-0005-0000-0000-00001D110000}"/>
    <cellStyle name="Normal 3 2 2 3 3 2 2 4 2 2 2" xfId="28745" xr:uid="{00000000-0005-0000-0000-00001E110000}"/>
    <cellStyle name="Normal 3 2 2 3 3 2 2 4 2 2 2 2" xfId="60616" xr:uid="{00000000-0005-0000-0000-00001F110000}"/>
    <cellStyle name="Normal 3 2 2 3 3 2 2 4 2 2 3" xfId="33247" xr:uid="{00000000-0005-0000-0000-000020110000}"/>
    <cellStyle name="Normal 3 2 2 3 3 2 2 4 2 3" xfId="20867" xr:uid="{00000000-0005-0000-0000-000021110000}"/>
    <cellStyle name="Normal 3 2 2 3 3 2 2 4 2 3 2" xfId="52738" xr:uid="{00000000-0005-0000-0000-000022110000}"/>
    <cellStyle name="Normal 3 2 2 3 3 2 2 4 2 4" xfId="33246" xr:uid="{00000000-0005-0000-0000-000023110000}"/>
    <cellStyle name="Normal 3 2 2 3 3 2 2 4 3" xfId="1369" xr:uid="{00000000-0005-0000-0000-000024110000}"/>
    <cellStyle name="Normal 3 2 2 3 3 2 2 4 3 2" xfId="24806" xr:uid="{00000000-0005-0000-0000-000025110000}"/>
    <cellStyle name="Normal 3 2 2 3 3 2 2 4 3 2 2" xfId="56677" xr:uid="{00000000-0005-0000-0000-000026110000}"/>
    <cellStyle name="Normal 3 2 2 3 3 2 2 4 3 3" xfId="33248" xr:uid="{00000000-0005-0000-0000-000027110000}"/>
    <cellStyle name="Normal 3 2 2 3 3 2 2 4 4" xfId="16928" xr:uid="{00000000-0005-0000-0000-000028110000}"/>
    <cellStyle name="Normal 3 2 2 3 3 2 2 4 4 2" xfId="48799" xr:uid="{00000000-0005-0000-0000-000029110000}"/>
    <cellStyle name="Normal 3 2 2 3 3 2 2 4 5" xfId="33245" xr:uid="{00000000-0005-0000-0000-00002A110000}"/>
    <cellStyle name="Normal 3 2 2 3 3 2 2 5" xfId="1370" xr:uid="{00000000-0005-0000-0000-00002B110000}"/>
    <cellStyle name="Normal 3 2 2 3 3 2 2 5 2" xfId="1371" xr:uid="{00000000-0005-0000-0000-00002C110000}"/>
    <cellStyle name="Normal 3 2 2 3 3 2 2 5 2 2" xfId="28738" xr:uid="{00000000-0005-0000-0000-00002D110000}"/>
    <cellStyle name="Normal 3 2 2 3 3 2 2 5 2 2 2" xfId="60609" xr:uid="{00000000-0005-0000-0000-00002E110000}"/>
    <cellStyle name="Normal 3 2 2 3 3 2 2 5 2 3" xfId="33250" xr:uid="{00000000-0005-0000-0000-00002F110000}"/>
    <cellStyle name="Normal 3 2 2 3 3 2 2 5 3" xfId="20860" xr:uid="{00000000-0005-0000-0000-000030110000}"/>
    <cellStyle name="Normal 3 2 2 3 3 2 2 5 3 2" xfId="52731" xr:uid="{00000000-0005-0000-0000-000031110000}"/>
    <cellStyle name="Normal 3 2 2 3 3 2 2 5 4" xfId="33249" xr:uid="{00000000-0005-0000-0000-000032110000}"/>
    <cellStyle name="Normal 3 2 2 3 3 2 2 6" xfId="1372" xr:uid="{00000000-0005-0000-0000-000033110000}"/>
    <cellStyle name="Normal 3 2 2 3 3 2 2 6 2" xfId="24799" xr:uid="{00000000-0005-0000-0000-000034110000}"/>
    <cellStyle name="Normal 3 2 2 3 3 2 2 6 2 2" xfId="56670" xr:uid="{00000000-0005-0000-0000-000035110000}"/>
    <cellStyle name="Normal 3 2 2 3 3 2 2 6 3" xfId="33251" xr:uid="{00000000-0005-0000-0000-000036110000}"/>
    <cellStyle name="Normal 3 2 2 3 3 2 2 7" xfId="16921" xr:uid="{00000000-0005-0000-0000-000037110000}"/>
    <cellStyle name="Normal 3 2 2 3 3 2 2 7 2" xfId="48792" xr:uid="{00000000-0005-0000-0000-000038110000}"/>
    <cellStyle name="Normal 3 2 2 3 3 2 2 8" xfId="33220" xr:uid="{00000000-0005-0000-0000-000039110000}"/>
    <cellStyle name="Normal 3 2 2 3 3 2 3" xfId="1373" xr:uid="{00000000-0005-0000-0000-00003A110000}"/>
    <cellStyle name="Normal 3 2 2 3 3 2 3 2" xfId="1374" xr:uid="{00000000-0005-0000-0000-00003B110000}"/>
    <cellStyle name="Normal 3 2 2 3 3 2 3 2 2" xfId="1375" xr:uid="{00000000-0005-0000-0000-00003C110000}"/>
    <cellStyle name="Normal 3 2 2 3 3 2 3 2 2 2" xfId="1376" xr:uid="{00000000-0005-0000-0000-00003D110000}"/>
    <cellStyle name="Normal 3 2 2 3 3 2 3 2 2 2 2" xfId="1377" xr:uid="{00000000-0005-0000-0000-00003E110000}"/>
    <cellStyle name="Normal 3 2 2 3 3 2 3 2 2 2 2 2" xfId="28748" xr:uid="{00000000-0005-0000-0000-00003F110000}"/>
    <cellStyle name="Normal 3 2 2 3 3 2 3 2 2 2 2 2 2" xfId="60619" xr:uid="{00000000-0005-0000-0000-000040110000}"/>
    <cellStyle name="Normal 3 2 2 3 3 2 3 2 2 2 2 3" xfId="33256" xr:uid="{00000000-0005-0000-0000-000041110000}"/>
    <cellStyle name="Normal 3 2 2 3 3 2 3 2 2 2 3" xfId="20870" xr:uid="{00000000-0005-0000-0000-000042110000}"/>
    <cellStyle name="Normal 3 2 2 3 3 2 3 2 2 2 3 2" xfId="52741" xr:uid="{00000000-0005-0000-0000-000043110000}"/>
    <cellStyle name="Normal 3 2 2 3 3 2 3 2 2 2 4" xfId="33255" xr:uid="{00000000-0005-0000-0000-000044110000}"/>
    <cellStyle name="Normal 3 2 2 3 3 2 3 2 2 3" xfId="1378" xr:uid="{00000000-0005-0000-0000-000045110000}"/>
    <cellStyle name="Normal 3 2 2 3 3 2 3 2 2 3 2" xfId="24809" xr:uid="{00000000-0005-0000-0000-000046110000}"/>
    <cellStyle name="Normal 3 2 2 3 3 2 3 2 2 3 2 2" xfId="56680" xr:uid="{00000000-0005-0000-0000-000047110000}"/>
    <cellStyle name="Normal 3 2 2 3 3 2 3 2 2 3 3" xfId="33257" xr:uid="{00000000-0005-0000-0000-000048110000}"/>
    <cellStyle name="Normal 3 2 2 3 3 2 3 2 2 4" xfId="16931" xr:uid="{00000000-0005-0000-0000-000049110000}"/>
    <cellStyle name="Normal 3 2 2 3 3 2 3 2 2 4 2" xfId="48802" xr:uid="{00000000-0005-0000-0000-00004A110000}"/>
    <cellStyle name="Normal 3 2 2 3 3 2 3 2 2 5" xfId="33254" xr:uid="{00000000-0005-0000-0000-00004B110000}"/>
    <cellStyle name="Normal 3 2 2 3 3 2 3 2 3" xfId="1379" xr:uid="{00000000-0005-0000-0000-00004C110000}"/>
    <cellStyle name="Normal 3 2 2 3 3 2 3 2 3 2" xfId="1380" xr:uid="{00000000-0005-0000-0000-00004D110000}"/>
    <cellStyle name="Normal 3 2 2 3 3 2 3 2 3 2 2" xfId="28747" xr:uid="{00000000-0005-0000-0000-00004E110000}"/>
    <cellStyle name="Normal 3 2 2 3 3 2 3 2 3 2 2 2" xfId="60618" xr:uid="{00000000-0005-0000-0000-00004F110000}"/>
    <cellStyle name="Normal 3 2 2 3 3 2 3 2 3 2 3" xfId="33259" xr:uid="{00000000-0005-0000-0000-000050110000}"/>
    <cellStyle name="Normal 3 2 2 3 3 2 3 2 3 3" xfId="20869" xr:uid="{00000000-0005-0000-0000-000051110000}"/>
    <cellStyle name="Normal 3 2 2 3 3 2 3 2 3 3 2" xfId="52740" xr:uid="{00000000-0005-0000-0000-000052110000}"/>
    <cellStyle name="Normal 3 2 2 3 3 2 3 2 3 4" xfId="33258" xr:uid="{00000000-0005-0000-0000-000053110000}"/>
    <cellStyle name="Normal 3 2 2 3 3 2 3 2 4" xfId="1381" xr:uid="{00000000-0005-0000-0000-000054110000}"/>
    <cellStyle name="Normal 3 2 2 3 3 2 3 2 4 2" xfId="24808" xr:uid="{00000000-0005-0000-0000-000055110000}"/>
    <cellStyle name="Normal 3 2 2 3 3 2 3 2 4 2 2" xfId="56679" xr:uid="{00000000-0005-0000-0000-000056110000}"/>
    <cellStyle name="Normal 3 2 2 3 3 2 3 2 4 3" xfId="33260" xr:uid="{00000000-0005-0000-0000-000057110000}"/>
    <cellStyle name="Normal 3 2 2 3 3 2 3 2 5" xfId="16930" xr:uid="{00000000-0005-0000-0000-000058110000}"/>
    <cellStyle name="Normal 3 2 2 3 3 2 3 2 5 2" xfId="48801" xr:uid="{00000000-0005-0000-0000-000059110000}"/>
    <cellStyle name="Normal 3 2 2 3 3 2 3 2 6" xfId="33253" xr:uid="{00000000-0005-0000-0000-00005A110000}"/>
    <cellStyle name="Normal 3 2 2 3 3 2 3 3" xfId="1382" xr:uid="{00000000-0005-0000-0000-00005B110000}"/>
    <cellStyle name="Normal 3 2 2 3 3 2 3 3 2" xfId="1383" xr:uid="{00000000-0005-0000-0000-00005C110000}"/>
    <cellStyle name="Normal 3 2 2 3 3 2 3 3 2 2" xfId="1384" xr:uid="{00000000-0005-0000-0000-00005D110000}"/>
    <cellStyle name="Normal 3 2 2 3 3 2 3 3 2 2 2" xfId="28749" xr:uid="{00000000-0005-0000-0000-00005E110000}"/>
    <cellStyle name="Normal 3 2 2 3 3 2 3 3 2 2 2 2" xfId="60620" xr:uid="{00000000-0005-0000-0000-00005F110000}"/>
    <cellStyle name="Normal 3 2 2 3 3 2 3 3 2 2 3" xfId="33263" xr:uid="{00000000-0005-0000-0000-000060110000}"/>
    <cellStyle name="Normal 3 2 2 3 3 2 3 3 2 3" xfId="20871" xr:uid="{00000000-0005-0000-0000-000061110000}"/>
    <cellStyle name="Normal 3 2 2 3 3 2 3 3 2 3 2" xfId="52742" xr:uid="{00000000-0005-0000-0000-000062110000}"/>
    <cellStyle name="Normal 3 2 2 3 3 2 3 3 2 4" xfId="33262" xr:uid="{00000000-0005-0000-0000-000063110000}"/>
    <cellStyle name="Normal 3 2 2 3 3 2 3 3 3" xfId="1385" xr:uid="{00000000-0005-0000-0000-000064110000}"/>
    <cellStyle name="Normal 3 2 2 3 3 2 3 3 3 2" xfId="24810" xr:uid="{00000000-0005-0000-0000-000065110000}"/>
    <cellStyle name="Normal 3 2 2 3 3 2 3 3 3 2 2" xfId="56681" xr:uid="{00000000-0005-0000-0000-000066110000}"/>
    <cellStyle name="Normal 3 2 2 3 3 2 3 3 3 3" xfId="33264" xr:uid="{00000000-0005-0000-0000-000067110000}"/>
    <cellStyle name="Normal 3 2 2 3 3 2 3 3 4" xfId="16932" xr:uid="{00000000-0005-0000-0000-000068110000}"/>
    <cellStyle name="Normal 3 2 2 3 3 2 3 3 4 2" xfId="48803" xr:uid="{00000000-0005-0000-0000-000069110000}"/>
    <cellStyle name="Normal 3 2 2 3 3 2 3 3 5" xfId="33261" xr:uid="{00000000-0005-0000-0000-00006A110000}"/>
    <cellStyle name="Normal 3 2 2 3 3 2 3 4" xfId="1386" xr:uid="{00000000-0005-0000-0000-00006B110000}"/>
    <cellStyle name="Normal 3 2 2 3 3 2 3 4 2" xfId="1387" xr:uid="{00000000-0005-0000-0000-00006C110000}"/>
    <cellStyle name="Normal 3 2 2 3 3 2 3 4 2 2" xfId="28746" xr:uid="{00000000-0005-0000-0000-00006D110000}"/>
    <cellStyle name="Normal 3 2 2 3 3 2 3 4 2 2 2" xfId="60617" xr:uid="{00000000-0005-0000-0000-00006E110000}"/>
    <cellStyle name="Normal 3 2 2 3 3 2 3 4 2 3" xfId="33266" xr:uid="{00000000-0005-0000-0000-00006F110000}"/>
    <cellStyle name="Normal 3 2 2 3 3 2 3 4 3" xfId="20868" xr:uid="{00000000-0005-0000-0000-000070110000}"/>
    <cellStyle name="Normal 3 2 2 3 3 2 3 4 3 2" xfId="52739" xr:uid="{00000000-0005-0000-0000-000071110000}"/>
    <cellStyle name="Normal 3 2 2 3 3 2 3 4 4" xfId="33265" xr:uid="{00000000-0005-0000-0000-000072110000}"/>
    <cellStyle name="Normal 3 2 2 3 3 2 3 5" xfId="1388" xr:uid="{00000000-0005-0000-0000-000073110000}"/>
    <cellStyle name="Normal 3 2 2 3 3 2 3 5 2" xfId="24807" xr:uid="{00000000-0005-0000-0000-000074110000}"/>
    <cellStyle name="Normal 3 2 2 3 3 2 3 5 2 2" xfId="56678" xr:uid="{00000000-0005-0000-0000-000075110000}"/>
    <cellStyle name="Normal 3 2 2 3 3 2 3 5 3" xfId="33267" xr:uid="{00000000-0005-0000-0000-000076110000}"/>
    <cellStyle name="Normal 3 2 2 3 3 2 3 6" xfId="16929" xr:uid="{00000000-0005-0000-0000-000077110000}"/>
    <cellStyle name="Normal 3 2 2 3 3 2 3 6 2" xfId="48800" xr:uid="{00000000-0005-0000-0000-000078110000}"/>
    <cellStyle name="Normal 3 2 2 3 3 2 3 7" xfId="33252" xr:uid="{00000000-0005-0000-0000-000079110000}"/>
    <cellStyle name="Normal 3 2 2 3 3 2 4" xfId="1389" xr:uid="{00000000-0005-0000-0000-00007A110000}"/>
    <cellStyle name="Normal 3 2 2 3 3 2 4 2" xfId="1390" xr:uid="{00000000-0005-0000-0000-00007B110000}"/>
    <cellStyle name="Normal 3 2 2 3 3 2 4 2 2" xfId="1391" xr:uid="{00000000-0005-0000-0000-00007C110000}"/>
    <cellStyle name="Normal 3 2 2 3 3 2 4 2 2 2" xfId="1392" xr:uid="{00000000-0005-0000-0000-00007D110000}"/>
    <cellStyle name="Normal 3 2 2 3 3 2 4 2 2 2 2" xfId="28751" xr:uid="{00000000-0005-0000-0000-00007E110000}"/>
    <cellStyle name="Normal 3 2 2 3 3 2 4 2 2 2 2 2" xfId="60622" xr:uid="{00000000-0005-0000-0000-00007F110000}"/>
    <cellStyle name="Normal 3 2 2 3 3 2 4 2 2 2 3" xfId="33271" xr:uid="{00000000-0005-0000-0000-000080110000}"/>
    <cellStyle name="Normal 3 2 2 3 3 2 4 2 2 3" xfId="20873" xr:uid="{00000000-0005-0000-0000-000081110000}"/>
    <cellStyle name="Normal 3 2 2 3 3 2 4 2 2 3 2" xfId="52744" xr:uid="{00000000-0005-0000-0000-000082110000}"/>
    <cellStyle name="Normal 3 2 2 3 3 2 4 2 2 4" xfId="33270" xr:uid="{00000000-0005-0000-0000-000083110000}"/>
    <cellStyle name="Normal 3 2 2 3 3 2 4 2 3" xfId="1393" xr:uid="{00000000-0005-0000-0000-000084110000}"/>
    <cellStyle name="Normal 3 2 2 3 3 2 4 2 3 2" xfId="24812" xr:uid="{00000000-0005-0000-0000-000085110000}"/>
    <cellStyle name="Normal 3 2 2 3 3 2 4 2 3 2 2" xfId="56683" xr:uid="{00000000-0005-0000-0000-000086110000}"/>
    <cellStyle name="Normal 3 2 2 3 3 2 4 2 3 3" xfId="33272" xr:uid="{00000000-0005-0000-0000-000087110000}"/>
    <cellStyle name="Normal 3 2 2 3 3 2 4 2 4" xfId="16934" xr:uid="{00000000-0005-0000-0000-000088110000}"/>
    <cellStyle name="Normal 3 2 2 3 3 2 4 2 4 2" xfId="48805" xr:uid="{00000000-0005-0000-0000-000089110000}"/>
    <cellStyle name="Normal 3 2 2 3 3 2 4 2 5" xfId="33269" xr:uid="{00000000-0005-0000-0000-00008A110000}"/>
    <cellStyle name="Normal 3 2 2 3 3 2 4 3" xfId="1394" xr:uid="{00000000-0005-0000-0000-00008B110000}"/>
    <cellStyle name="Normal 3 2 2 3 3 2 4 3 2" xfId="1395" xr:uid="{00000000-0005-0000-0000-00008C110000}"/>
    <cellStyle name="Normal 3 2 2 3 3 2 4 3 2 2" xfId="28750" xr:uid="{00000000-0005-0000-0000-00008D110000}"/>
    <cellStyle name="Normal 3 2 2 3 3 2 4 3 2 2 2" xfId="60621" xr:uid="{00000000-0005-0000-0000-00008E110000}"/>
    <cellStyle name="Normal 3 2 2 3 3 2 4 3 2 3" xfId="33274" xr:uid="{00000000-0005-0000-0000-00008F110000}"/>
    <cellStyle name="Normal 3 2 2 3 3 2 4 3 3" xfId="20872" xr:uid="{00000000-0005-0000-0000-000090110000}"/>
    <cellStyle name="Normal 3 2 2 3 3 2 4 3 3 2" xfId="52743" xr:uid="{00000000-0005-0000-0000-000091110000}"/>
    <cellStyle name="Normal 3 2 2 3 3 2 4 3 4" xfId="33273" xr:uid="{00000000-0005-0000-0000-000092110000}"/>
    <cellStyle name="Normal 3 2 2 3 3 2 4 4" xfId="1396" xr:uid="{00000000-0005-0000-0000-000093110000}"/>
    <cellStyle name="Normal 3 2 2 3 3 2 4 4 2" xfId="24811" xr:uid="{00000000-0005-0000-0000-000094110000}"/>
    <cellStyle name="Normal 3 2 2 3 3 2 4 4 2 2" xfId="56682" xr:uid="{00000000-0005-0000-0000-000095110000}"/>
    <cellStyle name="Normal 3 2 2 3 3 2 4 4 3" xfId="33275" xr:uid="{00000000-0005-0000-0000-000096110000}"/>
    <cellStyle name="Normal 3 2 2 3 3 2 4 5" xfId="16933" xr:uid="{00000000-0005-0000-0000-000097110000}"/>
    <cellStyle name="Normal 3 2 2 3 3 2 4 5 2" xfId="48804" xr:uid="{00000000-0005-0000-0000-000098110000}"/>
    <cellStyle name="Normal 3 2 2 3 3 2 4 6" xfId="33268" xr:uid="{00000000-0005-0000-0000-000099110000}"/>
    <cellStyle name="Normal 3 2 2 3 3 2 5" xfId="1397" xr:uid="{00000000-0005-0000-0000-00009A110000}"/>
    <cellStyle name="Normal 3 2 2 3 3 2 5 2" xfId="1398" xr:uid="{00000000-0005-0000-0000-00009B110000}"/>
    <cellStyle name="Normal 3 2 2 3 3 2 5 2 2" xfId="1399" xr:uid="{00000000-0005-0000-0000-00009C110000}"/>
    <cellStyle name="Normal 3 2 2 3 3 2 5 2 2 2" xfId="28752" xr:uid="{00000000-0005-0000-0000-00009D110000}"/>
    <cellStyle name="Normal 3 2 2 3 3 2 5 2 2 2 2" xfId="60623" xr:uid="{00000000-0005-0000-0000-00009E110000}"/>
    <cellStyle name="Normal 3 2 2 3 3 2 5 2 2 3" xfId="33278" xr:uid="{00000000-0005-0000-0000-00009F110000}"/>
    <cellStyle name="Normal 3 2 2 3 3 2 5 2 3" xfId="20874" xr:uid="{00000000-0005-0000-0000-0000A0110000}"/>
    <cellStyle name="Normal 3 2 2 3 3 2 5 2 3 2" xfId="52745" xr:uid="{00000000-0005-0000-0000-0000A1110000}"/>
    <cellStyle name="Normal 3 2 2 3 3 2 5 2 4" xfId="33277" xr:uid="{00000000-0005-0000-0000-0000A2110000}"/>
    <cellStyle name="Normal 3 2 2 3 3 2 5 3" xfId="1400" xr:uid="{00000000-0005-0000-0000-0000A3110000}"/>
    <cellStyle name="Normal 3 2 2 3 3 2 5 3 2" xfId="24813" xr:uid="{00000000-0005-0000-0000-0000A4110000}"/>
    <cellStyle name="Normal 3 2 2 3 3 2 5 3 2 2" xfId="56684" xr:uid="{00000000-0005-0000-0000-0000A5110000}"/>
    <cellStyle name="Normal 3 2 2 3 3 2 5 3 3" xfId="33279" xr:uid="{00000000-0005-0000-0000-0000A6110000}"/>
    <cellStyle name="Normal 3 2 2 3 3 2 5 4" xfId="16935" xr:uid="{00000000-0005-0000-0000-0000A7110000}"/>
    <cellStyle name="Normal 3 2 2 3 3 2 5 4 2" xfId="48806" xr:uid="{00000000-0005-0000-0000-0000A8110000}"/>
    <cellStyle name="Normal 3 2 2 3 3 2 5 5" xfId="33276" xr:uid="{00000000-0005-0000-0000-0000A9110000}"/>
    <cellStyle name="Normal 3 2 2 3 3 2 6" xfId="1401" xr:uid="{00000000-0005-0000-0000-0000AA110000}"/>
    <cellStyle name="Normal 3 2 2 3 3 2 6 2" xfId="1402" xr:uid="{00000000-0005-0000-0000-0000AB110000}"/>
    <cellStyle name="Normal 3 2 2 3 3 2 6 2 2" xfId="28501" xr:uid="{00000000-0005-0000-0000-0000AC110000}"/>
    <cellStyle name="Normal 3 2 2 3 3 2 6 2 2 2" xfId="60372" xr:uid="{00000000-0005-0000-0000-0000AD110000}"/>
    <cellStyle name="Normal 3 2 2 3 3 2 6 2 3" xfId="33281" xr:uid="{00000000-0005-0000-0000-0000AE110000}"/>
    <cellStyle name="Normal 3 2 2 3 3 2 6 3" xfId="20623" xr:uid="{00000000-0005-0000-0000-0000AF110000}"/>
    <cellStyle name="Normal 3 2 2 3 3 2 6 3 2" xfId="52494" xr:uid="{00000000-0005-0000-0000-0000B0110000}"/>
    <cellStyle name="Normal 3 2 2 3 3 2 6 4" xfId="33280" xr:uid="{00000000-0005-0000-0000-0000B1110000}"/>
    <cellStyle name="Normal 3 2 2 3 3 2 7" xfId="1403" xr:uid="{00000000-0005-0000-0000-0000B2110000}"/>
    <cellStyle name="Normal 3 2 2 3 3 2 7 2" xfId="24562" xr:uid="{00000000-0005-0000-0000-0000B3110000}"/>
    <cellStyle name="Normal 3 2 2 3 3 2 7 2 2" xfId="56433" xr:uid="{00000000-0005-0000-0000-0000B4110000}"/>
    <cellStyle name="Normal 3 2 2 3 3 2 7 3" xfId="33282" xr:uid="{00000000-0005-0000-0000-0000B5110000}"/>
    <cellStyle name="Normal 3 2 2 3 3 2 8" xfId="16684" xr:uid="{00000000-0005-0000-0000-0000B6110000}"/>
    <cellStyle name="Normal 3 2 2 3 3 2 8 2" xfId="48555" xr:uid="{00000000-0005-0000-0000-0000B7110000}"/>
    <cellStyle name="Normal 3 2 2 3 3 2 9" xfId="33219" xr:uid="{00000000-0005-0000-0000-0000B8110000}"/>
    <cellStyle name="Normal 3 2 2 3 3 3" xfId="1404" xr:uid="{00000000-0005-0000-0000-0000B9110000}"/>
    <cellStyle name="Normal 3 2 2 3 3 3 2" xfId="1405" xr:uid="{00000000-0005-0000-0000-0000BA110000}"/>
    <cellStyle name="Normal 3 2 2 3 3 3 2 2" xfId="1406" xr:uid="{00000000-0005-0000-0000-0000BB110000}"/>
    <cellStyle name="Normal 3 2 2 3 3 3 2 2 2" xfId="1407" xr:uid="{00000000-0005-0000-0000-0000BC110000}"/>
    <cellStyle name="Normal 3 2 2 3 3 3 2 2 2 2" xfId="1408" xr:uid="{00000000-0005-0000-0000-0000BD110000}"/>
    <cellStyle name="Normal 3 2 2 3 3 3 2 2 2 2 2" xfId="1409" xr:uid="{00000000-0005-0000-0000-0000BE110000}"/>
    <cellStyle name="Normal 3 2 2 3 3 3 2 2 2 2 2 2" xfId="28756" xr:uid="{00000000-0005-0000-0000-0000BF110000}"/>
    <cellStyle name="Normal 3 2 2 3 3 3 2 2 2 2 2 2 2" xfId="60627" xr:uid="{00000000-0005-0000-0000-0000C0110000}"/>
    <cellStyle name="Normal 3 2 2 3 3 3 2 2 2 2 2 3" xfId="33288" xr:uid="{00000000-0005-0000-0000-0000C1110000}"/>
    <cellStyle name="Normal 3 2 2 3 3 3 2 2 2 2 3" xfId="20878" xr:uid="{00000000-0005-0000-0000-0000C2110000}"/>
    <cellStyle name="Normal 3 2 2 3 3 3 2 2 2 2 3 2" xfId="52749" xr:uid="{00000000-0005-0000-0000-0000C3110000}"/>
    <cellStyle name="Normal 3 2 2 3 3 3 2 2 2 2 4" xfId="33287" xr:uid="{00000000-0005-0000-0000-0000C4110000}"/>
    <cellStyle name="Normal 3 2 2 3 3 3 2 2 2 3" xfId="1410" xr:uid="{00000000-0005-0000-0000-0000C5110000}"/>
    <cellStyle name="Normal 3 2 2 3 3 3 2 2 2 3 2" xfId="24817" xr:uid="{00000000-0005-0000-0000-0000C6110000}"/>
    <cellStyle name="Normal 3 2 2 3 3 3 2 2 2 3 2 2" xfId="56688" xr:uid="{00000000-0005-0000-0000-0000C7110000}"/>
    <cellStyle name="Normal 3 2 2 3 3 3 2 2 2 3 3" xfId="33289" xr:uid="{00000000-0005-0000-0000-0000C8110000}"/>
    <cellStyle name="Normal 3 2 2 3 3 3 2 2 2 4" xfId="16939" xr:uid="{00000000-0005-0000-0000-0000C9110000}"/>
    <cellStyle name="Normal 3 2 2 3 3 3 2 2 2 4 2" xfId="48810" xr:uid="{00000000-0005-0000-0000-0000CA110000}"/>
    <cellStyle name="Normal 3 2 2 3 3 3 2 2 2 5" xfId="33286" xr:uid="{00000000-0005-0000-0000-0000CB110000}"/>
    <cellStyle name="Normal 3 2 2 3 3 3 2 2 3" xfId="1411" xr:uid="{00000000-0005-0000-0000-0000CC110000}"/>
    <cellStyle name="Normal 3 2 2 3 3 3 2 2 3 2" xfId="1412" xr:uid="{00000000-0005-0000-0000-0000CD110000}"/>
    <cellStyle name="Normal 3 2 2 3 3 3 2 2 3 2 2" xfId="28755" xr:uid="{00000000-0005-0000-0000-0000CE110000}"/>
    <cellStyle name="Normal 3 2 2 3 3 3 2 2 3 2 2 2" xfId="60626" xr:uid="{00000000-0005-0000-0000-0000CF110000}"/>
    <cellStyle name="Normal 3 2 2 3 3 3 2 2 3 2 3" xfId="33291" xr:uid="{00000000-0005-0000-0000-0000D0110000}"/>
    <cellStyle name="Normal 3 2 2 3 3 3 2 2 3 3" xfId="20877" xr:uid="{00000000-0005-0000-0000-0000D1110000}"/>
    <cellStyle name="Normal 3 2 2 3 3 3 2 2 3 3 2" xfId="52748" xr:uid="{00000000-0005-0000-0000-0000D2110000}"/>
    <cellStyle name="Normal 3 2 2 3 3 3 2 2 3 4" xfId="33290" xr:uid="{00000000-0005-0000-0000-0000D3110000}"/>
    <cellStyle name="Normal 3 2 2 3 3 3 2 2 4" xfId="1413" xr:uid="{00000000-0005-0000-0000-0000D4110000}"/>
    <cellStyle name="Normal 3 2 2 3 3 3 2 2 4 2" xfId="24816" xr:uid="{00000000-0005-0000-0000-0000D5110000}"/>
    <cellStyle name="Normal 3 2 2 3 3 3 2 2 4 2 2" xfId="56687" xr:uid="{00000000-0005-0000-0000-0000D6110000}"/>
    <cellStyle name="Normal 3 2 2 3 3 3 2 2 4 3" xfId="33292" xr:uid="{00000000-0005-0000-0000-0000D7110000}"/>
    <cellStyle name="Normal 3 2 2 3 3 3 2 2 5" xfId="16938" xr:uid="{00000000-0005-0000-0000-0000D8110000}"/>
    <cellStyle name="Normal 3 2 2 3 3 3 2 2 5 2" xfId="48809" xr:uid="{00000000-0005-0000-0000-0000D9110000}"/>
    <cellStyle name="Normal 3 2 2 3 3 3 2 2 6" xfId="33285" xr:uid="{00000000-0005-0000-0000-0000DA110000}"/>
    <cellStyle name="Normal 3 2 2 3 3 3 2 3" xfId="1414" xr:uid="{00000000-0005-0000-0000-0000DB110000}"/>
    <cellStyle name="Normal 3 2 2 3 3 3 2 3 2" xfId="1415" xr:uid="{00000000-0005-0000-0000-0000DC110000}"/>
    <cellStyle name="Normal 3 2 2 3 3 3 2 3 2 2" xfId="1416" xr:uid="{00000000-0005-0000-0000-0000DD110000}"/>
    <cellStyle name="Normal 3 2 2 3 3 3 2 3 2 2 2" xfId="28757" xr:uid="{00000000-0005-0000-0000-0000DE110000}"/>
    <cellStyle name="Normal 3 2 2 3 3 3 2 3 2 2 2 2" xfId="60628" xr:uid="{00000000-0005-0000-0000-0000DF110000}"/>
    <cellStyle name="Normal 3 2 2 3 3 3 2 3 2 2 3" xfId="33295" xr:uid="{00000000-0005-0000-0000-0000E0110000}"/>
    <cellStyle name="Normal 3 2 2 3 3 3 2 3 2 3" xfId="20879" xr:uid="{00000000-0005-0000-0000-0000E1110000}"/>
    <cellStyle name="Normal 3 2 2 3 3 3 2 3 2 3 2" xfId="52750" xr:uid="{00000000-0005-0000-0000-0000E2110000}"/>
    <cellStyle name="Normal 3 2 2 3 3 3 2 3 2 4" xfId="33294" xr:uid="{00000000-0005-0000-0000-0000E3110000}"/>
    <cellStyle name="Normal 3 2 2 3 3 3 2 3 3" xfId="1417" xr:uid="{00000000-0005-0000-0000-0000E4110000}"/>
    <cellStyle name="Normal 3 2 2 3 3 3 2 3 3 2" xfId="24818" xr:uid="{00000000-0005-0000-0000-0000E5110000}"/>
    <cellStyle name="Normal 3 2 2 3 3 3 2 3 3 2 2" xfId="56689" xr:uid="{00000000-0005-0000-0000-0000E6110000}"/>
    <cellStyle name="Normal 3 2 2 3 3 3 2 3 3 3" xfId="33296" xr:uid="{00000000-0005-0000-0000-0000E7110000}"/>
    <cellStyle name="Normal 3 2 2 3 3 3 2 3 4" xfId="16940" xr:uid="{00000000-0005-0000-0000-0000E8110000}"/>
    <cellStyle name="Normal 3 2 2 3 3 3 2 3 4 2" xfId="48811" xr:uid="{00000000-0005-0000-0000-0000E9110000}"/>
    <cellStyle name="Normal 3 2 2 3 3 3 2 3 5" xfId="33293" xr:uid="{00000000-0005-0000-0000-0000EA110000}"/>
    <cellStyle name="Normal 3 2 2 3 3 3 2 4" xfId="1418" xr:uid="{00000000-0005-0000-0000-0000EB110000}"/>
    <cellStyle name="Normal 3 2 2 3 3 3 2 4 2" xfId="1419" xr:uid="{00000000-0005-0000-0000-0000EC110000}"/>
    <cellStyle name="Normal 3 2 2 3 3 3 2 4 2 2" xfId="28754" xr:uid="{00000000-0005-0000-0000-0000ED110000}"/>
    <cellStyle name="Normal 3 2 2 3 3 3 2 4 2 2 2" xfId="60625" xr:uid="{00000000-0005-0000-0000-0000EE110000}"/>
    <cellStyle name="Normal 3 2 2 3 3 3 2 4 2 3" xfId="33298" xr:uid="{00000000-0005-0000-0000-0000EF110000}"/>
    <cellStyle name="Normal 3 2 2 3 3 3 2 4 3" xfId="20876" xr:uid="{00000000-0005-0000-0000-0000F0110000}"/>
    <cellStyle name="Normal 3 2 2 3 3 3 2 4 3 2" xfId="52747" xr:uid="{00000000-0005-0000-0000-0000F1110000}"/>
    <cellStyle name="Normal 3 2 2 3 3 3 2 4 4" xfId="33297" xr:uid="{00000000-0005-0000-0000-0000F2110000}"/>
    <cellStyle name="Normal 3 2 2 3 3 3 2 5" xfId="1420" xr:uid="{00000000-0005-0000-0000-0000F3110000}"/>
    <cellStyle name="Normal 3 2 2 3 3 3 2 5 2" xfId="24815" xr:uid="{00000000-0005-0000-0000-0000F4110000}"/>
    <cellStyle name="Normal 3 2 2 3 3 3 2 5 2 2" xfId="56686" xr:uid="{00000000-0005-0000-0000-0000F5110000}"/>
    <cellStyle name="Normal 3 2 2 3 3 3 2 5 3" xfId="33299" xr:uid="{00000000-0005-0000-0000-0000F6110000}"/>
    <cellStyle name="Normal 3 2 2 3 3 3 2 6" xfId="16937" xr:uid="{00000000-0005-0000-0000-0000F7110000}"/>
    <cellStyle name="Normal 3 2 2 3 3 3 2 6 2" xfId="48808" xr:uid="{00000000-0005-0000-0000-0000F8110000}"/>
    <cellStyle name="Normal 3 2 2 3 3 3 2 7" xfId="33284" xr:uid="{00000000-0005-0000-0000-0000F9110000}"/>
    <cellStyle name="Normal 3 2 2 3 3 3 3" xfId="1421" xr:uid="{00000000-0005-0000-0000-0000FA110000}"/>
    <cellStyle name="Normal 3 2 2 3 3 3 3 2" xfId="1422" xr:uid="{00000000-0005-0000-0000-0000FB110000}"/>
    <cellStyle name="Normal 3 2 2 3 3 3 3 2 2" xfId="1423" xr:uid="{00000000-0005-0000-0000-0000FC110000}"/>
    <cellStyle name="Normal 3 2 2 3 3 3 3 2 2 2" xfId="1424" xr:uid="{00000000-0005-0000-0000-0000FD110000}"/>
    <cellStyle name="Normal 3 2 2 3 3 3 3 2 2 2 2" xfId="28759" xr:uid="{00000000-0005-0000-0000-0000FE110000}"/>
    <cellStyle name="Normal 3 2 2 3 3 3 3 2 2 2 2 2" xfId="60630" xr:uid="{00000000-0005-0000-0000-0000FF110000}"/>
    <cellStyle name="Normal 3 2 2 3 3 3 3 2 2 2 3" xfId="33303" xr:uid="{00000000-0005-0000-0000-000000120000}"/>
    <cellStyle name="Normal 3 2 2 3 3 3 3 2 2 3" xfId="20881" xr:uid="{00000000-0005-0000-0000-000001120000}"/>
    <cellStyle name="Normal 3 2 2 3 3 3 3 2 2 3 2" xfId="52752" xr:uid="{00000000-0005-0000-0000-000002120000}"/>
    <cellStyle name="Normal 3 2 2 3 3 3 3 2 2 4" xfId="33302" xr:uid="{00000000-0005-0000-0000-000003120000}"/>
    <cellStyle name="Normal 3 2 2 3 3 3 3 2 3" xfId="1425" xr:uid="{00000000-0005-0000-0000-000004120000}"/>
    <cellStyle name="Normal 3 2 2 3 3 3 3 2 3 2" xfId="24820" xr:uid="{00000000-0005-0000-0000-000005120000}"/>
    <cellStyle name="Normal 3 2 2 3 3 3 3 2 3 2 2" xfId="56691" xr:uid="{00000000-0005-0000-0000-000006120000}"/>
    <cellStyle name="Normal 3 2 2 3 3 3 3 2 3 3" xfId="33304" xr:uid="{00000000-0005-0000-0000-000007120000}"/>
    <cellStyle name="Normal 3 2 2 3 3 3 3 2 4" xfId="16942" xr:uid="{00000000-0005-0000-0000-000008120000}"/>
    <cellStyle name="Normal 3 2 2 3 3 3 3 2 4 2" xfId="48813" xr:uid="{00000000-0005-0000-0000-000009120000}"/>
    <cellStyle name="Normal 3 2 2 3 3 3 3 2 5" xfId="33301" xr:uid="{00000000-0005-0000-0000-00000A120000}"/>
    <cellStyle name="Normal 3 2 2 3 3 3 3 3" xfId="1426" xr:uid="{00000000-0005-0000-0000-00000B120000}"/>
    <cellStyle name="Normal 3 2 2 3 3 3 3 3 2" xfId="1427" xr:uid="{00000000-0005-0000-0000-00000C120000}"/>
    <cellStyle name="Normal 3 2 2 3 3 3 3 3 2 2" xfId="28758" xr:uid="{00000000-0005-0000-0000-00000D120000}"/>
    <cellStyle name="Normal 3 2 2 3 3 3 3 3 2 2 2" xfId="60629" xr:uid="{00000000-0005-0000-0000-00000E120000}"/>
    <cellStyle name="Normal 3 2 2 3 3 3 3 3 2 3" xfId="33306" xr:uid="{00000000-0005-0000-0000-00000F120000}"/>
    <cellStyle name="Normal 3 2 2 3 3 3 3 3 3" xfId="20880" xr:uid="{00000000-0005-0000-0000-000010120000}"/>
    <cellStyle name="Normal 3 2 2 3 3 3 3 3 3 2" xfId="52751" xr:uid="{00000000-0005-0000-0000-000011120000}"/>
    <cellStyle name="Normal 3 2 2 3 3 3 3 3 4" xfId="33305" xr:uid="{00000000-0005-0000-0000-000012120000}"/>
    <cellStyle name="Normal 3 2 2 3 3 3 3 4" xfId="1428" xr:uid="{00000000-0005-0000-0000-000013120000}"/>
    <cellStyle name="Normal 3 2 2 3 3 3 3 4 2" xfId="24819" xr:uid="{00000000-0005-0000-0000-000014120000}"/>
    <cellStyle name="Normal 3 2 2 3 3 3 3 4 2 2" xfId="56690" xr:uid="{00000000-0005-0000-0000-000015120000}"/>
    <cellStyle name="Normal 3 2 2 3 3 3 3 4 3" xfId="33307" xr:uid="{00000000-0005-0000-0000-000016120000}"/>
    <cellStyle name="Normal 3 2 2 3 3 3 3 5" xfId="16941" xr:uid="{00000000-0005-0000-0000-000017120000}"/>
    <cellStyle name="Normal 3 2 2 3 3 3 3 5 2" xfId="48812" xr:uid="{00000000-0005-0000-0000-000018120000}"/>
    <cellStyle name="Normal 3 2 2 3 3 3 3 6" xfId="33300" xr:uid="{00000000-0005-0000-0000-000019120000}"/>
    <cellStyle name="Normal 3 2 2 3 3 3 4" xfId="1429" xr:uid="{00000000-0005-0000-0000-00001A120000}"/>
    <cellStyle name="Normal 3 2 2 3 3 3 4 2" xfId="1430" xr:uid="{00000000-0005-0000-0000-00001B120000}"/>
    <cellStyle name="Normal 3 2 2 3 3 3 4 2 2" xfId="1431" xr:uid="{00000000-0005-0000-0000-00001C120000}"/>
    <cellStyle name="Normal 3 2 2 3 3 3 4 2 2 2" xfId="28760" xr:uid="{00000000-0005-0000-0000-00001D120000}"/>
    <cellStyle name="Normal 3 2 2 3 3 3 4 2 2 2 2" xfId="60631" xr:uid="{00000000-0005-0000-0000-00001E120000}"/>
    <cellStyle name="Normal 3 2 2 3 3 3 4 2 2 3" xfId="33310" xr:uid="{00000000-0005-0000-0000-00001F120000}"/>
    <cellStyle name="Normal 3 2 2 3 3 3 4 2 3" xfId="20882" xr:uid="{00000000-0005-0000-0000-000020120000}"/>
    <cellStyle name="Normal 3 2 2 3 3 3 4 2 3 2" xfId="52753" xr:uid="{00000000-0005-0000-0000-000021120000}"/>
    <cellStyle name="Normal 3 2 2 3 3 3 4 2 4" xfId="33309" xr:uid="{00000000-0005-0000-0000-000022120000}"/>
    <cellStyle name="Normal 3 2 2 3 3 3 4 3" xfId="1432" xr:uid="{00000000-0005-0000-0000-000023120000}"/>
    <cellStyle name="Normal 3 2 2 3 3 3 4 3 2" xfId="24821" xr:uid="{00000000-0005-0000-0000-000024120000}"/>
    <cellStyle name="Normal 3 2 2 3 3 3 4 3 2 2" xfId="56692" xr:uid="{00000000-0005-0000-0000-000025120000}"/>
    <cellStyle name="Normal 3 2 2 3 3 3 4 3 3" xfId="33311" xr:uid="{00000000-0005-0000-0000-000026120000}"/>
    <cellStyle name="Normal 3 2 2 3 3 3 4 4" xfId="16943" xr:uid="{00000000-0005-0000-0000-000027120000}"/>
    <cellStyle name="Normal 3 2 2 3 3 3 4 4 2" xfId="48814" xr:uid="{00000000-0005-0000-0000-000028120000}"/>
    <cellStyle name="Normal 3 2 2 3 3 3 4 5" xfId="33308" xr:uid="{00000000-0005-0000-0000-000029120000}"/>
    <cellStyle name="Normal 3 2 2 3 3 3 5" xfId="1433" xr:uid="{00000000-0005-0000-0000-00002A120000}"/>
    <cellStyle name="Normal 3 2 2 3 3 3 5 2" xfId="1434" xr:uid="{00000000-0005-0000-0000-00002B120000}"/>
    <cellStyle name="Normal 3 2 2 3 3 3 5 2 2" xfId="28753" xr:uid="{00000000-0005-0000-0000-00002C120000}"/>
    <cellStyle name="Normal 3 2 2 3 3 3 5 2 2 2" xfId="60624" xr:uid="{00000000-0005-0000-0000-00002D120000}"/>
    <cellStyle name="Normal 3 2 2 3 3 3 5 2 3" xfId="33313" xr:uid="{00000000-0005-0000-0000-00002E120000}"/>
    <cellStyle name="Normal 3 2 2 3 3 3 5 3" xfId="20875" xr:uid="{00000000-0005-0000-0000-00002F120000}"/>
    <cellStyle name="Normal 3 2 2 3 3 3 5 3 2" xfId="52746" xr:uid="{00000000-0005-0000-0000-000030120000}"/>
    <cellStyle name="Normal 3 2 2 3 3 3 5 4" xfId="33312" xr:uid="{00000000-0005-0000-0000-000031120000}"/>
    <cellStyle name="Normal 3 2 2 3 3 3 6" xfId="1435" xr:uid="{00000000-0005-0000-0000-000032120000}"/>
    <cellStyle name="Normal 3 2 2 3 3 3 6 2" xfId="24814" xr:uid="{00000000-0005-0000-0000-000033120000}"/>
    <cellStyle name="Normal 3 2 2 3 3 3 6 2 2" xfId="56685" xr:uid="{00000000-0005-0000-0000-000034120000}"/>
    <cellStyle name="Normal 3 2 2 3 3 3 6 3" xfId="33314" xr:uid="{00000000-0005-0000-0000-000035120000}"/>
    <cellStyle name="Normal 3 2 2 3 3 3 7" xfId="16936" xr:uid="{00000000-0005-0000-0000-000036120000}"/>
    <cellStyle name="Normal 3 2 2 3 3 3 7 2" xfId="48807" xr:uid="{00000000-0005-0000-0000-000037120000}"/>
    <cellStyle name="Normal 3 2 2 3 3 3 8" xfId="33283" xr:uid="{00000000-0005-0000-0000-000038120000}"/>
    <cellStyle name="Normal 3 2 2 3 3 4" xfId="1436" xr:uid="{00000000-0005-0000-0000-000039120000}"/>
    <cellStyle name="Normal 3 2 2 3 3 4 2" xfId="1437" xr:uid="{00000000-0005-0000-0000-00003A120000}"/>
    <cellStyle name="Normal 3 2 2 3 3 4 2 2" xfId="1438" xr:uid="{00000000-0005-0000-0000-00003B120000}"/>
    <cellStyle name="Normal 3 2 2 3 3 4 2 2 2" xfId="1439" xr:uid="{00000000-0005-0000-0000-00003C120000}"/>
    <cellStyle name="Normal 3 2 2 3 3 4 2 2 2 2" xfId="1440" xr:uid="{00000000-0005-0000-0000-00003D120000}"/>
    <cellStyle name="Normal 3 2 2 3 3 4 2 2 2 2 2" xfId="28763" xr:uid="{00000000-0005-0000-0000-00003E120000}"/>
    <cellStyle name="Normal 3 2 2 3 3 4 2 2 2 2 2 2" xfId="60634" xr:uid="{00000000-0005-0000-0000-00003F120000}"/>
    <cellStyle name="Normal 3 2 2 3 3 4 2 2 2 2 3" xfId="33319" xr:uid="{00000000-0005-0000-0000-000040120000}"/>
    <cellStyle name="Normal 3 2 2 3 3 4 2 2 2 3" xfId="20885" xr:uid="{00000000-0005-0000-0000-000041120000}"/>
    <cellStyle name="Normal 3 2 2 3 3 4 2 2 2 3 2" xfId="52756" xr:uid="{00000000-0005-0000-0000-000042120000}"/>
    <cellStyle name="Normal 3 2 2 3 3 4 2 2 2 4" xfId="33318" xr:uid="{00000000-0005-0000-0000-000043120000}"/>
    <cellStyle name="Normal 3 2 2 3 3 4 2 2 3" xfId="1441" xr:uid="{00000000-0005-0000-0000-000044120000}"/>
    <cellStyle name="Normal 3 2 2 3 3 4 2 2 3 2" xfId="24824" xr:uid="{00000000-0005-0000-0000-000045120000}"/>
    <cellStyle name="Normal 3 2 2 3 3 4 2 2 3 2 2" xfId="56695" xr:uid="{00000000-0005-0000-0000-000046120000}"/>
    <cellStyle name="Normal 3 2 2 3 3 4 2 2 3 3" xfId="33320" xr:uid="{00000000-0005-0000-0000-000047120000}"/>
    <cellStyle name="Normal 3 2 2 3 3 4 2 2 4" xfId="16946" xr:uid="{00000000-0005-0000-0000-000048120000}"/>
    <cellStyle name="Normal 3 2 2 3 3 4 2 2 4 2" xfId="48817" xr:uid="{00000000-0005-0000-0000-000049120000}"/>
    <cellStyle name="Normal 3 2 2 3 3 4 2 2 5" xfId="33317" xr:uid="{00000000-0005-0000-0000-00004A120000}"/>
    <cellStyle name="Normal 3 2 2 3 3 4 2 3" xfId="1442" xr:uid="{00000000-0005-0000-0000-00004B120000}"/>
    <cellStyle name="Normal 3 2 2 3 3 4 2 3 2" xfId="1443" xr:uid="{00000000-0005-0000-0000-00004C120000}"/>
    <cellStyle name="Normal 3 2 2 3 3 4 2 3 2 2" xfId="28762" xr:uid="{00000000-0005-0000-0000-00004D120000}"/>
    <cellStyle name="Normal 3 2 2 3 3 4 2 3 2 2 2" xfId="60633" xr:uid="{00000000-0005-0000-0000-00004E120000}"/>
    <cellStyle name="Normal 3 2 2 3 3 4 2 3 2 3" xfId="33322" xr:uid="{00000000-0005-0000-0000-00004F120000}"/>
    <cellStyle name="Normal 3 2 2 3 3 4 2 3 3" xfId="20884" xr:uid="{00000000-0005-0000-0000-000050120000}"/>
    <cellStyle name="Normal 3 2 2 3 3 4 2 3 3 2" xfId="52755" xr:uid="{00000000-0005-0000-0000-000051120000}"/>
    <cellStyle name="Normal 3 2 2 3 3 4 2 3 4" xfId="33321" xr:uid="{00000000-0005-0000-0000-000052120000}"/>
    <cellStyle name="Normal 3 2 2 3 3 4 2 4" xfId="1444" xr:uid="{00000000-0005-0000-0000-000053120000}"/>
    <cellStyle name="Normal 3 2 2 3 3 4 2 4 2" xfId="24823" xr:uid="{00000000-0005-0000-0000-000054120000}"/>
    <cellStyle name="Normal 3 2 2 3 3 4 2 4 2 2" xfId="56694" xr:uid="{00000000-0005-0000-0000-000055120000}"/>
    <cellStyle name="Normal 3 2 2 3 3 4 2 4 3" xfId="33323" xr:uid="{00000000-0005-0000-0000-000056120000}"/>
    <cellStyle name="Normal 3 2 2 3 3 4 2 5" xfId="16945" xr:uid="{00000000-0005-0000-0000-000057120000}"/>
    <cellStyle name="Normal 3 2 2 3 3 4 2 5 2" xfId="48816" xr:uid="{00000000-0005-0000-0000-000058120000}"/>
    <cellStyle name="Normal 3 2 2 3 3 4 2 6" xfId="33316" xr:uid="{00000000-0005-0000-0000-000059120000}"/>
    <cellStyle name="Normal 3 2 2 3 3 4 3" xfId="1445" xr:uid="{00000000-0005-0000-0000-00005A120000}"/>
    <cellStyle name="Normal 3 2 2 3 3 4 3 2" xfId="1446" xr:uid="{00000000-0005-0000-0000-00005B120000}"/>
    <cellStyle name="Normal 3 2 2 3 3 4 3 2 2" xfId="1447" xr:uid="{00000000-0005-0000-0000-00005C120000}"/>
    <cellStyle name="Normal 3 2 2 3 3 4 3 2 2 2" xfId="28764" xr:uid="{00000000-0005-0000-0000-00005D120000}"/>
    <cellStyle name="Normal 3 2 2 3 3 4 3 2 2 2 2" xfId="60635" xr:uid="{00000000-0005-0000-0000-00005E120000}"/>
    <cellStyle name="Normal 3 2 2 3 3 4 3 2 2 3" xfId="33326" xr:uid="{00000000-0005-0000-0000-00005F120000}"/>
    <cellStyle name="Normal 3 2 2 3 3 4 3 2 3" xfId="20886" xr:uid="{00000000-0005-0000-0000-000060120000}"/>
    <cellStyle name="Normal 3 2 2 3 3 4 3 2 3 2" xfId="52757" xr:uid="{00000000-0005-0000-0000-000061120000}"/>
    <cellStyle name="Normal 3 2 2 3 3 4 3 2 4" xfId="33325" xr:uid="{00000000-0005-0000-0000-000062120000}"/>
    <cellStyle name="Normal 3 2 2 3 3 4 3 3" xfId="1448" xr:uid="{00000000-0005-0000-0000-000063120000}"/>
    <cellStyle name="Normal 3 2 2 3 3 4 3 3 2" xfId="24825" xr:uid="{00000000-0005-0000-0000-000064120000}"/>
    <cellStyle name="Normal 3 2 2 3 3 4 3 3 2 2" xfId="56696" xr:uid="{00000000-0005-0000-0000-000065120000}"/>
    <cellStyle name="Normal 3 2 2 3 3 4 3 3 3" xfId="33327" xr:uid="{00000000-0005-0000-0000-000066120000}"/>
    <cellStyle name="Normal 3 2 2 3 3 4 3 4" xfId="16947" xr:uid="{00000000-0005-0000-0000-000067120000}"/>
    <cellStyle name="Normal 3 2 2 3 3 4 3 4 2" xfId="48818" xr:uid="{00000000-0005-0000-0000-000068120000}"/>
    <cellStyle name="Normal 3 2 2 3 3 4 3 5" xfId="33324" xr:uid="{00000000-0005-0000-0000-000069120000}"/>
    <cellStyle name="Normal 3 2 2 3 3 4 4" xfId="1449" xr:uid="{00000000-0005-0000-0000-00006A120000}"/>
    <cellStyle name="Normal 3 2 2 3 3 4 4 2" xfId="1450" xr:uid="{00000000-0005-0000-0000-00006B120000}"/>
    <cellStyle name="Normal 3 2 2 3 3 4 4 2 2" xfId="28761" xr:uid="{00000000-0005-0000-0000-00006C120000}"/>
    <cellStyle name="Normal 3 2 2 3 3 4 4 2 2 2" xfId="60632" xr:uid="{00000000-0005-0000-0000-00006D120000}"/>
    <cellStyle name="Normal 3 2 2 3 3 4 4 2 3" xfId="33329" xr:uid="{00000000-0005-0000-0000-00006E120000}"/>
    <cellStyle name="Normal 3 2 2 3 3 4 4 3" xfId="20883" xr:uid="{00000000-0005-0000-0000-00006F120000}"/>
    <cellStyle name="Normal 3 2 2 3 3 4 4 3 2" xfId="52754" xr:uid="{00000000-0005-0000-0000-000070120000}"/>
    <cellStyle name="Normal 3 2 2 3 3 4 4 4" xfId="33328" xr:uid="{00000000-0005-0000-0000-000071120000}"/>
    <cellStyle name="Normal 3 2 2 3 3 4 5" xfId="1451" xr:uid="{00000000-0005-0000-0000-000072120000}"/>
    <cellStyle name="Normal 3 2 2 3 3 4 5 2" xfId="24822" xr:uid="{00000000-0005-0000-0000-000073120000}"/>
    <cellStyle name="Normal 3 2 2 3 3 4 5 2 2" xfId="56693" xr:uid="{00000000-0005-0000-0000-000074120000}"/>
    <cellStyle name="Normal 3 2 2 3 3 4 5 3" xfId="33330" xr:uid="{00000000-0005-0000-0000-000075120000}"/>
    <cellStyle name="Normal 3 2 2 3 3 4 6" xfId="16944" xr:uid="{00000000-0005-0000-0000-000076120000}"/>
    <cellStyle name="Normal 3 2 2 3 3 4 6 2" xfId="48815" xr:uid="{00000000-0005-0000-0000-000077120000}"/>
    <cellStyle name="Normal 3 2 2 3 3 4 7" xfId="33315" xr:uid="{00000000-0005-0000-0000-000078120000}"/>
    <cellStyle name="Normal 3 2 2 3 3 5" xfId="1452" xr:uid="{00000000-0005-0000-0000-000079120000}"/>
    <cellStyle name="Normal 3 2 2 3 3 5 2" xfId="1453" xr:uid="{00000000-0005-0000-0000-00007A120000}"/>
    <cellStyle name="Normal 3 2 2 3 3 5 2 2" xfId="1454" xr:uid="{00000000-0005-0000-0000-00007B120000}"/>
    <cellStyle name="Normal 3 2 2 3 3 5 2 2 2" xfId="1455" xr:uid="{00000000-0005-0000-0000-00007C120000}"/>
    <cellStyle name="Normal 3 2 2 3 3 5 2 2 2 2" xfId="28766" xr:uid="{00000000-0005-0000-0000-00007D120000}"/>
    <cellStyle name="Normal 3 2 2 3 3 5 2 2 2 2 2" xfId="60637" xr:uid="{00000000-0005-0000-0000-00007E120000}"/>
    <cellStyle name="Normal 3 2 2 3 3 5 2 2 2 3" xfId="33334" xr:uid="{00000000-0005-0000-0000-00007F120000}"/>
    <cellStyle name="Normal 3 2 2 3 3 5 2 2 3" xfId="20888" xr:uid="{00000000-0005-0000-0000-000080120000}"/>
    <cellStyle name="Normal 3 2 2 3 3 5 2 2 3 2" xfId="52759" xr:uid="{00000000-0005-0000-0000-000081120000}"/>
    <cellStyle name="Normal 3 2 2 3 3 5 2 2 4" xfId="33333" xr:uid="{00000000-0005-0000-0000-000082120000}"/>
    <cellStyle name="Normal 3 2 2 3 3 5 2 3" xfId="1456" xr:uid="{00000000-0005-0000-0000-000083120000}"/>
    <cellStyle name="Normal 3 2 2 3 3 5 2 3 2" xfId="24827" xr:uid="{00000000-0005-0000-0000-000084120000}"/>
    <cellStyle name="Normal 3 2 2 3 3 5 2 3 2 2" xfId="56698" xr:uid="{00000000-0005-0000-0000-000085120000}"/>
    <cellStyle name="Normal 3 2 2 3 3 5 2 3 3" xfId="33335" xr:uid="{00000000-0005-0000-0000-000086120000}"/>
    <cellStyle name="Normal 3 2 2 3 3 5 2 4" xfId="16949" xr:uid="{00000000-0005-0000-0000-000087120000}"/>
    <cellStyle name="Normal 3 2 2 3 3 5 2 4 2" xfId="48820" xr:uid="{00000000-0005-0000-0000-000088120000}"/>
    <cellStyle name="Normal 3 2 2 3 3 5 2 5" xfId="33332" xr:uid="{00000000-0005-0000-0000-000089120000}"/>
    <cellStyle name="Normal 3 2 2 3 3 5 3" xfId="1457" xr:uid="{00000000-0005-0000-0000-00008A120000}"/>
    <cellStyle name="Normal 3 2 2 3 3 5 3 2" xfId="1458" xr:uid="{00000000-0005-0000-0000-00008B120000}"/>
    <cellStyle name="Normal 3 2 2 3 3 5 3 2 2" xfId="28765" xr:uid="{00000000-0005-0000-0000-00008C120000}"/>
    <cellStyle name="Normal 3 2 2 3 3 5 3 2 2 2" xfId="60636" xr:uid="{00000000-0005-0000-0000-00008D120000}"/>
    <cellStyle name="Normal 3 2 2 3 3 5 3 2 3" xfId="33337" xr:uid="{00000000-0005-0000-0000-00008E120000}"/>
    <cellStyle name="Normal 3 2 2 3 3 5 3 3" xfId="20887" xr:uid="{00000000-0005-0000-0000-00008F120000}"/>
    <cellStyle name="Normal 3 2 2 3 3 5 3 3 2" xfId="52758" xr:uid="{00000000-0005-0000-0000-000090120000}"/>
    <cellStyle name="Normal 3 2 2 3 3 5 3 4" xfId="33336" xr:uid="{00000000-0005-0000-0000-000091120000}"/>
    <cellStyle name="Normal 3 2 2 3 3 5 4" xfId="1459" xr:uid="{00000000-0005-0000-0000-000092120000}"/>
    <cellStyle name="Normal 3 2 2 3 3 5 4 2" xfId="24826" xr:uid="{00000000-0005-0000-0000-000093120000}"/>
    <cellStyle name="Normal 3 2 2 3 3 5 4 2 2" xfId="56697" xr:uid="{00000000-0005-0000-0000-000094120000}"/>
    <cellStyle name="Normal 3 2 2 3 3 5 4 3" xfId="33338" xr:uid="{00000000-0005-0000-0000-000095120000}"/>
    <cellStyle name="Normal 3 2 2 3 3 5 5" xfId="16948" xr:uid="{00000000-0005-0000-0000-000096120000}"/>
    <cellStyle name="Normal 3 2 2 3 3 5 5 2" xfId="48819" xr:uid="{00000000-0005-0000-0000-000097120000}"/>
    <cellStyle name="Normal 3 2 2 3 3 5 6" xfId="33331" xr:uid="{00000000-0005-0000-0000-000098120000}"/>
    <cellStyle name="Normal 3 2 2 3 3 6" xfId="1460" xr:uid="{00000000-0005-0000-0000-000099120000}"/>
    <cellStyle name="Normal 3 2 2 3 3 6 2" xfId="1461" xr:uid="{00000000-0005-0000-0000-00009A120000}"/>
    <cellStyle name="Normal 3 2 2 3 3 6 2 2" xfId="1462" xr:uid="{00000000-0005-0000-0000-00009B120000}"/>
    <cellStyle name="Normal 3 2 2 3 3 6 2 2 2" xfId="28767" xr:uid="{00000000-0005-0000-0000-00009C120000}"/>
    <cellStyle name="Normal 3 2 2 3 3 6 2 2 2 2" xfId="60638" xr:uid="{00000000-0005-0000-0000-00009D120000}"/>
    <cellStyle name="Normal 3 2 2 3 3 6 2 2 3" xfId="33341" xr:uid="{00000000-0005-0000-0000-00009E120000}"/>
    <cellStyle name="Normal 3 2 2 3 3 6 2 3" xfId="20889" xr:uid="{00000000-0005-0000-0000-00009F120000}"/>
    <cellStyle name="Normal 3 2 2 3 3 6 2 3 2" xfId="52760" xr:uid="{00000000-0005-0000-0000-0000A0120000}"/>
    <cellStyle name="Normal 3 2 2 3 3 6 2 4" xfId="33340" xr:uid="{00000000-0005-0000-0000-0000A1120000}"/>
    <cellStyle name="Normal 3 2 2 3 3 6 3" xfId="1463" xr:uid="{00000000-0005-0000-0000-0000A2120000}"/>
    <cellStyle name="Normal 3 2 2 3 3 6 3 2" xfId="24828" xr:uid="{00000000-0005-0000-0000-0000A3120000}"/>
    <cellStyle name="Normal 3 2 2 3 3 6 3 2 2" xfId="56699" xr:uid="{00000000-0005-0000-0000-0000A4120000}"/>
    <cellStyle name="Normal 3 2 2 3 3 6 3 3" xfId="33342" xr:uid="{00000000-0005-0000-0000-0000A5120000}"/>
    <cellStyle name="Normal 3 2 2 3 3 6 4" xfId="16950" xr:uid="{00000000-0005-0000-0000-0000A6120000}"/>
    <cellStyle name="Normal 3 2 2 3 3 6 4 2" xfId="48821" xr:uid="{00000000-0005-0000-0000-0000A7120000}"/>
    <cellStyle name="Normal 3 2 2 3 3 6 5" xfId="33339" xr:uid="{00000000-0005-0000-0000-0000A8120000}"/>
    <cellStyle name="Normal 3 2 2 3 3 7" xfId="1464" xr:uid="{00000000-0005-0000-0000-0000A9120000}"/>
    <cellStyle name="Normal 3 2 2 3 3 7 2" xfId="1465" xr:uid="{00000000-0005-0000-0000-0000AA120000}"/>
    <cellStyle name="Normal 3 2 2 3 3 7 2 2" xfId="28378" xr:uid="{00000000-0005-0000-0000-0000AB120000}"/>
    <cellStyle name="Normal 3 2 2 3 3 7 2 2 2" xfId="60249" xr:uid="{00000000-0005-0000-0000-0000AC120000}"/>
    <cellStyle name="Normal 3 2 2 3 3 7 2 3" xfId="33344" xr:uid="{00000000-0005-0000-0000-0000AD120000}"/>
    <cellStyle name="Normal 3 2 2 3 3 7 3" xfId="20500" xr:uid="{00000000-0005-0000-0000-0000AE120000}"/>
    <cellStyle name="Normal 3 2 2 3 3 7 3 2" xfId="52371" xr:uid="{00000000-0005-0000-0000-0000AF120000}"/>
    <cellStyle name="Normal 3 2 2 3 3 7 4" xfId="33343" xr:uid="{00000000-0005-0000-0000-0000B0120000}"/>
    <cellStyle name="Normal 3 2 2 3 3 8" xfId="1466" xr:uid="{00000000-0005-0000-0000-0000B1120000}"/>
    <cellStyle name="Normal 3 2 2 3 3 8 2" xfId="24439" xr:uid="{00000000-0005-0000-0000-0000B2120000}"/>
    <cellStyle name="Normal 3 2 2 3 3 8 2 2" xfId="56310" xr:uid="{00000000-0005-0000-0000-0000B3120000}"/>
    <cellStyle name="Normal 3 2 2 3 3 8 3" xfId="33345" xr:uid="{00000000-0005-0000-0000-0000B4120000}"/>
    <cellStyle name="Normal 3 2 2 3 3 9" xfId="16561" xr:uid="{00000000-0005-0000-0000-0000B5120000}"/>
    <cellStyle name="Normal 3 2 2 3 3 9 2" xfId="48432" xr:uid="{00000000-0005-0000-0000-0000B6120000}"/>
    <cellStyle name="Normal 3 2 2 3 4" xfId="1467" xr:uid="{00000000-0005-0000-0000-0000B7120000}"/>
    <cellStyle name="Normal 3 2 2 3 4 2" xfId="1468" xr:uid="{00000000-0005-0000-0000-0000B8120000}"/>
    <cellStyle name="Normal 3 2 2 3 4 2 2" xfId="1469" xr:uid="{00000000-0005-0000-0000-0000B9120000}"/>
    <cellStyle name="Normal 3 2 2 3 4 2 2 2" xfId="1470" xr:uid="{00000000-0005-0000-0000-0000BA120000}"/>
    <cellStyle name="Normal 3 2 2 3 4 2 2 2 2" xfId="1471" xr:uid="{00000000-0005-0000-0000-0000BB120000}"/>
    <cellStyle name="Normal 3 2 2 3 4 2 2 2 2 2" xfId="1472" xr:uid="{00000000-0005-0000-0000-0000BC120000}"/>
    <cellStyle name="Normal 3 2 2 3 4 2 2 2 2 2 2" xfId="1473" xr:uid="{00000000-0005-0000-0000-0000BD120000}"/>
    <cellStyle name="Normal 3 2 2 3 4 2 2 2 2 2 2 2" xfId="28771" xr:uid="{00000000-0005-0000-0000-0000BE120000}"/>
    <cellStyle name="Normal 3 2 2 3 4 2 2 2 2 2 2 2 2" xfId="60642" xr:uid="{00000000-0005-0000-0000-0000BF120000}"/>
    <cellStyle name="Normal 3 2 2 3 4 2 2 2 2 2 2 3" xfId="33352" xr:uid="{00000000-0005-0000-0000-0000C0120000}"/>
    <cellStyle name="Normal 3 2 2 3 4 2 2 2 2 2 3" xfId="20893" xr:uid="{00000000-0005-0000-0000-0000C1120000}"/>
    <cellStyle name="Normal 3 2 2 3 4 2 2 2 2 2 3 2" xfId="52764" xr:uid="{00000000-0005-0000-0000-0000C2120000}"/>
    <cellStyle name="Normal 3 2 2 3 4 2 2 2 2 2 4" xfId="33351" xr:uid="{00000000-0005-0000-0000-0000C3120000}"/>
    <cellStyle name="Normal 3 2 2 3 4 2 2 2 2 3" xfId="1474" xr:uid="{00000000-0005-0000-0000-0000C4120000}"/>
    <cellStyle name="Normal 3 2 2 3 4 2 2 2 2 3 2" xfId="24832" xr:uid="{00000000-0005-0000-0000-0000C5120000}"/>
    <cellStyle name="Normal 3 2 2 3 4 2 2 2 2 3 2 2" xfId="56703" xr:uid="{00000000-0005-0000-0000-0000C6120000}"/>
    <cellStyle name="Normal 3 2 2 3 4 2 2 2 2 3 3" xfId="33353" xr:uid="{00000000-0005-0000-0000-0000C7120000}"/>
    <cellStyle name="Normal 3 2 2 3 4 2 2 2 2 4" xfId="16954" xr:uid="{00000000-0005-0000-0000-0000C8120000}"/>
    <cellStyle name="Normal 3 2 2 3 4 2 2 2 2 4 2" xfId="48825" xr:uid="{00000000-0005-0000-0000-0000C9120000}"/>
    <cellStyle name="Normal 3 2 2 3 4 2 2 2 2 5" xfId="33350" xr:uid="{00000000-0005-0000-0000-0000CA120000}"/>
    <cellStyle name="Normal 3 2 2 3 4 2 2 2 3" xfId="1475" xr:uid="{00000000-0005-0000-0000-0000CB120000}"/>
    <cellStyle name="Normal 3 2 2 3 4 2 2 2 3 2" xfId="1476" xr:uid="{00000000-0005-0000-0000-0000CC120000}"/>
    <cellStyle name="Normal 3 2 2 3 4 2 2 2 3 2 2" xfId="28770" xr:uid="{00000000-0005-0000-0000-0000CD120000}"/>
    <cellStyle name="Normal 3 2 2 3 4 2 2 2 3 2 2 2" xfId="60641" xr:uid="{00000000-0005-0000-0000-0000CE120000}"/>
    <cellStyle name="Normal 3 2 2 3 4 2 2 2 3 2 3" xfId="33355" xr:uid="{00000000-0005-0000-0000-0000CF120000}"/>
    <cellStyle name="Normal 3 2 2 3 4 2 2 2 3 3" xfId="20892" xr:uid="{00000000-0005-0000-0000-0000D0120000}"/>
    <cellStyle name="Normal 3 2 2 3 4 2 2 2 3 3 2" xfId="52763" xr:uid="{00000000-0005-0000-0000-0000D1120000}"/>
    <cellStyle name="Normal 3 2 2 3 4 2 2 2 3 4" xfId="33354" xr:uid="{00000000-0005-0000-0000-0000D2120000}"/>
    <cellStyle name="Normal 3 2 2 3 4 2 2 2 4" xfId="1477" xr:uid="{00000000-0005-0000-0000-0000D3120000}"/>
    <cellStyle name="Normal 3 2 2 3 4 2 2 2 4 2" xfId="24831" xr:uid="{00000000-0005-0000-0000-0000D4120000}"/>
    <cellStyle name="Normal 3 2 2 3 4 2 2 2 4 2 2" xfId="56702" xr:uid="{00000000-0005-0000-0000-0000D5120000}"/>
    <cellStyle name="Normal 3 2 2 3 4 2 2 2 4 3" xfId="33356" xr:uid="{00000000-0005-0000-0000-0000D6120000}"/>
    <cellStyle name="Normal 3 2 2 3 4 2 2 2 5" xfId="16953" xr:uid="{00000000-0005-0000-0000-0000D7120000}"/>
    <cellStyle name="Normal 3 2 2 3 4 2 2 2 5 2" xfId="48824" xr:uid="{00000000-0005-0000-0000-0000D8120000}"/>
    <cellStyle name="Normal 3 2 2 3 4 2 2 2 6" xfId="33349" xr:uid="{00000000-0005-0000-0000-0000D9120000}"/>
    <cellStyle name="Normal 3 2 2 3 4 2 2 3" xfId="1478" xr:uid="{00000000-0005-0000-0000-0000DA120000}"/>
    <cellStyle name="Normal 3 2 2 3 4 2 2 3 2" xfId="1479" xr:uid="{00000000-0005-0000-0000-0000DB120000}"/>
    <cellStyle name="Normal 3 2 2 3 4 2 2 3 2 2" xfId="1480" xr:uid="{00000000-0005-0000-0000-0000DC120000}"/>
    <cellStyle name="Normal 3 2 2 3 4 2 2 3 2 2 2" xfId="28772" xr:uid="{00000000-0005-0000-0000-0000DD120000}"/>
    <cellStyle name="Normal 3 2 2 3 4 2 2 3 2 2 2 2" xfId="60643" xr:uid="{00000000-0005-0000-0000-0000DE120000}"/>
    <cellStyle name="Normal 3 2 2 3 4 2 2 3 2 2 3" xfId="33359" xr:uid="{00000000-0005-0000-0000-0000DF120000}"/>
    <cellStyle name="Normal 3 2 2 3 4 2 2 3 2 3" xfId="20894" xr:uid="{00000000-0005-0000-0000-0000E0120000}"/>
    <cellStyle name="Normal 3 2 2 3 4 2 2 3 2 3 2" xfId="52765" xr:uid="{00000000-0005-0000-0000-0000E1120000}"/>
    <cellStyle name="Normal 3 2 2 3 4 2 2 3 2 4" xfId="33358" xr:uid="{00000000-0005-0000-0000-0000E2120000}"/>
    <cellStyle name="Normal 3 2 2 3 4 2 2 3 3" xfId="1481" xr:uid="{00000000-0005-0000-0000-0000E3120000}"/>
    <cellStyle name="Normal 3 2 2 3 4 2 2 3 3 2" xfId="24833" xr:uid="{00000000-0005-0000-0000-0000E4120000}"/>
    <cellStyle name="Normal 3 2 2 3 4 2 2 3 3 2 2" xfId="56704" xr:uid="{00000000-0005-0000-0000-0000E5120000}"/>
    <cellStyle name="Normal 3 2 2 3 4 2 2 3 3 3" xfId="33360" xr:uid="{00000000-0005-0000-0000-0000E6120000}"/>
    <cellStyle name="Normal 3 2 2 3 4 2 2 3 4" xfId="16955" xr:uid="{00000000-0005-0000-0000-0000E7120000}"/>
    <cellStyle name="Normal 3 2 2 3 4 2 2 3 4 2" xfId="48826" xr:uid="{00000000-0005-0000-0000-0000E8120000}"/>
    <cellStyle name="Normal 3 2 2 3 4 2 2 3 5" xfId="33357" xr:uid="{00000000-0005-0000-0000-0000E9120000}"/>
    <cellStyle name="Normal 3 2 2 3 4 2 2 4" xfId="1482" xr:uid="{00000000-0005-0000-0000-0000EA120000}"/>
    <cellStyle name="Normal 3 2 2 3 4 2 2 4 2" xfId="1483" xr:uid="{00000000-0005-0000-0000-0000EB120000}"/>
    <cellStyle name="Normal 3 2 2 3 4 2 2 4 2 2" xfId="28769" xr:uid="{00000000-0005-0000-0000-0000EC120000}"/>
    <cellStyle name="Normal 3 2 2 3 4 2 2 4 2 2 2" xfId="60640" xr:uid="{00000000-0005-0000-0000-0000ED120000}"/>
    <cellStyle name="Normal 3 2 2 3 4 2 2 4 2 3" xfId="33362" xr:uid="{00000000-0005-0000-0000-0000EE120000}"/>
    <cellStyle name="Normal 3 2 2 3 4 2 2 4 3" xfId="20891" xr:uid="{00000000-0005-0000-0000-0000EF120000}"/>
    <cellStyle name="Normal 3 2 2 3 4 2 2 4 3 2" xfId="52762" xr:uid="{00000000-0005-0000-0000-0000F0120000}"/>
    <cellStyle name="Normal 3 2 2 3 4 2 2 4 4" xfId="33361" xr:uid="{00000000-0005-0000-0000-0000F1120000}"/>
    <cellStyle name="Normal 3 2 2 3 4 2 2 5" xfId="1484" xr:uid="{00000000-0005-0000-0000-0000F2120000}"/>
    <cellStyle name="Normal 3 2 2 3 4 2 2 5 2" xfId="24830" xr:uid="{00000000-0005-0000-0000-0000F3120000}"/>
    <cellStyle name="Normal 3 2 2 3 4 2 2 5 2 2" xfId="56701" xr:uid="{00000000-0005-0000-0000-0000F4120000}"/>
    <cellStyle name="Normal 3 2 2 3 4 2 2 5 3" xfId="33363" xr:uid="{00000000-0005-0000-0000-0000F5120000}"/>
    <cellStyle name="Normal 3 2 2 3 4 2 2 6" xfId="16952" xr:uid="{00000000-0005-0000-0000-0000F6120000}"/>
    <cellStyle name="Normal 3 2 2 3 4 2 2 6 2" xfId="48823" xr:uid="{00000000-0005-0000-0000-0000F7120000}"/>
    <cellStyle name="Normal 3 2 2 3 4 2 2 7" xfId="33348" xr:uid="{00000000-0005-0000-0000-0000F8120000}"/>
    <cellStyle name="Normal 3 2 2 3 4 2 3" xfId="1485" xr:uid="{00000000-0005-0000-0000-0000F9120000}"/>
    <cellStyle name="Normal 3 2 2 3 4 2 3 2" xfId="1486" xr:uid="{00000000-0005-0000-0000-0000FA120000}"/>
    <cellStyle name="Normal 3 2 2 3 4 2 3 2 2" xfId="1487" xr:uid="{00000000-0005-0000-0000-0000FB120000}"/>
    <cellStyle name="Normal 3 2 2 3 4 2 3 2 2 2" xfId="1488" xr:uid="{00000000-0005-0000-0000-0000FC120000}"/>
    <cellStyle name="Normal 3 2 2 3 4 2 3 2 2 2 2" xfId="28774" xr:uid="{00000000-0005-0000-0000-0000FD120000}"/>
    <cellStyle name="Normal 3 2 2 3 4 2 3 2 2 2 2 2" xfId="60645" xr:uid="{00000000-0005-0000-0000-0000FE120000}"/>
    <cellStyle name="Normal 3 2 2 3 4 2 3 2 2 2 3" xfId="33367" xr:uid="{00000000-0005-0000-0000-0000FF120000}"/>
    <cellStyle name="Normal 3 2 2 3 4 2 3 2 2 3" xfId="20896" xr:uid="{00000000-0005-0000-0000-000000130000}"/>
    <cellStyle name="Normal 3 2 2 3 4 2 3 2 2 3 2" xfId="52767" xr:uid="{00000000-0005-0000-0000-000001130000}"/>
    <cellStyle name="Normal 3 2 2 3 4 2 3 2 2 4" xfId="33366" xr:uid="{00000000-0005-0000-0000-000002130000}"/>
    <cellStyle name="Normal 3 2 2 3 4 2 3 2 3" xfId="1489" xr:uid="{00000000-0005-0000-0000-000003130000}"/>
    <cellStyle name="Normal 3 2 2 3 4 2 3 2 3 2" xfId="24835" xr:uid="{00000000-0005-0000-0000-000004130000}"/>
    <cellStyle name="Normal 3 2 2 3 4 2 3 2 3 2 2" xfId="56706" xr:uid="{00000000-0005-0000-0000-000005130000}"/>
    <cellStyle name="Normal 3 2 2 3 4 2 3 2 3 3" xfId="33368" xr:uid="{00000000-0005-0000-0000-000006130000}"/>
    <cellStyle name="Normal 3 2 2 3 4 2 3 2 4" xfId="16957" xr:uid="{00000000-0005-0000-0000-000007130000}"/>
    <cellStyle name="Normal 3 2 2 3 4 2 3 2 4 2" xfId="48828" xr:uid="{00000000-0005-0000-0000-000008130000}"/>
    <cellStyle name="Normal 3 2 2 3 4 2 3 2 5" xfId="33365" xr:uid="{00000000-0005-0000-0000-000009130000}"/>
    <cellStyle name="Normal 3 2 2 3 4 2 3 3" xfId="1490" xr:uid="{00000000-0005-0000-0000-00000A130000}"/>
    <cellStyle name="Normal 3 2 2 3 4 2 3 3 2" xfId="1491" xr:uid="{00000000-0005-0000-0000-00000B130000}"/>
    <cellStyle name="Normal 3 2 2 3 4 2 3 3 2 2" xfId="28773" xr:uid="{00000000-0005-0000-0000-00000C130000}"/>
    <cellStyle name="Normal 3 2 2 3 4 2 3 3 2 2 2" xfId="60644" xr:uid="{00000000-0005-0000-0000-00000D130000}"/>
    <cellStyle name="Normal 3 2 2 3 4 2 3 3 2 3" xfId="33370" xr:uid="{00000000-0005-0000-0000-00000E130000}"/>
    <cellStyle name="Normal 3 2 2 3 4 2 3 3 3" xfId="20895" xr:uid="{00000000-0005-0000-0000-00000F130000}"/>
    <cellStyle name="Normal 3 2 2 3 4 2 3 3 3 2" xfId="52766" xr:uid="{00000000-0005-0000-0000-000010130000}"/>
    <cellStyle name="Normal 3 2 2 3 4 2 3 3 4" xfId="33369" xr:uid="{00000000-0005-0000-0000-000011130000}"/>
    <cellStyle name="Normal 3 2 2 3 4 2 3 4" xfId="1492" xr:uid="{00000000-0005-0000-0000-000012130000}"/>
    <cellStyle name="Normal 3 2 2 3 4 2 3 4 2" xfId="24834" xr:uid="{00000000-0005-0000-0000-000013130000}"/>
    <cellStyle name="Normal 3 2 2 3 4 2 3 4 2 2" xfId="56705" xr:uid="{00000000-0005-0000-0000-000014130000}"/>
    <cellStyle name="Normal 3 2 2 3 4 2 3 4 3" xfId="33371" xr:uid="{00000000-0005-0000-0000-000015130000}"/>
    <cellStyle name="Normal 3 2 2 3 4 2 3 5" xfId="16956" xr:uid="{00000000-0005-0000-0000-000016130000}"/>
    <cellStyle name="Normal 3 2 2 3 4 2 3 5 2" xfId="48827" xr:uid="{00000000-0005-0000-0000-000017130000}"/>
    <cellStyle name="Normal 3 2 2 3 4 2 3 6" xfId="33364" xr:uid="{00000000-0005-0000-0000-000018130000}"/>
    <cellStyle name="Normal 3 2 2 3 4 2 4" xfId="1493" xr:uid="{00000000-0005-0000-0000-000019130000}"/>
    <cellStyle name="Normal 3 2 2 3 4 2 4 2" xfId="1494" xr:uid="{00000000-0005-0000-0000-00001A130000}"/>
    <cellStyle name="Normal 3 2 2 3 4 2 4 2 2" xfId="1495" xr:uid="{00000000-0005-0000-0000-00001B130000}"/>
    <cellStyle name="Normal 3 2 2 3 4 2 4 2 2 2" xfId="28775" xr:uid="{00000000-0005-0000-0000-00001C130000}"/>
    <cellStyle name="Normal 3 2 2 3 4 2 4 2 2 2 2" xfId="60646" xr:uid="{00000000-0005-0000-0000-00001D130000}"/>
    <cellStyle name="Normal 3 2 2 3 4 2 4 2 2 3" xfId="33374" xr:uid="{00000000-0005-0000-0000-00001E130000}"/>
    <cellStyle name="Normal 3 2 2 3 4 2 4 2 3" xfId="20897" xr:uid="{00000000-0005-0000-0000-00001F130000}"/>
    <cellStyle name="Normal 3 2 2 3 4 2 4 2 3 2" xfId="52768" xr:uid="{00000000-0005-0000-0000-000020130000}"/>
    <cellStyle name="Normal 3 2 2 3 4 2 4 2 4" xfId="33373" xr:uid="{00000000-0005-0000-0000-000021130000}"/>
    <cellStyle name="Normal 3 2 2 3 4 2 4 3" xfId="1496" xr:uid="{00000000-0005-0000-0000-000022130000}"/>
    <cellStyle name="Normal 3 2 2 3 4 2 4 3 2" xfId="24836" xr:uid="{00000000-0005-0000-0000-000023130000}"/>
    <cellStyle name="Normal 3 2 2 3 4 2 4 3 2 2" xfId="56707" xr:uid="{00000000-0005-0000-0000-000024130000}"/>
    <cellStyle name="Normal 3 2 2 3 4 2 4 3 3" xfId="33375" xr:uid="{00000000-0005-0000-0000-000025130000}"/>
    <cellStyle name="Normal 3 2 2 3 4 2 4 4" xfId="16958" xr:uid="{00000000-0005-0000-0000-000026130000}"/>
    <cellStyle name="Normal 3 2 2 3 4 2 4 4 2" xfId="48829" xr:uid="{00000000-0005-0000-0000-000027130000}"/>
    <cellStyle name="Normal 3 2 2 3 4 2 4 5" xfId="33372" xr:uid="{00000000-0005-0000-0000-000028130000}"/>
    <cellStyle name="Normal 3 2 2 3 4 2 5" xfId="1497" xr:uid="{00000000-0005-0000-0000-000029130000}"/>
    <cellStyle name="Normal 3 2 2 3 4 2 5 2" xfId="1498" xr:uid="{00000000-0005-0000-0000-00002A130000}"/>
    <cellStyle name="Normal 3 2 2 3 4 2 5 2 2" xfId="28768" xr:uid="{00000000-0005-0000-0000-00002B130000}"/>
    <cellStyle name="Normal 3 2 2 3 4 2 5 2 2 2" xfId="60639" xr:uid="{00000000-0005-0000-0000-00002C130000}"/>
    <cellStyle name="Normal 3 2 2 3 4 2 5 2 3" xfId="33377" xr:uid="{00000000-0005-0000-0000-00002D130000}"/>
    <cellStyle name="Normal 3 2 2 3 4 2 5 3" xfId="20890" xr:uid="{00000000-0005-0000-0000-00002E130000}"/>
    <cellStyle name="Normal 3 2 2 3 4 2 5 3 2" xfId="52761" xr:uid="{00000000-0005-0000-0000-00002F130000}"/>
    <cellStyle name="Normal 3 2 2 3 4 2 5 4" xfId="33376" xr:uid="{00000000-0005-0000-0000-000030130000}"/>
    <cellStyle name="Normal 3 2 2 3 4 2 6" xfId="1499" xr:uid="{00000000-0005-0000-0000-000031130000}"/>
    <cellStyle name="Normal 3 2 2 3 4 2 6 2" xfId="24829" xr:uid="{00000000-0005-0000-0000-000032130000}"/>
    <cellStyle name="Normal 3 2 2 3 4 2 6 2 2" xfId="56700" xr:uid="{00000000-0005-0000-0000-000033130000}"/>
    <cellStyle name="Normal 3 2 2 3 4 2 6 3" xfId="33378" xr:uid="{00000000-0005-0000-0000-000034130000}"/>
    <cellStyle name="Normal 3 2 2 3 4 2 7" xfId="16951" xr:uid="{00000000-0005-0000-0000-000035130000}"/>
    <cellStyle name="Normal 3 2 2 3 4 2 7 2" xfId="48822" xr:uid="{00000000-0005-0000-0000-000036130000}"/>
    <cellStyle name="Normal 3 2 2 3 4 2 8" xfId="33347" xr:uid="{00000000-0005-0000-0000-000037130000}"/>
    <cellStyle name="Normal 3 2 2 3 4 3" xfId="1500" xr:uid="{00000000-0005-0000-0000-000038130000}"/>
    <cellStyle name="Normal 3 2 2 3 4 3 2" xfId="1501" xr:uid="{00000000-0005-0000-0000-000039130000}"/>
    <cellStyle name="Normal 3 2 2 3 4 3 2 2" xfId="1502" xr:uid="{00000000-0005-0000-0000-00003A130000}"/>
    <cellStyle name="Normal 3 2 2 3 4 3 2 2 2" xfId="1503" xr:uid="{00000000-0005-0000-0000-00003B130000}"/>
    <cellStyle name="Normal 3 2 2 3 4 3 2 2 2 2" xfId="1504" xr:uid="{00000000-0005-0000-0000-00003C130000}"/>
    <cellStyle name="Normal 3 2 2 3 4 3 2 2 2 2 2" xfId="28778" xr:uid="{00000000-0005-0000-0000-00003D130000}"/>
    <cellStyle name="Normal 3 2 2 3 4 3 2 2 2 2 2 2" xfId="60649" xr:uid="{00000000-0005-0000-0000-00003E130000}"/>
    <cellStyle name="Normal 3 2 2 3 4 3 2 2 2 2 3" xfId="33383" xr:uid="{00000000-0005-0000-0000-00003F130000}"/>
    <cellStyle name="Normal 3 2 2 3 4 3 2 2 2 3" xfId="20900" xr:uid="{00000000-0005-0000-0000-000040130000}"/>
    <cellStyle name="Normal 3 2 2 3 4 3 2 2 2 3 2" xfId="52771" xr:uid="{00000000-0005-0000-0000-000041130000}"/>
    <cellStyle name="Normal 3 2 2 3 4 3 2 2 2 4" xfId="33382" xr:uid="{00000000-0005-0000-0000-000042130000}"/>
    <cellStyle name="Normal 3 2 2 3 4 3 2 2 3" xfId="1505" xr:uid="{00000000-0005-0000-0000-000043130000}"/>
    <cellStyle name="Normal 3 2 2 3 4 3 2 2 3 2" xfId="24839" xr:uid="{00000000-0005-0000-0000-000044130000}"/>
    <cellStyle name="Normal 3 2 2 3 4 3 2 2 3 2 2" xfId="56710" xr:uid="{00000000-0005-0000-0000-000045130000}"/>
    <cellStyle name="Normal 3 2 2 3 4 3 2 2 3 3" xfId="33384" xr:uid="{00000000-0005-0000-0000-000046130000}"/>
    <cellStyle name="Normal 3 2 2 3 4 3 2 2 4" xfId="16961" xr:uid="{00000000-0005-0000-0000-000047130000}"/>
    <cellStyle name="Normal 3 2 2 3 4 3 2 2 4 2" xfId="48832" xr:uid="{00000000-0005-0000-0000-000048130000}"/>
    <cellStyle name="Normal 3 2 2 3 4 3 2 2 5" xfId="33381" xr:uid="{00000000-0005-0000-0000-000049130000}"/>
    <cellStyle name="Normal 3 2 2 3 4 3 2 3" xfId="1506" xr:uid="{00000000-0005-0000-0000-00004A130000}"/>
    <cellStyle name="Normal 3 2 2 3 4 3 2 3 2" xfId="1507" xr:uid="{00000000-0005-0000-0000-00004B130000}"/>
    <cellStyle name="Normal 3 2 2 3 4 3 2 3 2 2" xfId="28777" xr:uid="{00000000-0005-0000-0000-00004C130000}"/>
    <cellStyle name="Normal 3 2 2 3 4 3 2 3 2 2 2" xfId="60648" xr:uid="{00000000-0005-0000-0000-00004D130000}"/>
    <cellStyle name="Normal 3 2 2 3 4 3 2 3 2 3" xfId="33386" xr:uid="{00000000-0005-0000-0000-00004E130000}"/>
    <cellStyle name="Normal 3 2 2 3 4 3 2 3 3" xfId="20899" xr:uid="{00000000-0005-0000-0000-00004F130000}"/>
    <cellStyle name="Normal 3 2 2 3 4 3 2 3 3 2" xfId="52770" xr:uid="{00000000-0005-0000-0000-000050130000}"/>
    <cellStyle name="Normal 3 2 2 3 4 3 2 3 4" xfId="33385" xr:uid="{00000000-0005-0000-0000-000051130000}"/>
    <cellStyle name="Normal 3 2 2 3 4 3 2 4" xfId="1508" xr:uid="{00000000-0005-0000-0000-000052130000}"/>
    <cellStyle name="Normal 3 2 2 3 4 3 2 4 2" xfId="24838" xr:uid="{00000000-0005-0000-0000-000053130000}"/>
    <cellStyle name="Normal 3 2 2 3 4 3 2 4 2 2" xfId="56709" xr:uid="{00000000-0005-0000-0000-000054130000}"/>
    <cellStyle name="Normal 3 2 2 3 4 3 2 4 3" xfId="33387" xr:uid="{00000000-0005-0000-0000-000055130000}"/>
    <cellStyle name="Normal 3 2 2 3 4 3 2 5" xfId="16960" xr:uid="{00000000-0005-0000-0000-000056130000}"/>
    <cellStyle name="Normal 3 2 2 3 4 3 2 5 2" xfId="48831" xr:uid="{00000000-0005-0000-0000-000057130000}"/>
    <cellStyle name="Normal 3 2 2 3 4 3 2 6" xfId="33380" xr:uid="{00000000-0005-0000-0000-000058130000}"/>
    <cellStyle name="Normal 3 2 2 3 4 3 3" xfId="1509" xr:uid="{00000000-0005-0000-0000-000059130000}"/>
    <cellStyle name="Normal 3 2 2 3 4 3 3 2" xfId="1510" xr:uid="{00000000-0005-0000-0000-00005A130000}"/>
    <cellStyle name="Normal 3 2 2 3 4 3 3 2 2" xfId="1511" xr:uid="{00000000-0005-0000-0000-00005B130000}"/>
    <cellStyle name="Normal 3 2 2 3 4 3 3 2 2 2" xfId="28779" xr:uid="{00000000-0005-0000-0000-00005C130000}"/>
    <cellStyle name="Normal 3 2 2 3 4 3 3 2 2 2 2" xfId="60650" xr:uid="{00000000-0005-0000-0000-00005D130000}"/>
    <cellStyle name="Normal 3 2 2 3 4 3 3 2 2 3" xfId="33390" xr:uid="{00000000-0005-0000-0000-00005E130000}"/>
    <cellStyle name="Normal 3 2 2 3 4 3 3 2 3" xfId="20901" xr:uid="{00000000-0005-0000-0000-00005F130000}"/>
    <cellStyle name="Normal 3 2 2 3 4 3 3 2 3 2" xfId="52772" xr:uid="{00000000-0005-0000-0000-000060130000}"/>
    <cellStyle name="Normal 3 2 2 3 4 3 3 2 4" xfId="33389" xr:uid="{00000000-0005-0000-0000-000061130000}"/>
    <cellStyle name="Normal 3 2 2 3 4 3 3 3" xfId="1512" xr:uid="{00000000-0005-0000-0000-000062130000}"/>
    <cellStyle name="Normal 3 2 2 3 4 3 3 3 2" xfId="24840" xr:uid="{00000000-0005-0000-0000-000063130000}"/>
    <cellStyle name="Normal 3 2 2 3 4 3 3 3 2 2" xfId="56711" xr:uid="{00000000-0005-0000-0000-000064130000}"/>
    <cellStyle name="Normal 3 2 2 3 4 3 3 3 3" xfId="33391" xr:uid="{00000000-0005-0000-0000-000065130000}"/>
    <cellStyle name="Normal 3 2 2 3 4 3 3 4" xfId="16962" xr:uid="{00000000-0005-0000-0000-000066130000}"/>
    <cellStyle name="Normal 3 2 2 3 4 3 3 4 2" xfId="48833" xr:uid="{00000000-0005-0000-0000-000067130000}"/>
    <cellStyle name="Normal 3 2 2 3 4 3 3 5" xfId="33388" xr:uid="{00000000-0005-0000-0000-000068130000}"/>
    <cellStyle name="Normal 3 2 2 3 4 3 4" xfId="1513" xr:uid="{00000000-0005-0000-0000-000069130000}"/>
    <cellStyle name="Normal 3 2 2 3 4 3 4 2" xfId="1514" xr:uid="{00000000-0005-0000-0000-00006A130000}"/>
    <cellStyle name="Normal 3 2 2 3 4 3 4 2 2" xfId="28776" xr:uid="{00000000-0005-0000-0000-00006B130000}"/>
    <cellStyle name="Normal 3 2 2 3 4 3 4 2 2 2" xfId="60647" xr:uid="{00000000-0005-0000-0000-00006C130000}"/>
    <cellStyle name="Normal 3 2 2 3 4 3 4 2 3" xfId="33393" xr:uid="{00000000-0005-0000-0000-00006D130000}"/>
    <cellStyle name="Normal 3 2 2 3 4 3 4 3" xfId="20898" xr:uid="{00000000-0005-0000-0000-00006E130000}"/>
    <cellStyle name="Normal 3 2 2 3 4 3 4 3 2" xfId="52769" xr:uid="{00000000-0005-0000-0000-00006F130000}"/>
    <cellStyle name="Normal 3 2 2 3 4 3 4 4" xfId="33392" xr:uid="{00000000-0005-0000-0000-000070130000}"/>
    <cellStyle name="Normal 3 2 2 3 4 3 5" xfId="1515" xr:uid="{00000000-0005-0000-0000-000071130000}"/>
    <cellStyle name="Normal 3 2 2 3 4 3 5 2" xfId="24837" xr:uid="{00000000-0005-0000-0000-000072130000}"/>
    <cellStyle name="Normal 3 2 2 3 4 3 5 2 2" xfId="56708" xr:uid="{00000000-0005-0000-0000-000073130000}"/>
    <cellStyle name="Normal 3 2 2 3 4 3 5 3" xfId="33394" xr:uid="{00000000-0005-0000-0000-000074130000}"/>
    <cellStyle name="Normal 3 2 2 3 4 3 6" xfId="16959" xr:uid="{00000000-0005-0000-0000-000075130000}"/>
    <cellStyle name="Normal 3 2 2 3 4 3 6 2" xfId="48830" xr:uid="{00000000-0005-0000-0000-000076130000}"/>
    <cellStyle name="Normal 3 2 2 3 4 3 7" xfId="33379" xr:uid="{00000000-0005-0000-0000-000077130000}"/>
    <cellStyle name="Normal 3 2 2 3 4 4" xfId="1516" xr:uid="{00000000-0005-0000-0000-000078130000}"/>
    <cellStyle name="Normal 3 2 2 3 4 4 2" xfId="1517" xr:uid="{00000000-0005-0000-0000-000079130000}"/>
    <cellStyle name="Normal 3 2 2 3 4 4 2 2" xfId="1518" xr:uid="{00000000-0005-0000-0000-00007A130000}"/>
    <cellStyle name="Normal 3 2 2 3 4 4 2 2 2" xfId="1519" xr:uid="{00000000-0005-0000-0000-00007B130000}"/>
    <cellStyle name="Normal 3 2 2 3 4 4 2 2 2 2" xfId="28781" xr:uid="{00000000-0005-0000-0000-00007C130000}"/>
    <cellStyle name="Normal 3 2 2 3 4 4 2 2 2 2 2" xfId="60652" xr:uid="{00000000-0005-0000-0000-00007D130000}"/>
    <cellStyle name="Normal 3 2 2 3 4 4 2 2 2 3" xfId="33398" xr:uid="{00000000-0005-0000-0000-00007E130000}"/>
    <cellStyle name="Normal 3 2 2 3 4 4 2 2 3" xfId="20903" xr:uid="{00000000-0005-0000-0000-00007F130000}"/>
    <cellStyle name="Normal 3 2 2 3 4 4 2 2 3 2" xfId="52774" xr:uid="{00000000-0005-0000-0000-000080130000}"/>
    <cellStyle name="Normal 3 2 2 3 4 4 2 2 4" xfId="33397" xr:uid="{00000000-0005-0000-0000-000081130000}"/>
    <cellStyle name="Normal 3 2 2 3 4 4 2 3" xfId="1520" xr:uid="{00000000-0005-0000-0000-000082130000}"/>
    <cellStyle name="Normal 3 2 2 3 4 4 2 3 2" xfId="24842" xr:uid="{00000000-0005-0000-0000-000083130000}"/>
    <cellStyle name="Normal 3 2 2 3 4 4 2 3 2 2" xfId="56713" xr:uid="{00000000-0005-0000-0000-000084130000}"/>
    <cellStyle name="Normal 3 2 2 3 4 4 2 3 3" xfId="33399" xr:uid="{00000000-0005-0000-0000-000085130000}"/>
    <cellStyle name="Normal 3 2 2 3 4 4 2 4" xfId="16964" xr:uid="{00000000-0005-0000-0000-000086130000}"/>
    <cellStyle name="Normal 3 2 2 3 4 4 2 4 2" xfId="48835" xr:uid="{00000000-0005-0000-0000-000087130000}"/>
    <cellStyle name="Normal 3 2 2 3 4 4 2 5" xfId="33396" xr:uid="{00000000-0005-0000-0000-000088130000}"/>
    <cellStyle name="Normal 3 2 2 3 4 4 3" xfId="1521" xr:uid="{00000000-0005-0000-0000-000089130000}"/>
    <cellStyle name="Normal 3 2 2 3 4 4 3 2" xfId="1522" xr:uid="{00000000-0005-0000-0000-00008A130000}"/>
    <cellStyle name="Normal 3 2 2 3 4 4 3 2 2" xfId="28780" xr:uid="{00000000-0005-0000-0000-00008B130000}"/>
    <cellStyle name="Normal 3 2 2 3 4 4 3 2 2 2" xfId="60651" xr:uid="{00000000-0005-0000-0000-00008C130000}"/>
    <cellStyle name="Normal 3 2 2 3 4 4 3 2 3" xfId="33401" xr:uid="{00000000-0005-0000-0000-00008D130000}"/>
    <cellStyle name="Normal 3 2 2 3 4 4 3 3" xfId="20902" xr:uid="{00000000-0005-0000-0000-00008E130000}"/>
    <cellStyle name="Normal 3 2 2 3 4 4 3 3 2" xfId="52773" xr:uid="{00000000-0005-0000-0000-00008F130000}"/>
    <cellStyle name="Normal 3 2 2 3 4 4 3 4" xfId="33400" xr:uid="{00000000-0005-0000-0000-000090130000}"/>
    <cellStyle name="Normal 3 2 2 3 4 4 4" xfId="1523" xr:uid="{00000000-0005-0000-0000-000091130000}"/>
    <cellStyle name="Normal 3 2 2 3 4 4 4 2" xfId="24841" xr:uid="{00000000-0005-0000-0000-000092130000}"/>
    <cellStyle name="Normal 3 2 2 3 4 4 4 2 2" xfId="56712" xr:uid="{00000000-0005-0000-0000-000093130000}"/>
    <cellStyle name="Normal 3 2 2 3 4 4 4 3" xfId="33402" xr:uid="{00000000-0005-0000-0000-000094130000}"/>
    <cellStyle name="Normal 3 2 2 3 4 4 5" xfId="16963" xr:uid="{00000000-0005-0000-0000-000095130000}"/>
    <cellStyle name="Normal 3 2 2 3 4 4 5 2" xfId="48834" xr:uid="{00000000-0005-0000-0000-000096130000}"/>
    <cellStyle name="Normal 3 2 2 3 4 4 6" xfId="33395" xr:uid="{00000000-0005-0000-0000-000097130000}"/>
    <cellStyle name="Normal 3 2 2 3 4 5" xfId="1524" xr:uid="{00000000-0005-0000-0000-000098130000}"/>
    <cellStyle name="Normal 3 2 2 3 4 5 2" xfId="1525" xr:uid="{00000000-0005-0000-0000-000099130000}"/>
    <cellStyle name="Normal 3 2 2 3 4 5 2 2" xfId="1526" xr:uid="{00000000-0005-0000-0000-00009A130000}"/>
    <cellStyle name="Normal 3 2 2 3 4 5 2 2 2" xfId="28782" xr:uid="{00000000-0005-0000-0000-00009B130000}"/>
    <cellStyle name="Normal 3 2 2 3 4 5 2 2 2 2" xfId="60653" xr:uid="{00000000-0005-0000-0000-00009C130000}"/>
    <cellStyle name="Normal 3 2 2 3 4 5 2 2 3" xfId="33405" xr:uid="{00000000-0005-0000-0000-00009D130000}"/>
    <cellStyle name="Normal 3 2 2 3 4 5 2 3" xfId="20904" xr:uid="{00000000-0005-0000-0000-00009E130000}"/>
    <cellStyle name="Normal 3 2 2 3 4 5 2 3 2" xfId="52775" xr:uid="{00000000-0005-0000-0000-00009F130000}"/>
    <cellStyle name="Normal 3 2 2 3 4 5 2 4" xfId="33404" xr:uid="{00000000-0005-0000-0000-0000A0130000}"/>
    <cellStyle name="Normal 3 2 2 3 4 5 3" xfId="1527" xr:uid="{00000000-0005-0000-0000-0000A1130000}"/>
    <cellStyle name="Normal 3 2 2 3 4 5 3 2" xfId="24843" xr:uid="{00000000-0005-0000-0000-0000A2130000}"/>
    <cellStyle name="Normal 3 2 2 3 4 5 3 2 2" xfId="56714" xr:uid="{00000000-0005-0000-0000-0000A3130000}"/>
    <cellStyle name="Normal 3 2 2 3 4 5 3 3" xfId="33406" xr:uid="{00000000-0005-0000-0000-0000A4130000}"/>
    <cellStyle name="Normal 3 2 2 3 4 5 4" xfId="16965" xr:uid="{00000000-0005-0000-0000-0000A5130000}"/>
    <cellStyle name="Normal 3 2 2 3 4 5 4 2" xfId="48836" xr:uid="{00000000-0005-0000-0000-0000A6130000}"/>
    <cellStyle name="Normal 3 2 2 3 4 5 5" xfId="33403" xr:uid="{00000000-0005-0000-0000-0000A7130000}"/>
    <cellStyle name="Normal 3 2 2 3 4 6" xfId="1528" xr:uid="{00000000-0005-0000-0000-0000A8130000}"/>
    <cellStyle name="Normal 3 2 2 3 4 6 2" xfId="1529" xr:uid="{00000000-0005-0000-0000-0000A9130000}"/>
    <cellStyle name="Normal 3 2 2 3 4 6 2 2" xfId="28419" xr:uid="{00000000-0005-0000-0000-0000AA130000}"/>
    <cellStyle name="Normal 3 2 2 3 4 6 2 2 2" xfId="60290" xr:uid="{00000000-0005-0000-0000-0000AB130000}"/>
    <cellStyle name="Normal 3 2 2 3 4 6 2 3" xfId="33408" xr:uid="{00000000-0005-0000-0000-0000AC130000}"/>
    <cellStyle name="Normal 3 2 2 3 4 6 3" xfId="20541" xr:uid="{00000000-0005-0000-0000-0000AD130000}"/>
    <cellStyle name="Normal 3 2 2 3 4 6 3 2" xfId="52412" xr:uid="{00000000-0005-0000-0000-0000AE130000}"/>
    <cellStyle name="Normal 3 2 2 3 4 6 4" xfId="33407" xr:uid="{00000000-0005-0000-0000-0000AF130000}"/>
    <cellStyle name="Normal 3 2 2 3 4 7" xfId="1530" xr:uid="{00000000-0005-0000-0000-0000B0130000}"/>
    <cellStyle name="Normal 3 2 2 3 4 7 2" xfId="24480" xr:uid="{00000000-0005-0000-0000-0000B1130000}"/>
    <cellStyle name="Normal 3 2 2 3 4 7 2 2" xfId="56351" xr:uid="{00000000-0005-0000-0000-0000B2130000}"/>
    <cellStyle name="Normal 3 2 2 3 4 7 3" xfId="33409" xr:uid="{00000000-0005-0000-0000-0000B3130000}"/>
    <cellStyle name="Normal 3 2 2 3 4 8" xfId="16602" xr:uid="{00000000-0005-0000-0000-0000B4130000}"/>
    <cellStyle name="Normal 3 2 2 3 4 8 2" xfId="48473" xr:uid="{00000000-0005-0000-0000-0000B5130000}"/>
    <cellStyle name="Normal 3 2 2 3 4 9" xfId="33346" xr:uid="{00000000-0005-0000-0000-0000B6130000}"/>
    <cellStyle name="Normal 3 2 2 3 5" xfId="1531" xr:uid="{00000000-0005-0000-0000-0000B7130000}"/>
    <cellStyle name="Normal 3 2 2 3 5 2" xfId="1532" xr:uid="{00000000-0005-0000-0000-0000B8130000}"/>
    <cellStyle name="Normal 3 2 2 3 5 2 2" xfId="1533" xr:uid="{00000000-0005-0000-0000-0000B9130000}"/>
    <cellStyle name="Normal 3 2 2 3 5 2 2 2" xfId="1534" xr:uid="{00000000-0005-0000-0000-0000BA130000}"/>
    <cellStyle name="Normal 3 2 2 3 5 2 2 2 2" xfId="1535" xr:uid="{00000000-0005-0000-0000-0000BB130000}"/>
    <cellStyle name="Normal 3 2 2 3 5 2 2 2 2 2" xfId="1536" xr:uid="{00000000-0005-0000-0000-0000BC130000}"/>
    <cellStyle name="Normal 3 2 2 3 5 2 2 2 2 2 2" xfId="28785" xr:uid="{00000000-0005-0000-0000-0000BD130000}"/>
    <cellStyle name="Normal 3 2 2 3 5 2 2 2 2 2 2 2" xfId="60656" xr:uid="{00000000-0005-0000-0000-0000BE130000}"/>
    <cellStyle name="Normal 3 2 2 3 5 2 2 2 2 2 3" xfId="33415" xr:uid="{00000000-0005-0000-0000-0000BF130000}"/>
    <cellStyle name="Normal 3 2 2 3 5 2 2 2 2 3" xfId="20907" xr:uid="{00000000-0005-0000-0000-0000C0130000}"/>
    <cellStyle name="Normal 3 2 2 3 5 2 2 2 2 3 2" xfId="52778" xr:uid="{00000000-0005-0000-0000-0000C1130000}"/>
    <cellStyle name="Normal 3 2 2 3 5 2 2 2 2 4" xfId="33414" xr:uid="{00000000-0005-0000-0000-0000C2130000}"/>
    <cellStyle name="Normal 3 2 2 3 5 2 2 2 3" xfId="1537" xr:uid="{00000000-0005-0000-0000-0000C3130000}"/>
    <cellStyle name="Normal 3 2 2 3 5 2 2 2 3 2" xfId="24846" xr:uid="{00000000-0005-0000-0000-0000C4130000}"/>
    <cellStyle name="Normal 3 2 2 3 5 2 2 2 3 2 2" xfId="56717" xr:uid="{00000000-0005-0000-0000-0000C5130000}"/>
    <cellStyle name="Normal 3 2 2 3 5 2 2 2 3 3" xfId="33416" xr:uid="{00000000-0005-0000-0000-0000C6130000}"/>
    <cellStyle name="Normal 3 2 2 3 5 2 2 2 4" xfId="16968" xr:uid="{00000000-0005-0000-0000-0000C7130000}"/>
    <cellStyle name="Normal 3 2 2 3 5 2 2 2 4 2" xfId="48839" xr:uid="{00000000-0005-0000-0000-0000C8130000}"/>
    <cellStyle name="Normal 3 2 2 3 5 2 2 2 5" xfId="33413" xr:uid="{00000000-0005-0000-0000-0000C9130000}"/>
    <cellStyle name="Normal 3 2 2 3 5 2 2 3" xfId="1538" xr:uid="{00000000-0005-0000-0000-0000CA130000}"/>
    <cellStyle name="Normal 3 2 2 3 5 2 2 3 2" xfId="1539" xr:uid="{00000000-0005-0000-0000-0000CB130000}"/>
    <cellStyle name="Normal 3 2 2 3 5 2 2 3 2 2" xfId="28784" xr:uid="{00000000-0005-0000-0000-0000CC130000}"/>
    <cellStyle name="Normal 3 2 2 3 5 2 2 3 2 2 2" xfId="60655" xr:uid="{00000000-0005-0000-0000-0000CD130000}"/>
    <cellStyle name="Normal 3 2 2 3 5 2 2 3 2 3" xfId="33418" xr:uid="{00000000-0005-0000-0000-0000CE130000}"/>
    <cellStyle name="Normal 3 2 2 3 5 2 2 3 3" xfId="20906" xr:uid="{00000000-0005-0000-0000-0000CF130000}"/>
    <cellStyle name="Normal 3 2 2 3 5 2 2 3 3 2" xfId="52777" xr:uid="{00000000-0005-0000-0000-0000D0130000}"/>
    <cellStyle name="Normal 3 2 2 3 5 2 2 3 4" xfId="33417" xr:uid="{00000000-0005-0000-0000-0000D1130000}"/>
    <cellStyle name="Normal 3 2 2 3 5 2 2 4" xfId="1540" xr:uid="{00000000-0005-0000-0000-0000D2130000}"/>
    <cellStyle name="Normal 3 2 2 3 5 2 2 4 2" xfId="24845" xr:uid="{00000000-0005-0000-0000-0000D3130000}"/>
    <cellStyle name="Normal 3 2 2 3 5 2 2 4 2 2" xfId="56716" xr:uid="{00000000-0005-0000-0000-0000D4130000}"/>
    <cellStyle name="Normal 3 2 2 3 5 2 2 4 3" xfId="33419" xr:uid="{00000000-0005-0000-0000-0000D5130000}"/>
    <cellStyle name="Normal 3 2 2 3 5 2 2 5" xfId="16967" xr:uid="{00000000-0005-0000-0000-0000D6130000}"/>
    <cellStyle name="Normal 3 2 2 3 5 2 2 5 2" xfId="48838" xr:uid="{00000000-0005-0000-0000-0000D7130000}"/>
    <cellStyle name="Normal 3 2 2 3 5 2 2 6" xfId="33412" xr:uid="{00000000-0005-0000-0000-0000D8130000}"/>
    <cellStyle name="Normal 3 2 2 3 5 2 3" xfId="1541" xr:uid="{00000000-0005-0000-0000-0000D9130000}"/>
    <cellStyle name="Normal 3 2 2 3 5 2 3 2" xfId="1542" xr:uid="{00000000-0005-0000-0000-0000DA130000}"/>
    <cellStyle name="Normal 3 2 2 3 5 2 3 2 2" xfId="1543" xr:uid="{00000000-0005-0000-0000-0000DB130000}"/>
    <cellStyle name="Normal 3 2 2 3 5 2 3 2 2 2" xfId="28786" xr:uid="{00000000-0005-0000-0000-0000DC130000}"/>
    <cellStyle name="Normal 3 2 2 3 5 2 3 2 2 2 2" xfId="60657" xr:uid="{00000000-0005-0000-0000-0000DD130000}"/>
    <cellStyle name="Normal 3 2 2 3 5 2 3 2 2 3" xfId="33422" xr:uid="{00000000-0005-0000-0000-0000DE130000}"/>
    <cellStyle name="Normal 3 2 2 3 5 2 3 2 3" xfId="20908" xr:uid="{00000000-0005-0000-0000-0000DF130000}"/>
    <cellStyle name="Normal 3 2 2 3 5 2 3 2 3 2" xfId="52779" xr:uid="{00000000-0005-0000-0000-0000E0130000}"/>
    <cellStyle name="Normal 3 2 2 3 5 2 3 2 4" xfId="33421" xr:uid="{00000000-0005-0000-0000-0000E1130000}"/>
    <cellStyle name="Normal 3 2 2 3 5 2 3 3" xfId="1544" xr:uid="{00000000-0005-0000-0000-0000E2130000}"/>
    <cellStyle name="Normal 3 2 2 3 5 2 3 3 2" xfId="24847" xr:uid="{00000000-0005-0000-0000-0000E3130000}"/>
    <cellStyle name="Normal 3 2 2 3 5 2 3 3 2 2" xfId="56718" xr:uid="{00000000-0005-0000-0000-0000E4130000}"/>
    <cellStyle name="Normal 3 2 2 3 5 2 3 3 3" xfId="33423" xr:uid="{00000000-0005-0000-0000-0000E5130000}"/>
    <cellStyle name="Normal 3 2 2 3 5 2 3 4" xfId="16969" xr:uid="{00000000-0005-0000-0000-0000E6130000}"/>
    <cellStyle name="Normal 3 2 2 3 5 2 3 4 2" xfId="48840" xr:uid="{00000000-0005-0000-0000-0000E7130000}"/>
    <cellStyle name="Normal 3 2 2 3 5 2 3 5" xfId="33420" xr:uid="{00000000-0005-0000-0000-0000E8130000}"/>
    <cellStyle name="Normal 3 2 2 3 5 2 4" xfId="1545" xr:uid="{00000000-0005-0000-0000-0000E9130000}"/>
    <cellStyle name="Normal 3 2 2 3 5 2 4 2" xfId="1546" xr:uid="{00000000-0005-0000-0000-0000EA130000}"/>
    <cellStyle name="Normal 3 2 2 3 5 2 4 2 2" xfId="28783" xr:uid="{00000000-0005-0000-0000-0000EB130000}"/>
    <cellStyle name="Normal 3 2 2 3 5 2 4 2 2 2" xfId="60654" xr:uid="{00000000-0005-0000-0000-0000EC130000}"/>
    <cellStyle name="Normal 3 2 2 3 5 2 4 2 3" xfId="33425" xr:uid="{00000000-0005-0000-0000-0000ED130000}"/>
    <cellStyle name="Normal 3 2 2 3 5 2 4 3" xfId="20905" xr:uid="{00000000-0005-0000-0000-0000EE130000}"/>
    <cellStyle name="Normal 3 2 2 3 5 2 4 3 2" xfId="52776" xr:uid="{00000000-0005-0000-0000-0000EF130000}"/>
    <cellStyle name="Normal 3 2 2 3 5 2 4 4" xfId="33424" xr:uid="{00000000-0005-0000-0000-0000F0130000}"/>
    <cellStyle name="Normal 3 2 2 3 5 2 5" xfId="1547" xr:uid="{00000000-0005-0000-0000-0000F1130000}"/>
    <cellStyle name="Normal 3 2 2 3 5 2 5 2" xfId="24844" xr:uid="{00000000-0005-0000-0000-0000F2130000}"/>
    <cellStyle name="Normal 3 2 2 3 5 2 5 2 2" xfId="56715" xr:uid="{00000000-0005-0000-0000-0000F3130000}"/>
    <cellStyle name="Normal 3 2 2 3 5 2 5 3" xfId="33426" xr:uid="{00000000-0005-0000-0000-0000F4130000}"/>
    <cellStyle name="Normal 3 2 2 3 5 2 6" xfId="16966" xr:uid="{00000000-0005-0000-0000-0000F5130000}"/>
    <cellStyle name="Normal 3 2 2 3 5 2 6 2" xfId="48837" xr:uid="{00000000-0005-0000-0000-0000F6130000}"/>
    <cellStyle name="Normal 3 2 2 3 5 2 7" xfId="33411" xr:uid="{00000000-0005-0000-0000-0000F7130000}"/>
    <cellStyle name="Normal 3 2 2 3 5 3" xfId="1548" xr:uid="{00000000-0005-0000-0000-0000F8130000}"/>
    <cellStyle name="Normal 3 2 2 3 5 3 2" xfId="1549" xr:uid="{00000000-0005-0000-0000-0000F9130000}"/>
    <cellStyle name="Normal 3 2 2 3 5 3 2 2" xfId="1550" xr:uid="{00000000-0005-0000-0000-0000FA130000}"/>
    <cellStyle name="Normal 3 2 2 3 5 3 2 2 2" xfId="1551" xr:uid="{00000000-0005-0000-0000-0000FB130000}"/>
    <cellStyle name="Normal 3 2 2 3 5 3 2 2 2 2" xfId="28788" xr:uid="{00000000-0005-0000-0000-0000FC130000}"/>
    <cellStyle name="Normal 3 2 2 3 5 3 2 2 2 2 2" xfId="60659" xr:uid="{00000000-0005-0000-0000-0000FD130000}"/>
    <cellStyle name="Normal 3 2 2 3 5 3 2 2 2 3" xfId="33430" xr:uid="{00000000-0005-0000-0000-0000FE130000}"/>
    <cellStyle name="Normal 3 2 2 3 5 3 2 2 3" xfId="20910" xr:uid="{00000000-0005-0000-0000-0000FF130000}"/>
    <cellStyle name="Normal 3 2 2 3 5 3 2 2 3 2" xfId="52781" xr:uid="{00000000-0005-0000-0000-000000140000}"/>
    <cellStyle name="Normal 3 2 2 3 5 3 2 2 4" xfId="33429" xr:uid="{00000000-0005-0000-0000-000001140000}"/>
    <cellStyle name="Normal 3 2 2 3 5 3 2 3" xfId="1552" xr:uid="{00000000-0005-0000-0000-000002140000}"/>
    <cellStyle name="Normal 3 2 2 3 5 3 2 3 2" xfId="24849" xr:uid="{00000000-0005-0000-0000-000003140000}"/>
    <cellStyle name="Normal 3 2 2 3 5 3 2 3 2 2" xfId="56720" xr:uid="{00000000-0005-0000-0000-000004140000}"/>
    <cellStyle name="Normal 3 2 2 3 5 3 2 3 3" xfId="33431" xr:uid="{00000000-0005-0000-0000-000005140000}"/>
    <cellStyle name="Normal 3 2 2 3 5 3 2 4" xfId="16971" xr:uid="{00000000-0005-0000-0000-000006140000}"/>
    <cellStyle name="Normal 3 2 2 3 5 3 2 4 2" xfId="48842" xr:uid="{00000000-0005-0000-0000-000007140000}"/>
    <cellStyle name="Normal 3 2 2 3 5 3 2 5" xfId="33428" xr:uid="{00000000-0005-0000-0000-000008140000}"/>
    <cellStyle name="Normal 3 2 2 3 5 3 3" xfId="1553" xr:uid="{00000000-0005-0000-0000-000009140000}"/>
    <cellStyle name="Normal 3 2 2 3 5 3 3 2" xfId="1554" xr:uid="{00000000-0005-0000-0000-00000A140000}"/>
    <cellStyle name="Normal 3 2 2 3 5 3 3 2 2" xfId="28787" xr:uid="{00000000-0005-0000-0000-00000B140000}"/>
    <cellStyle name="Normal 3 2 2 3 5 3 3 2 2 2" xfId="60658" xr:uid="{00000000-0005-0000-0000-00000C140000}"/>
    <cellStyle name="Normal 3 2 2 3 5 3 3 2 3" xfId="33433" xr:uid="{00000000-0005-0000-0000-00000D140000}"/>
    <cellStyle name="Normal 3 2 2 3 5 3 3 3" xfId="20909" xr:uid="{00000000-0005-0000-0000-00000E140000}"/>
    <cellStyle name="Normal 3 2 2 3 5 3 3 3 2" xfId="52780" xr:uid="{00000000-0005-0000-0000-00000F140000}"/>
    <cellStyle name="Normal 3 2 2 3 5 3 3 4" xfId="33432" xr:uid="{00000000-0005-0000-0000-000010140000}"/>
    <cellStyle name="Normal 3 2 2 3 5 3 4" xfId="1555" xr:uid="{00000000-0005-0000-0000-000011140000}"/>
    <cellStyle name="Normal 3 2 2 3 5 3 4 2" xfId="24848" xr:uid="{00000000-0005-0000-0000-000012140000}"/>
    <cellStyle name="Normal 3 2 2 3 5 3 4 2 2" xfId="56719" xr:uid="{00000000-0005-0000-0000-000013140000}"/>
    <cellStyle name="Normal 3 2 2 3 5 3 4 3" xfId="33434" xr:uid="{00000000-0005-0000-0000-000014140000}"/>
    <cellStyle name="Normal 3 2 2 3 5 3 5" xfId="16970" xr:uid="{00000000-0005-0000-0000-000015140000}"/>
    <cellStyle name="Normal 3 2 2 3 5 3 5 2" xfId="48841" xr:uid="{00000000-0005-0000-0000-000016140000}"/>
    <cellStyle name="Normal 3 2 2 3 5 3 6" xfId="33427" xr:uid="{00000000-0005-0000-0000-000017140000}"/>
    <cellStyle name="Normal 3 2 2 3 5 4" xfId="1556" xr:uid="{00000000-0005-0000-0000-000018140000}"/>
    <cellStyle name="Normal 3 2 2 3 5 4 2" xfId="1557" xr:uid="{00000000-0005-0000-0000-000019140000}"/>
    <cellStyle name="Normal 3 2 2 3 5 4 2 2" xfId="1558" xr:uid="{00000000-0005-0000-0000-00001A140000}"/>
    <cellStyle name="Normal 3 2 2 3 5 4 2 2 2" xfId="28789" xr:uid="{00000000-0005-0000-0000-00001B140000}"/>
    <cellStyle name="Normal 3 2 2 3 5 4 2 2 2 2" xfId="60660" xr:uid="{00000000-0005-0000-0000-00001C140000}"/>
    <cellStyle name="Normal 3 2 2 3 5 4 2 2 3" xfId="33437" xr:uid="{00000000-0005-0000-0000-00001D140000}"/>
    <cellStyle name="Normal 3 2 2 3 5 4 2 3" xfId="20911" xr:uid="{00000000-0005-0000-0000-00001E140000}"/>
    <cellStyle name="Normal 3 2 2 3 5 4 2 3 2" xfId="52782" xr:uid="{00000000-0005-0000-0000-00001F140000}"/>
    <cellStyle name="Normal 3 2 2 3 5 4 2 4" xfId="33436" xr:uid="{00000000-0005-0000-0000-000020140000}"/>
    <cellStyle name="Normal 3 2 2 3 5 4 3" xfId="1559" xr:uid="{00000000-0005-0000-0000-000021140000}"/>
    <cellStyle name="Normal 3 2 2 3 5 4 3 2" xfId="24850" xr:uid="{00000000-0005-0000-0000-000022140000}"/>
    <cellStyle name="Normal 3 2 2 3 5 4 3 2 2" xfId="56721" xr:uid="{00000000-0005-0000-0000-000023140000}"/>
    <cellStyle name="Normal 3 2 2 3 5 4 3 3" xfId="33438" xr:uid="{00000000-0005-0000-0000-000024140000}"/>
    <cellStyle name="Normal 3 2 2 3 5 4 4" xfId="16972" xr:uid="{00000000-0005-0000-0000-000025140000}"/>
    <cellStyle name="Normal 3 2 2 3 5 4 4 2" xfId="48843" xr:uid="{00000000-0005-0000-0000-000026140000}"/>
    <cellStyle name="Normal 3 2 2 3 5 4 5" xfId="33435" xr:uid="{00000000-0005-0000-0000-000027140000}"/>
    <cellStyle name="Normal 3 2 2 3 5 5" xfId="1560" xr:uid="{00000000-0005-0000-0000-000028140000}"/>
    <cellStyle name="Normal 3 2 2 3 5 5 2" xfId="1561" xr:uid="{00000000-0005-0000-0000-000029140000}"/>
    <cellStyle name="Normal 3 2 2 3 5 5 2 2" xfId="28296" xr:uid="{00000000-0005-0000-0000-00002A140000}"/>
    <cellStyle name="Normal 3 2 2 3 5 5 2 2 2" xfId="60167" xr:uid="{00000000-0005-0000-0000-00002B140000}"/>
    <cellStyle name="Normal 3 2 2 3 5 5 2 3" xfId="33440" xr:uid="{00000000-0005-0000-0000-00002C140000}"/>
    <cellStyle name="Normal 3 2 2 3 5 5 3" xfId="20418" xr:uid="{00000000-0005-0000-0000-00002D140000}"/>
    <cellStyle name="Normal 3 2 2 3 5 5 3 2" xfId="52289" xr:uid="{00000000-0005-0000-0000-00002E140000}"/>
    <cellStyle name="Normal 3 2 2 3 5 5 4" xfId="33439" xr:uid="{00000000-0005-0000-0000-00002F140000}"/>
    <cellStyle name="Normal 3 2 2 3 5 6" xfId="1562" xr:uid="{00000000-0005-0000-0000-000030140000}"/>
    <cellStyle name="Normal 3 2 2 3 5 6 2" xfId="24357" xr:uid="{00000000-0005-0000-0000-000031140000}"/>
    <cellStyle name="Normal 3 2 2 3 5 6 2 2" xfId="56228" xr:uid="{00000000-0005-0000-0000-000032140000}"/>
    <cellStyle name="Normal 3 2 2 3 5 6 3" xfId="33441" xr:uid="{00000000-0005-0000-0000-000033140000}"/>
    <cellStyle name="Normal 3 2 2 3 5 7" xfId="16479" xr:uid="{00000000-0005-0000-0000-000034140000}"/>
    <cellStyle name="Normal 3 2 2 3 5 7 2" xfId="48350" xr:uid="{00000000-0005-0000-0000-000035140000}"/>
    <cellStyle name="Normal 3 2 2 3 5 8" xfId="33410" xr:uid="{00000000-0005-0000-0000-000036140000}"/>
    <cellStyle name="Normal 3 2 2 3 6" xfId="1563" xr:uid="{00000000-0005-0000-0000-000037140000}"/>
    <cellStyle name="Normal 3 2 2 3 6 2" xfId="1564" xr:uid="{00000000-0005-0000-0000-000038140000}"/>
    <cellStyle name="Normal 3 2 2 3 6 2 2" xfId="1565" xr:uid="{00000000-0005-0000-0000-000039140000}"/>
    <cellStyle name="Normal 3 2 2 3 6 2 2 2" xfId="1566" xr:uid="{00000000-0005-0000-0000-00003A140000}"/>
    <cellStyle name="Normal 3 2 2 3 6 2 2 2 2" xfId="1567" xr:uid="{00000000-0005-0000-0000-00003B140000}"/>
    <cellStyle name="Normal 3 2 2 3 6 2 2 2 2 2" xfId="28792" xr:uid="{00000000-0005-0000-0000-00003C140000}"/>
    <cellStyle name="Normal 3 2 2 3 6 2 2 2 2 2 2" xfId="60663" xr:uid="{00000000-0005-0000-0000-00003D140000}"/>
    <cellStyle name="Normal 3 2 2 3 6 2 2 2 2 3" xfId="33446" xr:uid="{00000000-0005-0000-0000-00003E140000}"/>
    <cellStyle name="Normal 3 2 2 3 6 2 2 2 3" xfId="20914" xr:uid="{00000000-0005-0000-0000-00003F140000}"/>
    <cellStyle name="Normal 3 2 2 3 6 2 2 2 3 2" xfId="52785" xr:uid="{00000000-0005-0000-0000-000040140000}"/>
    <cellStyle name="Normal 3 2 2 3 6 2 2 2 4" xfId="33445" xr:uid="{00000000-0005-0000-0000-000041140000}"/>
    <cellStyle name="Normal 3 2 2 3 6 2 2 3" xfId="1568" xr:uid="{00000000-0005-0000-0000-000042140000}"/>
    <cellStyle name="Normal 3 2 2 3 6 2 2 3 2" xfId="24853" xr:uid="{00000000-0005-0000-0000-000043140000}"/>
    <cellStyle name="Normal 3 2 2 3 6 2 2 3 2 2" xfId="56724" xr:uid="{00000000-0005-0000-0000-000044140000}"/>
    <cellStyle name="Normal 3 2 2 3 6 2 2 3 3" xfId="33447" xr:uid="{00000000-0005-0000-0000-000045140000}"/>
    <cellStyle name="Normal 3 2 2 3 6 2 2 4" xfId="16975" xr:uid="{00000000-0005-0000-0000-000046140000}"/>
    <cellStyle name="Normal 3 2 2 3 6 2 2 4 2" xfId="48846" xr:uid="{00000000-0005-0000-0000-000047140000}"/>
    <cellStyle name="Normal 3 2 2 3 6 2 2 5" xfId="33444" xr:uid="{00000000-0005-0000-0000-000048140000}"/>
    <cellStyle name="Normal 3 2 2 3 6 2 3" xfId="1569" xr:uid="{00000000-0005-0000-0000-000049140000}"/>
    <cellStyle name="Normal 3 2 2 3 6 2 3 2" xfId="1570" xr:uid="{00000000-0005-0000-0000-00004A140000}"/>
    <cellStyle name="Normal 3 2 2 3 6 2 3 2 2" xfId="28791" xr:uid="{00000000-0005-0000-0000-00004B140000}"/>
    <cellStyle name="Normal 3 2 2 3 6 2 3 2 2 2" xfId="60662" xr:uid="{00000000-0005-0000-0000-00004C140000}"/>
    <cellStyle name="Normal 3 2 2 3 6 2 3 2 3" xfId="33449" xr:uid="{00000000-0005-0000-0000-00004D140000}"/>
    <cellStyle name="Normal 3 2 2 3 6 2 3 3" xfId="20913" xr:uid="{00000000-0005-0000-0000-00004E140000}"/>
    <cellStyle name="Normal 3 2 2 3 6 2 3 3 2" xfId="52784" xr:uid="{00000000-0005-0000-0000-00004F140000}"/>
    <cellStyle name="Normal 3 2 2 3 6 2 3 4" xfId="33448" xr:uid="{00000000-0005-0000-0000-000050140000}"/>
    <cellStyle name="Normal 3 2 2 3 6 2 4" xfId="1571" xr:uid="{00000000-0005-0000-0000-000051140000}"/>
    <cellStyle name="Normal 3 2 2 3 6 2 4 2" xfId="24852" xr:uid="{00000000-0005-0000-0000-000052140000}"/>
    <cellStyle name="Normal 3 2 2 3 6 2 4 2 2" xfId="56723" xr:uid="{00000000-0005-0000-0000-000053140000}"/>
    <cellStyle name="Normal 3 2 2 3 6 2 4 3" xfId="33450" xr:uid="{00000000-0005-0000-0000-000054140000}"/>
    <cellStyle name="Normal 3 2 2 3 6 2 5" xfId="16974" xr:uid="{00000000-0005-0000-0000-000055140000}"/>
    <cellStyle name="Normal 3 2 2 3 6 2 5 2" xfId="48845" xr:uid="{00000000-0005-0000-0000-000056140000}"/>
    <cellStyle name="Normal 3 2 2 3 6 2 6" xfId="33443" xr:uid="{00000000-0005-0000-0000-000057140000}"/>
    <cellStyle name="Normal 3 2 2 3 6 3" xfId="1572" xr:uid="{00000000-0005-0000-0000-000058140000}"/>
    <cellStyle name="Normal 3 2 2 3 6 3 2" xfId="1573" xr:uid="{00000000-0005-0000-0000-000059140000}"/>
    <cellStyle name="Normal 3 2 2 3 6 3 2 2" xfId="1574" xr:uid="{00000000-0005-0000-0000-00005A140000}"/>
    <cellStyle name="Normal 3 2 2 3 6 3 2 2 2" xfId="28793" xr:uid="{00000000-0005-0000-0000-00005B140000}"/>
    <cellStyle name="Normal 3 2 2 3 6 3 2 2 2 2" xfId="60664" xr:uid="{00000000-0005-0000-0000-00005C140000}"/>
    <cellStyle name="Normal 3 2 2 3 6 3 2 2 3" xfId="33453" xr:uid="{00000000-0005-0000-0000-00005D140000}"/>
    <cellStyle name="Normal 3 2 2 3 6 3 2 3" xfId="20915" xr:uid="{00000000-0005-0000-0000-00005E140000}"/>
    <cellStyle name="Normal 3 2 2 3 6 3 2 3 2" xfId="52786" xr:uid="{00000000-0005-0000-0000-00005F140000}"/>
    <cellStyle name="Normal 3 2 2 3 6 3 2 4" xfId="33452" xr:uid="{00000000-0005-0000-0000-000060140000}"/>
    <cellStyle name="Normal 3 2 2 3 6 3 3" xfId="1575" xr:uid="{00000000-0005-0000-0000-000061140000}"/>
    <cellStyle name="Normal 3 2 2 3 6 3 3 2" xfId="24854" xr:uid="{00000000-0005-0000-0000-000062140000}"/>
    <cellStyle name="Normal 3 2 2 3 6 3 3 2 2" xfId="56725" xr:uid="{00000000-0005-0000-0000-000063140000}"/>
    <cellStyle name="Normal 3 2 2 3 6 3 3 3" xfId="33454" xr:uid="{00000000-0005-0000-0000-000064140000}"/>
    <cellStyle name="Normal 3 2 2 3 6 3 4" xfId="16976" xr:uid="{00000000-0005-0000-0000-000065140000}"/>
    <cellStyle name="Normal 3 2 2 3 6 3 4 2" xfId="48847" xr:uid="{00000000-0005-0000-0000-000066140000}"/>
    <cellStyle name="Normal 3 2 2 3 6 3 5" xfId="33451" xr:uid="{00000000-0005-0000-0000-000067140000}"/>
    <cellStyle name="Normal 3 2 2 3 6 4" xfId="1576" xr:uid="{00000000-0005-0000-0000-000068140000}"/>
    <cellStyle name="Normal 3 2 2 3 6 4 2" xfId="1577" xr:uid="{00000000-0005-0000-0000-000069140000}"/>
    <cellStyle name="Normal 3 2 2 3 6 4 2 2" xfId="28790" xr:uid="{00000000-0005-0000-0000-00006A140000}"/>
    <cellStyle name="Normal 3 2 2 3 6 4 2 2 2" xfId="60661" xr:uid="{00000000-0005-0000-0000-00006B140000}"/>
    <cellStyle name="Normal 3 2 2 3 6 4 2 3" xfId="33456" xr:uid="{00000000-0005-0000-0000-00006C140000}"/>
    <cellStyle name="Normal 3 2 2 3 6 4 3" xfId="20912" xr:uid="{00000000-0005-0000-0000-00006D140000}"/>
    <cellStyle name="Normal 3 2 2 3 6 4 3 2" xfId="52783" xr:uid="{00000000-0005-0000-0000-00006E140000}"/>
    <cellStyle name="Normal 3 2 2 3 6 4 4" xfId="33455" xr:uid="{00000000-0005-0000-0000-00006F140000}"/>
    <cellStyle name="Normal 3 2 2 3 6 5" xfId="1578" xr:uid="{00000000-0005-0000-0000-000070140000}"/>
    <cellStyle name="Normal 3 2 2 3 6 5 2" xfId="24851" xr:uid="{00000000-0005-0000-0000-000071140000}"/>
    <cellStyle name="Normal 3 2 2 3 6 5 2 2" xfId="56722" xr:uid="{00000000-0005-0000-0000-000072140000}"/>
    <cellStyle name="Normal 3 2 2 3 6 5 3" xfId="33457" xr:uid="{00000000-0005-0000-0000-000073140000}"/>
    <cellStyle name="Normal 3 2 2 3 6 6" xfId="16973" xr:uid="{00000000-0005-0000-0000-000074140000}"/>
    <cellStyle name="Normal 3 2 2 3 6 6 2" xfId="48844" xr:uid="{00000000-0005-0000-0000-000075140000}"/>
    <cellStyle name="Normal 3 2 2 3 6 7" xfId="33442" xr:uid="{00000000-0005-0000-0000-000076140000}"/>
    <cellStyle name="Normal 3 2 2 3 7" xfId="1579" xr:uid="{00000000-0005-0000-0000-000077140000}"/>
    <cellStyle name="Normal 3 2 2 3 7 2" xfId="1580" xr:uid="{00000000-0005-0000-0000-000078140000}"/>
    <cellStyle name="Normal 3 2 2 3 7 2 2" xfId="1581" xr:uid="{00000000-0005-0000-0000-000079140000}"/>
    <cellStyle name="Normal 3 2 2 3 7 2 2 2" xfId="1582" xr:uid="{00000000-0005-0000-0000-00007A140000}"/>
    <cellStyle name="Normal 3 2 2 3 7 2 2 2 2" xfId="28795" xr:uid="{00000000-0005-0000-0000-00007B140000}"/>
    <cellStyle name="Normal 3 2 2 3 7 2 2 2 2 2" xfId="60666" xr:uid="{00000000-0005-0000-0000-00007C140000}"/>
    <cellStyle name="Normal 3 2 2 3 7 2 2 2 3" xfId="33461" xr:uid="{00000000-0005-0000-0000-00007D140000}"/>
    <cellStyle name="Normal 3 2 2 3 7 2 2 3" xfId="20917" xr:uid="{00000000-0005-0000-0000-00007E140000}"/>
    <cellStyle name="Normal 3 2 2 3 7 2 2 3 2" xfId="52788" xr:uid="{00000000-0005-0000-0000-00007F140000}"/>
    <cellStyle name="Normal 3 2 2 3 7 2 2 4" xfId="33460" xr:uid="{00000000-0005-0000-0000-000080140000}"/>
    <cellStyle name="Normal 3 2 2 3 7 2 3" xfId="1583" xr:uid="{00000000-0005-0000-0000-000081140000}"/>
    <cellStyle name="Normal 3 2 2 3 7 2 3 2" xfId="24856" xr:uid="{00000000-0005-0000-0000-000082140000}"/>
    <cellStyle name="Normal 3 2 2 3 7 2 3 2 2" xfId="56727" xr:uid="{00000000-0005-0000-0000-000083140000}"/>
    <cellStyle name="Normal 3 2 2 3 7 2 3 3" xfId="33462" xr:uid="{00000000-0005-0000-0000-000084140000}"/>
    <cellStyle name="Normal 3 2 2 3 7 2 4" xfId="16978" xr:uid="{00000000-0005-0000-0000-000085140000}"/>
    <cellStyle name="Normal 3 2 2 3 7 2 4 2" xfId="48849" xr:uid="{00000000-0005-0000-0000-000086140000}"/>
    <cellStyle name="Normal 3 2 2 3 7 2 5" xfId="33459" xr:uid="{00000000-0005-0000-0000-000087140000}"/>
    <cellStyle name="Normal 3 2 2 3 7 3" xfId="1584" xr:uid="{00000000-0005-0000-0000-000088140000}"/>
    <cellStyle name="Normal 3 2 2 3 7 3 2" xfId="1585" xr:uid="{00000000-0005-0000-0000-000089140000}"/>
    <cellStyle name="Normal 3 2 2 3 7 3 2 2" xfId="28794" xr:uid="{00000000-0005-0000-0000-00008A140000}"/>
    <cellStyle name="Normal 3 2 2 3 7 3 2 2 2" xfId="60665" xr:uid="{00000000-0005-0000-0000-00008B140000}"/>
    <cellStyle name="Normal 3 2 2 3 7 3 2 3" xfId="33464" xr:uid="{00000000-0005-0000-0000-00008C140000}"/>
    <cellStyle name="Normal 3 2 2 3 7 3 3" xfId="20916" xr:uid="{00000000-0005-0000-0000-00008D140000}"/>
    <cellStyle name="Normal 3 2 2 3 7 3 3 2" xfId="52787" xr:uid="{00000000-0005-0000-0000-00008E140000}"/>
    <cellStyle name="Normal 3 2 2 3 7 3 4" xfId="33463" xr:uid="{00000000-0005-0000-0000-00008F140000}"/>
    <cellStyle name="Normal 3 2 2 3 7 4" xfId="1586" xr:uid="{00000000-0005-0000-0000-000090140000}"/>
    <cellStyle name="Normal 3 2 2 3 7 4 2" xfId="24855" xr:uid="{00000000-0005-0000-0000-000091140000}"/>
    <cellStyle name="Normal 3 2 2 3 7 4 2 2" xfId="56726" xr:uid="{00000000-0005-0000-0000-000092140000}"/>
    <cellStyle name="Normal 3 2 2 3 7 4 3" xfId="33465" xr:uid="{00000000-0005-0000-0000-000093140000}"/>
    <cellStyle name="Normal 3 2 2 3 7 5" xfId="16977" xr:uid="{00000000-0005-0000-0000-000094140000}"/>
    <cellStyle name="Normal 3 2 2 3 7 5 2" xfId="48848" xr:uid="{00000000-0005-0000-0000-000095140000}"/>
    <cellStyle name="Normal 3 2 2 3 7 6" xfId="33458" xr:uid="{00000000-0005-0000-0000-000096140000}"/>
    <cellStyle name="Normal 3 2 2 3 8" xfId="1587" xr:uid="{00000000-0005-0000-0000-000097140000}"/>
    <cellStyle name="Normal 3 2 2 3 8 2" xfId="1588" xr:uid="{00000000-0005-0000-0000-000098140000}"/>
    <cellStyle name="Normal 3 2 2 3 8 2 2" xfId="1589" xr:uid="{00000000-0005-0000-0000-000099140000}"/>
    <cellStyle name="Normal 3 2 2 3 8 2 2 2" xfId="28796" xr:uid="{00000000-0005-0000-0000-00009A140000}"/>
    <cellStyle name="Normal 3 2 2 3 8 2 2 2 2" xfId="60667" xr:uid="{00000000-0005-0000-0000-00009B140000}"/>
    <cellStyle name="Normal 3 2 2 3 8 2 2 3" xfId="33468" xr:uid="{00000000-0005-0000-0000-00009C140000}"/>
    <cellStyle name="Normal 3 2 2 3 8 2 3" xfId="20918" xr:uid="{00000000-0005-0000-0000-00009D140000}"/>
    <cellStyle name="Normal 3 2 2 3 8 2 3 2" xfId="52789" xr:uid="{00000000-0005-0000-0000-00009E140000}"/>
    <cellStyle name="Normal 3 2 2 3 8 2 4" xfId="33467" xr:uid="{00000000-0005-0000-0000-00009F140000}"/>
    <cellStyle name="Normal 3 2 2 3 8 3" xfId="1590" xr:uid="{00000000-0005-0000-0000-0000A0140000}"/>
    <cellStyle name="Normal 3 2 2 3 8 3 2" xfId="24857" xr:uid="{00000000-0005-0000-0000-0000A1140000}"/>
    <cellStyle name="Normal 3 2 2 3 8 3 2 2" xfId="56728" xr:uid="{00000000-0005-0000-0000-0000A2140000}"/>
    <cellStyle name="Normal 3 2 2 3 8 3 3" xfId="33469" xr:uid="{00000000-0005-0000-0000-0000A3140000}"/>
    <cellStyle name="Normal 3 2 2 3 8 4" xfId="16979" xr:uid="{00000000-0005-0000-0000-0000A4140000}"/>
    <cellStyle name="Normal 3 2 2 3 8 4 2" xfId="48850" xr:uid="{00000000-0005-0000-0000-0000A5140000}"/>
    <cellStyle name="Normal 3 2 2 3 8 5" xfId="33466" xr:uid="{00000000-0005-0000-0000-0000A6140000}"/>
    <cellStyle name="Normal 3 2 2 3 9" xfId="1591" xr:uid="{00000000-0005-0000-0000-0000A7140000}"/>
    <cellStyle name="Normal 3 2 2 3 9 2" xfId="1592" xr:uid="{00000000-0005-0000-0000-0000A8140000}"/>
    <cellStyle name="Normal 3 2 2 3 9 2 2" xfId="28255" xr:uid="{00000000-0005-0000-0000-0000A9140000}"/>
    <cellStyle name="Normal 3 2 2 3 9 2 2 2" xfId="60126" xr:uid="{00000000-0005-0000-0000-0000AA140000}"/>
    <cellStyle name="Normal 3 2 2 3 9 2 3" xfId="33471" xr:uid="{00000000-0005-0000-0000-0000AB140000}"/>
    <cellStyle name="Normal 3 2 2 3 9 3" xfId="20377" xr:uid="{00000000-0005-0000-0000-0000AC140000}"/>
    <cellStyle name="Normal 3 2 2 3 9 3 2" xfId="52248" xr:uid="{00000000-0005-0000-0000-0000AD140000}"/>
    <cellStyle name="Normal 3 2 2 3 9 4" xfId="33470" xr:uid="{00000000-0005-0000-0000-0000AE140000}"/>
    <cellStyle name="Normal 3 2 2 4" xfId="1593" xr:uid="{00000000-0005-0000-0000-0000AF140000}"/>
    <cellStyle name="Normal 3 2 2 4 10" xfId="1594" xr:uid="{00000000-0005-0000-0000-0000B0140000}"/>
    <cellStyle name="Normal 3 2 2 4 10 2" xfId="24341" xr:uid="{00000000-0005-0000-0000-0000B1140000}"/>
    <cellStyle name="Normal 3 2 2 4 10 2 2" xfId="56212" xr:uid="{00000000-0005-0000-0000-0000B2140000}"/>
    <cellStyle name="Normal 3 2 2 4 10 3" xfId="33473" xr:uid="{00000000-0005-0000-0000-0000B3140000}"/>
    <cellStyle name="Normal 3 2 2 4 11" xfId="16463" xr:uid="{00000000-0005-0000-0000-0000B4140000}"/>
    <cellStyle name="Normal 3 2 2 4 11 2" xfId="48334" xr:uid="{00000000-0005-0000-0000-0000B5140000}"/>
    <cellStyle name="Normal 3 2 2 4 12" xfId="33472" xr:uid="{00000000-0005-0000-0000-0000B6140000}"/>
    <cellStyle name="Normal 3 2 2 4 2" xfId="1595" xr:uid="{00000000-0005-0000-0000-0000B7140000}"/>
    <cellStyle name="Normal 3 2 2 4 2 10" xfId="33474" xr:uid="{00000000-0005-0000-0000-0000B8140000}"/>
    <cellStyle name="Normal 3 2 2 4 2 2" xfId="1596" xr:uid="{00000000-0005-0000-0000-0000B9140000}"/>
    <cellStyle name="Normal 3 2 2 4 2 2 2" xfId="1597" xr:uid="{00000000-0005-0000-0000-0000BA140000}"/>
    <cellStyle name="Normal 3 2 2 4 2 2 2 2" xfId="1598" xr:uid="{00000000-0005-0000-0000-0000BB140000}"/>
    <cellStyle name="Normal 3 2 2 4 2 2 2 2 2" xfId="1599" xr:uid="{00000000-0005-0000-0000-0000BC140000}"/>
    <cellStyle name="Normal 3 2 2 4 2 2 2 2 2 2" xfId="1600" xr:uid="{00000000-0005-0000-0000-0000BD140000}"/>
    <cellStyle name="Normal 3 2 2 4 2 2 2 2 2 2 2" xfId="1601" xr:uid="{00000000-0005-0000-0000-0000BE140000}"/>
    <cellStyle name="Normal 3 2 2 4 2 2 2 2 2 2 2 2" xfId="1602" xr:uid="{00000000-0005-0000-0000-0000BF140000}"/>
    <cellStyle name="Normal 3 2 2 4 2 2 2 2 2 2 2 2 2" xfId="28800" xr:uid="{00000000-0005-0000-0000-0000C0140000}"/>
    <cellStyle name="Normal 3 2 2 4 2 2 2 2 2 2 2 2 2 2" xfId="60671" xr:uid="{00000000-0005-0000-0000-0000C1140000}"/>
    <cellStyle name="Normal 3 2 2 4 2 2 2 2 2 2 2 2 3" xfId="33481" xr:uid="{00000000-0005-0000-0000-0000C2140000}"/>
    <cellStyle name="Normal 3 2 2 4 2 2 2 2 2 2 2 3" xfId="20922" xr:uid="{00000000-0005-0000-0000-0000C3140000}"/>
    <cellStyle name="Normal 3 2 2 4 2 2 2 2 2 2 2 3 2" xfId="52793" xr:uid="{00000000-0005-0000-0000-0000C4140000}"/>
    <cellStyle name="Normal 3 2 2 4 2 2 2 2 2 2 2 4" xfId="33480" xr:uid="{00000000-0005-0000-0000-0000C5140000}"/>
    <cellStyle name="Normal 3 2 2 4 2 2 2 2 2 2 3" xfId="1603" xr:uid="{00000000-0005-0000-0000-0000C6140000}"/>
    <cellStyle name="Normal 3 2 2 4 2 2 2 2 2 2 3 2" xfId="24861" xr:uid="{00000000-0005-0000-0000-0000C7140000}"/>
    <cellStyle name="Normal 3 2 2 4 2 2 2 2 2 2 3 2 2" xfId="56732" xr:uid="{00000000-0005-0000-0000-0000C8140000}"/>
    <cellStyle name="Normal 3 2 2 4 2 2 2 2 2 2 3 3" xfId="33482" xr:uid="{00000000-0005-0000-0000-0000C9140000}"/>
    <cellStyle name="Normal 3 2 2 4 2 2 2 2 2 2 4" xfId="16983" xr:uid="{00000000-0005-0000-0000-0000CA140000}"/>
    <cellStyle name="Normal 3 2 2 4 2 2 2 2 2 2 4 2" xfId="48854" xr:uid="{00000000-0005-0000-0000-0000CB140000}"/>
    <cellStyle name="Normal 3 2 2 4 2 2 2 2 2 2 5" xfId="33479" xr:uid="{00000000-0005-0000-0000-0000CC140000}"/>
    <cellStyle name="Normal 3 2 2 4 2 2 2 2 2 3" xfId="1604" xr:uid="{00000000-0005-0000-0000-0000CD140000}"/>
    <cellStyle name="Normal 3 2 2 4 2 2 2 2 2 3 2" xfId="1605" xr:uid="{00000000-0005-0000-0000-0000CE140000}"/>
    <cellStyle name="Normal 3 2 2 4 2 2 2 2 2 3 2 2" xfId="28799" xr:uid="{00000000-0005-0000-0000-0000CF140000}"/>
    <cellStyle name="Normal 3 2 2 4 2 2 2 2 2 3 2 2 2" xfId="60670" xr:uid="{00000000-0005-0000-0000-0000D0140000}"/>
    <cellStyle name="Normal 3 2 2 4 2 2 2 2 2 3 2 3" xfId="33484" xr:uid="{00000000-0005-0000-0000-0000D1140000}"/>
    <cellStyle name="Normal 3 2 2 4 2 2 2 2 2 3 3" xfId="20921" xr:uid="{00000000-0005-0000-0000-0000D2140000}"/>
    <cellStyle name="Normal 3 2 2 4 2 2 2 2 2 3 3 2" xfId="52792" xr:uid="{00000000-0005-0000-0000-0000D3140000}"/>
    <cellStyle name="Normal 3 2 2 4 2 2 2 2 2 3 4" xfId="33483" xr:uid="{00000000-0005-0000-0000-0000D4140000}"/>
    <cellStyle name="Normal 3 2 2 4 2 2 2 2 2 4" xfId="1606" xr:uid="{00000000-0005-0000-0000-0000D5140000}"/>
    <cellStyle name="Normal 3 2 2 4 2 2 2 2 2 4 2" xfId="24860" xr:uid="{00000000-0005-0000-0000-0000D6140000}"/>
    <cellStyle name="Normal 3 2 2 4 2 2 2 2 2 4 2 2" xfId="56731" xr:uid="{00000000-0005-0000-0000-0000D7140000}"/>
    <cellStyle name="Normal 3 2 2 4 2 2 2 2 2 4 3" xfId="33485" xr:uid="{00000000-0005-0000-0000-0000D8140000}"/>
    <cellStyle name="Normal 3 2 2 4 2 2 2 2 2 5" xfId="16982" xr:uid="{00000000-0005-0000-0000-0000D9140000}"/>
    <cellStyle name="Normal 3 2 2 4 2 2 2 2 2 5 2" xfId="48853" xr:uid="{00000000-0005-0000-0000-0000DA140000}"/>
    <cellStyle name="Normal 3 2 2 4 2 2 2 2 2 6" xfId="33478" xr:uid="{00000000-0005-0000-0000-0000DB140000}"/>
    <cellStyle name="Normal 3 2 2 4 2 2 2 2 3" xfId="1607" xr:uid="{00000000-0005-0000-0000-0000DC140000}"/>
    <cellStyle name="Normal 3 2 2 4 2 2 2 2 3 2" xfId="1608" xr:uid="{00000000-0005-0000-0000-0000DD140000}"/>
    <cellStyle name="Normal 3 2 2 4 2 2 2 2 3 2 2" xfId="1609" xr:uid="{00000000-0005-0000-0000-0000DE140000}"/>
    <cellStyle name="Normal 3 2 2 4 2 2 2 2 3 2 2 2" xfId="28801" xr:uid="{00000000-0005-0000-0000-0000DF140000}"/>
    <cellStyle name="Normal 3 2 2 4 2 2 2 2 3 2 2 2 2" xfId="60672" xr:uid="{00000000-0005-0000-0000-0000E0140000}"/>
    <cellStyle name="Normal 3 2 2 4 2 2 2 2 3 2 2 3" xfId="33488" xr:uid="{00000000-0005-0000-0000-0000E1140000}"/>
    <cellStyle name="Normal 3 2 2 4 2 2 2 2 3 2 3" xfId="20923" xr:uid="{00000000-0005-0000-0000-0000E2140000}"/>
    <cellStyle name="Normal 3 2 2 4 2 2 2 2 3 2 3 2" xfId="52794" xr:uid="{00000000-0005-0000-0000-0000E3140000}"/>
    <cellStyle name="Normal 3 2 2 4 2 2 2 2 3 2 4" xfId="33487" xr:uid="{00000000-0005-0000-0000-0000E4140000}"/>
    <cellStyle name="Normal 3 2 2 4 2 2 2 2 3 3" xfId="1610" xr:uid="{00000000-0005-0000-0000-0000E5140000}"/>
    <cellStyle name="Normal 3 2 2 4 2 2 2 2 3 3 2" xfId="24862" xr:uid="{00000000-0005-0000-0000-0000E6140000}"/>
    <cellStyle name="Normal 3 2 2 4 2 2 2 2 3 3 2 2" xfId="56733" xr:uid="{00000000-0005-0000-0000-0000E7140000}"/>
    <cellStyle name="Normal 3 2 2 4 2 2 2 2 3 3 3" xfId="33489" xr:uid="{00000000-0005-0000-0000-0000E8140000}"/>
    <cellStyle name="Normal 3 2 2 4 2 2 2 2 3 4" xfId="16984" xr:uid="{00000000-0005-0000-0000-0000E9140000}"/>
    <cellStyle name="Normal 3 2 2 4 2 2 2 2 3 4 2" xfId="48855" xr:uid="{00000000-0005-0000-0000-0000EA140000}"/>
    <cellStyle name="Normal 3 2 2 4 2 2 2 2 3 5" xfId="33486" xr:uid="{00000000-0005-0000-0000-0000EB140000}"/>
    <cellStyle name="Normal 3 2 2 4 2 2 2 2 4" xfId="1611" xr:uid="{00000000-0005-0000-0000-0000EC140000}"/>
    <cellStyle name="Normal 3 2 2 4 2 2 2 2 4 2" xfId="1612" xr:uid="{00000000-0005-0000-0000-0000ED140000}"/>
    <cellStyle name="Normal 3 2 2 4 2 2 2 2 4 2 2" xfId="28798" xr:uid="{00000000-0005-0000-0000-0000EE140000}"/>
    <cellStyle name="Normal 3 2 2 4 2 2 2 2 4 2 2 2" xfId="60669" xr:uid="{00000000-0005-0000-0000-0000EF140000}"/>
    <cellStyle name="Normal 3 2 2 4 2 2 2 2 4 2 3" xfId="33491" xr:uid="{00000000-0005-0000-0000-0000F0140000}"/>
    <cellStyle name="Normal 3 2 2 4 2 2 2 2 4 3" xfId="20920" xr:uid="{00000000-0005-0000-0000-0000F1140000}"/>
    <cellStyle name="Normal 3 2 2 4 2 2 2 2 4 3 2" xfId="52791" xr:uid="{00000000-0005-0000-0000-0000F2140000}"/>
    <cellStyle name="Normal 3 2 2 4 2 2 2 2 4 4" xfId="33490" xr:uid="{00000000-0005-0000-0000-0000F3140000}"/>
    <cellStyle name="Normal 3 2 2 4 2 2 2 2 5" xfId="1613" xr:uid="{00000000-0005-0000-0000-0000F4140000}"/>
    <cellStyle name="Normal 3 2 2 4 2 2 2 2 5 2" xfId="24859" xr:uid="{00000000-0005-0000-0000-0000F5140000}"/>
    <cellStyle name="Normal 3 2 2 4 2 2 2 2 5 2 2" xfId="56730" xr:uid="{00000000-0005-0000-0000-0000F6140000}"/>
    <cellStyle name="Normal 3 2 2 4 2 2 2 2 5 3" xfId="33492" xr:uid="{00000000-0005-0000-0000-0000F7140000}"/>
    <cellStyle name="Normal 3 2 2 4 2 2 2 2 6" xfId="16981" xr:uid="{00000000-0005-0000-0000-0000F8140000}"/>
    <cellStyle name="Normal 3 2 2 4 2 2 2 2 6 2" xfId="48852" xr:uid="{00000000-0005-0000-0000-0000F9140000}"/>
    <cellStyle name="Normal 3 2 2 4 2 2 2 2 7" xfId="33477" xr:uid="{00000000-0005-0000-0000-0000FA140000}"/>
    <cellStyle name="Normal 3 2 2 4 2 2 2 3" xfId="1614" xr:uid="{00000000-0005-0000-0000-0000FB140000}"/>
    <cellStyle name="Normal 3 2 2 4 2 2 2 3 2" xfId="1615" xr:uid="{00000000-0005-0000-0000-0000FC140000}"/>
    <cellStyle name="Normal 3 2 2 4 2 2 2 3 2 2" xfId="1616" xr:uid="{00000000-0005-0000-0000-0000FD140000}"/>
    <cellStyle name="Normal 3 2 2 4 2 2 2 3 2 2 2" xfId="1617" xr:uid="{00000000-0005-0000-0000-0000FE140000}"/>
    <cellStyle name="Normal 3 2 2 4 2 2 2 3 2 2 2 2" xfId="28803" xr:uid="{00000000-0005-0000-0000-0000FF140000}"/>
    <cellStyle name="Normal 3 2 2 4 2 2 2 3 2 2 2 2 2" xfId="60674" xr:uid="{00000000-0005-0000-0000-000000150000}"/>
    <cellStyle name="Normal 3 2 2 4 2 2 2 3 2 2 2 3" xfId="33496" xr:uid="{00000000-0005-0000-0000-000001150000}"/>
    <cellStyle name="Normal 3 2 2 4 2 2 2 3 2 2 3" xfId="20925" xr:uid="{00000000-0005-0000-0000-000002150000}"/>
    <cellStyle name="Normal 3 2 2 4 2 2 2 3 2 2 3 2" xfId="52796" xr:uid="{00000000-0005-0000-0000-000003150000}"/>
    <cellStyle name="Normal 3 2 2 4 2 2 2 3 2 2 4" xfId="33495" xr:uid="{00000000-0005-0000-0000-000004150000}"/>
    <cellStyle name="Normal 3 2 2 4 2 2 2 3 2 3" xfId="1618" xr:uid="{00000000-0005-0000-0000-000005150000}"/>
    <cellStyle name="Normal 3 2 2 4 2 2 2 3 2 3 2" xfId="24864" xr:uid="{00000000-0005-0000-0000-000006150000}"/>
    <cellStyle name="Normal 3 2 2 4 2 2 2 3 2 3 2 2" xfId="56735" xr:uid="{00000000-0005-0000-0000-000007150000}"/>
    <cellStyle name="Normal 3 2 2 4 2 2 2 3 2 3 3" xfId="33497" xr:uid="{00000000-0005-0000-0000-000008150000}"/>
    <cellStyle name="Normal 3 2 2 4 2 2 2 3 2 4" xfId="16986" xr:uid="{00000000-0005-0000-0000-000009150000}"/>
    <cellStyle name="Normal 3 2 2 4 2 2 2 3 2 4 2" xfId="48857" xr:uid="{00000000-0005-0000-0000-00000A150000}"/>
    <cellStyle name="Normal 3 2 2 4 2 2 2 3 2 5" xfId="33494" xr:uid="{00000000-0005-0000-0000-00000B150000}"/>
    <cellStyle name="Normal 3 2 2 4 2 2 2 3 3" xfId="1619" xr:uid="{00000000-0005-0000-0000-00000C150000}"/>
    <cellStyle name="Normal 3 2 2 4 2 2 2 3 3 2" xfId="1620" xr:uid="{00000000-0005-0000-0000-00000D150000}"/>
    <cellStyle name="Normal 3 2 2 4 2 2 2 3 3 2 2" xfId="28802" xr:uid="{00000000-0005-0000-0000-00000E150000}"/>
    <cellStyle name="Normal 3 2 2 4 2 2 2 3 3 2 2 2" xfId="60673" xr:uid="{00000000-0005-0000-0000-00000F150000}"/>
    <cellStyle name="Normal 3 2 2 4 2 2 2 3 3 2 3" xfId="33499" xr:uid="{00000000-0005-0000-0000-000010150000}"/>
    <cellStyle name="Normal 3 2 2 4 2 2 2 3 3 3" xfId="20924" xr:uid="{00000000-0005-0000-0000-000011150000}"/>
    <cellStyle name="Normal 3 2 2 4 2 2 2 3 3 3 2" xfId="52795" xr:uid="{00000000-0005-0000-0000-000012150000}"/>
    <cellStyle name="Normal 3 2 2 4 2 2 2 3 3 4" xfId="33498" xr:uid="{00000000-0005-0000-0000-000013150000}"/>
    <cellStyle name="Normal 3 2 2 4 2 2 2 3 4" xfId="1621" xr:uid="{00000000-0005-0000-0000-000014150000}"/>
    <cellStyle name="Normal 3 2 2 4 2 2 2 3 4 2" xfId="24863" xr:uid="{00000000-0005-0000-0000-000015150000}"/>
    <cellStyle name="Normal 3 2 2 4 2 2 2 3 4 2 2" xfId="56734" xr:uid="{00000000-0005-0000-0000-000016150000}"/>
    <cellStyle name="Normal 3 2 2 4 2 2 2 3 4 3" xfId="33500" xr:uid="{00000000-0005-0000-0000-000017150000}"/>
    <cellStyle name="Normal 3 2 2 4 2 2 2 3 5" xfId="16985" xr:uid="{00000000-0005-0000-0000-000018150000}"/>
    <cellStyle name="Normal 3 2 2 4 2 2 2 3 5 2" xfId="48856" xr:uid="{00000000-0005-0000-0000-000019150000}"/>
    <cellStyle name="Normal 3 2 2 4 2 2 2 3 6" xfId="33493" xr:uid="{00000000-0005-0000-0000-00001A150000}"/>
    <cellStyle name="Normal 3 2 2 4 2 2 2 4" xfId="1622" xr:uid="{00000000-0005-0000-0000-00001B150000}"/>
    <cellStyle name="Normal 3 2 2 4 2 2 2 4 2" xfId="1623" xr:uid="{00000000-0005-0000-0000-00001C150000}"/>
    <cellStyle name="Normal 3 2 2 4 2 2 2 4 2 2" xfId="1624" xr:uid="{00000000-0005-0000-0000-00001D150000}"/>
    <cellStyle name="Normal 3 2 2 4 2 2 2 4 2 2 2" xfId="28804" xr:uid="{00000000-0005-0000-0000-00001E150000}"/>
    <cellStyle name="Normal 3 2 2 4 2 2 2 4 2 2 2 2" xfId="60675" xr:uid="{00000000-0005-0000-0000-00001F150000}"/>
    <cellStyle name="Normal 3 2 2 4 2 2 2 4 2 2 3" xfId="33503" xr:uid="{00000000-0005-0000-0000-000020150000}"/>
    <cellStyle name="Normal 3 2 2 4 2 2 2 4 2 3" xfId="20926" xr:uid="{00000000-0005-0000-0000-000021150000}"/>
    <cellStyle name="Normal 3 2 2 4 2 2 2 4 2 3 2" xfId="52797" xr:uid="{00000000-0005-0000-0000-000022150000}"/>
    <cellStyle name="Normal 3 2 2 4 2 2 2 4 2 4" xfId="33502" xr:uid="{00000000-0005-0000-0000-000023150000}"/>
    <cellStyle name="Normal 3 2 2 4 2 2 2 4 3" xfId="1625" xr:uid="{00000000-0005-0000-0000-000024150000}"/>
    <cellStyle name="Normal 3 2 2 4 2 2 2 4 3 2" xfId="24865" xr:uid="{00000000-0005-0000-0000-000025150000}"/>
    <cellStyle name="Normal 3 2 2 4 2 2 2 4 3 2 2" xfId="56736" xr:uid="{00000000-0005-0000-0000-000026150000}"/>
    <cellStyle name="Normal 3 2 2 4 2 2 2 4 3 3" xfId="33504" xr:uid="{00000000-0005-0000-0000-000027150000}"/>
    <cellStyle name="Normal 3 2 2 4 2 2 2 4 4" xfId="16987" xr:uid="{00000000-0005-0000-0000-000028150000}"/>
    <cellStyle name="Normal 3 2 2 4 2 2 2 4 4 2" xfId="48858" xr:uid="{00000000-0005-0000-0000-000029150000}"/>
    <cellStyle name="Normal 3 2 2 4 2 2 2 4 5" xfId="33501" xr:uid="{00000000-0005-0000-0000-00002A150000}"/>
    <cellStyle name="Normal 3 2 2 4 2 2 2 5" xfId="1626" xr:uid="{00000000-0005-0000-0000-00002B150000}"/>
    <cellStyle name="Normal 3 2 2 4 2 2 2 5 2" xfId="1627" xr:uid="{00000000-0005-0000-0000-00002C150000}"/>
    <cellStyle name="Normal 3 2 2 4 2 2 2 5 2 2" xfId="28797" xr:uid="{00000000-0005-0000-0000-00002D150000}"/>
    <cellStyle name="Normal 3 2 2 4 2 2 2 5 2 2 2" xfId="60668" xr:uid="{00000000-0005-0000-0000-00002E150000}"/>
    <cellStyle name="Normal 3 2 2 4 2 2 2 5 2 3" xfId="33506" xr:uid="{00000000-0005-0000-0000-00002F150000}"/>
    <cellStyle name="Normal 3 2 2 4 2 2 2 5 3" xfId="20919" xr:uid="{00000000-0005-0000-0000-000030150000}"/>
    <cellStyle name="Normal 3 2 2 4 2 2 2 5 3 2" xfId="52790" xr:uid="{00000000-0005-0000-0000-000031150000}"/>
    <cellStyle name="Normal 3 2 2 4 2 2 2 5 4" xfId="33505" xr:uid="{00000000-0005-0000-0000-000032150000}"/>
    <cellStyle name="Normal 3 2 2 4 2 2 2 6" xfId="1628" xr:uid="{00000000-0005-0000-0000-000033150000}"/>
    <cellStyle name="Normal 3 2 2 4 2 2 2 6 2" xfId="24858" xr:uid="{00000000-0005-0000-0000-000034150000}"/>
    <cellStyle name="Normal 3 2 2 4 2 2 2 6 2 2" xfId="56729" xr:uid="{00000000-0005-0000-0000-000035150000}"/>
    <cellStyle name="Normal 3 2 2 4 2 2 2 6 3" xfId="33507" xr:uid="{00000000-0005-0000-0000-000036150000}"/>
    <cellStyle name="Normal 3 2 2 4 2 2 2 7" xfId="16980" xr:uid="{00000000-0005-0000-0000-000037150000}"/>
    <cellStyle name="Normal 3 2 2 4 2 2 2 7 2" xfId="48851" xr:uid="{00000000-0005-0000-0000-000038150000}"/>
    <cellStyle name="Normal 3 2 2 4 2 2 2 8" xfId="33476" xr:uid="{00000000-0005-0000-0000-000039150000}"/>
    <cellStyle name="Normal 3 2 2 4 2 2 3" xfId="1629" xr:uid="{00000000-0005-0000-0000-00003A150000}"/>
    <cellStyle name="Normal 3 2 2 4 2 2 3 2" xfId="1630" xr:uid="{00000000-0005-0000-0000-00003B150000}"/>
    <cellStyle name="Normal 3 2 2 4 2 2 3 2 2" xfId="1631" xr:uid="{00000000-0005-0000-0000-00003C150000}"/>
    <cellStyle name="Normal 3 2 2 4 2 2 3 2 2 2" xfId="1632" xr:uid="{00000000-0005-0000-0000-00003D150000}"/>
    <cellStyle name="Normal 3 2 2 4 2 2 3 2 2 2 2" xfId="1633" xr:uid="{00000000-0005-0000-0000-00003E150000}"/>
    <cellStyle name="Normal 3 2 2 4 2 2 3 2 2 2 2 2" xfId="28807" xr:uid="{00000000-0005-0000-0000-00003F150000}"/>
    <cellStyle name="Normal 3 2 2 4 2 2 3 2 2 2 2 2 2" xfId="60678" xr:uid="{00000000-0005-0000-0000-000040150000}"/>
    <cellStyle name="Normal 3 2 2 4 2 2 3 2 2 2 2 3" xfId="33512" xr:uid="{00000000-0005-0000-0000-000041150000}"/>
    <cellStyle name="Normal 3 2 2 4 2 2 3 2 2 2 3" xfId="20929" xr:uid="{00000000-0005-0000-0000-000042150000}"/>
    <cellStyle name="Normal 3 2 2 4 2 2 3 2 2 2 3 2" xfId="52800" xr:uid="{00000000-0005-0000-0000-000043150000}"/>
    <cellStyle name="Normal 3 2 2 4 2 2 3 2 2 2 4" xfId="33511" xr:uid="{00000000-0005-0000-0000-000044150000}"/>
    <cellStyle name="Normal 3 2 2 4 2 2 3 2 2 3" xfId="1634" xr:uid="{00000000-0005-0000-0000-000045150000}"/>
    <cellStyle name="Normal 3 2 2 4 2 2 3 2 2 3 2" xfId="24868" xr:uid="{00000000-0005-0000-0000-000046150000}"/>
    <cellStyle name="Normal 3 2 2 4 2 2 3 2 2 3 2 2" xfId="56739" xr:uid="{00000000-0005-0000-0000-000047150000}"/>
    <cellStyle name="Normal 3 2 2 4 2 2 3 2 2 3 3" xfId="33513" xr:uid="{00000000-0005-0000-0000-000048150000}"/>
    <cellStyle name="Normal 3 2 2 4 2 2 3 2 2 4" xfId="16990" xr:uid="{00000000-0005-0000-0000-000049150000}"/>
    <cellStyle name="Normal 3 2 2 4 2 2 3 2 2 4 2" xfId="48861" xr:uid="{00000000-0005-0000-0000-00004A150000}"/>
    <cellStyle name="Normal 3 2 2 4 2 2 3 2 2 5" xfId="33510" xr:uid="{00000000-0005-0000-0000-00004B150000}"/>
    <cellStyle name="Normal 3 2 2 4 2 2 3 2 3" xfId="1635" xr:uid="{00000000-0005-0000-0000-00004C150000}"/>
    <cellStyle name="Normal 3 2 2 4 2 2 3 2 3 2" xfId="1636" xr:uid="{00000000-0005-0000-0000-00004D150000}"/>
    <cellStyle name="Normal 3 2 2 4 2 2 3 2 3 2 2" xfId="28806" xr:uid="{00000000-0005-0000-0000-00004E150000}"/>
    <cellStyle name="Normal 3 2 2 4 2 2 3 2 3 2 2 2" xfId="60677" xr:uid="{00000000-0005-0000-0000-00004F150000}"/>
    <cellStyle name="Normal 3 2 2 4 2 2 3 2 3 2 3" xfId="33515" xr:uid="{00000000-0005-0000-0000-000050150000}"/>
    <cellStyle name="Normal 3 2 2 4 2 2 3 2 3 3" xfId="20928" xr:uid="{00000000-0005-0000-0000-000051150000}"/>
    <cellStyle name="Normal 3 2 2 4 2 2 3 2 3 3 2" xfId="52799" xr:uid="{00000000-0005-0000-0000-000052150000}"/>
    <cellStyle name="Normal 3 2 2 4 2 2 3 2 3 4" xfId="33514" xr:uid="{00000000-0005-0000-0000-000053150000}"/>
    <cellStyle name="Normal 3 2 2 4 2 2 3 2 4" xfId="1637" xr:uid="{00000000-0005-0000-0000-000054150000}"/>
    <cellStyle name="Normal 3 2 2 4 2 2 3 2 4 2" xfId="24867" xr:uid="{00000000-0005-0000-0000-000055150000}"/>
    <cellStyle name="Normal 3 2 2 4 2 2 3 2 4 2 2" xfId="56738" xr:uid="{00000000-0005-0000-0000-000056150000}"/>
    <cellStyle name="Normal 3 2 2 4 2 2 3 2 4 3" xfId="33516" xr:uid="{00000000-0005-0000-0000-000057150000}"/>
    <cellStyle name="Normal 3 2 2 4 2 2 3 2 5" xfId="16989" xr:uid="{00000000-0005-0000-0000-000058150000}"/>
    <cellStyle name="Normal 3 2 2 4 2 2 3 2 5 2" xfId="48860" xr:uid="{00000000-0005-0000-0000-000059150000}"/>
    <cellStyle name="Normal 3 2 2 4 2 2 3 2 6" xfId="33509" xr:uid="{00000000-0005-0000-0000-00005A150000}"/>
    <cellStyle name="Normal 3 2 2 4 2 2 3 3" xfId="1638" xr:uid="{00000000-0005-0000-0000-00005B150000}"/>
    <cellStyle name="Normal 3 2 2 4 2 2 3 3 2" xfId="1639" xr:uid="{00000000-0005-0000-0000-00005C150000}"/>
    <cellStyle name="Normal 3 2 2 4 2 2 3 3 2 2" xfId="1640" xr:uid="{00000000-0005-0000-0000-00005D150000}"/>
    <cellStyle name="Normal 3 2 2 4 2 2 3 3 2 2 2" xfId="28808" xr:uid="{00000000-0005-0000-0000-00005E150000}"/>
    <cellStyle name="Normal 3 2 2 4 2 2 3 3 2 2 2 2" xfId="60679" xr:uid="{00000000-0005-0000-0000-00005F150000}"/>
    <cellStyle name="Normal 3 2 2 4 2 2 3 3 2 2 3" xfId="33519" xr:uid="{00000000-0005-0000-0000-000060150000}"/>
    <cellStyle name="Normal 3 2 2 4 2 2 3 3 2 3" xfId="20930" xr:uid="{00000000-0005-0000-0000-000061150000}"/>
    <cellStyle name="Normal 3 2 2 4 2 2 3 3 2 3 2" xfId="52801" xr:uid="{00000000-0005-0000-0000-000062150000}"/>
    <cellStyle name="Normal 3 2 2 4 2 2 3 3 2 4" xfId="33518" xr:uid="{00000000-0005-0000-0000-000063150000}"/>
    <cellStyle name="Normal 3 2 2 4 2 2 3 3 3" xfId="1641" xr:uid="{00000000-0005-0000-0000-000064150000}"/>
    <cellStyle name="Normal 3 2 2 4 2 2 3 3 3 2" xfId="24869" xr:uid="{00000000-0005-0000-0000-000065150000}"/>
    <cellStyle name="Normal 3 2 2 4 2 2 3 3 3 2 2" xfId="56740" xr:uid="{00000000-0005-0000-0000-000066150000}"/>
    <cellStyle name="Normal 3 2 2 4 2 2 3 3 3 3" xfId="33520" xr:uid="{00000000-0005-0000-0000-000067150000}"/>
    <cellStyle name="Normal 3 2 2 4 2 2 3 3 4" xfId="16991" xr:uid="{00000000-0005-0000-0000-000068150000}"/>
    <cellStyle name="Normal 3 2 2 4 2 2 3 3 4 2" xfId="48862" xr:uid="{00000000-0005-0000-0000-000069150000}"/>
    <cellStyle name="Normal 3 2 2 4 2 2 3 3 5" xfId="33517" xr:uid="{00000000-0005-0000-0000-00006A150000}"/>
    <cellStyle name="Normal 3 2 2 4 2 2 3 4" xfId="1642" xr:uid="{00000000-0005-0000-0000-00006B150000}"/>
    <cellStyle name="Normal 3 2 2 4 2 2 3 4 2" xfId="1643" xr:uid="{00000000-0005-0000-0000-00006C150000}"/>
    <cellStyle name="Normal 3 2 2 4 2 2 3 4 2 2" xfId="28805" xr:uid="{00000000-0005-0000-0000-00006D150000}"/>
    <cellStyle name="Normal 3 2 2 4 2 2 3 4 2 2 2" xfId="60676" xr:uid="{00000000-0005-0000-0000-00006E150000}"/>
    <cellStyle name="Normal 3 2 2 4 2 2 3 4 2 3" xfId="33522" xr:uid="{00000000-0005-0000-0000-00006F150000}"/>
    <cellStyle name="Normal 3 2 2 4 2 2 3 4 3" xfId="20927" xr:uid="{00000000-0005-0000-0000-000070150000}"/>
    <cellStyle name="Normal 3 2 2 4 2 2 3 4 3 2" xfId="52798" xr:uid="{00000000-0005-0000-0000-000071150000}"/>
    <cellStyle name="Normal 3 2 2 4 2 2 3 4 4" xfId="33521" xr:uid="{00000000-0005-0000-0000-000072150000}"/>
    <cellStyle name="Normal 3 2 2 4 2 2 3 5" xfId="1644" xr:uid="{00000000-0005-0000-0000-000073150000}"/>
    <cellStyle name="Normal 3 2 2 4 2 2 3 5 2" xfId="24866" xr:uid="{00000000-0005-0000-0000-000074150000}"/>
    <cellStyle name="Normal 3 2 2 4 2 2 3 5 2 2" xfId="56737" xr:uid="{00000000-0005-0000-0000-000075150000}"/>
    <cellStyle name="Normal 3 2 2 4 2 2 3 5 3" xfId="33523" xr:uid="{00000000-0005-0000-0000-000076150000}"/>
    <cellStyle name="Normal 3 2 2 4 2 2 3 6" xfId="16988" xr:uid="{00000000-0005-0000-0000-000077150000}"/>
    <cellStyle name="Normal 3 2 2 4 2 2 3 6 2" xfId="48859" xr:uid="{00000000-0005-0000-0000-000078150000}"/>
    <cellStyle name="Normal 3 2 2 4 2 2 3 7" xfId="33508" xr:uid="{00000000-0005-0000-0000-000079150000}"/>
    <cellStyle name="Normal 3 2 2 4 2 2 4" xfId="1645" xr:uid="{00000000-0005-0000-0000-00007A150000}"/>
    <cellStyle name="Normal 3 2 2 4 2 2 4 2" xfId="1646" xr:uid="{00000000-0005-0000-0000-00007B150000}"/>
    <cellStyle name="Normal 3 2 2 4 2 2 4 2 2" xfId="1647" xr:uid="{00000000-0005-0000-0000-00007C150000}"/>
    <cellStyle name="Normal 3 2 2 4 2 2 4 2 2 2" xfId="1648" xr:uid="{00000000-0005-0000-0000-00007D150000}"/>
    <cellStyle name="Normal 3 2 2 4 2 2 4 2 2 2 2" xfId="28810" xr:uid="{00000000-0005-0000-0000-00007E150000}"/>
    <cellStyle name="Normal 3 2 2 4 2 2 4 2 2 2 2 2" xfId="60681" xr:uid="{00000000-0005-0000-0000-00007F150000}"/>
    <cellStyle name="Normal 3 2 2 4 2 2 4 2 2 2 3" xfId="33527" xr:uid="{00000000-0005-0000-0000-000080150000}"/>
    <cellStyle name="Normal 3 2 2 4 2 2 4 2 2 3" xfId="20932" xr:uid="{00000000-0005-0000-0000-000081150000}"/>
    <cellStyle name="Normal 3 2 2 4 2 2 4 2 2 3 2" xfId="52803" xr:uid="{00000000-0005-0000-0000-000082150000}"/>
    <cellStyle name="Normal 3 2 2 4 2 2 4 2 2 4" xfId="33526" xr:uid="{00000000-0005-0000-0000-000083150000}"/>
    <cellStyle name="Normal 3 2 2 4 2 2 4 2 3" xfId="1649" xr:uid="{00000000-0005-0000-0000-000084150000}"/>
    <cellStyle name="Normal 3 2 2 4 2 2 4 2 3 2" xfId="24871" xr:uid="{00000000-0005-0000-0000-000085150000}"/>
    <cellStyle name="Normal 3 2 2 4 2 2 4 2 3 2 2" xfId="56742" xr:uid="{00000000-0005-0000-0000-000086150000}"/>
    <cellStyle name="Normal 3 2 2 4 2 2 4 2 3 3" xfId="33528" xr:uid="{00000000-0005-0000-0000-000087150000}"/>
    <cellStyle name="Normal 3 2 2 4 2 2 4 2 4" xfId="16993" xr:uid="{00000000-0005-0000-0000-000088150000}"/>
    <cellStyle name="Normal 3 2 2 4 2 2 4 2 4 2" xfId="48864" xr:uid="{00000000-0005-0000-0000-000089150000}"/>
    <cellStyle name="Normal 3 2 2 4 2 2 4 2 5" xfId="33525" xr:uid="{00000000-0005-0000-0000-00008A150000}"/>
    <cellStyle name="Normal 3 2 2 4 2 2 4 3" xfId="1650" xr:uid="{00000000-0005-0000-0000-00008B150000}"/>
    <cellStyle name="Normal 3 2 2 4 2 2 4 3 2" xfId="1651" xr:uid="{00000000-0005-0000-0000-00008C150000}"/>
    <cellStyle name="Normal 3 2 2 4 2 2 4 3 2 2" xfId="28809" xr:uid="{00000000-0005-0000-0000-00008D150000}"/>
    <cellStyle name="Normal 3 2 2 4 2 2 4 3 2 2 2" xfId="60680" xr:uid="{00000000-0005-0000-0000-00008E150000}"/>
    <cellStyle name="Normal 3 2 2 4 2 2 4 3 2 3" xfId="33530" xr:uid="{00000000-0005-0000-0000-00008F150000}"/>
    <cellStyle name="Normal 3 2 2 4 2 2 4 3 3" xfId="20931" xr:uid="{00000000-0005-0000-0000-000090150000}"/>
    <cellStyle name="Normal 3 2 2 4 2 2 4 3 3 2" xfId="52802" xr:uid="{00000000-0005-0000-0000-000091150000}"/>
    <cellStyle name="Normal 3 2 2 4 2 2 4 3 4" xfId="33529" xr:uid="{00000000-0005-0000-0000-000092150000}"/>
    <cellStyle name="Normal 3 2 2 4 2 2 4 4" xfId="1652" xr:uid="{00000000-0005-0000-0000-000093150000}"/>
    <cellStyle name="Normal 3 2 2 4 2 2 4 4 2" xfId="24870" xr:uid="{00000000-0005-0000-0000-000094150000}"/>
    <cellStyle name="Normal 3 2 2 4 2 2 4 4 2 2" xfId="56741" xr:uid="{00000000-0005-0000-0000-000095150000}"/>
    <cellStyle name="Normal 3 2 2 4 2 2 4 4 3" xfId="33531" xr:uid="{00000000-0005-0000-0000-000096150000}"/>
    <cellStyle name="Normal 3 2 2 4 2 2 4 5" xfId="16992" xr:uid="{00000000-0005-0000-0000-000097150000}"/>
    <cellStyle name="Normal 3 2 2 4 2 2 4 5 2" xfId="48863" xr:uid="{00000000-0005-0000-0000-000098150000}"/>
    <cellStyle name="Normal 3 2 2 4 2 2 4 6" xfId="33524" xr:uid="{00000000-0005-0000-0000-000099150000}"/>
    <cellStyle name="Normal 3 2 2 4 2 2 5" xfId="1653" xr:uid="{00000000-0005-0000-0000-00009A150000}"/>
    <cellStyle name="Normal 3 2 2 4 2 2 5 2" xfId="1654" xr:uid="{00000000-0005-0000-0000-00009B150000}"/>
    <cellStyle name="Normal 3 2 2 4 2 2 5 2 2" xfId="1655" xr:uid="{00000000-0005-0000-0000-00009C150000}"/>
    <cellStyle name="Normal 3 2 2 4 2 2 5 2 2 2" xfId="28811" xr:uid="{00000000-0005-0000-0000-00009D150000}"/>
    <cellStyle name="Normal 3 2 2 4 2 2 5 2 2 2 2" xfId="60682" xr:uid="{00000000-0005-0000-0000-00009E150000}"/>
    <cellStyle name="Normal 3 2 2 4 2 2 5 2 2 3" xfId="33534" xr:uid="{00000000-0005-0000-0000-00009F150000}"/>
    <cellStyle name="Normal 3 2 2 4 2 2 5 2 3" xfId="20933" xr:uid="{00000000-0005-0000-0000-0000A0150000}"/>
    <cellStyle name="Normal 3 2 2 4 2 2 5 2 3 2" xfId="52804" xr:uid="{00000000-0005-0000-0000-0000A1150000}"/>
    <cellStyle name="Normal 3 2 2 4 2 2 5 2 4" xfId="33533" xr:uid="{00000000-0005-0000-0000-0000A2150000}"/>
    <cellStyle name="Normal 3 2 2 4 2 2 5 3" xfId="1656" xr:uid="{00000000-0005-0000-0000-0000A3150000}"/>
    <cellStyle name="Normal 3 2 2 4 2 2 5 3 2" xfId="24872" xr:uid="{00000000-0005-0000-0000-0000A4150000}"/>
    <cellStyle name="Normal 3 2 2 4 2 2 5 3 2 2" xfId="56743" xr:uid="{00000000-0005-0000-0000-0000A5150000}"/>
    <cellStyle name="Normal 3 2 2 4 2 2 5 3 3" xfId="33535" xr:uid="{00000000-0005-0000-0000-0000A6150000}"/>
    <cellStyle name="Normal 3 2 2 4 2 2 5 4" xfId="16994" xr:uid="{00000000-0005-0000-0000-0000A7150000}"/>
    <cellStyle name="Normal 3 2 2 4 2 2 5 4 2" xfId="48865" xr:uid="{00000000-0005-0000-0000-0000A8150000}"/>
    <cellStyle name="Normal 3 2 2 4 2 2 5 5" xfId="33532" xr:uid="{00000000-0005-0000-0000-0000A9150000}"/>
    <cellStyle name="Normal 3 2 2 4 2 2 6" xfId="1657" xr:uid="{00000000-0005-0000-0000-0000AA150000}"/>
    <cellStyle name="Normal 3 2 2 4 2 2 6 2" xfId="1658" xr:uid="{00000000-0005-0000-0000-0000AB150000}"/>
    <cellStyle name="Normal 3 2 2 4 2 2 6 2 2" xfId="28444" xr:uid="{00000000-0005-0000-0000-0000AC150000}"/>
    <cellStyle name="Normal 3 2 2 4 2 2 6 2 2 2" xfId="60315" xr:uid="{00000000-0005-0000-0000-0000AD150000}"/>
    <cellStyle name="Normal 3 2 2 4 2 2 6 2 3" xfId="33537" xr:uid="{00000000-0005-0000-0000-0000AE150000}"/>
    <cellStyle name="Normal 3 2 2 4 2 2 6 3" xfId="20566" xr:uid="{00000000-0005-0000-0000-0000AF150000}"/>
    <cellStyle name="Normal 3 2 2 4 2 2 6 3 2" xfId="52437" xr:uid="{00000000-0005-0000-0000-0000B0150000}"/>
    <cellStyle name="Normal 3 2 2 4 2 2 6 4" xfId="33536" xr:uid="{00000000-0005-0000-0000-0000B1150000}"/>
    <cellStyle name="Normal 3 2 2 4 2 2 7" xfId="1659" xr:uid="{00000000-0005-0000-0000-0000B2150000}"/>
    <cellStyle name="Normal 3 2 2 4 2 2 7 2" xfId="24505" xr:uid="{00000000-0005-0000-0000-0000B3150000}"/>
    <cellStyle name="Normal 3 2 2 4 2 2 7 2 2" xfId="56376" xr:uid="{00000000-0005-0000-0000-0000B4150000}"/>
    <cellStyle name="Normal 3 2 2 4 2 2 7 3" xfId="33538" xr:uid="{00000000-0005-0000-0000-0000B5150000}"/>
    <cellStyle name="Normal 3 2 2 4 2 2 8" xfId="16627" xr:uid="{00000000-0005-0000-0000-0000B6150000}"/>
    <cellStyle name="Normal 3 2 2 4 2 2 8 2" xfId="48498" xr:uid="{00000000-0005-0000-0000-0000B7150000}"/>
    <cellStyle name="Normal 3 2 2 4 2 2 9" xfId="33475" xr:uid="{00000000-0005-0000-0000-0000B8150000}"/>
    <cellStyle name="Normal 3 2 2 4 2 3" xfId="1660" xr:uid="{00000000-0005-0000-0000-0000B9150000}"/>
    <cellStyle name="Normal 3 2 2 4 2 3 2" xfId="1661" xr:uid="{00000000-0005-0000-0000-0000BA150000}"/>
    <cellStyle name="Normal 3 2 2 4 2 3 2 2" xfId="1662" xr:uid="{00000000-0005-0000-0000-0000BB150000}"/>
    <cellStyle name="Normal 3 2 2 4 2 3 2 2 2" xfId="1663" xr:uid="{00000000-0005-0000-0000-0000BC150000}"/>
    <cellStyle name="Normal 3 2 2 4 2 3 2 2 2 2" xfId="1664" xr:uid="{00000000-0005-0000-0000-0000BD150000}"/>
    <cellStyle name="Normal 3 2 2 4 2 3 2 2 2 2 2" xfId="1665" xr:uid="{00000000-0005-0000-0000-0000BE150000}"/>
    <cellStyle name="Normal 3 2 2 4 2 3 2 2 2 2 2 2" xfId="28815" xr:uid="{00000000-0005-0000-0000-0000BF150000}"/>
    <cellStyle name="Normal 3 2 2 4 2 3 2 2 2 2 2 2 2" xfId="60686" xr:uid="{00000000-0005-0000-0000-0000C0150000}"/>
    <cellStyle name="Normal 3 2 2 4 2 3 2 2 2 2 2 3" xfId="33544" xr:uid="{00000000-0005-0000-0000-0000C1150000}"/>
    <cellStyle name="Normal 3 2 2 4 2 3 2 2 2 2 3" xfId="20937" xr:uid="{00000000-0005-0000-0000-0000C2150000}"/>
    <cellStyle name="Normal 3 2 2 4 2 3 2 2 2 2 3 2" xfId="52808" xr:uid="{00000000-0005-0000-0000-0000C3150000}"/>
    <cellStyle name="Normal 3 2 2 4 2 3 2 2 2 2 4" xfId="33543" xr:uid="{00000000-0005-0000-0000-0000C4150000}"/>
    <cellStyle name="Normal 3 2 2 4 2 3 2 2 2 3" xfId="1666" xr:uid="{00000000-0005-0000-0000-0000C5150000}"/>
    <cellStyle name="Normal 3 2 2 4 2 3 2 2 2 3 2" xfId="24876" xr:uid="{00000000-0005-0000-0000-0000C6150000}"/>
    <cellStyle name="Normal 3 2 2 4 2 3 2 2 2 3 2 2" xfId="56747" xr:uid="{00000000-0005-0000-0000-0000C7150000}"/>
    <cellStyle name="Normal 3 2 2 4 2 3 2 2 2 3 3" xfId="33545" xr:uid="{00000000-0005-0000-0000-0000C8150000}"/>
    <cellStyle name="Normal 3 2 2 4 2 3 2 2 2 4" xfId="16998" xr:uid="{00000000-0005-0000-0000-0000C9150000}"/>
    <cellStyle name="Normal 3 2 2 4 2 3 2 2 2 4 2" xfId="48869" xr:uid="{00000000-0005-0000-0000-0000CA150000}"/>
    <cellStyle name="Normal 3 2 2 4 2 3 2 2 2 5" xfId="33542" xr:uid="{00000000-0005-0000-0000-0000CB150000}"/>
    <cellStyle name="Normal 3 2 2 4 2 3 2 2 3" xfId="1667" xr:uid="{00000000-0005-0000-0000-0000CC150000}"/>
    <cellStyle name="Normal 3 2 2 4 2 3 2 2 3 2" xfId="1668" xr:uid="{00000000-0005-0000-0000-0000CD150000}"/>
    <cellStyle name="Normal 3 2 2 4 2 3 2 2 3 2 2" xfId="28814" xr:uid="{00000000-0005-0000-0000-0000CE150000}"/>
    <cellStyle name="Normal 3 2 2 4 2 3 2 2 3 2 2 2" xfId="60685" xr:uid="{00000000-0005-0000-0000-0000CF150000}"/>
    <cellStyle name="Normal 3 2 2 4 2 3 2 2 3 2 3" xfId="33547" xr:uid="{00000000-0005-0000-0000-0000D0150000}"/>
    <cellStyle name="Normal 3 2 2 4 2 3 2 2 3 3" xfId="20936" xr:uid="{00000000-0005-0000-0000-0000D1150000}"/>
    <cellStyle name="Normal 3 2 2 4 2 3 2 2 3 3 2" xfId="52807" xr:uid="{00000000-0005-0000-0000-0000D2150000}"/>
    <cellStyle name="Normal 3 2 2 4 2 3 2 2 3 4" xfId="33546" xr:uid="{00000000-0005-0000-0000-0000D3150000}"/>
    <cellStyle name="Normal 3 2 2 4 2 3 2 2 4" xfId="1669" xr:uid="{00000000-0005-0000-0000-0000D4150000}"/>
    <cellStyle name="Normal 3 2 2 4 2 3 2 2 4 2" xfId="24875" xr:uid="{00000000-0005-0000-0000-0000D5150000}"/>
    <cellStyle name="Normal 3 2 2 4 2 3 2 2 4 2 2" xfId="56746" xr:uid="{00000000-0005-0000-0000-0000D6150000}"/>
    <cellStyle name="Normal 3 2 2 4 2 3 2 2 4 3" xfId="33548" xr:uid="{00000000-0005-0000-0000-0000D7150000}"/>
    <cellStyle name="Normal 3 2 2 4 2 3 2 2 5" xfId="16997" xr:uid="{00000000-0005-0000-0000-0000D8150000}"/>
    <cellStyle name="Normal 3 2 2 4 2 3 2 2 5 2" xfId="48868" xr:uid="{00000000-0005-0000-0000-0000D9150000}"/>
    <cellStyle name="Normal 3 2 2 4 2 3 2 2 6" xfId="33541" xr:uid="{00000000-0005-0000-0000-0000DA150000}"/>
    <cellStyle name="Normal 3 2 2 4 2 3 2 3" xfId="1670" xr:uid="{00000000-0005-0000-0000-0000DB150000}"/>
    <cellStyle name="Normal 3 2 2 4 2 3 2 3 2" xfId="1671" xr:uid="{00000000-0005-0000-0000-0000DC150000}"/>
    <cellStyle name="Normal 3 2 2 4 2 3 2 3 2 2" xfId="1672" xr:uid="{00000000-0005-0000-0000-0000DD150000}"/>
    <cellStyle name="Normal 3 2 2 4 2 3 2 3 2 2 2" xfId="28816" xr:uid="{00000000-0005-0000-0000-0000DE150000}"/>
    <cellStyle name="Normal 3 2 2 4 2 3 2 3 2 2 2 2" xfId="60687" xr:uid="{00000000-0005-0000-0000-0000DF150000}"/>
    <cellStyle name="Normal 3 2 2 4 2 3 2 3 2 2 3" xfId="33551" xr:uid="{00000000-0005-0000-0000-0000E0150000}"/>
    <cellStyle name="Normal 3 2 2 4 2 3 2 3 2 3" xfId="20938" xr:uid="{00000000-0005-0000-0000-0000E1150000}"/>
    <cellStyle name="Normal 3 2 2 4 2 3 2 3 2 3 2" xfId="52809" xr:uid="{00000000-0005-0000-0000-0000E2150000}"/>
    <cellStyle name="Normal 3 2 2 4 2 3 2 3 2 4" xfId="33550" xr:uid="{00000000-0005-0000-0000-0000E3150000}"/>
    <cellStyle name="Normal 3 2 2 4 2 3 2 3 3" xfId="1673" xr:uid="{00000000-0005-0000-0000-0000E4150000}"/>
    <cellStyle name="Normal 3 2 2 4 2 3 2 3 3 2" xfId="24877" xr:uid="{00000000-0005-0000-0000-0000E5150000}"/>
    <cellStyle name="Normal 3 2 2 4 2 3 2 3 3 2 2" xfId="56748" xr:uid="{00000000-0005-0000-0000-0000E6150000}"/>
    <cellStyle name="Normal 3 2 2 4 2 3 2 3 3 3" xfId="33552" xr:uid="{00000000-0005-0000-0000-0000E7150000}"/>
    <cellStyle name="Normal 3 2 2 4 2 3 2 3 4" xfId="16999" xr:uid="{00000000-0005-0000-0000-0000E8150000}"/>
    <cellStyle name="Normal 3 2 2 4 2 3 2 3 4 2" xfId="48870" xr:uid="{00000000-0005-0000-0000-0000E9150000}"/>
    <cellStyle name="Normal 3 2 2 4 2 3 2 3 5" xfId="33549" xr:uid="{00000000-0005-0000-0000-0000EA150000}"/>
    <cellStyle name="Normal 3 2 2 4 2 3 2 4" xfId="1674" xr:uid="{00000000-0005-0000-0000-0000EB150000}"/>
    <cellStyle name="Normal 3 2 2 4 2 3 2 4 2" xfId="1675" xr:uid="{00000000-0005-0000-0000-0000EC150000}"/>
    <cellStyle name="Normal 3 2 2 4 2 3 2 4 2 2" xfId="28813" xr:uid="{00000000-0005-0000-0000-0000ED150000}"/>
    <cellStyle name="Normal 3 2 2 4 2 3 2 4 2 2 2" xfId="60684" xr:uid="{00000000-0005-0000-0000-0000EE150000}"/>
    <cellStyle name="Normal 3 2 2 4 2 3 2 4 2 3" xfId="33554" xr:uid="{00000000-0005-0000-0000-0000EF150000}"/>
    <cellStyle name="Normal 3 2 2 4 2 3 2 4 3" xfId="20935" xr:uid="{00000000-0005-0000-0000-0000F0150000}"/>
    <cellStyle name="Normal 3 2 2 4 2 3 2 4 3 2" xfId="52806" xr:uid="{00000000-0005-0000-0000-0000F1150000}"/>
    <cellStyle name="Normal 3 2 2 4 2 3 2 4 4" xfId="33553" xr:uid="{00000000-0005-0000-0000-0000F2150000}"/>
    <cellStyle name="Normal 3 2 2 4 2 3 2 5" xfId="1676" xr:uid="{00000000-0005-0000-0000-0000F3150000}"/>
    <cellStyle name="Normal 3 2 2 4 2 3 2 5 2" xfId="24874" xr:uid="{00000000-0005-0000-0000-0000F4150000}"/>
    <cellStyle name="Normal 3 2 2 4 2 3 2 5 2 2" xfId="56745" xr:uid="{00000000-0005-0000-0000-0000F5150000}"/>
    <cellStyle name="Normal 3 2 2 4 2 3 2 5 3" xfId="33555" xr:uid="{00000000-0005-0000-0000-0000F6150000}"/>
    <cellStyle name="Normal 3 2 2 4 2 3 2 6" xfId="16996" xr:uid="{00000000-0005-0000-0000-0000F7150000}"/>
    <cellStyle name="Normal 3 2 2 4 2 3 2 6 2" xfId="48867" xr:uid="{00000000-0005-0000-0000-0000F8150000}"/>
    <cellStyle name="Normal 3 2 2 4 2 3 2 7" xfId="33540" xr:uid="{00000000-0005-0000-0000-0000F9150000}"/>
    <cellStyle name="Normal 3 2 2 4 2 3 3" xfId="1677" xr:uid="{00000000-0005-0000-0000-0000FA150000}"/>
    <cellStyle name="Normal 3 2 2 4 2 3 3 2" xfId="1678" xr:uid="{00000000-0005-0000-0000-0000FB150000}"/>
    <cellStyle name="Normal 3 2 2 4 2 3 3 2 2" xfId="1679" xr:uid="{00000000-0005-0000-0000-0000FC150000}"/>
    <cellStyle name="Normal 3 2 2 4 2 3 3 2 2 2" xfId="1680" xr:uid="{00000000-0005-0000-0000-0000FD150000}"/>
    <cellStyle name="Normal 3 2 2 4 2 3 3 2 2 2 2" xfId="28818" xr:uid="{00000000-0005-0000-0000-0000FE150000}"/>
    <cellStyle name="Normal 3 2 2 4 2 3 3 2 2 2 2 2" xfId="60689" xr:uid="{00000000-0005-0000-0000-0000FF150000}"/>
    <cellStyle name="Normal 3 2 2 4 2 3 3 2 2 2 3" xfId="33559" xr:uid="{00000000-0005-0000-0000-000000160000}"/>
    <cellStyle name="Normal 3 2 2 4 2 3 3 2 2 3" xfId="20940" xr:uid="{00000000-0005-0000-0000-000001160000}"/>
    <cellStyle name="Normal 3 2 2 4 2 3 3 2 2 3 2" xfId="52811" xr:uid="{00000000-0005-0000-0000-000002160000}"/>
    <cellStyle name="Normal 3 2 2 4 2 3 3 2 2 4" xfId="33558" xr:uid="{00000000-0005-0000-0000-000003160000}"/>
    <cellStyle name="Normal 3 2 2 4 2 3 3 2 3" xfId="1681" xr:uid="{00000000-0005-0000-0000-000004160000}"/>
    <cellStyle name="Normal 3 2 2 4 2 3 3 2 3 2" xfId="24879" xr:uid="{00000000-0005-0000-0000-000005160000}"/>
    <cellStyle name="Normal 3 2 2 4 2 3 3 2 3 2 2" xfId="56750" xr:uid="{00000000-0005-0000-0000-000006160000}"/>
    <cellStyle name="Normal 3 2 2 4 2 3 3 2 3 3" xfId="33560" xr:uid="{00000000-0005-0000-0000-000007160000}"/>
    <cellStyle name="Normal 3 2 2 4 2 3 3 2 4" xfId="17001" xr:uid="{00000000-0005-0000-0000-000008160000}"/>
    <cellStyle name="Normal 3 2 2 4 2 3 3 2 4 2" xfId="48872" xr:uid="{00000000-0005-0000-0000-000009160000}"/>
    <cellStyle name="Normal 3 2 2 4 2 3 3 2 5" xfId="33557" xr:uid="{00000000-0005-0000-0000-00000A160000}"/>
    <cellStyle name="Normal 3 2 2 4 2 3 3 3" xfId="1682" xr:uid="{00000000-0005-0000-0000-00000B160000}"/>
    <cellStyle name="Normal 3 2 2 4 2 3 3 3 2" xfId="1683" xr:uid="{00000000-0005-0000-0000-00000C160000}"/>
    <cellStyle name="Normal 3 2 2 4 2 3 3 3 2 2" xfId="28817" xr:uid="{00000000-0005-0000-0000-00000D160000}"/>
    <cellStyle name="Normal 3 2 2 4 2 3 3 3 2 2 2" xfId="60688" xr:uid="{00000000-0005-0000-0000-00000E160000}"/>
    <cellStyle name="Normal 3 2 2 4 2 3 3 3 2 3" xfId="33562" xr:uid="{00000000-0005-0000-0000-00000F160000}"/>
    <cellStyle name="Normal 3 2 2 4 2 3 3 3 3" xfId="20939" xr:uid="{00000000-0005-0000-0000-000010160000}"/>
    <cellStyle name="Normal 3 2 2 4 2 3 3 3 3 2" xfId="52810" xr:uid="{00000000-0005-0000-0000-000011160000}"/>
    <cellStyle name="Normal 3 2 2 4 2 3 3 3 4" xfId="33561" xr:uid="{00000000-0005-0000-0000-000012160000}"/>
    <cellStyle name="Normal 3 2 2 4 2 3 3 4" xfId="1684" xr:uid="{00000000-0005-0000-0000-000013160000}"/>
    <cellStyle name="Normal 3 2 2 4 2 3 3 4 2" xfId="24878" xr:uid="{00000000-0005-0000-0000-000014160000}"/>
    <cellStyle name="Normal 3 2 2 4 2 3 3 4 2 2" xfId="56749" xr:uid="{00000000-0005-0000-0000-000015160000}"/>
    <cellStyle name="Normal 3 2 2 4 2 3 3 4 3" xfId="33563" xr:uid="{00000000-0005-0000-0000-000016160000}"/>
    <cellStyle name="Normal 3 2 2 4 2 3 3 5" xfId="17000" xr:uid="{00000000-0005-0000-0000-000017160000}"/>
    <cellStyle name="Normal 3 2 2 4 2 3 3 5 2" xfId="48871" xr:uid="{00000000-0005-0000-0000-000018160000}"/>
    <cellStyle name="Normal 3 2 2 4 2 3 3 6" xfId="33556" xr:uid="{00000000-0005-0000-0000-000019160000}"/>
    <cellStyle name="Normal 3 2 2 4 2 3 4" xfId="1685" xr:uid="{00000000-0005-0000-0000-00001A160000}"/>
    <cellStyle name="Normal 3 2 2 4 2 3 4 2" xfId="1686" xr:uid="{00000000-0005-0000-0000-00001B160000}"/>
    <cellStyle name="Normal 3 2 2 4 2 3 4 2 2" xfId="1687" xr:uid="{00000000-0005-0000-0000-00001C160000}"/>
    <cellStyle name="Normal 3 2 2 4 2 3 4 2 2 2" xfId="28819" xr:uid="{00000000-0005-0000-0000-00001D160000}"/>
    <cellStyle name="Normal 3 2 2 4 2 3 4 2 2 2 2" xfId="60690" xr:uid="{00000000-0005-0000-0000-00001E160000}"/>
    <cellStyle name="Normal 3 2 2 4 2 3 4 2 2 3" xfId="33566" xr:uid="{00000000-0005-0000-0000-00001F160000}"/>
    <cellStyle name="Normal 3 2 2 4 2 3 4 2 3" xfId="20941" xr:uid="{00000000-0005-0000-0000-000020160000}"/>
    <cellStyle name="Normal 3 2 2 4 2 3 4 2 3 2" xfId="52812" xr:uid="{00000000-0005-0000-0000-000021160000}"/>
    <cellStyle name="Normal 3 2 2 4 2 3 4 2 4" xfId="33565" xr:uid="{00000000-0005-0000-0000-000022160000}"/>
    <cellStyle name="Normal 3 2 2 4 2 3 4 3" xfId="1688" xr:uid="{00000000-0005-0000-0000-000023160000}"/>
    <cellStyle name="Normal 3 2 2 4 2 3 4 3 2" xfId="24880" xr:uid="{00000000-0005-0000-0000-000024160000}"/>
    <cellStyle name="Normal 3 2 2 4 2 3 4 3 2 2" xfId="56751" xr:uid="{00000000-0005-0000-0000-000025160000}"/>
    <cellStyle name="Normal 3 2 2 4 2 3 4 3 3" xfId="33567" xr:uid="{00000000-0005-0000-0000-000026160000}"/>
    <cellStyle name="Normal 3 2 2 4 2 3 4 4" xfId="17002" xr:uid="{00000000-0005-0000-0000-000027160000}"/>
    <cellStyle name="Normal 3 2 2 4 2 3 4 4 2" xfId="48873" xr:uid="{00000000-0005-0000-0000-000028160000}"/>
    <cellStyle name="Normal 3 2 2 4 2 3 4 5" xfId="33564" xr:uid="{00000000-0005-0000-0000-000029160000}"/>
    <cellStyle name="Normal 3 2 2 4 2 3 5" xfId="1689" xr:uid="{00000000-0005-0000-0000-00002A160000}"/>
    <cellStyle name="Normal 3 2 2 4 2 3 5 2" xfId="1690" xr:uid="{00000000-0005-0000-0000-00002B160000}"/>
    <cellStyle name="Normal 3 2 2 4 2 3 5 2 2" xfId="28812" xr:uid="{00000000-0005-0000-0000-00002C160000}"/>
    <cellStyle name="Normal 3 2 2 4 2 3 5 2 2 2" xfId="60683" xr:uid="{00000000-0005-0000-0000-00002D160000}"/>
    <cellStyle name="Normal 3 2 2 4 2 3 5 2 3" xfId="33569" xr:uid="{00000000-0005-0000-0000-00002E160000}"/>
    <cellStyle name="Normal 3 2 2 4 2 3 5 3" xfId="20934" xr:uid="{00000000-0005-0000-0000-00002F160000}"/>
    <cellStyle name="Normal 3 2 2 4 2 3 5 3 2" xfId="52805" xr:uid="{00000000-0005-0000-0000-000030160000}"/>
    <cellStyle name="Normal 3 2 2 4 2 3 5 4" xfId="33568" xr:uid="{00000000-0005-0000-0000-000031160000}"/>
    <cellStyle name="Normal 3 2 2 4 2 3 6" xfId="1691" xr:uid="{00000000-0005-0000-0000-000032160000}"/>
    <cellStyle name="Normal 3 2 2 4 2 3 6 2" xfId="24873" xr:uid="{00000000-0005-0000-0000-000033160000}"/>
    <cellStyle name="Normal 3 2 2 4 2 3 6 2 2" xfId="56744" xr:uid="{00000000-0005-0000-0000-000034160000}"/>
    <cellStyle name="Normal 3 2 2 4 2 3 6 3" xfId="33570" xr:uid="{00000000-0005-0000-0000-000035160000}"/>
    <cellStyle name="Normal 3 2 2 4 2 3 7" xfId="16995" xr:uid="{00000000-0005-0000-0000-000036160000}"/>
    <cellStyle name="Normal 3 2 2 4 2 3 7 2" xfId="48866" xr:uid="{00000000-0005-0000-0000-000037160000}"/>
    <cellStyle name="Normal 3 2 2 4 2 3 8" xfId="33539" xr:uid="{00000000-0005-0000-0000-000038160000}"/>
    <cellStyle name="Normal 3 2 2 4 2 4" xfId="1692" xr:uid="{00000000-0005-0000-0000-000039160000}"/>
    <cellStyle name="Normal 3 2 2 4 2 4 2" xfId="1693" xr:uid="{00000000-0005-0000-0000-00003A160000}"/>
    <cellStyle name="Normal 3 2 2 4 2 4 2 2" xfId="1694" xr:uid="{00000000-0005-0000-0000-00003B160000}"/>
    <cellStyle name="Normal 3 2 2 4 2 4 2 2 2" xfId="1695" xr:uid="{00000000-0005-0000-0000-00003C160000}"/>
    <cellStyle name="Normal 3 2 2 4 2 4 2 2 2 2" xfId="1696" xr:uid="{00000000-0005-0000-0000-00003D160000}"/>
    <cellStyle name="Normal 3 2 2 4 2 4 2 2 2 2 2" xfId="28822" xr:uid="{00000000-0005-0000-0000-00003E160000}"/>
    <cellStyle name="Normal 3 2 2 4 2 4 2 2 2 2 2 2" xfId="60693" xr:uid="{00000000-0005-0000-0000-00003F160000}"/>
    <cellStyle name="Normal 3 2 2 4 2 4 2 2 2 2 3" xfId="33575" xr:uid="{00000000-0005-0000-0000-000040160000}"/>
    <cellStyle name="Normal 3 2 2 4 2 4 2 2 2 3" xfId="20944" xr:uid="{00000000-0005-0000-0000-000041160000}"/>
    <cellStyle name="Normal 3 2 2 4 2 4 2 2 2 3 2" xfId="52815" xr:uid="{00000000-0005-0000-0000-000042160000}"/>
    <cellStyle name="Normal 3 2 2 4 2 4 2 2 2 4" xfId="33574" xr:uid="{00000000-0005-0000-0000-000043160000}"/>
    <cellStyle name="Normal 3 2 2 4 2 4 2 2 3" xfId="1697" xr:uid="{00000000-0005-0000-0000-000044160000}"/>
    <cellStyle name="Normal 3 2 2 4 2 4 2 2 3 2" xfId="24883" xr:uid="{00000000-0005-0000-0000-000045160000}"/>
    <cellStyle name="Normal 3 2 2 4 2 4 2 2 3 2 2" xfId="56754" xr:uid="{00000000-0005-0000-0000-000046160000}"/>
    <cellStyle name="Normal 3 2 2 4 2 4 2 2 3 3" xfId="33576" xr:uid="{00000000-0005-0000-0000-000047160000}"/>
    <cellStyle name="Normal 3 2 2 4 2 4 2 2 4" xfId="17005" xr:uid="{00000000-0005-0000-0000-000048160000}"/>
    <cellStyle name="Normal 3 2 2 4 2 4 2 2 4 2" xfId="48876" xr:uid="{00000000-0005-0000-0000-000049160000}"/>
    <cellStyle name="Normal 3 2 2 4 2 4 2 2 5" xfId="33573" xr:uid="{00000000-0005-0000-0000-00004A160000}"/>
    <cellStyle name="Normal 3 2 2 4 2 4 2 3" xfId="1698" xr:uid="{00000000-0005-0000-0000-00004B160000}"/>
    <cellStyle name="Normal 3 2 2 4 2 4 2 3 2" xfId="1699" xr:uid="{00000000-0005-0000-0000-00004C160000}"/>
    <cellStyle name="Normal 3 2 2 4 2 4 2 3 2 2" xfId="28821" xr:uid="{00000000-0005-0000-0000-00004D160000}"/>
    <cellStyle name="Normal 3 2 2 4 2 4 2 3 2 2 2" xfId="60692" xr:uid="{00000000-0005-0000-0000-00004E160000}"/>
    <cellStyle name="Normal 3 2 2 4 2 4 2 3 2 3" xfId="33578" xr:uid="{00000000-0005-0000-0000-00004F160000}"/>
    <cellStyle name="Normal 3 2 2 4 2 4 2 3 3" xfId="20943" xr:uid="{00000000-0005-0000-0000-000050160000}"/>
    <cellStyle name="Normal 3 2 2 4 2 4 2 3 3 2" xfId="52814" xr:uid="{00000000-0005-0000-0000-000051160000}"/>
    <cellStyle name="Normal 3 2 2 4 2 4 2 3 4" xfId="33577" xr:uid="{00000000-0005-0000-0000-000052160000}"/>
    <cellStyle name="Normal 3 2 2 4 2 4 2 4" xfId="1700" xr:uid="{00000000-0005-0000-0000-000053160000}"/>
    <cellStyle name="Normal 3 2 2 4 2 4 2 4 2" xfId="24882" xr:uid="{00000000-0005-0000-0000-000054160000}"/>
    <cellStyle name="Normal 3 2 2 4 2 4 2 4 2 2" xfId="56753" xr:uid="{00000000-0005-0000-0000-000055160000}"/>
    <cellStyle name="Normal 3 2 2 4 2 4 2 4 3" xfId="33579" xr:uid="{00000000-0005-0000-0000-000056160000}"/>
    <cellStyle name="Normal 3 2 2 4 2 4 2 5" xfId="17004" xr:uid="{00000000-0005-0000-0000-000057160000}"/>
    <cellStyle name="Normal 3 2 2 4 2 4 2 5 2" xfId="48875" xr:uid="{00000000-0005-0000-0000-000058160000}"/>
    <cellStyle name="Normal 3 2 2 4 2 4 2 6" xfId="33572" xr:uid="{00000000-0005-0000-0000-000059160000}"/>
    <cellStyle name="Normal 3 2 2 4 2 4 3" xfId="1701" xr:uid="{00000000-0005-0000-0000-00005A160000}"/>
    <cellStyle name="Normal 3 2 2 4 2 4 3 2" xfId="1702" xr:uid="{00000000-0005-0000-0000-00005B160000}"/>
    <cellStyle name="Normal 3 2 2 4 2 4 3 2 2" xfId="1703" xr:uid="{00000000-0005-0000-0000-00005C160000}"/>
    <cellStyle name="Normal 3 2 2 4 2 4 3 2 2 2" xfId="28823" xr:uid="{00000000-0005-0000-0000-00005D160000}"/>
    <cellStyle name="Normal 3 2 2 4 2 4 3 2 2 2 2" xfId="60694" xr:uid="{00000000-0005-0000-0000-00005E160000}"/>
    <cellStyle name="Normal 3 2 2 4 2 4 3 2 2 3" xfId="33582" xr:uid="{00000000-0005-0000-0000-00005F160000}"/>
    <cellStyle name="Normal 3 2 2 4 2 4 3 2 3" xfId="20945" xr:uid="{00000000-0005-0000-0000-000060160000}"/>
    <cellStyle name="Normal 3 2 2 4 2 4 3 2 3 2" xfId="52816" xr:uid="{00000000-0005-0000-0000-000061160000}"/>
    <cellStyle name="Normal 3 2 2 4 2 4 3 2 4" xfId="33581" xr:uid="{00000000-0005-0000-0000-000062160000}"/>
    <cellStyle name="Normal 3 2 2 4 2 4 3 3" xfId="1704" xr:uid="{00000000-0005-0000-0000-000063160000}"/>
    <cellStyle name="Normal 3 2 2 4 2 4 3 3 2" xfId="24884" xr:uid="{00000000-0005-0000-0000-000064160000}"/>
    <cellStyle name="Normal 3 2 2 4 2 4 3 3 2 2" xfId="56755" xr:uid="{00000000-0005-0000-0000-000065160000}"/>
    <cellStyle name="Normal 3 2 2 4 2 4 3 3 3" xfId="33583" xr:uid="{00000000-0005-0000-0000-000066160000}"/>
    <cellStyle name="Normal 3 2 2 4 2 4 3 4" xfId="17006" xr:uid="{00000000-0005-0000-0000-000067160000}"/>
    <cellStyle name="Normal 3 2 2 4 2 4 3 4 2" xfId="48877" xr:uid="{00000000-0005-0000-0000-000068160000}"/>
    <cellStyle name="Normal 3 2 2 4 2 4 3 5" xfId="33580" xr:uid="{00000000-0005-0000-0000-000069160000}"/>
    <cellStyle name="Normal 3 2 2 4 2 4 4" xfId="1705" xr:uid="{00000000-0005-0000-0000-00006A160000}"/>
    <cellStyle name="Normal 3 2 2 4 2 4 4 2" xfId="1706" xr:uid="{00000000-0005-0000-0000-00006B160000}"/>
    <cellStyle name="Normal 3 2 2 4 2 4 4 2 2" xfId="28820" xr:uid="{00000000-0005-0000-0000-00006C160000}"/>
    <cellStyle name="Normal 3 2 2 4 2 4 4 2 2 2" xfId="60691" xr:uid="{00000000-0005-0000-0000-00006D160000}"/>
    <cellStyle name="Normal 3 2 2 4 2 4 4 2 3" xfId="33585" xr:uid="{00000000-0005-0000-0000-00006E160000}"/>
    <cellStyle name="Normal 3 2 2 4 2 4 4 3" xfId="20942" xr:uid="{00000000-0005-0000-0000-00006F160000}"/>
    <cellStyle name="Normal 3 2 2 4 2 4 4 3 2" xfId="52813" xr:uid="{00000000-0005-0000-0000-000070160000}"/>
    <cellStyle name="Normal 3 2 2 4 2 4 4 4" xfId="33584" xr:uid="{00000000-0005-0000-0000-000071160000}"/>
    <cellStyle name="Normal 3 2 2 4 2 4 5" xfId="1707" xr:uid="{00000000-0005-0000-0000-000072160000}"/>
    <cellStyle name="Normal 3 2 2 4 2 4 5 2" xfId="24881" xr:uid="{00000000-0005-0000-0000-000073160000}"/>
    <cellStyle name="Normal 3 2 2 4 2 4 5 2 2" xfId="56752" xr:uid="{00000000-0005-0000-0000-000074160000}"/>
    <cellStyle name="Normal 3 2 2 4 2 4 5 3" xfId="33586" xr:uid="{00000000-0005-0000-0000-000075160000}"/>
    <cellStyle name="Normal 3 2 2 4 2 4 6" xfId="17003" xr:uid="{00000000-0005-0000-0000-000076160000}"/>
    <cellStyle name="Normal 3 2 2 4 2 4 6 2" xfId="48874" xr:uid="{00000000-0005-0000-0000-000077160000}"/>
    <cellStyle name="Normal 3 2 2 4 2 4 7" xfId="33571" xr:uid="{00000000-0005-0000-0000-000078160000}"/>
    <cellStyle name="Normal 3 2 2 4 2 5" xfId="1708" xr:uid="{00000000-0005-0000-0000-000079160000}"/>
    <cellStyle name="Normal 3 2 2 4 2 5 2" xfId="1709" xr:uid="{00000000-0005-0000-0000-00007A160000}"/>
    <cellStyle name="Normal 3 2 2 4 2 5 2 2" xfId="1710" xr:uid="{00000000-0005-0000-0000-00007B160000}"/>
    <cellStyle name="Normal 3 2 2 4 2 5 2 2 2" xfId="1711" xr:uid="{00000000-0005-0000-0000-00007C160000}"/>
    <cellStyle name="Normal 3 2 2 4 2 5 2 2 2 2" xfId="28825" xr:uid="{00000000-0005-0000-0000-00007D160000}"/>
    <cellStyle name="Normal 3 2 2 4 2 5 2 2 2 2 2" xfId="60696" xr:uid="{00000000-0005-0000-0000-00007E160000}"/>
    <cellStyle name="Normal 3 2 2 4 2 5 2 2 2 3" xfId="33590" xr:uid="{00000000-0005-0000-0000-00007F160000}"/>
    <cellStyle name="Normal 3 2 2 4 2 5 2 2 3" xfId="20947" xr:uid="{00000000-0005-0000-0000-000080160000}"/>
    <cellStyle name="Normal 3 2 2 4 2 5 2 2 3 2" xfId="52818" xr:uid="{00000000-0005-0000-0000-000081160000}"/>
    <cellStyle name="Normal 3 2 2 4 2 5 2 2 4" xfId="33589" xr:uid="{00000000-0005-0000-0000-000082160000}"/>
    <cellStyle name="Normal 3 2 2 4 2 5 2 3" xfId="1712" xr:uid="{00000000-0005-0000-0000-000083160000}"/>
    <cellStyle name="Normal 3 2 2 4 2 5 2 3 2" xfId="24886" xr:uid="{00000000-0005-0000-0000-000084160000}"/>
    <cellStyle name="Normal 3 2 2 4 2 5 2 3 2 2" xfId="56757" xr:uid="{00000000-0005-0000-0000-000085160000}"/>
    <cellStyle name="Normal 3 2 2 4 2 5 2 3 3" xfId="33591" xr:uid="{00000000-0005-0000-0000-000086160000}"/>
    <cellStyle name="Normal 3 2 2 4 2 5 2 4" xfId="17008" xr:uid="{00000000-0005-0000-0000-000087160000}"/>
    <cellStyle name="Normal 3 2 2 4 2 5 2 4 2" xfId="48879" xr:uid="{00000000-0005-0000-0000-000088160000}"/>
    <cellStyle name="Normal 3 2 2 4 2 5 2 5" xfId="33588" xr:uid="{00000000-0005-0000-0000-000089160000}"/>
    <cellStyle name="Normal 3 2 2 4 2 5 3" xfId="1713" xr:uid="{00000000-0005-0000-0000-00008A160000}"/>
    <cellStyle name="Normal 3 2 2 4 2 5 3 2" xfId="1714" xr:uid="{00000000-0005-0000-0000-00008B160000}"/>
    <cellStyle name="Normal 3 2 2 4 2 5 3 2 2" xfId="28824" xr:uid="{00000000-0005-0000-0000-00008C160000}"/>
    <cellStyle name="Normal 3 2 2 4 2 5 3 2 2 2" xfId="60695" xr:uid="{00000000-0005-0000-0000-00008D160000}"/>
    <cellStyle name="Normal 3 2 2 4 2 5 3 2 3" xfId="33593" xr:uid="{00000000-0005-0000-0000-00008E160000}"/>
    <cellStyle name="Normal 3 2 2 4 2 5 3 3" xfId="20946" xr:uid="{00000000-0005-0000-0000-00008F160000}"/>
    <cellStyle name="Normal 3 2 2 4 2 5 3 3 2" xfId="52817" xr:uid="{00000000-0005-0000-0000-000090160000}"/>
    <cellStyle name="Normal 3 2 2 4 2 5 3 4" xfId="33592" xr:uid="{00000000-0005-0000-0000-000091160000}"/>
    <cellStyle name="Normal 3 2 2 4 2 5 4" xfId="1715" xr:uid="{00000000-0005-0000-0000-000092160000}"/>
    <cellStyle name="Normal 3 2 2 4 2 5 4 2" xfId="24885" xr:uid="{00000000-0005-0000-0000-000093160000}"/>
    <cellStyle name="Normal 3 2 2 4 2 5 4 2 2" xfId="56756" xr:uid="{00000000-0005-0000-0000-000094160000}"/>
    <cellStyle name="Normal 3 2 2 4 2 5 4 3" xfId="33594" xr:uid="{00000000-0005-0000-0000-000095160000}"/>
    <cellStyle name="Normal 3 2 2 4 2 5 5" xfId="17007" xr:uid="{00000000-0005-0000-0000-000096160000}"/>
    <cellStyle name="Normal 3 2 2 4 2 5 5 2" xfId="48878" xr:uid="{00000000-0005-0000-0000-000097160000}"/>
    <cellStyle name="Normal 3 2 2 4 2 5 6" xfId="33587" xr:uid="{00000000-0005-0000-0000-000098160000}"/>
    <cellStyle name="Normal 3 2 2 4 2 6" xfId="1716" xr:uid="{00000000-0005-0000-0000-000099160000}"/>
    <cellStyle name="Normal 3 2 2 4 2 6 2" xfId="1717" xr:uid="{00000000-0005-0000-0000-00009A160000}"/>
    <cellStyle name="Normal 3 2 2 4 2 6 2 2" xfId="1718" xr:uid="{00000000-0005-0000-0000-00009B160000}"/>
    <cellStyle name="Normal 3 2 2 4 2 6 2 2 2" xfId="28826" xr:uid="{00000000-0005-0000-0000-00009C160000}"/>
    <cellStyle name="Normal 3 2 2 4 2 6 2 2 2 2" xfId="60697" xr:uid="{00000000-0005-0000-0000-00009D160000}"/>
    <cellStyle name="Normal 3 2 2 4 2 6 2 2 3" xfId="33597" xr:uid="{00000000-0005-0000-0000-00009E160000}"/>
    <cellStyle name="Normal 3 2 2 4 2 6 2 3" xfId="20948" xr:uid="{00000000-0005-0000-0000-00009F160000}"/>
    <cellStyle name="Normal 3 2 2 4 2 6 2 3 2" xfId="52819" xr:uid="{00000000-0005-0000-0000-0000A0160000}"/>
    <cellStyle name="Normal 3 2 2 4 2 6 2 4" xfId="33596" xr:uid="{00000000-0005-0000-0000-0000A1160000}"/>
    <cellStyle name="Normal 3 2 2 4 2 6 3" xfId="1719" xr:uid="{00000000-0005-0000-0000-0000A2160000}"/>
    <cellStyle name="Normal 3 2 2 4 2 6 3 2" xfId="24887" xr:uid="{00000000-0005-0000-0000-0000A3160000}"/>
    <cellStyle name="Normal 3 2 2 4 2 6 3 2 2" xfId="56758" xr:uid="{00000000-0005-0000-0000-0000A4160000}"/>
    <cellStyle name="Normal 3 2 2 4 2 6 3 3" xfId="33598" xr:uid="{00000000-0005-0000-0000-0000A5160000}"/>
    <cellStyle name="Normal 3 2 2 4 2 6 4" xfId="17009" xr:uid="{00000000-0005-0000-0000-0000A6160000}"/>
    <cellStyle name="Normal 3 2 2 4 2 6 4 2" xfId="48880" xr:uid="{00000000-0005-0000-0000-0000A7160000}"/>
    <cellStyle name="Normal 3 2 2 4 2 6 5" xfId="33595" xr:uid="{00000000-0005-0000-0000-0000A8160000}"/>
    <cellStyle name="Normal 3 2 2 4 2 7" xfId="1720" xr:uid="{00000000-0005-0000-0000-0000A9160000}"/>
    <cellStyle name="Normal 3 2 2 4 2 7 2" xfId="1721" xr:uid="{00000000-0005-0000-0000-0000AA160000}"/>
    <cellStyle name="Normal 3 2 2 4 2 7 2 2" xfId="28321" xr:uid="{00000000-0005-0000-0000-0000AB160000}"/>
    <cellStyle name="Normal 3 2 2 4 2 7 2 2 2" xfId="60192" xr:uid="{00000000-0005-0000-0000-0000AC160000}"/>
    <cellStyle name="Normal 3 2 2 4 2 7 2 3" xfId="33600" xr:uid="{00000000-0005-0000-0000-0000AD160000}"/>
    <cellStyle name="Normal 3 2 2 4 2 7 3" xfId="20443" xr:uid="{00000000-0005-0000-0000-0000AE160000}"/>
    <cellStyle name="Normal 3 2 2 4 2 7 3 2" xfId="52314" xr:uid="{00000000-0005-0000-0000-0000AF160000}"/>
    <cellStyle name="Normal 3 2 2 4 2 7 4" xfId="33599" xr:uid="{00000000-0005-0000-0000-0000B0160000}"/>
    <cellStyle name="Normal 3 2 2 4 2 8" xfId="1722" xr:uid="{00000000-0005-0000-0000-0000B1160000}"/>
    <cellStyle name="Normal 3 2 2 4 2 8 2" xfId="24382" xr:uid="{00000000-0005-0000-0000-0000B2160000}"/>
    <cellStyle name="Normal 3 2 2 4 2 8 2 2" xfId="56253" xr:uid="{00000000-0005-0000-0000-0000B3160000}"/>
    <cellStyle name="Normal 3 2 2 4 2 8 3" xfId="33601" xr:uid="{00000000-0005-0000-0000-0000B4160000}"/>
    <cellStyle name="Normal 3 2 2 4 2 9" xfId="16504" xr:uid="{00000000-0005-0000-0000-0000B5160000}"/>
    <cellStyle name="Normal 3 2 2 4 2 9 2" xfId="48375" xr:uid="{00000000-0005-0000-0000-0000B6160000}"/>
    <cellStyle name="Normal 3 2 2 4 3" xfId="1723" xr:uid="{00000000-0005-0000-0000-0000B7160000}"/>
    <cellStyle name="Normal 3 2 2 4 3 10" xfId="33602" xr:uid="{00000000-0005-0000-0000-0000B8160000}"/>
    <cellStyle name="Normal 3 2 2 4 3 2" xfId="1724" xr:uid="{00000000-0005-0000-0000-0000B9160000}"/>
    <cellStyle name="Normal 3 2 2 4 3 2 2" xfId="1725" xr:uid="{00000000-0005-0000-0000-0000BA160000}"/>
    <cellStyle name="Normal 3 2 2 4 3 2 2 2" xfId="1726" xr:uid="{00000000-0005-0000-0000-0000BB160000}"/>
    <cellStyle name="Normal 3 2 2 4 3 2 2 2 2" xfId="1727" xr:uid="{00000000-0005-0000-0000-0000BC160000}"/>
    <cellStyle name="Normal 3 2 2 4 3 2 2 2 2 2" xfId="1728" xr:uid="{00000000-0005-0000-0000-0000BD160000}"/>
    <cellStyle name="Normal 3 2 2 4 3 2 2 2 2 2 2" xfId="1729" xr:uid="{00000000-0005-0000-0000-0000BE160000}"/>
    <cellStyle name="Normal 3 2 2 4 3 2 2 2 2 2 2 2" xfId="1730" xr:uid="{00000000-0005-0000-0000-0000BF160000}"/>
    <cellStyle name="Normal 3 2 2 4 3 2 2 2 2 2 2 2 2" xfId="28830" xr:uid="{00000000-0005-0000-0000-0000C0160000}"/>
    <cellStyle name="Normal 3 2 2 4 3 2 2 2 2 2 2 2 2 2" xfId="60701" xr:uid="{00000000-0005-0000-0000-0000C1160000}"/>
    <cellStyle name="Normal 3 2 2 4 3 2 2 2 2 2 2 2 3" xfId="33609" xr:uid="{00000000-0005-0000-0000-0000C2160000}"/>
    <cellStyle name="Normal 3 2 2 4 3 2 2 2 2 2 2 3" xfId="20952" xr:uid="{00000000-0005-0000-0000-0000C3160000}"/>
    <cellStyle name="Normal 3 2 2 4 3 2 2 2 2 2 2 3 2" xfId="52823" xr:uid="{00000000-0005-0000-0000-0000C4160000}"/>
    <cellStyle name="Normal 3 2 2 4 3 2 2 2 2 2 2 4" xfId="33608" xr:uid="{00000000-0005-0000-0000-0000C5160000}"/>
    <cellStyle name="Normal 3 2 2 4 3 2 2 2 2 2 3" xfId="1731" xr:uid="{00000000-0005-0000-0000-0000C6160000}"/>
    <cellStyle name="Normal 3 2 2 4 3 2 2 2 2 2 3 2" xfId="24891" xr:uid="{00000000-0005-0000-0000-0000C7160000}"/>
    <cellStyle name="Normal 3 2 2 4 3 2 2 2 2 2 3 2 2" xfId="56762" xr:uid="{00000000-0005-0000-0000-0000C8160000}"/>
    <cellStyle name="Normal 3 2 2 4 3 2 2 2 2 2 3 3" xfId="33610" xr:uid="{00000000-0005-0000-0000-0000C9160000}"/>
    <cellStyle name="Normal 3 2 2 4 3 2 2 2 2 2 4" xfId="17013" xr:uid="{00000000-0005-0000-0000-0000CA160000}"/>
    <cellStyle name="Normal 3 2 2 4 3 2 2 2 2 2 4 2" xfId="48884" xr:uid="{00000000-0005-0000-0000-0000CB160000}"/>
    <cellStyle name="Normal 3 2 2 4 3 2 2 2 2 2 5" xfId="33607" xr:uid="{00000000-0005-0000-0000-0000CC160000}"/>
    <cellStyle name="Normal 3 2 2 4 3 2 2 2 2 3" xfId="1732" xr:uid="{00000000-0005-0000-0000-0000CD160000}"/>
    <cellStyle name="Normal 3 2 2 4 3 2 2 2 2 3 2" xfId="1733" xr:uid="{00000000-0005-0000-0000-0000CE160000}"/>
    <cellStyle name="Normal 3 2 2 4 3 2 2 2 2 3 2 2" xfId="28829" xr:uid="{00000000-0005-0000-0000-0000CF160000}"/>
    <cellStyle name="Normal 3 2 2 4 3 2 2 2 2 3 2 2 2" xfId="60700" xr:uid="{00000000-0005-0000-0000-0000D0160000}"/>
    <cellStyle name="Normal 3 2 2 4 3 2 2 2 2 3 2 3" xfId="33612" xr:uid="{00000000-0005-0000-0000-0000D1160000}"/>
    <cellStyle name="Normal 3 2 2 4 3 2 2 2 2 3 3" xfId="20951" xr:uid="{00000000-0005-0000-0000-0000D2160000}"/>
    <cellStyle name="Normal 3 2 2 4 3 2 2 2 2 3 3 2" xfId="52822" xr:uid="{00000000-0005-0000-0000-0000D3160000}"/>
    <cellStyle name="Normal 3 2 2 4 3 2 2 2 2 3 4" xfId="33611" xr:uid="{00000000-0005-0000-0000-0000D4160000}"/>
    <cellStyle name="Normal 3 2 2 4 3 2 2 2 2 4" xfId="1734" xr:uid="{00000000-0005-0000-0000-0000D5160000}"/>
    <cellStyle name="Normal 3 2 2 4 3 2 2 2 2 4 2" xfId="24890" xr:uid="{00000000-0005-0000-0000-0000D6160000}"/>
    <cellStyle name="Normal 3 2 2 4 3 2 2 2 2 4 2 2" xfId="56761" xr:uid="{00000000-0005-0000-0000-0000D7160000}"/>
    <cellStyle name="Normal 3 2 2 4 3 2 2 2 2 4 3" xfId="33613" xr:uid="{00000000-0005-0000-0000-0000D8160000}"/>
    <cellStyle name="Normal 3 2 2 4 3 2 2 2 2 5" xfId="17012" xr:uid="{00000000-0005-0000-0000-0000D9160000}"/>
    <cellStyle name="Normal 3 2 2 4 3 2 2 2 2 5 2" xfId="48883" xr:uid="{00000000-0005-0000-0000-0000DA160000}"/>
    <cellStyle name="Normal 3 2 2 4 3 2 2 2 2 6" xfId="33606" xr:uid="{00000000-0005-0000-0000-0000DB160000}"/>
    <cellStyle name="Normal 3 2 2 4 3 2 2 2 3" xfId="1735" xr:uid="{00000000-0005-0000-0000-0000DC160000}"/>
    <cellStyle name="Normal 3 2 2 4 3 2 2 2 3 2" xfId="1736" xr:uid="{00000000-0005-0000-0000-0000DD160000}"/>
    <cellStyle name="Normal 3 2 2 4 3 2 2 2 3 2 2" xfId="1737" xr:uid="{00000000-0005-0000-0000-0000DE160000}"/>
    <cellStyle name="Normal 3 2 2 4 3 2 2 2 3 2 2 2" xfId="28831" xr:uid="{00000000-0005-0000-0000-0000DF160000}"/>
    <cellStyle name="Normal 3 2 2 4 3 2 2 2 3 2 2 2 2" xfId="60702" xr:uid="{00000000-0005-0000-0000-0000E0160000}"/>
    <cellStyle name="Normal 3 2 2 4 3 2 2 2 3 2 2 3" xfId="33616" xr:uid="{00000000-0005-0000-0000-0000E1160000}"/>
    <cellStyle name="Normal 3 2 2 4 3 2 2 2 3 2 3" xfId="20953" xr:uid="{00000000-0005-0000-0000-0000E2160000}"/>
    <cellStyle name="Normal 3 2 2 4 3 2 2 2 3 2 3 2" xfId="52824" xr:uid="{00000000-0005-0000-0000-0000E3160000}"/>
    <cellStyle name="Normal 3 2 2 4 3 2 2 2 3 2 4" xfId="33615" xr:uid="{00000000-0005-0000-0000-0000E4160000}"/>
    <cellStyle name="Normal 3 2 2 4 3 2 2 2 3 3" xfId="1738" xr:uid="{00000000-0005-0000-0000-0000E5160000}"/>
    <cellStyle name="Normal 3 2 2 4 3 2 2 2 3 3 2" xfId="24892" xr:uid="{00000000-0005-0000-0000-0000E6160000}"/>
    <cellStyle name="Normal 3 2 2 4 3 2 2 2 3 3 2 2" xfId="56763" xr:uid="{00000000-0005-0000-0000-0000E7160000}"/>
    <cellStyle name="Normal 3 2 2 4 3 2 2 2 3 3 3" xfId="33617" xr:uid="{00000000-0005-0000-0000-0000E8160000}"/>
    <cellStyle name="Normal 3 2 2 4 3 2 2 2 3 4" xfId="17014" xr:uid="{00000000-0005-0000-0000-0000E9160000}"/>
    <cellStyle name="Normal 3 2 2 4 3 2 2 2 3 4 2" xfId="48885" xr:uid="{00000000-0005-0000-0000-0000EA160000}"/>
    <cellStyle name="Normal 3 2 2 4 3 2 2 2 3 5" xfId="33614" xr:uid="{00000000-0005-0000-0000-0000EB160000}"/>
    <cellStyle name="Normal 3 2 2 4 3 2 2 2 4" xfId="1739" xr:uid="{00000000-0005-0000-0000-0000EC160000}"/>
    <cellStyle name="Normal 3 2 2 4 3 2 2 2 4 2" xfId="1740" xr:uid="{00000000-0005-0000-0000-0000ED160000}"/>
    <cellStyle name="Normal 3 2 2 4 3 2 2 2 4 2 2" xfId="28828" xr:uid="{00000000-0005-0000-0000-0000EE160000}"/>
    <cellStyle name="Normal 3 2 2 4 3 2 2 2 4 2 2 2" xfId="60699" xr:uid="{00000000-0005-0000-0000-0000EF160000}"/>
    <cellStyle name="Normal 3 2 2 4 3 2 2 2 4 2 3" xfId="33619" xr:uid="{00000000-0005-0000-0000-0000F0160000}"/>
    <cellStyle name="Normal 3 2 2 4 3 2 2 2 4 3" xfId="20950" xr:uid="{00000000-0005-0000-0000-0000F1160000}"/>
    <cellStyle name="Normal 3 2 2 4 3 2 2 2 4 3 2" xfId="52821" xr:uid="{00000000-0005-0000-0000-0000F2160000}"/>
    <cellStyle name="Normal 3 2 2 4 3 2 2 2 4 4" xfId="33618" xr:uid="{00000000-0005-0000-0000-0000F3160000}"/>
    <cellStyle name="Normal 3 2 2 4 3 2 2 2 5" xfId="1741" xr:uid="{00000000-0005-0000-0000-0000F4160000}"/>
    <cellStyle name="Normal 3 2 2 4 3 2 2 2 5 2" xfId="24889" xr:uid="{00000000-0005-0000-0000-0000F5160000}"/>
    <cellStyle name="Normal 3 2 2 4 3 2 2 2 5 2 2" xfId="56760" xr:uid="{00000000-0005-0000-0000-0000F6160000}"/>
    <cellStyle name="Normal 3 2 2 4 3 2 2 2 5 3" xfId="33620" xr:uid="{00000000-0005-0000-0000-0000F7160000}"/>
    <cellStyle name="Normal 3 2 2 4 3 2 2 2 6" xfId="17011" xr:uid="{00000000-0005-0000-0000-0000F8160000}"/>
    <cellStyle name="Normal 3 2 2 4 3 2 2 2 6 2" xfId="48882" xr:uid="{00000000-0005-0000-0000-0000F9160000}"/>
    <cellStyle name="Normal 3 2 2 4 3 2 2 2 7" xfId="33605" xr:uid="{00000000-0005-0000-0000-0000FA160000}"/>
    <cellStyle name="Normal 3 2 2 4 3 2 2 3" xfId="1742" xr:uid="{00000000-0005-0000-0000-0000FB160000}"/>
    <cellStyle name="Normal 3 2 2 4 3 2 2 3 2" xfId="1743" xr:uid="{00000000-0005-0000-0000-0000FC160000}"/>
    <cellStyle name="Normal 3 2 2 4 3 2 2 3 2 2" xfId="1744" xr:uid="{00000000-0005-0000-0000-0000FD160000}"/>
    <cellStyle name="Normal 3 2 2 4 3 2 2 3 2 2 2" xfId="1745" xr:uid="{00000000-0005-0000-0000-0000FE160000}"/>
    <cellStyle name="Normal 3 2 2 4 3 2 2 3 2 2 2 2" xfId="28833" xr:uid="{00000000-0005-0000-0000-0000FF160000}"/>
    <cellStyle name="Normal 3 2 2 4 3 2 2 3 2 2 2 2 2" xfId="60704" xr:uid="{00000000-0005-0000-0000-000000170000}"/>
    <cellStyle name="Normal 3 2 2 4 3 2 2 3 2 2 2 3" xfId="33624" xr:uid="{00000000-0005-0000-0000-000001170000}"/>
    <cellStyle name="Normal 3 2 2 4 3 2 2 3 2 2 3" xfId="20955" xr:uid="{00000000-0005-0000-0000-000002170000}"/>
    <cellStyle name="Normal 3 2 2 4 3 2 2 3 2 2 3 2" xfId="52826" xr:uid="{00000000-0005-0000-0000-000003170000}"/>
    <cellStyle name="Normal 3 2 2 4 3 2 2 3 2 2 4" xfId="33623" xr:uid="{00000000-0005-0000-0000-000004170000}"/>
    <cellStyle name="Normal 3 2 2 4 3 2 2 3 2 3" xfId="1746" xr:uid="{00000000-0005-0000-0000-000005170000}"/>
    <cellStyle name="Normal 3 2 2 4 3 2 2 3 2 3 2" xfId="24894" xr:uid="{00000000-0005-0000-0000-000006170000}"/>
    <cellStyle name="Normal 3 2 2 4 3 2 2 3 2 3 2 2" xfId="56765" xr:uid="{00000000-0005-0000-0000-000007170000}"/>
    <cellStyle name="Normal 3 2 2 4 3 2 2 3 2 3 3" xfId="33625" xr:uid="{00000000-0005-0000-0000-000008170000}"/>
    <cellStyle name="Normal 3 2 2 4 3 2 2 3 2 4" xfId="17016" xr:uid="{00000000-0005-0000-0000-000009170000}"/>
    <cellStyle name="Normal 3 2 2 4 3 2 2 3 2 4 2" xfId="48887" xr:uid="{00000000-0005-0000-0000-00000A170000}"/>
    <cellStyle name="Normal 3 2 2 4 3 2 2 3 2 5" xfId="33622" xr:uid="{00000000-0005-0000-0000-00000B170000}"/>
    <cellStyle name="Normal 3 2 2 4 3 2 2 3 3" xfId="1747" xr:uid="{00000000-0005-0000-0000-00000C170000}"/>
    <cellStyle name="Normal 3 2 2 4 3 2 2 3 3 2" xfId="1748" xr:uid="{00000000-0005-0000-0000-00000D170000}"/>
    <cellStyle name="Normal 3 2 2 4 3 2 2 3 3 2 2" xfId="28832" xr:uid="{00000000-0005-0000-0000-00000E170000}"/>
    <cellStyle name="Normal 3 2 2 4 3 2 2 3 3 2 2 2" xfId="60703" xr:uid="{00000000-0005-0000-0000-00000F170000}"/>
    <cellStyle name="Normal 3 2 2 4 3 2 2 3 3 2 3" xfId="33627" xr:uid="{00000000-0005-0000-0000-000010170000}"/>
    <cellStyle name="Normal 3 2 2 4 3 2 2 3 3 3" xfId="20954" xr:uid="{00000000-0005-0000-0000-000011170000}"/>
    <cellStyle name="Normal 3 2 2 4 3 2 2 3 3 3 2" xfId="52825" xr:uid="{00000000-0005-0000-0000-000012170000}"/>
    <cellStyle name="Normal 3 2 2 4 3 2 2 3 3 4" xfId="33626" xr:uid="{00000000-0005-0000-0000-000013170000}"/>
    <cellStyle name="Normal 3 2 2 4 3 2 2 3 4" xfId="1749" xr:uid="{00000000-0005-0000-0000-000014170000}"/>
    <cellStyle name="Normal 3 2 2 4 3 2 2 3 4 2" xfId="24893" xr:uid="{00000000-0005-0000-0000-000015170000}"/>
    <cellStyle name="Normal 3 2 2 4 3 2 2 3 4 2 2" xfId="56764" xr:uid="{00000000-0005-0000-0000-000016170000}"/>
    <cellStyle name="Normal 3 2 2 4 3 2 2 3 4 3" xfId="33628" xr:uid="{00000000-0005-0000-0000-000017170000}"/>
    <cellStyle name="Normal 3 2 2 4 3 2 2 3 5" xfId="17015" xr:uid="{00000000-0005-0000-0000-000018170000}"/>
    <cellStyle name="Normal 3 2 2 4 3 2 2 3 5 2" xfId="48886" xr:uid="{00000000-0005-0000-0000-000019170000}"/>
    <cellStyle name="Normal 3 2 2 4 3 2 2 3 6" xfId="33621" xr:uid="{00000000-0005-0000-0000-00001A170000}"/>
    <cellStyle name="Normal 3 2 2 4 3 2 2 4" xfId="1750" xr:uid="{00000000-0005-0000-0000-00001B170000}"/>
    <cellStyle name="Normal 3 2 2 4 3 2 2 4 2" xfId="1751" xr:uid="{00000000-0005-0000-0000-00001C170000}"/>
    <cellStyle name="Normal 3 2 2 4 3 2 2 4 2 2" xfId="1752" xr:uid="{00000000-0005-0000-0000-00001D170000}"/>
    <cellStyle name="Normal 3 2 2 4 3 2 2 4 2 2 2" xfId="28834" xr:uid="{00000000-0005-0000-0000-00001E170000}"/>
    <cellStyle name="Normal 3 2 2 4 3 2 2 4 2 2 2 2" xfId="60705" xr:uid="{00000000-0005-0000-0000-00001F170000}"/>
    <cellStyle name="Normal 3 2 2 4 3 2 2 4 2 2 3" xfId="33631" xr:uid="{00000000-0005-0000-0000-000020170000}"/>
    <cellStyle name="Normal 3 2 2 4 3 2 2 4 2 3" xfId="20956" xr:uid="{00000000-0005-0000-0000-000021170000}"/>
    <cellStyle name="Normal 3 2 2 4 3 2 2 4 2 3 2" xfId="52827" xr:uid="{00000000-0005-0000-0000-000022170000}"/>
    <cellStyle name="Normal 3 2 2 4 3 2 2 4 2 4" xfId="33630" xr:uid="{00000000-0005-0000-0000-000023170000}"/>
    <cellStyle name="Normal 3 2 2 4 3 2 2 4 3" xfId="1753" xr:uid="{00000000-0005-0000-0000-000024170000}"/>
    <cellStyle name="Normal 3 2 2 4 3 2 2 4 3 2" xfId="24895" xr:uid="{00000000-0005-0000-0000-000025170000}"/>
    <cellStyle name="Normal 3 2 2 4 3 2 2 4 3 2 2" xfId="56766" xr:uid="{00000000-0005-0000-0000-000026170000}"/>
    <cellStyle name="Normal 3 2 2 4 3 2 2 4 3 3" xfId="33632" xr:uid="{00000000-0005-0000-0000-000027170000}"/>
    <cellStyle name="Normal 3 2 2 4 3 2 2 4 4" xfId="17017" xr:uid="{00000000-0005-0000-0000-000028170000}"/>
    <cellStyle name="Normal 3 2 2 4 3 2 2 4 4 2" xfId="48888" xr:uid="{00000000-0005-0000-0000-000029170000}"/>
    <cellStyle name="Normal 3 2 2 4 3 2 2 4 5" xfId="33629" xr:uid="{00000000-0005-0000-0000-00002A170000}"/>
    <cellStyle name="Normal 3 2 2 4 3 2 2 5" xfId="1754" xr:uid="{00000000-0005-0000-0000-00002B170000}"/>
    <cellStyle name="Normal 3 2 2 4 3 2 2 5 2" xfId="1755" xr:uid="{00000000-0005-0000-0000-00002C170000}"/>
    <cellStyle name="Normal 3 2 2 4 3 2 2 5 2 2" xfId="28827" xr:uid="{00000000-0005-0000-0000-00002D170000}"/>
    <cellStyle name="Normal 3 2 2 4 3 2 2 5 2 2 2" xfId="60698" xr:uid="{00000000-0005-0000-0000-00002E170000}"/>
    <cellStyle name="Normal 3 2 2 4 3 2 2 5 2 3" xfId="33634" xr:uid="{00000000-0005-0000-0000-00002F170000}"/>
    <cellStyle name="Normal 3 2 2 4 3 2 2 5 3" xfId="20949" xr:uid="{00000000-0005-0000-0000-000030170000}"/>
    <cellStyle name="Normal 3 2 2 4 3 2 2 5 3 2" xfId="52820" xr:uid="{00000000-0005-0000-0000-000031170000}"/>
    <cellStyle name="Normal 3 2 2 4 3 2 2 5 4" xfId="33633" xr:uid="{00000000-0005-0000-0000-000032170000}"/>
    <cellStyle name="Normal 3 2 2 4 3 2 2 6" xfId="1756" xr:uid="{00000000-0005-0000-0000-000033170000}"/>
    <cellStyle name="Normal 3 2 2 4 3 2 2 6 2" xfId="24888" xr:uid="{00000000-0005-0000-0000-000034170000}"/>
    <cellStyle name="Normal 3 2 2 4 3 2 2 6 2 2" xfId="56759" xr:uid="{00000000-0005-0000-0000-000035170000}"/>
    <cellStyle name="Normal 3 2 2 4 3 2 2 6 3" xfId="33635" xr:uid="{00000000-0005-0000-0000-000036170000}"/>
    <cellStyle name="Normal 3 2 2 4 3 2 2 7" xfId="17010" xr:uid="{00000000-0005-0000-0000-000037170000}"/>
    <cellStyle name="Normal 3 2 2 4 3 2 2 7 2" xfId="48881" xr:uid="{00000000-0005-0000-0000-000038170000}"/>
    <cellStyle name="Normal 3 2 2 4 3 2 2 8" xfId="33604" xr:uid="{00000000-0005-0000-0000-000039170000}"/>
    <cellStyle name="Normal 3 2 2 4 3 2 3" xfId="1757" xr:uid="{00000000-0005-0000-0000-00003A170000}"/>
    <cellStyle name="Normal 3 2 2 4 3 2 3 2" xfId="1758" xr:uid="{00000000-0005-0000-0000-00003B170000}"/>
    <cellStyle name="Normal 3 2 2 4 3 2 3 2 2" xfId="1759" xr:uid="{00000000-0005-0000-0000-00003C170000}"/>
    <cellStyle name="Normal 3 2 2 4 3 2 3 2 2 2" xfId="1760" xr:uid="{00000000-0005-0000-0000-00003D170000}"/>
    <cellStyle name="Normal 3 2 2 4 3 2 3 2 2 2 2" xfId="1761" xr:uid="{00000000-0005-0000-0000-00003E170000}"/>
    <cellStyle name="Normal 3 2 2 4 3 2 3 2 2 2 2 2" xfId="28837" xr:uid="{00000000-0005-0000-0000-00003F170000}"/>
    <cellStyle name="Normal 3 2 2 4 3 2 3 2 2 2 2 2 2" xfId="60708" xr:uid="{00000000-0005-0000-0000-000040170000}"/>
    <cellStyle name="Normal 3 2 2 4 3 2 3 2 2 2 2 3" xfId="33640" xr:uid="{00000000-0005-0000-0000-000041170000}"/>
    <cellStyle name="Normal 3 2 2 4 3 2 3 2 2 2 3" xfId="20959" xr:uid="{00000000-0005-0000-0000-000042170000}"/>
    <cellStyle name="Normal 3 2 2 4 3 2 3 2 2 2 3 2" xfId="52830" xr:uid="{00000000-0005-0000-0000-000043170000}"/>
    <cellStyle name="Normal 3 2 2 4 3 2 3 2 2 2 4" xfId="33639" xr:uid="{00000000-0005-0000-0000-000044170000}"/>
    <cellStyle name="Normal 3 2 2 4 3 2 3 2 2 3" xfId="1762" xr:uid="{00000000-0005-0000-0000-000045170000}"/>
    <cellStyle name="Normal 3 2 2 4 3 2 3 2 2 3 2" xfId="24898" xr:uid="{00000000-0005-0000-0000-000046170000}"/>
    <cellStyle name="Normal 3 2 2 4 3 2 3 2 2 3 2 2" xfId="56769" xr:uid="{00000000-0005-0000-0000-000047170000}"/>
    <cellStyle name="Normal 3 2 2 4 3 2 3 2 2 3 3" xfId="33641" xr:uid="{00000000-0005-0000-0000-000048170000}"/>
    <cellStyle name="Normal 3 2 2 4 3 2 3 2 2 4" xfId="17020" xr:uid="{00000000-0005-0000-0000-000049170000}"/>
    <cellStyle name="Normal 3 2 2 4 3 2 3 2 2 4 2" xfId="48891" xr:uid="{00000000-0005-0000-0000-00004A170000}"/>
    <cellStyle name="Normal 3 2 2 4 3 2 3 2 2 5" xfId="33638" xr:uid="{00000000-0005-0000-0000-00004B170000}"/>
    <cellStyle name="Normal 3 2 2 4 3 2 3 2 3" xfId="1763" xr:uid="{00000000-0005-0000-0000-00004C170000}"/>
    <cellStyle name="Normal 3 2 2 4 3 2 3 2 3 2" xfId="1764" xr:uid="{00000000-0005-0000-0000-00004D170000}"/>
    <cellStyle name="Normal 3 2 2 4 3 2 3 2 3 2 2" xfId="28836" xr:uid="{00000000-0005-0000-0000-00004E170000}"/>
    <cellStyle name="Normal 3 2 2 4 3 2 3 2 3 2 2 2" xfId="60707" xr:uid="{00000000-0005-0000-0000-00004F170000}"/>
    <cellStyle name="Normal 3 2 2 4 3 2 3 2 3 2 3" xfId="33643" xr:uid="{00000000-0005-0000-0000-000050170000}"/>
    <cellStyle name="Normal 3 2 2 4 3 2 3 2 3 3" xfId="20958" xr:uid="{00000000-0005-0000-0000-000051170000}"/>
    <cellStyle name="Normal 3 2 2 4 3 2 3 2 3 3 2" xfId="52829" xr:uid="{00000000-0005-0000-0000-000052170000}"/>
    <cellStyle name="Normal 3 2 2 4 3 2 3 2 3 4" xfId="33642" xr:uid="{00000000-0005-0000-0000-000053170000}"/>
    <cellStyle name="Normal 3 2 2 4 3 2 3 2 4" xfId="1765" xr:uid="{00000000-0005-0000-0000-000054170000}"/>
    <cellStyle name="Normal 3 2 2 4 3 2 3 2 4 2" xfId="24897" xr:uid="{00000000-0005-0000-0000-000055170000}"/>
    <cellStyle name="Normal 3 2 2 4 3 2 3 2 4 2 2" xfId="56768" xr:uid="{00000000-0005-0000-0000-000056170000}"/>
    <cellStyle name="Normal 3 2 2 4 3 2 3 2 4 3" xfId="33644" xr:uid="{00000000-0005-0000-0000-000057170000}"/>
    <cellStyle name="Normal 3 2 2 4 3 2 3 2 5" xfId="17019" xr:uid="{00000000-0005-0000-0000-000058170000}"/>
    <cellStyle name="Normal 3 2 2 4 3 2 3 2 5 2" xfId="48890" xr:uid="{00000000-0005-0000-0000-000059170000}"/>
    <cellStyle name="Normal 3 2 2 4 3 2 3 2 6" xfId="33637" xr:uid="{00000000-0005-0000-0000-00005A170000}"/>
    <cellStyle name="Normal 3 2 2 4 3 2 3 3" xfId="1766" xr:uid="{00000000-0005-0000-0000-00005B170000}"/>
    <cellStyle name="Normal 3 2 2 4 3 2 3 3 2" xfId="1767" xr:uid="{00000000-0005-0000-0000-00005C170000}"/>
    <cellStyle name="Normal 3 2 2 4 3 2 3 3 2 2" xfId="1768" xr:uid="{00000000-0005-0000-0000-00005D170000}"/>
    <cellStyle name="Normal 3 2 2 4 3 2 3 3 2 2 2" xfId="28838" xr:uid="{00000000-0005-0000-0000-00005E170000}"/>
    <cellStyle name="Normal 3 2 2 4 3 2 3 3 2 2 2 2" xfId="60709" xr:uid="{00000000-0005-0000-0000-00005F170000}"/>
    <cellStyle name="Normal 3 2 2 4 3 2 3 3 2 2 3" xfId="33647" xr:uid="{00000000-0005-0000-0000-000060170000}"/>
    <cellStyle name="Normal 3 2 2 4 3 2 3 3 2 3" xfId="20960" xr:uid="{00000000-0005-0000-0000-000061170000}"/>
    <cellStyle name="Normal 3 2 2 4 3 2 3 3 2 3 2" xfId="52831" xr:uid="{00000000-0005-0000-0000-000062170000}"/>
    <cellStyle name="Normal 3 2 2 4 3 2 3 3 2 4" xfId="33646" xr:uid="{00000000-0005-0000-0000-000063170000}"/>
    <cellStyle name="Normal 3 2 2 4 3 2 3 3 3" xfId="1769" xr:uid="{00000000-0005-0000-0000-000064170000}"/>
    <cellStyle name="Normal 3 2 2 4 3 2 3 3 3 2" xfId="24899" xr:uid="{00000000-0005-0000-0000-000065170000}"/>
    <cellStyle name="Normal 3 2 2 4 3 2 3 3 3 2 2" xfId="56770" xr:uid="{00000000-0005-0000-0000-000066170000}"/>
    <cellStyle name="Normal 3 2 2 4 3 2 3 3 3 3" xfId="33648" xr:uid="{00000000-0005-0000-0000-000067170000}"/>
    <cellStyle name="Normal 3 2 2 4 3 2 3 3 4" xfId="17021" xr:uid="{00000000-0005-0000-0000-000068170000}"/>
    <cellStyle name="Normal 3 2 2 4 3 2 3 3 4 2" xfId="48892" xr:uid="{00000000-0005-0000-0000-000069170000}"/>
    <cellStyle name="Normal 3 2 2 4 3 2 3 3 5" xfId="33645" xr:uid="{00000000-0005-0000-0000-00006A170000}"/>
    <cellStyle name="Normal 3 2 2 4 3 2 3 4" xfId="1770" xr:uid="{00000000-0005-0000-0000-00006B170000}"/>
    <cellStyle name="Normal 3 2 2 4 3 2 3 4 2" xfId="1771" xr:uid="{00000000-0005-0000-0000-00006C170000}"/>
    <cellStyle name="Normal 3 2 2 4 3 2 3 4 2 2" xfId="28835" xr:uid="{00000000-0005-0000-0000-00006D170000}"/>
    <cellStyle name="Normal 3 2 2 4 3 2 3 4 2 2 2" xfId="60706" xr:uid="{00000000-0005-0000-0000-00006E170000}"/>
    <cellStyle name="Normal 3 2 2 4 3 2 3 4 2 3" xfId="33650" xr:uid="{00000000-0005-0000-0000-00006F170000}"/>
    <cellStyle name="Normal 3 2 2 4 3 2 3 4 3" xfId="20957" xr:uid="{00000000-0005-0000-0000-000070170000}"/>
    <cellStyle name="Normal 3 2 2 4 3 2 3 4 3 2" xfId="52828" xr:uid="{00000000-0005-0000-0000-000071170000}"/>
    <cellStyle name="Normal 3 2 2 4 3 2 3 4 4" xfId="33649" xr:uid="{00000000-0005-0000-0000-000072170000}"/>
    <cellStyle name="Normal 3 2 2 4 3 2 3 5" xfId="1772" xr:uid="{00000000-0005-0000-0000-000073170000}"/>
    <cellStyle name="Normal 3 2 2 4 3 2 3 5 2" xfId="24896" xr:uid="{00000000-0005-0000-0000-000074170000}"/>
    <cellStyle name="Normal 3 2 2 4 3 2 3 5 2 2" xfId="56767" xr:uid="{00000000-0005-0000-0000-000075170000}"/>
    <cellStyle name="Normal 3 2 2 4 3 2 3 5 3" xfId="33651" xr:uid="{00000000-0005-0000-0000-000076170000}"/>
    <cellStyle name="Normal 3 2 2 4 3 2 3 6" xfId="17018" xr:uid="{00000000-0005-0000-0000-000077170000}"/>
    <cellStyle name="Normal 3 2 2 4 3 2 3 6 2" xfId="48889" xr:uid="{00000000-0005-0000-0000-000078170000}"/>
    <cellStyle name="Normal 3 2 2 4 3 2 3 7" xfId="33636" xr:uid="{00000000-0005-0000-0000-000079170000}"/>
    <cellStyle name="Normal 3 2 2 4 3 2 4" xfId="1773" xr:uid="{00000000-0005-0000-0000-00007A170000}"/>
    <cellStyle name="Normal 3 2 2 4 3 2 4 2" xfId="1774" xr:uid="{00000000-0005-0000-0000-00007B170000}"/>
    <cellStyle name="Normal 3 2 2 4 3 2 4 2 2" xfId="1775" xr:uid="{00000000-0005-0000-0000-00007C170000}"/>
    <cellStyle name="Normal 3 2 2 4 3 2 4 2 2 2" xfId="1776" xr:uid="{00000000-0005-0000-0000-00007D170000}"/>
    <cellStyle name="Normal 3 2 2 4 3 2 4 2 2 2 2" xfId="28840" xr:uid="{00000000-0005-0000-0000-00007E170000}"/>
    <cellStyle name="Normal 3 2 2 4 3 2 4 2 2 2 2 2" xfId="60711" xr:uid="{00000000-0005-0000-0000-00007F170000}"/>
    <cellStyle name="Normal 3 2 2 4 3 2 4 2 2 2 3" xfId="33655" xr:uid="{00000000-0005-0000-0000-000080170000}"/>
    <cellStyle name="Normal 3 2 2 4 3 2 4 2 2 3" xfId="20962" xr:uid="{00000000-0005-0000-0000-000081170000}"/>
    <cellStyle name="Normal 3 2 2 4 3 2 4 2 2 3 2" xfId="52833" xr:uid="{00000000-0005-0000-0000-000082170000}"/>
    <cellStyle name="Normal 3 2 2 4 3 2 4 2 2 4" xfId="33654" xr:uid="{00000000-0005-0000-0000-000083170000}"/>
    <cellStyle name="Normal 3 2 2 4 3 2 4 2 3" xfId="1777" xr:uid="{00000000-0005-0000-0000-000084170000}"/>
    <cellStyle name="Normal 3 2 2 4 3 2 4 2 3 2" xfId="24901" xr:uid="{00000000-0005-0000-0000-000085170000}"/>
    <cellStyle name="Normal 3 2 2 4 3 2 4 2 3 2 2" xfId="56772" xr:uid="{00000000-0005-0000-0000-000086170000}"/>
    <cellStyle name="Normal 3 2 2 4 3 2 4 2 3 3" xfId="33656" xr:uid="{00000000-0005-0000-0000-000087170000}"/>
    <cellStyle name="Normal 3 2 2 4 3 2 4 2 4" xfId="17023" xr:uid="{00000000-0005-0000-0000-000088170000}"/>
    <cellStyle name="Normal 3 2 2 4 3 2 4 2 4 2" xfId="48894" xr:uid="{00000000-0005-0000-0000-000089170000}"/>
    <cellStyle name="Normal 3 2 2 4 3 2 4 2 5" xfId="33653" xr:uid="{00000000-0005-0000-0000-00008A170000}"/>
    <cellStyle name="Normal 3 2 2 4 3 2 4 3" xfId="1778" xr:uid="{00000000-0005-0000-0000-00008B170000}"/>
    <cellStyle name="Normal 3 2 2 4 3 2 4 3 2" xfId="1779" xr:uid="{00000000-0005-0000-0000-00008C170000}"/>
    <cellStyle name="Normal 3 2 2 4 3 2 4 3 2 2" xfId="28839" xr:uid="{00000000-0005-0000-0000-00008D170000}"/>
    <cellStyle name="Normal 3 2 2 4 3 2 4 3 2 2 2" xfId="60710" xr:uid="{00000000-0005-0000-0000-00008E170000}"/>
    <cellStyle name="Normal 3 2 2 4 3 2 4 3 2 3" xfId="33658" xr:uid="{00000000-0005-0000-0000-00008F170000}"/>
    <cellStyle name="Normal 3 2 2 4 3 2 4 3 3" xfId="20961" xr:uid="{00000000-0005-0000-0000-000090170000}"/>
    <cellStyle name="Normal 3 2 2 4 3 2 4 3 3 2" xfId="52832" xr:uid="{00000000-0005-0000-0000-000091170000}"/>
    <cellStyle name="Normal 3 2 2 4 3 2 4 3 4" xfId="33657" xr:uid="{00000000-0005-0000-0000-000092170000}"/>
    <cellStyle name="Normal 3 2 2 4 3 2 4 4" xfId="1780" xr:uid="{00000000-0005-0000-0000-000093170000}"/>
    <cellStyle name="Normal 3 2 2 4 3 2 4 4 2" xfId="24900" xr:uid="{00000000-0005-0000-0000-000094170000}"/>
    <cellStyle name="Normal 3 2 2 4 3 2 4 4 2 2" xfId="56771" xr:uid="{00000000-0005-0000-0000-000095170000}"/>
    <cellStyle name="Normal 3 2 2 4 3 2 4 4 3" xfId="33659" xr:uid="{00000000-0005-0000-0000-000096170000}"/>
    <cellStyle name="Normal 3 2 2 4 3 2 4 5" xfId="17022" xr:uid="{00000000-0005-0000-0000-000097170000}"/>
    <cellStyle name="Normal 3 2 2 4 3 2 4 5 2" xfId="48893" xr:uid="{00000000-0005-0000-0000-000098170000}"/>
    <cellStyle name="Normal 3 2 2 4 3 2 4 6" xfId="33652" xr:uid="{00000000-0005-0000-0000-000099170000}"/>
    <cellStyle name="Normal 3 2 2 4 3 2 5" xfId="1781" xr:uid="{00000000-0005-0000-0000-00009A170000}"/>
    <cellStyle name="Normal 3 2 2 4 3 2 5 2" xfId="1782" xr:uid="{00000000-0005-0000-0000-00009B170000}"/>
    <cellStyle name="Normal 3 2 2 4 3 2 5 2 2" xfId="1783" xr:uid="{00000000-0005-0000-0000-00009C170000}"/>
    <cellStyle name="Normal 3 2 2 4 3 2 5 2 2 2" xfId="28841" xr:uid="{00000000-0005-0000-0000-00009D170000}"/>
    <cellStyle name="Normal 3 2 2 4 3 2 5 2 2 2 2" xfId="60712" xr:uid="{00000000-0005-0000-0000-00009E170000}"/>
    <cellStyle name="Normal 3 2 2 4 3 2 5 2 2 3" xfId="33662" xr:uid="{00000000-0005-0000-0000-00009F170000}"/>
    <cellStyle name="Normal 3 2 2 4 3 2 5 2 3" xfId="20963" xr:uid="{00000000-0005-0000-0000-0000A0170000}"/>
    <cellStyle name="Normal 3 2 2 4 3 2 5 2 3 2" xfId="52834" xr:uid="{00000000-0005-0000-0000-0000A1170000}"/>
    <cellStyle name="Normal 3 2 2 4 3 2 5 2 4" xfId="33661" xr:uid="{00000000-0005-0000-0000-0000A2170000}"/>
    <cellStyle name="Normal 3 2 2 4 3 2 5 3" xfId="1784" xr:uid="{00000000-0005-0000-0000-0000A3170000}"/>
    <cellStyle name="Normal 3 2 2 4 3 2 5 3 2" xfId="24902" xr:uid="{00000000-0005-0000-0000-0000A4170000}"/>
    <cellStyle name="Normal 3 2 2 4 3 2 5 3 2 2" xfId="56773" xr:uid="{00000000-0005-0000-0000-0000A5170000}"/>
    <cellStyle name="Normal 3 2 2 4 3 2 5 3 3" xfId="33663" xr:uid="{00000000-0005-0000-0000-0000A6170000}"/>
    <cellStyle name="Normal 3 2 2 4 3 2 5 4" xfId="17024" xr:uid="{00000000-0005-0000-0000-0000A7170000}"/>
    <cellStyle name="Normal 3 2 2 4 3 2 5 4 2" xfId="48895" xr:uid="{00000000-0005-0000-0000-0000A8170000}"/>
    <cellStyle name="Normal 3 2 2 4 3 2 5 5" xfId="33660" xr:uid="{00000000-0005-0000-0000-0000A9170000}"/>
    <cellStyle name="Normal 3 2 2 4 3 2 6" xfId="1785" xr:uid="{00000000-0005-0000-0000-0000AA170000}"/>
    <cellStyle name="Normal 3 2 2 4 3 2 6 2" xfId="1786" xr:uid="{00000000-0005-0000-0000-0000AB170000}"/>
    <cellStyle name="Normal 3 2 2 4 3 2 6 2 2" xfId="28485" xr:uid="{00000000-0005-0000-0000-0000AC170000}"/>
    <cellStyle name="Normal 3 2 2 4 3 2 6 2 2 2" xfId="60356" xr:uid="{00000000-0005-0000-0000-0000AD170000}"/>
    <cellStyle name="Normal 3 2 2 4 3 2 6 2 3" xfId="33665" xr:uid="{00000000-0005-0000-0000-0000AE170000}"/>
    <cellStyle name="Normal 3 2 2 4 3 2 6 3" xfId="20607" xr:uid="{00000000-0005-0000-0000-0000AF170000}"/>
    <cellStyle name="Normal 3 2 2 4 3 2 6 3 2" xfId="52478" xr:uid="{00000000-0005-0000-0000-0000B0170000}"/>
    <cellStyle name="Normal 3 2 2 4 3 2 6 4" xfId="33664" xr:uid="{00000000-0005-0000-0000-0000B1170000}"/>
    <cellStyle name="Normal 3 2 2 4 3 2 7" xfId="1787" xr:uid="{00000000-0005-0000-0000-0000B2170000}"/>
    <cellStyle name="Normal 3 2 2 4 3 2 7 2" xfId="24546" xr:uid="{00000000-0005-0000-0000-0000B3170000}"/>
    <cellStyle name="Normal 3 2 2 4 3 2 7 2 2" xfId="56417" xr:uid="{00000000-0005-0000-0000-0000B4170000}"/>
    <cellStyle name="Normal 3 2 2 4 3 2 7 3" xfId="33666" xr:uid="{00000000-0005-0000-0000-0000B5170000}"/>
    <cellStyle name="Normal 3 2 2 4 3 2 8" xfId="16668" xr:uid="{00000000-0005-0000-0000-0000B6170000}"/>
    <cellStyle name="Normal 3 2 2 4 3 2 8 2" xfId="48539" xr:uid="{00000000-0005-0000-0000-0000B7170000}"/>
    <cellStyle name="Normal 3 2 2 4 3 2 9" xfId="33603" xr:uid="{00000000-0005-0000-0000-0000B8170000}"/>
    <cellStyle name="Normal 3 2 2 4 3 3" xfId="1788" xr:uid="{00000000-0005-0000-0000-0000B9170000}"/>
    <cellStyle name="Normal 3 2 2 4 3 3 2" xfId="1789" xr:uid="{00000000-0005-0000-0000-0000BA170000}"/>
    <cellStyle name="Normal 3 2 2 4 3 3 2 2" xfId="1790" xr:uid="{00000000-0005-0000-0000-0000BB170000}"/>
    <cellStyle name="Normal 3 2 2 4 3 3 2 2 2" xfId="1791" xr:uid="{00000000-0005-0000-0000-0000BC170000}"/>
    <cellStyle name="Normal 3 2 2 4 3 3 2 2 2 2" xfId="1792" xr:uid="{00000000-0005-0000-0000-0000BD170000}"/>
    <cellStyle name="Normal 3 2 2 4 3 3 2 2 2 2 2" xfId="1793" xr:uid="{00000000-0005-0000-0000-0000BE170000}"/>
    <cellStyle name="Normal 3 2 2 4 3 3 2 2 2 2 2 2" xfId="28845" xr:uid="{00000000-0005-0000-0000-0000BF170000}"/>
    <cellStyle name="Normal 3 2 2 4 3 3 2 2 2 2 2 2 2" xfId="60716" xr:uid="{00000000-0005-0000-0000-0000C0170000}"/>
    <cellStyle name="Normal 3 2 2 4 3 3 2 2 2 2 2 3" xfId="33672" xr:uid="{00000000-0005-0000-0000-0000C1170000}"/>
    <cellStyle name="Normal 3 2 2 4 3 3 2 2 2 2 3" xfId="20967" xr:uid="{00000000-0005-0000-0000-0000C2170000}"/>
    <cellStyle name="Normal 3 2 2 4 3 3 2 2 2 2 3 2" xfId="52838" xr:uid="{00000000-0005-0000-0000-0000C3170000}"/>
    <cellStyle name="Normal 3 2 2 4 3 3 2 2 2 2 4" xfId="33671" xr:uid="{00000000-0005-0000-0000-0000C4170000}"/>
    <cellStyle name="Normal 3 2 2 4 3 3 2 2 2 3" xfId="1794" xr:uid="{00000000-0005-0000-0000-0000C5170000}"/>
    <cellStyle name="Normal 3 2 2 4 3 3 2 2 2 3 2" xfId="24906" xr:uid="{00000000-0005-0000-0000-0000C6170000}"/>
    <cellStyle name="Normal 3 2 2 4 3 3 2 2 2 3 2 2" xfId="56777" xr:uid="{00000000-0005-0000-0000-0000C7170000}"/>
    <cellStyle name="Normal 3 2 2 4 3 3 2 2 2 3 3" xfId="33673" xr:uid="{00000000-0005-0000-0000-0000C8170000}"/>
    <cellStyle name="Normal 3 2 2 4 3 3 2 2 2 4" xfId="17028" xr:uid="{00000000-0005-0000-0000-0000C9170000}"/>
    <cellStyle name="Normal 3 2 2 4 3 3 2 2 2 4 2" xfId="48899" xr:uid="{00000000-0005-0000-0000-0000CA170000}"/>
    <cellStyle name="Normal 3 2 2 4 3 3 2 2 2 5" xfId="33670" xr:uid="{00000000-0005-0000-0000-0000CB170000}"/>
    <cellStyle name="Normal 3 2 2 4 3 3 2 2 3" xfId="1795" xr:uid="{00000000-0005-0000-0000-0000CC170000}"/>
    <cellStyle name="Normal 3 2 2 4 3 3 2 2 3 2" xfId="1796" xr:uid="{00000000-0005-0000-0000-0000CD170000}"/>
    <cellStyle name="Normal 3 2 2 4 3 3 2 2 3 2 2" xfId="28844" xr:uid="{00000000-0005-0000-0000-0000CE170000}"/>
    <cellStyle name="Normal 3 2 2 4 3 3 2 2 3 2 2 2" xfId="60715" xr:uid="{00000000-0005-0000-0000-0000CF170000}"/>
    <cellStyle name="Normal 3 2 2 4 3 3 2 2 3 2 3" xfId="33675" xr:uid="{00000000-0005-0000-0000-0000D0170000}"/>
    <cellStyle name="Normal 3 2 2 4 3 3 2 2 3 3" xfId="20966" xr:uid="{00000000-0005-0000-0000-0000D1170000}"/>
    <cellStyle name="Normal 3 2 2 4 3 3 2 2 3 3 2" xfId="52837" xr:uid="{00000000-0005-0000-0000-0000D2170000}"/>
    <cellStyle name="Normal 3 2 2 4 3 3 2 2 3 4" xfId="33674" xr:uid="{00000000-0005-0000-0000-0000D3170000}"/>
    <cellStyle name="Normal 3 2 2 4 3 3 2 2 4" xfId="1797" xr:uid="{00000000-0005-0000-0000-0000D4170000}"/>
    <cellStyle name="Normal 3 2 2 4 3 3 2 2 4 2" xfId="24905" xr:uid="{00000000-0005-0000-0000-0000D5170000}"/>
    <cellStyle name="Normal 3 2 2 4 3 3 2 2 4 2 2" xfId="56776" xr:uid="{00000000-0005-0000-0000-0000D6170000}"/>
    <cellStyle name="Normal 3 2 2 4 3 3 2 2 4 3" xfId="33676" xr:uid="{00000000-0005-0000-0000-0000D7170000}"/>
    <cellStyle name="Normal 3 2 2 4 3 3 2 2 5" xfId="17027" xr:uid="{00000000-0005-0000-0000-0000D8170000}"/>
    <cellStyle name="Normal 3 2 2 4 3 3 2 2 5 2" xfId="48898" xr:uid="{00000000-0005-0000-0000-0000D9170000}"/>
    <cellStyle name="Normal 3 2 2 4 3 3 2 2 6" xfId="33669" xr:uid="{00000000-0005-0000-0000-0000DA170000}"/>
    <cellStyle name="Normal 3 2 2 4 3 3 2 3" xfId="1798" xr:uid="{00000000-0005-0000-0000-0000DB170000}"/>
    <cellStyle name="Normal 3 2 2 4 3 3 2 3 2" xfId="1799" xr:uid="{00000000-0005-0000-0000-0000DC170000}"/>
    <cellStyle name="Normal 3 2 2 4 3 3 2 3 2 2" xfId="1800" xr:uid="{00000000-0005-0000-0000-0000DD170000}"/>
    <cellStyle name="Normal 3 2 2 4 3 3 2 3 2 2 2" xfId="28846" xr:uid="{00000000-0005-0000-0000-0000DE170000}"/>
    <cellStyle name="Normal 3 2 2 4 3 3 2 3 2 2 2 2" xfId="60717" xr:uid="{00000000-0005-0000-0000-0000DF170000}"/>
    <cellStyle name="Normal 3 2 2 4 3 3 2 3 2 2 3" xfId="33679" xr:uid="{00000000-0005-0000-0000-0000E0170000}"/>
    <cellStyle name="Normal 3 2 2 4 3 3 2 3 2 3" xfId="20968" xr:uid="{00000000-0005-0000-0000-0000E1170000}"/>
    <cellStyle name="Normal 3 2 2 4 3 3 2 3 2 3 2" xfId="52839" xr:uid="{00000000-0005-0000-0000-0000E2170000}"/>
    <cellStyle name="Normal 3 2 2 4 3 3 2 3 2 4" xfId="33678" xr:uid="{00000000-0005-0000-0000-0000E3170000}"/>
    <cellStyle name="Normal 3 2 2 4 3 3 2 3 3" xfId="1801" xr:uid="{00000000-0005-0000-0000-0000E4170000}"/>
    <cellStyle name="Normal 3 2 2 4 3 3 2 3 3 2" xfId="24907" xr:uid="{00000000-0005-0000-0000-0000E5170000}"/>
    <cellStyle name="Normal 3 2 2 4 3 3 2 3 3 2 2" xfId="56778" xr:uid="{00000000-0005-0000-0000-0000E6170000}"/>
    <cellStyle name="Normal 3 2 2 4 3 3 2 3 3 3" xfId="33680" xr:uid="{00000000-0005-0000-0000-0000E7170000}"/>
    <cellStyle name="Normal 3 2 2 4 3 3 2 3 4" xfId="17029" xr:uid="{00000000-0005-0000-0000-0000E8170000}"/>
    <cellStyle name="Normal 3 2 2 4 3 3 2 3 4 2" xfId="48900" xr:uid="{00000000-0005-0000-0000-0000E9170000}"/>
    <cellStyle name="Normal 3 2 2 4 3 3 2 3 5" xfId="33677" xr:uid="{00000000-0005-0000-0000-0000EA170000}"/>
    <cellStyle name="Normal 3 2 2 4 3 3 2 4" xfId="1802" xr:uid="{00000000-0005-0000-0000-0000EB170000}"/>
    <cellStyle name="Normal 3 2 2 4 3 3 2 4 2" xfId="1803" xr:uid="{00000000-0005-0000-0000-0000EC170000}"/>
    <cellStyle name="Normal 3 2 2 4 3 3 2 4 2 2" xfId="28843" xr:uid="{00000000-0005-0000-0000-0000ED170000}"/>
    <cellStyle name="Normal 3 2 2 4 3 3 2 4 2 2 2" xfId="60714" xr:uid="{00000000-0005-0000-0000-0000EE170000}"/>
    <cellStyle name="Normal 3 2 2 4 3 3 2 4 2 3" xfId="33682" xr:uid="{00000000-0005-0000-0000-0000EF170000}"/>
    <cellStyle name="Normal 3 2 2 4 3 3 2 4 3" xfId="20965" xr:uid="{00000000-0005-0000-0000-0000F0170000}"/>
    <cellStyle name="Normal 3 2 2 4 3 3 2 4 3 2" xfId="52836" xr:uid="{00000000-0005-0000-0000-0000F1170000}"/>
    <cellStyle name="Normal 3 2 2 4 3 3 2 4 4" xfId="33681" xr:uid="{00000000-0005-0000-0000-0000F2170000}"/>
    <cellStyle name="Normal 3 2 2 4 3 3 2 5" xfId="1804" xr:uid="{00000000-0005-0000-0000-0000F3170000}"/>
    <cellStyle name="Normal 3 2 2 4 3 3 2 5 2" xfId="24904" xr:uid="{00000000-0005-0000-0000-0000F4170000}"/>
    <cellStyle name="Normal 3 2 2 4 3 3 2 5 2 2" xfId="56775" xr:uid="{00000000-0005-0000-0000-0000F5170000}"/>
    <cellStyle name="Normal 3 2 2 4 3 3 2 5 3" xfId="33683" xr:uid="{00000000-0005-0000-0000-0000F6170000}"/>
    <cellStyle name="Normal 3 2 2 4 3 3 2 6" xfId="17026" xr:uid="{00000000-0005-0000-0000-0000F7170000}"/>
    <cellStyle name="Normal 3 2 2 4 3 3 2 6 2" xfId="48897" xr:uid="{00000000-0005-0000-0000-0000F8170000}"/>
    <cellStyle name="Normal 3 2 2 4 3 3 2 7" xfId="33668" xr:uid="{00000000-0005-0000-0000-0000F9170000}"/>
    <cellStyle name="Normal 3 2 2 4 3 3 3" xfId="1805" xr:uid="{00000000-0005-0000-0000-0000FA170000}"/>
    <cellStyle name="Normal 3 2 2 4 3 3 3 2" xfId="1806" xr:uid="{00000000-0005-0000-0000-0000FB170000}"/>
    <cellStyle name="Normal 3 2 2 4 3 3 3 2 2" xfId="1807" xr:uid="{00000000-0005-0000-0000-0000FC170000}"/>
    <cellStyle name="Normal 3 2 2 4 3 3 3 2 2 2" xfId="1808" xr:uid="{00000000-0005-0000-0000-0000FD170000}"/>
    <cellStyle name="Normal 3 2 2 4 3 3 3 2 2 2 2" xfId="28848" xr:uid="{00000000-0005-0000-0000-0000FE170000}"/>
    <cellStyle name="Normal 3 2 2 4 3 3 3 2 2 2 2 2" xfId="60719" xr:uid="{00000000-0005-0000-0000-0000FF170000}"/>
    <cellStyle name="Normal 3 2 2 4 3 3 3 2 2 2 3" xfId="33687" xr:uid="{00000000-0005-0000-0000-000000180000}"/>
    <cellStyle name="Normal 3 2 2 4 3 3 3 2 2 3" xfId="20970" xr:uid="{00000000-0005-0000-0000-000001180000}"/>
    <cellStyle name="Normal 3 2 2 4 3 3 3 2 2 3 2" xfId="52841" xr:uid="{00000000-0005-0000-0000-000002180000}"/>
    <cellStyle name="Normal 3 2 2 4 3 3 3 2 2 4" xfId="33686" xr:uid="{00000000-0005-0000-0000-000003180000}"/>
    <cellStyle name="Normal 3 2 2 4 3 3 3 2 3" xfId="1809" xr:uid="{00000000-0005-0000-0000-000004180000}"/>
    <cellStyle name="Normal 3 2 2 4 3 3 3 2 3 2" xfId="24909" xr:uid="{00000000-0005-0000-0000-000005180000}"/>
    <cellStyle name="Normal 3 2 2 4 3 3 3 2 3 2 2" xfId="56780" xr:uid="{00000000-0005-0000-0000-000006180000}"/>
    <cellStyle name="Normal 3 2 2 4 3 3 3 2 3 3" xfId="33688" xr:uid="{00000000-0005-0000-0000-000007180000}"/>
    <cellStyle name="Normal 3 2 2 4 3 3 3 2 4" xfId="17031" xr:uid="{00000000-0005-0000-0000-000008180000}"/>
    <cellStyle name="Normal 3 2 2 4 3 3 3 2 4 2" xfId="48902" xr:uid="{00000000-0005-0000-0000-000009180000}"/>
    <cellStyle name="Normal 3 2 2 4 3 3 3 2 5" xfId="33685" xr:uid="{00000000-0005-0000-0000-00000A180000}"/>
    <cellStyle name="Normal 3 2 2 4 3 3 3 3" xfId="1810" xr:uid="{00000000-0005-0000-0000-00000B180000}"/>
    <cellStyle name="Normal 3 2 2 4 3 3 3 3 2" xfId="1811" xr:uid="{00000000-0005-0000-0000-00000C180000}"/>
    <cellStyle name="Normal 3 2 2 4 3 3 3 3 2 2" xfId="28847" xr:uid="{00000000-0005-0000-0000-00000D180000}"/>
    <cellStyle name="Normal 3 2 2 4 3 3 3 3 2 2 2" xfId="60718" xr:uid="{00000000-0005-0000-0000-00000E180000}"/>
    <cellStyle name="Normal 3 2 2 4 3 3 3 3 2 3" xfId="33690" xr:uid="{00000000-0005-0000-0000-00000F180000}"/>
    <cellStyle name="Normal 3 2 2 4 3 3 3 3 3" xfId="20969" xr:uid="{00000000-0005-0000-0000-000010180000}"/>
    <cellStyle name="Normal 3 2 2 4 3 3 3 3 3 2" xfId="52840" xr:uid="{00000000-0005-0000-0000-000011180000}"/>
    <cellStyle name="Normal 3 2 2 4 3 3 3 3 4" xfId="33689" xr:uid="{00000000-0005-0000-0000-000012180000}"/>
    <cellStyle name="Normal 3 2 2 4 3 3 3 4" xfId="1812" xr:uid="{00000000-0005-0000-0000-000013180000}"/>
    <cellStyle name="Normal 3 2 2 4 3 3 3 4 2" xfId="24908" xr:uid="{00000000-0005-0000-0000-000014180000}"/>
    <cellStyle name="Normal 3 2 2 4 3 3 3 4 2 2" xfId="56779" xr:uid="{00000000-0005-0000-0000-000015180000}"/>
    <cellStyle name="Normal 3 2 2 4 3 3 3 4 3" xfId="33691" xr:uid="{00000000-0005-0000-0000-000016180000}"/>
    <cellStyle name="Normal 3 2 2 4 3 3 3 5" xfId="17030" xr:uid="{00000000-0005-0000-0000-000017180000}"/>
    <cellStyle name="Normal 3 2 2 4 3 3 3 5 2" xfId="48901" xr:uid="{00000000-0005-0000-0000-000018180000}"/>
    <cellStyle name="Normal 3 2 2 4 3 3 3 6" xfId="33684" xr:uid="{00000000-0005-0000-0000-000019180000}"/>
    <cellStyle name="Normal 3 2 2 4 3 3 4" xfId="1813" xr:uid="{00000000-0005-0000-0000-00001A180000}"/>
    <cellStyle name="Normal 3 2 2 4 3 3 4 2" xfId="1814" xr:uid="{00000000-0005-0000-0000-00001B180000}"/>
    <cellStyle name="Normal 3 2 2 4 3 3 4 2 2" xfId="1815" xr:uid="{00000000-0005-0000-0000-00001C180000}"/>
    <cellStyle name="Normal 3 2 2 4 3 3 4 2 2 2" xfId="28849" xr:uid="{00000000-0005-0000-0000-00001D180000}"/>
    <cellStyle name="Normal 3 2 2 4 3 3 4 2 2 2 2" xfId="60720" xr:uid="{00000000-0005-0000-0000-00001E180000}"/>
    <cellStyle name="Normal 3 2 2 4 3 3 4 2 2 3" xfId="33694" xr:uid="{00000000-0005-0000-0000-00001F180000}"/>
    <cellStyle name="Normal 3 2 2 4 3 3 4 2 3" xfId="20971" xr:uid="{00000000-0005-0000-0000-000020180000}"/>
    <cellStyle name="Normal 3 2 2 4 3 3 4 2 3 2" xfId="52842" xr:uid="{00000000-0005-0000-0000-000021180000}"/>
    <cellStyle name="Normal 3 2 2 4 3 3 4 2 4" xfId="33693" xr:uid="{00000000-0005-0000-0000-000022180000}"/>
    <cellStyle name="Normal 3 2 2 4 3 3 4 3" xfId="1816" xr:uid="{00000000-0005-0000-0000-000023180000}"/>
    <cellStyle name="Normal 3 2 2 4 3 3 4 3 2" xfId="24910" xr:uid="{00000000-0005-0000-0000-000024180000}"/>
    <cellStyle name="Normal 3 2 2 4 3 3 4 3 2 2" xfId="56781" xr:uid="{00000000-0005-0000-0000-000025180000}"/>
    <cellStyle name="Normal 3 2 2 4 3 3 4 3 3" xfId="33695" xr:uid="{00000000-0005-0000-0000-000026180000}"/>
    <cellStyle name="Normal 3 2 2 4 3 3 4 4" xfId="17032" xr:uid="{00000000-0005-0000-0000-000027180000}"/>
    <cellStyle name="Normal 3 2 2 4 3 3 4 4 2" xfId="48903" xr:uid="{00000000-0005-0000-0000-000028180000}"/>
    <cellStyle name="Normal 3 2 2 4 3 3 4 5" xfId="33692" xr:uid="{00000000-0005-0000-0000-000029180000}"/>
    <cellStyle name="Normal 3 2 2 4 3 3 5" xfId="1817" xr:uid="{00000000-0005-0000-0000-00002A180000}"/>
    <cellStyle name="Normal 3 2 2 4 3 3 5 2" xfId="1818" xr:uid="{00000000-0005-0000-0000-00002B180000}"/>
    <cellStyle name="Normal 3 2 2 4 3 3 5 2 2" xfId="28842" xr:uid="{00000000-0005-0000-0000-00002C180000}"/>
    <cellStyle name="Normal 3 2 2 4 3 3 5 2 2 2" xfId="60713" xr:uid="{00000000-0005-0000-0000-00002D180000}"/>
    <cellStyle name="Normal 3 2 2 4 3 3 5 2 3" xfId="33697" xr:uid="{00000000-0005-0000-0000-00002E180000}"/>
    <cellStyle name="Normal 3 2 2 4 3 3 5 3" xfId="20964" xr:uid="{00000000-0005-0000-0000-00002F180000}"/>
    <cellStyle name="Normal 3 2 2 4 3 3 5 3 2" xfId="52835" xr:uid="{00000000-0005-0000-0000-000030180000}"/>
    <cellStyle name="Normal 3 2 2 4 3 3 5 4" xfId="33696" xr:uid="{00000000-0005-0000-0000-000031180000}"/>
    <cellStyle name="Normal 3 2 2 4 3 3 6" xfId="1819" xr:uid="{00000000-0005-0000-0000-000032180000}"/>
    <cellStyle name="Normal 3 2 2 4 3 3 6 2" xfId="24903" xr:uid="{00000000-0005-0000-0000-000033180000}"/>
    <cellStyle name="Normal 3 2 2 4 3 3 6 2 2" xfId="56774" xr:uid="{00000000-0005-0000-0000-000034180000}"/>
    <cellStyle name="Normal 3 2 2 4 3 3 6 3" xfId="33698" xr:uid="{00000000-0005-0000-0000-000035180000}"/>
    <cellStyle name="Normal 3 2 2 4 3 3 7" xfId="17025" xr:uid="{00000000-0005-0000-0000-000036180000}"/>
    <cellStyle name="Normal 3 2 2 4 3 3 7 2" xfId="48896" xr:uid="{00000000-0005-0000-0000-000037180000}"/>
    <cellStyle name="Normal 3 2 2 4 3 3 8" xfId="33667" xr:uid="{00000000-0005-0000-0000-000038180000}"/>
    <cellStyle name="Normal 3 2 2 4 3 4" xfId="1820" xr:uid="{00000000-0005-0000-0000-000039180000}"/>
    <cellStyle name="Normal 3 2 2 4 3 4 2" xfId="1821" xr:uid="{00000000-0005-0000-0000-00003A180000}"/>
    <cellStyle name="Normal 3 2 2 4 3 4 2 2" xfId="1822" xr:uid="{00000000-0005-0000-0000-00003B180000}"/>
    <cellStyle name="Normal 3 2 2 4 3 4 2 2 2" xfId="1823" xr:uid="{00000000-0005-0000-0000-00003C180000}"/>
    <cellStyle name="Normal 3 2 2 4 3 4 2 2 2 2" xfId="1824" xr:uid="{00000000-0005-0000-0000-00003D180000}"/>
    <cellStyle name="Normal 3 2 2 4 3 4 2 2 2 2 2" xfId="28852" xr:uid="{00000000-0005-0000-0000-00003E180000}"/>
    <cellStyle name="Normal 3 2 2 4 3 4 2 2 2 2 2 2" xfId="60723" xr:uid="{00000000-0005-0000-0000-00003F180000}"/>
    <cellStyle name="Normal 3 2 2 4 3 4 2 2 2 2 3" xfId="33703" xr:uid="{00000000-0005-0000-0000-000040180000}"/>
    <cellStyle name="Normal 3 2 2 4 3 4 2 2 2 3" xfId="20974" xr:uid="{00000000-0005-0000-0000-000041180000}"/>
    <cellStyle name="Normal 3 2 2 4 3 4 2 2 2 3 2" xfId="52845" xr:uid="{00000000-0005-0000-0000-000042180000}"/>
    <cellStyle name="Normal 3 2 2 4 3 4 2 2 2 4" xfId="33702" xr:uid="{00000000-0005-0000-0000-000043180000}"/>
    <cellStyle name="Normal 3 2 2 4 3 4 2 2 3" xfId="1825" xr:uid="{00000000-0005-0000-0000-000044180000}"/>
    <cellStyle name="Normal 3 2 2 4 3 4 2 2 3 2" xfId="24913" xr:uid="{00000000-0005-0000-0000-000045180000}"/>
    <cellStyle name="Normal 3 2 2 4 3 4 2 2 3 2 2" xfId="56784" xr:uid="{00000000-0005-0000-0000-000046180000}"/>
    <cellStyle name="Normal 3 2 2 4 3 4 2 2 3 3" xfId="33704" xr:uid="{00000000-0005-0000-0000-000047180000}"/>
    <cellStyle name="Normal 3 2 2 4 3 4 2 2 4" xfId="17035" xr:uid="{00000000-0005-0000-0000-000048180000}"/>
    <cellStyle name="Normal 3 2 2 4 3 4 2 2 4 2" xfId="48906" xr:uid="{00000000-0005-0000-0000-000049180000}"/>
    <cellStyle name="Normal 3 2 2 4 3 4 2 2 5" xfId="33701" xr:uid="{00000000-0005-0000-0000-00004A180000}"/>
    <cellStyle name="Normal 3 2 2 4 3 4 2 3" xfId="1826" xr:uid="{00000000-0005-0000-0000-00004B180000}"/>
    <cellStyle name="Normal 3 2 2 4 3 4 2 3 2" xfId="1827" xr:uid="{00000000-0005-0000-0000-00004C180000}"/>
    <cellStyle name="Normal 3 2 2 4 3 4 2 3 2 2" xfId="28851" xr:uid="{00000000-0005-0000-0000-00004D180000}"/>
    <cellStyle name="Normal 3 2 2 4 3 4 2 3 2 2 2" xfId="60722" xr:uid="{00000000-0005-0000-0000-00004E180000}"/>
    <cellStyle name="Normal 3 2 2 4 3 4 2 3 2 3" xfId="33706" xr:uid="{00000000-0005-0000-0000-00004F180000}"/>
    <cellStyle name="Normal 3 2 2 4 3 4 2 3 3" xfId="20973" xr:uid="{00000000-0005-0000-0000-000050180000}"/>
    <cellStyle name="Normal 3 2 2 4 3 4 2 3 3 2" xfId="52844" xr:uid="{00000000-0005-0000-0000-000051180000}"/>
    <cellStyle name="Normal 3 2 2 4 3 4 2 3 4" xfId="33705" xr:uid="{00000000-0005-0000-0000-000052180000}"/>
    <cellStyle name="Normal 3 2 2 4 3 4 2 4" xfId="1828" xr:uid="{00000000-0005-0000-0000-000053180000}"/>
    <cellStyle name="Normal 3 2 2 4 3 4 2 4 2" xfId="24912" xr:uid="{00000000-0005-0000-0000-000054180000}"/>
    <cellStyle name="Normal 3 2 2 4 3 4 2 4 2 2" xfId="56783" xr:uid="{00000000-0005-0000-0000-000055180000}"/>
    <cellStyle name="Normal 3 2 2 4 3 4 2 4 3" xfId="33707" xr:uid="{00000000-0005-0000-0000-000056180000}"/>
    <cellStyle name="Normal 3 2 2 4 3 4 2 5" xfId="17034" xr:uid="{00000000-0005-0000-0000-000057180000}"/>
    <cellStyle name="Normal 3 2 2 4 3 4 2 5 2" xfId="48905" xr:uid="{00000000-0005-0000-0000-000058180000}"/>
    <cellStyle name="Normal 3 2 2 4 3 4 2 6" xfId="33700" xr:uid="{00000000-0005-0000-0000-000059180000}"/>
    <cellStyle name="Normal 3 2 2 4 3 4 3" xfId="1829" xr:uid="{00000000-0005-0000-0000-00005A180000}"/>
    <cellStyle name="Normal 3 2 2 4 3 4 3 2" xfId="1830" xr:uid="{00000000-0005-0000-0000-00005B180000}"/>
    <cellStyle name="Normal 3 2 2 4 3 4 3 2 2" xfId="1831" xr:uid="{00000000-0005-0000-0000-00005C180000}"/>
    <cellStyle name="Normal 3 2 2 4 3 4 3 2 2 2" xfId="28853" xr:uid="{00000000-0005-0000-0000-00005D180000}"/>
    <cellStyle name="Normal 3 2 2 4 3 4 3 2 2 2 2" xfId="60724" xr:uid="{00000000-0005-0000-0000-00005E180000}"/>
    <cellStyle name="Normal 3 2 2 4 3 4 3 2 2 3" xfId="33710" xr:uid="{00000000-0005-0000-0000-00005F180000}"/>
    <cellStyle name="Normal 3 2 2 4 3 4 3 2 3" xfId="20975" xr:uid="{00000000-0005-0000-0000-000060180000}"/>
    <cellStyle name="Normal 3 2 2 4 3 4 3 2 3 2" xfId="52846" xr:uid="{00000000-0005-0000-0000-000061180000}"/>
    <cellStyle name="Normal 3 2 2 4 3 4 3 2 4" xfId="33709" xr:uid="{00000000-0005-0000-0000-000062180000}"/>
    <cellStyle name="Normal 3 2 2 4 3 4 3 3" xfId="1832" xr:uid="{00000000-0005-0000-0000-000063180000}"/>
    <cellStyle name="Normal 3 2 2 4 3 4 3 3 2" xfId="24914" xr:uid="{00000000-0005-0000-0000-000064180000}"/>
    <cellStyle name="Normal 3 2 2 4 3 4 3 3 2 2" xfId="56785" xr:uid="{00000000-0005-0000-0000-000065180000}"/>
    <cellStyle name="Normal 3 2 2 4 3 4 3 3 3" xfId="33711" xr:uid="{00000000-0005-0000-0000-000066180000}"/>
    <cellStyle name="Normal 3 2 2 4 3 4 3 4" xfId="17036" xr:uid="{00000000-0005-0000-0000-000067180000}"/>
    <cellStyle name="Normal 3 2 2 4 3 4 3 4 2" xfId="48907" xr:uid="{00000000-0005-0000-0000-000068180000}"/>
    <cellStyle name="Normal 3 2 2 4 3 4 3 5" xfId="33708" xr:uid="{00000000-0005-0000-0000-000069180000}"/>
    <cellStyle name="Normal 3 2 2 4 3 4 4" xfId="1833" xr:uid="{00000000-0005-0000-0000-00006A180000}"/>
    <cellStyle name="Normal 3 2 2 4 3 4 4 2" xfId="1834" xr:uid="{00000000-0005-0000-0000-00006B180000}"/>
    <cellStyle name="Normal 3 2 2 4 3 4 4 2 2" xfId="28850" xr:uid="{00000000-0005-0000-0000-00006C180000}"/>
    <cellStyle name="Normal 3 2 2 4 3 4 4 2 2 2" xfId="60721" xr:uid="{00000000-0005-0000-0000-00006D180000}"/>
    <cellStyle name="Normal 3 2 2 4 3 4 4 2 3" xfId="33713" xr:uid="{00000000-0005-0000-0000-00006E180000}"/>
    <cellStyle name="Normal 3 2 2 4 3 4 4 3" xfId="20972" xr:uid="{00000000-0005-0000-0000-00006F180000}"/>
    <cellStyle name="Normal 3 2 2 4 3 4 4 3 2" xfId="52843" xr:uid="{00000000-0005-0000-0000-000070180000}"/>
    <cellStyle name="Normal 3 2 2 4 3 4 4 4" xfId="33712" xr:uid="{00000000-0005-0000-0000-000071180000}"/>
    <cellStyle name="Normal 3 2 2 4 3 4 5" xfId="1835" xr:uid="{00000000-0005-0000-0000-000072180000}"/>
    <cellStyle name="Normal 3 2 2 4 3 4 5 2" xfId="24911" xr:uid="{00000000-0005-0000-0000-000073180000}"/>
    <cellStyle name="Normal 3 2 2 4 3 4 5 2 2" xfId="56782" xr:uid="{00000000-0005-0000-0000-000074180000}"/>
    <cellStyle name="Normal 3 2 2 4 3 4 5 3" xfId="33714" xr:uid="{00000000-0005-0000-0000-000075180000}"/>
    <cellStyle name="Normal 3 2 2 4 3 4 6" xfId="17033" xr:uid="{00000000-0005-0000-0000-000076180000}"/>
    <cellStyle name="Normal 3 2 2 4 3 4 6 2" xfId="48904" xr:uid="{00000000-0005-0000-0000-000077180000}"/>
    <cellStyle name="Normal 3 2 2 4 3 4 7" xfId="33699" xr:uid="{00000000-0005-0000-0000-000078180000}"/>
    <cellStyle name="Normal 3 2 2 4 3 5" xfId="1836" xr:uid="{00000000-0005-0000-0000-000079180000}"/>
    <cellStyle name="Normal 3 2 2 4 3 5 2" xfId="1837" xr:uid="{00000000-0005-0000-0000-00007A180000}"/>
    <cellStyle name="Normal 3 2 2 4 3 5 2 2" xfId="1838" xr:uid="{00000000-0005-0000-0000-00007B180000}"/>
    <cellStyle name="Normal 3 2 2 4 3 5 2 2 2" xfId="1839" xr:uid="{00000000-0005-0000-0000-00007C180000}"/>
    <cellStyle name="Normal 3 2 2 4 3 5 2 2 2 2" xfId="28855" xr:uid="{00000000-0005-0000-0000-00007D180000}"/>
    <cellStyle name="Normal 3 2 2 4 3 5 2 2 2 2 2" xfId="60726" xr:uid="{00000000-0005-0000-0000-00007E180000}"/>
    <cellStyle name="Normal 3 2 2 4 3 5 2 2 2 3" xfId="33718" xr:uid="{00000000-0005-0000-0000-00007F180000}"/>
    <cellStyle name="Normal 3 2 2 4 3 5 2 2 3" xfId="20977" xr:uid="{00000000-0005-0000-0000-000080180000}"/>
    <cellStyle name="Normal 3 2 2 4 3 5 2 2 3 2" xfId="52848" xr:uid="{00000000-0005-0000-0000-000081180000}"/>
    <cellStyle name="Normal 3 2 2 4 3 5 2 2 4" xfId="33717" xr:uid="{00000000-0005-0000-0000-000082180000}"/>
    <cellStyle name="Normal 3 2 2 4 3 5 2 3" xfId="1840" xr:uid="{00000000-0005-0000-0000-000083180000}"/>
    <cellStyle name="Normal 3 2 2 4 3 5 2 3 2" xfId="24916" xr:uid="{00000000-0005-0000-0000-000084180000}"/>
    <cellStyle name="Normal 3 2 2 4 3 5 2 3 2 2" xfId="56787" xr:uid="{00000000-0005-0000-0000-000085180000}"/>
    <cellStyle name="Normal 3 2 2 4 3 5 2 3 3" xfId="33719" xr:uid="{00000000-0005-0000-0000-000086180000}"/>
    <cellStyle name="Normal 3 2 2 4 3 5 2 4" xfId="17038" xr:uid="{00000000-0005-0000-0000-000087180000}"/>
    <cellStyle name="Normal 3 2 2 4 3 5 2 4 2" xfId="48909" xr:uid="{00000000-0005-0000-0000-000088180000}"/>
    <cellStyle name="Normal 3 2 2 4 3 5 2 5" xfId="33716" xr:uid="{00000000-0005-0000-0000-000089180000}"/>
    <cellStyle name="Normal 3 2 2 4 3 5 3" xfId="1841" xr:uid="{00000000-0005-0000-0000-00008A180000}"/>
    <cellStyle name="Normal 3 2 2 4 3 5 3 2" xfId="1842" xr:uid="{00000000-0005-0000-0000-00008B180000}"/>
    <cellStyle name="Normal 3 2 2 4 3 5 3 2 2" xfId="28854" xr:uid="{00000000-0005-0000-0000-00008C180000}"/>
    <cellStyle name="Normal 3 2 2 4 3 5 3 2 2 2" xfId="60725" xr:uid="{00000000-0005-0000-0000-00008D180000}"/>
    <cellStyle name="Normal 3 2 2 4 3 5 3 2 3" xfId="33721" xr:uid="{00000000-0005-0000-0000-00008E180000}"/>
    <cellStyle name="Normal 3 2 2 4 3 5 3 3" xfId="20976" xr:uid="{00000000-0005-0000-0000-00008F180000}"/>
    <cellStyle name="Normal 3 2 2 4 3 5 3 3 2" xfId="52847" xr:uid="{00000000-0005-0000-0000-000090180000}"/>
    <cellStyle name="Normal 3 2 2 4 3 5 3 4" xfId="33720" xr:uid="{00000000-0005-0000-0000-000091180000}"/>
    <cellStyle name="Normal 3 2 2 4 3 5 4" xfId="1843" xr:uid="{00000000-0005-0000-0000-000092180000}"/>
    <cellStyle name="Normal 3 2 2 4 3 5 4 2" xfId="24915" xr:uid="{00000000-0005-0000-0000-000093180000}"/>
    <cellStyle name="Normal 3 2 2 4 3 5 4 2 2" xfId="56786" xr:uid="{00000000-0005-0000-0000-000094180000}"/>
    <cellStyle name="Normal 3 2 2 4 3 5 4 3" xfId="33722" xr:uid="{00000000-0005-0000-0000-000095180000}"/>
    <cellStyle name="Normal 3 2 2 4 3 5 5" xfId="17037" xr:uid="{00000000-0005-0000-0000-000096180000}"/>
    <cellStyle name="Normal 3 2 2 4 3 5 5 2" xfId="48908" xr:uid="{00000000-0005-0000-0000-000097180000}"/>
    <cellStyle name="Normal 3 2 2 4 3 5 6" xfId="33715" xr:uid="{00000000-0005-0000-0000-000098180000}"/>
    <cellStyle name="Normal 3 2 2 4 3 6" xfId="1844" xr:uid="{00000000-0005-0000-0000-000099180000}"/>
    <cellStyle name="Normal 3 2 2 4 3 6 2" xfId="1845" xr:uid="{00000000-0005-0000-0000-00009A180000}"/>
    <cellStyle name="Normal 3 2 2 4 3 6 2 2" xfId="1846" xr:uid="{00000000-0005-0000-0000-00009B180000}"/>
    <cellStyle name="Normal 3 2 2 4 3 6 2 2 2" xfId="28856" xr:uid="{00000000-0005-0000-0000-00009C180000}"/>
    <cellStyle name="Normal 3 2 2 4 3 6 2 2 2 2" xfId="60727" xr:uid="{00000000-0005-0000-0000-00009D180000}"/>
    <cellStyle name="Normal 3 2 2 4 3 6 2 2 3" xfId="33725" xr:uid="{00000000-0005-0000-0000-00009E180000}"/>
    <cellStyle name="Normal 3 2 2 4 3 6 2 3" xfId="20978" xr:uid="{00000000-0005-0000-0000-00009F180000}"/>
    <cellStyle name="Normal 3 2 2 4 3 6 2 3 2" xfId="52849" xr:uid="{00000000-0005-0000-0000-0000A0180000}"/>
    <cellStyle name="Normal 3 2 2 4 3 6 2 4" xfId="33724" xr:uid="{00000000-0005-0000-0000-0000A1180000}"/>
    <cellStyle name="Normal 3 2 2 4 3 6 3" xfId="1847" xr:uid="{00000000-0005-0000-0000-0000A2180000}"/>
    <cellStyle name="Normal 3 2 2 4 3 6 3 2" xfId="24917" xr:uid="{00000000-0005-0000-0000-0000A3180000}"/>
    <cellStyle name="Normal 3 2 2 4 3 6 3 2 2" xfId="56788" xr:uid="{00000000-0005-0000-0000-0000A4180000}"/>
    <cellStyle name="Normal 3 2 2 4 3 6 3 3" xfId="33726" xr:uid="{00000000-0005-0000-0000-0000A5180000}"/>
    <cellStyle name="Normal 3 2 2 4 3 6 4" xfId="17039" xr:uid="{00000000-0005-0000-0000-0000A6180000}"/>
    <cellStyle name="Normal 3 2 2 4 3 6 4 2" xfId="48910" xr:uid="{00000000-0005-0000-0000-0000A7180000}"/>
    <cellStyle name="Normal 3 2 2 4 3 6 5" xfId="33723" xr:uid="{00000000-0005-0000-0000-0000A8180000}"/>
    <cellStyle name="Normal 3 2 2 4 3 7" xfId="1848" xr:uid="{00000000-0005-0000-0000-0000A9180000}"/>
    <cellStyle name="Normal 3 2 2 4 3 7 2" xfId="1849" xr:uid="{00000000-0005-0000-0000-0000AA180000}"/>
    <cellStyle name="Normal 3 2 2 4 3 7 2 2" xfId="28362" xr:uid="{00000000-0005-0000-0000-0000AB180000}"/>
    <cellStyle name="Normal 3 2 2 4 3 7 2 2 2" xfId="60233" xr:uid="{00000000-0005-0000-0000-0000AC180000}"/>
    <cellStyle name="Normal 3 2 2 4 3 7 2 3" xfId="33728" xr:uid="{00000000-0005-0000-0000-0000AD180000}"/>
    <cellStyle name="Normal 3 2 2 4 3 7 3" xfId="20484" xr:uid="{00000000-0005-0000-0000-0000AE180000}"/>
    <cellStyle name="Normal 3 2 2 4 3 7 3 2" xfId="52355" xr:uid="{00000000-0005-0000-0000-0000AF180000}"/>
    <cellStyle name="Normal 3 2 2 4 3 7 4" xfId="33727" xr:uid="{00000000-0005-0000-0000-0000B0180000}"/>
    <cellStyle name="Normal 3 2 2 4 3 8" xfId="1850" xr:uid="{00000000-0005-0000-0000-0000B1180000}"/>
    <cellStyle name="Normal 3 2 2 4 3 8 2" xfId="24423" xr:uid="{00000000-0005-0000-0000-0000B2180000}"/>
    <cellStyle name="Normal 3 2 2 4 3 8 2 2" xfId="56294" xr:uid="{00000000-0005-0000-0000-0000B3180000}"/>
    <cellStyle name="Normal 3 2 2 4 3 8 3" xfId="33729" xr:uid="{00000000-0005-0000-0000-0000B4180000}"/>
    <cellStyle name="Normal 3 2 2 4 3 9" xfId="16545" xr:uid="{00000000-0005-0000-0000-0000B5180000}"/>
    <cellStyle name="Normal 3 2 2 4 3 9 2" xfId="48416" xr:uid="{00000000-0005-0000-0000-0000B6180000}"/>
    <cellStyle name="Normal 3 2 2 4 4" xfId="1851" xr:uid="{00000000-0005-0000-0000-0000B7180000}"/>
    <cellStyle name="Normal 3 2 2 4 4 2" xfId="1852" xr:uid="{00000000-0005-0000-0000-0000B8180000}"/>
    <cellStyle name="Normal 3 2 2 4 4 2 2" xfId="1853" xr:uid="{00000000-0005-0000-0000-0000B9180000}"/>
    <cellStyle name="Normal 3 2 2 4 4 2 2 2" xfId="1854" xr:uid="{00000000-0005-0000-0000-0000BA180000}"/>
    <cellStyle name="Normal 3 2 2 4 4 2 2 2 2" xfId="1855" xr:uid="{00000000-0005-0000-0000-0000BB180000}"/>
    <cellStyle name="Normal 3 2 2 4 4 2 2 2 2 2" xfId="1856" xr:uid="{00000000-0005-0000-0000-0000BC180000}"/>
    <cellStyle name="Normal 3 2 2 4 4 2 2 2 2 2 2" xfId="1857" xr:uid="{00000000-0005-0000-0000-0000BD180000}"/>
    <cellStyle name="Normal 3 2 2 4 4 2 2 2 2 2 2 2" xfId="28860" xr:uid="{00000000-0005-0000-0000-0000BE180000}"/>
    <cellStyle name="Normal 3 2 2 4 4 2 2 2 2 2 2 2 2" xfId="60731" xr:uid="{00000000-0005-0000-0000-0000BF180000}"/>
    <cellStyle name="Normal 3 2 2 4 4 2 2 2 2 2 2 3" xfId="33736" xr:uid="{00000000-0005-0000-0000-0000C0180000}"/>
    <cellStyle name="Normal 3 2 2 4 4 2 2 2 2 2 3" xfId="20982" xr:uid="{00000000-0005-0000-0000-0000C1180000}"/>
    <cellStyle name="Normal 3 2 2 4 4 2 2 2 2 2 3 2" xfId="52853" xr:uid="{00000000-0005-0000-0000-0000C2180000}"/>
    <cellStyle name="Normal 3 2 2 4 4 2 2 2 2 2 4" xfId="33735" xr:uid="{00000000-0005-0000-0000-0000C3180000}"/>
    <cellStyle name="Normal 3 2 2 4 4 2 2 2 2 3" xfId="1858" xr:uid="{00000000-0005-0000-0000-0000C4180000}"/>
    <cellStyle name="Normal 3 2 2 4 4 2 2 2 2 3 2" xfId="24921" xr:uid="{00000000-0005-0000-0000-0000C5180000}"/>
    <cellStyle name="Normal 3 2 2 4 4 2 2 2 2 3 2 2" xfId="56792" xr:uid="{00000000-0005-0000-0000-0000C6180000}"/>
    <cellStyle name="Normal 3 2 2 4 4 2 2 2 2 3 3" xfId="33737" xr:uid="{00000000-0005-0000-0000-0000C7180000}"/>
    <cellStyle name="Normal 3 2 2 4 4 2 2 2 2 4" xfId="17043" xr:uid="{00000000-0005-0000-0000-0000C8180000}"/>
    <cellStyle name="Normal 3 2 2 4 4 2 2 2 2 4 2" xfId="48914" xr:uid="{00000000-0005-0000-0000-0000C9180000}"/>
    <cellStyle name="Normal 3 2 2 4 4 2 2 2 2 5" xfId="33734" xr:uid="{00000000-0005-0000-0000-0000CA180000}"/>
    <cellStyle name="Normal 3 2 2 4 4 2 2 2 3" xfId="1859" xr:uid="{00000000-0005-0000-0000-0000CB180000}"/>
    <cellStyle name="Normal 3 2 2 4 4 2 2 2 3 2" xfId="1860" xr:uid="{00000000-0005-0000-0000-0000CC180000}"/>
    <cellStyle name="Normal 3 2 2 4 4 2 2 2 3 2 2" xfId="28859" xr:uid="{00000000-0005-0000-0000-0000CD180000}"/>
    <cellStyle name="Normal 3 2 2 4 4 2 2 2 3 2 2 2" xfId="60730" xr:uid="{00000000-0005-0000-0000-0000CE180000}"/>
    <cellStyle name="Normal 3 2 2 4 4 2 2 2 3 2 3" xfId="33739" xr:uid="{00000000-0005-0000-0000-0000CF180000}"/>
    <cellStyle name="Normal 3 2 2 4 4 2 2 2 3 3" xfId="20981" xr:uid="{00000000-0005-0000-0000-0000D0180000}"/>
    <cellStyle name="Normal 3 2 2 4 4 2 2 2 3 3 2" xfId="52852" xr:uid="{00000000-0005-0000-0000-0000D1180000}"/>
    <cellStyle name="Normal 3 2 2 4 4 2 2 2 3 4" xfId="33738" xr:uid="{00000000-0005-0000-0000-0000D2180000}"/>
    <cellStyle name="Normal 3 2 2 4 4 2 2 2 4" xfId="1861" xr:uid="{00000000-0005-0000-0000-0000D3180000}"/>
    <cellStyle name="Normal 3 2 2 4 4 2 2 2 4 2" xfId="24920" xr:uid="{00000000-0005-0000-0000-0000D4180000}"/>
    <cellStyle name="Normal 3 2 2 4 4 2 2 2 4 2 2" xfId="56791" xr:uid="{00000000-0005-0000-0000-0000D5180000}"/>
    <cellStyle name="Normal 3 2 2 4 4 2 2 2 4 3" xfId="33740" xr:uid="{00000000-0005-0000-0000-0000D6180000}"/>
    <cellStyle name="Normal 3 2 2 4 4 2 2 2 5" xfId="17042" xr:uid="{00000000-0005-0000-0000-0000D7180000}"/>
    <cellStyle name="Normal 3 2 2 4 4 2 2 2 5 2" xfId="48913" xr:uid="{00000000-0005-0000-0000-0000D8180000}"/>
    <cellStyle name="Normal 3 2 2 4 4 2 2 2 6" xfId="33733" xr:uid="{00000000-0005-0000-0000-0000D9180000}"/>
    <cellStyle name="Normal 3 2 2 4 4 2 2 3" xfId="1862" xr:uid="{00000000-0005-0000-0000-0000DA180000}"/>
    <cellStyle name="Normal 3 2 2 4 4 2 2 3 2" xfId="1863" xr:uid="{00000000-0005-0000-0000-0000DB180000}"/>
    <cellStyle name="Normal 3 2 2 4 4 2 2 3 2 2" xfId="1864" xr:uid="{00000000-0005-0000-0000-0000DC180000}"/>
    <cellStyle name="Normal 3 2 2 4 4 2 2 3 2 2 2" xfId="28861" xr:uid="{00000000-0005-0000-0000-0000DD180000}"/>
    <cellStyle name="Normal 3 2 2 4 4 2 2 3 2 2 2 2" xfId="60732" xr:uid="{00000000-0005-0000-0000-0000DE180000}"/>
    <cellStyle name="Normal 3 2 2 4 4 2 2 3 2 2 3" xfId="33743" xr:uid="{00000000-0005-0000-0000-0000DF180000}"/>
    <cellStyle name="Normal 3 2 2 4 4 2 2 3 2 3" xfId="20983" xr:uid="{00000000-0005-0000-0000-0000E0180000}"/>
    <cellStyle name="Normal 3 2 2 4 4 2 2 3 2 3 2" xfId="52854" xr:uid="{00000000-0005-0000-0000-0000E1180000}"/>
    <cellStyle name="Normal 3 2 2 4 4 2 2 3 2 4" xfId="33742" xr:uid="{00000000-0005-0000-0000-0000E2180000}"/>
    <cellStyle name="Normal 3 2 2 4 4 2 2 3 3" xfId="1865" xr:uid="{00000000-0005-0000-0000-0000E3180000}"/>
    <cellStyle name="Normal 3 2 2 4 4 2 2 3 3 2" xfId="24922" xr:uid="{00000000-0005-0000-0000-0000E4180000}"/>
    <cellStyle name="Normal 3 2 2 4 4 2 2 3 3 2 2" xfId="56793" xr:uid="{00000000-0005-0000-0000-0000E5180000}"/>
    <cellStyle name="Normal 3 2 2 4 4 2 2 3 3 3" xfId="33744" xr:uid="{00000000-0005-0000-0000-0000E6180000}"/>
    <cellStyle name="Normal 3 2 2 4 4 2 2 3 4" xfId="17044" xr:uid="{00000000-0005-0000-0000-0000E7180000}"/>
    <cellStyle name="Normal 3 2 2 4 4 2 2 3 4 2" xfId="48915" xr:uid="{00000000-0005-0000-0000-0000E8180000}"/>
    <cellStyle name="Normal 3 2 2 4 4 2 2 3 5" xfId="33741" xr:uid="{00000000-0005-0000-0000-0000E9180000}"/>
    <cellStyle name="Normal 3 2 2 4 4 2 2 4" xfId="1866" xr:uid="{00000000-0005-0000-0000-0000EA180000}"/>
    <cellStyle name="Normal 3 2 2 4 4 2 2 4 2" xfId="1867" xr:uid="{00000000-0005-0000-0000-0000EB180000}"/>
    <cellStyle name="Normal 3 2 2 4 4 2 2 4 2 2" xfId="28858" xr:uid="{00000000-0005-0000-0000-0000EC180000}"/>
    <cellStyle name="Normal 3 2 2 4 4 2 2 4 2 2 2" xfId="60729" xr:uid="{00000000-0005-0000-0000-0000ED180000}"/>
    <cellStyle name="Normal 3 2 2 4 4 2 2 4 2 3" xfId="33746" xr:uid="{00000000-0005-0000-0000-0000EE180000}"/>
    <cellStyle name="Normal 3 2 2 4 4 2 2 4 3" xfId="20980" xr:uid="{00000000-0005-0000-0000-0000EF180000}"/>
    <cellStyle name="Normal 3 2 2 4 4 2 2 4 3 2" xfId="52851" xr:uid="{00000000-0005-0000-0000-0000F0180000}"/>
    <cellStyle name="Normal 3 2 2 4 4 2 2 4 4" xfId="33745" xr:uid="{00000000-0005-0000-0000-0000F1180000}"/>
    <cellStyle name="Normal 3 2 2 4 4 2 2 5" xfId="1868" xr:uid="{00000000-0005-0000-0000-0000F2180000}"/>
    <cellStyle name="Normal 3 2 2 4 4 2 2 5 2" xfId="24919" xr:uid="{00000000-0005-0000-0000-0000F3180000}"/>
    <cellStyle name="Normal 3 2 2 4 4 2 2 5 2 2" xfId="56790" xr:uid="{00000000-0005-0000-0000-0000F4180000}"/>
    <cellStyle name="Normal 3 2 2 4 4 2 2 5 3" xfId="33747" xr:uid="{00000000-0005-0000-0000-0000F5180000}"/>
    <cellStyle name="Normal 3 2 2 4 4 2 2 6" xfId="17041" xr:uid="{00000000-0005-0000-0000-0000F6180000}"/>
    <cellStyle name="Normal 3 2 2 4 4 2 2 6 2" xfId="48912" xr:uid="{00000000-0005-0000-0000-0000F7180000}"/>
    <cellStyle name="Normal 3 2 2 4 4 2 2 7" xfId="33732" xr:uid="{00000000-0005-0000-0000-0000F8180000}"/>
    <cellStyle name="Normal 3 2 2 4 4 2 3" xfId="1869" xr:uid="{00000000-0005-0000-0000-0000F9180000}"/>
    <cellStyle name="Normal 3 2 2 4 4 2 3 2" xfId="1870" xr:uid="{00000000-0005-0000-0000-0000FA180000}"/>
    <cellStyle name="Normal 3 2 2 4 4 2 3 2 2" xfId="1871" xr:uid="{00000000-0005-0000-0000-0000FB180000}"/>
    <cellStyle name="Normal 3 2 2 4 4 2 3 2 2 2" xfId="1872" xr:uid="{00000000-0005-0000-0000-0000FC180000}"/>
    <cellStyle name="Normal 3 2 2 4 4 2 3 2 2 2 2" xfId="28863" xr:uid="{00000000-0005-0000-0000-0000FD180000}"/>
    <cellStyle name="Normal 3 2 2 4 4 2 3 2 2 2 2 2" xfId="60734" xr:uid="{00000000-0005-0000-0000-0000FE180000}"/>
    <cellStyle name="Normal 3 2 2 4 4 2 3 2 2 2 3" xfId="33751" xr:uid="{00000000-0005-0000-0000-0000FF180000}"/>
    <cellStyle name="Normal 3 2 2 4 4 2 3 2 2 3" xfId="20985" xr:uid="{00000000-0005-0000-0000-000000190000}"/>
    <cellStyle name="Normal 3 2 2 4 4 2 3 2 2 3 2" xfId="52856" xr:uid="{00000000-0005-0000-0000-000001190000}"/>
    <cellStyle name="Normal 3 2 2 4 4 2 3 2 2 4" xfId="33750" xr:uid="{00000000-0005-0000-0000-000002190000}"/>
    <cellStyle name="Normal 3 2 2 4 4 2 3 2 3" xfId="1873" xr:uid="{00000000-0005-0000-0000-000003190000}"/>
    <cellStyle name="Normal 3 2 2 4 4 2 3 2 3 2" xfId="24924" xr:uid="{00000000-0005-0000-0000-000004190000}"/>
    <cellStyle name="Normal 3 2 2 4 4 2 3 2 3 2 2" xfId="56795" xr:uid="{00000000-0005-0000-0000-000005190000}"/>
    <cellStyle name="Normal 3 2 2 4 4 2 3 2 3 3" xfId="33752" xr:uid="{00000000-0005-0000-0000-000006190000}"/>
    <cellStyle name="Normal 3 2 2 4 4 2 3 2 4" xfId="17046" xr:uid="{00000000-0005-0000-0000-000007190000}"/>
    <cellStyle name="Normal 3 2 2 4 4 2 3 2 4 2" xfId="48917" xr:uid="{00000000-0005-0000-0000-000008190000}"/>
    <cellStyle name="Normal 3 2 2 4 4 2 3 2 5" xfId="33749" xr:uid="{00000000-0005-0000-0000-000009190000}"/>
    <cellStyle name="Normal 3 2 2 4 4 2 3 3" xfId="1874" xr:uid="{00000000-0005-0000-0000-00000A190000}"/>
    <cellStyle name="Normal 3 2 2 4 4 2 3 3 2" xfId="1875" xr:uid="{00000000-0005-0000-0000-00000B190000}"/>
    <cellStyle name="Normal 3 2 2 4 4 2 3 3 2 2" xfId="28862" xr:uid="{00000000-0005-0000-0000-00000C190000}"/>
    <cellStyle name="Normal 3 2 2 4 4 2 3 3 2 2 2" xfId="60733" xr:uid="{00000000-0005-0000-0000-00000D190000}"/>
    <cellStyle name="Normal 3 2 2 4 4 2 3 3 2 3" xfId="33754" xr:uid="{00000000-0005-0000-0000-00000E190000}"/>
    <cellStyle name="Normal 3 2 2 4 4 2 3 3 3" xfId="20984" xr:uid="{00000000-0005-0000-0000-00000F190000}"/>
    <cellStyle name="Normal 3 2 2 4 4 2 3 3 3 2" xfId="52855" xr:uid="{00000000-0005-0000-0000-000010190000}"/>
    <cellStyle name="Normal 3 2 2 4 4 2 3 3 4" xfId="33753" xr:uid="{00000000-0005-0000-0000-000011190000}"/>
    <cellStyle name="Normal 3 2 2 4 4 2 3 4" xfId="1876" xr:uid="{00000000-0005-0000-0000-000012190000}"/>
    <cellStyle name="Normal 3 2 2 4 4 2 3 4 2" xfId="24923" xr:uid="{00000000-0005-0000-0000-000013190000}"/>
    <cellStyle name="Normal 3 2 2 4 4 2 3 4 2 2" xfId="56794" xr:uid="{00000000-0005-0000-0000-000014190000}"/>
    <cellStyle name="Normal 3 2 2 4 4 2 3 4 3" xfId="33755" xr:uid="{00000000-0005-0000-0000-000015190000}"/>
    <cellStyle name="Normal 3 2 2 4 4 2 3 5" xfId="17045" xr:uid="{00000000-0005-0000-0000-000016190000}"/>
    <cellStyle name="Normal 3 2 2 4 4 2 3 5 2" xfId="48916" xr:uid="{00000000-0005-0000-0000-000017190000}"/>
    <cellStyle name="Normal 3 2 2 4 4 2 3 6" xfId="33748" xr:uid="{00000000-0005-0000-0000-000018190000}"/>
    <cellStyle name="Normal 3 2 2 4 4 2 4" xfId="1877" xr:uid="{00000000-0005-0000-0000-000019190000}"/>
    <cellStyle name="Normal 3 2 2 4 4 2 4 2" xfId="1878" xr:uid="{00000000-0005-0000-0000-00001A190000}"/>
    <cellStyle name="Normal 3 2 2 4 4 2 4 2 2" xfId="1879" xr:uid="{00000000-0005-0000-0000-00001B190000}"/>
    <cellStyle name="Normal 3 2 2 4 4 2 4 2 2 2" xfId="28864" xr:uid="{00000000-0005-0000-0000-00001C190000}"/>
    <cellStyle name="Normal 3 2 2 4 4 2 4 2 2 2 2" xfId="60735" xr:uid="{00000000-0005-0000-0000-00001D190000}"/>
    <cellStyle name="Normal 3 2 2 4 4 2 4 2 2 3" xfId="33758" xr:uid="{00000000-0005-0000-0000-00001E190000}"/>
    <cellStyle name="Normal 3 2 2 4 4 2 4 2 3" xfId="20986" xr:uid="{00000000-0005-0000-0000-00001F190000}"/>
    <cellStyle name="Normal 3 2 2 4 4 2 4 2 3 2" xfId="52857" xr:uid="{00000000-0005-0000-0000-000020190000}"/>
    <cellStyle name="Normal 3 2 2 4 4 2 4 2 4" xfId="33757" xr:uid="{00000000-0005-0000-0000-000021190000}"/>
    <cellStyle name="Normal 3 2 2 4 4 2 4 3" xfId="1880" xr:uid="{00000000-0005-0000-0000-000022190000}"/>
    <cellStyle name="Normal 3 2 2 4 4 2 4 3 2" xfId="24925" xr:uid="{00000000-0005-0000-0000-000023190000}"/>
    <cellStyle name="Normal 3 2 2 4 4 2 4 3 2 2" xfId="56796" xr:uid="{00000000-0005-0000-0000-000024190000}"/>
    <cellStyle name="Normal 3 2 2 4 4 2 4 3 3" xfId="33759" xr:uid="{00000000-0005-0000-0000-000025190000}"/>
    <cellStyle name="Normal 3 2 2 4 4 2 4 4" xfId="17047" xr:uid="{00000000-0005-0000-0000-000026190000}"/>
    <cellStyle name="Normal 3 2 2 4 4 2 4 4 2" xfId="48918" xr:uid="{00000000-0005-0000-0000-000027190000}"/>
    <cellStyle name="Normal 3 2 2 4 4 2 4 5" xfId="33756" xr:uid="{00000000-0005-0000-0000-000028190000}"/>
    <cellStyle name="Normal 3 2 2 4 4 2 5" xfId="1881" xr:uid="{00000000-0005-0000-0000-000029190000}"/>
    <cellStyle name="Normal 3 2 2 4 4 2 5 2" xfId="1882" xr:uid="{00000000-0005-0000-0000-00002A190000}"/>
    <cellStyle name="Normal 3 2 2 4 4 2 5 2 2" xfId="28857" xr:uid="{00000000-0005-0000-0000-00002B190000}"/>
    <cellStyle name="Normal 3 2 2 4 4 2 5 2 2 2" xfId="60728" xr:uid="{00000000-0005-0000-0000-00002C190000}"/>
    <cellStyle name="Normal 3 2 2 4 4 2 5 2 3" xfId="33761" xr:uid="{00000000-0005-0000-0000-00002D190000}"/>
    <cellStyle name="Normal 3 2 2 4 4 2 5 3" xfId="20979" xr:uid="{00000000-0005-0000-0000-00002E190000}"/>
    <cellStyle name="Normal 3 2 2 4 4 2 5 3 2" xfId="52850" xr:uid="{00000000-0005-0000-0000-00002F190000}"/>
    <cellStyle name="Normal 3 2 2 4 4 2 5 4" xfId="33760" xr:uid="{00000000-0005-0000-0000-000030190000}"/>
    <cellStyle name="Normal 3 2 2 4 4 2 6" xfId="1883" xr:uid="{00000000-0005-0000-0000-000031190000}"/>
    <cellStyle name="Normal 3 2 2 4 4 2 6 2" xfId="24918" xr:uid="{00000000-0005-0000-0000-000032190000}"/>
    <cellStyle name="Normal 3 2 2 4 4 2 6 2 2" xfId="56789" xr:uid="{00000000-0005-0000-0000-000033190000}"/>
    <cellStyle name="Normal 3 2 2 4 4 2 6 3" xfId="33762" xr:uid="{00000000-0005-0000-0000-000034190000}"/>
    <cellStyle name="Normal 3 2 2 4 4 2 7" xfId="17040" xr:uid="{00000000-0005-0000-0000-000035190000}"/>
    <cellStyle name="Normal 3 2 2 4 4 2 7 2" xfId="48911" xr:uid="{00000000-0005-0000-0000-000036190000}"/>
    <cellStyle name="Normal 3 2 2 4 4 2 8" xfId="33731" xr:uid="{00000000-0005-0000-0000-000037190000}"/>
    <cellStyle name="Normal 3 2 2 4 4 3" xfId="1884" xr:uid="{00000000-0005-0000-0000-000038190000}"/>
    <cellStyle name="Normal 3 2 2 4 4 3 2" xfId="1885" xr:uid="{00000000-0005-0000-0000-000039190000}"/>
    <cellStyle name="Normal 3 2 2 4 4 3 2 2" xfId="1886" xr:uid="{00000000-0005-0000-0000-00003A190000}"/>
    <cellStyle name="Normal 3 2 2 4 4 3 2 2 2" xfId="1887" xr:uid="{00000000-0005-0000-0000-00003B190000}"/>
    <cellStyle name="Normal 3 2 2 4 4 3 2 2 2 2" xfId="1888" xr:uid="{00000000-0005-0000-0000-00003C190000}"/>
    <cellStyle name="Normal 3 2 2 4 4 3 2 2 2 2 2" xfId="28867" xr:uid="{00000000-0005-0000-0000-00003D190000}"/>
    <cellStyle name="Normal 3 2 2 4 4 3 2 2 2 2 2 2" xfId="60738" xr:uid="{00000000-0005-0000-0000-00003E190000}"/>
    <cellStyle name="Normal 3 2 2 4 4 3 2 2 2 2 3" xfId="33767" xr:uid="{00000000-0005-0000-0000-00003F190000}"/>
    <cellStyle name="Normal 3 2 2 4 4 3 2 2 2 3" xfId="20989" xr:uid="{00000000-0005-0000-0000-000040190000}"/>
    <cellStyle name="Normal 3 2 2 4 4 3 2 2 2 3 2" xfId="52860" xr:uid="{00000000-0005-0000-0000-000041190000}"/>
    <cellStyle name="Normal 3 2 2 4 4 3 2 2 2 4" xfId="33766" xr:uid="{00000000-0005-0000-0000-000042190000}"/>
    <cellStyle name="Normal 3 2 2 4 4 3 2 2 3" xfId="1889" xr:uid="{00000000-0005-0000-0000-000043190000}"/>
    <cellStyle name="Normal 3 2 2 4 4 3 2 2 3 2" xfId="24928" xr:uid="{00000000-0005-0000-0000-000044190000}"/>
    <cellStyle name="Normal 3 2 2 4 4 3 2 2 3 2 2" xfId="56799" xr:uid="{00000000-0005-0000-0000-000045190000}"/>
    <cellStyle name="Normal 3 2 2 4 4 3 2 2 3 3" xfId="33768" xr:uid="{00000000-0005-0000-0000-000046190000}"/>
    <cellStyle name="Normal 3 2 2 4 4 3 2 2 4" xfId="17050" xr:uid="{00000000-0005-0000-0000-000047190000}"/>
    <cellStyle name="Normal 3 2 2 4 4 3 2 2 4 2" xfId="48921" xr:uid="{00000000-0005-0000-0000-000048190000}"/>
    <cellStyle name="Normal 3 2 2 4 4 3 2 2 5" xfId="33765" xr:uid="{00000000-0005-0000-0000-000049190000}"/>
    <cellStyle name="Normal 3 2 2 4 4 3 2 3" xfId="1890" xr:uid="{00000000-0005-0000-0000-00004A190000}"/>
    <cellStyle name="Normal 3 2 2 4 4 3 2 3 2" xfId="1891" xr:uid="{00000000-0005-0000-0000-00004B190000}"/>
    <cellStyle name="Normal 3 2 2 4 4 3 2 3 2 2" xfId="28866" xr:uid="{00000000-0005-0000-0000-00004C190000}"/>
    <cellStyle name="Normal 3 2 2 4 4 3 2 3 2 2 2" xfId="60737" xr:uid="{00000000-0005-0000-0000-00004D190000}"/>
    <cellStyle name="Normal 3 2 2 4 4 3 2 3 2 3" xfId="33770" xr:uid="{00000000-0005-0000-0000-00004E190000}"/>
    <cellStyle name="Normal 3 2 2 4 4 3 2 3 3" xfId="20988" xr:uid="{00000000-0005-0000-0000-00004F190000}"/>
    <cellStyle name="Normal 3 2 2 4 4 3 2 3 3 2" xfId="52859" xr:uid="{00000000-0005-0000-0000-000050190000}"/>
    <cellStyle name="Normal 3 2 2 4 4 3 2 3 4" xfId="33769" xr:uid="{00000000-0005-0000-0000-000051190000}"/>
    <cellStyle name="Normal 3 2 2 4 4 3 2 4" xfId="1892" xr:uid="{00000000-0005-0000-0000-000052190000}"/>
    <cellStyle name="Normal 3 2 2 4 4 3 2 4 2" xfId="24927" xr:uid="{00000000-0005-0000-0000-000053190000}"/>
    <cellStyle name="Normal 3 2 2 4 4 3 2 4 2 2" xfId="56798" xr:uid="{00000000-0005-0000-0000-000054190000}"/>
    <cellStyle name="Normal 3 2 2 4 4 3 2 4 3" xfId="33771" xr:uid="{00000000-0005-0000-0000-000055190000}"/>
    <cellStyle name="Normal 3 2 2 4 4 3 2 5" xfId="17049" xr:uid="{00000000-0005-0000-0000-000056190000}"/>
    <cellStyle name="Normal 3 2 2 4 4 3 2 5 2" xfId="48920" xr:uid="{00000000-0005-0000-0000-000057190000}"/>
    <cellStyle name="Normal 3 2 2 4 4 3 2 6" xfId="33764" xr:uid="{00000000-0005-0000-0000-000058190000}"/>
    <cellStyle name="Normal 3 2 2 4 4 3 3" xfId="1893" xr:uid="{00000000-0005-0000-0000-000059190000}"/>
    <cellStyle name="Normal 3 2 2 4 4 3 3 2" xfId="1894" xr:uid="{00000000-0005-0000-0000-00005A190000}"/>
    <cellStyle name="Normal 3 2 2 4 4 3 3 2 2" xfId="1895" xr:uid="{00000000-0005-0000-0000-00005B190000}"/>
    <cellStyle name="Normal 3 2 2 4 4 3 3 2 2 2" xfId="28868" xr:uid="{00000000-0005-0000-0000-00005C190000}"/>
    <cellStyle name="Normal 3 2 2 4 4 3 3 2 2 2 2" xfId="60739" xr:uid="{00000000-0005-0000-0000-00005D190000}"/>
    <cellStyle name="Normal 3 2 2 4 4 3 3 2 2 3" xfId="33774" xr:uid="{00000000-0005-0000-0000-00005E190000}"/>
    <cellStyle name="Normal 3 2 2 4 4 3 3 2 3" xfId="20990" xr:uid="{00000000-0005-0000-0000-00005F190000}"/>
    <cellStyle name="Normal 3 2 2 4 4 3 3 2 3 2" xfId="52861" xr:uid="{00000000-0005-0000-0000-000060190000}"/>
    <cellStyle name="Normal 3 2 2 4 4 3 3 2 4" xfId="33773" xr:uid="{00000000-0005-0000-0000-000061190000}"/>
    <cellStyle name="Normal 3 2 2 4 4 3 3 3" xfId="1896" xr:uid="{00000000-0005-0000-0000-000062190000}"/>
    <cellStyle name="Normal 3 2 2 4 4 3 3 3 2" xfId="24929" xr:uid="{00000000-0005-0000-0000-000063190000}"/>
    <cellStyle name="Normal 3 2 2 4 4 3 3 3 2 2" xfId="56800" xr:uid="{00000000-0005-0000-0000-000064190000}"/>
    <cellStyle name="Normal 3 2 2 4 4 3 3 3 3" xfId="33775" xr:uid="{00000000-0005-0000-0000-000065190000}"/>
    <cellStyle name="Normal 3 2 2 4 4 3 3 4" xfId="17051" xr:uid="{00000000-0005-0000-0000-000066190000}"/>
    <cellStyle name="Normal 3 2 2 4 4 3 3 4 2" xfId="48922" xr:uid="{00000000-0005-0000-0000-000067190000}"/>
    <cellStyle name="Normal 3 2 2 4 4 3 3 5" xfId="33772" xr:uid="{00000000-0005-0000-0000-000068190000}"/>
    <cellStyle name="Normal 3 2 2 4 4 3 4" xfId="1897" xr:uid="{00000000-0005-0000-0000-000069190000}"/>
    <cellStyle name="Normal 3 2 2 4 4 3 4 2" xfId="1898" xr:uid="{00000000-0005-0000-0000-00006A190000}"/>
    <cellStyle name="Normal 3 2 2 4 4 3 4 2 2" xfId="28865" xr:uid="{00000000-0005-0000-0000-00006B190000}"/>
    <cellStyle name="Normal 3 2 2 4 4 3 4 2 2 2" xfId="60736" xr:uid="{00000000-0005-0000-0000-00006C190000}"/>
    <cellStyle name="Normal 3 2 2 4 4 3 4 2 3" xfId="33777" xr:uid="{00000000-0005-0000-0000-00006D190000}"/>
    <cellStyle name="Normal 3 2 2 4 4 3 4 3" xfId="20987" xr:uid="{00000000-0005-0000-0000-00006E190000}"/>
    <cellStyle name="Normal 3 2 2 4 4 3 4 3 2" xfId="52858" xr:uid="{00000000-0005-0000-0000-00006F190000}"/>
    <cellStyle name="Normal 3 2 2 4 4 3 4 4" xfId="33776" xr:uid="{00000000-0005-0000-0000-000070190000}"/>
    <cellStyle name="Normal 3 2 2 4 4 3 5" xfId="1899" xr:uid="{00000000-0005-0000-0000-000071190000}"/>
    <cellStyle name="Normal 3 2 2 4 4 3 5 2" xfId="24926" xr:uid="{00000000-0005-0000-0000-000072190000}"/>
    <cellStyle name="Normal 3 2 2 4 4 3 5 2 2" xfId="56797" xr:uid="{00000000-0005-0000-0000-000073190000}"/>
    <cellStyle name="Normal 3 2 2 4 4 3 5 3" xfId="33778" xr:uid="{00000000-0005-0000-0000-000074190000}"/>
    <cellStyle name="Normal 3 2 2 4 4 3 6" xfId="17048" xr:uid="{00000000-0005-0000-0000-000075190000}"/>
    <cellStyle name="Normal 3 2 2 4 4 3 6 2" xfId="48919" xr:uid="{00000000-0005-0000-0000-000076190000}"/>
    <cellStyle name="Normal 3 2 2 4 4 3 7" xfId="33763" xr:uid="{00000000-0005-0000-0000-000077190000}"/>
    <cellStyle name="Normal 3 2 2 4 4 4" xfId="1900" xr:uid="{00000000-0005-0000-0000-000078190000}"/>
    <cellStyle name="Normal 3 2 2 4 4 4 2" xfId="1901" xr:uid="{00000000-0005-0000-0000-000079190000}"/>
    <cellStyle name="Normal 3 2 2 4 4 4 2 2" xfId="1902" xr:uid="{00000000-0005-0000-0000-00007A190000}"/>
    <cellStyle name="Normal 3 2 2 4 4 4 2 2 2" xfId="1903" xr:uid="{00000000-0005-0000-0000-00007B190000}"/>
    <cellStyle name="Normal 3 2 2 4 4 4 2 2 2 2" xfId="28870" xr:uid="{00000000-0005-0000-0000-00007C190000}"/>
    <cellStyle name="Normal 3 2 2 4 4 4 2 2 2 2 2" xfId="60741" xr:uid="{00000000-0005-0000-0000-00007D190000}"/>
    <cellStyle name="Normal 3 2 2 4 4 4 2 2 2 3" xfId="33782" xr:uid="{00000000-0005-0000-0000-00007E190000}"/>
    <cellStyle name="Normal 3 2 2 4 4 4 2 2 3" xfId="20992" xr:uid="{00000000-0005-0000-0000-00007F190000}"/>
    <cellStyle name="Normal 3 2 2 4 4 4 2 2 3 2" xfId="52863" xr:uid="{00000000-0005-0000-0000-000080190000}"/>
    <cellStyle name="Normal 3 2 2 4 4 4 2 2 4" xfId="33781" xr:uid="{00000000-0005-0000-0000-000081190000}"/>
    <cellStyle name="Normal 3 2 2 4 4 4 2 3" xfId="1904" xr:uid="{00000000-0005-0000-0000-000082190000}"/>
    <cellStyle name="Normal 3 2 2 4 4 4 2 3 2" xfId="24931" xr:uid="{00000000-0005-0000-0000-000083190000}"/>
    <cellStyle name="Normal 3 2 2 4 4 4 2 3 2 2" xfId="56802" xr:uid="{00000000-0005-0000-0000-000084190000}"/>
    <cellStyle name="Normal 3 2 2 4 4 4 2 3 3" xfId="33783" xr:uid="{00000000-0005-0000-0000-000085190000}"/>
    <cellStyle name="Normal 3 2 2 4 4 4 2 4" xfId="17053" xr:uid="{00000000-0005-0000-0000-000086190000}"/>
    <cellStyle name="Normal 3 2 2 4 4 4 2 4 2" xfId="48924" xr:uid="{00000000-0005-0000-0000-000087190000}"/>
    <cellStyle name="Normal 3 2 2 4 4 4 2 5" xfId="33780" xr:uid="{00000000-0005-0000-0000-000088190000}"/>
    <cellStyle name="Normal 3 2 2 4 4 4 3" xfId="1905" xr:uid="{00000000-0005-0000-0000-000089190000}"/>
    <cellStyle name="Normal 3 2 2 4 4 4 3 2" xfId="1906" xr:uid="{00000000-0005-0000-0000-00008A190000}"/>
    <cellStyle name="Normal 3 2 2 4 4 4 3 2 2" xfId="28869" xr:uid="{00000000-0005-0000-0000-00008B190000}"/>
    <cellStyle name="Normal 3 2 2 4 4 4 3 2 2 2" xfId="60740" xr:uid="{00000000-0005-0000-0000-00008C190000}"/>
    <cellStyle name="Normal 3 2 2 4 4 4 3 2 3" xfId="33785" xr:uid="{00000000-0005-0000-0000-00008D190000}"/>
    <cellStyle name="Normal 3 2 2 4 4 4 3 3" xfId="20991" xr:uid="{00000000-0005-0000-0000-00008E190000}"/>
    <cellStyle name="Normal 3 2 2 4 4 4 3 3 2" xfId="52862" xr:uid="{00000000-0005-0000-0000-00008F190000}"/>
    <cellStyle name="Normal 3 2 2 4 4 4 3 4" xfId="33784" xr:uid="{00000000-0005-0000-0000-000090190000}"/>
    <cellStyle name="Normal 3 2 2 4 4 4 4" xfId="1907" xr:uid="{00000000-0005-0000-0000-000091190000}"/>
    <cellStyle name="Normal 3 2 2 4 4 4 4 2" xfId="24930" xr:uid="{00000000-0005-0000-0000-000092190000}"/>
    <cellStyle name="Normal 3 2 2 4 4 4 4 2 2" xfId="56801" xr:uid="{00000000-0005-0000-0000-000093190000}"/>
    <cellStyle name="Normal 3 2 2 4 4 4 4 3" xfId="33786" xr:uid="{00000000-0005-0000-0000-000094190000}"/>
    <cellStyle name="Normal 3 2 2 4 4 4 5" xfId="17052" xr:uid="{00000000-0005-0000-0000-000095190000}"/>
    <cellStyle name="Normal 3 2 2 4 4 4 5 2" xfId="48923" xr:uid="{00000000-0005-0000-0000-000096190000}"/>
    <cellStyle name="Normal 3 2 2 4 4 4 6" xfId="33779" xr:uid="{00000000-0005-0000-0000-000097190000}"/>
    <cellStyle name="Normal 3 2 2 4 4 5" xfId="1908" xr:uid="{00000000-0005-0000-0000-000098190000}"/>
    <cellStyle name="Normal 3 2 2 4 4 5 2" xfId="1909" xr:uid="{00000000-0005-0000-0000-000099190000}"/>
    <cellStyle name="Normal 3 2 2 4 4 5 2 2" xfId="1910" xr:uid="{00000000-0005-0000-0000-00009A190000}"/>
    <cellStyle name="Normal 3 2 2 4 4 5 2 2 2" xfId="28871" xr:uid="{00000000-0005-0000-0000-00009B190000}"/>
    <cellStyle name="Normal 3 2 2 4 4 5 2 2 2 2" xfId="60742" xr:uid="{00000000-0005-0000-0000-00009C190000}"/>
    <cellStyle name="Normal 3 2 2 4 4 5 2 2 3" xfId="33789" xr:uid="{00000000-0005-0000-0000-00009D190000}"/>
    <cellStyle name="Normal 3 2 2 4 4 5 2 3" xfId="20993" xr:uid="{00000000-0005-0000-0000-00009E190000}"/>
    <cellStyle name="Normal 3 2 2 4 4 5 2 3 2" xfId="52864" xr:uid="{00000000-0005-0000-0000-00009F190000}"/>
    <cellStyle name="Normal 3 2 2 4 4 5 2 4" xfId="33788" xr:uid="{00000000-0005-0000-0000-0000A0190000}"/>
    <cellStyle name="Normal 3 2 2 4 4 5 3" xfId="1911" xr:uid="{00000000-0005-0000-0000-0000A1190000}"/>
    <cellStyle name="Normal 3 2 2 4 4 5 3 2" xfId="24932" xr:uid="{00000000-0005-0000-0000-0000A2190000}"/>
    <cellStyle name="Normal 3 2 2 4 4 5 3 2 2" xfId="56803" xr:uid="{00000000-0005-0000-0000-0000A3190000}"/>
    <cellStyle name="Normal 3 2 2 4 4 5 3 3" xfId="33790" xr:uid="{00000000-0005-0000-0000-0000A4190000}"/>
    <cellStyle name="Normal 3 2 2 4 4 5 4" xfId="17054" xr:uid="{00000000-0005-0000-0000-0000A5190000}"/>
    <cellStyle name="Normal 3 2 2 4 4 5 4 2" xfId="48925" xr:uid="{00000000-0005-0000-0000-0000A6190000}"/>
    <cellStyle name="Normal 3 2 2 4 4 5 5" xfId="33787" xr:uid="{00000000-0005-0000-0000-0000A7190000}"/>
    <cellStyle name="Normal 3 2 2 4 4 6" xfId="1912" xr:uid="{00000000-0005-0000-0000-0000A8190000}"/>
    <cellStyle name="Normal 3 2 2 4 4 6 2" xfId="1913" xr:uid="{00000000-0005-0000-0000-0000A9190000}"/>
    <cellStyle name="Normal 3 2 2 4 4 6 2 2" xfId="28403" xr:uid="{00000000-0005-0000-0000-0000AA190000}"/>
    <cellStyle name="Normal 3 2 2 4 4 6 2 2 2" xfId="60274" xr:uid="{00000000-0005-0000-0000-0000AB190000}"/>
    <cellStyle name="Normal 3 2 2 4 4 6 2 3" xfId="33792" xr:uid="{00000000-0005-0000-0000-0000AC190000}"/>
    <cellStyle name="Normal 3 2 2 4 4 6 3" xfId="20525" xr:uid="{00000000-0005-0000-0000-0000AD190000}"/>
    <cellStyle name="Normal 3 2 2 4 4 6 3 2" xfId="52396" xr:uid="{00000000-0005-0000-0000-0000AE190000}"/>
    <cellStyle name="Normal 3 2 2 4 4 6 4" xfId="33791" xr:uid="{00000000-0005-0000-0000-0000AF190000}"/>
    <cellStyle name="Normal 3 2 2 4 4 7" xfId="1914" xr:uid="{00000000-0005-0000-0000-0000B0190000}"/>
    <cellStyle name="Normal 3 2 2 4 4 7 2" xfId="24464" xr:uid="{00000000-0005-0000-0000-0000B1190000}"/>
    <cellStyle name="Normal 3 2 2 4 4 7 2 2" xfId="56335" xr:uid="{00000000-0005-0000-0000-0000B2190000}"/>
    <cellStyle name="Normal 3 2 2 4 4 7 3" xfId="33793" xr:uid="{00000000-0005-0000-0000-0000B3190000}"/>
    <cellStyle name="Normal 3 2 2 4 4 8" xfId="16586" xr:uid="{00000000-0005-0000-0000-0000B4190000}"/>
    <cellStyle name="Normal 3 2 2 4 4 8 2" xfId="48457" xr:uid="{00000000-0005-0000-0000-0000B5190000}"/>
    <cellStyle name="Normal 3 2 2 4 4 9" xfId="33730" xr:uid="{00000000-0005-0000-0000-0000B6190000}"/>
    <cellStyle name="Normal 3 2 2 4 5" xfId="1915" xr:uid="{00000000-0005-0000-0000-0000B7190000}"/>
    <cellStyle name="Normal 3 2 2 4 5 2" xfId="1916" xr:uid="{00000000-0005-0000-0000-0000B8190000}"/>
    <cellStyle name="Normal 3 2 2 4 5 2 2" xfId="1917" xr:uid="{00000000-0005-0000-0000-0000B9190000}"/>
    <cellStyle name="Normal 3 2 2 4 5 2 2 2" xfId="1918" xr:uid="{00000000-0005-0000-0000-0000BA190000}"/>
    <cellStyle name="Normal 3 2 2 4 5 2 2 2 2" xfId="1919" xr:uid="{00000000-0005-0000-0000-0000BB190000}"/>
    <cellStyle name="Normal 3 2 2 4 5 2 2 2 2 2" xfId="1920" xr:uid="{00000000-0005-0000-0000-0000BC190000}"/>
    <cellStyle name="Normal 3 2 2 4 5 2 2 2 2 2 2" xfId="28875" xr:uid="{00000000-0005-0000-0000-0000BD190000}"/>
    <cellStyle name="Normal 3 2 2 4 5 2 2 2 2 2 2 2" xfId="60746" xr:uid="{00000000-0005-0000-0000-0000BE190000}"/>
    <cellStyle name="Normal 3 2 2 4 5 2 2 2 2 2 3" xfId="33799" xr:uid="{00000000-0005-0000-0000-0000BF190000}"/>
    <cellStyle name="Normal 3 2 2 4 5 2 2 2 2 3" xfId="20997" xr:uid="{00000000-0005-0000-0000-0000C0190000}"/>
    <cellStyle name="Normal 3 2 2 4 5 2 2 2 2 3 2" xfId="52868" xr:uid="{00000000-0005-0000-0000-0000C1190000}"/>
    <cellStyle name="Normal 3 2 2 4 5 2 2 2 2 4" xfId="33798" xr:uid="{00000000-0005-0000-0000-0000C2190000}"/>
    <cellStyle name="Normal 3 2 2 4 5 2 2 2 3" xfId="1921" xr:uid="{00000000-0005-0000-0000-0000C3190000}"/>
    <cellStyle name="Normal 3 2 2 4 5 2 2 2 3 2" xfId="24936" xr:uid="{00000000-0005-0000-0000-0000C4190000}"/>
    <cellStyle name="Normal 3 2 2 4 5 2 2 2 3 2 2" xfId="56807" xr:uid="{00000000-0005-0000-0000-0000C5190000}"/>
    <cellStyle name="Normal 3 2 2 4 5 2 2 2 3 3" xfId="33800" xr:uid="{00000000-0005-0000-0000-0000C6190000}"/>
    <cellStyle name="Normal 3 2 2 4 5 2 2 2 4" xfId="17058" xr:uid="{00000000-0005-0000-0000-0000C7190000}"/>
    <cellStyle name="Normal 3 2 2 4 5 2 2 2 4 2" xfId="48929" xr:uid="{00000000-0005-0000-0000-0000C8190000}"/>
    <cellStyle name="Normal 3 2 2 4 5 2 2 2 5" xfId="33797" xr:uid="{00000000-0005-0000-0000-0000C9190000}"/>
    <cellStyle name="Normal 3 2 2 4 5 2 2 3" xfId="1922" xr:uid="{00000000-0005-0000-0000-0000CA190000}"/>
    <cellStyle name="Normal 3 2 2 4 5 2 2 3 2" xfId="1923" xr:uid="{00000000-0005-0000-0000-0000CB190000}"/>
    <cellStyle name="Normal 3 2 2 4 5 2 2 3 2 2" xfId="28874" xr:uid="{00000000-0005-0000-0000-0000CC190000}"/>
    <cellStyle name="Normal 3 2 2 4 5 2 2 3 2 2 2" xfId="60745" xr:uid="{00000000-0005-0000-0000-0000CD190000}"/>
    <cellStyle name="Normal 3 2 2 4 5 2 2 3 2 3" xfId="33802" xr:uid="{00000000-0005-0000-0000-0000CE190000}"/>
    <cellStyle name="Normal 3 2 2 4 5 2 2 3 3" xfId="20996" xr:uid="{00000000-0005-0000-0000-0000CF190000}"/>
    <cellStyle name="Normal 3 2 2 4 5 2 2 3 3 2" xfId="52867" xr:uid="{00000000-0005-0000-0000-0000D0190000}"/>
    <cellStyle name="Normal 3 2 2 4 5 2 2 3 4" xfId="33801" xr:uid="{00000000-0005-0000-0000-0000D1190000}"/>
    <cellStyle name="Normal 3 2 2 4 5 2 2 4" xfId="1924" xr:uid="{00000000-0005-0000-0000-0000D2190000}"/>
    <cellStyle name="Normal 3 2 2 4 5 2 2 4 2" xfId="24935" xr:uid="{00000000-0005-0000-0000-0000D3190000}"/>
    <cellStyle name="Normal 3 2 2 4 5 2 2 4 2 2" xfId="56806" xr:uid="{00000000-0005-0000-0000-0000D4190000}"/>
    <cellStyle name="Normal 3 2 2 4 5 2 2 4 3" xfId="33803" xr:uid="{00000000-0005-0000-0000-0000D5190000}"/>
    <cellStyle name="Normal 3 2 2 4 5 2 2 5" xfId="17057" xr:uid="{00000000-0005-0000-0000-0000D6190000}"/>
    <cellStyle name="Normal 3 2 2 4 5 2 2 5 2" xfId="48928" xr:uid="{00000000-0005-0000-0000-0000D7190000}"/>
    <cellStyle name="Normal 3 2 2 4 5 2 2 6" xfId="33796" xr:uid="{00000000-0005-0000-0000-0000D8190000}"/>
    <cellStyle name="Normal 3 2 2 4 5 2 3" xfId="1925" xr:uid="{00000000-0005-0000-0000-0000D9190000}"/>
    <cellStyle name="Normal 3 2 2 4 5 2 3 2" xfId="1926" xr:uid="{00000000-0005-0000-0000-0000DA190000}"/>
    <cellStyle name="Normal 3 2 2 4 5 2 3 2 2" xfId="1927" xr:uid="{00000000-0005-0000-0000-0000DB190000}"/>
    <cellStyle name="Normal 3 2 2 4 5 2 3 2 2 2" xfId="28876" xr:uid="{00000000-0005-0000-0000-0000DC190000}"/>
    <cellStyle name="Normal 3 2 2 4 5 2 3 2 2 2 2" xfId="60747" xr:uid="{00000000-0005-0000-0000-0000DD190000}"/>
    <cellStyle name="Normal 3 2 2 4 5 2 3 2 2 3" xfId="33806" xr:uid="{00000000-0005-0000-0000-0000DE190000}"/>
    <cellStyle name="Normal 3 2 2 4 5 2 3 2 3" xfId="20998" xr:uid="{00000000-0005-0000-0000-0000DF190000}"/>
    <cellStyle name="Normal 3 2 2 4 5 2 3 2 3 2" xfId="52869" xr:uid="{00000000-0005-0000-0000-0000E0190000}"/>
    <cellStyle name="Normal 3 2 2 4 5 2 3 2 4" xfId="33805" xr:uid="{00000000-0005-0000-0000-0000E1190000}"/>
    <cellStyle name="Normal 3 2 2 4 5 2 3 3" xfId="1928" xr:uid="{00000000-0005-0000-0000-0000E2190000}"/>
    <cellStyle name="Normal 3 2 2 4 5 2 3 3 2" xfId="24937" xr:uid="{00000000-0005-0000-0000-0000E3190000}"/>
    <cellStyle name="Normal 3 2 2 4 5 2 3 3 2 2" xfId="56808" xr:uid="{00000000-0005-0000-0000-0000E4190000}"/>
    <cellStyle name="Normal 3 2 2 4 5 2 3 3 3" xfId="33807" xr:uid="{00000000-0005-0000-0000-0000E5190000}"/>
    <cellStyle name="Normal 3 2 2 4 5 2 3 4" xfId="17059" xr:uid="{00000000-0005-0000-0000-0000E6190000}"/>
    <cellStyle name="Normal 3 2 2 4 5 2 3 4 2" xfId="48930" xr:uid="{00000000-0005-0000-0000-0000E7190000}"/>
    <cellStyle name="Normal 3 2 2 4 5 2 3 5" xfId="33804" xr:uid="{00000000-0005-0000-0000-0000E8190000}"/>
    <cellStyle name="Normal 3 2 2 4 5 2 4" xfId="1929" xr:uid="{00000000-0005-0000-0000-0000E9190000}"/>
    <cellStyle name="Normal 3 2 2 4 5 2 4 2" xfId="1930" xr:uid="{00000000-0005-0000-0000-0000EA190000}"/>
    <cellStyle name="Normal 3 2 2 4 5 2 4 2 2" xfId="28873" xr:uid="{00000000-0005-0000-0000-0000EB190000}"/>
    <cellStyle name="Normal 3 2 2 4 5 2 4 2 2 2" xfId="60744" xr:uid="{00000000-0005-0000-0000-0000EC190000}"/>
    <cellStyle name="Normal 3 2 2 4 5 2 4 2 3" xfId="33809" xr:uid="{00000000-0005-0000-0000-0000ED190000}"/>
    <cellStyle name="Normal 3 2 2 4 5 2 4 3" xfId="20995" xr:uid="{00000000-0005-0000-0000-0000EE190000}"/>
    <cellStyle name="Normal 3 2 2 4 5 2 4 3 2" xfId="52866" xr:uid="{00000000-0005-0000-0000-0000EF190000}"/>
    <cellStyle name="Normal 3 2 2 4 5 2 4 4" xfId="33808" xr:uid="{00000000-0005-0000-0000-0000F0190000}"/>
    <cellStyle name="Normal 3 2 2 4 5 2 5" xfId="1931" xr:uid="{00000000-0005-0000-0000-0000F1190000}"/>
    <cellStyle name="Normal 3 2 2 4 5 2 5 2" xfId="24934" xr:uid="{00000000-0005-0000-0000-0000F2190000}"/>
    <cellStyle name="Normal 3 2 2 4 5 2 5 2 2" xfId="56805" xr:uid="{00000000-0005-0000-0000-0000F3190000}"/>
    <cellStyle name="Normal 3 2 2 4 5 2 5 3" xfId="33810" xr:uid="{00000000-0005-0000-0000-0000F4190000}"/>
    <cellStyle name="Normal 3 2 2 4 5 2 6" xfId="17056" xr:uid="{00000000-0005-0000-0000-0000F5190000}"/>
    <cellStyle name="Normal 3 2 2 4 5 2 6 2" xfId="48927" xr:uid="{00000000-0005-0000-0000-0000F6190000}"/>
    <cellStyle name="Normal 3 2 2 4 5 2 7" xfId="33795" xr:uid="{00000000-0005-0000-0000-0000F7190000}"/>
    <cellStyle name="Normal 3 2 2 4 5 3" xfId="1932" xr:uid="{00000000-0005-0000-0000-0000F8190000}"/>
    <cellStyle name="Normal 3 2 2 4 5 3 2" xfId="1933" xr:uid="{00000000-0005-0000-0000-0000F9190000}"/>
    <cellStyle name="Normal 3 2 2 4 5 3 2 2" xfId="1934" xr:uid="{00000000-0005-0000-0000-0000FA190000}"/>
    <cellStyle name="Normal 3 2 2 4 5 3 2 2 2" xfId="1935" xr:uid="{00000000-0005-0000-0000-0000FB190000}"/>
    <cellStyle name="Normal 3 2 2 4 5 3 2 2 2 2" xfId="28878" xr:uid="{00000000-0005-0000-0000-0000FC190000}"/>
    <cellStyle name="Normal 3 2 2 4 5 3 2 2 2 2 2" xfId="60749" xr:uid="{00000000-0005-0000-0000-0000FD190000}"/>
    <cellStyle name="Normal 3 2 2 4 5 3 2 2 2 3" xfId="33814" xr:uid="{00000000-0005-0000-0000-0000FE190000}"/>
    <cellStyle name="Normal 3 2 2 4 5 3 2 2 3" xfId="21000" xr:uid="{00000000-0005-0000-0000-0000FF190000}"/>
    <cellStyle name="Normal 3 2 2 4 5 3 2 2 3 2" xfId="52871" xr:uid="{00000000-0005-0000-0000-0000001A0000}"/>
    <cellStyle name="Normal 3 2 2 4 5 3 2 2 4" xfId="33813" xr:uid="{00000000-0005-0000-0000-0000011A0000}"/>
    <cellStyle name="Normal 3 2 2 4 5 3 2 3" xfId="1936" xr:uid="{00000000-0005-0000-0000-0000021A0000}"/>
    <cellStyle name="Normal 3 2 2 4 5 3 2 3 2" xfId="24939" xr:uid="{00000000-0005-0000-0000-0000031A0000}"/>
    <cellStyle name="Normal 3 2 2 4 5 3 2 3 2 2" xfId="56810" xr:uid="{00000000-0005-0000-0000-0000041A0000}"/>
    <cellStyle name="Normal 3 2 2 4 5 3 2 3 3" xfId="33815" xr:uid="{00000000-0005-0000-0000-0000051A0000}"/>
    <cellStyle name="Normal 3 2 2 4 5 3 2 4" xfId="17061" xr:uid="{00000000-0005-0000-0000-0000061A0000}"/>
    <cellStyle name="Normal 3 2 2 4 5 3 2 4 2" xfId="48932" xr:uid="{00000000-0005-0000-0000-0000071A0000}"/>
    <cellStyle name="Normal 3 2 2 4 5 3 2 5" xfId="33812" xr:uid="{00000000-0005-0000-0000-0000081A0000}"/>
    <cellStyle name="Normal 3 2 2 4 5 3 3" xfId="1937" xr:uid="{00000000-0005-0000-0000-0000091A0000}"/>
    <cellStyle name="Normal 3 2 2 4 5 3 3 2" xfId="1938" xr:uid="{00000000-0005-0000-0000-00000A1A0000}"/>
    <cellStyle name="Normal 3 2 2 4 5 3 3 2 2" xfId="28877" xr:uid="{00000000-0005-0000-0000-00000B1A0000}"/>
    <cellStyle name="Normal 3 2 2 4 5 3 3 2 2 2" xfId="60748" xr:uid="{00000000-0005-0000-0000-00000C1A0000}"/>
    <cellStyle name="Normal 3 2 2 4 5 3 3 2 3" xfId="33817" xr:uid="{00000000-0005-0000-0000-00000D1A0000}"/>
    <cellStyle name="Normal 3 2 2 4 5 3 3 3" xfId="20999" xr:uid="{00000000-0005-0000-0000-00000E1A0000}"/>
    <cellStyle name="Normal 3 2 2 4 5 3 3 3 2" xfId="52870" xr:uid="{00000000-0005-0000-0000-00000F1A0000}"/>
    <cellStyle name="Normal 3 2 2 4 5 3 3 4" xfId="33816" xr:uid="{00000000-0005-0000-0000-0000101A0000}"/>
    <cellStyle name="Normal 3 2 2 4 5 3 4" xfId="1939" xr:uid="{00000000-0005-0000-0000-0000111A0000}"/>
    <cellStyle name="Normal 3 2 2 4 5 3 4 2" xfId="24938" xr:uid="{00000000-0005-0000-0000-0000121A0000}"/>
    <cellStyle name="Normal 3 2 2 4 5 3 4 2 2" xfId="56809" xr:uid="{00000000-0005-0000-0000-0000131A0000}"/>
    <cellStyle name="Normal 3 2 2 4 5 3 4 3" xfId="33818" xr:uid="{00000000-0005-0000-0000-0000141A0000}"/>
    <cellStyle name="Normal 3 2 2 4 5 3 5" xfId="17060" xr:uid="{00000000-0005-0000-0000-0000151A0000}"/>
    <cellStyle name="Normal 3 2 2 4 5 3 5 2" xfId="48931" xr:uid="{00000000-0005-0000-0000-0000161A0000}"/>
    <cellStyle name="Normal 3 2 2 4 5 3 6" xfId="33811" xr:uid="{00000000-0005-0000-0000-0000171A0000}"/>
    <cellStyle name="Normal 3 2 2 4 5 4" xfId="1940" xr:uid="{00000000-0005-0000-0000-0000181A0000}"/>
    <cellStyle name="Normal 3 2 2 4 5 4 2" xfId="1941" xr:uid="{00000000-0005-0000-0000-0000191A0000}"/>
    <cellStyle name="Normal 3 2 2 4 5 4 2 2" xfId="1942" xr:uid="{00000000-0005-0000-0000-00001A1A0000}"/>
    <cellStyle name="Normal 3 2 2 4 5 4 2 2 2" xfId="28879" xr:uid="{00000000-0005-0000-0000-00001B1A0000}"/>
    <cellStyle name="Normal 3 2 2 4 5 4 2 2 2 2" xfId="60750" xr:uid="{00000000-0005-0000-0000-00001C1A0000}"/>
    <cellStyle name="Normal 3 2 2 4 5 4 2 2 3" xfId="33821" xr:uid="{00000000-0005-0000-0000-00001D1A0000}"/>
    <cellStyle name="Normal 3 2 2 4 5 4 2 3" xfId="21001" xr:uid="{00000000-0005-0000-0000-00001E1A0000}"/>
    <cellStyle name="Normal 3 2 2 4 5 4 2 3 2" xfId="52872" xr:uid="{00000000-0005-0000-0000-00001F1A0000}"/>
    <cellStyle name="Normal 3 2 2 4 5 4 2 4" xfId="33820" xr:uid="{00000000-0005-0000-0000-0000201A0000}"/>
    <cellStyle name="Normal 3 2 2 4 5 4 3" xfId="1943" xr:uid="{00000000-0005-0000-0000-0000211A0000}"/>
    <cellStyle name="Normal 3 2 2 4 5 4 3 2" xfId="24940" xr:uid="{00000000-0005-0000-0000-0000221A0000}"/>
    <cellStyle name="Normal 3 2 2 4 5 4 3 2 2" xfId="56811" xr:uid="{00000000-0005-0000-0000-0000231A0000}"/>
    <cellStyle name="Normal 3 2 2 4 5 4 3 3" xfId="33822" xr:uid="{00000000-0005-0000-0000-0000241A0000}"/>
    <cellStyle name="Normal 3 2 2 4 5 4 4" xfId="17062" xr:uid="{00000000-0005-0000-0000-0000251A0000}"/>
    <cellStyle name="Normal 3 2 2 4 5 4 4 2" xfId="48933" xr:uid="{00000000-0005-0000-0000-0000261A0000}"/>
    <cellStyle name="Normal 3 2 2 4 5 4 5" xfId="33819" xr:uid="{00000000-0005-0000-0000-0000271A0000}"/>
    <cellStyle name="Normal 3 2 2 4 5 5" xfId="1944" xr:uid="{00000000-0005-0000-0000-0000281A0000}"/>
    <cellStyle name="Normal 3 2 2 4 5 5 2" xfId="1945" xr:uid="{00000000-0005-0000-0000-0000291A0000}"/>
    <cellStyle name="Normal 3 2 2 4 5 5 2 2" xfId="28872" xr:uid="{00000000-0005-0000-0000-00002A1A0000}"/>
    <cellStyle name="Normal 3 2 2 4 5 5 2 2 2" xfId="60743" xr:uid="{00000000-0005-0000-0000-00002B1A0000}"/>
    <cellStyle name="Normal 3 2 2 4 5 5 2 3" xfId="33824" xr:uid="{00000000-0005-0000-0000-00002C1A0000}"/>
    <cellStyle name="Normal 3 2 2 4 5 5 3" xfId="20994" xr:uid="{00000000-0005-0000-0000-00002D1A0000}"/>
    <cellStyle name="Normal 3 2 2 4 5 5 3 2" xfId="52865" xr:uid="{00000000-0005-0000-0000-00002E1A0000}"/>
    <cellStyle name="Normal 3 2 2 4 5 5 4" xfId="33823" xr:uid="{00000000-0005-0000-0000-00002F1A0000}"/>
    <cellStyle name="Normal 3 2 2 4 5 6" xfId="1946" xr:uid="{00000000-0005-0000-0000-0000301A0000}"/>
    <cellStyle name="Normal 3 2 2 4 5 6 2" xfId="24933" xr:uid="{00000000-0005-0000-0000-0000311A0000}"/>
    <cellStyle name="Normal 3 2 2 4 5 6 2 2" xfId="56804" xr:uid="{00000000-0005-0000-0000-0000321A0000}"/>
    <cellStyle name="Normal 3 2 2 4 5 6 3" xfId="33825" xr:uid="{00000000-0005-0000-0000-0000331A0000}"/>
    <cellStyle name="Normal 3 2 2 4 5 7" xfId="17055" xr:uid="{00000000-0005-0000-0000-0000341A0000}"/>
    <cellStyle name="Normal 3 2 2 4 5 7 2" xfId="48926" xr:uid="{00000000-0005-0000-0000-0000351A0000}"/>
    <cellStyle name="Normal 3 2 2 4 5 8" xfId="33794" xr:uid="{00000000-0005-0000-0000-0000361A0000}"/>
    <cellStyle name="Normal 3 2 2 4 6" xfId="1947" xr:uid="{00000000-0005-0000-0000-0000371A0000}"/>
    <cellStyle name="Normal 3 2 2 4 6 2" xfId="1948" xr:uid="{00000000-0005-0000-0000-0000381A0000}"/>
    <cellStyle name="Normal 3 2 2 4 6 2 2" xfId="1949" xr:uid="{00000000-0005-0000-0000-0000391A0000}"/>
    <cellStyle name="Normal 3 2 2 4 6 2 2 2" xfId="1950" xr:uid="{00000000-0005-0000-0000-00003A1A0000}"/>
    <cellStyle name="Normal 3 2 2 4 6 2 2 2 2" xfId="1951" xr:uid="{00000000-0005-0000-0000-00003B1A0000}"/>
    <cellStyle name="Normal 3 2 2 4 6 2 2 2 2 2" xfId="28882" xr:uid="{00000000-0005-0000-0000-00003C1A0000}"/>
    <cellStyle name="Normal 3 2 2 4 6 2 2 2 2 2 2" xfId="60753" xr:uid="{00000000-0005-0000-0000-00003D1A0000}"/>
    <cellStyle name="Normal 3 2 2 4 6 2 2 2 2 3" xfId="33830" xr:uid="{00000000-0005-0000-0000-00003E1A0000}"/>
    <cellStyle name="Normal 3 2 2 4 6 2 2 2 3" xfId="21004" xr:uid="{00000000-0005-0000-0000-00003F1A0000}"/>
    <cellStyle name="Normal 3 2 2 4 6 2 2 2 3 2" xfId="52875" xr:uid="{00000000-0005-0000-0000-0000401A0000}"/>
    <cellStyle name="Normal 3 2 2 4 6 2 2 2 4" xfId="33829" xr:uid="{00000000-0005-0000-0000-0000411A0000}"/>
    <cellStyle name="Normal 3 2 2 4 6 2 2 3" xfId="1952" xr:uid="{00000000-0005-0000-0000-0000421A0000}"/>
    <cellStyle name="Normal 3 2 2 4 6 2 2 3 2" xfId="24943" xr:uid="{00000000-0005-0000-0000-0000431A0000}"/>
    <cellStyle name="Normal 3 2 2 4 6 2 2 3 2 2" xfId="56814" xr:uid="{00000000-0005-0000-0000-0000441A0000}"/>
    <cellStyle name="Normal 3 2 2 4 6 2 2 3 3" xfId="33831" xr:uid="{00000000-0005-0000-0000-0000451A0000}"/>
    <cellStyle name="Normal 3 2 2 4 6 2 2 4" xfId="17065" xr:uid="{00000000-0005-0000-0000-0000461A0000}"/>
    <cellStyle name="Normal 3 2 2 4 6 2 2 4 2" xfId="48936" xr:uid="{00000000-0005-0000-0000-0000471A0000}"/>
    <cellStyle name="Normal 3 2 2 4 6 2 2 5" xfId="33828" xr:uid="{00000000-0005-0000-0000-0000481A0000}"/>
    <cellStyle name="Normal 3 2 2 4 6 2 3" xfId="1953" xr:uid="{00000000-0005-0000-0000-0000491A0000}"/>
    <cellStyle name="Normal 3 2 2 4 6 2 3 2" xfId="1954" xr:uid="{00000000-0005-0000-0000-00004A1A0000}"/>
    <cellStyle name="Normal 3 2 2 4 6 2 3 2 2" xfId="28881" xr:uid="{00000000-0005-0000-0000-00004B1A0000}"/>
    <cellStyle name="Normal 3 2 2 4 6 2 3 2 2 2" xfId="60752" xr:uid="{00000000-0005-0000-0000-00004C1A0000}"/>
    <cellStyle name="Normal 3 2 2 4 6 2 3 2 3" xfId="33833" xr:uid="{00000000-0005-0000-0000-00004D1A0000}"/>
    <cellStyle name="Normal 3 2 2 4 6 2 3 3" xfId="21003" xr:uid="{00000000-0005-0000-0000-00004E1A0000}"/>
    <cellStyle name="Normal 3 2 2 4 6 2 3 3 2" xfId="52874" xr:uid="{00000000-0005-0000-0000-00004F1A0000}"/>
    <cellStyle name="Normal 3 2 2 4 6 2 3 4" xfId="33832" xr:uid="{00000000-0005-0000-0000-0000501A0000}"/>
    <cellStyle name="Normal 3 2 2 4 6 2 4" xfId="1955" xr:uid="{00000000-0005-0000-0000-0000511A0000}"/>
    <cellStyle name="Normal 3 2 2 4 6 2 4 2" xfId="24942" xr:uid="{00000000-0005-0000-0000-0000521A0000}"/>
    <cellStyle name="Normal 3 2 2 4 6 2 4 2 2" xfId="56813" xr:uid="{00000000-0005-0000-0000-0000531A0000}"/>
    <cellStyle name="Normal 3 2 2 4 6 2 4 3" xfId="33834" xr:uid="{00000000-0005-0000-0000-0000541A0000}"/>
    <cellStyle name="Normal 3 2 2 4 6 2 5" xfId="17064" xr:uid="{00000000-0005-0000-0000-0000551A0000}"/>
    <cellStyle name="Normal 3 2 2 4 6 2 5 2" xfId="48935" xr:uid="{00000000-0005-0000-0000-0000561A0000}"/>
    <cellStyle name="Normal 3 2 2 4 6 2 6" xfId="33827" xr:uid="{00000000-0005-0000-0000-0000571A0000}"/>
    <cellStyle name="Normal 3 2 2 4 6 3" xfId="1956" xr:uid="{00000000-0005-0000-0000-0000581A0000}"/>
    <cellStyle name="Normal 3 2 2 4 6 3 2" xfId="1957" xr:uid="{00000000-0005-0000-0000-0000591A0000}"/>
    <cellStyle name="Normal 3 2 2 4 6 3 2 2" xfId="1958" xr:uid="{00000000-0005-0000-0000-00005A1A0000}"/>
    <cellStyle name="Normal 3 2 2 4 6 3 2 2 2" xfId="28883" xr:uid="{00000000-0005-0000-0000-00005B1A0000}"/>
    <cellStyle name="Normal 3 2 2 4 6 3 2 2 2 2" xfId="60754" xr:uid="{00000000-0005-0000-0000-00005C1A0000}"/>
    <cellStyle name="Normal 3 2 2 4 6 3 2 2 3" xfId="33837" xr:uid="{00000000-0005-0000-0000-00005D1A0000}"/>
    <cellStyle name="Normal 3 2 2 4 6 3 2 3" xfId="21005" xr:uid="{00000000-0005-0000-0000-00005E1A0000}"/>
    <cellStyle name="Normal 3 2 2 4 6 3 2 3 2" xfId="52876" xr:uid="{00000000-0005-0000-0000-00005F1A0000}"/>
    <cellStyle name="Normal 3 2 2 4 6 3 2 4" xfId="33836" xr:uid="{00000000-0005-0000-0000-0000601A0000}"/>
    <cellStyle name="Normal 3 2 2 4 6 3 3" xfId="1959" xr:uid="{00000000-0005-0000-0000-0000611A0000}"/>
    <cellStyle name="Normal 3 2 2 4 6 3 3 2" xfId="24944" xr:uid="{00000000-0005-0000-0000-0000621A0000}"/>
    <cellStyle name="Normal 3 2 2 4 6 3 3 2 2" xfId="56815" xr:uid="{00000000-0005-0000-0000-0000631A0000}"/>
    <cellStyle name="Normal 3 2 2 4 6 3 3 3" xfId="33838" xr:uid="{00000000-0005-0000-0000-0000641A0000}"/>
    <cellStyle name="Normal 3 2 2 4 6 3 4" xfId="17066" xr:uid="{00000000-0005-0000-0000-0000651A0000}"/>
    <cellStyle name="Normal 3 2 2 4 6 3 4 2" xfId="48937" xr:uid="{00000000-0005-0000-0000-0000661A0000}"/>
    <cellStyle name="Normal 3 2 2 4 6 3 5" xfId="33835" xr:uid="{00000000-0005-0000-0000-0000671A0000}"/>
    <cellStyle name="Normal 3 2 2 4 6 4" xfId="1960" xr:uid="{00000000-0005-0000-0000-0000681A0000}"/>
    <cellStyle name="Normal 3 2 2 4 6 4 2" xfId="1961" xr:uid="{00000000-0005-0000-0000-0000691A0000}"/>
    <cellStyle name="Normal 3 2 2 4 6 4 2 2" xfId="28880" xr:uid="{00000000-0005-0000-0000-00006A1A0000}"/>
    <cellStyle name="Normal 3 2 2 4 6 4 2 2 2" xfId="60751" xr:uid="{00000000-0005-0000-0000-00006B1A0000}"/>
    <cellStyle name="Normal 3 2 2 4 6 4 2 3" xfId="33840" xr:uid="{00000000-0005-0000-0000-00006C1A0000}"/>
    <cellStyle name="Normal 3 2 2 4 6 4 3" xfId="21002" xr:uid="{00000000-0005-0000-0000-00006D1A0000}"/>
    <cellStyle name="Normal 3 2 2 4 6 4 3 2" xfId="52873" xr:uid="{00000000-0005-0000-0000-00006E1A0000}"/>
    <cellStyle name="Normal 3 2 2 4 6 4 4" xfId="33839" xr:uid="{00000000-0005-0000-0000-00006F1A0000}"/>
    <cellStyle name="Normal 3 2 2 4 6 5" xfId="1962" xr:uid="{00000000-0005-0000-0000-0000701A0000}"/>
    <cellStyle name="Normal 3 2 2 4 6 5 2" xfId="24941" xr:uid="{00000000-0005-0000-0000-0000711A0000}"/>
    <cellStyle name="Normal 3 2 2 4 6 5 2 2" xfId="56812" xr:uid="{00000000-0005-0000-0000-0000721A0000}"/>
    <cellStyle name="Normal 3 2 2 4 6 5 3" xfId="33841" xr:uid="{00000000-0005-0000-0000-0000731A0000}"/>
    <cellStyle name="Normal 3 2 2 4 6 6" xfId="17063" xr:uid="{00000000-0005-0000-0000-0000741A0000}"/>
    <cellStyle name="Normal 3 2 2 4 6 6 2" xfId="48934" xr:uid="{00000000-0005-0000-0000-0000751A0000}"/>
    <cellStyle name="Normal 3 2 2 4 6 7" xfId="33826" xr:uid="{00000000-0005-0000-0000-0000761A0000}"/>
    <cellStyle name="Normal 3 2 2 4 7" xfId="1963" xr:uid="{00000000-0005-0000-0000-0000771A0000}"/>
    <cellStyle name="Normal 3 2 2 4 7 2" xfId="1964" xr:uid="{00000000-0005-0000-0000-0000781A0000}"/>
    <cellStyle name="Normal 3 2 2 4 7 2 2" xfId="1965" xr:uid="{00000000-0005-0000-0000-0000791A0000}"/>
    <cellStyle name="Normal 3 2 2 4 7 2 2 2" xfId="1966" xr:uid="{00000000-0005-0000-0000-00007A1A0000}"/>
    <cellStyle name="Normal 3 2 2 4 7 2 2 2 2" xfId="28885" xr:uid="{00000000-0005-0000-0000-00007B1A0000}"/>
    <cellStyle name="Normal 3 2 2 4 7 2 2 2 2 2" xfId="60756" xr:uid="{00000000-0005-0000-0000-00007C1A0000}"/>
    <cellStyle name="Normal 3 2 2 4 7 2 2 2 3" xfId="33845" xr:uid="{00000000-0005-0000-0000-00007D1A0000}"/>
    <cellStyle name="Normal 3 2 2 4 7 2 2 3" xfId="21007" xr:uid="{00000000-0005-0000-0000-00007E1A0000}"/>
    <cellStyle name="Normal 3 2 2 4 7 2 2 3 2" xfId="52878" xr:uid="{00000000-0005-0000-0000-00007F1A0000}"/>
    <cellStyle name="Normal 3 2 2 4 7 2 2 4" xfId="33844" xr:uid="{00000000-0005-0000-0000-0000801A0000}"/>
    <cellStyle name="Normal 3 2 2 4 7 2 3" xfId="1967" xr:uid="{00000000-0005-0000-0000-0000811A0000}"/>
    <cellStyle name="Normal 3 2 2 4 7 2 3 2" xfId="24946" xr:uid="{00000000-0005-0000-0000-0000821A0000}"/>
    <cellStyle name="Normal 3 2 2 4 7 2 3 2 2" xfId="56817" xr:uid="{00000000-0005-0000-0000-0000831A0000}"/>
    <cellStyle name="Normal 3 2 2 4 7 2 3 3" xfId="33846" xr:uid="{00000000-0005-0000-0000-0000841A0000}"/>
    <cellStyle name="Normal 3 2 2 4 7 2 4" xfId="17068" xr:uid="{00000000-0005-0000-0000-0000851A0000}"/>
    <cellStyle name="Normal 3 2 2 4 7 2 4 2" xfId="48939" xr:uid="{00000000-0005-0000-0000-0000861A0000}"/>
    <cellStyle name="Normal 3 2 2 4 7 2 5" xfId="33843" xr:uid="{00000000-0005-0000-0000-0000871A0000}"/>
    <cellStyle name="Normal 3 2 2 4 7 3" xfId="1968" xr:uid="{00000000-0005-0000-0000-0000881A0000}"/>
    <cellStyle name="Normal 3 2 2 4 7 3 2" xfId="1969" xr:uid="{00000000-0005-0000-0000-0000891A0000}"/>
    <cellStyle name="Normal 3 2 2 4 7 3 2 2" xfId="28884" xr:uid="{00000000-0005-0000-0000-00008A1A0000}"/>
    <cellStyle name="Normal 3 2 2 4 7 3 2 2 2" xfId="60755" xr:uid="{00000000-0005-0000-0000-00008B1A0000}"/>
    <cellStyle name="Normal 3 2 2 4 7 3 2 3" xfId="33848" xr:uid="{00000000-0005-0000-0000-00008C1A0000}"/>
    <cellStyle name="Normal 3 2 2 4 7 3 3" xfId="21006" xr:uid="{00000000-0005-0000-0000-00008D1A0000}"/>
    <cellStyle name="Normal 3 2 2 4 7 3 3 2" xfId="52877" xr:uid="{00000000-0005-0000-0000-00008E1A0000}"/>
    <cellStyle name="Normal 3 2 2 4 7 3 4" xfId="33847" xr:uid="{00000000-0005-0000-0000-00008F1A0000}"/>
    <cellStyle name="Normal 3 2 2 4 7 4" xfId="1970" xr:uid="{00000000-0005-0000-0000-0000901A0000}"/>
    <cellStyle name="Normal 3 2 2 4 7 4 2" xfId="24945" xr:uid="{00000000-0005-0000-0000-0000911A0000}"/>
    <cellStyle name="Normal 3 2 2 4 7 4 2 2" xfId="56816" xr:uid="{00000000-0005-0000-0000-0000921A0000}"/>
    <cellStyle name="Normal 3 2 2 4 7 4 3" xfId="33849" xr:uid="{00000000-0005-0000-0000-0000931A0000}"/>
    <cellStyle name="Normal 3 2 2 4 7 5" xfId="17067" xr:uid="{00000000-0005-0000-0000-0000941A0000}"/>
    <cellStyle name="Normal 3 2 2 4 7 5 2" xfId="48938" xr:uid="{00000000-0005-0000-0000-0000951A0000}"/>
    <cellStyle name="Normal 3 2 2 4 7 6" xfId="33842" xr:uid="{00000000-0005-0000-0000-0000961A0000}"/>
    <cellStyle name="Normal 3 2 2 4 8" xfId="1971" xr:uid="{00000000-0005-0000-0000-0000971A0000}"/>
    <cellStyle name="Normal 3 2 2 4 8 2" xfId="1972" xr:uid="{00000000-0005-0000-0000-0000981A0000}"/>
    <cellStyle name="Normal 3 2 2 4 8 2 2" xfId="1973" xr:uid="{00000000-0005-0000-0000-0000991A0000}"/>
    <cellStyle name="Normal 3 2 2 4 8 2 2 2" xfId="28886" xr:uid="{00000000-0005-0000-0000-00009A1A0000}"/>
    <cellStyle name="Normal 3 2 2 4 8 2 2 2 2" xfId="60757" xr:uid="{00000000-0005-0000-0000-00009B1A0000}"/>
    <cellStyle name="Normal 3 2 2 4 8 2 2 3" xfId="33852" xr:uid="{00000000-0005-0000-0000-00009C1A0000}"/>
    <cellStyle name="Normal 3 2 2 4 8 2 3" xfId="21008" xr:uid="{00000000-0005-0000-0000-00009D1A0000}"/>
    <cellStyle name="Normal 3 2 2 4 8 2 3 2" xfId="52879" xr:uid="{00000000-0005-0000-0000-00009E1A0000}"/>
    <cellStyle name="Normal 3 2 2 4 8 2 4" xfId="33851" xr:uid="{00000000-0005-0000-0000-00009F1A0000}"/>
    <cellStyle name="Normal 3 2 2 4 8 3" xfId="1974" xr:uid="{00000000-0005-0000-0000-0000A01A0000}"/>
    <cellStyle name="Normal 3 2 2 4 8 3 2" xfId="24947" xr:uid="{00000000-0005-0000-0000-0000A11A0000}"/>
    <cellStyle name="Normal 3 2 2 4 8 3 2 2" xfId="56818" xr:uid="{00000000-0005-0000-0000-0000A21A0000}"/>
    <cellStyle name="Normal 3 2 2 4 8 3 3" xfId="33853" xr:uid="{00000000-0005-0000-0000-0000A31A0000}"/>
    <cellStyle name="Normal 3 2 2 4 8 4" xfId="17069" xr:uid="{00000000-0005-0000-0000-0000A41A0000}"/>
    <cellStyle name="Normal 3 2 2 4 8 4 2" xfId="48940" xr:uid="{00000000-0005-0000-0000-0000A51A0000}"/>
    <cellStyle name="Normal 3 2 2 4 8 5" xfId="33850" xr:uid="{00000000-0005-0000-0000-0000A61A0000}"/>
    <cellStyle name="Normal 3 2 2 4 9" xfId="1975" xr:uid="{00000000-0005-0000-0000-0000A71A0000}"/>
    <cellStyle name="Normal 3 2 2 4 9 2" xfId="1976" xr:uid="{00000000-0005-0000-0000-0000A81A0000}"/>
    <cellStyle name="Normal 3 2 2 4 9 2 2" xfId="28280" xr:uid="{00000000-0005-0000-0000-0000A91A0000}"/>
    <cellStyle name="Normal 3 2 2 4 9 2 2 2" xfId="60151" xr:uid="{00000000-0005-0000-0000-0000AA1A0000}"/>
    <cellStyle name="Normal 3 2 2 4 9 2 3" xfId="33855" xr:uid="{00000000-0005-0000-0000-0000AB1A0000}"/>
    <cellStyle name="Normal 3 2 2 4 9 3" xfId="20402" xr:uid="{00000000-0005-0000-0000-0000AC1A0000}"/>
    <cellStyle name="Normal 3 2 2 4 9 3 2" xfId="52273" xr:uid="{00000000-0005-0000-0000-0000AD1A0000}"/>
    <cellStyle name="Normal 3 2 2 4 9 4" xfId="33854" xr:uid="{00000000-0005-0000-0000-0000AE1A0000}"/>
    <cellStyle name="Normal 3 2 2 5" xfId="1977" xr:uid="{00000000-0005-0000-0000-0000AF1A0000}"/>
    <cellStyle name="Normal 3 2 2 5 10" xfId="33856" xr:uid="{00000000-0005-0000-0000-0000B01A0000}"/>
    <cellStyle name="Normal 3 2 2 5 2" xfId="1978" xr:uid="{00000000-0005-0000-0000-0000B11A0000}"/>
    <cellStyle name="Normal 3 2 2 5 2 2" xfId="1979" xr:uid="{00000000-0005-0000-0000-0000B21A0000}"/>
    <cellStyle name="Normal 3 2 2 5 2 2 2" xfId="1980" xr:uid="{00000000-0005-0000-0000-0000B31A0000}"/>
    <cellStyle name="Normal 3 2 2 5 2 2 2 2" xfId="1981" xr:uid="{00000000-0005-0000-0000-0000B41A0000}"/>
    <cellStyle name="Normal 3 2 2 5 2 2 2 2 2" xfId="1982" xr:uid="{00000000-0005-0000-0000-0000B51A0000}"/>
    <cellStyle name="Normal 3 2 2 5 2 2 2 2 2 2" xfId="1983" xr:uid="{00000000-0005-0000-0000-0000B61A0000}"/>
    <cellStyle name="Normal 3 2 2 5 2 2 2 2 2 2 2" xfId="1984" xr:uid="{00000000-0005-0000-0000-0000B71A0000}"/>
    <cellStyle name="Normal 3 2 2 5 2 2 2 2 2 2 2 2" xfId="28890" xr:uid="{00000000-0005-0000-0000-0000B81A0000}"/>
    <cellStyle name="Normal 3 2 2 5 2 2 2 2 2 2 2 2 2" xfId="60761" xr:uid="{00000000-0005-0000-0000-0000B91A0000}"/>
    <cellStyle name="Normal 3 2 2 5 2 2 2 2 2 2 2 3" xfId="33863" xr:uid="{00000000-0005-0000-0000-0000BA1A0000}"/>
    <cellStyle name="Normal 3 2 2 5 2 2 2 2 2 2 3" xfId="21012" xr:uid="{00000000-0005-0000-0000-0000BB1A0000}"/>
    <cellStyle name="Normal 3 2 2 5 2 2 2 2 2 2 3 2" xfId="52883" xr:uid="{00000000-0005-0000-0000-0000BC1A0000}"/>
    <cellStyle name="Normal 3 2 2 5 2 2 2 2 2 2 4" xfId="33862" xr:uid="{00000000-0005-0000-0000-0000BD1A0000}"/>
    <cellStyle name="Normal 3 2 2 5 2 2 2 2 2 3" xfId="1985" xr:uid="{00000000-0005-0000-0000-0000BE1A0000}"/>
    <cellStyle name="Normal 3 2 2 5 2 2 2 2 2 3 2" xfId="24951" xr:uid="{00000000-0005-0000-0000-0000BF1A0000}"/>
    <cellStyle name="Normal 3 2 2 5 2 2 2 2 2 3 2 2" xfId="56822" xr:uid="{00000000-0005-0000-0000-0000C01A0000}"/>
    <cellStyle name="Normal 3 2 2 5 2 2 2 2 2 3 3" xfId="33864" xr:uid="{00000000-0005-0000-0000-0000C11A0000}"/>
    <cellStyle name="Normal 3 2 2 5 2 2 2 2 2 4" xfId="17073" xr:uid="{00000000-0005-0000-0000-0000C21A0000}"/>
    <cellStyle name="Normal 3 2 2 5 2 2 2 2 2 4 2" xfId="48944" xr:uid="{00000000-0005-0000-0000-0000C31A0000}"/>
    <cellStyle name="Normal 3 2 2 5 2 2 2 2 2 5" xfId="33861" xr:uid="{00000000-0005-0000-0000-0000C41A0000}"/>
    <cellStyle name="Normal 3 2 2 5 2 2 2 2 3" xfId="1986" xr:uid="{00000000-0005-0000-0000-0000C51A0000}"/>
    <cellStyle name="Normal 3 2 2 5 2 2 2 2 3 2" xfId="1987" xr:uid="{00000000-0005-0000-0000-0000C61A0000}"/>
    <cellStyle name="Normal 3 2 2 5 2 2 2 2 3 2 2" xfId="28889" xr:uid="{00000000-0005-0000-0000-0000C71A0000}"/>
    <cellStyle name="Normal 3 2 2 5 2 2 2 2 3 2 2 2" xfId="60760" xr:uid="{00000000-0005-0000-0000-0000C81A0000}"/>
    <cellStyle name="Normal 3 2 2 5 2 2 2 2 3 2 3" xfId="33866" xr:uid="{00000000-0005-0000-0000-0000C91A0000}"/>
    <cellStyle name="Normal 3 2 2 5 2 2 2 2 3 3" xfId="21011" xr:uid="{00000000-0005-0000-0000-0000CA1A0000}"/>
    <cellStyle name="Normal 3 2 2 5 2 2 2 2 3 3 2" xfId="52882" xr:uid="{00000000-0005-0000-0000-0000CB1A0000}"/>
    <cellStyle name="Normal 3 2 2 5 2 2 2 2 3 4" xfId="33865" xr:uid="{00000000-0005-0000-0000-0000CC1A0000}"/>
    <cellStyle name="Normal 3 2 2 5 2 2 2 2 4" xfId="1988" xr:uid="{00000000-0005-0000-0000-0000CD1A0000}"/>
    <cellStyle name="Normal 3 2 2 5 2 2 2 2 4 2" xfId="24950" xr:uid="{00000000-0005-0000-0000-0000CE1A0000}"/>
    <cellStyle name="Normal 3 2 2 5 2 2 2 2 4 2 2" xfId="56821" xr:uid="{00000000-0005-0000-0000-0000CF1A0000}"/>
    <cellStyle name="Normal 3 2 2 5 2 2 2 2 4 3" xfId="33867" xr:uid="{00000000-0005-0000-0000-0000D01A0000}"/>
    <cellStyle name="Normal 3 2 2 5 2 2 2 2 5" xfId="17072" xr:uid="{00000000-0005-0000-0000-0000D11A0000}"/>
    <cellStyle name="Normal 3 2 2 5 2 2 2 2 5 2" xfId="48943" xr:uid="{00000000-0005-0000-0000-0000D21A0000}"/>
    <cellStyle name="Normal 3 2 2 5 2 2 2 2 6" xfId="33860" xr:uid="{00000000-0005-0000-0000-0000D31A0000}"/>
    <cellStyle name="Normal 3 2 2 5 2 2 2 3" xfId="1989" xr:uid="{00000000-0005-0000-0000-0000D41A0000}"/>
    <cellStyle name="Normal 3 2 2 5 2 2 2 3 2" xfId="1990" xr:uid="{00000000-0005-0000-0000-0000D51A0000}"/>
    <cellStyle name="Normal 3 2 2 5 2 2 2 3 2 2" xfId="1991" xr:uid="{00000000-0005-0000-0000-0000D61A0000}"/>
    <cellStyle name="Normal 3 2 2 5 2 2 2 3 2 2 2" xfId="28891" xr:uid="{00000000-0005-0000-0000-0000D71A0000}"/>
    <cellStyle name="Normal 3 2 2 5 2 2 2 3 2 2 2 2" xfId="60762" xr:uid="{00000000-0005-0000-0000-0000D81A0000}"/>
    <cellStyle name="Normal 3 2 2 5 2 2 2 3 2 2 3" xfId="33870" xr:uid="{00000000-0005-0000-0000-0000D91A0000}"/>
    <cellStyle name="Normal 3 2 2 5 2 2 2 3 2 3" xfId="21013" xr:uid="{00000000-0005-0000-0000-0000DA1A0000}"/>
    <cellStyle name="Normal 3 2 2 5 2 2 2 3 2 3 2" xfId="52884" xr:uid="{00000000-0005-0000-0000-0000DB1A0000}"/>
    <cellStyle name="Normal 3 2 2 5 2 2 2 3 2 4" xfId="33869" xr:uid="{00000000-0005-0000-0000-0000DC1A0000}"/>
    <cellStyle name="Normal 3 2 2 5 2 2 2 3 3" xfId="1992" xr:uid="{00000000-0005-0000-0000-0000DD1A0000}"/>
    <cellStyle name="Normal 3 2 2 5 2 2 2 3 3 2" xfId="24952" xr:uid="{00000000-0005-0000-0000-0000DE1A0000}"/>
    <cellStyle name="Normal 3 2 2 5 2 2 2 3 3 2 2" xfId="56823" xr:uid="{00000000-0005-0000-0000-0000DF1A0000}"/>
    <cellStyle name="Normal 3 2 2 5 2 2 2 3 3 3" xfId="33871" xr:uid="{00000000-0005-0000-0000-0000E01A0000}"/>
    <cellStyle name="Normal 3 2 2 5 2 2 2 3 4" xfId="17074" xr:uid="{00000000-0005-0000-0000-0000E11A0000}"/>
    <cellStyle name="Normal 3 2 2 5 2 2 2 3 4 2" xfId="48945" xr:uid="{00000000-0005-0000-0000-0000E21A0000}"/>
    <cellStyle name="Normal 3 2 2 5 2 2 2 3 5" xfId="33868" xr:uid="{00000000-0005-0000-0000-0000E31A0000}"/>
    <cellStyle name="Normal 3 2 2 5 2 2 2 4" xfId="1993" xr:uid="{00000000-0005-0000-0000-0000E41A0000}"/>
    <cellStyle name="Normal 3 2 2 5 2 2 2 4 2" xfId="1994" xr:uid="{00000000-0005-0000-0000-0000E51A0000}"/>
    <cellStyle name="Normal 3 2 2 5 2 2 2 4 2 2" xfId="28888" xr:uid="{00000000-0005-0000-0000-0000E61A0000}"/>
    <cellStyle name="Normal 3 2 2 5 2 2 2 4 2 2 2" xfId="60759" xr:uid="{00000000-0005-0000-0000-0000E71A0000}"/>
    <cellStyle name="Normal 3 2 2 5 2 2 2 4 2 3" xfId="33873" xr:uid="{00000000-0005-0000-0000-0000E81A0000}"/>
    <cellStyle name="Normal 3 2 2 5 2 2 2 4 3" xfId="21010" xr:uid="{00000000-0005-0000-0000-0000E91A0000}"/>
    <cellStyle name="Normal 3 2 2 5 2 2 2 4 3 2" xfId="52881" xr:uid="{00000000-0005-0000-0000-0000EA1A0000}"/>
    <cellStyle name="Normal 3 2 2 5 2 2 2 4 4" xfId="33872" xr:uid="{00000000-0005-0000-0000-0000EB1A0000}"/>
    <cellStyle name="Normal 3 2 2 5 2 2 2 5" xfId="1995" xr:uid="{00000000-0005-0000-0000-0000EC1A0000}"/>
    <cellStyle name="Normal 3 2 2 5 2 2 2 5 2" xfId="24949" xr:uid="{00000000-0005-0000-0000-0000ED1A0000}"/>
    <cellStyle name="Normal 3 2 2 5 2 2 2 5 2 2" xfId="56820" xr:uid="{00000000-0005-0000-0000-0000EE1A0000}"/>
    <cellStyle name="Normal 3 2 2 5 2 2 2 5 3" xfId="33874" xr:uid="{00000000-0005-0000-0000-0000EF1A0000}"/>
    <cellStyle name="Normal 3 2 2 5 2 2 2 6" xfId="17071" xr:uid="{00000000-0005-0000-0000-0000F01A0000}"/>
    <cellStyle name="Normal 3 2 2 5 2 2 2 6 2" xfId="48942" xr:uid="{00000000-0005-0000-0000-0000F11A0000}"/>
    <cellStyle name="Normal 3 2 2 5 2 2 2 7" xfId="33859" xr:uid="{00000000-0005-0000-0000-0000F21A0000}"/>
    <cellStyle name="Normal 3 2 2 5 2 2 3" xfId="1996" xr:uid="{00000000-0005-0000-0000-0000F31A0000}"/>
    <cellStyle name="Normal 3 2 2 5 2 2 3 2" xfId="1997" xr:uid="{00000000-0005-0000-0000-0000F41A0000}"/>
    <cellStyle name="Normal 3 2 2 5 2 2 3 2 2" xfId="1998" xr:uid="{00000000-0005-0000-0000-0000F51A0000}"/>
    <cellStyle name="Normal 3 2 2 5 2 2 3 2 2 2" xfId="1999" xr:uid="{00000000-0005-0000-0000-0000F61A0000}"/>
    <cellStyle name="Normal 3 2 2 5 2 2 3 2 2 2 2" xfId="28893" xr:uid="{00000000-0005-0000-0000-0000F71A0000}"/>
    <cellStyle name="Normal 3 2 2 5 2 2 3 2 2 2 2 2" xfId="60764" xr:uid="{00000000-0005-0000-0000-0000F81A0000}"/>
    <cellStyle name="Normal 3 2 2 5 2 2 3 2 2 2 3" xfId="33878" xr:uid="{00000000-0005-0000-0000-0000F91A0000}"/>
    <cellStyle name="Normal 3 2 2 5 2 2 3 2 2 3" xfId="21015" xr:uid="{00000000-0005-0000-0000-0000FA1A0000}"/>
    <cellStyle name="Normal 3 2 2 5 2 2 3 2 2 3 2" xfId="52886" xr:uid="{00000000-0005-0000-0000-0000FB1A0000}"/>
    <cellStyle name="Normal 3 2 2 5 2 2 3 2 2 4" xfId="33877" xr:uid="{00000000-0005-0000-0000-0000FC1A0000}"/>
    <cellStyle name="Normal 3 2 2 5 2 2 3 2 3" xfId="2000" xr:uid="{00000000-0005-0000-0000-0000FD1A0000}"/>
    <cellStyle name="Normal 3 2 2 5 2 2 3 2 3 2" xfId="24954" xr:uid="{00000000-0005-0000-0000-0000FE1A0000}"/>
    <cellStyle name="Normal 3 2 2 5 2 2 3 2 3 2 2" xfId="56825" xr:uid="{00000000-0005-0000-0000-0000FF1A0000}"/>
    <cellStyle name="Normal 3 2 2 5 2 2 3 2 3 3" xfId="33879" xr:uid="{00000000-0005-0000-0000-0000001B0000}"/>
    <cellStyle name="Normal 3 2 2 5 2 2 3 2 4" xfId="17076" xr:uid="{00000000-0005-0000-0000-0000011B0000}"/>
    <cellStyle name="Normal 3 2 2 5 2 2 3 2 4 2" xfId="48947" xr:uid="{00000000-0005-0000-0000-0000021B0000}"/>
    <cellStyle name="Normal 3 2 2 5 2 2 3 2 5" xfId="33876" xr:uid="{00000000-0005-0000-0000-0000031B0000}"/>
    <cellStyle name="Normal 3 2 2 5 2 2 3 3" xfId="2001" xr:uid="{00000000-0005-0000-0000-0000041B0000}"/>
    <cellStyle name="Normal 3 2 2 5 2 2 3 3 2" xfId="2002" xr:uid="{00000000-0005-0000-0000-0000051B0000}"/>
    <cellStyle name="Normal 3 2 2 5 2 2 3 3 2 2" xfId="28892" xr:uid="{00000000-0005-0000-0000-0000061B0000}"/>
    <cellStyle name="Normal 3 2 2 5 2 2 3 3 2 2 2" xfId="60763" xr:uid="{00000000-0005-0000-0000-0000071B0000}"/>
    <cellStyle name="Normal 3 2 2 5 2 2 3 3 2 3" xfId="33881" xr:uid="{00000000-0005-0000-0000-0000081B0000}"/>
    <cellStyle name="Normal 3 2 2 5 2 2 3 3 3" xfId="21014" xr:uid="{00000000-0005-0000-0000-0000091B0000}"/>
    <cellStyle name="Normal 3 2 2 5 2 2 3 3 3 2" xfId="52885" xr:uid="{00000000-0005-0000-0000-00000A1B0000}"/>
    <cellStyle name="Normal 3 2 2 5 2 2 3 3 4" xfId="33880" xr:uid="{00000000-0005-0000-0000-00000B1B0000}"/>
    <cellStyle name="Normal 3 2 2 5 2 2 3 4" xfId="2003" xr:uid="{00000000-0005-0000-0000-00000C1B0000}"/>
    <cellStyle name="Normal 3 2 2 5 2 2 3 4 2" xfId="24953" xr:uid="{00000000-0005-0000-0000-00000D1B0000}"/>
    <cellStyle name="Normal 3 2 2 5 2 2 3 4 2 2" xfId="56824" xr:uid="{00000000-0005-0000-0000-00000E1B0000}"/>
    <cellStyle name="Normal 3 2 2 5 2 2 3 4 3" xfId="33882" xr:uid="{00000000-0005-0000-0000-00000F1B0000}"/>
    <cellStyle name="Normal 3 2 2 5 2 2 3 5" xfId="17075" xr:uid="{00000000-0005-0000-0000-0000101B0000}"/>
    <cellStyle name="Normal 3 2 2 5 2 2 3 5 2" xfId="48946" xr:uid="{00000000-0005-0000-0000-0000111B0000}"/>
    <cellStyle name="Normal 3 2 2 5 2 2 3 6" xfId="33875" xr:uid="{00000000-0005-0000-0000-0000121B0000}"/>
    <cellStyle name="Normal 3 2 2 5 2 2 4" xfId="2004" xr:uid="{00000000-0005-0000-0000-0000131B0000}"/>
    <cellStyle name="Normal 3 2 2 5 2 2 4 2" xfId="2005" xr:uid="{00000000-0005-0000-0000-0000141B0000}"/>
    <cellStyle name="Normal 3 2 2 5 2 2 4 2 2" xfId="2006" xr:uid="{00000000-0005-0000-0000-0000151B0000}"/>
    <cellStyle name="Normal 3 2 2 5 2 2 4 2 2 2" xfId="28894" xr:uid="{00000000-0005-0000-0000-0000161B0000}"/>
    <cellStyle name="Normal 3 2 2 5 2 2 4 2 2 2 2" xfId="60765" xr:uid="{00000000-0005-0000-0000-0000171B0000}"/>
    <cellStyle name="Normal 3 2 2 5 2 2 4 2 2 3" xfId="33885" xr:uid="{00000000-0005-0000-0000-0000181B0000}"/>
    <cellStyle name="Normal 3 2 2 5 2 2 4 2 3" xfId="21016" xr:uid="{00000000-0005-0000-0000-0000191B0000}"/>
    <cellStyle name="Normal 3 2 2 5 2 2 4 2 3 2" xfId="52887" xr:uid="{00000000-0005-0000-0000-00001A1B0000}"/>
    <cellStyle name="Normal 3 2 2 5 2 2 4 2 4" xfId="33884" xr:uid="{00000000-0005-0000-0000-00001B1B0000}"/>
    <cellStyle name="Normal 3 2 2 5 2 2 4 3" xfId="2007" xr:uid="{00000000-0005-0000-0000-00001C1B0000}"/>
    <cellStyle name="Normal 3 2 2 5 2 2 4 3 2" xfId="24955" xr:uid="{00000000-0005-0000-0000-00001D1B0000}"/>
    <cellStyle name="Normal 3 2 2 5 2 2 4 3 2 2" xfId="56826" xr:uid="{00000000-0005-0000-0000-00001E1B0000}"/>
    <cellStyle name="Normal 3 2 2 5 2 2 4 3 3" xfId="33886" xr:uid="{00000000-0005-0000-0000-00001F1B0000}"/>
    <cellStyle name="Normal 3 2 2 5 2 2 4 4" xfId="17077" xr:uid="{00000000-0005-0000-0000-0000201B0000}"/>
    <cellStyle name="Normal 3 2 2 5 2 2 4 4 2" xfId="48948" xr:uid="{00000000-0005-0000-0000-0000211B0000}"/>
    <cellStyle name="Normal 3 2 2 5 2 2 4 5" xfId="33883" xr:uid="{00000000-0005-0000-0000-0000221B0000}"/>
    <cellStyle name="Normal 3 2 2 5 2 2 5" xfId="2008" xr:uid="{00000000-0005-0000-0000-0000231B0000}"/>
    <cellStyle name="Normal 3 2 2 5 2 2 5 2" xfId="2009" xr:uid="{00000000-0005-0000-0000-0000241B0000}"/>
    <cellStyle name="Normal 3 2 2 5 2 2 5 2 2" xfId="28887" xr:uid="{00000000-0005-0000-0000-0000251B0000}"/>
    <cellStyle name="Normal 3 2 2 5 2 2 5 2 2 2" xfId="60758" xr:uid="{00000000-0005-0000-0000-0000261B0000}"/>
    <cellStyle name="Normal 3 2 2 5 2 2 5 2 3" xfId="33888" xr:uid="{00000000-0005-0000-0000-0000271B0000}"/>
    <cellStyle name="Normal 3 2 2 5 2 2 5 3" xfId="21009" xr:uid="{00000000-0005-0000-0000-0000281B0000}"/>
    <cellStyle name="Normal 3 2 2 5 2 2 5 3 2" xfId="52880" xr:uid="{00000000-0005-0000-0000-0000291B0000}"/>
    <cellStyle name="Normal 3 2 2 5 2 2 5 4" xfId="33887" xr:uid="{00000000-0005-0000-0000-00002A1B0000}"/>
    <cellStyle name="Normal 3 2 2 5 2 2 6" xfId="2010" xr:uid="{00000000-0005-0000-0000-00002B1B0000}"/>
    <cellStyle name="Normal 3 2 2 5 2 2 6 2" xfId="24948" xr:uid="{00000000-0005-0000-0000-00002C1B0000}"/>
    <cellStyle name="Normal 3 2 2 5 2 2 6 2 2" xfId="56819" xr:uid="{00000000-0005-0000-0000-00002D1B0000}"/>
    <cellStyle name="Normal 3 2 2 5 2 2 6 3" xfId="33889" xr:uid="{00000000-0005-0000-0000-00002E1B0000}"/>
    <cellStyle name="Normal 3 2 2 5 2 2 7" xfId="17070" xr:uid="{00000000-0005-0000-0000-00002F1B0000}"/>
    <cellStyle name="Normal 3 2 2 5 2 2 7 2" xfId="48941" xr:uid="{00000000-0005-0000-0000-0000301B0000}"/>
    <cellStyle name="Normal 3 2 2 5 2 2 8" xfId="33858" xr:uid="{00000000-0005-0000-0000-0000311B0000}"/>
    <cellStyle name="Normal 3 2 2 5 2 3" xfId="2011" xr:uid="{00000000-0005-0000-0000-0000321B0000}"/>
    <cellStyle name="Normal 3 2 2 5 2 3 2" xfId="2012" xr:uid="{00000000-0005-0000-0000-0000331B0000}"/>
    <cellStyle name="Normal 3 2 2 5 2 3 2 2" xfId="2013" xr:uid="{00000000-0005-0000-0000-0000341B0000}"/>
    <cellStyle name="Normal 3 2 2 5 2 3 2 2 2" xfId="2014" xr:uid="{00000000-0005-0000-0000-0000351B0000}"/>
    <cellStyle name="Normal 3 2 2 5 2 3 2 2 2 2" xfId="2015" xr:uid="{00000000-0005-0000-0000-0000361B0000}"/>
    <cellStyle name="Normal 3 2 2 5 2 3 2 2 2 2 2" xfId="28897" xr:uid="{00000000-0005-0000-0000-0000371B0000}"/>
    <cellStyle name="Normal 3 2 2 5 2 3 2 2 2 2 2 2" xfId="60768" xr:uid="{00000000-0005-0000-0000-0000381B0000}"/>
    <cellStyle name="Normal 3 2 2 5 2 3 2 2 2 2 3" xfId="33894" xr:uid="{00000000-0005-0000-0000-0000391B0000}"/>
    <cellStyle name="Normal 3 2 2 5 2 3 2 2 2 3" xfId="21019" xr:uid="{00000000-0005-0000-0000-00003A1B0000}"/>
    <cellStyle name="Normal 3 2 2 5 2 3 2 2 2 3 2" xfId="52890" xr:uid="{00000000-0005-0000-0000-00003B1B0000}"/>
    <cellStyle name="Normal 3 2 2 5 2 3 2 2 2 4" xfId="33893" xr:uid="{00000000-0005-0000-0000-00003C1B0000}"/>
    <cellStyle name="Normal 3 2 2 5 2 3 2 2 3" xfId="2016" xr:uid="{00000000-0005-0000-0000-00003D1B0000}"/>
    <cellStyle name="Normal 3 2 2 5 2 3 2 2 3 2" xfId="24958" xr:uid="{00000000-0005-0000-0000-00003E1B0000}"/>
    <cellStyle name="Normal 3 2 2 5 2 3 2 2 3 2 2" xfId="56829" xr:uid="{00000000-0005-0000-0000-00003F1B0000}"/>
    <cellStyle name="Normal 3 2 2 5 2 3 2 2 3 3" xfId="33895" xr:uid="{00000000-0005-0000-0000-0000401B0000}"/>
    <cellStyle name="Normal 3 2 2 5 2 3 2 2 4" xfId="17080" xr:uid="{00000000-0005-0000-0000-0000411B0000}"/>
    <cellStyle name="Normal 3 2 2 5 2 3 2 2 4 2" xfId="48951" xr:uid="{00000000-0005-0000-0000-0000421B0000}"/>
    <cellStyle name="Normal 3 2 2 5 2 3 2 2 5" xfId="33892" xr:uid="{00000000-0005-0000-0000-0000431B0000}"/>
    <cellStyle name="Normal 3 2 2 5 2 3 2 3" xfId="2017" xr:uid="{00000000-0005-0000-0000-0000441B0000}"/>
    <cellStyle name="Normal 3 2 2 5 2 3 2 3 2" xfId="2018" xr:uid="{00000000-0005-0000-0000-0000451B0000}"/>
    <cellStyle name="Normal 3 2 2 5 2 3 2 3 2 2" xfId="28896" xr:uid="{00000000-0005-0000-0000-0000461B0000}"/>
    <cellStyle name="Normal 3 2 2 5 2 3 2 3 2 2 2" xfId="60767" xr:uid="{00000000-0005-0000-0000-0000471B0000}"/>
    <cellStyle name="Normal 3 2 2 5 2 3 2 3 2 3" xfId="33897" xr:uid="{00000000-0005-0000-0000-0000481B0000}"/>
    <cellStyle name="Normal 3 2 2 5 2 3 2 3 3" xfId="21018" xr:uid="{00000000-0005-0000-0000-0000491B0000}"/>
    <cellStyle name="Normal 3 2 2 5 2 3 2 3 3 2" xfId="52889" xr:uid="{00000000-0005-0000-0000-00004A1B0000}"/>
    <cellStyle name="Normal 3 2 2 5 2 3 2 3 4" xfId="33896" xr:uid="{00000000-0005-0000-0000-00004B1B0000}"/>
    <cellStyle name="Normal 3 2 2 5 2 3 2 4" xfId="2019" xr:uid="{00000000-0005-0000-0000-00004C1B0000}"/>
    <cellStyle name="Normal 3 2 2 5 2 3 2 4 2" xfId="24957" xr:uid="{00000000-0005-0000-0000-00004D1B0000}"/>
    <cellStyle name="Normal 3 2 2 5 2 3 2 4 2 2" xfId="56828" xr:uid="{00000000-0005-0000-0000-00004E1B0000}"/>
    <cellStyle name="Normal 3 2 2 5 2 3 2 4 3" xfId="33898" xr:uid="{00000000-0005-0000-0000-00004F1B0000}"/>
    <cellStyle name="Normal 3 2 2 5 2 3 2 5" xfId="17079" xr:uid="{00000000-0005-0000-0000-0000501B0000}"/>
    <cellStyle name="Normal 3 2 2 5 2 3 2 5 2" xfId="48950" xr:uid="{00000000-0005-0000-0000-0000511B0000}"/>
    <cellStyle name="Normal 3 2 2 5 2 3 2 6" xfId="33891" xr:uid="{00000000-0005-0000-0000-0000521B0000}"/>
    <cellStyle name="Normal 3 2 2 5 2 3 3" xfId="2020" xr:uid="{00000000-0005-0000-0000-0000531B0000}"/>
    <cellStyle name="Normal 3 2 2 5 2 3 3 2" xfId="2021" xr:uid="{00000000-0005-0000-0000-0000541B0000}"/>
    <cellStyle name="Normal 3 2 2 5 2 3 3 2 2" xfId="2022" xr:uid="{00000000-0005-0000-0000-0000551B0000}"/>
    <cellStyle name="Normal 3 2 2 5 2 3 3 2 2 2" xfId="28898" xr:uid="{00000000-0005-0000-0000-0000561B0000}"/>
    <cellStyle name="Normal 3 2 2 5 2 3 3 2 2 2 2" xfId="60769" xr:uid="{00000000-0005-0000-0000-0000571B0000}"/>
    <cellStyle name="Normal 3 2 2 5 2 3 3 2 2 3" xfId="33901" xr:uid="{00000000-0005-0000-0000-0000581B0000}"/>
    <cellStyle name="Normal 3 2 2 5 2 3 3 2 3" xfId="21020" xr:uid="{00000000-0005-0000-0000-0000591B0000}"/>
    <cellStyle name="Normal 3 2 2 5 2 3 3 2 3 2" xfId="52891" xr:uid="{00000000-0005-0000-0000-00005A1B0000}"/>
    <cellStyle name="Normal 3 2 2 5 2 3 3 2 4" xfId="33900" xr:uid="{00000000-0005-0000-0000-00005B1B0000}"/>
    <cellStyle name="Normal 3 2 2 5 2 3 3 3" xfId="2023" xr:uid="{00000000-0005-0000-0000-00005C1B0000}"/>
    <cellStyle name="Normal 3 2 2 5 2 3 3 3 2" xfId="24959" xr:uid="{00000000-0005-0000-0000-00005D1B0000}"/>
    <cellStyle name="Normal 3 2 2 5 2 3 3 3 2 2" xfId="56830" xr:uid="{00000000-0005-0000-0000-00005E1B0000}"/>
    <cellStyle name="Normal 3 2 2 5 2 3 3 3 3" xfId="33902" xr:uid="{00000000-0005-0000-0000-00005F1B0000}"/>
    <cellStyle name="Normal 3 2 2 5 2 3 3 4" xfId="17081" xr:uid="{00000000-0005-0000-0000-0000601B0000}"/>
    <cellStyle name="Normal 3 2 2 5 2 3 3 4 2" xfId="48952" xr:uid="{00000000-0005-0000-0000-0000611B0000}"/>
    <cellStyle name="Normal 3 2 2 5 2 3 3 5" xfId="33899" xr:uid="{00000000-0005-0000-0000-0000621B0000}"/>
    <cellStyle name="Normal 3 2 2 5 2 3 4" xfId="2024" xr:uid="{00000000-0005-0000-0000-0000631B0000}"/>
    <cellStyle name="Normal 3 2 2 5 2 3 4 2" xfId="2025" xr:uid="{00000000-0005-0000-0000-0000641B0000}"/>
    <cellStyle name="Normal 3 2 2 5 2 3 4 2 2" xfId="28895" xr:uid="{00000000-0005-0000-0000-0000651B0000}"/>
    <cellStyle name="Normal 3 2 2 5 2 3 4 2 2 2" xfId="60766" xr:uid="{00000000-0005-0000-0000-0000661B0000}"/>
    <cellStyle name="Normal 3 2 2 5 2 3 4 2 3" xfId="33904" xr:uid="{00000000-0005-0000-0000-0000671B0000}"/>
    <cellStyle name="Normal 3 2 2 5 2 3 4 3" xfId="21017" xr:uid="{00000000-0005-0000-0000-0000681B0000}"/>
    <cellStyle name="Normal 3 2 2 5 2 3 4 3 2" xfId="52888" xr:uid="{00000000-0005-0000-0000-0000691B0000}"/>
    <cellStyle name="Normal 3 2 2 5 2 3 4 4" xfId="33903" xr:uid="{00000000-0005-0000-0000-00006A1B0000}"/>
    <cellStyle name="Normal 3 2 2 5 2 3 5" xfId="2026" xr:uid="{00000000-0005-0000-0000-00006B1B0000}"/>
    <cellStyle name="Normal 3 2 2 5 2 3 5 2" xfId="24956" xr:uid="{00000000-0005-0000-0000-00006C1B0000}"/>
    <cellStyle name="Normal 3 2 2 5 2 3 5 2 2" xfId="56827" xr:uid="{00000000-0005-0000-0000-00006D1B0000}"/>
    <cellStyle name="Normal 3 2 2 5 2 3 5 3" xfId="33905" xr:uid="{00000000-0005-0000-0000-00006E1B0000}"/>
    <cellStyle name="Normal 3 2 2 5 2 3 6" xfId="17078" xr:uid="{00000000-0005-0000-0000-00006F1B0000}"/>
    <cellStyle name="Normal 3 2 2 5 2 3 6 2" xfId="48949" xr:uid="{00000000-0005-0000-0000-0000701B0000}"/>
    <cellStyle name="Normal 3 2 2 5 2 3 7" xfId="33890" xr:uid="{00000000-0005-0000-0000-0000711B0000}"/>
    <cellStyle name="Normal 3 2 2 5 2 4" xfId="2027" xr:uid="{00000000-0005-0000-0000-0000721B0000}"/>
    <cellStyle name="Normal 3 2 2 5 2 4 2" xfId="2028" xr:uid="{00000000-0005-0000-0000-0000731B0000}"/>
    <cellStyle name="Normal 3 2 2 5 2 4 2 2" xfId="2029" xr:uid="{00000000-0005-0000-0000-0000741B0000}"/>
    <cellStyle name="Normal 3 2 2 5 2 4 2 2 2" xfId="2030" xr:uid="{00000000-0005-0000-0000-0000751B0000}"/>
    <cellStyle name="Normal 3 2 2 5 2 4 2 2 2 2" xfId="28900" xr:uid="{00000000-0005-0000-0000-0000761B0000}"/>
    <cellStyle name="Normal 3 2 2 5 2 4 2 2 2 2 2" xfId="60771" xr:uid="{00000000-0005-0000-0000-0000771B0000}"/>
    <cellStyle name="Normal 3 2 2 5 2 4 2 2 2 3" xfId="33909" xr:uid="{00000000-0005-0000-0000-0000781B0000}"/>
    <cellStyle name="Normal 3 2 2 5 2 4 2 2 3" xfId="21022" xr:uid="{00000000-0005-0000-0000-0000791B0000}"/>
    <cellStyle name="Normal 3 2 2 5 2 4 2 2 3 2" xfId="52893" xr:uid="{00000000-0005-0000-0000-00007A1B0000}"/>
    <cellStyle name="Normal 3 2 2 5 2 4 2 2 4" xfId="33908" xr:uid="{00000000-0005-0000-0000-00007B1B0000}"/>
    <cellStyle name="Normal 3 2 2 5 2 4 2 3" xfId="2031" xr:uid="{00000000-0005-0000-0000-00007C1B0000}"/>
    <cellStyle name="Normal 3 2 2 5 2 4 2 3 2" xfId="24961" xr:uid="{00000000-0005-0000-0000-00007D1B0000}"/>
    <cellStyle name="Normal 3 2 2 5 2 4 2 3 2 2" xfId="56832" xr:uid="{00000000-0005-0000-0000-00007E1B0000}"/>
    <cellStyle name="Normal 3 2 2 5 2 4 2 3 3" xfId="33910" xr:uid="{00000000-0005-0000-0000-00007F1B0000}"/>
    <cellStyle name="Normal 3 2 2 5 2 4 2 4" xfId="17083" xr:uid="{00000000-0005-0000-0000-0000801B0000}"/>
    <cellStyle name="Normal 3 2 2 5 2 4 2 4 2" xfId="48954" xr:uid="{00000000-0005-0000-0000-0000811B0000}"/>
    <cellStyle name="Normal 3 2 2 5 2 4 2 5" xfId="33907" xr:uid="{00000000-0005-0000-0000-0000821B0000}"/>
    <cellStyle name="Normal 3 2 2 5 2 4 3" xfId="2032" xr:uid="{00000000-0005-0000-0000-0000831B0000}"/>
    <cellStyle name="Normal 3 2 2 5 2 4 3 2" xfId="2033" xr:uid="{00000000-0005-0000-0000-0000841B0000}"/>
    <cellStyle name="Normal 3 2 2 5 2 4 3 2 2" xfId="28899" xr:uid="{00000000-0005-0000-0000-0000851B0000}"/>
    <cellStyle name="Normal 3 2 2 5 2 4 3 2 2 2" xfId="60770" xr:uid="{00000000-0005-0000-0000-0000861B0000}"/>
    <cellStyle name="Normal 3 2 2 5 2 4 3 2 3" xfId="33912" xr:uid="{00000000-0005-0000-0000-0000871B0000}"/>
    <cellStyle name="Normal 3 2 2 5 2 4 3 3" xfId="21021" xr:uid="{00000000-0005-0000-0000-0000881B0000}"/>
    <cellStyle name="Normal 3 2 2 5 2 4 3 3 2" xfId="52892" xr:uid="{00000000-0005-0000-0000-0000891B0000}"/>
    <cellStyle name="Normal 3 2 2 5 2 4 3 4" xfId="33911" xr:uid="{00000000-0005-0000-0000-00008A1B0000}"/>
    <cellStyle name="Normal 3 2 2 5 2 4 4" xfId="2034" xr:uid="{00000000-0005-0000-0000-00008B1B0000}"/>
    <cellStyle name="Normal 3 2 2 5 2 4 4 2" xfId="24960" xr:uid="{00000000-0005-0000-0000-00008C1B0000}"/>
    <cellStyle name="Normal 3 2 2 5 2 4 4 2 2" xfId="56831" xr:uid="{00000000-0005-0000-0000-00008D1B0000}"/>
    <cellStyle name="Normal 3 2 2 5 2 4 4 3" xfId="33913" xr:uid="{00000000-0005-0000-0000-00008E1B0000}"/>
    <cellStyle name="Normal 3 2 2 5 2 4 5" xfId="17082" xr:uid="{00000000-0005-0000-0000-00008F1B0000}"/>
    <cellStyle name="Normal 3 2 2 5 2 4 5 2" xfId="48953" xr:uid="{00000000-0005-0000-0000-0000901B0000}"/>
    <cellStyle name="Normal 3 2 2 5 2 4 6" xfId="33906" xr:uid="{00000000-0005-0000-0000-0000911B0000}"/>
    <cellStyle name="Normal 3 2 2 5 2 5" xfId="2035" xr:uid="{00000000-0005-0000-0000-0000921B0000}"/>
    <cellStyle name="Normal 3 2 2 5 2 5 2" xfId="2036" xr:uid="{00000000-0005-0000-0000-0000931B0000}"/>
    <cellStyle name="Normal 3 2 2 5 2 5 2 2" xfId="2037" xr:uid="{00000000-0005-0000-0000-0000941B0000}"/>
    <cellStyle name="Normal 3 2 2 5 2 5 2 2 2" xfId="28901" xr:uid="{00000000-0005-0000-0000-0000951B0000}"/>
    <cellStyle name="Normal 3 2 2 5 2 5 2 2 2 2" xfId="60772" xr:uid="{00000000-0005-0000-0000-0000961B0000}"/>
    <cellStyle name="Normal 3 2 2 5 2 5 2 2 3" xfId="33916" xr:uid="{00000000-0005-0000-0000-0000971B0000}"/>
    <cellStyle name="Normal 3 2 2 5 2 5 2 3" xfId="21023" xr:uid="{00000000-0005-0000-0000-0000981B0000}"/>
    <cellStyle name="Normal 3 2 2 5 2 5 2 3 2" xfId="52894" xr:uid="{00000000-0005-0000-0000-0000991B0000}"/>
    <cellStyle name="Normal 3 2 2 5 2 5 2 4" xfId="33915" xr:uid="{00000000-0005-0000-0000-00009A1B0000}"/>
    <cellStyle name="Normal 3 2 2 5 2 5 3" xfId="2038" xr:uid="{00000000-0005-0000-0000-00009B1B0000}"/>
    <cellStyle name="Normal 3 2 2 5 2 5 3 2" xfId="24962" xr:uid="{00000000-0005-0000-0000-00009C1B0000}"/>
    <cellStyle name="Normal 3 2 2 5 2 5 3 2 2" xfId="56833" xr:uid="{00000000-0005-0000-0000-00009D1B0000}"/>
    <cellStyle name="Normal 3 2 2 5 2 5 3 3" xfId="33917" xr:uid="{00000000-0005-0000-0000-00009E1B0000}"/>
    <cellStyle name="Normal 3 2 2 5 2 5 4" xfId="17084" xr:uid="{00000000-0005-0000-0000-00009F1B0000}"/>
    <cellStyle name="Normal 3 2 2 5 2 5 4 2" xfId="48955" xr:uid="{00000000-0005-0000-0000-0000A01B0000}"/>
    <cellStyle name="Normal 3 2 2 5 2 5 5" xfId="33914" xr:uid="{00000000-0005-0000-0000-0000A11B0000}"/>
    <cellStyle name="Normal 3 2 2 5 2 6" xfId="2039" xr:uid="{00000000-0005-0000-0000-0000A21B0000}"/>
    <cellStyle name="Normal 3 2 2 5 2 6 2" xfId="2040" xr:uid="{00000000-0005-0000-0000-0000A31B0000}"/>
    <cellStyle name="Normal 3 2 2 5 2 6 2 2" xfId="28427" xr:uid="{00000000-0005-0000-0000-0000A41B0000}"/>
    <cellStyle name="Normal 3 2 2 5 2 6 2 2 2" xfId="60298" xr:uid="{00000000-0005-0000-0000-0000A51B0000}"/>
    <cellStyle name="Normal 3 2 2 5 2 6 2 3" xfId="33919" xr:uid="{00000000-0005-0000-0000-0000A61B0000}"/>
    <cellStyle name="Normal 3 2 2 5 2 6 3" xfId="20549" xr:uid="{00000000-0005-0000-0000-0000A71B0000}"/>
    <cellStyle name="Normal 3 2 2 5 2 6 3 2" xfId="52420" xr:uid="{00000000-0005-0000-0000-0000A81B0000}"/>
    <cellStyle name="Normal 3 2 2 5 2 6 4" xfId="33918" xr:uid="{00000000-0005-0000-0000-0000A91B0000}"/>
    <cellStyle name="Normal 3 2 2 5 2 7" xfId="2041" xr:uid="{00000000-0005-0000-0000-0000AA1B0000}"/>
    <cellStyle name="Normal 3 2 2 5 2 7 2" xfId="24488" xr:uid="{00000000-0005-0000-0000-0000AB1B0000}"/>
    <cellStyle name="Normal 3 2 2 5 2 7 2 2" xfId="56359" xr:uid="{00000000-0005-0000-0000-0000AC1B0000}"/>
    <cellStyle name="Normal 3 2 2 5 2 7 3" xfId="33920" xr:uid="{00000000-0005-0000-0000-0000AD1B0000}"/>
    <cellStyle name="Normal 3 2 2 5 2 8" xfId="16610" xr:uid="{00000000-0005-0000-0000-0000AE1B0000}"/>
    <cellStyle name="Normal 3 2 2 5 2 8 2" xfId="48481" xr:uid="{00000000-0005-0000-0000-0000AF1B0000}"/>
    <cellStyle name="Normal 3 2 2 5 2 9" xfId="33857" xr:uid="{00000000-0005-0000-0000-0000B01B0000}"/>
    <cellStyle name="Normal 3 2 2 5 3" xfId="2042" xr:uid="{00000000-0005-0000-0000-0000B11B0000}"/>
    <cellStyle name="Normal 3 2 2 5 3 2" xfId="2043" xr:uid="{00000000-0005-0000-0000-0000B21B0000}"/>
    <cellStyle name="Normal 3 2 2 5 3 2 2" xfId="2044" xr:uid="{00000000-0005-0000-0000-0000B31B0000}"/>
    <cellStyle name="Normal 3 2 2 5 3 2 2 2" xfId="2045" xr:uid="{00000000-0005-0000-0000-0000B41B0000}"/>
    <cellStyle name="Normal 3 2 2 5 3 2 2 2 2" xfId="2046" xr:uid="{00000000-0005-0000-0000-0000B51B0000}"/>
    <cellStyle name="Normal 3 2 2 5 3 2 2 2 2 2" xfId="2047" xr:uid="{00000000-0005-0000-0000-0000B61B0000}"/>
    <cellStyle name="Normal 3 2 2 5 3 2 2 2 2 2 2" xfId="28905" xr:uid="{00000000-0005-0000-0000-0000B71B0000}"/>
    <cellStyle name="Normal 3 2 2 5 3 2 2 2 2 2 2 2" xfId="60776" xr:uid="{00000000-0005-0000-0000-0000B81B0000}"/>
    <cellStyle name="Normal 3 2 2 5 3 2 2 2 2 2 3" xfId="33926" xr:uid="{00000000-0005-0000-0000-0000B91B0000}"/>
    <cellStyle name="Normal 3 2 2 5 3 2 2 2 2 3" xfId="21027" xr:uid="{00000000-0005-0000-0000-0000BA1B0000}"/>
    <cellStyle name="Normal 3 2 2 5 3 2 2 2 2 3 2" xfId="52898" xr:uid="{00000000-0005-0000-0000-0000BB1B0000}"/>
    <cellStyle name="Normal 3 2 2 5 3 2 2 2 2 4" xfId="33925" xr:uid="{00000000-0005-0000-0000-0000BC1B0000}"/>
    <cellStyle name="Normal 3 2 2 5 3 2 2 2 3" xfId="2048" xr:uid="{00000000-0005-0000-0000-0000BD1B0000}"/>
    <cellStyle name="Normal 3 2 2 5 3 2 2 2 3 2" xfId="24966" xr:uid="{00000000-0005-0000-0000-0000BE1B0000}"/>
    <cellStyle name="Normal 3 2 2 5 3 2 2 2 3 2 2" xfId="56837" xr:uid="{00000000-0005-0000-0000-0000BF1B0000}"/>
    <cellStyle name="Normal 3 2 2 5 3 2 2 2 3 3" xfId="33927" xr:uid="{00000000-0005-0000-0000-0000C01B0000}"/>
    <cellStyle name="Normal 3 2 2 5 3 2 2 2 4" xfId="17088" xr:uid="{00000000-0005-0000-0000-0000C11B0000}"/>
    <cellStyle name="Normal 3 2 2 5 3 2 2 2 4 2" xfId="48959" xr:uid="{00000000-0005-0000-0000-0000C21B0000}"/>
    <cellStyle name="Normal 3 2 2 5 3 2 2 2 5" xfId="33924" xr:uid="{00000000-0005-0000-0000-0000C31B0000}"/>
    <cellStyle name="Normal 3 2 2 5 3 2 2 3" xfId="2049" xr:uid="{00000000-0005-0000-0000-0000C41B0000}"/>
    <cellStyle name="Normal 3 2 2 5 3 2 2 3 2" xfId="2050" xr:uid="{00000000-0005-0000-0000-0000C51B0000}"/>
    <cellStyle name="Normal 3 2 2 5 3 2 2 3 2 2" xfId="28904" xr:uid="{00000000-0005-0000-0000-0000C61B0000}"/>
    <cellStyle name="Normal 3 2 2 5 3 2 2 3 2 2 2" xfId="60775" xr:uid="{00000000-0005-0000-0000-0000C71B0000}"/>
    <cellStyle name="Normal 3 2 2 5 3 2 2 3 2 3" xfId="33929" xr:uid="{00000000-0005-0000-0000-0000C81B0000}"/>
    <cellStyle name="Normal 3 2 2 5 3 2 2 3 3" xfId="21026" xr:uid="{00000000-0005-0000-0000-0000C91B0000}"/>
    <cellStyle name="Normal 3 2 2 5 3 2 2 3 3 2" xfId="52897" xr:uid="{00000000-0005-0000-0000-0000CA1B0000}"/>
    <cellStyle name="Normal 3 2 2 5 3 2 2 3 4" xfId="33928" xr:uid="{00000000-0005-0000-0000-0000CB1B0000}"/>
    <cellStyle name="Normal 3 2 2 5 3 2 2 4" xfId="2051" xr:uid="{00000000-0005-0000-0000-0000CC1B0000}"/>
    <cellStyle name="Normal 3 2 2 5 3 2 2 4 2" xfId="24965" xr:uid="{00000000-0005-0000-0000-0000CD1B0000}"/>
    <cellStyle name="Normal 3 2 2 5 3 2 2 4 2 2" xfId="56836" xr:uid="{00000000-0005-0000-0000-0000CE1B0000}"/>
    <cellStyle name="Normal 3 2 2 5 3 2 2 4 3" xfId="33930" xr:uid="{00000000-0005-0000-0000-0000CF1B0000}"/>
    <cellStyle name="Normal 3 2 2 5 3 2 2 5" xfId="17087" xr:uid="{00000000-0005-0000-0000-0000D01B0000}"/>
    <cellStyle name="Normal 3 2 2 5 3 2 2 5 2" xfId="48958" xr:uid="{00000000-0005-0000-0000-0000D11B0000}"/>
    <cellStyle name="Normal 3 2 2 5 3 2 2 6" xfId="33923" xr:uid="{00000000-0005-0000-0000-0000D21B0000}"/>
    <cellStyle name="Normal 3 2 2 5 3 2 3" xfId="2052" xr:uid="{00000000-0005-0000-0000-0000D31B0000}"/>
    <cellStyle name="Normal 3 2 2 5 3 2 3 2" xfId="2053" xr:uid="{00000000-0005-0000-0000-0000D41B0000}"/>
    <cellStyle name="Normal 3 2 2 5 3 2 3 2 2" xfId="2054" xr:uid="{00000000-0005-0000-0000-0000D51B0000}"/>
    <cellStyle name="Normal 3 2 2 5 3 2 3 2 2 2" xfId="28906" xr:uid="{00000000-0005-0000-0000-0000D61B0000}"/>
    <cellStyle name="Normal 3 2 2 5 3 2 3 2 2 2 2" xfId="60777" xr:uid="{00000000-0005-0000-0000-0000D71B0000}"/>
    <cellStyle name="Normal 3 2 2 5 3 2 3 2 2 3" xfId="33933" xr:uid="{00000000-0005-0000-0000-0000D81B0000}"/>
    <cellStyle name="Normal 3 2 2 5 3 2 3 2 3" xfId="21028" xr:uid="{00000000-0005-0000-0000-0000D91B0000}"/>
    <cellStyle name="Normal 3 2 2 5 3 2 3 2 3 2" xfId="52899" xr:uid="{00000000-0005-0000-0000-0000DA1B0000}"/>
    <cellStyle name="Normal 3 2 2 5 3 2 3 2 4" xfId="33932" xr:uid="{00000000-0005-0000-0000-0000DB1B0000}"/>
    <cellStyle name="Normal 3 2 2 5 3 2 3 3" xfId="2055" xr:uid="{00000000-0005-0000-0000-0000DC1B0000}"/>
    <cellStyle name="Normal 3 2 2 5 3 2 3 3 2" xfId="24967" xr:uid="{00000000-0005-0000-0000-0000DD1B0000}"/>
    <cellStyle name="Normal 3 2 2 5 3 2 3 3 2 2" xfId="56838" xr:uid="{00000000-0005-0000-0000-0000DE1B0000}"/>
    <cellStyle name="Normal 3 2 2 5 3 2 3 3 3" xfId="33934" xr:uid="{00000000-0005-0000-0000-0000DF1B0000}"/>
    <cellStyle name="Normal 3 2 2 5 3 2 3 4" xfId="17089" xr:uid="{00000000-0005-0000-0000-0000E01B0000}"/>
    <cellStyle name="Normal 3 2 2 5 3 2 3 4 2" xfId="48960" xr:uid="{00000000-0005-0000-0000-0000E11B0000}"/>
    <cellStyle name="Normal 3 2 2 5 3 2 3 5" xfId="33931" xr:uid="{00000000-0005-0000-0000-0000E21B0000}"/>
    <cellStyle name="Normal 3 2 2 5 3 2 4" xfId="2056" xr:uid="{00000000-0005-0000-0000-0000E31B0000}"/>
    <cellStyle name="Normal 3 2 2 5 3 2 4 2" xfId="2057" xr:uid="{00000000-0005-0000-0000-0000E41B0000}"/>
    <cellStyle name="Normal 3 2 2 5 3 2 4 2 2" xfId="28903" xr:uid="{00000000-0005-0000-0000-0000E51B0000}"/>
    <cellStyle name="Normal 3 2 2 5 3 2 4 2 2 2" xfId="60774" xr:uid="{00000000-0005-0000-0000-0000E61B0000}"/>
    <cellStyle name="Normal 3 2 2 5 3 2 4 2 3" xfId="33936" xr:uid="{00000000-0005-0000-0000-0000E71B0000}"/>
    <cellStyle name="Normal 3 2 2 5 3 2 4 3" xfId="21025" xr:uid="{00000000-0005-0000-0000-0000E81B0000}"/>
    <cellStyle name="Normal 3 2 2 5 3 2 4 3 2" xfId="52896" xr:uid="{00000000-0005-0000-0000-0000E91B0000}"/>
    <cellStyle name="Normal 3 2 2 5 3 2 4 4" xfId="33935" xr:uid="{00000000-0005-0000-0000-0000EA1B0000}"/>
    <cellStyle name="Normal 3 2 2 5 3 2 5" xfId="2058" xr:uid="{00000000-0005-0000-0000-0000EB1B0000}"/>
    <cellStyle name="Normal 3 2 2 5 3 2 5 2" xfId="24964" xr:uid="{00000000-0005-0000-0000-0000EC1B0000}"/>
    <cellStyle name="Normal 3 2 2 5 3 2 5 2 2" xfId="56835" xr:uid="{00000000-0005-0000-0000-0000ED1B0000}"/>
    <cellStyle name="Normal 3 2 2 5 3 2 5 3" xfId="33937" xr:uid="{00000000-0005-0000-0000-0000EE1B0000}"/>
    <cellStyle name="Normal 3 2 2 5 3 2 6" xfId="17086" xr:uid="{00000000-0005-0000-0000-0000EF1B0000}"/>
    <cellStyle name="Normal 3 2 2 5 3 2 6 2" xfId="48957" xr:uid="{00000000-0005-0000-0000-0000F01B0000}"/>
    <cellStyle name="Normal 3 2 2 5 3 2 7" xfId="33922" xr:uid="{00000000-0005-0000-0000-0000F11B0000}"/>
    <cellStyle name="Normal 3 2 2 5 3 3" xfId="2059" xr:uid="{00000000-0005-0000-0000-0000F21B0000}"/>
    <cellStyle name="Normal 3 2 2 5 3 3 2" xfId="2060" xr:uid="{00000000-0005-0000-0000-0000F31B0000}"/>
    <cellStyle name="Normal 3 2 2 5 3 3 2 2" xfId="2061" xr:uid="{00000000-0005-0000-0000-0000F41B0000}"/>
    <cellStyle name="Normal 3 2 2 5 3 3 2 2 2" xfId="2062" xr:uid="{00000000-0005-0000-0000-0000F51B0000}"/>
    <cellStyle name="Normal 3 2 2 5 3 3 2 2 2 2" xfId="28908" xr:uid="{00000000-0005-0000-0000-0000F61B0000}"/>
    <cellStyle name="Normal 3 2 2 5 3 3 2 2 2 2 2" xfId="60779" xr:uid="{00000000-0005-0000-0000-0000F71B0000}"/>
    <cellStyle name="Normal 3 2 2 5 3 3 2 2 2 3" xfId="33941" xr:uid="{00000000-0005-0000-0000-0000F81B0000}"/>
    <cellStyle name="Normal 3 2 2 5 3 3 2 2 3" xfId="21030" xr:uid="{00000000-0005-0000-0000-0000F91B0000}"/>
    <cellStyle name="Normal 3 2 2 5 3 3 2 2 3 2" xfId="52901" xr:uid="{00000000-0005-0000-0000-0000FA1B0000}"/>
    <cellStyle name="Normal 3 2 2 5 3 3 2 2 4" xfId="33940" xr:uid="{00000000-0005-0000-0000-0000FB1B0000}"/>
    <cellStyle name="Normal 3 2 2 5 3 3 2 3" xfId="2063" xr:uid="{00000000-0005-0000-0000-0000FC1B0000}"/>
    <cellStyle name="Normal 3 2 2 5 3 3 2 3 2" xfId="24969" xr:uid="{00000000-0005-0000-0000-0000FD1B0000}"/>
    <cellStyle name="Normal 3 2 2 5 3 3 2 3 2 2" xfId="56840" xr:uid="{00000000-0005-0000-0000-0000FE1B0000}"/>
    <cellStyle name="Normal 3 2 2 5 3 3 2 3 3" xfId="33942" xr:uid="{00000000-0005-0000-0000-0000FF1B0000}"/>
    <cellStyle name="Normal 3 2 2 5 3 3 2 4" xfId="17091" xr:uid="{00000000-0005-0000-0000-0000001C0000}"/>
    <cellStyle name="Normal 3 2 2 5 3 3 2 4 2" xfId="48962" xr:uid="{00000000-0005-0000-0000-0000011C0000}"/>
    <cellStyle name="Normal 3 2 2 5 3 3 2 5" xfId="33939" xr:uid="{00000000-0005-0000-0000-0000021C0000}"/>
    <cellStyle name="Normal 3 2 2 5 3 3 3" xfId="2064" xr:uid="{00000000-0005-0000-0000-0000031C0000}"/>
    <cellStyle name="Normal 3 2 2 5 3 3 3 2" xfId="2065" xr:uid="{00000000-0005-0000-0000-0000041C0000}"/>
    <cellStyle name="Normal 3 2 2 5 3 3 3 2 2" xfId="28907" xr:uid="{00000000-0005-0000-0000-0000051C0000}"/>
    <cellStyle name="Normal 3 2 2 5 3 3 3 2 2 2" xfId="60778" xr:uid="{00000000-0005-0000-0000-0000061C0000}"/>
    <cellStyle name="Normal 3 2 2 5 3 3 3 2 3" xfId="33944" xr:uid="{00000000-0005-0000-0000-0000071C0000}"/>
    <cellStyle name="Normal 3 2 2 5 3 3 3 3" xfId="21029" xr:uid="{00000000-0005-0000-0000-0000081C0000}"/>
    <cellStyle name="Normal 3 2 2 5 3 3 3 3 2" xfId="52900" xr:uid="{00000000-0005-0000-0000-0000091C0000}"/>
    <cellStyle name="Normal 3 2 2 5 3 3 3 4" xfId="33943" xr:uid="{00000000-0005-0000-0000-00000A1C0000}"/>
    <cellStyle name="Normal 3 2 2 5 3 3 4" xfId="2066" xr:uid="{00000000-0005-0000-0000-00000B1C0000}"/>
    <cellStyle name="Normal 3 2 2 5 3 3 4 2" xfId="24968" xr:uid="{00000000-0005-0000-0000-00000C1C0000}"/>
    <cellStyle name="Normal 3 2 2 5 3 3 4 2 2" xfId="56839" xr:uid="{00000000-0005-0000-0000-00000D1C0000}"/>
    <cellStyle name="Normal 3 2 2 5 3 3 4 3" xfId="33945" xr:uid="{00000000-0005-0000-0000-00000E1C0000}"/>
    <cellStyle name="Normal 3 2 2 5 3 3 5" xfId="17090" xr:uid="{00000000-0005-0000-0000-00000F1C0000}"/>
    <cellStyle name="Normal 3 2 2 5 3 3 5 2" xfId="48961" xr:uid="{00000000-0005-0000-0000-0000101C0000}"/>
    <cellStyle name="Normal 3 2 2 5 3 3 6" xfId="33938" xr:uid="{00000000-0005-0000-0000-0000111C0000}"/>
    <cellStyle name="Normal 3 2 2 5 3 4" xfId="2067" xr:uid="{00000000-0005-0000-0000-0000121C0000}"/>
    <cellStyle name="Normal 3 2 2 5 3 4 2" xfId="2068" xr:uid="{00000000-0005-0000-0000-0000131C0000}"/>
    <cellStyle name="Normal 3 2 2 5 3 4 2 2" xfId="2069" xr:uid="{00000000-0005-0000-0000-0000141C0000}"/>
    <cellStyle name="Normal 3 2 2 5 3 4 2 2 2" xfId="28909" xr:uid="{00000000-0005-0000-0000-0000151C0000}"/>
    <cellStyle name="Normal 3 2 2 5 3 4 2 2 2 2" xfId="60780" xr:uid="{00000000-0005-0000-0000-0000161C0000}"/>
    <cellStyle name="Normal 3 2 2 5 3 4 2 2 3" xfId="33948" xr:uid="{00000000-0005-0000-0000-0000171C0000}"/>
    <cellStyle name="Normal 3 2 2 5 3 4 2 3" xfId="21031" xr:uid="{00000000-0005-0000-0000-0000181C0000}"/>
    <cellStyle name="Normal 3 2 2 5 3 4 2 3 2" xfId="52902" xr:uid="{00000000-0005-0000-0000-0000191C0000}"/>
    <cellStyle name="Normal 3 2 2 5 3 4 2 4" xfId="33947" xr:uid="{00000000-0005-0000-0000-00001A1C0000}"/>
    <cellStyle name="Normal 3 2 2 5 3 4 3" xfId="2070" xr:uid="{00000000-0005-0000-0000-00001B1C0000}"/>
    <cellStyle name="Normal 3 2 2 5 3 4 3 2" xfId="24970" xr:uid="{00000000-0005-0000-0000-00001C1C0000}"/>
    <cellStyle name="Normal 3 2 2 5 3 4 3 2 2" xfId="56841" xr:uid="{00000000-0005-0000-0000-00001D1C0000}"/>
    <cellStyle name="Normal 3 2 2 5 3 4 3 3" xfId="33949" xr:uid="{00000000-0005-0000-0000-00001E1C0000}"/>
    <cellStyle name="Normal 3 2 2 5 3 4 4" xfId="17092" xr:uid="{00000000-0005-0000-0000-00001F1C0000}"/>
    <cellStyle name="Normal 3 2 2 5 3 4 4 2" xfId="48963" xr:uid="{00000000-0005-0000-0000-0000201C0000}"/>
    <cellStyle name="Normal 3 2 2 5 3 4 5" xfId="33946" xr:uid="{00000000-0005-0000-0000-0000211C0000}"/>
    <cellStyle name="Normal 3 2 2 5 3 5" xfId="2071" xr:uid="{00000000-0005-0000-0000-0000221C0000}"/>
    <cellStyle name="Normal 3 2 2 5 3 5 2" xfId="2072" xr:uid="{00000000-0005-0000-0000-0000231C0000}"/>
    <cellStyle name="Normal 3 2 2 5 3 5 2 2" xfId="28902" xr:uid="{00000000-0005-0000-0000-0000241C0000}"/>
    <cellStyle name="Normal 3 2 2 5 3 5 2 2 2" xfId="60773" xr:uid="{00000000-0005-0000-0000-0000251C0000}"/>
    <cellStyle name="Normal 3 2 2 5 3 5 2 3" xfId="33951" xr:uid="{00000000-0005-0000-0000-0000261C0000}"/>
    <cellStyle name="Normal 3 2 2 5 3 5 3" xfId="21024" xr:uid="{00000000-0005-0000-0000-0000271C0000}"/>
    <cellStyle name="Normal 3 2 2 5 3 5 3 2" xfId="52895" xr:uid="{00000000-0005-0000-0000-0000281C0000}"/>
    <cellStyle name="Normal 3 2 2 5 3 5 4" xfId="33950" xr:uid="{00000000-0005-0000-0000-0000291C0000}"/>
    <cellStyle name="Normal 3 2 2 5 3 6" xfId="2073" xr:uid="{00000000-0005-0000-0000-00002A1C0000}"/>
    <cellStyle name="Normal 3 2 2 5 3 6 2" xfId="24963" xr:uid="{00000000-0005-0000-0000-00002B1C0000}"/>
    <cellStyle name="Normal 3 2 2 5 3 6 2 2" xfId="56834" xr:uid="{00000000-0005-0000-0000-00002C1C0000}"/>
    <cellStyle name="Normal 3 2 2 5 3 6 3" xfId="33952" xr:uid="{00000000-0005-0000-0000-00002D1C0000}"/>
    <cellStyle name="Normal 3 2 2 5 3 7" xfId="17085" xr:uid="{00000000-0005-0000-0000-00002E1C0000}"/>
    <cellStyle name="Normal 3 2 2 5 3 7 2" xfId="48956" xr:uid="{00000000-0005-0000-0000-00002F1C0000}"/>
    <cellStyle name="Normal 3 2 2 5 3 8" xfId="33921" xr:uid="{00000000-0005-0000-0000-0000301C0000}"/>
    <cellStyle name="Normal 3 2 2 5 4" xfId="2074" xr:uid="{00000000-0005-0000-0000-0000311C0000}"/>
    <cellStyle name="Normal 3 2 2 5 4 2" xfId="2075" xr:uid="{00000000-0005-0000-0000-0000321C0000}"/>
    <cellStyle name="Normal 3 2 2 5 4 2 2" xfId="2076" xr:uid="{00000000-0005-0000-0000-0000331C0000}"/>
    <cellStyle name="Normal 3 2 2 5 4 2 2 2" xfId="2077" xr:uid="{00000000-0005-0000-0000-0000341C0000}"/>
    <cellStyle name="Normal 3 2 2 5 4 2 2 2 2" xfId="2078" xr:uid="{00000000-0005-0000-0000-0000351C0000}"/>
    <cellStyle name="Normal 3 2 2 5 4 2 2 2 2 2" xfId="28912" xr:uid="{00000000-0005-0000-0000-0000361C0000}"/>
    <cellStyle name="Normal 3 2 2 5 4 2 2 2 2 2 2" xfId="60783" xr:uid="{00000000-0005-0000-0000-0000371C0000}"/>
    <cellStyle name="Normal 3 2 2 5 4 2 2 2 2 3" xfId="33957" xr:uid="{00000000-0005-0000-0000-0000381C0000}"/>
    <cellStyle name="Normal 3 2 2 5 4 2 2 2 3" xfId="21034" xr:uid="{00000000-0005-0000-0000-0000391C0000}"/>
    <cellStyle name="Normal 3 2 2 5 4 2 2 2 3 2" xfId="52905" xr:uid="{00000000-0005-0000-0000-00003A1C0000}"/>
    <cellStyle name="Normal 3 2 2 5 4 2 2 2 4" xfId="33956" xr:uid="{00000000-0005-0000-0000-00003B1C0000}"/>
    <cellStyle name="Normal 3 2 2 5 4 2 2 3" xfId="2079" xr:uid="{00000000-0005-0000-0000-00003C1C0000}"/>
    <cellStyle name="Normal 3 2 2 5 4 2 2 3 2" xfId="24973" xr:uid="{00000000-0005-0000-0000-00003D1C0000}"/>
    <cellStyle name="Normal 3 2 2 5 4 2 2 3 2 2" xfId="56844" xr:uid="{00000000-0005-0000-0000-00003E1C0000}"/>
    <cellStyle name="Normal 3 2 2 5 4 2 2 3 3" xfId="33958" xr:uid="{00000000-0005-0000-0000-00003F1C0000}"/>
    <cellStyle name="Normal 3 2 2 5 4 2 2 4" xfId="17095" xr:uid="{00000000-0005-0000-0000-0000401C0000}"/>
    <cellStyle name="Normal 3 2 2 5 4 2 2 4 2" xfId="48966" xr:uid="{00000000-0005-0000-0000-0000411C0000}"/>
    <cellStyle name="Normal 3 2 2 5 4 2 2 5" xfId="33955" xr:uid="{00000000-0005-0000-0000-0000421C0000}"/>
    <cellStyle name="Normal 3 2 2 5 4 2 3" xfId="2080" xr:uid="{00000000-0005-0000-0000-0000431C0000}"/>
    <cellStyle name="Normal 3 2 2 5 4 2 3 2" xfId="2081" xr:uid="{00000000-0005-0000-0000-0000441C0000}"/>
    <cellStyle name="Normal 3 2 2 5 4 2 3 2 2" xfId="28911" xr:uid="{00000000-0005-0000-0000-0000451C0000}"/>
    <cellStyle name="Normal 3 2 2 5 4 2 3 2 2 2" xfId="60782" xr:uid="{00000000-0005-0000-0000-0000461C0000}"/>
    <cellStyle name="Normal 3 2 2 5 4 2 3 2 3" xfId="33960" xr:uid="{00000000-0005-0000-0000-0000471C0000}"/>
    <cellStyle name="Normal 3 2 2 5 4 2 3 3" xfId="21033" xr:uid="{00000000-0005-0000-0000-0000481C0000}"/>
    <cellStyle name="Normal 3 2 2 5 4 2 3 3 2" xfId="52904" xr:uid="{00000000-0005-0000-0000-0000491C0000}"/>
    <cellStyle name="Normal 3 2 2 5 4 2 3 4" xfId="33959" xr:uid="{00000000-0005-0000-0000-00004A1C0000}"/>
    <cellStyle name="Normal 3 2 2 5 4 2 4" xfId="2082" xr:uid="{00000000-0005-0000-0000-00004B1C0000}"/>
    <cellStyle name="Normal 3 2 2 5 4 2 4 2" xfId="24972" xr:uid="{00000000-0005-0000-0000-00004C1C0000}"/>
    <cellStyle name="Normal 3 2 2 5 4 2 4 2 2" xfId="56843" xr:uid="{00000000-0005-0000-0000-00004D1C0000}"/>
    <cellStyle name="Normal 3 2 2 5 4 2 4 3" xfId="33961" xr:uid="{00000000-0005-0000-0000-00004E1C0000}"/>
    <cellStyle name="Normal 3 2 2 5 4 2 5" xfId="17094" xr:uid="{00000000-0005-0000-0000-00004F1C0000}"/>
    <cellStyle name="Normal 3 2 2 5 4 2 5 2" xfId="48965" xr:uid="{00000000-0005-0000-0000-0000501C0000}"/>
    <cellStyle name="Normal 3 2 2 5 4 2 6" xfId="33954" xr:uid="{00000000-0005-0000-0000-0000511C0000}"/>
    <cellStyle name="Normal 3 2 2 5 4 3" xfId="2083" xr:uid="{00000000-0005-0000-0000-0000521C0000}"/>
    <cellStyle name="Normal 3 2 2 5 4 3 2" xfId="2084" xr:uid="{00000000-0005-0000-0000-0000531C0000}"/>
    <cellStyle name="Normal 3 2 2 5 4 3 2 2" xfId="2085" xr:uid="{00000000-0005-0000-0000-0000541C0000}"/>
    <cellStyle name="Normal 3 2 2 5 4 3 2 2 2" xfId="28913" xr:uid="{00000000-0005-0000-0000-0000551C0000}"/>
    <cellStyle name="Normal 3 2 2 5 4 3 2 2 2 2" xfId="60784" xr:uid="{00000000-0005-0000-0000-0000561C0000}"/>
    <cellStyle name="Normal 3 2 2 5 4 3 2 2 3" xfId="33964" xr:uid="{00000000-0005-0000-0000-0000571C0000}"/>
    <cellStyle name="Normal 3 2 2 5 4 3 2 3" xfId="21035" xr:uid="{00000000-0005-0000-0000-0000581C0000}"/>
    <cellStyle name="Normal 3 2 2 5 4 3 2 3 2" xfId="52906" xr:uid="{00000000-0005-0000-0000-0000591C0000}"/>
    <cellStyle name="Normal 3 2 2 5 4 3 2 4" xfId="33963" xr:uid="{00000000-0005-0000-0000-00005A1C0000}"/>
    <cellStyle name="Normal 3 2 2 5 4 3 3" xfId="2086" xr:uid="{00000000-0005-0000-0000-00005B1C0000}"/>
    <cellStyle name="Normal 3 2 2 5 4 3 3 2" xfId="24974" xr:uid="{00000000-0005-0000-0000-00005C1C0000}"/>
    <cellStyle name="Normal 3 2 2 5 4 3 3 2 2" xfId="56845" xr:uid="{00000000-0005-0000-0000-00005D1C0000}"/>
    <cellStyle name="Normal 3 2 2 5 4 3 3 3" xfId="33965" xr:uid="{00000000-0005-0000-0000-00005E1C0000}"/>
    <cellStyle name="Normal 3 2 2 5 4 3 4" xfId="17096" xr:uid="{00000000-0005-0000-0000-00005F1C0000}"/>
    <cellStyle name="Normal 3 2 2 5 4 3 4 2" xfId="48967" xr:uid="{00000000-0005-0000-0000-0000601C0000}"/>
    <cellStyle name="Normal 3 2 2 5 4 3 5" xfId="33962" xr:uid="{00000000-0005-0000-0000-0000611C0000}"/>
    <cellStyle name="Normal 3 2 2 5 4 4" xfId="2087" xr:uid="{00000000-0005-0000-0000-0000621C0000}"/>
    <cellStyle name="Normal 3 2 2 5 4 4 2" xfId="2088" xr:uid="{00000000-0005-0000-0000-0000631C0000}"/>
    <cellStyle name="Normal 3 2 2 5 4 4 2 2" xfId="28910" xr:uid="{00000000-0005-0000-0000-0000641C0000}"/>
    <cellStyle name="Normal 3 2 2 5 4 4 2 2 2" xfId="60781" xr:uid="{00000000-0005-0000-0000-0000651C0000}"/>
    <cellStyle name="Normal 3 2 2 5 4 4 2 3" xfId="33967" xr:uid="{00000000-0005-0000-0000-0000661C0000}"/>
    <cellStyle name="Normal 3 2 2 5 4 4 3" xfId="21032" xr:uid="{00000000-0005-0000-0000-0000671C0000}"/>
    <cellStyle name="Normal 3 2 2 5 4 4 3 2" xfId="52903" xr:uid="{00000000-0005-0000-0000-0000681C0000}"/>
    <cellStyle name="Normal 3 2 2 5 4 4 4" xfId="33966" xr:uid="{00000000-0005-0000-0000-0000691C0000}"/>
    <cellStyle name="Normal 3 2 2 5 4 5" xfId="2089" xr:uid="{00000000-0005-0000-0000-00006A1C0000}"/>
    <cellStyle name="Normal 3 2 2 5 4 5 2" xfId="24971" xr:uid="{00000000-0005-0000-0000-00006B1C0000}"/>
    <cellStyle name="Normal 3 2 2 5 4 5 2 2" xfId="56842" xr:uid="{00000000-0005-0000-0000-00006C1C0000}"/>
    <cellStyle name="Normal 3 2 2 5 4 5 3" xfId="33968" xr:uid="{00000000-0005-0000-0000-00006D1C0000}"/>
    <cellStyle name="Normal 3 2 2 5 4 6" xfId="17093" xr:uid="{00000000-0005-0000-0000-00006E1C0000}"/>
    <cellStyle name="Normal 3 2 2 5 4 6 2" xfId="48964" xr:uid="{00000000-0005-0000-0000-00006F1C0000}"/>
    <cellStyle name="Normal 3 2 2 5 4 7" xfId="33953" xr:uid="{00000000-0005-0000-0000-0000701C0000}"/>
    <cellStyle name="Normal 3 2 2 5 5" xfId="2090" xr:uid="{00000000-0005-0000-0000-0000711C0000}"/>
    <cellStyle name="Normal 3 2 2 5 5 2" xfId="2091" xr:uid="{00000000-0005-0000-0000-0000721C0000}"/>
    <cellStyle name="Normal 3 2 2 5 5 2 2" xfId="2092" xr:uid="{00000000-0005-0000-0000-0000731C0000}"/>
    <cellStyle name="Normal 3 2 2 5 5 2 2 2" xfId="2093" xr:uid="{00000000-0005-0000-0000-0000741C0000}"/>
    <cellStyle name="Normal 3 2 2 5 5 2 2 2 2" xfId="28915" xr:uid="{00000000-0005-0000-0000-0000751C0000}"/>
    <cellStyle name="Normal 3 2 2 5 5 2 2 2 2 2" xfId="60786" xr:uid="{00000000-0005-0000-0000-0000761C0000}"/>
    <cellStyle name="Normal 3 2 2 5 5 2 2 2 3" xfId="33972" xr:uid="{00000000-0005-0000-0000-0000771C0000}"/>
    <cellStyle name="Normal 3 2 2 5 5 2 2 3" xfId="21037" xr:uid="{00000000-0005-0000-0000-0000781C0000}"/>
    <cellStyle name="Normal 3 2 2 5 5 2 2 3 2" xfId="52908" xr:uid="{00000000-0005-0000-0000-0000791C0000}"/>
    <cellStyle name="Normal 3 2 2 5 5 2 2 4" xfId="33971" xr:uid="{00000000-0005-0000-0000-00007A1C0000}"/>
    <cellStyle name="Normal 3 2 2 5 5 2 3" xfId="2094" xr:uid="{00000000-0005-0000-0000-00007B1C0000}"/>
    <cellStyle name="Normal 3 2 2 5 5 2 3 2" xfId="24976" xr:uid="{00000000-0005-0000-0000-00007C1C0000}"/>
    <cellStyle name="Normal 3 2 2 5 5 2 3 2 2" xfId="56847" xr:uid="{00000000-0005-0000-0000-00007D1C0000}"/>
    <cellStyle name="Normal 3 2 2 5 5 2 3 3" xfId="33973" xr:uid="{00000000-0005-0000-0000-00007E1C0000}"/>
    <cellStyle name="Normal 3 2 2 5 5 2 4" xfId="17098" xr:uid="{00000000-0005-0000-0000-00007F1C0000}"/>
    <cellStyle name="Normal 3 2 2 5 5 2 4 2" xfId="48969" xr:uid="{00000000-0005-0000-0000-0000801C0000}"/>
    <cellStyle name="Normal 3 2 2 5 5 2 5" xfId="33970" xr:uid="{00000000-0005-0000-0000-0000811C0000}"/>
    <cellStyle name="Normal 3 2 2 5 5 3" xfId="2095" xr:uid="{00000000-0005-0000-0000-0000821C0000}"/>
    <cellStyle name="Normal 3 2 2 5 5 3 2" xfId="2096" xr:uid="{00000000-0005-0000-0000-0000831C0000}"/>
    <cellStyle name="Normal 3 2 2 5 5 3 2 2" xfId="28914" xr:uid="{00000000-0005-0000-0000-0000841C0000}"/>
    <cellStyle name="Normal 3 2 2 5 5 3 2 2 2" xfId="60785" xr:uid="{00000000-0005-0000-0000-0000851C0000}"/>
    <cellStyle name="Normal 3 2 2 5 5 3 2 3" xfId="33975" xr:uid="{00000000-0005-0000-0000-0000861C0000}"/>
    <cellStyle name="Normal 3 2 2 5 5 3 3" xfId="21036" xr:uid="{00000000-0005-0000-0000-0000871C0000}"/>
    <cellStyle name="Normal 3 2 2 5 5 3 3 2" xfId="52907" xr:uid="{00000000-0005-0000-0000-0000881C0000}"/>
    <cellStyle name="Normal 3 2 2 5 5 3 4" xfId="33974" xr:uid="{00000000-0005-0000-0000-0000891C0000}"/>
    <cellStyle name="Normal 3 2 2 5 5 4" xfId="2097" xr:uid="{00000000-0005-0000-0000-00008A1C0000}"/>
    <cellStyle name="Normal 3 2 2 5 5 4 2" xfId="24975" xr:uid="{00000000-0005-0000-0000-00008B1C0000}"/>
    <cellStyle name="Normal 3 2 2 5 5 4 2 2" xfId="56846" xr:uid="{00000000-0005-0000-0000-00008C1C0000}"/>
    <cellStyle name="Normal 3 2 2 5 5 4 3" xfId="33976" xr:uid="{00000000-0005-0000-0000-00008D1C0000}"/>
    <cellStyle name="Normal 3 2 2 5 5 5" xfId="17097" xr:uid="{00000000-0005-0000-0000-00008E1C0000}"/>
    <cellStyle name="Normal 3 2 2 5 5 5 2" xfId="48968" xr:uid="{00000000-0005-0000-0000-00008F1C0000}"/>
    <cellStyle name="Normal 3 2 2 5 5 6" xfId="33969" xr:uid="{00000000-0005-0000-0000-0000901C0000}"/>
    <cellStyle name="Normal 3 2 2 5 6" xfId="2098" xr:uid="{00000000-0005-0000-0000-0000911C0000}"/>
    <cellStyle name="Normal 3 2 2 5 6 2" xfId="2099" xr:uid="{00000000-0005-0000-0000-0000921C0000}"/>
    <cellStyle name="Normal 3 2 2 5 6 2 2" xfId="2100" xr:uid="{00000000-0005-0000-0000-0000931C0000}"/>
    <cellStyle name="Normal 3 2 2 5 6 2 2 2" xfId="28916" xr:uid="{00000000-0005-0000-0000-0000941C0000}"/>
    <cellStyle name="Normal 3 2 2 5 6 2 2 2 2" xfId="60787" xr:uid="{00000000-0005-0000-0000-0000951C0000}"/>
    <cellStyle name="Normal 3 2 2 5 6 2 2 3" xfId="33979" xr:uid="{00000000-0005-0000-0000-0000961C0000}"/>
    <cellStyle name="Normal 3 2 2 5 6 2 3" xfId="21038" xr:uid="{00000000-0005-0000-0000-0000971C0000}"/>
    <cellStyle name="Normal 3 2 2 5 6 2 3 2" xfId="52909" xr:uid="{00000000-0005-0000-0000-0000981C0000}"/>
    <cellStyle name="Normal 3 2 2 5 6 2 4" xfId="33978" xr:uid="{00000000-0005-0000-0000-0000991C0000}"/>
    <cellStyle name="Normal 3 2 2 5 6 3" xfId="2101" xr:uid="{00000000-0005-0000-0000-00009A1C0000}"/>
    <cellStyle name="Normal 3 2 2 5 6 3 2" xfId="24977" xr:uid="{00000000-0005-0000-0000-00009B1C0000}"/>
    <cellStyle name="Normal 3 2 2 5 6 3 2 2" xfId="56848" xr:uid="{00000000-0005-0000-0000-00009C1C0000}"/>
    <cellStyle name="Normal 3 2 2 5 6 3 3" xfId="33980" xr:uid="{00000000-0005-0000-0000-00009D1C0000}"/>
    <cellStyle name="Normal 3 2 2 5 6 4" xfId="17099" xr:uid="{00000000-0005-0000-0000-00009E1C0000}"/>
    <cellStyle name="Normal 3 2 2 5 6 4 2" xfId="48970" xr:uid="{00000000-0005-0000-0000-00009F1C0000}"/>
    <cellStyle name="Normal 3 2 2 5 6 5" xfId="33977" xr:uid="{00000000-0005-0000-0000-0000A01C0000}"/>
    <cellStyle name="Normal 3 2 2 5 7" xfId="2102" xr:uid="{00000000-0005-0000-0000-0000A11C0000}"/>
    <cellStyle name="Normal 3 2 2 5 7 2" xfId="2103" xr:uid="{00000000-0005-0000-0000-0000A21C0000}"/>
    <cellStyle name="Normal 3 2 2 5 7 2 2" xfId="28304" xr:uid="{00000000-0005-0000-0000-0000A31C0000}"/>
    <cellStyle name="Normal 3 2 2 5 7 2 2 2" xfId="60175" xr:uid="{00000000-0005-0000-0000-0000A41C0000}"/>
    <cellStyle name="Normal 3 2 2 5 7 2 3" xfId="33982" xr:uid="{00000000-0005-0000-0000-0000A51C0000}"/>
    <cellStyle name="Normal 3 2 2 5 7 3" xfId="20426" xr:uid="{00000000-0005-0000-0000-0000A61C0000}"/>
    <cellStyle name="Normal 3 2 2 5 7 3 2" xfId="52297" xr:uid="{00000000-0005-0000-0000-0000A71C0000}"/>
    <cellStyle name="Normal 3 2 2 5 7 4" xfId="33981" xr:uid="{00000000-0005-0000-0000-0000A81C0000}"/>
    <cellStyle name="Normal 3 2 2 5 8" xfId="2104" xr:uid="{00000000-0005-0000-0000-0000A91C0000}"/>
    <cellStyle name="Normal 3 2 2 5 8 2" xfId="24365" xr:uid="{00000000-0005-0000-0000-0000AA1C0000}"/>
    <cellStyle name="Normal 3 2 2 5 8 2 2" xfId="56236" xr:uid="{00000000-0005-0000-0000-0000AB1C0000}"/>
    <cellStyle name="Normal 3 2 2 5 8 3" xfId="33983" xr:uid="{00000000-0005-0000-0000-0000AC1C0000}"/>
    <cellStyle name="Normal 3 2 2 5 9" xfId="16487" xr:uid="{00000000-0005-0000-0000-0000AD1C0000}"/>
    <cellStyle name="Normal 3 2 2 5 9 2" xfId="48358" xr:uid="{00000000-0005-0000-0000-0000AE1C0000}"/>
    <cellStyle name="Normal 3 2 2 6" xfId="2105" xr:uid="{00000000-0005-0000-0000-0000AF1C0000}"/>
    <cellStyle name="Normal 3 2 2 6 10" xfId="33984" xr:uid="{00000000-0005-0000-0000-0000B01C0000}"/>
    <cellStyle name="Normal 3 2 2 6 2" xfId="2106" xr:uid="{00000000-0005-0000-0000-0000B11C0000}"/>
    <cellStyle name="Normal 3 2 2 6 2 2" xfId="2107" xr:uid="{00000000-0005-0000-0000-0000B21C0000}"/>
    <cellStyle name="Normal 3 2 2 6 2 2 2" xfId="2108" xr:uid="{00000000-0005-0000-0000-0000B31C0000}"/>
    <cellStyle name="Normal 3 2 2 6 2 2 2 2" xfId="2109" xr:uid="{00000000-0005-0000-0000-0000B41C0000}"/>
    <cellStyle name="Normal 3 2 2 6 2 2 2 2 2" xfId="2110" xr:uid="{00000000-0005-0000-0000-0000B51C0000}"/>
    <cellStyle name="Normal 3 2 2 6 2 2 2 2 2 2" xfId="2111" xr:uid="{00000000-0005-0000-0000-0000B61C0000}"/>
    <cellStyle name="Normal 3 2 2 6 2 2 2 2 2 2 2" xfId="2112" xr:uid="{00000000-0005-0000-0000-0000B71C0000}"/>
    <cellStyle name="Normal 3 2 2 6 2 2 2 2 2 2 2 2" xfId="28920" xr:uid="{00000000-0005-0000-0000-0000B81C0000}"/>
    <cellStyle name="Normal 3 2 2 6 2 2 2 2 2 2 2 2 2" xfId="60791" xr:uid="{00000000-0005-0000-0000-0000B91C0000}"/>
    <cellStyle name="Normal 3 2 2 6 2 2 2 2 2 2 2 3" xfId="33991" xr:uid="{00000000-0005-0000-0000-0000BA1C0000}"/>
    <cellStyle name="Normal 3 2 2 6 2 2 2 2 2 2 3" xfId="21042" xr:uid="{00000000-0005-0000-0000-0000BB1C0000}"/>
    <cellStyle name="Normal 3 2 2 6 2 2 2 2 2 2 3 2" xfId="52913" xr:uid="{00000000-0005-0000-0000-0000BC1C0000}"/>
    <cellStyle name="Normal 3 2 2 6 2 2 2 2 2 2 4" xfId="33990" xr:uid="{00000000-0005-0000-0000-0000BD1C0000}"/>
    <cellStyle name="Normal 3 2 2 6 2 2 2 2 2 3" xfId="2113" xr:uid="{00000000-0005-0000-0000-0000BE1C0000}"/>
    <cellStyle name="Normal 3 2 2 6 2 2 2 2 2 3 2" xfId="24981" xr:uid="{00000000-0005-0000-0000-0000BF1C0000}"/>
    <cellStyle name="Normal 3 2 2 6 2 2 2 2 2 3 2 2" xfId="56852" xr:uid="{00000000-0005-0000-0000-0000C01C0000}"/>
    <cellStyle name="Normal 3 2 2 6 2 2 2 2 2 3 3" xfId="33992" xr:uid="{00000000-0005-0000-0000-0000C11C0000}"/>
    <cellStyle name="Normal 3 2 2 6 2 2 2 2 2 4" xfId="17103" xr:uid="{00000000-0005-0000-0000-0000C21C0000}"/>
    <cellStyle name="Normal 3 2 2 6 2 2 2 2 2 4 2" xfId="48974" xr:uid="{00000000-0005-0000-0000-0000C31C0000}"/>
    <cellStyle name="Normal 3 2 2 6 2 2 2 2 2 5" xfId="33989" xr:uid="{00000000-0005-0000-0000-0000C41C0000}"/>
    <cellStyle name="Normal 3 2 2 6 2 2 2 2 3" xfId="2114" xr:uid="{00000000-0005-0000-0000-0000C51C0000}"/>
    <cellStyle name="Normal 3 2 2 6 2 2 2 2 3 2" xfId="2115" xr:uid="{00000000-0005-0000-0000-0000C61C0000}"/>
    <cellStyle name="Normal 3 2 2 6 2 2 2 2 3 2 2" xfId="28919" xr:uid="{00000000-0005-0000-0000-0000C71C0000}"/>
    <cellStyle name="Normal 3 2 2 6 2 2 2 2 3 2 2 2" xfId="60790" xr:uid="{00000000-0005-0000-0000-0000C81C0000}"/>
    <cellStyle name="Normal 3 2 2 6 2 2 2 2 3 2 3" xfId="33994" xr:uid="{00000000-0005-0000-0000-0000C91C0000}"/>
    <cellStyle name="Normal 3 2 2 6 2 2 2 2 3 3" xfId="21041" xr:uid="{00000000-0005-0000-0000-0000CA1C0000}"/>
    <cellStyle name="Normal 3 2 2 6 2 2 2 2 3 3 2" xfId="52912" xr:uid="{00000000-0005-0000-0000-0000CB1C0000}"/>
    <cellStyle name="Normal 3 2 2 6 2 2 2 2 3 4" xfId="33993" xr:uid="{00000000-0005-0000-0000-0000CC1C0000}"/>
    <cellStyle name="Normal 3 2 2 6 2 2 2 2 4" xfId="2116" xr:uid="{00000000-0005-0000-0000-0000CD1C0000}"/>
    <cellStyle name="Normal 3 2 2 6 2 2 2 2 4 2" xfId="24980" xr:uid="{00000000-0005-0000-0000-0000CE1C0000}"/>
    <cellStyle name="Normal 3 2 2 6 2 2 2 2 4 2 2" xfId="56851" xr:uid="{00000000-0005-0000-0000-0000CF1C0000}"/>
    <cellStyle name="Normal 3 2 2 6 2 2 2 2 4 3" xfId="33995" xr:uid="{00000000-0005-0000-0000-0000D01C0000}"/>
    <cellStyle name="Normal 3 2 2 6 2 2 2 2 5" xfId="17102" xr:uid="{00000000-0005-0000-0000-0000D11C0000}"/>
    <cellStyle name="Normal 3 2 2 6 2 2 2 2 5 2" xfId="48973" xr:uid="{00000000-0005-0000-0000-0000D21C0000}"/>
    <cellStyle name="Normal 3 2 2 6 2 2 2 2 6" xfId="33988" xr:uid="{00000000-0005-0000-0000-0000D31C0000}"/>
    <cellStyle name="Normal 3 2 2 6 2 2 2 3" xfId="2117" xr:uid="{00000000-0005-0000-0000-0000D41C0000}"/>
    <cellStyle name="Normal 3 2 2 6 2 2 2 3 2" xfId="2118" xr:uid="{00000000-0005-0000-0000-0000D51C0000}"/>
    <cellStyle name="Normal 3 2 2 6 2 2 2 3 2 2" xfId="2119" xr:uid="{00000000-0005-0000-0000-0000D61C0000}"/>
    <cellStyle name="Normal 3 2 2 6 2 2 2 3 2 2 2" xfId="28921" xr:uid="{00000000-0005-0000-0000-0000D71C0000}"/>
    <cellStyle name="Normal 3 2 2 6 2 2 2 3 2 2 2 2" xfId="60792" xr:uid="{00000000-0005-0000-0000-0000D81C0000}"/>
    <cellStyle name="Normal 3 2 2 6 2 2 2 3 2 2 3" xfId="33998" xr:uid="{00000000-0005-0000-0000-0000D91C0000}"/>
    <cellStyle name="Normal 3 2 2 6 2 2 2 3 2 3" xfId="21043" xr:uid="{00000000-0005-0000-0000-0000DA1C0000}"/>
    <cellStyle name="Normal 3 2 2 6 2 2 2 3 2 3 2" xfId="52914" xr:uid="{00000000-0005-0000-0000-0000DB1C0000}"/>
    <cellStyle name="Normal 3 2 2 6 2 2 2 3 2 4" xfId="33997" xr:uid="{00000000-0005-0000-0000-0000DC1C0000}"/>
    <cellStyle name="Normal 3 2 2 6 2 2 2 3 3" xfId="2120" xr:uid="{00000000-0005-0000-0000-0000DD1C0000}"/>
    <cellStyle name="Normal 3 2 2 6 2 2 2 3 3 2" xfId="24982" xr:uid="{00000000-0005-0000-0000-0000DE1C0000}"/>
    <cellStyle name="Normal 3 2 2 6 2 2 2 3 3 2 2" xfId="56853" xr:uid="{00000000-0005-0000-0000-0000DF1C0000}"/>
    <cellStyle name="Normal 3 2 2 6 2 2 2 3 3 3" xfId="33999" xr:uid="{00000000-0005-0000-0000-0000E01C0000}"/>
    <cellStyle name="Normal 3 2 2 6 2 2 2 3 4" xfId="17104" xr:uid="{00000000-0005-0000-0000-0000E11C0000}"/>
    <cellStyle name="Normal 3 2 2 6 2 2 2 3 4 2" xfId="48975" xr:uid="{00000000-0005-0000-0000-0000E21C0000}"/>
    <cellStyle name="Normal 3 2 2 6 2 2 2 3 5" xfId="33996" xr:uid="{00000000-0005-0000-0000-0000E31C0000}"/>
    <cellStyle name="Normal 3 2 2 6 2 2 2 4" xfId="2121" xr:uid="{00000000-0005-0000-0000-0000E41C0000}"/>
    <cellStyle name="Normal 3 2 2 6 2 2 2 4 2" xfId="2122" xr:uid="{00000000-0005-0000-0000-0000E51C0000}"/>
    <cellStyle name="Normal 3 2 2 6 2 2 2 4 2 2" xfId="28918" xr:uid="{00000000-0005-0000-0000-0000E61C0000}"/>
    <cellStyle name="Normal 3 2 2 6 2 2 2 4 2 2 2" xfId="60789" xr:uid="{00000000-0005-0000-0000-0000E71C0000}"/>
    <cellStyle name="Normal 3 2 2 6 2 2 2 4 2 3" xfId="34001" xr:uid="{00000000-0005-0000-0000-0000E81C0000}"/>
    <cellStyle name="Normal 3 2 2 6 2 2 2 4 3" xfId="21040" xr:uid="{00000000-0005-0000-0000-0000E91C0000}"/>
    <cellStyle name="Normal 3 2 2 6 2 2 2 4 3 2" xfId="52911" xr:uid="{00000000-0005-0000-0000-0000EA1C0000}"/>
    <cellStyle name="Normal 3 2 2 6 2 2 2 4 4" xfId="34000" xr:uid="{00000000-0005-0000-0000-0000EB1C0000}"/>
    <cellStyle name="Normal 3 2 2 6 2 2 2 5" xfId="2123" xr:uid="{00000000-0005-0000-0000-0000EC1C0000}"/>
    <cellStyle name="Normal 3 2 2 6 2 2 2 5 2" xfId="24979" xr:uid="{00000000-0005-0000-0000-0000ED1C0000}"/>
    <cellStyle name="Normal 3 2 2 6 2 2 2 5 2 2" xfId="56850" xr:uid="{00000000-0005-0000-0000-0000EE1C0000}"/>
    <cellStyle name="Normal 3 2 2 6 2 2 2 5 3" xfId="34002" xr:uid="{00000000-0005-0000-0000-0000EF1C0000}"/>
    <cellStyle name="Normal 3 2 2 6 2 2 2 6" xfId="17101" xr:uid="{00000000-0005-0000-0000-0000F01C0000}"/>
    <cellStyle name="Normal 3 2 2 6 2 2 2 6 2" xfId="48972" xr:uid="{00000000-0005-0000-0000-0000F11C0000}"/>
    <cellStyle name="Normal 3 2 2 6 2 2 2 7" xfId="33987" xr:uid="{00000000-0005-0000-0000-0000F21C0000}"/>
    <cellStyle name="Normal 3 2 2 6 2 2 3" xfId="2124" xr:uid="{00000000-0005-0000-0000-0000F31C0000}"/>
    <cellStyle name="Normal 3 2 2 6 2 2 3 2" xfId="2125" xr:uid="{00000000-0005-0000-0000-0000F41C0000}"/>
    <cellStyle name="Normal 3 2 2 6 2 2 3 2 2" xfId="2126" xr:uid="{00000000-0005-0000-0000-0000F51C0000}"/>
    <cellStyle name="Normal 3 2 2 6 2 2 3 2 2 2" xfId="2127" xr:uid="{00000000-0005-0000-0000-0000F61C0000}"/>
    <cellStyle name="Normal 3 2 2 6 2 2 3 2 2 2 2" xfId="28923" xr:uid="{00000000-0005-0000-0000-0000F71C0000}"/>
    <cellStyle name="Normal 3 2 2 6 2 2 3 2 2 2 2 2" xfId="60794" xr:uid="{00000000-0005-0000-0000-0000F81C0000}"/>
    <cellStyle name="Normal 3 2 2 6 2 2 3 2 2 2 3" xfId="34006" xr:uid="{00000000-0005-0000-0000-0000F91C0000}"/>
    <cellStyle name="Normal 3 2 2 6 2 2 3 2 2 3" xfId="21045" xr:uid="{00000000-0005-0000-0000-0000FA1C0000}"/>
    <cellStyle name="Normal 3 2 2 6 2 2 3 2 2 3 2" xfId="52916" xr:uid="{00000000-0005-0000-0000-0000FB1C0000}"/>
    <cellStyle name="Normal 3 2 2 6 2 2 3 2 2 4" xfId="34005" xr:uid="{00000000-0005-0000-0000-0000FC1C0000}"/>
    <cellStyle name="Normal 3 2 2 6 2 2 3 2 3" xfId="2128" xr:uid="{00000000-0005-0000-0000-0000FD1C0000}"/>
    <cellStyle name="Normal 3 2 2 6 2 2 3 2 3 2" xfId="24984" xr:uid="{00000000-0005-0000-0000-0000FE1C0000}"/>
    <cellStyle name="Normal 3 2 2 6 2 2 3 2 3 2 2" xfId="56855" xr:uid="{00000000-0005-0000-0000-0000FF1C0000}"/>
    <cellStyle name="Normal 3 2 2 6 2 2 3 2 3 3" xfId="34007" xr:uid="{00000000-0005-0000-0000-0000001D0000}"/>
    <cellStyle name="Normal 3 2 2 6 2 2 3 2 4" xfId="17106" xr:uid="{00000000-0005-0000-0000-0000011D0000}"/>
    <cellStyle name="Normal 3 2 2 6 2 2 3 2 4 2" xfId="48977" xr:uid="{00000000-0005-0000-0000-0000021D0000}"/>
    <cellStyle name="Normal 3 2 2 6 2 2 3 2 5" xfId="34004" xr:uid="{00000000-0005-0000-0000-0000031D0000}"/>
    <cellStyle name="Normal 3 2 2 6 2 2 3 3" xfId="2129" xr:uid="{00000000-0005-0000-0000-0000041D0000}"/>
    <cellStyle name="Normal 3 2 2 6 2 2 3 3 2" xfId="2130" xr:uid="{00000000-0005-0000-0000-0000051D0000}"/>
    <cellStyle name="Normal 3 2 2 6 2 2 3 3 2 2" xfId="28922" xr:uid="{00000000-0005-0000-0000-0000061D0000}"/>
    <cellStyle name="Normal 3 2 2 6 2 2 3 3 2 2 2" xfId="60793" xr:uid="{00000000-0005-0000-0000-0000071D0000}"/>
    <cellStyle name="Normal 3 2 2 6 2 2 3 3 2 3" xfId="34009" xr:uid="{00000000-0005-0000-0000-0000081D0000}"/>
    <cellStyle name="Normal 3 2 2 6 2 2 3 3 3" xfId="21044" xr:uid="{00000000-0005-0000-0000-0000091D0000}"/>
    <cellStyle name="Normal 3 2 2 6 2 2 3 3 3 2" xfId="52915" xr:uid="{00000000-0005-0000-0000-00000A1D0000}"/>
    <cellStyle name="Normal 3 2 2 6 2 2 3 3 4" xfId="34008" xr:uid="{00000000-0005-0000-0000-00000B1D0000}"/>
    <cellStyle name="Normal 3 2 2 6 2 2 3 4" xfId="2131" xr:uid="{00000000-0005-0000-0000-00000C1D0000}"/>
    <cellStyle name="Normal 3 2 2 6 2 2 3 4 2" xfId="24983" xr:uid="{00000000-0005-0000-0000-00000D1D0000}"/>
    <cellStyle name="Normal 3 2 2 6 2 2 3 4 2 2" xfId="56854" xr:uid="{00000000-0005-0000-0000-00000E1D0000}"/>
    <cellStyle name="Normal 3 2 2 6 2 2 3 4 3" xfId="34010" xr:uid="{00000000-0005-0000-0000-00000F1D0000}"/>
    <cellStyle name="Normal 3 2 2 6 2 2 3 5" xfId="17105" xr:uid="{00000000-0005-0000-0000-0000101D0000}"/>
    <cellStyle name="Normal 3 2 2 6 2 2 3 5 2" xfId="48976" xr:uid="{00000000-0005-0000-0000-0000111D0000}"/>
    <cellStyle name="Normal 3 2 2 6 2 2 3 6" xfId="34003" xr:uid="{00000000-0005-0000-0000-0000121D0000}"/>
    <cellStyle name="Normal 3 2 2 6 2 2 4" xfId="2132" xr:uid="{00000000-0005-0000-0000-0000131D0000}"/>
    <cellStyle name="Normal 3 2 2 6 2 2 4 2" xfId="2133" xr:uid="{00000000-0005-0000-0000-0000141D0000}"/>
    <cellStyle name="Normal 3 2 2 6 2 2 4 2 2" xfId="2134" xr:uid="{00000000-0005-0000-0000-0000151D0000}"/>
    <cellStyle name="Normal 3 2 2 6 2 2 4 2 2 2" xfId="28924" xr:uid="{00000000-0005-0000-0000-0000161D0000}"/>
    <cellStyle name="Normal 3 2 2 6 2 2 4 2 2 2 2" xfId="60795" xr:uid="{00000000-0005-0000-0000-0000171D0000}"/>
    <cellStyle name="Normal 3 2 2 6 2 2 4 2 2 3" xfId="34013" xr:uid="{00000000-0005-0000-0000-0000181D0000}"/>
    <cellStyle name="Normal 3 2 2 6 2 2 4 2 3" xfId="21046" xr:uid="{00000000-0005-0000-0000-0000191D0000}"/>
    <cellStyle name="Normal 3 2 2 6 2 2 4 2 3 2" xfId="52917" xr:uid="{00000000-0005-0000-0000-00001A1D0000}"/>
    <cellStyle name="Normal 3 2 2 6 2 2 4 2 4" xfId="34012" xr:uid="{00000000-0005-0000-0000-00001B1D0000}"/>
    <cellStyle name="Normal 3 2 2 6 2 2 4 3" xfId="2135" xr:uid="{00000000-0005-0000-0000-00001C1D0000}"/>
    <cellStyle name="Normal 3 2 2 6 2 2 4 3 2" xfId="24985" xr:uid="{00000000-0005-0000-0000-00001D1D0000}"/>
    <cellStyle name="Normal 3 2 2 6 2 2 4 3 2 2" xfId="56856" xr:uid="{00000000-0005-0000-0000-00001E1D0000}"/>
    <cellStyle name="Normal 3 2 2 6 2 2 4 3 3" xfId="34014" xr:uid="{00000000-0005-0000-0000-00001F1D0000}"/>
    <cellStyle name="Normal 3 2 2 6 2 2 4 4" xfId="17107" xr:uid="{00000000-0005-0000-0000-0000201D0000}"/>
    <cellStyle name="Normal 3 2 2 6 2 2 4 4 2" xfId="48978" xr:uid="{00000000-0005-0000-0000-0000211D0000}"/>
    <cellStyle name="Normal 3 2 2 6 2 2 4 5" xfId="34011" xr:uid="{00000000-0005-0000-0000-0000221D0000}"/>
    <cellStyle name="Normal 3 2 2 6 2 2 5" xfId="2136" xr:uid="{00000000-0005-0000-0000-0000231D0000}"/>
    <cellStyle name="Normal 3 2 2 6 2 2 5 2" xfId="2137" xr:uid="{00000000-0005-0000-0000-0000241D0000}"/>
    <cellStyle name="Normal 3 2 2 6 2 2 5 2 2" xfId="28917" xr:uid="{00000000-0005-0000-0000-0000251D0000}"/>
    <cellStyle name="Normal 3 2 2 6 2 2 5 2 2 2" xfId="60788" xr:uid="{00000000-0005-0000-0000-0000261D0000}"/>
    <cellStyle name="Normal 3 2 2 6 2 2 5 2 3" xfId="34016" xr:uid="{00000000-0005-0000-0000-0000271D0000}"/>
    <cellStyle name="Normal 3 2 2 6 2 2 5 3" xfId="21039" xr:uid="{00000000-0005-0000-0000-0000281D0000}"/>
    <cellStyle name="Normal 3 2 2 6 2 2 5 3 2" xfId="52910" xr:uid="{00000000-0005-0000-0000-0000291D0000}"/>
    <cellStyle name="Normal 3 2 2 6 2 2 5 4" xfId="34015" xr:uid="{00000000-0005-0000-0000-00002A1D0000}"/>
    <cellStyle name="Normal 3 2 2 6 2 2 6" xfId="2138" xr:uid="{00000000-0005-0000-0000-00002B1D0000}"/>
    <cellStyle name="Normal 3 2 2 6 2 2 6 2" xfId="24978" xr:uid="{00000000-0005-0000-0000-00002C1D0000}"/>
    <cellStyle name="Normal 3 2 2 6 2 2 6 2 2" xfId="56849" xr:uid="{00000000-0005-0000-0000-00002D1D0000}"/>
    <cellStyle name="Normal 3 2 2 6 2 2 6 3" xfId="34017" xr:uid="{00000000-0005-0000-0000-00002E1D0000}"/>
    <cellStyle name="Normal 3 2 2 6 2 2 7" xfId="17100" xr:uid="{00000000-0005-0000-0000-00002F1D0000}"/>
    <cellStyle name="Normal 3 2 2 6 2 2 7 2" xfId="48971" xr:uid="{00000000-0005-0000-0000-0000301D0000}"/>
    <cellStyle name="Normal 3 2 2 6 2 2 8" xfId="33986" xr:uid="{00000000-0005-0000-0000-0000311D0000}"/>
    <cellStyle name="Normal 3 2 2 6 2 3" xfId="2139" xr:uid="{00000000-0005-0000-0000-0000321D0000}"/>
    <cellStyle name="Normal 3 2 2 6 2 3 2" xfId="2140" xr:uid="{00000000-0005-0000-0000-0000331D0000}"/>
    <cellStyle name="Normal 3 2 2 6 2 3 2 2" xfId="2141" xr:uid="{00000000-0005-0000-0000-0000341D0000}"/>
    <cellStyle name="Normal 3 2 2 6 2 3 2 2 2" xfId="2142" xr:uid="{00000000-0005-0000-0000-0000351D0000}"/>
    <cellStyle name="Normal 3 2 2 6 2 3 2 2 2 2" xfId="2143" xr:uid="{00000000-0005-0000-0000-0000361D0000}"/>
    <cellStyle name="Normal 3 2 2 6 2 3 2 2 2 2 2" xfId="28927" xr:uid="{00000000-0005-0000-0000-0000371D0000}"/>
    <cellStyle name="Normal 3 2 2 6 2 3 2 2 2 2 2 2" xfId="60798" xr:uid="{00000000-0005-0000-0000-0000381D0000}"/>
    <cellStyle name="Normal 3 2 2 6 2 3 2 2 2 2 3" xfId="34022" xr:uid="{00000000-0005-0000-0000-0000391D0000}"/>
    <cellStyle name="Normal 3 2 2 6 2 3 2 2 2 3" xfId="21049" xr:uid="{00000000-0005-0000-0000-00003A1D0000}"/>
    <cellStyle name="Normal 3 2 2 6 2 3 2 2 2 3 2" xfId="52920" xr:uid="{00000000-0005-0000-0000-00003B1D0000}"/>
    <cellStyle name="Normal 3 2 2 6 2 3 2 2 2 4" xfId="34021" xr:uid="{00000000-0005-0000-0000-00003C1D0000}"/>
    <cellStyle name="Normal 3 2 2 6 2 3 2 2 3" xfId="2144" xr:uid="{00000000-0005-0000-0000-00003D1D0000}"/>
    <cellStyle name="Normal 3 2 2 6 2 3 2 2 3 2" xfId="24988" xr:uid="{00000000-0005-0000-0000-00003E1D0000}"/>
    <cellStyle name="Normal 3 2 2 6 2 3 2 2 3 2 2" xfId="56859" xr:uid="{00000000-0005-0000-0000-00003F1D0000}"/>
    <cellStyle name="Normal 3 2 2 6 2 3 2 2 3 3" xfId="34023" xr:uid="{00000000-0005-0000-0000-0000401D0000}"/>
    <cellStyle name="Normal 3 2 2 6 2 3 2 2 4" xfId="17110" xr:uid="{00000000-0005-0000-0000-0000411D0000}"/>
    <cellStyle name="Normal 3 2 2 6 2 3 2 2 4 2" xfId="48981" xr:uid="{00000000-0005-0000-0000-0000421D0000}"/>
    <cellStyle name="Normal 3 2 2 6 2 3 2 2 5" xfId="34020" xr:uid="{00000000-0005-0000-0000-0000431D0000}"/>
    <cellStyle name="Normal 3 2 2 6 2 3 2 3" xfId="2145" xr:uid="{00000000-0005-0000-0000-0000441D0000}"/>
    <cellStyle name="Normal 3 2 2 6 2 3 2 3 2" xfId="2146" xr:uid="{00000000-0005-0000-0000-0000451D0000}"/>
    <cellStyle name="Normal 3 2 2 6 2 3 2 3 2 2" xfId="28926" xr:uid="{00000000-0005-0000-0000-0000461D0000}"/>
    <cellStyle name="Normal 3 2 2 6 2 3 2 3 2 2 2" xfId="60797" xr:uid="{00000000-0005-0000-0000-0000471D0000}"/>
    <cellStyle name="Normal 3 2 2 6 2 3 2 3 2 3" xfId="34025" xr:uid="{00000000-0005-0000-0000-0000481D0000}"/>
    <cellStyle name="Normal 3 2 2 6 2 3 2 3 3" xfId="21048" xr:uid="{00000000-0005-0000-0000-0000491D0000}"/>
    <cellStyle name="Normal 3 2 2 6 2 3 2 3 3 2" xfId="52919" xr:uid="{00000000-0005-0000-0000-00004A1D0000}"/>
    <cellStyle name="Normal 3 2 2 6 2 3 2 3 4" xfId="34024" xr:uid="{00000000-0005-0000-0000-00004B1D0000}"/>
    <cellStyle name="Normal 3 2 2 6 2 3 2 4" xfId="2147" xr:uid="{00000000-0005-0000-0000-00004C1D0000}"/>
    <cellStyle name="Normal 3 2 2 6 2 3 2 4 2" xfId="24987" xr:uid="{00000000-0005-0000-0000-00004D1D0000}"/>
    <cellStyle name="Normal 3 2 2 6 2 3 2 4 2 2" xfId="56858" xr:uid="{00000000-0005-0000-0000-00004E1D0000}"/>
    <cellStyle name="Normal 3 2 2 6 2 3 2 4 3" xfId="34026" xr:uid="{00000000-0005-0000-0000-00004F1D0000}"/>
    <cellStyle name="Normal 3 2 2 6 2 3 2 5" xfId="17109" xr:uid="{00000000-0005-0000-0000-0000501D0000}"/>
    <cellStyle name="Normal 3 2 2 6 2 3 2 5 2" xfId="48980" xr:uid="{00000000-0005-0000-0000-0000511D0000}"/>
    <cellStyle name="Normal 3 2 2 6 2 3 2 6" xfId="34019" xr:uid="{00000000-0005-0000-0000-0000521D0000}"/>
    <cellStyle name="Normal 3 2 2 6 2 3 3" xfId="2148" xr:uid="{00000000-0005-0000-0000-0000531D0000}"/>
    <cellStyle name="Normal 3 2 2 6 2 3 3 2" xfId="2149" xr:uid="{00000000-0005-0000-0000-0000541D0000}"/>
    <cellStyle name="Normal 3 2 2 6 2 3 3 2 2" xfId="2150" xr:uid="{00000000-0005-0000-0000-0000551D0000}"/>
    <cellStyle name="Normal 3 2 2 6 2 3 3 2 2 2" xfId="28928" xr:uid="{00000000-0005-0000-0000-0000561D0000}"/>
    <cellStyle name="Normal 3 2 2 6 2 3 3 2 2 2 2" xfId="60799" xr:uid="{00000000-0005-0000-0000-0000571D0000}"/>
    <cellStyle name="Normal 3 2 2 6 2 3 3 2 2 3" xfId="34029" xr:uid="{00000000-0005-0000-0000-0000581D0000}"/>
    <cellStyle name="Normal 3 2 2 6 2 3 3 2 3" xfId="21050" xr:uid="{00000000-0005-0000-0000-0000591D0000}"/>
    <cellStyle name="Normal 3 2 2 6 2 3 3 2 3 2" xfId="52921" xr:uid="{00000000-0005-0000-0000-00005A1D0000}"/>
    <cellStyle name="Normal 3 2 2 6 2 3 3 2 4" xfId="34028" xr:uid="{00000000-0005-0000-0000-00005B1D0000}"/>
    <cellStyle name="Normal 3 2 2 6 2 3 3 3" xfId="2151" xr:uid="{00000000-0005-0000-0000-00005C1D0000}"/>
    <cellStyle name="Normal 3 2 2 6 2 3 3 3 2" xfId="24989" xr:uid="{00000000-0005-0000-0000-00005D1D0000}"/>
    <cellStyle name="Normal 3 2 2 6 2 3 3 3 2 2" xfId="56860" xr:uid="{00000000-0005-0000-0000-00005E1D0000}"/>
    <cellStyle name="Normal 3 2 2 6 2 3 3 3 3" xfId="34030" xr:uid="{00000000-0005-0000-0000-00005F1D0000}"/>
    <cellStyle name="Normal 3 2 2 6 2 3 3 4" xfId="17111" xr:uid="{00000000-0005-0000-0000-0000601D0000}"/>
    <cellStyle name="Normal 3 2 2 6 2 3 3 4 2" xfId="48982" xr:uid="{00000000-0005-0000-0000-0000611D0000}"/>
    <cellStyle name="Normal 3 2 2 6 2 3 3 5" xfId="34027" xr:uid="{00000000-0005-0000-0000-0000621D0000}"/>
    <cellStyle name="Normal 3 2 2 6 2 3 4" xfId="2152" xr:uid="{00000000-0005-0000-0000-0000631D0000}"/>
    <cellStyle name="Normal 3 2 2 6 2 3 4 2" xfId="2153" xr:uid="{00000000-0005-0000-0000-0000641D0000}"/>
    <cellStyle name="Normal 3 2 2 6 2 3 4 2 2" xfId="28925" xr:uid="{00000000-0005-0000-0000-0000651D0000}"/>
    <cellStyle name="Normal 3 2 2 6 2 3 4 2 2 2" xfId="60796" xr:uid="{00000000-0005-0000-0000-0000661D0000}"/>
    <cellStyle name="Normal 3 2 2 6 2 3 4 2 3" xfId="34032" xr:uid="{00000000-0005-0000-0000-0000671D0000}"/>
    <cellStyle name="Normal 3 2 2 6 2 3 4 3" xfId="21047" xr:uid="{00000000-0005-0000-0000-0000681D0000}"/>
    <cellStyle name="Normal 3 2 2 6 2 3 4 3 2" xfId="52918" xr:uid="{00000000-0005-0000-0000-0000691D0000}"/>
    <cellStyle name="Normal 3 2 2 6 2 3 4 4" xfId="34031" xr:uid="{00000000-0005-0000-0000-00006A1D0000}"/>
    <cellStyle name="Normal 3 2 2 6 2 3 5" xfId="2154" xr:uid="{00000000-0005-0000-0000-00006B1D0000}"/>
    <cellStyle name="Normal 3 2 2 6 2 3 5 2" xfId="24986" xr:uid="{00000000-0005-0000-0000-00006C1D0000}"/>
    <cellStyle name="Normal 3 2 2 6 2 3 5 2 2" xfId="56857" xr:uid="{00000000-0005-0000-0000-00006D1D0000}"/>
    <cellStyle name="Normal 3 2 2 6 2 3 5 3" xfId="34033" xr:uid="{00000000-0005-0000-0000-00006E1D0000}"/>
    <cellStyle name="Normal 3 2 2 6 2 3 6" xfId="17108" xr:uid="{00000000-0005-0000-0000-00006F1D0000}"/>
    <cellStyle name="Normal 3 2 2 6 2 3 6 2" xfId="48979" xr:uid="{00000000-0005-0000-0000-0000701D0000}"/>
    <cellStyle name="Normal 3 2 2 6 2 3 7" xfId="34018" xr:uid="{00000000-0005-0000-0000-0000711D0000}"/>
    <cellStyle name="Normal 3 2 2 6 2 4" xfId="2155" xr:uid="{00000000-0005-0000-0000-0000721D0000}"/>
    <cellStyle name="Normal 3 2 2 6 2 4 2" xfId="2156" xr:uid="{00000000-0005-0000-0000-0000731D0000}"/>
    <cellStyle name="Normal 3 2 2 6 2 4 2 2" xfId="2157" xr:uid="{00000000-0005-0000-0000-0000741D0000}"/>
    <cellStyle name="Normal 3 2 2 6 2 4 2 2 2" xfId="2158" xr:uid="{00000000-0005-0000-0000-0000751D0000}"/>
    <cellStyle name="Normal 3 2 2 6 2 4 2 2 2 2" xfId="28930" xr:uid="{00000000-0005-0000-0000-0000761D0000}"/>
    <cellStyle name="Normal 3 2 2 6 2 4 2 2 2 2 2" xfId="60801" xr:uid="{00000000-0005-0000-0000-0000771D0000}"/>
    <cellStyle name="Normal 3 2 2 6 2 4 2 2 2 3" xfId="34037" xr:uid="{00000000-0005-0000-0000-0000781D0000}"/>
    <cellStyle name="Normal 3 2 2 6 2 4 2 2 3" xfId="21052" xr:uid="{00000000-0005-0000-0000-0000791D0000}"/>
    <cellStyle name="Normal 3 2 2 6 2 4 2 2 3 2" xfId="52923" xr:uid="{00000000-0005-0000-0000-00007A1D0000}"/>
    <cellStyle name="Normal 3 2 2 6 2 4 2 2 4" xfId="34036" xr:uid="{00000000-0005-0000-0000-00007B1D0000}"/>
    <cellStyle name="Normal 3 2 2 6 2 4 2 3" xfId="2159" xr:uid="{00000000-0005-0000-0000-00007C1D0000}"/>
    <cellStyle name="Normal 3 2 2 6 2 4 2 3 2" xfId="24991" xr:uid="{00000000-0005-0000-0000-00007D1D0000}"/>
    <cellStyle name="Normal 3 2 2 6 2 4 2 3 2 2" xfId="56862" xr:uid="{00000000-0005-0000-0000-00007E1D0000}"/>
    <cellStyle name="Normal 3 2 2 6 2 4 2 3 3" xfId="34038" xr:uid="{00000000-0005-0000-0000-00007F1D0000}"/>
    <cellStyle name="Normal 3 2 2 6 2 4 2 4" xfId="17113" xr:uid="{00000000-0005-0000-0000-0000801D0000}"/>
    <cellStyle name="Normal 3 2 2 6 2 4 2 4 2" xfId="48984" xr:uid="{00000000-0005-0000-0000-0000811D0000}"/>
    <cellStyle name="Normal 3 2 2 6 2 4 2 5" xfId="34035" xr:uid="{00000000-0005-0000-0000-0000821D0000}"/>
    <cellStyle name="Normal 3 2 2 6 2 4 3" xfId="2160" xr:uid="{00000000-0005-0000-0000-0000831D0000}"/>
    <cellStyle name="Normal 3 2 2 6 2 4 3 2" xfId="2161" xr:uid="{00000000-0005-0000-0000-0000841D0000}"/>
    <cellStyle name="Normal 3 2 2 6 2 4 3 2 2" xfId="28929" xr:uid="{00000000-0005-0000-0000-0000851D0000}"/>
    <cellStyle name="Normal 3 2 2 6 2 4 3 2 2 2" xfId="60800" xr:uid="{00000000-0005-0000-0000-0000861D0000}"/>
    <cellStyle name="Normal 3 2 2 6 2 4 3 2 3" xfId="34040" xr:uid="{00000000-0005-0000-0000-0000871D0000}"/>
    <cellStyle name="Normal 3 2 2 6 2 4 3 3" xfId="21051" xr:uid="{00000000-0005-0000-0000-0000881D0000}"/>
    <cellStyle name="Normal 3 2 2 6 2 4 3 3 2" xfId="52922" xr:uid="{00000000-0005-0000-0000-0000891D0000}"/>
    <cellStyle name="Normal 3 2 2 6 2 4 3 4" xfId="34039" xr:uid="{00000000-0005-0000-0000-00008A1D0000}"/>
    <cellStyle name="Normal 3 2 2 6 2 4 4" xfId="2162" xr:uid="{00000000-0005-0000-0000-00008B1D0000}"/>
    <cellStyle name="Normal 3 2 2 6 2 4 4 2" xfId="24990" xr:uid="{00000000-0005-0000-0000-00008C1D0000}"/>
    <cellStyle name="Normal 3 2 2 6 2 4 4 2 2" xfId="56861" xr:uid="{00000000-0005-0000-0000-00008D1D0000}"/>
    <cellStyle name="Normal 3 2 2 6 2 4 4 3" xfId="34041" xr:uid="{00000000-0005-0000-0000-00008E1D0000}"/>
    <cellStyle name="Normal 3 2 2 6 2 4 5" xfId="17112" xr:uid="{00000000-0005-0000-0000-00008F1D0000}"/>
    <cellStyle name="Normal 3 2 2 6 2 4 5 2" xfId="48983" xr:uid="{00000000-0005-0000-0000-0000901D0000}"/>
    <cellStyle name="Normal 3 2 2 6 2 4 6" xfId="34034" xr:uid="{00000000-0005-0000-0000-0000911D0000}"/>
    <cellStyle name="Normal 3 2 2 6 2 5" xfId="2163" xr:uid="{00000000-0005-0000-0000-0000921D0000}"/>
    <cellStyle name="Normal 3 2 2 6 2 5 2" xfId="2164" xr:uid="{00000000-0005-0000-0000-0000931D0000}"/>
    <cellStyle name="Normal 3 2 2 6 2 5 2 2" xfId="2165" xr:uid="{00000000-0005-0000-0000-0000941D0000}"/>
    <cellStyle name="Normal 3 2 2 6 2 5 2 2 2" xfId="28931" xr:uid="{00000000-0005-0000-0000-0000951D0000}"/>
    <cellStyle name="Normal 3 2 2 6 2 5 2 2 2 2" xfId="60802" xr:uid="{00000000-0005-0000-0000-0000961D0000}"/>
    <cellStyle name="Normal 3 2 2 6 2 5 2 2 3" xfId="34044" xr:uid="{00000000-0005-0000-0000-0000971D0000}"/>
    <cellStyle name="Normal 3 2 2 6 2 5 2 3" xfId="21053" xr:uid="{00000000-0005-0000-0000-0000981D0000}"/>
    <cellStyle name="Normal 3 2 2 6 2 5 2 3 2" xfId="52924" xr:uid="{00000000-0005-0000-0000-0000991D0000}"/>
    <cellStyle name="Normal 3 2 2 6 2 5 2 4" xfId="34043" xr:uid="{00000000-0005-0000-0000-00009A1D0000}"/>
    <cellStyle name="Normal 3 2 2 6 2 5 3" xfId="2166" xr:uid="{00000000-0005-0000-0000-00009B1D0000}"/>
    <cellStyle name="Normal 3 2 2 6 2 5 3 2" xfId="24992" xr:uid="{00000000-0005-0000-0000-00009C1D0000}"/>
    <cellStyle name="Normal 3 2 2 6 2 5 3 2 2" xfId="56863" xr:uid="{00000000-0005-0000-0000-00009D1D0000}"/>
    <cellStyle name="Normal 3 2 2 6 2 5 3 3" xfId="34045" xr:uid="{00000000-0005-0000-0000-00009E1D0000}"/>
    <cellStyle name="Normal 3 2 2 6 2 5 4" xfId="17114" xr:uid="{00000000-0005-0000-0000-00009F1D0000}"/>
    <cellStyle name="Normal 3 2 2 6 2 5 4 2" xfId="48985" xr:uid="{00000000-0005-0000-0000-0000A01D0000}"/>
    <cellStyle name="Normal 3 2 2 6 2 5 5" xfId="34042" xr:uid="{00000000-0005-0000-0000-0000A11D0000}"/>
    <cellStyle name="Normal 3 2 2 6 2 6" xfId="2167" xr:uid="{00000000-0005-0000-0000-0000A21D0000}"/>
    <cellStyle name="Normal 3 2 2 6 2 6 2" xfId="2168" xr:uid="{00000000-0005-0000-0000-0000A31D0000}"/>
    <cellStyle name="Normal 3 2 2 6 2 6 2 2" xfId="28468" xr:uid="{00000000-0005-0000-0000-0000A41D0000}"/>
    <cellStyle name="Normal 3 2 2 6 2 6 2 2 2" xfId="60339" xr:uid="{00000000-0005-0000-0000-0000A51D0000}"/>
    <cellStyle name="Normal 3 2 2 6 2 6 2 3" xfId="34047" xr:uid="{00000000-0005-0000-0000-0000A61D0000}"/>
    <cellStyle name="Normal 3 2 2 6 2 6 3" xfId="20590" xr:uid="{00000000-0005-0000-0000-0000A71D0000}"/>
    <cellStyle name="Normal 3 2 2 6 2 6 3 2" xfId="52461" xr:uid="{00000000-0005-0000-0000-0000A81D0000}"/>
    <cellStyle name="Normal 3 2 2 6 2 6 4" xfId="34046" xr:uid="{00000000-0005-0000-0000-0000A91D0000}"/>
    <cellStyle name="Normal 3 2 2 6 2 7" xfId="2169" xr:uid="{00000000-0005-0000-0000-0000AA1D0000}"/>
    <cellStyle name="Normal 3 2 2 6 2 7 2" xfId="24529" xr:uid="{00000000-0005-0000-0000-0000AB1D0000}"/>
    <cellStyle name="Normal 3 2 2 6 2 7 2 2" xfId="56400" xr:uid="{00000000-0005-0000-0000-0000AC1D0000}"/>
    <cellStyle name="Normal 3 2 2 6 2 7 3" xfId="34048" xr:uid="{00000000-0005-0000-0000-0000AD1D0000}"/>
    <cellStyle name="Normal 3 2 2 6 2 8" xfId="16651" xr:uid="{00000000-0005-0000-0000-0000AE1D0000}"/>
    <cellStyle name="Normal 3 2 2 6 2 8 2" xfId="48522" xr:uid="{00000000-0005-0000-0000-0000AF1D0000}"/>
    <cellStyle name="Normal 3 2 2 6 2 9" xfId="33985" xr:uid="{00000000-0005-0000-0000-0000B01D0000}"/>
    <cellStyle name="Normal 3 2 2 6 3" xfId="2170" xr:uid="{00000000-0005-0000-0000-0000B11D0000}"/>
    <cellStyle name="Normal 3 2 2 6 3 2" xfId="2171" xr:uid="{00000000-0005-0000-0000-0000B21D0000}"/>
    <cellStyle name="Normal 3 2 2 6 3 2 2" xfId="2172" xr:uid="{00000000-0005-0000-0000-0000B31D0000}"/>
    <cellStyle name="Normal 3 2 2 6 3 2 2 2" xfId="2173" xr:uid="{00000000-0005-0000-0000-0000B41D0000}"/>
    <cellStyle name="Normal 3 2 2 6 3 2 2 2 2" xfId="2174" xr:uid="{00000000-0005-0000-0000-0000B51D0000}"/>
    <cellStyle name="Normal 3 2 2 6 3 2 2 2 2 2" xfId="2175" xr:uid="{00000000-0005-0000-0000-0000B61D0000}"/>
    <cellStyle name="Normal 3 2 2 6 3 2 2 2 2 2 2" xfId="28935" xr:uid="{00000000-0005-0000-0000-0000B71D0000}"/>
    <cellStyle name="Normal 3 2 2 6 3 2 2 2 2 2 2 2" xfId="60806" xr:uid="{00000000-0005-0000-0000-0000B81D0000}"/>
    <cellStyle name="Normal 3 2 2 6 3 2 2 2 2 2 3" xfId="34054" xr:uid="{00000000-0005-0000-0000-0000B91D0000}"/>
    <cellStyle name="Normal 3 2 2 6 3 2 2 2 2 3" xfId="21057" xr:uid="{00000000-0005-0000-0000-0000BA1D0000}"/>
    <cellStyle name="Normal 3 2 2 6 3 2 2 2 2 3 2" xfId="52928" xr:uid="{00000000-0005-0000-0000-0000BB1D0000}"/>
    <cellStyle name="Normal 3 2 2 6 3 2 2 2 2 4" xfId="34053" xr:uid="{00000000-0005-0000-0000-0000BC1D0000}"/>
    <cellStyle name="Normal 3 2 2 6 3 2 2 2 3" xfId="2176" xr:uid="{00000000-0005-0000-0000-0000BD1D0000}"/>
    <cellStyle name="Normal 3 2 2 6 3 2 2 2 3 2" xfId="24996" xr:uid="{00000000-0005-0000-0000-0000BE1D0000}"/>
    <cellStyle name="Normal 3 2 2 6 3 2 2 2 3 2 2" xfId="56867" xr:uid="{00000000-0005-0000-0000-0000BF1D0000}"/>
    <cellStyle name="Normal 3 2 2 6 3 2 2 2 3 3" xfId="34055" xr:uid="{00000000-0005-0000-0000-0000C01D0000}"/>
    <cellStyle name="Normal 3 2 2 6 3 2 2 2 4" xfId="17118" xr:uid="{00000000-0005-0000-0000-0000C11D0000}"/>
    <cellStyle name="Normal 3 2 2 6 3 2 2 2 4 2" xfId="48989" xr:uid="{00000000-0005-0000-0000-0000C21D0000}"/>
    <cellStyle name="Normal 3 2 2 6 3 2 2 2 5" xfId="34052" xr:uid="{00000000-0005-0000-0000-0000C31D0000}"/>
    <cellStyle name="Normal 3 2 2 6 3 2 2 3" xfId="2177" xr:uid="{00000000-0005-0000-0000-0000C41D0000}"/>
    <cellStyle name="Normal 3 2 2 6 3 2 2 3 2" xfId="2178" xr:uid="{00000000-0005-0000-0000-0000C51D0000}"/>
    <cellStyle name="Normal 3 2 2 6 3 2 2 3 2 2" xfId="28934" xr:uid="{00000000-0005-0000-0000-0000C61D0000}"/>
    <cellStyle name="Normal 3 2 2 6 3 2 2 3 2 2 2" xfId="60805" xr:uid="{00000000-0005-0000-0000-0000C71D0000}"/>
    <cellStyle name="Normal 3 2 2 6 3 2 2 3 2 3" xfId="34057" xr:uid="{00000000-0005-0000-0000-0000C81D0000}"/>
    <cellStyle name="Normal 3 2 2 6 3 2 2 3 3" xfId="21056" xr:uid="{00000000-0005-0000-0000-0000C91D0000}"/>
    <cellStyle name="Normal 3 2 2 6 3 2 2 3 3 2" xfId="52927" xr:uid="{00000000-0005-0000-0000-0000CA1D0000}"/>
    <cellStyle name="Normal 3 2 2 6 3 2 2 3 4" xfId="34056" xr:uid="{00000000-0005-0000-0000-0000CB1D0000}"/>
    <cellStyle name="Normal 3 2 2 6 3 2 2 4" xfId="2179" xr:uid="{00000000-0005-0000-0000-0000CC1D0000}"/>
    <cellStyle name="Normal 3 2 2 6 3 2 2 4 2" xfId="24995" xr:uid="{00000000-0005-0000-0000-0000CD1D0000}"/>
    <cellStyle name="Normal 3 2 2 6 3 2 2 4 2 2" xfId="56866" xr:uid="{00000000-0005-0000-0000-0000CE1D0000}"/>
    <cellStyle name="Normal 3 2 2 6 3 2 2 4 3" xfId="34058" xr:uid="{00000000-0005-0000-0000-0000CF1D0000}"/>
    <cellStyle name="Normal 3 2 2 6 3 2 2 5" xfId="17117" xr:uid="{00000000-0005-0000-0000-0000D01D0000}"/>
    <cellStyle name="Normal 3 2 2 6 3 2 2 5 2" xfId="48988" xr:uid="{00000000-0005-0000-0000-0000D11D0000}"/>
    <cellStyle name="Normal 3 2 2 6 3 2 2 6" xfId="34051" xr:uid="{00000000-0005-0000-0000-0000D21D0000}"/>
    <cellStyle name="Normal 3 2 2 6 3 2 3" xfId="2180" xr:uid="{00000000-0005-0000-0000-0000D31D0000}"/>
    <cellStyle name="Normal 3 2 2 6 3 2 3 2" xfId="2181" xr:uid="{00000000-0005-0000-0000-0000D41D0000}"/>
    <cellStyle name="Normal 3 2 2 6 3 2 3 2 2" xfId="2182" xr:uid="{00000000-0005-0000-0000-0000D51D0000}"/>
    <cellStyle name="Normal 3 2 2 6 3 2 3 2 2 2" xfId="28936" xr:uid="{00000000-0005-0000-0000-0000D61D0000}"/>
    <cellStyle name="Normal 3 2 2 6 3 2 3 2 2 2 2" xfId="60807" xr:uid="{00000000-0005-0000-0000-0000D71D0000}"/>
    <cellStyle name="Normal 3 2 2 6 3 2 3 2 2 3" xfId="34061" xr:uid="{00000000-0005-0000-0000-0000D81D0000}"/>
    <cellStyle name="Normal 3 2 2 6 3 2 3 2 3" xfId="21058" xr:uid="{00000000-0005-0000-0000-0000D91D0000}"/>
    <cellStyle name="Normal 3 2 2 6 3 2 3 2 3 2" xfId="52929" xr:uid="{00000000-0005-0000-0000-0000DA1D0000}"/>
    <cellStyle name="Normal 3 2 2 6 3 2 3 2 4" xfId="34060" xr:uid="{00000000-0005-0000-0000-0000DB1D0000}"/>
    <cellStyle name="Normal 3 2 2 6 3 2 3 3" xfId="2183" xr:uid="{00000000-0005-0000-0000-0000DC1D0000}"/>
    <cellStyle name="Normal 3 2 2 6 3 2 3 3 2" xfId="24997" xr:uid="{00000000-0005-0000-0000-0000DD1D0000}"/>
    <cellStyle name="Normal 3 2 2 6 3 2 3 3 2 2" xfId="56868" xr:uid="{00000000-0005-0000-0000-0000DE1D0000}"/>
    <cellStyle name="Normal 3 2 2 6 3 2 3 3 3" xfId="34062" xr:uid="{00000000-0005-0000-0000-0000DF1D0000}"/>
    <cellStyle name="Normal 3 2 2 6 3 2 3 4" xfId="17119" xr:uid="{00000000-0005-0000-0000-0000E01D0000}"/>
    <cellStyle name="Normal 3 2 2 6 3 2 3 4 2" xfId="48990" xr:uid="{00000000-0005-0000-0000-0000E11D0000}"/>
    <cellStyle name="Normal 3 2 2 6 3 2 3 5" xfId="34059" xr:uid="{00000000-0005-0000-0000-0000E21D0000}"/>
    <cellStyle name="Normal 3 2 2 6 3 2 4" xfId="2184" xr:uid="{00000000-0005-0000-0000-0000E31D0000}"/>
    <cellStyle name="Normal 3 2 2 6 3 2 4 2" xfId="2185" xr:uid="{00000000-0005-0000-0000-0000E41D0000}"/>
    <cellStyle name="Normal 3 2 2 6 3 2 4 2 2" xfId="28933" xr:uid="{00000000-0005-0000-0000-0000E51D0000}"/>
    <cellStyle name="Normal 3 2 2 6 3 2 4 2 2 2" xfId="60804" xr:uid="{00000000-0005-0000-0000-0000E61D0000}"/>
    <cellStyle name="Normal 3 2 2 6 3 2 4 2 3" xfId="34064" xr:uid="{00000000-0005-0000-0000-0000E71D0000}"/>
    <cellStyle name="Normal 3 2 2 6 3 2 4 3" xfId="21055" xr:uid="{00000000-0005-0000-0000-0000E81D0000}"/>
    <cellStyle name="Normal 3 2 2 6 3 2 4 3 2" xfId="52926" xr:uid="{00000000-0005-0000-0000-0000E91D0000}"/>
    <cellStyle name="Normal 3 2 2 6 3 2 4 4" xfId="34063" xr:uid="{00000000-0005-0000-0000-0000EA1D0000}"/>
    <cellStyle name="Normal 3 2 2 6 3 2 5" xfId="2186" xr:uid="{00000000-0005-0000-0000-0000EB1D0000}"/>
    <cellStyle name="Normal 3 2 2 6 3 2 5 2" xfId="24994" xr:uid="{00000000-0005-0000-0000-0000EC1D0000}"/>
    <cellStyle name="Normal 3 2 2 6 3 2 5 2 2" xfId="56865" xr:uid="{00000000-0005-0000-0000-0000ED1D0000}"/>
    <cellStyle name="Normal 3 2 2 6 3 2 5 3" xfId="34065" xr:uid="{00000000-0005-0000-0000-0000EE1D0000}"/>
    <cellStyle name="Normal 3 2 2 6 3 2 6" xfId="17116" xr:uid="{00000000-0005-0000-0000-0000EF1D0000}"/>
    <cellStyle name="Normal 3 2 2 6 3 2 6 2" xfId="48987" xr:uid="{00000000-0005-0000-0000-0000F01D0000}"/>
    <cellStyle name="Normal 3 2 2 6 3 2 7" xfId="34050" xr:uid="{00000000-0005-0000-0000-0000F11D0000}"/>
    <cellStyle name="Normal 3 2 2 6 3 3" xfId="2187" xr:uid="{00000000-0005-0000-0000-0000F21D0000}"/>
    <cellStyle name="Normal 3 2 2 6 3 3 2" xfId="2188" xr:uid="{00000000-0005-0000-0000-0000F31D0000}"/>
    <cellStyle name="Normal 3 2 2 6 3 3 2 2" xfId="2189" xr:uid="{00000000-0005-0000-0000-0000F41D0000}"/>
    <cellStyle name="Normal 3 2 2 6 3 3 2 2 2" xfId="2190" xr:uid="{00000000-0005-0000-0000-0000F51D0000}"/>
    <cellStyle name="Normal 3 2 2 6 3 3 2 2 2 2" xfId="28938" xr:uid="{00000000-0005-0000-0000-0000F61D0000}"/>
    <cellStyle name="Normal 3 2 2 6 3 3 2 2 2 2 2" xfId="60809" xr:uid="{00000000-0005-0000-0000-0000F71D0000}"/>
    <cellStyle name="Normal 3 2 2 6 3 3 2 2 2 3" xfId="34069" xr:uid="{00000000-0005-0000-0000-0000F81D0000}"/>
    <cellStyle name="Normal 3 2 2 6 3 3 2 2 3" xfId="21060" xr:uid="{00000000-0005-0000-0000-0000F91D0000}"/>
    <cellStyle name="Normal 3 2 2 6 3 3 2 2 3 2" xfId="52931" xr:uid="{00000000-0005-0000-0000-0000FA1D0000}"/>
    <cellStyle name="Normal 3 2 2 6 3 3 2 2 4" xfId="34068" xr:uid="{00000000-0005-0000-0000-0000FB1D0000}"/>
    <cellStyle name="Normal 3 2 2 6 3 3 2 3" xfId="2191" xr:uid="{00000000-0005-0000-0000-0000FC1D0000}"/>
    <cellStyle name="Normal 3 2 2 6 3 3 2 3 2" xfId="24999" xr:uid="{00000000-0005-0000-0000-0000FD1D0000}"/>
    <cellStyle name="Normal 3 2 2 6 3 3 2 3 2 2" xfId="56870" xr:uid="{00000000-0005-0000-0000-0000FE1D0000}"/>
    <cellStyle name="Normal 3 2 2 6 3 3 2 3 3" xfId="34070" xr:uid="{00000000-0005-0000-0000-0000FF1D0000}"/>
    <cellStyle name="Normal 3 2 2 6 3 3 2 4" xfId="17121" xr:uid="{00000000-0005-0000-0000-0000001E0000}"/>
    <cellStyle name="Normal 3 2 2 6 3 3 2 4 2" xfId="48992" xr:uid="{00000000-0005-0000-0000-0000011E0000}"/>
    <cellStyle name="Normal 3 2 2 6 3 3 2 5" xfId="34067" xr:uid="{00000000-0005-0000-0000-0000021E0000}"/>
    <cellStyle name="Normal 3 2 2 6 3 3 3" xfId="2192" xr:uid="{00000000-0005-0000-0000-0000031E0000}"/>
    <cellStyle name="Normal 3 2 2 6 3 3 3 2" xfId="2193" xr:uid="{00000000-0005-0000-0000-0000041E0000}"/>
    <cellStyle name="Normal 3 2 2 6 3 3 3 2 2" xfId="28937" xr:uid="{00000000-0005-0000-0000-0000051E0000}"/>
    <cellStyle name="Normal 3 2 2 6 3 3 3 2 2 2" xfId="60808" xr:uid="{00000000-0005-0000-0000-0000061E0000}"/>
    <cellStyle name="Normal 3 2 2 6 3 3 3 2 3" xfId="34072" xr:uid="{00000000-0005-0000-0000-0000071E0000}"/>
    <cellStyle name="Normal 3 2 2 6 3 3 3 3" xfId="21059" xr:uid="{00000000-0005-0000-0000-0000081E0000}"/>
    <cellStyle name="Normal 3 2 2 6 3 3 3 3 2" xfId="52930" xr:uid="{00000000-0005-0000-0000-0000091E0000}"/>
    <cellStyle name="Normal 3 2 2 6 3 3 3 4" xfId="34071" xr:uid="{00000000-0005-0000-0000-00000A1E0000}"/>
    <cellStyle name="Normal 3 2 2 6 3 3 4" xfId="2194" xr:uid="{00000000-0005-0000-0000-00000B1E0000}"/>
    <cellStyle name="Normal 3 2 2 6 3 3 4 2" xfId="24998" xr:uid="{00000000-0005-0000-0000-00000C1E0000}"/>
    <cellStyle name="Normal 3 2 2 6 3 3 4 2 2" xfId="56869" xr:uid="{00000000-0005-0000-0000-00000D1E0000}"/>
    <cellStyle name="Normal 3 2 2 6 3 3 4 3" xfId="34073" xr:uid="{00000000-0005-0000-0000-00000E1E0000}"/>
    <cellStyle name="Normal 3 2 2 6 3 3 5" xfId="17120" xr:uid="{00000000-0005-0000-0000-00000F1E0000}"/>
    <cellStyle name="Normal 3 2 2 6 3 3 5 2" xfId="48991" xr:uid="{00000000-0005-0000-0000-0000101E0000}"/>
    <cellStyle name="Normal 3 2 2 6 3 3 6" xfId="34066" xr:uid="{00000000-0005-0000-0000-0000111E0000}"/>
    <cellStyle name="Normal 3 2 2 6 3 4" xfId="2195" xr:uid="{00000000-0005-0000-0000-0000121E0000}"/>
    <cellStyle name="Normal 3 2 2 6 3 4 2" xfId="2196" xr:uid="{00000000-0005-0000-0000-0000131E0000}"/>
    <cellStyle name="Normal 3 2 2 6 3 4 2 2" xfId="2197" xr:uid="{00000000-0005-0000-0000-0000141E0000}"/>
    <cellStyle name="Normal 3 2 2 6 3 4 2 2 2" xfId="28939" xr:uid="{00000000-0005-0000-0000-0000151E0000}"/>
    <cellStyle name="Normal 3 2 2 6 3 4 2 2 2 2" xfId="60810" xr:uid="{00000000-0005-0000-0000-0000161E0000}"/>
    <cellStyle name="Normal 3 2 2 6 3 4 2 2 3" xfId="34076" xr:uid="{00000000-0005-0000-0000-0000171E0000}"/>
    <cellStyle name="Normal 3 2 2 6 3 4 2 3" xfId="21061" xr:uid="{00000000-0005-0000-0000-0000181E0000}"/>
    <cellStyle name="Normal 3 2 2 6 3 4 2 3 2" xfId="52932" xr:uid="{00000000-0005-0000-0000-0000191E0000}"/>
    <cellStyle name="Normal 3 2 2 6 3 4 2 4" xfId="34075" xr:uid="{00000000-0005-0000-0000-00001A1E0000}"/>
    <cellStyle name="Normal 3 2 2 6 3 4 3" xfId="2198" xr:uid="{00000000-0005-0000-0000-00001B1E0000}"/>
    <cellStyle name="Normal 3 2 2 6 3 4 3 2" xfId="25000" xr:uid="{00000000-0005-0000-0000-00001C1E0000}"/>
    <cellStyle name="Normal 3 2 2 6 3 4 3 2 2" xfId="56871" xr:uid="{00000000-0005-0000-0000-00001D1E0000}"/>
    <cellStyle name="Normal 3 2 2 6 3 4 3 3" xfId="34077" xr:uid="{00000000-0005-0000-0000-00001E1E0000}"/>
    <cellStyle name="Normal 3 2 2 6 3 4 4" xfId="17122" xr:uid="{00000000-0005-0000-0000-00001F1E0000}"/>
    <cellStyle name="Normal 3 2 2 6 3 4 4 2" xfId="48993" xr:uid="{00000000-0005-0000-0000-0000201E0000}"/>
    <cellStyle name="Normal 3 2 2 6 3 4 5" xfId="34074" xr:uid="{00000000-0005-0000-0000-0000211E0000}"/>
    <cellStyle name="Normal 3 2 2 6 3 5" xfId="2199" xr:uid="{00000000-0005-0000-0000-0000221E0000}"/>
    <cellStyle name="Normal 3 2 2 6 3 5 2" xfId="2200" xr:uid="{00000000-0005-0000-0000-0000231E0000}"/>
    <cellStyle name="Normal 3 2 2 6 3 5 2 2" xfId="28932" xr:uid="{00000000-0005-0000-0000-0000241E0000}"/>
    <cellStyle name="Normal 3 2 2 6 3 5 2 2 2" xfId="60803" xr:uid="{00000000-0005-0000-0000-0000251E0000}"/>
    <cellStyle name="Normal 3 2 2 6 3 5 2 3" xfId="34079" xr:uid="{00000000-0005-0000-0000-0000261E0000}"/>
    <cellStyle name="Normal 3 2 2 6 3 5 3" xfId="21054" xr:uid="{00000000-0005-0000-0000-0000271E0000}"/>
    <cellStyle name="Normal 3 2 2 6 3 5 3 2" xfId="52925" xr:uid="{00000000-0005-0000-0000-0000281E0000}"/>
    <cellStyle name="Normal 3 2 2 6 3 5 4" xfId="34078" xr:uid="{00000000-0005-0000-0000-0000291E0000}"/>
    <cellStyle name="Normal 3 2 2 6 3 6" xfId="2201" xr:uid="{00000000-0005-0000-0000-00002A1E0000}"/>
    <cellStyle name="Normal 3 2 2 6 3 6 2" xfId="24993" xr:uid="{00000000-0005-0000-0000-00002B1E0000}"/>
    <cellStyle name="Normal 3 2 2 6 3 6 2 2" xfId="56864" xr:uid="{00000000-0005-0000-0000-00002C1E0000}"/>
    <cellStyle name="Normal 3 2 2 6 3 6 3" xfId="34080" xr:uid="{00000000-0005-0000-0000-00002D1E0000}"/>
    <cellStyle name="Normal 3 2 2 6 3 7" xfId="17115" xr:uid="{00000000-0005-0000-0000-00002E1E0000}"/>
    <cellStyle name="Normal 3 2 2 6 3 7 2" xfId="48986" xr:uid="{00000000-0005-0000-0000-00002F1E0000}"/>
    <cellStyle name="Normal 3 2 2 6 3 8" xfId="34049" xr:uid="{00000000-0005-0000-0000-0000301E0000}"/>
    <cellStyle name="Normal 3 2 2 6 4" xfId="2202" xr:uid="{00000000-0005-0000-0000-0000311E0000}"/>
    <cellStyle name="Normal 3 2 2 6 4 2" xfId="2203" xr:uid="{00000000-0005-0000-0000-0000321E0000}"/>
    <cellStyle name="Normal 3 2 2 6 4 2 2" xfId="2204" xr:uid="{00000000-0005-0000-0000-0000331E0000}"/>
    <cellStyle name="Normal 3 2 2 6 4 2 2 2" xfId="2205" xr:uid="{00000000-0005-0000-0000-0000341E0000}"/>
    <cellStyle name="Normal 3 2 2 6 4 2 2 2 2" xfId="2206" xr:uid="{00000000-0005-0000-0000-0000351E0000}"/>
    <cellStyle name="Normal 3 2 2 6 4 2 2 2 2 2" xfId="28942" xr:uid="{00000000-0005-0000-0000-0000361E0000}"/>
    <cellStyle name="Normal 3 2 2 6 4 2 2 2 2 2 2" xfId="60813" xr:uid="{00000000-0005-0000-0000-0000371E0000}"/>
    <cellStyle name="Normal 3 2 2 6 4 2 2 2 2 3" xfId="34085" xr:uid="{00000000-0005-0000-0000-0000381E0000}"/>
    <cellStyle name="Normal 3 2 2 6 4 2 2 2 3" xfId="21064" xr:uid="{00000000-0005-0000-0000-0000391E0000}"/>
    <cellStyle name="Normal 3 2 2 6 4 2 2 2 3 2" xfId="52935" xr:uid="{00000000-0005-0000-0000-00003A1E0000}"/>
    <cellStyle name="Normal 3 2 2 6 4 2 2 2 4" xfId="34084" xr:uid="{00000000-0005-0000-0000-00003B1E0000}"/>
    <cellStyle name="Normal 3 2 2 6 4 2 2 3" xfId="2207" xr:uid="{00000000-0005-0000-0000-00003C1E0000}"/>
    <cellStyle name="Normal 3 2 2 6 4 2 2 3 2" xfId="25003" xr:uid="{00000000-0005-0000-0000-00003D1E0000}"/>
    <cellStyle name="Normal 3 2 2 6 4 2 2 3 2 2" xfId="56874" xr:uid="{00000000-0005-0000-0000-00003E1E0000}"/>
    <cellStyle name="Normal 3 2 2 6 4 2 2 3 3" xfId="34086" xr:uid="{00000000-0005-0000-0000-00003F1E0000}"/>
    <cellStyle name="Normal 3 2 2 6 4 2 2 4" xfId="17125" xr:uid="{00000000-0005-0000-0000-0000401E0000}"/>
    <cellStyle name="Normal 3 2 2 6 4 2 2 4 2" xfId="48996" xr:uid="{00000000-0005-0000-0000-0000411E0000}"/>
    <cellStyle name="Normal 3 2 2 6 4 2 2 5" xfId="34083" xr:uid="{00000000-0005-0000-0000-0000421E0000}"/>
    <cellStyle name="Normal 3 2 2 6 4 2 3" xfId="2208" xr:uid="{00000000-0005-0000-0000-0000431E0000}"/>
    <cellStyle name="Normal 3 2 2 6 4 2 3 2" xfId="2209" xr:uid="{00000000-0005-0000-0000-0000441E0000}"/>
    <cellStyle name="Normal 3 2 2 6 4 2 3 2 2" xfId="28941" xr:uid="{00000000-0005-0000-0000-0000451E0000}"/>
    <cellStyle name="Normal 3 2 2 6 4 2 3 2 2 2" xfId="60812" xr:uid="{00000000-0005-0000-0000-0000461E0000}"/>
    <cellStyle name="Normal 3 2 2 6 4 2 3 2 3" xfId="34088" xr:uid="{00000000-0005-0000-0000-0000471E0000}"/>
    <cellStyle name="Normal 3 2 2 6 4 2 3 3" xfId="21063" xr:uid="{00000000-0005-0000-0000-0000481E0000}"/>
    <cellStyle name="Normal 3 2 2 6 4 2 3 3 2" xfId="52934" xr:uid="{00000000-0005-0000-0000-0000491E0000}"/>
    <cellStyle name="Normal 3 2 2 6 4 2 3 4" xfId="34087" xr:uid="{00000000-0005-0000-0000-00004A1E0000}"/>
    <cellStyle name="Normal 3 2 2 6 4 2 4" xfId="2210" xr:uid="{00000000-0005-0000-0000-00004B1E0000}"/>
    <cellStyle name="Normal 3 2 2 6 4 2 4 2" xfId="25002" xr:uid="{00000000-0005-0000-0000-00004C1E0000}"/>
    <cellStyle name="Normal 3 2 2 6 4 2 4 2 2" xfId="56873" xr:uid="{00000000-0005-0000-0000-00004D1E0000}"/>
    <cellStyle name="Normal 3 2 2 6 4 2 4 3" xfId="34089" xr:uid="{00000000-0005-0000-0000-00004E1E0000}"/>
    <cellStyle name="Normal 3 2 2 6 4 2 5" xfId="17124" xr:uid="{00000000-0005-0000-0000-00004F1E0000}"/>
    <cellStyle name="Normal 3 2 2 6 4 2 5 2" xfId="48995" xr:uid="{00000000-0005-0000-0000-0000501E0000}"/>
    <cellStyle name="Normal 3 2 2 6 4 2 6" xfId="34082" xr:uid="{00000000-0005-0000-0000-0000511E0000}"/>
    <cellStyle name="Normal 3 2 2 6 4 3" xfId="2211" xr:uid="{00000000-0005-0000-0000-0000521E0000}"/>
    <cellStyle name="Normal 3 2 2 6 4 3 2" xfId="2212" xr:uid="{00000000-0005-0000-0000-0000531E0000}"/>
    <cellStyle name="Normal 3 2 2 6 4 3 2 2" xfId="2213" xr:uid="{00000000-0005-0000-0000-0000541E0000}"/>
    <cellStyle name="Normal 3 2 2 6 4 3 2 2 2" xfId="28943" xr:uid="{00000000-0005-0000-0000-0000551E0000}"/>
    <cellStyle name="Normal 3 2 2 6 4 3 2 2 2 2" xfId="60814" xr:uid="{00000000-0005-0000-0000-0000561E0000}"/>
    <cellStyle name="Normal 3 2 2 6 4 3 2 2 3" xfId="34092" xr:uid="{00000000-0005-0000-0000-0000571E0000}"/>
    <cellStyle name="Normal 3 2 2 6 4 3 2 3" xfId="21065" xr:uid="{00000000-0005-0000-0000-0000581E0000}"/>
    <cellStyle name="Normal 3 2 2 6 4 3 2 3 2" xfId="52936" xr:uid="{00000000-0005-0000-0000-0000591E0000}"/>
    <cellStyle name="Normal 3 2 2 6 4 3 2 4" xfId="34091" xr:uid="{00000000-0005-0000-0000-00005A1E0000}"/>
    <cellStyle name="Normal 3 2 2 6 4 3 3" xfId="2214" xr:uid="{00000000-0005-0000-0000-00005B1E0000}"/>
    <cellStyle name="Normal 3 2 2 6 4 3 3 2" xfId="25004" xr:uid="{00000000-0005-0000-0000-00005C1E0000}"/>
    <cellStyle name="Normal 3 2 2 6 4 3 3 2 2" xfId="56875" xr:uid="{00000000-0005-0000-0000-00005D1E0000}"/>
    <cellStyle name="Normal 3 2 2 6 4 3 3 3" xfId="34093" xr:uid="{00000000-0005-0000-0000-00005E1E0000}"/>
    <cellStyle name="Normal 3 2 2 6 4 3 4" xfId="17126" xr:uid="{00000000-0005-0000-0000-00005F1E0000}"/>
    <cellStyle name="Normal 3 2 2 6 4 3 4 2" xfId="48997" xr:uid="{00000000-0005-0000-0000-0000601E0000}"/>
    <cellStyle name="Normal 3 2 2 6 4 3 5" xfId="34090" xr:uid="{00000000-0005-0000-0000-0000611E0000}"/>
    <cellStyle name="Normal 3 2 2 6 4 4" xfId="2215" xr:uid="{00000000-0005-0000-0000-0000621E0000}"/>
    <cellStyle name="Normal 3 2 2 6 4 4 2" xfId="2216" xr:uid="{00000000-0005-0000-0000-0000631E0000}"/>
    <cellStyle name="Normal 3 2 2 6 4 4 2 2" xfId="28940" xr:uid="{00000000-0005-0000-0000-0000641E0000}"/>
    <cellStyle name="Normal 3 2 2 6 4 4 2 2 2" xfId="60811" xr:uid="{00000000-0005-0000-0000-0000651E0000}"/>
    <cellStyle name="Normal 3 2 2 6 4 4 2 3" xfId="34095" xr:uid="{00000000-0005-0000-0000-0000661E0000}"/>
    <cellStyle name="Normal 3 2 2 6 4 4 3" xfId="21062" xr:uid="{00000000-0005-0000-0000-0000671E0000}"/>
    <cellStyle name="Normal 3 2 2 6 4 4 3 2" xfId="52933" xr:uid="{00000000-0005-0000-0000-0000681E0000}"/>
    <cellStyle name="Normal 3 2 2 6 4 4 4" xfId="34094" xr:uid="{00000000-0005-0000-0000-0000691E0000}"/>
    <cellStyle name="Normal 3 2 2 6 4 5" xfId="2217" xr:uid="{00000000-0005-0000-0000-00006A1E0000}"/>
    <cellStyle name="Normal 3 2 2 6 4 5 2" xfId="25001" xr:uid="{00000000-0005-0000-0000-00006B1E0000}"/>
    <cellStyle name="Normal 3 2 2 6 4 5 2 2" xfId="56872" xr:uid="{00000000-0005-0000-0000-00006C1E0000}"/>
    <cellStyle name="Normal 3 2 2 6 4 5 3" xfId="34096" xr:uid="{00000000-0005-0000-0000-00006D1E0000}"/>
    <cellStyle name="Normal 3 2 2 6 4 6" xfId="17123" xr:uid="{00000000-0005-0000-0000-00006E1E0000}"/>
    <cellStyle name="Normal 3 2 2 6 4 6 2" xfId="48994" xr:uid="{00000000-0005-0000-0000-00006F1E0000}"/>
    <cellStyle name="Normal 3 2 2 6 4 7" xfId="34081" xr:uid="{00000000-0005-0000-0000-0000701E0000}"/>
    <cellStyle name="Normal 3 2 2 6 5" xfId="2218" xr:uid="{00000000-0005-0000-0000-0000711E0000}"/>
    <cellStyle name="Normal 3 2 2 6 5 2" xfId="2219" xr:uid="{00000000-0005-0000-0000-0000721E0000}"/>
    <cellStyle name="Normal 3 2 2 6 5 2 2" xfId="2220" xr:uid="{00000000-0005-0000-0000-0000731E0000}"/>
    <cellStyle name="Normal 3 2 2 6 5 2 2 2" xfId="2221" xr:uid="{00000000-0005-0000-0000-0000741E0000}"/>
    <cellStyle name="Normal 3 2 2 6 5 2 2 2 2" xfId="28945" xr:uid="{00000000-0005-0000-0000-0000751E0000}"/>
    <cellStyle name="Normal 3 2 2 6 5 2 2 2 2 2" xfId="60816" xr:uid="{00000000-0005-0000-0000-0000761E0000}"/>
    <cellStyle name="Normal 3 2 2 6 5 2 2 2 3" xfId="34100" xr:uid="{00000000-0005-0000-0000-0000771E0000}"/>
    <cellStyle name="Normal 3 2 2 6 5 2 2 3" xfId="21067" xr:uid="{00000000-0005-0000-0000-0000781E0000}"/>
    <cellStyle name="Normal 3 2 2 6 5 2 2 3 2" xfId="52938" xr:uid="{00000000-0005-0000-0000-0000791E0000}"/>
    <cellStyle name="Normal 3 2 2 6 5 2 2 4" xfId="34099" xr:uid="{00000000-0005-0000-0000-00007A1E0000}"/>
    <cellStyle name="Normal 3 2 2 6 5 2 3" xfId="2222" xr:uid="{00000000-0005-0000-0000-00007B1E0000}"/>
    <cellStyle name="Normal 3 2 2 6 5 2 3 2" xfId="25006" xr:uid="{00000000-0005-0000-0000-00007C1E0000}"/>
    <cellStyle name="Normal 3 2 2 6 5 2 3 2 2" xfId="56877" xr:uid="{00000000-0005-0000-0000-00007D1E0000}"/>
    <cellStyle name="Normal 3 2 2 6 5 2 3 3" xfId="34101" xr:uid="{00000000-0005-0000-0000-00007E1E0000}"/>
    <cellStyle name="Normal 3 2 2 6 5 2 4" xfId="17128" xr:uid="{00000000-0005-0000-0000-00007F1E0000}"/>
    <cellStyle name="Normal 3 2 2 6 5 2 4 2" xfId="48999" xr:uid="{00000000-0005-0000-0000-0000801E0000}"/>
    <cellStyle name="Normal 3 2 2 6 5 2 5" xfId="34098" xr:uid="{00000000-0005-0000-0000-0000811E0000}"/>
    <cellStyle name="Normal 3 2 2 6 5 3" xfId="2223" xr:uid="{00000000-0005-0000-0000-0000821E0000}"/>
    <cellStyle name="Normal 3 2 2 6 5 3 2" xfId="2224" xr:uid="{00000000-0005-0000-0000-0000831E0000}"/>
    <cellStyle name="Normal 3 2 2 6 5 3 2 2" xfId="28944" xr:uid="{00000000-0005-0000-0000-0000841E0000}"/>
    <cellStyle name="Normal 3 2 2 6 5 3 2 2 2" xfId="60815" xr:uid="{00000000-0005-0000-0000-0000851E0000}"/>
    <cellStyle name="Normal 3 2 2 6 5 3 2 3" xfId="34103" xr:uid="{00000000-0005-0000-0000-0000861E0000}"/>
    <cellStyle name="Normal 3 2 2 6 5 3 3" xfId="21066" xr:uid="{00000000-0005-0000-0000-0000871E0000}"/>
    <cellStyle name="Normal 3 2 2 6 5 3 3 2" xfId="52937" xr:uid="{00000000-0005-0000-0000-0000881E0000}"/>
    <cellStyle name="Normal 3 2 2 6 5 3 4" xfId="34102" xr:uid="{00000000-0005-0000-0000-0000891E0000}"/>
    <cellStyle name="Normal 3 2 2 6 5 4" xfId="2225" xr:uid="{00000000-0005-0000-0000-00008A1E0000}"/>
    <cellStyle name="Normal 3 2 2 6 5 4 2" xfId="25005" xr:uid="{00000000-0005-0000-0000-00008B1E0000}"/>
    <cellStyle name="Normal 3 2 2 6 5 4 2 2" xfId="56876" xr:uid="{00000000-0005-0000-0000-00008C1E0000}"/>
    <cellStyle name="Normal 3 2 2 6 5 4 3" xfId="34104" xr:uid="{00000000-0005-0000-0000-00008D1E0000}"/>
    <cellStyle name="Normal 3 2 2 6 5 5" xfId="17127" xr:uid="{00000000-0005-0000-0000-00008E1E0000}"/>
    <cellStyle name="Normal 3 2 2 6 5 5 2" xfId="48998" xr:uid="{00000000-0005-0000-0000-00008F1E0000}"/>
    <cellStyle name="Normal 3 2 2 6 5 6" xfId="34097" xr:uid="{00000000-0005-0000-0000-0000901E0000}"/>
    <cellStyle name="Normal 3 2 2 6 6" xfId="2226" xr:uid="{00000000-0005-0000-0000-0000911E0000}"/>
    <cellStyle name="Normal 3 2 2 6 6 2" xfId="2227" xr:uid="{00000000-0005-0000-0000-0000921E0000}"/>
    <cellStyle name="Normal 3 2 2 6 6 2 2" xfId="2228" xr:uid="{00000000-0005-0000-0000-0000931E0000}"/>
    <cellStyle name="Normal 3 2 2 6 6 2 2 2" xfId="28946" xr:uid="{00000000-0005-0000-0000-0000941E0000}"/>
    <cellStyle name="Normal 3 2 2 6 6 2 2 2 2" xfId="60817" xr:uid="{00000000-0005-0000-0000-0000951E0000}"/>
    <cellStyle name="Normal 3 2 2 6 6 2 2 3" xfId="34107" xr:uid="{00000000-0005-0000-0000-0000961E0000}"/>
    <cellStyle name="Normal 3 2 2 6 6 2 3" xfId="21068" xr:uid="{00000000-0005-0000-0000-0000971E0000}"/>
    <cellStyle name="Normal 3 2 2 6 6 2 3 2" xfId="52939" xr:uid="{00000000-0005-0000-0000-0000981E0000}"/>
    <cellStyle name="Normal 3 2 2 6 6 2 4" xfId="34106" xr:uid="{00000000-0005-0000-0000-0000991E0000}"/>
    <cellStyle name="Normal 3 2 2 6 6 3" xfId="2229" xr:uid="{00000000-0005-0000-0000-00009A1E0000}"/>
    <cellStyle name="Normal 3 2 2 6 6 3 2" xfId="25007" xr:uid="{00000000-0005-0000-0000-00009B1E0000}"/>
    <cellStyle name="Normal 3 2 2 6 6 3 2 2" xfId="56878" xr:uid="{00000000-0005-0000-0000-00009C1E0000}"/>
    <cellStyle name="Normal 3 2 2 6 6 3 3" xfId="34108" xr:uid="{00000000-0005-0000-0000-00009D1E0000}"/>
    <cellStyle name="Normal 3 2 2 6 6 4" xfId="17129" xr:uid="{00000000-0005-0000-0000-00009E1E0000}"/>
    <cellStyle name="Normal 3 2 2 6 6 4 2" xfId="49000" xr:uid="{00000000-0005-0000-0000-00009F1E0000}"/>
    <cellStyle name="Normal 3 2 2 6 6 5" xfId="34105" xr:uid="{00000000-0005-0000-0000-0000A01E0000}"/>
    <cellStyle name="Normal 3 2 2 6 7" xfId="2230" xr:uid="{00000000-0005-0000-0000-0000A11E0000}"/>
    <cellStyle name="Normal 3 2 2 6 7 2" xfId="2231" xr:uid="{00000000-0005-0000-0000-0000A21E0000}"/>
    <cellStyle name="Normal 3 2 2 6 7 2 2" xfId="28345" xr:uid="{00000000-0005-0000-0000-0000A31E0000}"/>
    <cellStyle name="Normal 3 2 2 6 7 2 2 2" xfId="60216" xr:uid="{00000000-0005-0000-0000-0000A41E0000}"/>
    <cellStyle name="Normal 3 2 2 6 7 2 3" xfId="34110" xr:uid="{00000000-0005-0000-0000-0000A51E0000}"/>
    <cellStyle name="Normal 3 2 2 6 7 3" xfId="20467" xr:uid="{00000000-0005-0000-0000-0000A61E0000}"/>
    <cellStyle name="Normal 3 2 2 6 7 3 2" xfId="52338" xr:uid="{00000000-0005-0000-0000-0000A71E0000}"/>
    <cellStyle name="Normal 3 2 2 6 7 4" xfId="34109" xr:uid="{00000000-0005-0000-0000-0000A81E0000}"/>
    <cellStyle name="Normal 3 2 2 6 8" xfId="2232" xr:uid="{00000000-0005-0000-0000-0000A91E0000}"/>
    <cellStyle name="Normal 3 2 2 6 8 2" xfId="24406" xr:uid="{00000000-0005-0000-0000-0000AA1E0000}"/>
    <cellStyle name="Normal 3 2 2 6 8 2 2" xfId="56277" xr:uid="{00000000-0005-0000-0000-0000AB1E0000}"/>
    <cellStyle name="Normal 3 2 2 6 8 3" xfId="34111" xr:uid="{00000000-0005-0000-0000-0000AC1E0000}"/>
    <cellStyle name="Normal 3 2 2 6 9" xfId="16528" xr:uid="{00000000-0005-0000-0000-0000AD1E0000}"/>
    <cellStyle name="Normal 3 2 2 6 9 2" xfId="48399" xr:uid="{00000000-0005-0000-0000-0000AE1E0000}"/>
    <cellStyle name="Normal 3 2 2 7" xfId="2233" xr:uid="{00000000-0005-0000-0000-0000AF1E0000}"/>
    <cellStyle name="Normal 3 2 2 7 2" xfId="2234" xr:uid="{00000000-0005-0000-0000-0000B01E0000}"/>
    <cellStyle name="Normal 3 2 2 7 2 2" xfId="2235" xr:uid="{00000000-0005-0000-0000-0000B11E0000}"/>
    <cellStyle name="Normal 3 2 2 7 2 2 2" xfId="2236" xr:uid="{00000000-0005-0000-0000-0000B21E0000}"/>
    <cellStyle name="Normal 3 2 2 7 2 2 2 2" xfId="2237" xr:uid="{00000000-0005-0000-0000-0000B31E0000}"/>
    <cellStyle name="Normal 3 2 2 7 2 2 2 2 2" xfId="2238" xr:uid="{00000000-0005-0000-0000-0000B41E0000}"/>
    <cellStyle name="Normal 3 2 2 7 2 2 2 2 2 2" xfId="2239" xr:uid="{00000000-0005-0000-0000-0000B51E0000}"/>
    <cellStyle name="Normal 3 2 2 7 2 2 2 2 2 2 2" xfId="28950" xr:uid="{00000000-0005-0000-0000-0000B61E0000}"/>
    <cellStyle name="Normal 3 2 2 7 2 2 2 2 2 2 2 2" xfId="60821" xr:uid="{00000000-0005-0000-0000-0000B71E0000}"/>
    <cellStyle name="Normal 3 2 2 7 2 2 2 2 2 2 3" xfId="34118" xr:uid="{00000000-0005-0000-0000-0000B81E0000}"/>
    <cellStyle name="Normal 3 2 2 7 2 2 2 2 2 3" xfId="21072" xr:uid="{00000000-0005-0000-0000-0000B91E0000}"/>
    <cellStyle name="Normal 3 2 2 7 2 2 2 2 2 3 2" xfId="52943" xr:uid="{00000000-0005-0000-0000-0000BA1E0000}"/>
    <cellStyle name="Normal 3 2 2 7 2 2 2 2 2 4" xfId="34117" xr:uid="{00000000-0005-0000-0000-0000BB1E0000}"/>
    <cellStyle name="Normal 3 2 2 7 2 2 2 2 3" xfId="2240" xr:uid="{00000000-0005-0000-0000-0000BC1E0000}"/>
    <cellStyle name="Normal 3 2 2 7 2 2 2 2 3 2" xfId="25011" xr:uid="{00000000-0005-0000-0000-0000BD1E0000}"/>
    <cellStyle name="Normal 3 2 2 7 2 2 2 2 3 2 2" xfId="56882" xr:uid="{00000000-0005-0000-0000-0000BE1E0000}"/>
    <cellStyle name="Normal 3 2 2 7 2 2 2 2 3 3" xfId="34119" xr:uid="{00000000-0005-0000-0000-0000BF1E0000}"/>
    <cellStyle name="Normal 3 2 2 7 2 2 2 2 4" xfId="17133" xr:uid="{00000000-0005-0000-0000-0000C01E0000}"/>
    <cellStyle name="Normal 3 2 2 7 2 2 2 2 4 2" xfId="49004" xr:uid="{00000000-0005-0000-0000-0000C11E0000}"/>
    <cellStyle name="Normal 3 2 2 7 2 2 2 2 5" xfId="34116" xr:uid="{00000000-0005-0000-0000-0000C21E0000}"/>
    <cellStyle name="Normal 3 2 2 7 2 2 2 3" xfId="2241" xr:uid="{00000000-0005-0000-0000-0000C31E0000}"/>
    <cellStyle name="Normal 3 2 2 7 2 2 2 3 2" xfId="2242" xr:uid="{00000000-0005-0000-0000-0000C41E0000}"/>
    <cellStyle name="Normal 3 2 2 7 2 2 2 3 2 2" xfId="28949" xr:uid="{00000000-0005-0000-0000-0000C51E0000}"/>
    <cellStyle name="Normal 3 2 2 7 2 2 2 3 2 2 2" xfId="60820" xr:uid="{00000000-0005-0000-0000-0000C61E0000}"/>
    <cellStyle name="Normal 3 2 2 7 2 2 2 3 2 3" xfId="34121" xr:uid="{00000000-0005-0000-0000-0000C71E0000}"/>
    <cellStyle name="Normal 3 2 2 7 2 2 2 3 3" xfId="21071" xr:uid="{00000000-0005-0000-0000-0000C81E0000}"/>
    <cellStyle name="Normal 3 2 2 7 2 2 2 3 3 2" xfId="52942" xr:uid="{00000000-0005-0000-0000-0000C91E0000}"/>
    <cellStyle name="Normal 3 2 2 7 2 2 2 3 4" xfId="34120" xr:uid="{00000000-0005-0000-0000-0000CA1E0000}"/>
    <cellStyle name="Normal 3 2 2 7 2 2 2 4" xfId="2243" xr:uid="{00000000-0005-0000-0000-0000CB1E0000}"/>
    <cellStyle name="Normal 3 2 2 7 2 2 2 4 2" xfId="25010" xr:uid="{00000000-0005-0000-0000-0000CC1E0000}"/>
    <cellStyle name="Normal 3 2 2 7 2 2 2 4 2 2" xfId="56881" xr:uid="{00000000-0005-0000-0000-0000CD1E0000}"/>
    <cellStyle name="Normal 3 2 2 7 2 2 2 4 3" xfId="34122" xr:uid="{00000000-0005-0000-0000-0000CE1E0000}"/>
    <cellStyle name="Normal 3 2 2 7 2 2 2 5" xfId="17132" xr:uid="{00000000-0005-0000-0000-0000CF1E0000}"/>
    <cellStyle name="Normal 3 2 2 7 2 2 2 5 2" xfId="49003" xr:uid="{00000000-0005-0000-0000-0000D01E0000}"/>
    <cellStyle name="Normal 3 2 2 7 2 2 2 6" xfId="34115" xr:uid="{00000000-0005-0000-0000-0000D11E0000}"/>
    <cellStyle name="Normal 3 2 2 7 2 2 3" xfId="2244" xr:uid="{00000000-0005-0000-0000-0000D21E0000}"/>
    <cellStyle name="Normal 3 2 2 7 2 2 3 2" xfId="2245" xr:uid="{00000000-0005-0000-0000-0000D31E0000}"/>
    <cellStyle name="Normal 3 2 2 7 2 2 3 2 2" xfId="2246" xr:uid="{00000000-0005-0000-0000-0000D41E0000}"/>
    <cellStyle name="Normal 3 2 2 7 2 2 3 2 2 2" xfId="28951" xr:uid="{00000000-0005-0000-0000-0000D51E0000}"/>
    <cellStyle name="Normal 3 2 2 7 2 2 3 2 2 2 2" xfId="60822" xr:uid="{00000000-0005-0000-0000-0000D61E0000}"/>
    <cellStyle name="Normal 3 2 2 7 2 2 3 2 2 3" xfId="34125" xr:uid="{00000000-0005-0000-0000-0000D71E0000}"/>
    <cellStyle name="Normal 3 2 2 7 2 2 3 2 3" xfId="21073" xr:uid="{00000000-0005-0000-0000-0000D81E0000}"/>
    <cellStyle name="Normal 3 2 2 7 2 2 3 2 3 2" xfId="52944" xr:uid="{00000000-0005-0000-0000-0000D91E0000}"/>
    <cellStyle name="Normal 3 2 2 7 2 2 3 2 4" xfId="34124" xr:uid="{00000000-0005-0000-0000-0000DA1E0000}"/>
    <cellStyle name="Normal 3 2 2 7 2 2 3 3" xfId="2247" xr:uid="{00000000-0005-0000-0000-0000DB1E0000}"/>
    <cellStyle name="Normal 3 2 2 7 2 2 3 3 2" xfId="25012" xr:uid="{00000000-0005-0000-0000-0000DC1E0000}"/>
    <cellStyle name="Normal 3 2 2 7 2 2 3 3 2 2" xfId="56883" xr:uid="{00000000-0005-0000-0000-0000DD1E0000}"/>
    <cellStyle name="Normal 3 2 2 7 2 2 3 3 3" xfId="34126" xr:uid="{00000000-0005-0000-0000-0000DE1E0000}"/>
    <cellStyle name="Normal 3 2 2 7 2 2 3 4" xfId="17134" xr:uid="{00000000-0005-0000-0000-0000DF1E0000}"/>
    <cellStyle name="Normal 3 2 2 7 2 2 3 4 2" xfId="49005" xr:uid="{00000000-0005-0000-0000-0000E01E0000}"/>
    <cellStyle name="Normal 3 2 2 7 2 2 3 5" xfId="34123" xr:uid="{00000000-0005-0000-0000-0000E11E0000}"/>
    <cellStyle name="Normal 3 2 2 7 2 2 4" xfId="2248" xr:uid="{00000000-0005-0000-0000-0000E21E0000}"/>
    <cellStyle name="Normal 3 2 2 7 2 2 4 2" xfId="2249" xr:uid="{00000000-0005-0000-0000-0000E31E0000}"/>
    <cellStyle name="Normal 3 2 2 7 2 2 4 2 2" xfId="28948" xr:uid="{00000000-0005-0000-0000-0000E41E0000}"/>
    <cellStyle name="Normal 3 2 2 7 2 2 4 2 2 2" xfId="60819" xr:uid="{00000000-0005-0000-0000-0000E51E0000}"/>
    <cellStyle name="Normal 3 2 2 7 2 2 4 2 3" xfId="34128" xr:uid="{00000000-0005-0000-0000-0000E61E0000}"/>
    <cellStyle name="Normal 3 2 2 7 2 2 4 3" xfId="21070" xr:uid="{00000000-0005-0000-0000-0000E71E0000}"/>
    <cellStyle name="Normal 3 2 2 7 2 2 4 3 2" xfId="52941" xr:uid="{00000000-0005-0000-0000-0000E81E0000}"/>
    <cellStyle name="Normal 3 2 2 7 2 2 4 4" xfId="34127" xr:uid="{00000000-0005-0000-0000-0000E91E0000}"/>
    <cellStyle name="Normal 3 2 2 7 2 2 5" xfId="2250" xr:uid="{00000000-0005-0000-0000-0000EA1E0000}"/>
    <cellStyle name="Normal 3 2 2 7 2 2 5 2" xfId="25009" xr:uid="{00000000-0005-0000-0000-0000EB1E0000}"/>
    <cellStyle name="Normal 3 2 2 7 2 2 5 2 2" xfId="56880" xr:uid="{00000000-0005-0000-0000-0000EC1E0000}"/>
    <cellStyle name="Normal 3 2 2 7 2 2 5 3" xfId="34129" xr:uid="{00000000-0005-0000-0000-0000ED1E0000}"/>
    <cellStyle name="Normal 3 2 2 7 2 2 6" xfId="17131" xr:uid="{00000000-0005-0000-0000-0000EE1E0000}"/>
    <cellStyle name="Normal 3 2 2 7 2 2 6 2" xfId="49002" xr:uid="{00000000-0005-0000-0000-0000EF1E0000}"/>
    <cellStyle name="Normal 3 2 2 7 2 2 7" xfId="34114" xr:uid="{00000000-0005-0000-0000-0000F01E0000}"/>
    <cellStyle name="Normal 3 2 2 7 2 3" xfId="2251" xr:uid="{00000000-0005-0000-0000-0000F11E0000}"/>
    <cellStyle name="Normal 3 2 2 7 2 3 2" xfId="2252" xr:uid="{00000000-0005-0000-0000-0000F21E0000}"/>
    <cellStyle name="Normal 3 2 2 7 2 3 2 2" xfId="2253" xr:uid="{00000000-0005-0000-0000-0000F31E0000}"/>
    <cellStyle name="Normal 3 2 2 7 2 3 2 2 2" xfId="2254" xr:uid="{00000000-0005-0000-0000-0000F41E0000}"/>
    <cellStyle name="Normal 3 2 2 7 2 3 2 2 2 2" xfId="28953" xr:uid="{00000000-0005-0000-0000-0000F51E0000}"/>
    <cellStyle name="Normal 3 2 2 7 2 3 2 2 2 2 2" xfId="60824" xr:uid="{00000000-0005-0000-0000-0000F61E0000}"/>
    <cellStyle name="Normal 3 2 2 7 2 3 2 2 2 3" xfId="34133" xr:uid="{00000000-0005-0000-0000-0000F71E0000}"/>
    <cellStyle name="Normal 3 2 2 7 2 3 2 2 3" xfId="21075" xr:uid="{00000000-0005-0000-0000-0000F81E0000}"/>
    <cellStyle name="Normal 3 2 2 7 2 3 2 2 3 2" xfId="52946" xr:uid="{00000000-0005-0000-0000-0000F91E0000}"/>
    <cellStyle name="Normal 3 2 2 7 2 3 2 2 4" xfId="34132" xr:uid="{00000000-0005-0000-0000-0000FA1E0000}"/>
    <cellStyle name="Normal 3 2 2 7 2 3 2 3" xfId="2255" xr:uid="{00000000-0005-0000-0000-0000FB1E0000}"/>
    <cellStyle name="Normal 3 2 2 7 2 3 2 3 2" xfId="25014" xr:uid="{00000000-0005-0000-0000-0000FC1E0000}"/>
    <cellStyle name="Normal 3 2 2 7 2 3 2 3 2 2" xfId="56885" xr:uid="{00000000-0005-0000-0000-0000FD1E0000}"/>
    <cellStyle name="Normal 3 2 2 7 2 3 2 3 3" xfId="34134" xr:uid="{00000000-0005-0000-0000-0000FE1E0000}"/>
    <cellStyle name="Normal 3 2 2 7 2 3 2 4" xfId="17136" xr:uid="{00000000-0005-0000-0000-0000FF1E0000}"/>
    <cellStyle name="Normal 3 2 2 7 2 3 2 4 2" xfId="49007" xr:uid="{00000000-0005-0000-0000-0000001F0000}"/>
    <cellStyle name="Normal 3 2 2 7 2 3 2 5" xfId="34131" xr:uid="{00000000-0005-0000-0000-0000011F0000}"/>
    <cellStyle name="Normal 3 2 2 7 2 3 3" xfId="2256" xr:uid="{00000000-0005-0000-0000-0000021F0000}"/>
    <cellStyle name="Normal 3 2 2 7 2 3 3 2" xfId="2257" xr:uid="{00000000-0005-0000-0000-0000031F0000}"/>
    <cellStyle name="Normal 3 2 2 7 2 3 3 2 2" xfId="28952" xr:uid="{00000000-0005-0000-0000-0000041F0000}"/>
    <cellStyle name="Normal 3 2 2 7 2 3 3 2 2 2" xfId="60823" xr:uid="{00000000-0005-0000-0000-0000051F0000}"/>
    <cellStyle name="Normal 3 2 2 7 2 3 3 2 3" xfId="34136" xr:uid="{00000000-0005-0000-0000-0000061F0000}"/>
    <cellStyle name="Normal 3 2 2 7 2 3 3 3" xfId="21074" xr:uid="{00000000-0005-0000-0000-0000071F0000}"/>
    <cellStyle name="Normal 3 2 2 7 2 3 3 3 2" xfId="52945" xr:uid="{00000000-0005-0000-0000-0000081F0000}"/>
    <cellStyle name="Normal 3 2 2 7 2 3 3 4" xfId="34135" xr:uid="{00000000-0005-0000-0000-0000091F0000}"/>
    <cellStyle name="Normal 3 2 2 7 2 3 4" xfId="2258" xr:uid="{00000000-0005-0000-0000-00000A1F0000}"/>
    <cellStyle name="Normal 3 2 2 7 2 3 4 2" xfId="25013" xr:uid="{00000000-0005-0000-0000-00000B1F0000}"/>
    <cellStyle name="Normal 3 2 2 7 2 3 4 2 2" xfId="56884" xr:uid="{00000000-0005-0000-0000-00000C1F0000}"/>
    <cellStyle name="Normal 3 2 2 7 2 3 4 3" xfId="34137" xr:uid="{00000000-0005-0000-0000-00000D1F0000}"/>
    <cellStyle name="Normal 3 2 2 7 2 3 5" xfId="17135" xr:uid="{00000000-0005-0000-0000-00000E1F0000}"/>
    <cellStyle name="Normal 3 2 2 7 2 3 5 2" xfId="49006" xr:uid="{00000000-0005-0000-0000-00000F1F0000}"/>
    <cellStyle name="Normal 3 2 2 7 2 3 6" xfId="34130" xr:uid="{00000000-0005-0000-0000-0000101F0000}"/>
    <cellStyle name="Normal 3 2 2 7 2 4" xfId="2259" xr:uid="{00000000-0005-0000-0000-0000111F0000}"/>
    <cellStyle name="Normal 3 2 2 7 2 4 2" xfId="2260" xr:uid="{00000000-0005-0000-0000-0000121F0000}"/>
    <cellStyle name="Normal 3 2 2 7 2 4 2 2" xfId="2261" xr:uid="{00000000-0005-0000-0000-0000131F0000}"/>
    <cellStyle name="Normal 3 2 2 7 2 4 2 2 2" xfId="28954" xr:uid="{00000000-0005-0000-0000-0000141F0000}"/>
    <cellStyle name="Normal 3 2 2 7 2 4 2 2 2 2" xfId="60825" xr:uid="{00000000-0005-0000-0000-0000151F0000}"/>
    <cellStyle name="Normal 3 2 2 7 2 4 2 2 3" xfId="34140" xr:uid="{00000000-0005-0000-0000-0000161F0000}"/>
    <cellStyle name="Normal 3 2 2 7 2 4 2 3" xfId="21076" xr:uid="{00000000-0005-0000-0000-0000171F0000}"/>
    <cellStyle name="Normal 3 2 2 7 2 4 2 3 2" xfId="52947" xr:uid="{00000000-0005-0000-0000-0000181F0000}"/>
    <cellStyle name="Normal 3 2 2 7 2 4 2 4" xfId="34139" xr:uid="{00000000-0005-0000-0000-0000191F0000}"/>
    <cellStyle name="Normal 3 2 2 7 2 4 3" xfId="2262" xr:uid="{00000000-0005-0000-0000-00001A1F0000}"/>
    <cellStyle name="Normal 3 2 2 7 2 4 3 2" xfId="25015" xr:uid="{00000000-0005-0000-0000-00001B1F0000}"/>
    <cellStyle name="Normal 3 2 2 7 2 4 3 2 2" xfId="56886" xr:uid="{00000000-0005-0000-0000-00001C1F0000}"/>
    <cellStyle name="Normal 3 2 2 7 2 4 3 3" xfId="34141" xr:uid="{00000000-0005-0000-0000-00001D1F0000}"/>
    <cellStyle name="Normal 3 2 2 7 2 4 4" xfId="17137" xr:uid="{00000000-0005-0000-0000-00001E1F0000}"/>
    <cellStyle name="Normal 3 2 2 7 2 4 4 2" xfId="49008" xr:uid="{00000000-0005-0000-0000-00001F1F0000}"/>
    <cellStyle name="Normal 3 2 2 7 2 4 5" xfId="34138" xr:uid="{00000000-0005-0000-0000-0000201F0000}"/>
    <cellStyle name="Normal 3 2 2 7 2 5" xfId="2263" xr:uid="{00000000-0005-0000-0000-0000211F0000}"/>
    <cellStyle name="Normal 3 2 2 7 2 5 2" xfId="2264" xr:uid="{00000000-0005-0000-0000-0000221F0000}"/>
    <cellStyle name="Normal 3 2 2 7 2 5 2 2" xfId="28947" xr:uid="{00000000-0005-0000-0000-0000231F0000}"/>
    <cellStyle name="Normal 3 2 2 7 2 5 2 2 2" xfId="60818" xr:uid="{00000000-0005-0000-0000-0000241F0000}"/>
    <cellStyle name="Normal 3 2 2 7 2 5 2 3" xfId="34143" xr:uid="{00000000-0005-0000-0000-0000251F0000}"/>
    <cellStyle name="Normal 3 2 2 7 2 5 3" xfId="21069" xr:uid="{00000000-0005-0000-0000-0000261F0000}"/>
    <cellStyle name="Normal 3 2 2 7 2 5 3 2" xfId="52940" xr:uid="{00000000-0005-0000-0000-0000271F0000}"/>
    <cellStyle name="Normal 3 2 2 7 2 5 4" xfId="34142" xr:uid="{00000000-0005-0000-0000-0000281F0000}"/>
    <cellStyle name="Normal 3 2 2 7 2 6" xfId="2265" xr:uid="{00000000-0005-0000-0000-0000291F0000}"/>
    <cellStyle name="Normal 3 2 2 7 2 6 2" xfId="25008" xr:uid="{00000000-0005-0000-0000-00002A1F0000}"/>
    <cellStyle name="Normal 3 2 2 7 2 6 2 2" xfId="56879" xr:uid="{00000000-0005-0000-0000-00002B1F0000}"/>
    <cellStyle name="Normal 3 2 2 7 2 6 3" xfId="34144" xr:uid="{00000000-0005-0000-0000-00002C1F0000}"/>
    <cellStyle name="Normal 3 2 2 7 2 7" xfId="17130" xr:uid="{00000000-0005-0000-0000-00002D1F0000}"/>
    <cellStyle name="Normal 3 2 2 7 2 7 2" xfId="49001" xr:uid="{00000000-0005-0000-0000-00002E1F0000}"/>
    <cellStyle name="Normal 3 2 2 7 2 8" xfId="34113" xr:uid="{00000000-0005-0000-0000-00002F1F0000}"/>
    <cellStyle name="Normal 3 2 2 7 3" xfId="2266" xr:uid="{00000000-0005-0000-0000-0000301F0000}"/>
    <cellStyle name="Normal 3 2 2 7 3 2" xfId="2267" xr:uid="{00000000-0005-0000-0000-0000311F0000}"/>
    <cellStyle name="Normal 3 2 2 7 3 2 2" xfId="2268" xr:uid="{00000000-0005-0000-0000-0000321F0000}"/>
    <cellStyle name="Normal 3 2 2 7 3 2 2 2" xfId="2269" xr:uid="{00000000-0005-0000-0000-0000331F0000}"/>
    <cellStyle name="Normal 3 2 2 7 3 2 2 2 2" xfId="2270" xr:uid="{00000000-0005-0000-0000-0000341F0000}"/>
    <cellStyle name="Normal 3 2 2 7 3 2 2 2 2 2" xfId="28957" xr:uid="{00000000-0005-0000-0000-0000351F0000}"/>
    <cellStyle name="Normal 3 2 2 7 3 2 2 2 2 2 2" xfId="60828" xr:uid="{00000000-0005-0000-0000-0000361F0000}"/>
    <cellStyle name="Normal 3 2 2 7 3 2 2 2 2 3" xfId="34149" xr:uid="{00000000-0005-0000-0000-0000371F0000}"/>
    <cellStyle name="Normal 3 2 2 7 3 2 2 2 3" xfId="21079" xr:uid="{00000000-0005-0000-0000-0000381F0000}"/>
    <cellStyle name="Normal 3 2 2 7 3 2 2 2 3 2" xfId="52950" xr:uid="{00000000-0005-0000-0000-0000391F0000}"/>
    <cellStyle name="Normal 3 2 2 7 3 2 2 2 4" xfId="34148" xr:uid="{00000000-0005-0000-0000-00003A1F0000}"/>
    <cellStyle name="Normal 3 2 2 7 3 2 2 3" xfId="2271" xr:uid="{00000000-0005-0000-0000-00003B1F0000}"/>
    <cellStyle name="Normal 3 2 2 7 3 2 2 3 2" xfId="25018" xr:uid="{00000000-0005-0000-0000-00003C1F0000}"/>
    <cellStyle name="Normal 3 2 2 7 3 2 2 3 2 2" xfId="56889" xr:uid="{00000000-0005-0000-0000-00003D1F0000}"/>
    <cellStyle name="Normal 3 2 2 7 3 2 2 3 3" xfId="34150" xr:uid="{00000000-0005-0000-0000-00003E1F0000}"/>
    <cellStyle name="Normal 3 2 2 7 3 2 2 4" xfId="17140" xr:uid="{00000000-0005-0000-0000-00003F1F0000}"/>
    <cellStyle name="Normal 3 2 2 7 3 2 2 4 2" xfId="49011" xr:uid="{00000000-0005-0000-0000-0000401F0000}"/>
    <cellStyle name="Normal 3 2 2 7 3 2 2 5" xfId="34147" xr:uid="{00000000-0005-0000-0000-0000411F0000}"/>
    <cellStyle name="Normal 3 2 2 7 3 2 3" xfId="2272" xr:uid="{00000000-0005-0000-0000-0000421F0000}"/>
    <cellStyle name="Normal 3 2 2 7 3 2 3 2" xfId="2273" xr:uid="{00000000-0005-0000-0000-0000431F0000}"/>
    <cellStyle name="Normal 3 2 2 7 3 2 3 2 2" xfId="28956" xr:uid="{00000000-0005-0000-0000-0000441F0000}"/>
    <cellStyle name="Normal 3 2 2 7 3 2 3 2 2 2" xfId="60827" xr:uid="{00000000-0005-0000-0000-0000451F0000}"/>
    <cellStyle name="Normal 3 2 2 7 3 2 3 2 3" xfId="34152" xr:uid="{00000000-0005-0000-0000-0000461F0000}"/>
    <cellStyle name="Normal 3 2 2 7 3 2 3 3" xfId="21078" xr:uid="{00000000-0005-0000-0000-0000471F0000}"/>
    <cellStyle name="Normal 3 2 2 7 3 2 3 3 2" xfId="52949" xr:uid="{00000000-0005-0000-0000-0000481F0000}"/>
    <cellStyle name="Normal 3 2 2 7 3 2 3 4" xfId="34151" xr:uid="{00000000-0005-0000-0000-0000491F0000}"/>
    <cellStyle name="Normal 3 2 2 7 3 2 4" xfId="2274" xr:uid="{00000000-0005-0000-0000-00004A1F0000}"/>
    <cellStyle name="Normal 3 2 2 7 3 2 4 2" xfId="25017" xr:uid="{00000000-0005-0000-0000-00004B1F0000}"/>
    <cellStyle name="Normal 3 2 2 7 3 2 4 2 2" xfId="56888" xr:uid="{00000000-0005-0000-0000-00004C1F0000}"/>
    <cellStyle name="Normal 3 2 2 7 3 2 4 3" xfId="34153" xr:uid="{00000000-0005-0000-0000-00004D1F0000}"/>
    <cellStyle name="Normal 3 2 2 7 3 2 5" xfId="17139" xr:uid="{00000000-0005-0000-0000-00004E1F0000}"/>
    <cellStyle name="Normal 3 2 2 7 3 2 5 2" xfId="49010" xr:uid="{00000000-0005-0000-0000-00004F1F0000}"/>
    <cellStyle name="Normal 3 2 2 7 3 2 6" xfId="34146" xr:uid="{00000000-0005-0000-0000-0000501F0000}"/>
    <cellStyle name="Normal 3 2 2 7 3 3" xfId="2275" xr:uid="{00000000-0005-0000-0000-0000511F0000}"/>
    <cellStyle name="Normal 3 2 2 7 3 3 2" xfId="2276" xr:uid="{00000000-0005-0000-0000-0000521F0000}"/>
    <cellStyle name="Normal 3 2 2 7 3 3 2 2" xfId="2277" xr:uid="{00000000-0005-0000-0000-0000531F0000}"/>
    <cellStyle name="Normal 3 2 2 7 3 3 2 2 2" xfId="28958" xr:uid="{00000000-0005-0000-0000-0000541F0000}"/>
    <cellStyle name="Normal 3 2 2 7 3 3 2 2 2 2" xfId="60829" xr:uid="{00000000-0005-0000-0000-0000551F0000}"/>
    <cellStyle name="Normal 3 2 2 7 3 3 2 2 3" xfId="34156" xr:uid="{00000000-0005-0000-0000-0000561F0000}"/>
    <cellStyle name="Normal 3 2 2 7 3 3 2 3" xfId="21080" xr:uid="{00000000-0005-0000-0000-0000571F0000}"/>
    <cellStyle name="Normal 3 2 2 7 3 3 2 3 2" xfId="52951" xr:uid="{00000000-0005-0000-0000-0000581F0000}"/>
    <cellStyle name="Normal 3 2 2 7 3 3 2 4" xfId="34155" xr:uid="{00000000-0005-0000-0000-0000591F0000}"/>
    <cellStyle name="Normal 3 2 2 7 3 3 3" xfId="2278" xr:uid="{00000000-0005-0000-0000-00005A1F0000}"/>
    <cellStyle name="Normal 3 2 2 7 3 3 3 2" xfId="25019" xr:uid="{00000000-0005-0000-0000-00005B1F0000}"/>
    <cellStyle name="Normal 3 2 2 7 3 3 3 2 2" xfId="56890" xr:uid="{00000000-0005-0000-0000-00005C1F0000}"/>
    <cellStyle name="Normal 3 2 2 7 3 3 3 3" xfId="34157" xr:uid="{00000000-0005-0000-0000-00005D1F0000}"/>
    <cellStyle name="Normal 3 2 2 7 3 3 4" xfId="17141" xr:uid="{00000000-0005-0000-0000-00005E1F0000}"/>
    <cellStyle name="Normal 3 2 2 7 3 3 4 2" xfId="49012" xr:uid="{00000000-0005-0000-0000-00005F1F0000}"/>
    <cellStyle name="Normal 3 2 2 7 3 3 5" xfId="34154" xr:uid="{00000000-0005-0000-0000-0000601F0000}"/>
    <cellStyle name="Normal 3 2 2 7 3 4" xfId="2279" xr:uid="{00000000-0005-0000-0000-0000611F0000}"/>
    <cellStyle name="Normal 3 2 2 7 3 4 2" xfId="2280" xr:uid="{00000000-0005-0000-0000-0000621F0000}"/>
    <cellStyle name="Normal 3 2 2 7 3 4 2 2" xfId="28955" xr:uid="{00000000-0005-0000-0000-0000631F0000}"/>
    <cellStyle name="Normal 3 2 2 7 3 4 2 2 2" xfId="60826" xr:uid="{00000000-0005-0000-0000-0000641F0000}"/>
    <cellStyle name="Normal 3 2 2 7 3 4 2 3" xfId="34159" xr:uid="{00000000-0005-0000-0000-0000651F0000}"/>
    <cellStyle name="Normal 3 2 2 7 3 4 3" xfId="21077" xr:uid="{00000000-0005-0000-0000-0000661F0000}"/>
    <cellStyle name="Normal 3 2 2 7 3 4 3 2" xfId="52948" xr:uid="{00000000-0005-0000-0000-0000671F0000}"/>
    <cellStyle name="Normal 3 2 2 7 3 4 4" xfId="34158" xr:uid="{00000000-0005-0000-0000-0000681F0000}"/>
    <cellStyle name="Normal 3 2 2 7 3 5" xfId="2281" xr:uid="{00000000-0005-0000-0000-0000691F0000}"/>
    <cellStyle name="Normal 3 2 2 7 3 5 2" xfId="25016" xr:uid="{00000000-0005-0000-0000-00006A1F0000}"/>
    <cellStyle name="Normal 3 2 2 7 3 5 2 2" xfId="56887" xr:uid="{00000000-0005-0000-0000-00006B1F0000}"/>
    <cellStyle name="Normal 3 2 2 7 3 5 3" xfId="34160" xr:uid="{00000000-0005-0000-0000-00006C1F0000}"/>
    <cellStyle name="Normal 3 2 2 7 3 6" xfId="17138" xr:uid="{00000000-0005-0000-0000-00006D1F0000}"/>
    <cellStyle name="Normal 3 2 2 7 3 6 2" xfId="49009" xr:uid="{00000000-0005-0000-0000-00006E1F0000}"/>
    <cellStyle name="Normal 3 2 2 7 3 7" xfId="34145" xr:uid="{00000000-0005-0000-0000-00006F1F0000}"/>
    <cellStyle name="Normal 3 2 2 7 4" xfId="2282" xr:uid="{00000000-0005-0000-0000-0000701F0000}"/>
    <cellStyle name="Normal 3 2 2 7 4 2" xfId="2283" xr:uid="{00000000-0005-0000-0000-0000711F0000}"/>
    <cellStyle name="Normal 3 2 2 7 4 2 2" xfId="2284" xr:uid="{00000000-0005-0000-0000-0000721F0000}"/>
    <cellStyle name="Normal 3 2 2 7 4 2 2 2" xfId="2285" xr:uid="{00000000-0005-0000-0000-0000731F0000}"/>
    <cellStyle name="Normal 3 2 2 7 4 2 2 2 2" xfId="28960" xr:uid="{00000000-0005-0000-0000-0000741F0000}"/>
    <cellStyle name="Normal 3 2 2 7 4 2 2 2 2 2" xfId="60831" xr:uid="{00000000-0005-0000-0000-0000751F0000}"/>
    <cellStyle name="Normal 3 2 2 7 4 2 2 2 3" xfId="34164" xr:uid="{00000000-0005-0000-0000-0000761F0000}"/>
    <cellStyle name="Normal 3 2 2 7 4 2 2 3" xfId="21082" xr:uid="{00000000-0005-0000-0000-0000771F0000}"/>
    <cellStyle name="Normal 3 2 2 7 4 2 2 3 2" xfId="52953" xr:uid="{00000000-0005-0000-0000-0000781F0000}"/>
    <cellStyle name="Normal 3 2 2 7 4 2 2 4" xfId="34163" xr:uid="{00000000-0005-0000-0000-0000791F0000}"/>
    <cellStyle name="Normal 3 2 2 7 4 2 3" xfId="2286" xr:uid="{00000000-0005-0000-0000-00007A1F0000}"/>
    <cellStyle name="Normal 3 2 2 7 4 2 3 2" xfId="25021" xr:uid="{00000000-0005-0000-0000-00007B1F0000}"/>
    <cellStyle name="Normal 3 2 2 7 4 2 3 2 2" xfId="56892" xr:uid="{00000000-0005-0000-0000-00007C1F0000}"/>
    <cellStyle name="Normal 3 2 2 7 4 2 3 3" xfId="34165" xr:uid="{00000000-0005-0000-0000-00007D1F0000}"/>
    <cellStyle name="Normal 3 2 2 7 4 2 4" xfId="17143" xr:uid="{00000000-0005-0000-0000-00007E1F0000}"/>
    <cellStyle name="Normal 3 2 2 7 4 2 4 2" xfId="49014" xr:uid="{00000000-0005-0000-0000-00007F1F0000}"/>
    <cellStyle name="Normal 3 2 2 7 4 2 5" xfId="34162" xr:uid="{00000000-0005-0000-0000-0000801F0000}"/>
    <cellStyle name="Normal 3 2 2 7 4 3" xfId="2287" xr:uid="{00000000-0005-0000-0000-0000811F0000}"/>
    <cellStyle name="Normal 3 2 2 7 4 3 2" xfId="2288" xr:uid="{00000000-0005-0000-0000-0000821F0000}"/>
    <cellStyle name="Normal 3 2 2 7 4 3 2 2" xfId="28959" xr:uid="{00000000-0005-0000-0000-0000831F0000}"/>
    <cellStyle name="Normal 3 2 2 7 4 3 2 2 2" xfId="60830" xr:uid="{00000000-0005-0000-0000-0000841F0000}"/>
    <cellStyle name="Normal 3 2 2 7 4 3 2 3" xfId="34167" xr:uid="{00000000-0005-0000-0000-0000851F0000}"/>
    <cellStyle name="Normal 3 2 2 7 4 3 3" xfId="21081" xr:uid="{00000000-0005-0000-0000-0000861F0000}"/>
    <cellStyle name="Normal 3 2 2 7 4 3 3 2" xfId="52952" xr:uid="{00000000-0005-0000-0000-0000871F0000}"/>
    <cellStyle name="Normal 3 2 2 7 4 3 4" xfId="34166" xr:uid="{00000000-0005-0000-0000-0000881F0000}"/>
    <cellStyle name="Normal 3 2 2 7 4 4" xfId="2289" xr:uid="{00000000-0005-0000-0000-0000891F0000}"/>
    <cellStyle name="Normal 3 2 2 7 4 4 2" xfId="25020" xr:uid="{00000000-0005-0000-0000-00008A1F0000}"/>
    <cellStyle name="Normal 3 2 2 7 4 4 2 2" xfId="56891" xr:uid="{00000000-0005-0000-0000-00008B1F0000}"/>
    <cellStyle name="Normal 3 2 2 7 4 4 3" xfId="34168" xr:uid="{00000000-0005-0000-0000-00008C1F0000}"/>
    <cellStyle name="Normal 3 2 2 7 4 5" xfId="17142" xr:uid="{00000000-0005-0000-0000-00008D1F0000}"/>
    <cellStyle name="Normal 3 2 2 7 4 5 2" xfId="49013" xr:uid="{00000000-0005-0000-0000-00008E1F0000}"/>
    <cellStyle name="Normal 3 2 2 7 4 6" xfId="34161" xr:uid="{00000000-0005-0000-0000-00008F1F0000}"/>
    <cellStyle name="Normal 3 2 2 7 5" xfId="2290" xr:uid="{00000000-0005-0000-0000-0000901F0000}"/>
    <cellStyle name="Normal 3 2 2 7 5 2" xfId="2291" xr:uid="{00000000-0005-0000-0000-0000911F0000}"/>
    <cellStyle name="Normal 3 2 2 7 5 2 2" xfId="2292" xr:uid="{00000000-0005-0000-0000-0000921F0000}"/>
    <cellStyle name="Normal 3 2 2 7 5 2 2 2" xfId="28961" xr:uid="{00000000-0005-0000-0000-0000931F0000}"/>
    <cellStyle name="Normal 3 2 2 7 5 2 2 2 2" xfId="60832" xr:uid="{00000000-0005-0000-0000-0000941F0000}"/>
    <cellStyle name="Normal 3 2 2 7 5 2 2 3" xfId="34171" xr:uid="{00000000-0005-0000-0000-0000951F0000}"/>
    <cellStyle name="Normal 3 2 2 7 5 2 3" xfId="21083" xr:uid="{00000000-0005-0000-0000-0000961F0000}"/>
    <cellStyle name="Normal 3 2 2 7 5 2 3 2" xfId="52954" xr:uid="{00000000-0005-0000-0000-0000971F0000}"/>
    <cellStyle name="Normal 3 2 2 7 5 2 4" xfId="34170" xr:uid="{00000000-0005-0000-0000-0000981F0000}"/>
    <cellStyle name="Normal 3 2 2 7 5 3" xfId="2293" xr:uid="{00000000-0005-0000-0000-0000991F0000}"/>
    <cellStyle name="Normal 3 2 2 7 5 3 2" xfId="25022" xr:uid="{00000000-0005-0000-0000-00009A1F0000}"/>
    <cellStyle name="Normal 3 2 2 7 5 3 2 2" xfId="56893" xr:uid="{00000000-0005-0000-0000-00009B1F0000}"/>
    <cellStyle name="Normal 3 2 2 7 5 3 3" xfId="34172" xr:uid="{00000000-0005-0000-0000-00009C1F0000}"/>
    <cellStyle name="Normal 3 2 2 7 5 4" xfId="17144" xr:uid="{00000000-0005-0000-0000-00009D1F0000}"/>
    <cellStyle name="Normal 3 2 2 7 5 4 2" xfId="49015" xr:uid="{00000000-0005-0000-0000-00009E1F0000}"/>
    <cellStyle name="Normal 3 2 2 7 5 5" xfId="34169" xr:uid="{00000000-0005-0000-0000-00009F1F0000}"/>
    <cellStyle name="Normal 3 2 2 7 6" xfId="2294" xr:uid="{00000000-0005-0000-0000-0000A01F0000}"/>
    <cellStyle name="Normal 3 2 2 7 6 2" xfId="2295" xr:uid="{00000000-0005-0000-0000-0000A11F0000}"/>
    <cellStyle name="Normal 3 2 2 7 6 2 2" xfId="28386" xr:uid="{00000000-0005-0000-0000-0000A21F0000}"/>
    <cellStyle name="Normal 3 2 2 7 6 2 2 2" xfId="60257" xr:uid="{00000000-0005-0000-0000-0000A31F0000}"/>
    <cellStyle name="Normal 3 2 2 7 6 2 3" xfId="34174" xr:uid="{00000000-0005-0000-0000-0000A41F0000}"/>
    <cellStyle name="Normal 3 2 2 7 6 3" xfId="20508" xr:uid="{00000000-0005-0000-0000-0000A51F0000}"/>
    <cellStyle name="Normal 3 2 2 7 6 3 2" xfId="52379" xr:uid="{00000000-0005-0000-0000-0000A61F0000}"/>
    <cellStyle name="Normal 3 2 2 7 6 4" xfId="34173" xr:uid="{00000000-0005-0000-0000-0000A71F0000}"/>
    <cellStyle name="Normal 3 2 2 7 7" xfId="2296" xr:uid="{00000000-0005-0000-0000-0000A81F0000}"/>
    <cellStyle name="Normal 3 2 2 7 7 2" xfId="24447" xr:uid="{00000000-0005-0000-0000-0000A91F0000}"/>
    <cellStyle name="Normal 3 2 2 7 7 2 2" xfId="56318" xr:uid="{00000000-0005-0000-0000-0000AA1F0000}"/>
    <cellStyle name="Normal 3 2 2 7 7 3" xfId="34175" xr:uid="{00000000-0005-0000-0000-0000AB1F0000}"/>
    <cellStyle name="Normal 3 2 2 7 8" xfId="16569" xr:uid="{00000000-0005-0000-0000-0000AC1F0000}"/>
    <cellStyle name="Normal 3 2 2 7 8 2" xfId="48440" xr:uid="{00000000-0005-0000-0000-0000AD1F0000}"/>
    <cellStyle name="Normal 3 2 2 7 9" xfId="34112" xr:uid="{00000000-0005-0000-0000-0000AE1F0000}"/>
    <cellStyle name="Normal 3 2 2 8" xfId="2297" xr:uid="{00000000-0005-0000-0000-0000AF1F0000}"/>
    <cellStyle name="Normal 3 2 2 8 2" xfId="2298" xr:uid="{00000000-0005-0000-0000-0000B01F0000}"/>
    <cellStyle name="Normal 3 2 2 8 2 2" xfId="2299" xr:uid="{00000000-0005-0000-0000-0000B11F0000}"/>
    <cellStyle name="Normal 3 2 2 8 2 2 2" xfId="2300" xr:uid="{00000000-0005-0000-0000-0000B21F0000}"/>
    <cellStyle name="Normal 3 2 2 8 2 2 2 2" xfId="2301" xr:uid="{00000000-0005-0000-0000-0000B31F0000}"/>
    <cellStyle name="Normal 3 2 2 8 2 2 2 2 2" xfId="2302" xr:uid="{00000000-0005-0000-0000-0000B41F0000}"/>
    <cellStyle name="Normal 3 2 2 8 2 2 2 2 2 2" xfId="28964" xr:uid="{00000000-0005-0000-0000-0000B51F0000}"/>
    <cellStyle name="Normal 3 2 2 8 2 2 2 2 2 2 2" xfId="60835" xr:uid="{00000000-0005-0000-0000-0000B61F0000}"/>
    <cellStyle name="Normal 3 2 2 8 2 2 2 2 2 3" xfId="34181" xr:uid="{00000000-0005-0000-0000-0000B71F0000}"/>
    <cellStyle name="Normal 3 2 2 8 2 2 2 2 3" xfId="21086" xr:uid="{00000000-0005-0000-0000-0000B81F0000}"/>
    <cellStyle name="Normal 3 2 2 8 2 2 2 2 3 2" xfId="52957" xr:uid="{00000000-0005-0000-0000-0000B91F0000}"/>
    <cellStyle name="Normal 3 2 2 8 2 2 2 2 4" xfId="34180" xr:uid="{00000000-0005-0000-0000-0000BA1F0000}"/>
    <cellStyle name="Normal 3 2 2 8 2 2 2 3" xfId="2303" xr:uid="{00000000-0005-0000-0000-0000BB1F0000}"/>
    <cellStyle name="Normal 3 2 2 8 2 2 2 3 2" xfId="25025" xr:uid="{00000000-0005-0000-0000-0000BC1F0000}"/>
    <cellStyle name="Normal 3 2 2 8 2 2 2 3 2 2" xfId="56896" xr:uid="{00000000-0005-0000-0000-0000BD1F0000}"/>
    <cellStyle name="Normal 3 2 2 8 2 2 2 3 3" xfId="34182" xr:uid="{00000000-0005-0000-0000-0000BE1F0000}"/>
    <cellStyle name="Normal 3 2 2 8 2 2 2 4" xfId="17147" xr:uid="{00000000-0005-0000-0000-0000BF1F0000}"/>
    <cellStyle name="Normal 3 2 2 8 2 2 2 4 2" xfId="49018" xr:uid="{00000000-0005-0000-0000-0000C01F0000}"/>
    <cellStyle name="Normal 3 2 2 8 2 2 2 5" xfId="34179" xr:uid="{00000000-0005-0000-0000-0000C11F0000}"/>
    <cellStyle name="Normal 3 2 2 8 2 2 3" xfId="2304" xr:uid="{00000000-0005-0000-0000-0000C21F0000}"/>
    <cellStyle name="Normal 3 2 2 8 2 2 3 2" xfId="2305" xr:uid="{00000000-0005-0000-0000-0000C31F0000}"/>
    <cellStyle name="Normal 3 2 2 8 2 2 3 2 2" xfId="28963" xr:uid="{00000000-0005-0000-0000-0000C41F0000}"/>
    <cellStyle name="Normal 3 2 2 8 2 2 3 2 2 2" xfId="60834" xr:uid="{00000000-0005-0000-0000-0000C51F0000}"/>
    <cellStyle name="Normal 3 2 2 8 2 2 3 2 3" xfId="34184" xr:uid="{00000000-0005-0000-0000-0000C61F0000}"/>
    <cellStyle name="Normal 3 2 2 8 2 2 3 3" xfId="21085" xr:uid="{00000000-0005-0000-0000-0000C71F0000}"/>
    <cellStyle name="Normal 3 2 2 8 2 2 3 3 2" xfId="52956" xr:uid="{00000000-0005-0000-0000-0000C81F0000}"/>
    <cellStyle name="Normal 3 2 2 8 2 2 3 4" xfId="34183" xr:uid="{00000000-0005-0000-0000-0000C91F0000}"/>
    <cellStyle name="Normal 3 2 2 8 2 2 4" xfId="2306" xr:uid="{00000000-0005-0000-0000-0000CA1F0000}"/>
    <cellStyle name="Normal 3 2 2 8 2 2 4 2" xfId="25024" xr:uid="{00000000-0005-0000-0000-0000CB1F0000}"/>
    <cellStyle name="Normal 3 2 2 8 2 2 4 2 2" xfId="56895" xr:uid="{00000000-0005-0000-0000-0000CC1F0000}"/>
    <cellStyle name="Normal 3 2 2 8 2 2 4 3" xfId="34185" xr:uid="{00000000-0005-0000-0000-0000CD1F0000}"/>
    <cellStyle name="Normal 3 2 2 8 2 2 5" xfId="17146" xr:uid="{00000000-0005-0000-0000-0000CE1F0000}"/>
    <cellStyle name="Normal 3 2 2 8 2 2 5 2" xfId="49017" xr:uid="{00000000-0005-0000-0000-0000CF1F0000}"/>
    <cellStyle name="Normal 3 2 2 8 2 2 6" xfId="34178" xr:uid="{00000000-0005-0000-0000-0000D01F0000}"/>
    <cellStyle name="Normal 3 2 2 8 2 3" xfId="2307" xr:uid="{00000000-0005-0000-0000-0000D11F0000}"/>
    <cellStyle name="Normal 3 2 2 8 2 3 2" xfId="2308" xr:uid="{00000000-0005-0000-0000-0000D21F0000}"/>
    <cellStyle name="Normal 3 2 2 8 2 3 2 2" xfId="2309" xr:uid="{00000000-0005-0000-0000-0000D31F0000}"/>
    <cellStyle name="Normal 3 2 2 8 2 3 2 2 2" xfId="28965" xr:uid="{00000000-0005-0000-0000-0000D41F0000}"/>
    <cellStyle name="Normal 3 2 2 8 2 3 2 2 2 2" xfId="60836" xr:uid="{00000000-0005-0000-0000-0000D51F0000}"/>
    <cellStyle name="Normal 3 2 2 8 2 3 2 2 3" xfId="34188" xr:uid="{00000000-0005-0000-0000-0000D61F0000}"/>
    <cellStyle name="Normal 3 2 2 8 2 3 2 3" xfId="21087" xr:uid="{00000000-0005-0000-0000-0000D71F0000}"/>
    <cellStyle name="Normal 3 2 2 8 2 3 2 3 2" xfId="52958" xr:uid="{00000000-0005-0000-0000-0000D81F0000}"/>
    <cellStyle name="Normal 3 2 2 8 2 3 2 4" xfId="34187" xr:uid="{00000000-0005-0000-0000-0000D91F0000}"/>
    <cellStyle name="Normal 3 2 2 8 2 3 3" xfId="2310" xr:uid="{00000000-0005-0000-0000-0000DA1F0000}"/>
    <cellStyle name="Normal 3 2 2 8 2 3 3 2" xfId="25026" xr:uid="{00000000-0005-0000-0000-0000DB1F0000}"/>
    <cellStyle name="Normal 3 2 2 8 2 3 3 2 2" xfId="56897" xr:uid="{00000000-0005-0000-0000-0000DC1F0000}"/>
    <cellStyle name="Normal 3 2 2 8 2 3 3 3" xfId="34189" xr:uid="{00000000-0005-0000-0000-0000DD1F0000}"/>
    <cellStyle name="Normal 3 2 2 8 2 3 4" xfId="17148" xr:uid="{00000000-0005-0000-0000-0000DE1F0000}"/>
    <cellStyle name="Normal 3 2 2 8 2 3 4 2" xfId="49019" xr:uid="{00000000-0005-0000-0000-0000DF1F0000}"/>
    <cellStyle name="Normal 3 2 2 8 2 3 5" xfId="34186" xr:uid="{00000000-0005-0000-0000-0000E01F0000}"/>
    <cellStyle name="Normal 3 2 2 8 2 4" xfId="2311" xr:uid="{00000000-0005-0000-0000-0000E11F0000}"/>
    <cellStyle name="Normal 3 2 2 8 2 4 2" xfId="2312" xr:uid="{00000000-0005-0000-0000-0000E21F0000}"/>
    <cellStyle name="Normal 3 2 2 8 2 4 2 2" xfId="28962" xr:uid="{00000000-0005-0000-0000-0000E31F0000}"/>
    <cellStyle name="Normal 3 2 2 8 2 4 2 2 2" xfId="60833" xr:uid="{00000000-0005-0000-0000-0000E41F0000}"/>
    <cellStyle name="Normal 3 2 2 8 2 4 2 3" xfId="34191" xr:uid="{00000000-0005-0000-0000-0000E51F0000}"/>
    <cellStyle name="Normal 3 2 2 8 2 4 3" xfId="21084" xr:uid="{00000000-0005-0000-0000-0000E61F0000}"/>
    <cellStyle name="Normal 3 2 2 8 2 4 3 2" xfId="52955" xr:uid="{00000000-0005-0000-0000-0000E71F0000}"/>
    <cellStyle name="Normal 3 2 2 8 2 4 4" xfId="34190" xr:uid="{00000000-0005-0000-0000-0000E81F0000}"/>
    <cellStyle name="Normal 3 2 2 8 2 5" xfId="2313" xr:uid="{00000000-0005-0000-0000-0000E91F0000}"/>
    <cellStyle name="Normal 3 2 2 8 2 5 2" xfId="25023" xr:uid="{00000000-0005-0000-0000-0000EA1F0000}"/>
    <cellStyle name="Normal 3 2 2 8 2 5 2 2" xfId="56894" xr:uid="{00000000-0005-0000-0000-0000EB1F0000}"/>
    <cellStyle name="Normal 3 2 2 8 2 5 3" xfId="34192" xr:uid="{00000000-0005-0000-0000-0000EC1F0000}"/>
    <cellStyle name="Normal 3 2 2 8 2 6" xfId="17145" xr:uid="{00000000-0005-0000-0000-0000ED1F0000}"/>
    <cellStyle name="Normal 3 2 2 8 2 6 2" xfId="49016" xr:uid="{00000000-0005-0000-0000-0000EE1F0000}"/>
    <cellStyle name="Normal 3 2 2 8 2 7" xfId="34177" xr:uid="{00000000-0005-0000-0000-0000EF1F0000}"/>
    <cellStyle name="Normal 3 2 2 8 3" xfId="2314" xr:uid="{00000000-0005-0000-0000-0000F01F0000}"/>
    <cellStyle name="Normal 3 2 2 8 3 2" xfId="2315" xr:uid="{00000000-0005-0000-0000-0000F11F0000}"/>
    <cellStyle name="Normal 3 2 2 8 3 2 2" xfId="2316" xr:uid="{00000000-0005-0000-0000-0000F21F0000}"/>
    <cellStyle name="Normal 3 2 2 8 3 2 2 2" xfId="2317" xr:uid="{00000000-0005-0000-0000-0000F31F0000}"/>
    <cellStyle name="Normal 3 2 2 8 3 2 2 2 2" xfId="28967" xr:uid="{00000000-0005-0000-0000-0000F41F0000}"/>
    <cellStyle name="Normal 3 2 2 8 3 2 2 2 2 2" xfId="60838" xr:uid="{00000000-0005-0000-0000-0000F51F0000}"/>
    <cellStyle name="Normal 3 2 2 8 3 2 2 2 3" xfId="34196" xr:uid="{00000000-0005-0000-0000-0000F61F0000}"/>
    <cellStyle name="Normal 3 2 2 8 3 2 2 3" xfId="21089" xr:uid="{00000000-0005-0000-0000-0000F71F0000}"/>
    <cellStyle name="Normal 3 2 2 8 3 2 2 3 2" xfId="52960" xr:uid="{00000000-0005-0000-0000-0000F81F0000}"/>
    <cellStyle name="Normal 3 2 2 8 3 2 2 4" xfId="34195" xr:uid="{00000000-0005-0000-0000-0000F91F0000}"/>
    <cellStyle name="Normal 3 2 2 8 3 2 3" xfId="2318" xr:uid="{00000000-0005-0000-0000-0000FA1F0000}"/>
    <cellStyle name="Normal 3 2 2 8 3 2 3 2" xfId="25028" xr:uid="{00000000-0005-0000-0000-0000FB1F0000}"/>
    <cellStyle name="Normal 3 2 2 8 3 2 3 2 2" xfId="56899" xr:uid="{00000000-0005-0000-0000-0000FC1F0000}"/>
    <cellStyle name="Normal 3 2 2 8 3 2 3 3" xfId="34197" xr:uid="{00000000-0005-0000-0000-0000FD1F0000}"/>
    <cellStyle name="Normal 3 2 2 8 3 2 4" xfId="17150" xr:uid="{00000000-0005-0000-0000-0000FE1F0000}"/>
    <cellStyle name="Normal 3 2 2 8 3 2 4 2" xfId="49021" xr:uid="{00000000-0005-0000-0000-0000FF1F0000}"/>
    <cellStyle name="Normal 3 2 2 8 3 2 5" xfId="34194" xr:uid="{00000000-0005-0000-0000-000000200000}"/>
    <cellStyle name="Normal 3 2 2 8 3 3" xfId="2319" xr:uid="{00000000-0005-0000-0000-000001200000}"/>
    <cellStyle name="Normal 3 2 2 8 3 3 2" xfId="2320" xr:uid="{00000000-0005-0000-0000-000002200000}"/>
    <cellStyle name="Normal 3 2 2 8 3 3 2 2" xfId="28966" xr:uid="{00000000-0005-0000-0000-000003200000}"/>
    <cellStyle name="Normal 3 2 2 8 3 3 2 2 2" xfId="60837" xr:uid="{00000000-0005-0000-0000-000004200000}"/>
    <cellStyle name="Normal 3 2 2 8 3 3 2 3" xfId="34199" xr:uid="{00000000-0005-0000-0000-000005200000}"/>
    <cellStyle name="Normal 3 2 2 8 3 3 3" xfId="21088" xr:uid="{00000000-0005-0000-0000-000006200000}"/>
    <cellStyle name="Normal 3 2 2 8 3 3 3 2" xfId="52959" xr:uid="{00000000-0005-0000-0000-000007200000}"/>
    <cellStyle name="Normal 3 2 2 8 3 3 4" xfId="34198" xr:uid="{00000000-0005-0000-0000-000008200000}"/>
    <cellStyle name="Normal 3 2 2 8 3 4" xfId="2321" xr:uid="{00000000-0005-0000-0000-000009200000}"/>
    <cellStyle name="Normal 3 2 2 8 3 4 2" xfId="25027" xr:uid="{00000000-0005-0000-0000-00000A200000}"/>
    <cellStyle name="Normal 3 2 2 8 3 4 2 2" xfId="56898" xr:uid="{00000000-0005-0000-0000-00000B200000}"/>
    <cellStyle name="Normal 3 2 2 8 3 4 3" xfId="34200" xr:uid="{00000000-0005-0000-0000-00000C200000}"/>
    <cellStyle name="Normal 3 2 2 8 3 5" xfId="17149" xr:uid="{00000000-0005-0000-0000-00000D200000}"/>
    <cellStyle name="Normal 3 2 2 8 3 5 2" xfId="49020" xr:uid="{00000000-0005-0000-0000-00000E200000}"/>
    <cellStyle name="Normal 3 2 2 8 3 6" xfId="34193" xr:uid="{00000000-0005-0000-0000-00000F200000}"/>
    <cellStyle name="Normal 3 2 2 8 4" xfId="2322" xr:uid="{00000000-0005-0000-0000-000010200000}"/>
    <cellStyle name="Normal 3 2 2 8 4 2" xfId="2323" xr:uid="{00000000-0005-0000-0000-000011200000}"/>
    <cellStyle name="Normal 3 2 2 8 4 2 2" xfId="2324" xr:uid="{00000000-0005-0000-0000-000012200000}"/>
    <cellStyle name="Normal 3 2 2 8 4 2 2 2" xfId="28968" xr:uid="{00000000-0005-0000-0000-000013200000}"/>
    <cellStyle name="Normal 3 2 2 8 4 2 2 2 2" xfId="60839" xr:uid="{00000000-0005-0000-0000-000014200000}"/>
    <cellStyle name="Normal 3 2 2 8 4 2 2 3" xfId="34203" xr:uid="{00000000-0005-0000-0000-000015200000}"/>
    <cellStyle name="Normal 3 2 2 8 4 2 3" xfId="21090" xr:uid="{00000000-0005-0000-0000-000016200000}"/>
    <cellStyle name="Normal 3 2 2 8 4 2 3 2" xfId="52961" xr:uid="{00000000-0005-0000-0000-000017200000}"/>
    <cellStyle name="Normal 3 2 2 8 4 2 4" xfId="34202" xr:uid="{00000000-0005-0000-0000-000018200000}"/>
    <cellStyle name="Normal 3 2 2 8 4 3" xfId="2325" xr:uid="{00000000-0005-0000-0000-000019200000}"/>
    <cellStyle name="Normal 3 2 2 8 4 3 2" xfId="25029" xr:uid="{00000000-0005-0000-0000-00001A200000}"/>
    <cellStyle name="Normal 3 2 2 8 4 3 2 2" xfId="56900" xr:uid="{00000000-0005-0000-0000-00001B200000}"/>
    <cellStyle name="Normal 3 2 2 8 4 3 3" xfId="34204" xr:uid="{00000000-0005-0000-0000-00001C200000}"/>
    <cellStyle name="Normal 3 2 2 8 4 4" xfId="17151" xr:uid="{00000000-0005-0000-0000-00001D200000}"/>
    <cellStyle name="Normal 3 2 2 8 4 4 2" xfId="49022" xr:uid="{00000000-0005-0000-0000-00001E200000}"/>
    <cellStyle name="Normal 3 2 2 8 4 5" xfId="34201" xr:uid="{00000000-0005-0000-0000-00001F200000}"/>
    <cellStyle name="Normal 3 2 2 8 5" xfId="2326" xr:uid="{00000000-0005-0000-0000-000020200000}"/>
    <cellStyle name="Normal 3 2 2 8 5 2" xfId="2327" xr:uid="{00000000-0005-0000-0000-000021200000}"/>
    <cellStyle name="Normal 3 2 2 8 5 2 2" xfId="28263" xr:uid="{00000000-0005-0000-0000-000022200000}"/>
    <cellStyle name="Normal 3 2 2 8 5 2 2 2" xfId="60134" xr:uid="{00000000-0005-0000-0000-000023200000}"/>
    <cellStyle name="Normal 3 2 2 8 5 2 3" xfId="34206" xr:uid="{00000000-0005-0000-0000-000024200000}"/>
    <cellStyle name="Normal 3 2 2 8 5 3" xfId="20385" xr:uid="{00000000-0005-0000-0000-000025200000}"/>
    <cellStyle name="Normal 3 2 2 8 5 3 2" xfId="52256" xr:uid="{00000000-0005-0000-0000-000026200000}"/>
    <cellStyle name="Normal 3 2 2 8 5 4" xfId="34205" xr:uid="{00000000-0005-0000-0000-000027200000}"/>
    <cellStyle name="Normal 3 2 2 8 6" xfId="2328" xr:uid="{00000000-0005-0000-0000-000028200000}"/>
    <cellStyle name="Normal 3 2 2 8 6 2" xfId="24324" xr:uid="{00000000-0005-0000-0000-000029200000}"/>
    <cellStyle name="Normal 3 2 2 8 6 2 2" xfId="56195" xr:uid="{00000000-0005-0000-0000-00002A200000}"/>
    <cellStyle name="Normal 3 2 2 8 6 3" xfId="34207" xr:uid="{00000000-0005-0000-0000-00002B200000}"/>
    <cellStyle name="Normal 3 2 2 8 7" xfId="16446" xr:uid="{00000000-0005-0000-0000-00002C200000}"/>
    <cellStyle name="Normal 3 2 2 8 7 2" xfId="48317" xr:uid="{00000000-0005-0000-0000-00002D200000}"/>
    <cellStyle name="Normal 3 2 2 8 8" xfId="34176" xr:uid="{00000000-0005-0000-0000-00002E200000}"/>
    <cellStyle name="Normal 3 2 2 9" xfId="2329" xr:uid="{00000000-0005-0000-0000-00002F200000}"/>
    <cellStyle name="Normal 3 2 2 9 2" xfId="2330" xr:uid="{00000000-0005-0000-0000-000030200000}"/>
    <cellStyle name="Normal 3 2 2 9 2 2" xfId="2331" xr:uid="{00000000-0005-0000-0000-000031200000}"/>
    <cellStyle name="Normal 3 2 2 9 2 2 2" xfId="2332" xr:uid="{00000000-0005-0000-0000-000032200000}"/>
    <cellStyle name="Normal 3 2 2 9 2 2 2 2" xfId="2333" xr:uid="{00000000-0005-0000-0000-000033200000}"/>
    <cellStyle name="Normal 3 2 2 9 2 2 2 2 2" xfId="28971" xr:uid="{00000000-0005-0000-0000-000034200000}"/>
    <cellStyle name="Normal 3 2 2 9 2 2 2 2 2 2" xfId="60842" xr:uid="{00000000-0005-0000-0000-000035200000}"/>
    <cellStyle name="Normal 3 2 2 9 2 2 2 2 3" xfId="34212" xr:uid="{00000000-0005-0000-0000-000036200000}"/>
    <cellStyle name="Normal 3 2 2 9 2 2 2 3" xfId="21093" xr:uid="{00000000-0005-0000-0000-000037200000}"/>
    <cellStyle name="Normal 3 2 2 9 2 2 2 3 2" xfId="52964" xr:uid="{00000000-0005-0000-0000-000038200000}"/>
    <cellStyle name="Normal 3 2 2 9 2 2 2 4" xfId="34211" xr:uid="{00000000-0005-0000-0000-000039200000}"/>
    <cellStyle name="Normal 3 2 2 9 2 2 3" xfId="2334" xr:uid="{00000000-0005-0000-0000-00003A200000}"/>
    <cellStyle name="Normal 3 2 2 9 2 2 3 2" xfId="25032" xr:uid="{00000000-0005-0000-0000-00003B200000}"/>
    <cellStyle name="Normal 3 2 2 9 2 2 3 2 2" xfId="56903" xr:uid="{00000000-0005-0000-0000-00003C200000}"/>
    <cellStyle name="Normal 3 2 2 9 2 2 3 3" xfId="34213" xr:uid="{00000000-0005-0000-0000-00003D200000}"/>
    <cellStyle name="Normal 3 2 2 9 2 2 4" xfId="17154" xr:uid="{00000000-0005-0000-0000-00003E200000}"/>
    <cellStyle name="Normal 3 2 2 9 2 2 4 2" xfId="49025" xr:uid="{00000000-0005-0000-0000-00003F200000}"/>
    <cellStyle name="Normal 3 2 2 9 2 2 5" xfId="34210" xr:uid="{00000000-0005-0000-0000-000040200000}"/>
    <cellStyle name="Normal 3 2 2 9 2 3" xfId="2335" xr:uid="{00000000-0005-0000-0000-000041200000}"/>
    <cellStyle name="Normal 3 2 2 9 2 3 2" xfId="2336" xr:uid="{00000000-0005-0000-0000-000042200000}"/>
    <cellStyle name="Normal 3 2 2 9 2 3 2 2" xfId="28970" xr:uid="{00000000-0005-0000-0000-000043200000}"/>
    <cellStyle name="Normal 3 2 2 9 2 3 2 2 2" xfId="60841" xr:uid="{00000000-0005-0000-0000-000044200000}"/>
    <cellStyle name="Normal 3 2 2 9 2 3 2 3" xfId="34215" xr:uid="{00000000-0005-0000-0000-000045200000}"/>
    <cellStyle name="Normal 3 2 2 9 2 3 3" xfId="21092" xr:uid="{00000000-0005-0000-0000-000046200000}"/>
    <cellStyle name="Normal 3 2 2 9 2 3 3 2" xfId="52963" xr:uid="{00000000-0005-0000-0000-000047200000}"/>
    <cellStyle name="Normal 3 2 2 9 2 3 4" xfId="34214" xr:uid="{00000000-0005-0000-0000-000048200000}"/>
    <cellStyle name="Normal 3 2 2 9 2 4" xfId="2337" xr:uid="{00000000-0005-0000-0000-000049200000}"/>
    <cellStyle name="Normal 3 2 2 9 2 4 2" xfId="25031" xr:uid="{00000000-0005-0000-0000-00004A200000}"/>
    <cellStyle name="Normal 3 2 2 9 2 4 2 2" xfId="56902" xr:uid="{00000000-0005-0000-0000-00004B200000}"/>
    <cellStyle name="Normal 3 2 2 9 2 4 3" xfId="34216" xr:uid="{00000000-0005-0000-0000-00004C200000}"/>
    <cellStyle name="Normal 3 2 2 9 2 5" xfId="17153" xr:uid="{00000000-0005-0000-0000-00004D200000}"/>
    <cellStyle name="Normal 3 2 2 9 2 5 2" xfId="49024" xr:uid="{00000000-0005-0000-0000-00004E200000}"/>
    <cellStyle name="Normal 3 2 2 9 2 6" xfId="34209" xr:uid="{00000000-0005-0000-0000-00004F200000}"/>
    <cellStyle name="Normal 3 2 2 9 3" xfId="2338" xr:uid="{00000000-0005-0000-0000-000050200000}"/>
    <cellStyle name="Normal 3 2 2 9 3 2" xfId="2339" xr:uid="{00000000-0005-0000-0000-000051200000}"/>
    <cellStyle name="Normal 3 2 2 9 3 2 2" xfId="2340" xr:uid="{00000000-0005-0000-0000-000052200000}"/>
    <cellStyle name="Normal 3 2 2 9 3 2 2 2" xfId="28972" xr:uid="{00000000-0005-0000-0000-000053200000}"/>
    <cellStyle name="Normal 3 2 2 9 3 2 2 2 2" xfId="60843" xr:uid="{00000000-0005-0000-0000-000054200000}"/>
    <cellStyle name="Normal 3 2 2 9 3 2 2 3" xfId="34219" xr:uid="{00000000-0005-0000-0000-000055200000}"/>
    <cellStyle name="Normal 3 2 2 9 3 2 3" xfId="21094" xr:uid="{00000000-0005-0000-0000-000056200000}"/>
    <cellStyle name="Normal 3 2 2 9 3 2 3 2" xfId="52965" xr:uid="{00000000-0005-0000-0000-000057200000}"/>
    <cellStyle name="Normal 3 2 2 9 3 2 4" xfId="34218" xr:uid="{00000000-0005-0000-0000-000058200000}"/>
    <cellStyle name="Normal 3 2 2 9 3 3" xfId="2341" xr:uid="{00000000-0005-0000-0000-000059200000}"/>
    <cellStyle name="Normal 3 2 2 9 3 3 2" xfId="25033" xr:uid="{00000000-0005-0000-0000-00005A200000}"/>
    <cellStyle name="Normal 3 2 2 9 3 3 2 2" xfId="56904" xr:uid="{00000000-0005-0000-0000-00005B200000}"/>
    <cellStyle name="Normal 3 2 2 9 3 3 3" xfId="34220" xr:uid="{00000000-0005-0000-0000-00005C200000}"/>
    <cellStyle name="Normal 3 2 2 9 3 4" xfId="17155" xr:uid="{00000000-0005-0000-0000-00005D200000}"/>
    <cellStyle name="Normal 3 2 2 9 3 4 2" xfId="49026" xr:uid="{00000000-0005-0000-0000-00005E200000}"/>
    <cellStyle name="Normal 3 2 2 9 3 5" xfId="34217" xr:uid="{00000000-0005-0000-0000-00005F200000}"/>
    <cellStyle name="Normal 3 2 2 9 4" xfId="2342" xr:uid="{00000000-0005-0000-0000-000060200000}"/>
    <cellStyle name="Normal 3 2 2 9 4 2" xfId="2343" xr:uid="{00000000-0005-0000-0000-000061200000}"/>
    <cellStyle name="Normal 3 2 2 9 4 2 2" xfId="28969" xr:uid="{00000000-0005-0000-0000-000062200000}"/>
    <cellStyle name="Normal 3 2 2 9 4 2 2 2" xfId="60840" xr:uid="{00000000-0005-0000-0000-000063200000}"/>
    <cellStyle name="Normal 3 2 2 9 4 2 3" xfId="34222" xr:uid="{00000000-0005-0000-0000-000064200000}"/>
    <cellStyle name="Normal 3 2 2 9 4 3" xfId="21091" xr:uid="{00000000-0005-0000-0000-000065200000}"/>
    <cellStyle name="Normal 3 2 2 9 4 3 2" xfId="52962" xr:uid="{00000000-0005-0000-0000-000066200000}"/>
    <cellStyle name="Normal 3 2 2 9 4 4" xfId="34221" xr:uid="{00000000-0005-0000-0000-000067200000}"/>
    <cellStyle name="Normal 3 2 2 9 5" xfId="2344" xr:uid="{00000000-0005-0000-0000-000068200000}"/>
    <cellStyle name="Normal 3 2 2 9 5 2" xfId="25030" xr:uid="{00000000-0005-0000-0000-000069200000}"/>
    <cellStyle name="Normal 3 2 2 9 5 2 2" xfId="56901" xr:uid="{00000000-0005-0000-0000-00006A200000}"/>
    <cellStyle name="Normal 3 2 2 9 5 3" xfId="34223" xr:uid="{00000000-0005-0000-0000-00006B200000}"/>
    <cellStyle name="Normal 3 2 2 9 6" xfId="17152" xr:uid="{00000000-0005-0000-0000-00006C200000}"/>
    <cellStyle name="Normal 3 2 2 9 6 2" xfId="49023" xr:uid="{00000000-0005-0000-0000-00006D200000}"/>
    <cellStyle name="Normal 3 2 2 9 7" xfId="34208" xr:uid="{00000000-0005-0000-0000-00006E200000}"/>
    <cellStyle name="Normal 3 2 3" xfId="2345" xr:uid="{00000000-0005-0000-0000-00006F200000}"/>
    <cellStyle name="Normal 3 2 3 10" xfId="2346" xr:uid="{00000000-0005-0000-0000-000070200000}"/>
    <cellStyle name="Normal 3 2 3 10 2" xfId="2347" xr:uid="{00000000-0005-0000-0000-000071200000}"/>
    <cellStyle name="Normal 3 2 3 10 2 2" xfId="28243" xr:uid="{00000000-0005-0000-0000-000072200000}"/>
    <cellStyle name="Normal 3 2 3 10 2 2 2" xfId="60114" xr:uid="{00000000-0005-0000-0000-000073200000}"/>
    <cellStyle name="Normal 3 2 3 10 2 3" xfId="34226" xr:uid="{00000000-0005-0000-0000-000074200000}"/>
    <cellStyle name="Normal 3 2 3 10 3" xfId="20365" xr:uid="{00000000-0005-0000-0000-000075200000}"/>
    <cellStyle name="Normal 3 2 3 10 3 2" xfId="52236" xr:uid="{00000000-0005-0000-0000-000076200000}"/>
    <cellStyle name="Normal 3 2 3 10 4" xfId="34225" xr:uid="{00000000-0005-0000-0000-000077200000}"/>
    <cellStyle name="Normal 3 2 3 11" xfId="2348" xr:uid="{00000000-0005-0000-0000-000078200000}"/>
    <cellStyle name="Normal 3 2 3 11 2" xfId="24304" xr:uid="{00000000-0005-0000-0000-000079200000}"/>
    <cellStyle name="Normal 3 2 3 11 2 2" xfId="56175" xr:uid="{00000000-0005-0000-0000-00007A200000}"/>
    <cellStyle name="Normal 3 2 3 11 3" xfId="34227" xr:uid="{00000000-0005-0000-0000-00007B200000}"/>
    <cellStyle name="Normal 3 2 3 12" xfId="16426" xr:uid="{00000000-0005-0000-0000-00007C200000}"/>
    <cellStyle name="Normal 3 2 3 12 2" xfId="48297" xr:uid="{00000000-0005-0000-0000-00007D200000}"/>
    <cellStyle name="Normal 3 2 3 13" xfId="34224" xr:uid="{00000000-0005-0000-0000-00007E200000}"/>
    <cellStyle name="Normal 3 2 3 2" xfId="2349" xr:uid="{00000000-0005-0000-0000-00007F200000}"/>
    <cellStyle name="Normal 3 2 3 2 10" xfId="2350" xr:uid="{00000000-0005-0000-0000-000080200000}"/>
    <cellStyle name="Normal 3 2 3 2 10 2" xfId="24345" xr:uid="{00000000-0005-0000-0000-000081200000}"/>
    <cellStyle name="Normal 3 2 3 2 10 2 2" xfId="56216" xr:uid="{00000000-0005-0000-0000-000082200000}"/>
    <cellStyle name="Normal 3 2 3 2 10 3" xfId="34229" xr:uid="{00000000-0005-0000-0000-000083200000}"/>
    <cellStyle name="Normal 3 2 3 2 11" xfId="16467" xr:uid="{00000000-0005-0000-0000-000084200000}"/>
    <cellStyle name="Normal 3 2 3 2 11 2" xfId="48338" xr:uid="{00000000-0005-0000-0000-000085200000}"/>
    <cellStyle name="Normal 3 2 3 2 12" xfId="34228" xr:uid="{00000000-0005-0000-0000-000086200000}"/>
    <cellStyle name="Normal 3 2 3 2 2" xfId="2351" xr:uid="{00000000-0005-0000-0000-000087200000}"/>
    <cellStyle name="Normal 3 2 3 2 2 10" xfId="34230" xr:uid="{00000000-0005-0000-0000-000088200000}"/>
    <cellStyle name="Normal 3 2 3 2 2 2" xfId="2352" xr:uid="{00000000-0005-0000-0000-000089200000}"/>
    <cellStyle name="Normal 3 2 3 2 2 2 2" xfId="2353" xr:uid="{00000000-0005-0000-0000-00008A200000}"/>
    <cellStyle name="Normal 3 2 3 2 2 2 2 2" xfId="2354" xr:uid="{00000000-0005-0000-0000-00008B200000}"/>
    <cellStyle name="Normal 3 2 3 2 2 2 2 2 2" xfId="2355" xr:uid="{00000000-0005-0000-0000-00008C200000}"/>
    <cellStyle name="Normal 3 2 3 2 2 2 2 2 2 2" xfId="2356" xr:uid="{00000000-0005-0000-0000-00008D200000}"/>
    <cellStyle name="Normal 3 2 3 2 2 2 2 2 2 2 2" xfId="2357" xr:uid="{00000000-0005-0000-0000-00008E200000}"/>
    <cellStyle name="Normal 3 2 3 2 2 2 2 2 2 2 2 2" xfId="2358" xr:uid="{00000000-0005-0000-0000-00008F200000}"/>
    <cellStyle name="Normal 3 2 3 2 2 2 2 2 2 2 2 2 2" xfId="28976" xr:uid="{00000000-0005-0000-0000-000090200000}"/>
    <cellStyle name="Normal 3 2 3 2 2 2 2 2 2 2 2 2 2 2" xfId="60847" xr:uid="{00000000-0005-0000-0000-000091200000}"/>
    <cellStyle name="Normal 3 2 3 2 2 2 2 2 2 2 2 2 3" xfId="34237" xr:uid="{00000000-0005-0000-0000-000092200000}"/>
    <cellStyle name="Normal 3 2 3 2 2 2 2 2 2 2 2 3" xfId="21098" xr:uid="{00000000-0005-0000-0000-000093200000}"/>
    <cellStyle name="Normal 3 2 3 2 2 2 2 2 2 2 2 3 2" xfId="52969" xr:uid="{00000000-0005-0000-0000-000094200000}"/>
    <cellStyle name="Normal 3 2 3 2 2 2 2 2 2 2 2 4" xfId="34236" xr:uid="{00000000-0005-0000-0000-000095200000}"/>
    <cellStyle name="Normal 3 2 3 2 2 2 2 2 2 2 3" xfId="2359" xr:uid="{00000000-0005-0000-0000-000096200000}"/>
    <cellStyle name="Normal 3 2 3 2 2 2 2 2 2 2 3 2" xfId="25037" xr:uid="{00000000-0005-0000-0000-000097200000}"/>
    <cellStyle name="Normal 3 2 3 2 2 2 2 2 2 2 3 2 2" xfId="56908" xr:uid="{00000000-0005-0000-0000-000098200000}"/>
    <cellStyle name="Normal 3 2 3 2 2 2 2 2 2 2 3 3" xfId="34238" xr:uid="{00000000-0005-0000-0000-000099200000}"/>
    <cellStyle name="Normal 3 2 3 2 2 2 2 2 2 2 4" xfId="17159" xr:uid="{00000000-0005-0000-0000-00009A200000}"/>
    <cellStyle name="Normal 3 2 3 2 2 2 2 2 2 2 4 2" xfId="49030" xr:uid="{00000000-0005-0000-0000-00009B200000}"/>
    <cellStyle name="Normal 3 2 3 2 2 2 2 2 2 2 5" xfId="34235" xr:uid="{00000000-0005-0000-0000-00009C200000}"/>
    <cellStyle name="Normal 3 2 3 2 2 2 2 2 2 3" xfId="2360" xr:uid="{00000000-0005-0000-0000-00009D200000}"/>
    <cellStyle name="Normal 3 2 3 2 2 2 2 2 2 3 2" xfId="2361" xr:uid="{00000000-0005-0000-0000-00009E200000}"/>
    <cellStyle name="Normal 3 2 3 2 2 2 2 2 2 3 2 2" xfId="28975" xr:uid="{00000000-0005-0000-0000-00009F200000}"/>
    <cellStyle name="Normal 3 2 3 2 2 2 2 2 2 3 2 2 2" xfId="60846" xr:uid="{00000000-0005-0000-0000-0000A0200000}"/>
    <cellStyle name="Normal 3 2 3 2 2 2 2 2 2 3 2 3" xfId="34240" xr:uid="{00000000-0005-0000-0000-0000A1200000}"/>
    <cellStyle name="Normal 3 2 3 2 2 2 2 2 2 3 3" xfId="21097" xr:uid="{00000000-0005-0000-0000-0000A2200000}"/>
    <cellStyle name="Normal 3 2 3 2 2 2 2 2 2 3 3 2" xfId="52968" xr:uid="{00000000-0005-0000-0000-0000A3200000}"/>
    <cellStyle name="Normal 3 2 3 2 2 2 2 2 2 3 4" xfId="34239" xr:uid="{00000000-0005-0000-0000-0000A4200000}"/>
    <cellStyle name="Normal 3 2 3 2 2 2 2 2 2 4" xfId="2362" xr:uid="{00000000-0005-0000-0000-0000A5200000}"/>
    <cellStyle name="Normal 3 2 3 2 2 2 2 2 2 4 2" xfId="25036" xr:uid="{00000000-0005-0000-0000-0000A6200000}"/>
    <cellStyle name="Normal 3 2 3 2 2 2 2 2 2 4 2 2" xfId="56907" xr:uid="{00000000-0005-0000-0000-0000A7200000}"/>
    <cellStyle name="Normal 3 2 3 2 2 2 2 2 2 4 3" xfId="34241" xr:uid="{00000000-0005-0000-0000-0000A8200000}"/>
    <cellStyle name="Normal 3 2 3 2 2 2 2 2 2 5" xfId="17158" xr:uid="{00000000-0005-0000-0000-0000A9200000}"/>
    <cellStyle name="Normal 3 2 3 2 2 2 2 2 2 5 2" xfId="49029" xr:uid="{00000000-0005-0000-0000-0000AA200000}"/>
    <cellStyle name="Normal 3 2 3 2 2 2 2 2 2 6" xfId="34234" xr:uid="{00000000-0005-0000-0000-0000AB200000}"/>
    <cellStyle name="Normal 3 2 3 2 2 2 2 2 3" xfId="2363" xr:uid="{00000000-0005-0000-0000-0000AC200000}"/>
    <cellStyle name="Normal 3 2 3 2 2 2 2 2 3 2" xfId="2364" xr:uid="{00000000-0005-0000-0000-0000AD200000}"/>
    <cellStyle name="Normal 3 2 3 2 2 2 2 2 3 2 2" xfId="2365" xr:uid="{00000000-0005-0000-0000-0000AE200000}"/>
    <cellStyle name="Normal 3 2 3 2 2 2 2 2 3 2 2 2" xfId="28977" xr:uid="{00000000-0005-0000-0000-0000AF200000}"/>
    <cellStyle name="Normal 3 2 3 2 2 2 2 2 3 2 2 2 2" xfId="60848" xr:uid="{00000000-0005-0000-0000-0000B0200000}"/>
    <cellStyle name="Normal 3 2 3 2 2 2 2 2 3 2 2 3" xfId="34244" xr:uid="{00000000-0005-0000-0000-0000B1200000}"/>
    <cellStyle name="Normal 3 2 3 2 2 2 2 2 3 2 3" xfId="21099" xr:uid="{00000000-0005-0000-0000-0000B2200000}"/>
    <cellStyle name="Normal 3 2 3 2 2 2 2 2 3 2 3 2" xfId="52970" xr:uid="{00000000-0005-0000-0000-0000B3200000}"/>
    <cellStyle name="Normal 3 2 3 2 2 2 2 2 3 2 4" xfId="34243" xr:uid="{00000000-0005-0000-0000-0000B4200000}"/>
    <cellStyle name="Normal 3 2 3 2 2 2 2 2 3 3" xfId="2366" xr:uid="{00000000-0005-0000-0000-0000B5200000}"/>
    <cellStyle name="Normal 3 2 3 2 2 2 2 2 3 3 2" xfId="25038" xr:uid="{00000000-0005-0000-0000-0000B6200000}"/>
    <cellStyle name="Normal 3 2 3 2 2 2 2 2 3 3 2 2" xfId="56909" xr:uid="{00000000-0005-0000-0000-0000B7200000}"/>
    <cellStyle name="Normal 3 2 3 2 2 2 2 2 3 3 3" xfId="34245" xr:uid="{00000000-0005-0000-0000-0000B8200000}"/>
    <cellStyle name="Normal 3 2 3 2 2 2 2 2 3 4" xfId="17160" xr:uid="{00000000-0005-0000-0000-0000B9200000}"/>
    <cellStyle name="Normal 3 2 3 2 2 2 2 2 3 4 2" xfId="49031" xr:uid="{00000000-0005-0000-0000-0000BA200000}"/>
    <cellStyle name="Normal 3 2 3 2 2 2 2 2 3 5" xfId="34242" xr:uid="{00000000-0005-0000-0000-0000BB200000}"/>
    <cellStyle name="Normal 3 2 3 2 2 2 2 2 4" xfId="2367" xr:uid="{00000000-0005-0000-0000-0000BC200000}"/>
    <cellStyle name="Normal 3 2 3 2 2 2 2 2 4 2" xfId="2368" xr:uid="{00000000-0005-0000-0000-0000BD200000}"/>
    <cellStyle name="Normal 3 2 3 2 2 2 2 2 4 2 2" xfId="28974" xr:uid="{00000000-0005-0000-0000-0000BE200000}"/>
    <cellStyle name="Normal 3 2 3 2 2 2 2 2 4 2 2 2" xfId="60845" xr:uid="{00000000-0005-0000-0000-0000BF200000}"/>
    <cellStyle name="Normal 3 2 3 2 2 2 2 2 4 2 3" xfId="34247" xr:uid="{00000000-0005-0000-0000-0000C0200000}"/>
    <cellStyle name="Normal 3 2 3 2 2 2 2 2 4 3" xfId="21096" xr:uid="{00000000-0005-0000-0000-0000C1200000}"/>
    <cellStyle name="Normal 3 2 3 2 2 2 2 2 4 3 2" xfId="52967" xr:uid="{00000000-0005-0000-0000-0000C2200000}"/>
    <cellStyle name="Normal 3 2 3 2 2 2 2 2 4 4" xfId="34246" xr:uid="{00000000-0005-0000-0000-0000C3200000}"/>
    <cellStyle name="Normal 3 2 3 2 2 2 2 2 5" xfId="2369" xr:uid="{00000000-0005-0000-0000-0000C4200000}"/>
    <cellStyle name="Normal 3 2 3 2 2 2 2 2 5 2" xfId="25035" xr:uid="{00000000-0005-0000-0000-0000C5200000}"/>
    <cellStyle name="Normal 3 2 3 2 2 2 2 2 5 2 2" xfId="56906" xr:uid="{00000000-0005-0000-0000-0000C6200000}"/>
    <cellStyle name="Normal 3 2 3 2 2 2 2 2 5 3" xfId="34248" xr:uid="{00000000-0005-0000-0000-0000C7200000}"/>
    <cellStyle name="Normal 3 2 3 2 2 2 2 2 6" xfId="17157" xr:uid="{00000000-0005-0000-0000-0000C8200000}"/>
    <cellStyle name="Normal 3 2 3 2 2 2 2 2 6 2" xfId="49028" xr:uid="{00000000-0005-0000-0000-0000C9200000}"/>
    <cellStyle name="Normal 3 2 3 2 2 2 2 2 7" xfId="34233" xr:uid="{00000000-0005-0000-0000-0000CA200000}"/>
    <cellStyle name="Normal 3 2 3 2 2 2 2 3" xfId="2370" xr:uid="{00000000-0005-0000-0000-0000CB200000}"/>
    <cellStyle name="Normal 3 2 3 2 2 2 2 3 2" xfId="2371" xr:uid="{00000000-0005-0000-0000-0000CC200000}"/>
    <cellStyle name="Normal 3 2 3 2 2 2 2 3 2 2" xfId="2372" xr:uid="{00000000-0005-0000-0000-0000CD200000}"/>
    <cellStyle name="Normal 3 2 3 2 2 2 2 3 2 2 2" xfId="2373" xr:uid="{00000000-0005-0000-0000-0000CE200000}"/>
    <cellStyle name="Normal 3 2 3 2 2 2 2 3 2 2 2 2" xfId="28979" xr:uid="{00000000-0005-0000-0000-0000CF200000}"/>
    <cellStyle name="Normal 3 2 3 2 2 2 2 3 2 2 2 2 2" xfId="60850" xr:uid="{00000000-0005-0000-0000-0000D0200000}"/>
    <cellStyle name="Normal 3 2 3 2 2 2 2 3 2 2 2 3" xfId="34252" xr:uid="{00000000-0005-0000-0000-0000D1200000}"/>
    <cellStyle name="Normal 3 2 3 2 2 2 2 3 2 2 3" xfId="21101" xr:uid="{00000000-0005-0000-0000-0000D2200000}"/>
    <cellStyle name="Normal 3 2 3 2 2 2 2 3 2 2 3 2" xfId="52972" xr:uid="{00000000-0005-0000-0000-0000D3200000}"/>
    <cellStyle name="Normal 3 2 3 2 2 2 2 3 2 2 4" xfId="34251" xr:uid="{00000000-0005-0000-0000-0000D4200000}"/>
    <cellStyle name="Normal 3 2 3 2 2 2 2 3 2 3" xfId="2374" xr:uid="{00000000-0005-0000-0000-0000D5200000}"/>
    <cellStyle name="Normal 3 2 3 2 2 2 2 3 2 3 2" xfId="25040" xr:uid="{00000000-0005-0000-0000-0000D6200000}"/>
    <cellStyle name="Normal 3 2 3 2 2 2 2 3 2 3 2 2" xfId="56911" xr:uid="{00000000-0005-0000-0000-0000D7200000}"/>
    <cellStyle name="Normal 3 2 3 2 2 2 2 3 2 3 3" xfId="34253" xr:uid="{00000000-0005-0000-0000-0000D8200000}"/>
    <cellStyle name="Normal 3 2 3 2 2 2 2 3 2 4" xfId="17162" xr:uid="{00000000-0005-0000-0000-0000D9200000}"/>
    <cellStyle name="Normal 3 2 3 2 2 2 2 3 2 4 2" xfId="49033" xr:uid="{00000000-0005-0000-0000-0000DA200000}"/>
    <cellStyle name="Normal 3 2 3 2 2 2 2 3 2 5" xfId="34250" xr:uid="{00000000-0005-0000-0000-0000DB200000}"/>
    <cellStyle name="Normal 3 2 3 2 2 2 2 3 3" xfId="2375" xr:uid="{00000000-0005-0000-0000-0000DC200000}"/>
    <cellStyle name="Normal 3 2 3 2 2 2 2 3 3 2" xfId="2376" xr:uid="{00000000-0005-0000-0000-0000DD200000}"/>
    <cellStyle name="Normal 3 2 3 2 2 2 2 3 3 2 2" xfId="28978" xr:uid="{00000000-0005-0000-0000-0000DE200000}"/>
    <cellStyle name="Normal 3 2 3 2 2 2 2 3 3 2 2 2" xfId="60849" xr:uid="{00000000-0005-0000-0000-0000DF200000}"/>
    <cellStyle name="Normal 3 2 3 2 2 2 2 3 3 2 3" xfId="34255" xr:uid="{00000000-0005-0000-0000-0000E0200000}"/>
    <cellStyle name="Normal 3 2 3 2 2 2 2 3 3 3" xfId="21100" xr:uid="{00000000-0005-0000-0000-0000E1200000}"/>
    <cellStyle name="Normal 3 2 3 2 2 2 2 3 3 3 2" xfId="52971" xr:uid="{00000000-0005-0000-0000-0000E2200000}"/>
    <cellStyle name="Normal 3 2 3 2 2 2 2 3 3 4" xfId="34254" xr:uid="{00000000-0005-0000-0000-0000E3200000}"/>
    <cellStyle name="Normal 3 2 3 2 2 2 2 3 4" xfId="2377" xr:uid="{00000000-0005-0000-0000-0000E4200000}"/>
    <cellStyle name="Normal 3 2 3 2 2 2 2 3 4 2" xfId="25039" xr:uid="{00000000-0005-0000-0000-0000E5200000}"/>
    <cellStyle name="Normal 3 2 3 2 2 2 2 3 4 2 2" xfId="56910" xr:uid="{00000000-0005-0000-0000-0000E6200000}"/>
    <cellStyle name="Normal 3 2 3 2 2 2 2 3 4 3" xfId="34256" xr:uid="{00000000-0005-0000-0000-0000E7200000}"/>
    <cellStyle name="Normal 3 2 3 2 2 2 2 3 5" xfId="17161" xr:uid="{00000000-0005-0000-0000-0000E8200000}"/>
    <cellStyle name="Normal 3 2 3 2 2 2 2 3 5 2" xfId="49032" xr:uid="{00000000-0005-0000-0000-0000E9200000}"/>
    <cellStyle name="Normal 3 2 3 2 2 2 2 3 6" xfId="34249" xr:uid="{00000000-0005-0000-0000-0000EA200000}"/>
    <cellStyle name="Normal 3 2 3 2 2 2 2 4" xfId="2378" xr:uid="{00000000-0005-0000-0000-0000EB200000}"/>
    <cellStyle name="Normal 3 2 3 2 2 2 2 4 2" xfId="2379" xr:uid="{00000000-0005-0000-0000-0000EC200000}"/>
    <cellStyle name="Normal 3 2 3 2 2 2 2 4 2 2" xfId="2380" xr:uid="{00000000-0005-0000-0000-0000ED200000}"/>
    <cellStyle name="Normal 3 2 3 2 2 2 2 4 2 2 2" xfId="28980" xr:uid="{00000000-0005-0000-0000-0000EE200000}"/>
    <cellStyle name="Normal 3 2 3 2 2 2 2 4 2 2 2 2" xfId="60851" xr:uid="{00000000-0005-0000-0000-0000EF200000}"/>
    <cellStyle name="Normal 3 2 3 2 2 2 2 4 2 2 3" xfId="34259" xr:uid="{00000000-0005-0000-0000-0000F0200000}"/>
    <cellStyle name="Normal 3 2 3 2 2 2 2 4 2 3" xfId="21102" xr:uid="{00000000-0005-0000-0000-0000F1200000}"/>
    <cellStyle name="Normal 3 2 3 2 2 2 2 4 2 3 2" xfId="52973" xr:uid="{00000000-0005-0000-0000-0000F2200000}"/>
    <cellStyle name="Normal 3 2 3 2 2 2 2 4 2 4" xfId="34258" xr:uid="{00000000-0005-0000-0000-0000F3200000}"/>
    <cellStyle name="Normal 3 2 3 2 2 2 2 4 3" xfId="2381" xr:uid="{00000000-0005-0000-0000-0000F4200000}"/>
    <cellStyle name="Normal 3 2 3 2 2 2 2 4 3 2" xfId="25041" xr:uid="{00000000-0005-0000-0000-0000F5200000}"/>
    <cellStyle name="Normal 3 2 3 2 2 2 2 4 3 2 2" xfId="56912" xr:uid="{00000000-0005-0000-0000-0000F6200000}"/>
    <cellStyle name="Normal 3 2 3 2 2 2 2 4 3 3" xfId="34260" xr:uid="{00000000-0005-0000-0000-0000F7200000}"/>
    <cellStyle name="Normal 3 2 3 2 2 2 2 4 4" xfId="17163" xr:uid="{00000000-0005-0000-0000-0000F8200000}"/>
    <cellStyle name="Normal 3 2 3 2 2 2 2 4 4 2" xfId="49034" xr:uid="{00000000-0005-0000-0000-0000F9200000}"/>
    <cellStyle name="Normal 3 2 3 2 2 2 2 4 5" xfId="34257" xr:uid="{00000000-0005-0000-0000-0000FA200000}"/>
    <cellStyle name="Normal 3 2 3 2 2 2 2 5" xfId="2382" xr:uid="{00000000-0005-0000-0000-0000FB200000}"/>
    <cellStyle name="Normal 3 2 3 2 2 2 2 5 2" xfId="2383" xr:uid="{00000000-0005-0000-0000-0000FC200000}"/>
    <cellStyle name="Normal 3 2 3 2 2 2 2 5 2 2" xfId="28973" xr:uid="{00000000-0005-0000-0000-0000FD200000}"/>
    <cellStyle name="Normal 3 2 3 2 2 2 2 5 2 2 2" xfId="60844" xr:uid="{00000000-0005-0000-0000-0000FE200000}"/>
    <cellStyle name="Normal 3 2 3 2 2 2 2 5 2 3" xfId="34262" xr:uid="{00000000-0005-0000-0000-0000FF200000}"/>
    <cellStyle name="Normal 3 2 3 2 2 2 2 5 3" xfId="21095" xr:uid="{00000000-0005-0000-0000-000000210000}"/>
    <cellStyle name="Normal 3 2 3 2 2 2 2 5 3 2" xfId="52966" xr:uid="{00000000-0005-0000-0000-000001210000}"/>
    <cellStyle name="Normal 3 2 3 2 2 2 2 5 4" xfId="34261" xr:uid="{00000000-0005-0000-0000-000002210000}"/>
    <cellStyle name="Normal 3 2 3 2 2 2 2 6" xfId="2384" xr:uid="{00000000-0005-0000-0000-000003210000}"/>
    <cellStyle name="Normal 3 2 3 2 2 2 2 6 2" xfId="25034" xr:uid="{00000000-0005-0000-0000-000004210000}"/>
    <cellStyle name="Normal 3 2 3 2 2 2 2 6 2 2" xfId="56905" xr:uid="{00000000-0005-0000-0000-000005210000}"/>
    <cellStyle name="Normal 3 2 3 2 2 2 2 6 3" xfId="34263" xr:uid="{00000000-0005-0000-0000-000006210000}"/>
    <cellStyle name="Normal 3 2 3 2 2 2 2 7" xfId="17156" xr:uid="{00000000-0005-0000-0000-000007210000}"/>
    <cellStyle name="Normal 3 2 3 2 2 2 2 7 2" xfId="49027" xr:uid="{00000000-0005-0000-0000-000008210000}"/>
    <cellStyle name="Normal 3 2 3 2 2 2 2 8" xfId="34232" xr:uid="{00000000-0005-0000-0000-000009210000}"/>
    <cellStyle name="Normal 3 2 3 2 2 2 3" xfId="2385" xr:uid="{00000000-0005-0000-0000-00000A210000}"/>
    <cellStyle name="Normal 3 2 3 2 2 2 3 2" xfId="2386" xr:uid="{00000000-0005-0000-0000-00000B210000}"/>
    <cellStyle name="Normal 3 2 3 2 2 2 3 2 2" xfId="2387" xr:uid="{00000000-0005-0000-0000-00000C210000}"/>
    <cellStyle name="Normal 3 2 3 2 2 2 3 2 2 2" xfId="2388" xr:uid="{00000000-0005-0000-0000-00000D210000}"/>
    <cellStyle name="Normal 3 2 3 2 2 2 3 2 2 2 2" xfId="2389" xr:uid="{00000000-0005-0000-0000-00000E210000}"/>
    <cellStyle name="Normal 3 2 3 2 2 2 3 2 2 2 2 2" xfId="28983" xr:uid="{00000000-0005-0000-0000-00000F210000}"/>
    <cellStyle name="Normal 3 2 3 2 2 2 3 2 2 2 2 2 2" xfId="60854" xr:uid="{00000000-0005-0000-0000-000010210000}"/>
    <cellStyle name="Normal 3 2 3 2 2 2 3 2 2 2 2 3" xfId="34268" xr:uid="{00000000-0005-0000-0000-000011210000}"/>
    <cellStyle name="Normal 3 2 3 2 2 2 3 2 2 2 3" xfId="21105" xr:uid="{00000000-0005-0000-0000-000012210000}"/>
    <cellStyle name="Normal 3 2 3 2 2 2 3 2 2 2 3 2" xfId="52976" xr:uid="{00000000-0005-0000-0000-000013210000}"/>
    <cellStyle name="Normal 3 2 3 2 2 2 3 2 2 2 4" xfId="34267" xr:uid="{00000000-0005-0000-0000-000014210000}"/>
    <cellStyle name="Normal 3 2 3 2 2 2 3 2 2 3" xfId="2390" xr:uid="{00000000-0005-0000-0000-000015210000}"/>
    <cellStyle name="Normal 3 2 3 2 2 2 3 2 2 3 2" xfId="25044" xr:uid="{00000000-0005-0000-0000-000016210000}"/>
    <cellStyle name="Normal 3 2 3 2 2 2 3 2 2 3 2 2" xfId="56915" xr:uid="{00000000-0005-0000-0000-000017210000}"/>
    <cellStyle name="Normal 3 2 3 2 2 2 3 2 2 3 3" xfId="34269" xr:uid="{00000000-0005-0000-0000-000018210000}"/>
    <cellStyle name="Normal 3 2 3 2 2 2 3 2 2 4" xfId="17166" xr:uid="{00000000-0005-0000-0000-000019210000}"/>
    <cellStyle name="Normal 3 2 3 2 2 2 3 2 2 4 2" xfId="49037" xr:uid="{00000000-0005-0000-0000-00001A210000}"/>
    <cellStyle name="Normal 3 2 3 2 2 2 3 2 2 5" xfId="34266" xr:uid="{00000000-0005-0000-0000-00001B210000}"/>
    <cellStyle name="Normal 3 2 3 2 2 2 3 2 3" xfId="2391" xr:uid="{00000000-0005-0000-0000-00001C210000}"/>
    <cellStyle name="Normal 3 2 3 2 2 2 3 2 3 2" xfId="2392" xr:uid="{00000000-0005-0000-0000-00001D210000}"/>
    <cellStyle name="Normal 3 2 3 2 2 2 3 2 3 2 2" xfId="28982" xr:uid="{00000000-0005-0000-0000-00001E210000}"/>
    <cellStyle name="Normal 3 2 3 2 2 2 3 2 3 2 2 2" xfId="60853" xr:uid="{00000000-0005-0000-0000-00001F210000}"/>
    <cellStyle name="Normal 3 2 3 2 2 2 3 2 3 2 3" xfId="34271" xr:uid="{00000000-0005-0000-0000-000020210000}"/>
    <cellStyle name="Normal 3 2 3 2 2 2 3 2 3 3" xfId="21104" xr:uid="{00000000-0005-0000-0000-000021210000}"/>
    <cellStyle name="Normal 3 2 3 2 2 2 3 2 3 3 2" xfId="52975" xr:uid="{00000000-0005-0000-0000-000022210000}"/>
    <cellStyle name="Normal 3 2 3 2 2 2 3 2 3 4" xfId="34270" xr:uid="{00000000-0005-0000-0000-000023210000}"/>
    <cellStyle name="Normal 3 2 3 2 2 2 3 2 4" xfId="2393" xr:uid="{00000000-0005-0000-0000-000024210000}"/>
    <cellStyle name="Normal 3 2 3 2 2 2 3 2 4 2" xfId="25043" xr:uid="{00000000-0005-0000-0000-000025210000}"/>
    <cellStyle name="Normal 3 2 3 2 2 2 3 2 4 2 2" xfId="56914" xr:uid="{00000000-0005-0000-0000-000026210000}"/>
    <cellStyle name="Normal 3 2 3 2 2 2 3 2 4 3" xfId="34272" xr:uid="{00000000-0005-0000-0000-000027210000}"/>
    <cellStyle name="Normal 3 2 3 2 2 2 3 2 5" xfId="17165" xr:uid="{00000000-0005-0000-0000-000028210000}"/>
    <cellStyle name="Normal 3 2 3 2 2 2 3 2 5 2" xfId="49036" xr:uid="{00000000-0005-0000-0000-000029210000}"/>
    <cellStyle name="Normal 3 2 3 2 2 2 3 2 6" xfId="34265" xr:uid="{00000000-0005-0000-0000-00002A210000}"/>
    <cellStyle name="Normal 3 2 3 2 2 2 3 3" xfId="2394" xr:uid="{00000000-0005-0000-0000-00002B210000}"/>
    <cellStyle name="Normal 3 2 3 2 2 2 3 3 2" xfId="2395" xr:uid="{00000000-0005-0000-0000-00002C210000}"/>
    <cellStyle name="Normal 3 2 3 2 2 2 3 3 2 2" xfId="2396" xr:uid="{00000000-0005-0000-0000-00002D210000}"/>
    <cellStyle name="Normal 3 2 3 2 2 2 3 3 2 2 2" xfId="28984" xr:uid="{00000000-0005-0000-0000-00002E210000}"/>
    <cellStyle name="Normal 3 2 3 2 2 2 3 3 2 2 2 2" xfId="60855" xr:uid="{00000000-0005-0000-0000-00002F210000}"/>
    <cellStyle name="Normal 3 2 3 2 2 2 3 3 2 2 3" xfId="34275" xr:uid="{00000000-0005-0000-0000-000030210000}"/>
    <cellStyle name="Normal 3 2 3 2 2 2 3 3 2 3" xfId="21106" xr:uid="{00000000-0005-0000-0000-000031210000}"/>
    <cellStyle name="Normal 3 2 3 2 2 2 3 3 2 3 2" xfId="52977" xr:uid="{00000000-0005-0000-0000-000032210000}"/>
    <cellStyle name="Normal 3 2 3 2 2 2 3 3 2 4" xfId="34274" xr:uid="{00000000-0005-0000-0000-000033210000}"/>
    <cellStyle name="Normal 3 2 3 2 2 2 3 3 3" xfId="2397" xr:uid="{00000000-0005-0000-0000-000034210000}"/>
    <cellStyle name="Normal 3 2 3 2 2 2 3 3 3 2" xfId="25045" xr:uid="{00000000-0005-0000-0000-000035210000}"/>
    <cellStyle name="Normal 3 2 3 2 2 2 3 3 3 2 2" xfId="56916" xr:uid="{00000000-0005-0000-0000-000036210000}"/>
    <cellStyle name="Normal 3 2 3 2 2 2 3 3 3 3" xfId="34276" xr:uid="{00000000-0005-0000-0000-000037210000}"/>
    <cellStyle name="Normal 3 2 3 2 2 2 3 3 4" xfId="17167" xr:uid="{00000000-0005-0000-0000-000038210000}"/>
    <cellStyle name="Normal 3 2 3 2 2 2 3 3 4 2" xfId="49038" xr:uid="{00000000-0005-0000-0000-000039210000}"/>
    <cellStyle name="Normal 3 2 3 2 2 2 3 3 5" xfId="34273" xr:uid="{00000000-0005-0000-0000-00003A210000}"/>
    <cellStyle name="Normal 3 2 3 2 2 2 3 4" xfId="2398" xr:uid="{00000000-0005-0000-0000-00003B210000}"/>
    <cellStyle name="Normal 3 2 3 2 2 2 3 4 2" xfId="2399" xr:uid="{00000000-0005-0000-0000-00003C210000}"/>
    <cellStyle name="Normal 3 2 3 2 2 2 3 4 2 2" xfId="28981" xr:uid="{00000000-0005-0000-0000-00003D210000}"/>
    <cellStyle name="Normal 3 2 3 2 2 2 3 4 2 2 2" xfId="60852" xr:uid="{00000000-0005-0000-0000-00003E210000}"/>
    <cellStyle name="Normal 3 2 3 2 2 2 3 4 2 3" xfId="34278" xr:uid="{00000000-0005-0000-0000-00003F210000}"/>
    <cellStyle name="Normal 3 2 3 2 2 2 3 4 3" xfId="21103" xr:uid="{00000000-0005-0000-0000-000040210000}"/>
    <cellStyle name="Normal 3 2 3 2 2 2 3 4 3 2" xfId="52974" xr:uid="{00000000-0005-0000-0000-000041210000}"/>
    <cellStyle name="Normal 3 2 3 2 2 2 3 4 4" xfId="34277" xr:uid="{00000000-0005-0000-0000-000042210000}"/>
    <cellStyle name="Normal 3 2 3 2 2 2 3 5" xfId="2400" xr:uid="{00000000-0005-0000-0000-000043210000}"/>
    <cellStyle name="Normal 3 2 3 2 2 2 3 5 2" xfId="25042" xr:uid="{00000000-0005-0000-0000-000044210000}"/>
    <cellStyle name="Normal 3 2 3 2 2 2 3 5 2 2" xfId="56913" xr:uid="{00000000-0005-0000-0000-000045210000}"/>
    <cellStyle name="Normal 3 2 3 2 2 2 3 5 3" xfId="34279" xr:uid="{00000000-0005-0000-0000-000046210000}"/>
    <cellStyle name="Normal 3 2 3 2 2 2 3 6" xfId="17164" xr:uid="{00000000-0005-0000-0000-000047210000}"/>
    <cellStyle name="Normal 3 2 3 2 2 2 3 6 2" xfId="49035" xr:uid="{00000000-0005-0000-0000-000048210000}"/>
    <cellStyle name="Normal 3 2 3 2 2 2 3 7" xfId="34264" xr:uid="{00000000-0005-0000-0000-000049210000}"/>
    <cellStyle name="Normal 3 2 3 2 2 2 4" xfId="2401" xr:uid="{00000000-0005-0000-0000-00004A210000}"/>
    <cellStyle name="Normal 3 2 3 2 2 2 4 2" xfId="2402" xr:uid="{00000000-0005-0000-0000-00004B210000}"/>
    <cellStyle name="Normal 3 2 3 2 2 2 4 2 2" xfId="2403" xr:uid="{00000000-0005-0000-0000-00004C210000}"/>
    <cellStyle name="Normal 3 2 3 2 2 2 4 2 2 2" xfId="2404" xr:uid="{00000000-0005-0000-0000-00004D210000}"/>
    <cellStyle name="Normal 3 2 3 2 2 2 4 2 2 2 2" xfId="28986" xr:uid="{00000000-0005-0000-0000-00004E210000}"/>
    <cellStyle name="Normal 3 2 3 2 2 2 4 2 2 2 2 2" xfId="60857" xr:uid="{00000000-0005-0000-0000-00004F210000}"/>
    <cellStyle name="Normal 3 2 3 2 2 2 4 2 2 2 3" xfId="34283" xr:uid="{00000000-0005-0000-0000-000050210000}"/>
    <cellStyle name="Normal 3 2 3 2 2 2 4 2 2 3" xfId="21108" xr:uid="{00000000-0005-0000-0000-000051210000}"/>
    <cellStyle name="Normal 3 2 3 2 2 2 4 2 2 3 2" xfId="52979" xr:uid="{00000000-0005-0000-0000-000052210000}"/>
    <cellStyle name="Normal 3 2 3 2 2 2 4 2 2 4" xfId="34282" xr:uid="{00000000-0005-0000-0000-000053210000}"/>
    <cellStyle name="Normal 3 2 3 2 2 2 4 2 3" xfId="2405" xr:uid="{00000000-0005-0000-0000-000054210000}"/>
    <cellStyle name="Normal 3 2 3 2 2 2 4 2 3 2" xfId="25047" xr:uid="{00000000-0005-0000-0000-000055210000}"/>
    <cellStyle name="Normal 3 2 3 2 2 2 4 2 3 2 2" xfId="56918" xr:uid="{00000000-0005-0000-0000-000056210000}"/>
    <cellStyle name="Normal 3 2 3 2 2 2 4 2 3 3" xfId="34284" xr:uid="{00000000-0005-0000-0000-000057210000}"/>
    <cellStyle name="Normal 3 2 3 2 2 2 4 2 4" xfId="17169" xr:uid="{00000000-0005-0000-0000-000058210000}"/>
    <cellStyle name="Normal 3 2 3 2 2 2 4 2 4 2" xfId="49040" xr:uid="{00000000-0005-0000-0000-000059210000}"/>
    <cellStyle name="Normal 3 2 3 2 2 2 4 2 5" xfId="34281" xr:uid="{00000000-0005-0000-0000-00005A210000}"/>
    <cellStyle name="Normal 3 2 3 2 2 2 4 3" xfId="2406" xr:uid="{00000000-0005-0000-0000-00005B210000}"/>
    <cellStyle name="Normal 3 2 3 2 2 2 4 3 2" xfId="2407" xr:uid="{00000000-0005-0000-0000-00005C210000}"/>
    <cellStyle name="Normal 3 2 3 2 2 2 4 3 2 2" xfId="28985" xr:uid="{00000000-0005-0000-0000-00005D210000}"/>
    <cellStyle name="Normal 3 2 3 2 2 2 4 3 2 2 2" xfId="60856" xr:uid="{00000000-0005-0000-0000-00005E210000}"/>
    <cellStyle name="Normal 3 2 3 2 2 2 4 3 2 3" xfId="34286" xr:uid="{00000000-0005-0000-0000-00005F210000}"/>
    <cellStyle name="Normal 3 2 3 2 2 2 4 3 3" xfId="21107" xr:uid="{00000000-0005-0000-0000-000060210000}"/>
    <cellStyle name="Normal 3 2 3 2 2 2 4 3 3 2" xfId="52978" xr:uid="{00000000-0005-0000-0000-000061210000}"/>
    <cellStyle name="Normal 3 2 3 2 2 2 4 3 4" xfId="34285" xr:uid="{00000000-0005-0000-0000-000062210000}"/>
    <cellStyle name="Normal 3 2 3 2 2 2 4 4" xfId="2408" xr:uid="{00000000-0005-0000-0000-000063210000}"/>
    <cellStyle name="Normal 3 2 3 2 2 2 4 4 2" xfId="25046" xr:uid="{00000000-0005-0000-0000-000064210000}"/>
    <cellStyle name="Normal 3 2 3 2 2 2 4 4 2 2" xfId="56917" xr:uid="{00000000-0005-0000-0000-000065210000}"/>
    <cellStyle name="Normal 3 2 3 2 2 2 4 4 3" xfId="34287" xr:uid="{00000000-0005-0000-0000-000066210000}"/>
    <cellStyle name="Normal 3 2 3 2 2 2 4 5" xfId="17168" xr:uid="{00000000-0005-0000-0000-000067210000}"/>
    <cellStyle name="Normal 3 2 3 2 2 2 4 5 2" xfId="49039" xr:uid="{00000000-0005-0000-0000-000068210000}"/>
    <cellStyle name="Normal 3 2 3 2 2 2 4 6" xfId="34280" xr:uid="{00000000-0005-0000-0000-000069210000}"/>
    <cellStyle name="Normal 3 2 3 2 2 2 5" xfId="2409" xr:uid="{00000000-0005-0000-0000-00006A210000}"/>
    <cellStyle name="Normal 3 2 3 2 2 2 5 2" xfId="2410" xr:uid="{00000000-0005-0000-0000-00006B210000}"/>
    <cellStyle name="Normal 3 2 3 2 2 2 5 2 2" xfId="2411" xr:uid="{00000000-0005-0000-0000-00006C210000}"/>
    <cellStyle name="Normal 3 2 3 2 2 2 5 2 2 2" xfId="28987" xr:uid="{00000000-0005-0000-0000-00006D210000}"/>
    <cellStyle name="Normal 3 2 3 2 2 2 5 2 2 2 2" xfId="60858" xr:uid="{00000000-0005-0000-0000-00006E210000}"/>
    <cellStyle name="Normal 3 2 3 2 2 2 5 2 2 3" xfId="34290" xr:uid="{00000000-0005-0000-0000-00006F210000}"/>
    <cellStyle name="Normal 3 2 3 2 2 2 5 2 3" xfId="21109" xr:uid="{00000000-0005-0000-0000-000070210000}"/>
    <cellStyle name="Normal 3 2 3 2 2 2 5 2 3 2" xfId="52980" xr:uid="{00000000-0005-0000-0000-000071210000}"/>
    <cellStyle name="Normal 3 2 3 2 2 2 5 2 4" xfId="34289" xr:uid="{00000000-0005-0000-0000-000072210000}"/>
    <cellStyle name="Normal 3 2 3 2 2 2 5 3" xfId="2412" xr:uid="{00000000-0005-0000-0000-000073210000}"/>
    <cellStyle name="Normal 3 2 3 2 2 2 5 3 2" xfId="25048" xr:uid="{00000000-0005-0000-0000-000074210000}"/>
    <cellStyle name="Normal 3 2 3 2 2 2 5 3 2 2" xfId="56919" xr:uid="{00000000-0005-0000-0000-000075210000}"/>
    <cellStyle name="Normal 3 2 3 2 2 2 5 3 3" xfId="34291" xr:uid="{00000000-0005-0000-0000-000076210000}"/>
    <cellStyle name="Normal 3 2 3 2 2 2 5 4" xfId="17170" xr:uid="{00000000-0005-0000-0000-000077210000}"/>
    <cellStyle name="Normal 3 2 3 2 2 2 5 4 2" xfId="49041" xr:uid="{00000000-0005-0000-0000-000078210000}"/>
    <cellStyle name="Normal 3 2 3 2 2 2 5 5" xfId="34288" xr:uid="{00000000-0005-0000-0000-000079210000}"/>
    <cellStyle name="Normal 3 2 3 2 2 2 6" xfId="2413" xr:uid="{00000000-0005-0000-0000-00007A210000}"/>
    <cellStyle name="Normal 3 2 3 2 2 2 6 2" xfId="2414" xr:uid="{00000000-0005-0000-0000-00007B210000}"/>
    <cellStyle name="Normal 3 2 3 2 2 2 6 2 2" xfId="28448" xr:uid="{00000000-0005-0000-0000-00007C210000}"/>
    <cellStyle name="Normal 3 2 3 2 2 2 6 2 2 2" xfId="60319" xr:uid="{00000000-0005-0000-0000-00007D210000}"/>
    <cellStyle name="Normal 3 2 3 2 2 2 6 2 3" xfId="34293" xr:uid="{00000000-0005-0000-0000-00007E210000}"/>
    <cellStyle name="Normal 3 2 3 2 2 2 6 3" xfId="20570" xr:uid="{00000000-0005-0000-0000-00007F210000}"/>
    <cellStyle name="Normal 3 2 3 2 2 2 6 3 2" xfId="52441" xr:uid="{00000000-0005-0000-0000-000080210000}"/>
    <cellStyle name="Normal 3 2 3 2 2 2 6 4" xfId="34292" xr:uid="{00000000-0005-0000-0000-000081210000}"/>
    <cellStyle name="Normal 3 2 3 2 2 2 7" xfId="2415" xr:uid="{00000000-0005-0000-0000-000082210000}"/>
    <cellStyle name="Normal 3 2 3 2 2 2 7 2" xfId="24509" xr:uid="{00000000-0005-0000-0000-000083210000}"/>
    <cellStyle name="Normal 3 2 3 2 2 2 7 2 2" xfId="56380" xr:uid="{00000000-0005-0000-0000-000084210000}"/>
    <cellStyle name="Normal 3 2 3 2 2 2 7 3" xfId="34294" xr:uid="{00000000-0005-0000-0000-000085210000}"/>
    <cellStyle name="Normal 3 2 3 2 2 2 8" xfId="16631" xr:uid="{00000000-0005-0000-0000-000086210000}"/>
    <cellStyle name="Normal 3 2 3 2 2 2 8 2" xfId="48502" xr:uid="{00000000-0005-0000-0000-000087210000}"/>
    <cellStyle name="Normal 3 2 3 2 2 2 9" xfId="34231" xr:uid="{00000000-0005-0000-0000-000088210000}"/>
    <cellStyle name="Normal 3 2 3 2 2 3" xfId="2416" xr:uid="{00000000-0005-0000-0000-000089210000}"/>
    <cellStyle name="Normal 3 2 3 2 2 3 2" xfId="2417" xr:uid="{00000000-0005-0000-0000-00008A210000}"/>
    <cellStyle name="Normal 3 2 3 2 2 3 2 2" xfId="2418" xr:uid="{00000000-0005-0000-0000-00008B210000}"/>
    <cellStyle name="Normal 3 2 3 2 2 3 2 2 2" xfId="2419" xr:uid="{00000000-0005-0000-0000-00008C210000}"/>
    <cellStyle name="Normal 3 2 3 2 2 3 2 2 2 2" xfId="2420" xr:uid="{00000000-0005-0000-0000-00008D210000}"/>
    <cellStyle name="Normal 3 2 3 2 2 3 2 2 2 2 2" xfId="2421" xr:uid="{00000000-0005-0000-0000-00008E210000}"/>
    <cellStyle name="Normal 3 2 3 2 2 3 2 2 2 2 2 2" xfId="28991" xr:uid="{00000000-0005-0000-0000-00008F210000}"/>
    <cellStyle name="Normal 3 2 3 2 2 3 2 2 2 2 2 2 2" xfId="60862" xr:uid="{00000000-0005-0000-0000-000090210000}"/>
    <cellStyle name="Normal 3 2 3 2 2 3 2 2 2 2 2 3" xfId="34300" xr:uid="{00000000-0005-0000-0000-000091210000}"/>
    <cellStyle name="Normal 3 2 3 2 2 3 2 2 2 2 3" xfId="21113" xr:uid="{00000000-0005-0000-0000-000092210000}"/>
    <cellStyle name="Normal 3 2 3 2 2 3 2 2 2 2 3 2" xfId="52984" xr:uid="{00000000-0005-0000-0000-000093210000}"/>
    <cellStyle name="Normal 3 2 3 2 2 3 2 2 2 2 4" xfId="34299" xr:uid="{00000000-0005-0000-0000-000094210000}"/>
    <cellStyle name="Normal 3 2 3 2 2 3 2 2 2 3" xfId="2422" xr:uid="{00000000-0005-0000-0000-000095210000}"/>
    <cellStyle name="Normal 3 2 3 2 2 3 2 2 2 3 2" xfId="25052" xr:uid="{00000000-0005-0000-0000-000096210000}"/>
    <cellStyle name="Normal 3 2 3 2 2 3 2 2 2 3 2 2" xfId="56923" xr:uid="{00000000-0005-0000-0000-000097210000}"/>
    <cellStyle name="Normal 3 2 3 2 2 3 2 2 2 3 3" xfId="34301" xr:uid="{00000000-0005-0000-0000-000098210000}"/>
    <cellStyle name="Normal 3 2 3 2 2 3 2 2 2 4" xfId="17174" xr:uid="{00000000-0005-0000-0000-000099210000}"/>
    <cellStyle name="Normal 3 2 3 2 2 3 2 2 2 4 2" xfId="49045" xr:uid="{00000000-0005-0000-0000-00009A210000}"/>
    <cellStyle name="Normal 3 2 3 2 2 3 2 2 2 5" xfId="34298" xr:uid="{00000000-0005-0000-0000-00009B210000}"/>
    <cellStyle name="Normal 3 2 3 2 2 3 2 2 3" xfId="2423" xr:uid="{00000000-0005-0000-0000-00009C210000}"/>
    <cellStyle name="Normal 3 2 3 2 2 3 2 2 3 2" xfId="2424" xr:uid="{00000000-0005-0000-0000-00009D210000}"/>
    <cellStyle name="Normal 3 2 3 2 2 3 2 2 3 2 2" xfId="28990" xr:uid="{00000000-0005-0000-0000-00009E210000}"/>
    <cellStyle name="Normal 3 2 3 2 2 3 2 2 3 2 2 2" xfId="60861" xr:uid="{00000000-0005-0000-0000-00009F210000}"/>
    <cellStyle name="Normal 3 2 3 2 2 3 2 2 3 2 3" xfId="34303" xr:uid="{00000000-0005-0000-0000-0000A0210000}"/>
    <cellStyle name="Normal 3 2 3 2 2 3 2 2 3 3" xfId="21112" xr:uid="{00000000-0005-0000-0000-0000A1210000}"/>
    <cellStyle name="Normal 3 2 3 2 2 3 2 2 3 3 2" xfId="52983" xr:uid="{00000000-0005-0000-0000-0000A2210000}"/>
    <cellStyle name="Normal 3 2 3 2 2 3 2 2 3 4" xfId="34302" xr:uid="{00000000-0005-0000-0000-0000A3210000}"/>
    <cellStyle name="Normal 3 2 3 2 2 3 2 2 4" xfId="2425" xr:uid="{00000000-0005-0000-0000-0000A4210000}"/>
    <cellStyle name="Normal 3 2 3 2 2 3 2 2 4 2" xfId="25051" xr:uid="{00000000-0005-0000-0000-0000A5210000}"/>
    <cellStyle name="Normal 3 2 3 2 2 3 2 2 4 2 2" xfId="56922" xr:uid="{00000000-0005-0000-0000-0000A6210000}"/>
    <cellStyle name="Normal 3 2 3 2 2 3 2 2 4 3" xfId="34304" xr:uid="{00000000-0005-0000-0000-0000A7210000}"/>
    <cellStyle name="Normal 3 2 3 2 2 3 2 2 5" xfId="17173" xr:uid="{00000000-0005-0000-0000-0000A8210000}"/>
    <cellStyle name="Normal 3 2 3 2 2 3 2 2 5 2" xfId="49044" xr:uid="{00000000-0005-0000-0000-0000A9210000}"/>
    <cellStyle name="Normal 3 2 3 2 2 3 2 2 6" xfId="34297" xr:uid="{00000000-0005-0000-0000-0000AA210000}"/>
    <cellStyle name="Normal 3 2 3 2 2 3 2 3" xfId="2426" xr:uid="{00000000-0005-0000-0000-0000AB210000}"/>
    <cellStyle name="Normal 3 2 3 2 2 3 2 3 2" xfId="2427" xr:uid="{00000000-0005-0000-0000-0000AC210000}"/>
    <cellStyle name="Normal 3 2 3 2 2 3 2 3 2 2" xfId="2428" xr:uid="{00000000-0005-0000-0000-0000AD210000}"/>
    <cellStyle name="Normal 3 2 3 2 2 3 2 3 2 2 2" xfId="28992" xr:uid="{00000000-0005-0000-0000-0000AE210000}"/>
    <cellStyle name="Normal 3 2 3 2 2 3 2 3 2 2 2 2" xfId="60863" xr:uid="{00000000-0005-0000-0000-0000AF210000}"/>
    <cellStyle name="Normal 3 2 3 2 2 3 2 3 2 2 3" xfId="34307" xr:uid="{00000000-0005-0000-0000-0000B0210000}"/>
    <cellStyle name="Normal 3 2 3 2 2 3 2 3 2 3" xfId="21114" xr:uid="{00000000-0005-0000-0000-0000B1210000}"/>
    <cellStyle name="Normal 3 2 3 2 2 3 2 3 2 3 2" xfId="52985" xr:uid="{00000000-0005-0000-0000-0000B2210000}"/>
    <cellStyle name="Normal 3 2 3 2 2 3 2 3 2 4" xfId="34306" xr:uid="{00000000-0005-0000-0000-0000B3210000}"/>
    <cellStyle name="Normal 3 2 3 2 2 3 2 3 3" xfId="2429" xr:uid="{00000000-0005-0000-0000-0000B4210000}"/>
    <cellStyle name="Normal 3 2 3 2 2 3 2 3 3 2" xfId="25053" xr:uid="{00000000-0005-0000-0000-0000B5210000}"/>
    <cellStyle name="Normal 3 2 3 2 2 3 2 3 3 2 2" xfId="56924" xr:uid="{00000000-0005-0000-0000-0000B6210000}"/>
    <cellStyle name="Normal 3 2 3 2 2 3 2 3 3 3" xfId="34308" xr:uid="{00000000-0005-0000-0000-0000B7210000}"/>
    <cellStyle name="Normal 3 2 3 2 2 3 2 3 4" xfId="17175" xr:uid="{00000000-0005-0000-0000-0000B8210000}"/>
    <cellStyle name="Normal 3 2 3 2 2 3 2 3 4 2" xfId="49046" xr:uid="{00000000-0005-0000-0000-0000B9210000}"/>
    <cellStyle name="Normal 3 2 3 2 2 3 2 3 5" xfId="34305" xr:uid="{00000000-0005-0000-0000-0000BA210000}"/>
    <cellStyle name="Normal 3 2 3 2 2 3 2 4" xfId="2430" xr:uid="{00000000-0005-0000-0000-0000BB210000}"/>
    <cellStyle name="Normal 3 2 3 2 2 3 2 4 2" xfId="2431" xr:uid="{00000000-0005-0000-0000-0000BC210000}"/>
    <cellStyle name="Normal 3 2 3 2 2 3 2 4 2 2" xfId="28989" xr:uid="{00000000-0005-0000-0000-0000BD210000}"/>
    <cellStyle name="Normal 3 2 3 2 2 3 2 4 2 2 2" xfId="60860" xr:uid="{00000000-0005-0000-0000-0000BE210000}"/>
    <cellStyle name="Normal 3 2 3 2 2 3 2 4 2 3" xfId="34310" xr:uid="{00000000-0005-0000-0000-0000BF210000}"/>
    <cellStyle name="Normal 3 2 3 2 2 3 2 4 3" xfId="21111" xr:uid="{00000000-0005-0000-0000-0000C0210000}"/>
    <cellStyle name="Normal 3 2 3 2 2 3 2 4 3 2" xfId="52982" xr:uid="{00000000-0005-0000-0000-0000C1210000}"/>
    <cellStyle name="Normal 3 2 3 2 2 3 2 4 4" xfId="34309" xr:uid="{00000000-0005-0000-0000-0000C2210000}"/>
    <cellStyle name="Normal 3 2 3 2 2 3 2 5" xfId="2432" xr:uid="{00000000-0005-0000-0000-0000C3210000}"/>
    <cellStyle name="Normal 3 2 3 2 2 3 2 5 2" xfId="25050" xr:uid="{00000000-0005-0000-0000-0000C4210000}"/>
    <cellStyle name="Normal 3 2 3 2 2 3 2 5 2 2" xfId="56921" xr:uid="{00000000-0005-0000-0000-0000C5210000}"/>
    <cellStyle name="Normal 3 2 3 2 2 3 2 5 3" xfId="34311" xr:uid="{00000000-0005-0000-0000-0000C6210000}"/>
    <cellStyle name="Normal 3 2 3 2 2 3 2 6" xfId="17172" xr:uid="{00000000-0005-0000-0000-0000C7210000}"/>
    <cellStyle name="Normal 3 2 3 2 2 3 2 6 2" xfId="49043" xr:uid="{00000000-0005-0000-0000-0000C8210000}"/>
    <cellStyle name="Normal 3 2 3 2 2 3 2 7" xfId="34296" xr:uid="{00000000-0005-0000-0000-0000C9210000}"/>
    <cellStyle name="Normal 3 2 3 2 2 3 3" xfId="2433" xr:uid="{00000000-0005-0000-0000-0000CA210000}"/>
    <cellStyle name="Normal 3 2 3 2 2 3 3 2" xfId="2434" xr:uid="{00000000-0005-0000-0000-0000CB210000}"/>
    <cellStyle name="Normal 3 2 3 2 2 3 3 2 2" xfId="2435" xr:uid="{00000000-0005-0000-0000-0000CC210000}"/>
    <cellStyle name="Normal 3 2 3 2 2 3 3 2 2 2" xfId="2436" xr:uid="{00000000-0005-0000-0000-0000CD210000}"/>
    <cellStyle name="Normal 3 2 3 2 2 3 3 2 2 2 2" xfId="28994" xr:uid="{00000000-0005-0000-0000-0000CE210000}"/>
    <cellStyle name="Normal 3 2 3 2 2 3 3 2 2 2 2 2" xfId="60865" xr:uid="{00000000-0005-0000-0000-0000CF210000}"/>
    <cellStyle name="Normal 3 2 3 2 2 3 3 2 2 2 3" xfId="34315" xr:uid="{00000000-0005-0000-0000-0000D0210000}"/>
    <cellStyle name="Normal 3 2 3 2 2 3 3 2 2 3" xfId="21116" xr:uid="{00000000-0005-0000-0000-0000D1210000}"/>
    <cellStyle name="Normal 3 2 3 2 2 3 3 2 2 3 2" xfId="52987" xr:uid="{00000000-0005-0000-0000-0000D2210000}"/>
    <cellStyle name="Normal 3 2 3 2 2 3 3 2 2 4" xfId="34314" xr:uid="{00000000-0005-0000-0000-0000D3210000}"/>
    <cellStyle name="Normal 3 2 3 2 2 3 3 2 3" xfId="2437" xr:uid="{00000000-0005-0000-0000-0000D4210000}"/>
    <cellStyle name="Normal 3 2 3 2 2 3 3 2 3 2" xfId="25055" xr:uid="{00000000-0005-0000-0000-0000D5210000}"/>
    <cellStyle name="Normal 3 2 3 2 2 3 3 2 3 2 2" xfId="56926" xr:uid="{00000000-0005-0000-0000-0000D6210000}"/>
    <cellStyle name="Normal 3 2 3 2 2 3 3 2 3 3" xfId="34316" xr:uid="{00000000-0005-0000-0000-0000D7210000}"/>
    <cellStyle name="Normal 3 2 3 2 2 3 3 2 4" xfId="17177" xr:uid="{00000000-0005-0000-0000-0000D8210000}"/>
    <cellStyle name="Normal 3 2 3 2 2 3 3 2 4 2" xfId="49048" xr:uid="{00000000-0005-0000-0000-0000D9210000}"/>
    <cellStyle name="Normal 3 2 3 2 2 3 3 2 5" xfId="34313" xr:uid="{00000000-0005-0000-0000-0000DA210000}"/>
    <cellStyle name="Normal 3 2 3 2 2 3 3 3" xfId="2438" xr:uid="{00000000-0005-0000-0000-0000DB210000}"/>
    <cellStyle name="Normal 3 2 3 2 2 3 3 3 2" xfId="2439" xr:uid="{00000000-0005-0000-0000-0000DC210000}"/>
    <cellStyle name="Normal 3 2 3 2 2 3 3 3 2 2" xfId="28993" xr:uid="{00000000-0005-0000-0000-0000DD210000}"/>
    <cellStyle name="Normal 3 2 3 2 2 3 3 3 2 2 2" xfId="60864" xr:uid="{00000000-0005-0000-0000-0000DE210000}"/>
    <cellStyle name="Normal 3 2 3 2 2 3 3 3 2 3" xfId="34318" xr:uid="{00000000-0005-0000-0000-0000DF210000}"/>
    <cellStyle name="Normal 3 2 3 2 2 3 3 3 3" xfId="21115" xr:uid="{00000000-0005-0000-0000-0000E0210000}"/>
    <cellStyle name="Normal 3 2 3 2 2 3 3 3 3 2" xfId="52986" xr:uid="{00000000-0005-0000-0000-0000E1210000}"/>
    <cellStyle name="Normal 3 2 3 2 2 3 3 3 4" xfId="34317" xr:uid="{00000000-0005-0000-0000-0000E2210000}"/>
    <cellStyle name="Normal 3 2 3 2 2 3 3 4" xfId="2440" xr:uid="{00000000-0005-0000-0000-0000E3210000}"/>
    <cellStyle name="Normal 3 2 3 2 2 3 3 4 2" xfId="25054" xr:uid="{00000000-0005-0000-0000-0000E4210000}"/>
    <cellStyle name="Normal 3 2 3 2 2 3 3 4 2 2" xfId="56925" xr:uid="{00000000-0005-0000-0000-0000E5210000}"/>
    <cellStyle name="Normal 3 2 3 2 2 3 3 4 3" xfId="34319" xr:uid="{00000000-0005-0000-0000-0000E6210000}"/>
    <cellStyle name="Normal 3 2 3 2 2 3 3 5" xfId="17176" xr:uid="{00000000-0005-0000-0000-0000E7210000}"/>
    <cellStyle name="Normal 3 2 3 2 2 3 3 5 2" xfId="49047" xr:uid="{00000000-0005-0000-0000-0000E8210000}"/>
    <cellStyle name="Normal 3 2 3 2 2 3 3 6" xfId="34312" xr:uid="{00000000-0005-0000-0000-0000E9210000}"/>
    <cellStyle name="Normal 3 2 3 2 2 3 4" xfId="2441" xr:uid="{00000000-0005-0000-0000-0000EA210000}"/>
    <cellStyle name="Normal 3 2 3 2 2 3 4 2" xfId="2442" xr:uid="{00000000-0005-0000-0000-0000EB210000}"/>
    <cellStyle name="Normal 3 2 3 2 2 3 4 2 2" xfId="2443" xr:uid="{00000000-0005-0000-0000-0000EC210000}"/>
    <cellStyle name="Normal 3 2 3 2 2 3 4 2 2 2" xfId="28995" xr:uid="{00000000-0005-0000-0000-0000ED210000}"/>
    <cellStyle name="Normal 3 2 3 2 2 3 4 2 2 2 2" xfId="60866" xr:uid="{00000000-0005-0000-0000-0000EE210000}"/>
    <cellStyle name="Normal 3 2 3 2 2 3 4 2 2 3" xfId="34322" xr:uid="{00000000-0005-0000-0000-0000EF210000}"/>
    <cellStyle name="Normal 3 2 3 2 2 3 4 2 3" xfId="21117" xr:uid="{00000000-0005-0000-0000-0000F0210000}"/>
    <cellStyle name="Normal 3 2 3 2 2 3 4 2 3 2" xfId="52988" xr:uid="{00000000-0005-0000-0000-0000F1210000}"/>
    <cellStyle name="Normal 3 2 3 2 2 3 4 2 4" xfId="34321" xr:uid="{00000000-0005-0000-0000-0000F2210000}"/>
    <cellStyle name="Normal 3 2 3 2 2 3 4 3" xfId="2444" xr:uid="{00000000-0005-0000-0000-0000F3210000}"/>
    <cellStyle name="Normal 3 2 3 2 2 3 4 3 2" xfId="25056" xr:uid="{00000000-0005-0000-0000-0000F4210000}"/>
    <cellStyle name="Normal 3 2 3 2 2 3 4 3 2 2" xfId="56927" xr:uid="{00000000-0005-0000-0000-0000F5210000}"/>
    <cellStyle name="Normal 3 2 3 2 2 3 4 3 3" xfId="34323" xr:uid="{00000000-0005-0000-0000-0000F6210000}"/>
    <cellStyle name="Normal 3 2 3 2 2 3 4 4" xfId="17178" xr:uid="{00000000-0005-0000-0000-0000F7210000}"/>
    <cellStyle name="Normal 3 2 3 2 2 3 4 4 2" xfId="49049" xr:uid="{00000000-0005-0000-0000-0000F8210000}"/>
    <cellStyle name="Normal 3 2 3 2 2 3 4 5" xfId="34320" xr:uid="{00000000-0005-0000-0000-0000F9210000}"/>
    <cellStyle name="Normal 3 2 3 2 2 3 5" xfId="2445" xr:uid="{00000000-0005-0000-0000-0000FA210000}"/>
    <cellStyle name="Normal 3 2 3 2 2 3 5 2" xfId="2446" xr:uid="{00000000-0005-0000-0000-0000FB210000}"/>
    <cellStyle name="Normal 3 2 3 2 2 3 5 2 2" xfId="28988" xr:uid="{00000000-0005-0000-0000-0000FC210000}"/>
    <cellStyle name="Normal 3 2 3 2 2 3 5 2 2 2" xfId="60859" xr:uid="{00000000-0005-0000-0000-0000FD210000}"/>
    <cellStyle name="Normal 3 2 3 2 2 3 5 2 3" xfId="34325" xr:uid="{00000000-0005-0000-0000-0000FE210000}"/>
    <cellStyle name="Normal 3 2 3 2 2 3 5 3" xfId="21110" xr:uid="{00000000-0005-0000-0000-0000FF210000}"/>
    <cellStyle name="Normal 3 2 3 2 2 3 5 3 2" xfId="52981" xr:uid="{00000000-0005-0000-0000-000000220000}"/>
    <cellStyle name="Normal 3 2 3 2 2 3 5 4" xfId="34324" xr:uid="{00000000-0005-0000-0000-000001220000}"/>
    <cellStyle name="Normal 3 2 3 2 2 3 6" xfId="2447" xr:uid="{00000000-0005-0000-0000-000002220000}"/>
    <cellStyle name="Normal 3 2 3 2 2 3 6 2" xfId="25049" xr:uid="{00000000-0005-0000-0000-000003220000}"/>
    <cellStyle name="Normal 3 2 3 2 2 3 6 2 2" xfId="56920" xr:uid="{00000000-0005-0000-0000-000004220000}"/>
    <cellStyle name="Normal 3 2 3 2 2 3 6 3" xfId="34326" xr:uid="{00000000-0005-0000-0000-000005220000}"/>
    <cellStyle name="Normal 3 2 3 2 2 3 7" xfId="17171" xr:uid="{00000000-0005-0000-0000-000006220000}"/>
    <cellStyle name="Normal 3 2 3 2 2 3 7 2" xfId="49042" xr:uid="{00000000-0005-0000-0000-000007220000}"/>
    <cellStyle name="Normal 3 2 3 2 2 3 8" xfId="34295" xr:uid="{00000000-0005-0000-0000-000008220000}"/>
    <cellStyle name="Normal 3 2 3 2 2 4" xfId="2448" xr:uid="{00000000-0005-0000-0000-000009220000}"/>
    <cellStyle name="Normal 3 2 3 2 2 4 2" xfId="2449" xr:uid="{00000000-0005-0000-0000-00000A220000}"/>
    <cellStyle name="Normal 3 2 3 2 2 4 2 2" xfId="2450" xr:uid="{00000000-0005-0000-0000-00000B220000}"/>
    <cellStyle name="Normal 3 2 3 2 2 4 2 2 2" xfId="2451" xr:uid="{00000000-0005-0000-0000-00000C220000}"/>
    <cellStyle name="Normal 3 2 3 2 2 4 2 2 2 2" xfId="2452" xr:uid="{00000000-0005-0000-0000-00000D220000}"/>
    <cellStyle name="Normal 3 2 3 2 2 4 2 2 2 2 2" xfId="28998" xr:uid="{00000000-0005-0000-0000-00000E220000}"/>
    <cellStyle name="Normal 3 2 3 2 2 4 2 2 2 2 2 2" xfId="60869" xr:uid="{00000000-0005-0000-0000-00000F220000}"/>
    <cellStyle name="Normal 3 2 3 2 2 4 2 2 2 2 3" xfId="34331" xr:uid="{00000000-0005-0000-0000-000010220000}"/>
    <cellStyle name="Normal 3 2 3 2 2 4 2 2 2 3" xfId="21120" xr:uid="{00000000-0005-0000-0000-000011220000}"/>
    <cellStyle name="Normal 3 2 3 2 2 4 2 2 2 3 2" xfId="52991" xr:uid="{00000000-0005-0000-0000-000012220000}"/>
    <cellStyle name="Normal 3 2 3 2 2 4 2 2 2 4" xfId="34330" xr:uid="{00000000-0005-0000-0000-000013220000}"/>
    <cellStyle name="Normal 3 2 3 2 2 4 2 2 3" xfId="2453" xr:uid="{00000000-0005-0000-0000-000014220000}"/>
    <cellStyle name="Normal 3 2 3 2 2 4 2 2 3 2" xfId="25059" xr:uid="{00000000-0005-0000-0000-000015220000}"/>
    <cellStyle name="Normal 3 2 3 2 2 4 2 2 3 2 2" xfId="56930" xr:uid="{00000000-0005-0000-0000-000016220000}"/>
    <cellStyle name="Normal 3 2 3 2 2 4 2 2 3 3" xfId="34332" xr:uid="{00000000-0005-0000-0000-000017220000}"/>
    <cellStyle name="Normal 3 2 3 2 2 4 2 2 4" xfId="17181" xr:uid="{00000000-0005-0000-0000-000018220000}"/>
    <cellStyle name="Normal 3 2 3 2 2 4 2 2 4 2" xfId="49052" xr:uid="{00000000-0005-0000-0000-000019220000}"/>
    <cellStyle name="Normal 3 2 3 2 2 4 2 2 5" xfId="34329" xr:uid="{00000000-0005-0000-0000-00001A220000}"/>
    <cellStyle name="Normal 3 2 3 2 2 4 2 3" xfId="2454" xr:uid="{00000000-0005-0000-0000-00001B220000}"/>
    <cellStyle name="Normal 3 2 3 2 2 4 2 3 2" xfId="2455" xr:uid="{00000000-0005-0000-0000-00001C220000}"/>
    <cellStyle name="Normal 3 2 3 2 2 4 2 3 2 2" xfId="28997" xr:uid="{00000000-0005-0000-0000-00001D220000}"/>
    <cellStyle name="Normal 3 2 3 2 2 4 2 3 2 2 2" xfId="60868" xr:uid="{00000000-0005-0000-0000-00001E220000}"/>
    <cellStyle name="Normal 3 2 3 2 2 4 2 3 2 3" xfId="34334" xr:uid="{00000000-0005-0000-0000-00001F220000}"/>
    <cellStyle name="Normal 3 2 3 2 2 4 2 3 3" xfId="21119" xr:uid="{00000000-0005-0000-0000-000020220000}"/>
    <cellStyle name="Normal 3 2 3 2 2 4 2 3 3 2" xfId="52990" xr:uid="{00000000-0005-0000-0000-000021220000}"/>
    <cellStyle name="Normal 3 2 3 2 2 4 2 3 4" xfId="34333" xr:uid="{00000000-0005-0000-0000-000022220000}"/>
    <cellStyle name="Normal 3 2 3 2 2 4 2 4" xfId="2456" xr:uid="{00000000-0005-0000-0000-000023220000}"/>
    <cellStyle name="Normal 3 2 3 2 2 4 2 4 2" xfId="25058" xr:uid="{00000000-0005-0000-0000-000024220000}"/>
    <cellStyle name="Normal 3 2 3 2 2 4 2 4 2 2" xfId="56929" xr:uid="{00000000-0005-0000-0000-000025220000}"/>
    <cellStyle name="Normal 3 2 3 2 2 4 2 4 3" xfId="34335" xr:uid="{00000000-0005-0000-0000-000026220000}"/>
    <cellStyle name="Normal 3 2 3 2 2 4 2 5" xfId="17180" xr:uid="{00000000-0005-0000-0000-000027220000}"/>
    <cellStyle name="Normal 3 2 3 2 2 4 2 5 2" xfId="49051" xr:uid="{00000000-0005-0000-0000-000028220000}"/>
    <cellStyle name="Normal 3 2 3 2 2 4 2 6" xfId="34328" xr:uid="{00000000-0005-0000-0000-000029220000}"/>
    <cellStyle name="Normal 3 2 3 2 2 4 3" xfId="2457" xr:uid="{00000000-0005-0000-0000-00002A220000}"/>
    <cellStyle name="Normal 3 2 3 2 2 4 3 2" xfId="2458" xr:uid="{00000000-0005-0000-0000-00002B220000}"/>
    <cellStyle name="Normal 3 2 3 2 2 4 3 2 2" xfId="2459" xr:uid="{00000000-0005-0000-0000-00002C220000}"/>
    <cellStyle name="Normal 3 2 3 2 2 4 3 2 2 2" xfId="28999" xr:uid="{00000000-0005-0000-0000-00002D220000}"/>
    <cellStyle name="Normal 3 2 3 2 2 4 3 2 2 2 2" xfId="60870" xr:uid="{00000000-0005-0000-0000-00002E220000}"/>
    <cellStyle name="Normal 3 2 3 2 2 4 3 2 2 3" xfId="34338" xr:uid="{00000000-0005-0000-0000-00002F220000}"/>
    <cellStyle name="Normal 3 2 3 2 2 4 3 2 3" xfId="21121" xr:uid="{00000000-0005-0000-0000-000030220000}"/>
    <cellStyle name="Normal 3 2 3 2 2 4 3 2 3 2" xfId="52992" xr:uid="{00000000-0005-0000-0000-000031220000}"/>
    <cellStyle name="Normal 3 2 3 2 2 4 3 2 4" xfId="34337" xr:uid="{00000000-0005-0000-0000-000032220000}"/>
    <cellStyle name="Normal 3 2 3 2 2 4 3 3" xfId="2460" xr:uid="{00000000-0005-0000-0000-000033220000}"/>
    <cellStyle name="Normal 3 2 3 2 2 4 3 3 2" xfId="25060" xr:uid="{00000000-0005-0000-0000-000034220000}"/>
    <cellStyle name="Normal 3 2 3 2 2 4 3 3 2 2" xfId="56931" xr:uid="{00000000-0005-0000-0000-000035220000}"/>
    <cellStyle name="Normal 3 2 3 2 2 4 3 3 3" xfId="34339" xr:uid="{00000000-0005-0000-0000-000036220000}"/>
    <cellStyle name="Normal 3 2 3 2 2 4 3 4" xfId="17182" xr:uid="{00000000-0005-0000-0000-000037220000}"/>
    <cellStyle name="Normal 3 2 3 2 2 4 3 4 2" xfId="49053" xr:uid="{00000000-0005-0000-0000-000038220000}"/>
    <cellStyle name="Normal 3 2 3 2 2 4 3 5" xfId="34336" xr:uid="{00000000-0005-0000-0000-000039220000}"/>
    <cellStyle name="Normal 3 2 3 2 2 4 4" xfId="2461" xr:uid="{00000000-0005-0000-0000-00003A220000}"/>
    <cellStyle name="Normal 3 2 3 2 2 4 4 2" xfId="2462" xr:uid="{00000000-0005-0000-0000-00003B220000}"/>
    <cellStyle name="Normal 3 2 3 2 2 4 4 2 2" xfId="28996" xr:uid="{00000000-0005-0000-0000-00003C220000}"/>
    <cellStyle name="Normal 3 2 3 2 2 4 4 2 2 2" xfId="60867" xr:uid="{00000000-0005-0000-0000-00003D220000}"/>
    <cellStyle name="Normal 3 2 3 2 2 4 4 2 3" xfId="34341" xr:uid="{00000000-0005-0000-0000-00003E220000}"/>
    <cellStyle name="Normal 3 2 3 2 2 4 4 3" xfId="21118" xr:uid="{00000000-0005-0000-0000-00003F220000}"/>
    <cellStyle name="Normal 3 2 3 2 2 4 4 3 2" xfId="52989" xr:uid="{00000000-0005-0000-0000-000040220000}"/>
    <cellStyle name="Normal 3 2 3 2 2 4 4 4" xfId="34340" xr:uid="{00000000-0005-0000-0000-000041220000}"/>
    <cellStyle name="Normal 3 2 3 2 2 4 5" xfId="2463" xr:uid="{00000000-0005-0000-0000-000042220000}"/>
    <cellStyle name="Normal 3 2 3 2 2 4 5 2" xfId="25057" xr:uid="{00000000-0005-0000-0000-000043220000}"/>
    <cellStyle name="Normal 3 2 3 2 2 4 5 2 2" xfId="56928" xr:uid="{00000000-0005-0000-0000-000044220000}"/>
    <cellStyle name="Normal 3 2 3 2 2 4 5 3" xfId="34342" xr:uid="{00000000-0005-0000-0000-000045220000}"/>
    <cellStyle name="Normal 3 2 3 2 2 4 6" xfId="17179" xr:uid="{00000000-0005-0000-0000-000046220000}"/>
    <cellStyle name="Normal 3 2 3 2 2 4 6 2" xfId="49050" xr:uid="{00000000-0005-0000-0000-000047220000}"/>
    <cellStyle name="Normal 3 2 3 2 2 4 7" xfId="34327" xr:uid="{00000000-0005-0000-0000-000048220000}"/>
    <cellStyle name="Normal 3 2 3 2 2 5" xfId="2464" xr:uid="{00000000-0005-0000-0000-000049220000}"/>
    <cellStyle name="Normal 3 2 3 2 2 5 2" xfId="2465" xr:uid="{00000000-0005-0000-0000-00004A220000}"/>
    <cellStyle name="Normal 3 2 3 2 2 5 2 2" xfId="2466" xr:uid="{00000000-0005-0000-0000-00004B220000}"/>
    <cellStyle name="Normal 3 2 3 2 2 5 2 2 2" xfId="2467" xr:uid="{00000000-0005-0000-0000-00004C220000}"/>
    <cellStyle name="Normal 3 2 3 2 2 5 2 2 2 2" xfId="29001" xr:uid="{00000000-0005-0000-0000-00004D220000}"/>
    <cellStyle name="Normal 3 2 3 2 2 5 2 2 2 2 2" xfId="60872" xr:uid="{00000000-0005-0000-0000-00004E220000}"/>
    <cellStyle name="Normal 3 2 3 2 2 5 2 2 2 3" xfId="34346" xr:uid="{00000000-0005-0000-0000-00004F220000}"/>
    <cellStyle name="Normal 3 2 3 2 2 5 2 2 3" xfId="21123" xr:uid="{00000000-0005-0000-0000-000050220000}"/>
    <cellStyle name="Normal 3 2 3 2 2 5 2 2 3 2" xfId="52994" xr:uid="{00000000-0005-0000-0000-000051220000}"/>
    <cellStyle name="Normal 3 2 3 2 2 5 2 2 4" xfId="34345" xr:uid="{00000000-0005-0000-0000-000052220000}"/>
    <cellStyle name="Normal 3 2 3 2 2 5 2 3" xfId="2468" xr:uid="{00000000-0005-0000-0000-000053220000}"/>
    <cellStyle name="Normal 3 2 3 2 2 5 2 3 2" xfId="25062" xr:uid="{00000000-0005-0000-0000-000054220000}"/>
    <cellStyle name="Normal 3 2 3 2 2 5 2 3 2 2" xfId="56933" xr:uid="{00000000-0005-0000-0000-000055220000}"/>
    <cellStyle name="Normal 3 2 3 2 2 5 2 3 3" xfId="34347" xr:uid="{00000000-0005-0000-0000-000056220000}"/>
    <cellStyle name="Normal 3 2 3 2 2 5 2 4" xfId="17184" xr:uid="{00000000-0005-0000-0000-000057220000}"/>
    <cellStyle name="Normal 3 2 3 2 2 5 2 4 2" xfId="49055" xr:uid="{00000000-0005-0000-0000-000058220000}"/>
    <cellStyle name="Normal 3 2 3 2 2 5 2 5" xfId="34344" xr:uid="{00000000-0005-0000-0000-000059220000}"/>
    <cellStyle name="Normal 3 2 3 2 2 5 3" xfId="2469" xr:uid="{00000000-0005-0000-0000-00005A220000}"/>
    <cellStyle name="Normal 3 2 3 2 2 5 3 2" xfId="2470" xr:uid="{00000000-0005-0000-0000-00005B220000}"/>
    <cellStyle name="Normal 3 2 3 2 2 5 3 2 2" xfId="29000" xr:uid="{00000000-0005-0000-0000-00005C220000}"/>
    <cellStyle name="Normal 3 2 3 2 2 5 3 2 2 2" xfId="60871" xr:uid="{00000000-0005-0000-0000-00005D220000}"/>
    <cellStyle name="Normal 3 2 3 2 2 5 3 2 3" xfId="34349" xr:uid="{00000000-0005-0000-0000-00005E220000}"/>
    <cellStyle name="Normal 3 2 3 2 2 5 3 3" xfId="21122" xr:uid="{00000000-0005-0000-0000-00005F220000}"/>
    <cellStyle name="Normal 3 2 3 2 2 5 3 3 2" xfId="52993" xr:uid="{00000000-0005-0000-0000-000060220000}"/>
    <cellStyle name="Normal 3 2 3 2 2 5 3 4" xfId="34348" xr:uid="{00000000-0005-0000-0000-000061220000}"/>
    <cellStyle name="Normal 3 2 3 2 2 5 4" xfId="2471" xr:uid="{00000000-0005-0000-0000-000062220000}"/>
    <cellStyle name="Normal 3 2 3 2 2 5 4 2" xfId="25061" xr:uid="{00000000-0005-0000-0000-000063220000}"/>
    <cellStyle name="Normal 3 2 3 2 2 5 4 2 2" xfId="56932" xr:uid="{00000000-0005-0000-0000-000064220000}"/>
    <cellStyle name="Normal 3 2 3 2 2 5 4 3" xfId="34350" xr:uid="{00000000-0005-0000-0000-000065220000}"/>
    <cellStyle name="Normal 3 2 3 2 2 5 5" xfId="17183" xr:uid="{00000000-0005-0000-0000-000066220000}"/>
    <cellStyle name="Normal 3 2 3 2 2 5 5 2" xfId="49054" xr:uid="{00000000-0005-0000-0000-000067220000}"/>
    <cellStyle name="Normal 3 2 3 2 2 5 6" xfId="34343" xr:uid="{00000000-0005-0000-0000-000068220000}"/>
    <cellStyle name="Normal 3 2 3 2 2 6" xfId="2472" xr:uid="{00000000-0005-0000-0000-000069220000}"/>
    <cellStyle name="Normal 3 2 3 2 2 6 2" xfId="2473" xr:uid="{00000000-0005-0000-0000-00006A220000}"/>
    <cellStyle name="Normal 3 2 3 2 2 6 2 2" xfId="2474" xr:uid="{00000000-0005-0000-0000-00006B220000}"/>
    <cellStyle name="Normal 3 2 3 2 2 6 2 2 2" xfId="29002" xr:uid="{00000000-0005-0000-0000-00006C220000}"/>
    <cellStyle name="Normal 3 2 3 2 2 6 2 2 2 2" xfId="60873" xr:uid="{00000000-0005-0000-0000-00006D220000}"/>
    <cellStyle name="Normal 3 2 3 2 2 6 2 2 3" xfId="34353" xr:uid="{00000000-0005-0000-0000-00006E220000}"/>
    <cellStyle name="Normal 3 2 3 2 2 6 2 3" xfId="21124" xr:uid="{00000000-0005-0000-0000-00006F220000}"/>
    <cellStyle name="Normal 3 2 3 2 2 6 2 3 2" xfId="52995" xr:uid="{00000000-0005-0000-0000-000070220000}"/>
    <cellStyle name="Normal 3 2 3 2 2 6 2 4" xfId="34352" xr:uid="{00000000-0005-0000-0000-000071220000}"/>
    <cellStyle name="Normal 3 2 3 2 2 6 3" xfId="2475" xr:uid="{00000000-0005-0000-0000-000072220000}"/>
    <cellStyle name="Normal 3 2 3 2 2 6 3 2" xfId="25063" xr:uid="{00000000-0005-0000-0000-000073220000}"/>
    <cellStyle name="Normal 3 2 3 2 2 6 3 2 2" xfId="56934" xr:uid="{00000000-0005-0000-0000-000074220000}"/>
    <cellStyle name="Normal 3 2 3 2 2 6 3 3" xfId="34354" xr:uid="{00000000-0005-0000-0000-000075220000}"/>
    <cellStyle name="Normal 3 2 3 2 2 6 4" xfId="17185" xr:uid="{00000000-0005-0000-0000-000076220000}"/>
    <cellStyle name="Normal 3 2 3 2 2 6 4 2" xfId="49056" xr:uid="{00000000-0005-0000-0000-000077220000}"/>
    <cellStyle name="Normal 3 2 3 2 2 6 5" xfId="34351" xr:uid="{00000000-0005-0000-0000-000078220000}"/>
    <cellStyle name="Normal 3 2 3 2 2 7" xfId="2476" xr:uid="{00000000-0005-0000-0000-000079220000}"/>
    <cellStyle name="Normal 3 2 3 2 2 7 2" xfId="2477" xr:uid="{00000000-0005-0000-0000-00007A220000}"/>
    <cellStyle name="Normal 3 2 3 2 2 7 2 2" xfId="28325" xr:uid="{00000000-0005-0000-0000-00007B220000}"/>
    <cellStyle name="Normal 3 2 3 2 2 7 2 2 2" xfId="60196" xr:uid="{00000000-0005-0000-0000-00007C220000}"/>
    <cellStyle name="Normal 3 2 3 2 2 7 2 3" xfId="34356" xr:uid="{00000000-0005-0000-0000-00007D220000}"/>
    <cellStyle name="Normal 3 2 3 2 2 7 3" xfId="20447" xr:uid="{00000000-0005-0000-0000-00007E220000}"/>
    <cellStyle name="Normal 3 2 3 2 2 7 3 2" xfId="52318" xr:uid="{00000000-0005-0000-0000-00007F220000}"/>
    <cellStyle name="Normal 3 2 3 2 2 7 4" xfId="34355" xr:uid="{00000000-0005-0000-0000-000080220000}"/>
    <cellStyle name="Normal 3 2 3 2 2 8" xfId="2478" xr:uid="{00000000-0005-0000-0000-000081220000}"/>
    <cellStyle name="Normal 3 2 3 2 2 8 2" xfId="24386" xr:uid="{00000000-0005-0000-0000-000082220000}"/>
    <cellStyle name="Normal 3 2 3 2 2 8 2 2" xfId="56257" xr:uid="{00000000-0005-0000-0000-000083220000}"/>
    <cellStyle name="Normal 3 2 3 2 2 8 3" xfId="34357" xr:uid="{00000000-0005-0000-0000-000084220000}"/>
    <cellStyle name="Normal 3 2 3 2 2 9" xfId="16508" xr:uid="{00000000-0005-0000-0000-000085220000}"/>
    <cellStyle name="Normal 3 2 3 2 2 9 2" xfId="48379" xr:uid="{00000000-0005-0000-0000-000086220000}"/>
    <cellStyle name="Normal 3 2 3 2 3" xfId="2479" xr:uid="{00000000-0005-0000-0000-000087220000}"/>
    <cellStyle name="Normal 3 2 3 2 3 10" xfId="34358" xr:uid="{00000000-0005-0000-0000-000088220000}"/>
    <cellStyle name="Normal 3 2 3 2 3 2" xfId="2480" xr:uid="{00000000-0005-0000-0000-000089220000}"/>
    <cellStyle name="Normal 3 2 3 2 3 2 2" xfId="2481" xr:uid="{00000000-0005-0000-0000-00008A220000}"/>
    <cellStyle name="Normal 3 2 3 2 3 2 2 2" xfId="2482" xr:uid="{00000000-0005-0000-0000-00008B220000}"/>
    <cellStyle name="Normal 3 2 3 2 3 2 2 2 2" xfId="2483" xr:uid="{00000000-0005-0000-0000-00008C220000}"/>
    <cellStyle name="Normal 3 2 3 2 3 2 2 2 2 2" xfId="2484" xr:uid="{00000000-0005-0000-0000-00008D220000}"/>
    <cellStyle name="Normal 3 2 3 2 3 2 2 2 2 2 2" xfId="2485" xr:uid="{00000000-0005-0000-0000-00008E220000}"/>
    <cellStyle name="Normal 3 2 3 2 3 2 2 2 2 2 2 2" xfId="2486" xr:uid="{00000000-0005-0000-0000-00008F220000}"/>
    <cellStyle name="Normal 3 2 3 2 3 2 2 2 2 2 2 2 2" xfId="29006" xr:uid="{00000000-0005-0000-0000-000090220000}"/>
    <cellStyle name="Normal 3 2 3 2 3 2 2 2 2 2 2 2 2 2" xfId="60877" xr:uid="{00000000-0005-0000-0000-000091220000}"/>
    <cellStyle name="Normal 3 2 3 2 3 2 2 2 2 2 2 2 3" xfId="34365" xr:uid="{00000000-0005-0000-0000-000092220000}"/>
    <cellStyle name="Normal 3 2 3 2 3 2 2 2 2 2 2 3" xfId="21128" xr:uid="{00000000-0005-0000-0000-000093220000}"/>
    <cellStyle name="Normal 3 2 3 2 3 2 2 2 2 2 2 3 2" xfId="52999" xr:uid="{00000000-0005-0000-0000-000094220000}"/>
    <cellStyle name="Normal 3 2 3 2 3 2 2 2 2 2 2 4" xfId="34364" xr:uid="{00000000-0005-0000-0000-000095220000}"/>
    <cellStyle name="Normal 3 2 3 2 3 2 2 2 2 2 3" xfId="2487" xr:uid="{00000000-0005-0000-0000-000096220000}"/>
    <cellStyle name="Normal 3 2 3 2 3 2 2 2 2 2 3 2" xfId="25067" xr:uid="{00000000-0005-0000-0000-000097220000}"/>
    <cellStyle name="Normal 3 2 3 2 3 2 2 2 2 2 3 2 2" xfId="56938" xr:uid="{00000000-0005-0000-0000-000098220000}"/>
    <cellStyle name="Normal 3 2 3 2 3 2 2 2 2 2 3 3" xfId="34366" xr:uid="{00000000-0005-0000-0000-000099220000}"/>
    <cellStyle name="Normal 3 2 3 2 3 2 2 2 2 2 4" xfId="17189" xr:uid="{00000000-0005-0000-0000-00009A220000}"/>
    <cellStyle name="Normal 3 2 3 2 3 2 2 2 2 2 4 2" xfId="49060" xr:uid="{00000000-0005-0000-0000-00009B220000}"/>
    <cellStyle name="Normal 3 2 3 2 3 2 2 2 2 2 5" xfId="34363" xr:uid="{00000000-0005-0000-0000-00009C220000}"/>
    <cellStyle name="Normal 3 2 3 2 3 2 2 2 2 3" xfId="2488" xr:uid="{00000000-0005-0000-0000-00009D220000}"/>
    <cellStyle name="Normal 3 2 3 2 3 2 2 2 2 3 2" xfId="2489" xr:uid="{00000000-0005-0000-0000-00009E220000}"/>
    <cellStyle name="Normal 3 2 3 2 3 2 2 2 2 3 2 2" xfId="29005" xr:uid="{00000000-0005-0000-0000-00009F220000}"/>
    <cellStyle name="Normal 3 2 3 2 3 2 2 2 2 3 2 2 2" xfId="60876" xr:uid="{00000000-0005-0000-0000-0000A0220000}"/>
    <cellStyle name="Normal 3 2 3 2 3 2 2 2 2 3 2 3" xfId="34368" xr:uid="{00000000-0005-0000-0000-0000A1220000}"/>
    <cellStyle name="Normal 3 2 3 2 3 2 2 2 2 3 3" xfId="21127" xr:uid="{00000000-0005-0000-0000-0000A2220000}"/>
    <cellStyle name="Normal 3 2 3 2 3 2 2 2 2 3 3 2" xfId="52998" xr:uid="{00000000-0005-0000-0000-0000A3220000}"/>
    <cellStyle name="Normal 3 2 3 2 3 2 2 2 2 3 4" xfId="34367" xr:uid="{00000000-0005-0000-0000-0000A4220000}"/>
    <cellStyle name="Normal 3 2 3 2 3 2 2 2 2 4" xfId="2490" xr:uid="{00000000-0005-0000-0000-0000A5220000}"/>
    <cellStyle name="Normal 3 2 3 2 3 2 2 2 2 4 2" xfId="25066" xr:uid="{00000000-0005-0000-0000-0000A6220000}"/>
    <cellStyle name="Normal 3 2 3 2 3 2 2 2 2 4 2 2" xfId="56937" xr:uid="{00000000-0005-0000-0000-0000A7220000}"/>
    <cellStyle name="Normal 3 2 3 2 3 2 2 2 2 4 3" xfId="34369" xr:uid="{00000000-0005-0000-0000-0000A8220000}"/>
    <cellStyle name="Normal 3 2 3 2 3 2 2 2 2 5" xfId="17188" xr:uid="{00000000-0005-0000-0000-0000A9220000}"/>
    <cellStyle name="Normal 3 2 3 2 3 2 2 2 2 5 2" xfId="49059" xr:uid="{00000000-0005-0000-0000-0000AA220000}"/>
    <cellStyle name="Normal 3 2 3 2 3 2 2 2 2 6" xfId="34362" xr:uid="{00000000-0005-0000-0000-0000AB220000}"/>
    <cellStyle name="Normal 3 2 3 2 3 2 2 2 3" xfId="2491" xr:uid="{00000000-0005-0000-0000-0000AC220000}"/>
    <cellStyle name="Normal 3 2 3 2 3 2 2 2 3 2" xfId="2492" xr:uid="{00000000-0005-0000-0000-0000AD220000}"/>
    <cellStyle name="Normal 3 2 3 2 3 2 2 2 3 2 2" xfId="2493" xr:uid="{00000000-0005-0000-0000-0000AE220000}"/>
    <cellStyle name="Normal 3 2 3 2 3 2 2 2 3 2 2 2" xfId="29007" xr:uid="{00000000-0005-0000-0000-0000AF220000}"/>
    <cellStyle name="Normal 3 2 3 2 3 2 2 2 3 2 2 2 2" xfId="60878" xr:uid="{00000000-0005-0000-0000-0000B0220000}"/>
    <cellStyle name="Normal 3 2 3 2 3 2 2 2 3 2 2 3" xfId="34372" xr:uid="{00000000-0005-0000-0000-0000B1220000}"/>
    <cellStyle name="Normal 3 2 3 2 3 2 2 2 3 2 3" xfId="21129" xr:uid="{00000000-0005-0000-0000-0000B2220000}"/>
    <cellStyle name="Normal 3 2 3 2 3 2 2 2 3 2 3 2" xfId="53000" xr:uid="{00000000-0005-0000-0000-0000B3220000}"/>
    <cellStyle name="Normal 3 2 3 2 3 2 2 2 3 2 4" xfId="34371" xr:uid="{00000000-0005-0000-0000-0000B4220000}"/>
    <cellStyle name="Normal 3 2 3 2 3 2 2 2 3 3" xfId="2494" xr:uid="{00000000-0005-0000-0000-0000B5220000}"/>
    <cellStyle name="Normal 3 2 3 2 3 2 2 2 3 3 2" xfId="25068" xr:uid="{00000000-0005-0000-0000-0000B6220000}"/>
    <cellStyle name="Normal 3 2 3 2 3 2 2 2 3 3 2 2" xfId="56939" xr:uid="{00000000-0005-0000-0000-0000B7220000}"/>
    <cellStyle name="Normal 3 2 3 2 3 2 2 2 3 3 3" xfId="34373" xr:uid="{00000000-0005-0000-0000-0000B8220000}"/>
    <cellStyle name="Normal 3 2 3 2 3 2 2 2 3 4" xfId="17190" xr:uid="{00000000-0005-0000-0000-0000B9220000}"/>
    <cellStyle name="Normal 3 2 3 2 3 2 2 2 3 4 2" xfId="49061" xr:uid="{00000000-0005-0000-0000-0000BA220000}"/>
    <cellStyle name="Normal 3 2 3 2 3 2 2 2 3 5" xfId="34370" xr:uid="{00000000-0005-0000-0000-0000BB220000}"/>
    <cellStyle name="Normal 3 2 3 2 3 2 2 2 4" xfId="2495" xr:uid="{00000000-0005-0000-0000-0000BC220000}"/>
    <cellStyle name="Normal 3 2 3 2 3 2 2 2 4 2" xfId="2496" xr:uid="{00000000-0005-0000-0000-0000BD220000}"/>
    <cellStyle name="Normal 3 2 3 2 3 2 2 2 4 2 2" xfId="29004" xr:uid="{00000000-0005-0000-0000-0000BE220000}"/>
    <cellStyle name="Normal 3 2 3 2 3 2 2 2 4 2 2 2" xfId="60875" xr:uid="{00000000-0005-0000-0000-0000BF220000}"/>
    <cellStyle name="Normal 3 2 3 2 3 2 2 2 4 2 3" xfId="34375" xr:uid="{00000000-0005-0000-0000-0000C0220000}"/>
    <cellStyle name="Normal 3 2 3 2 3 2 2 2 4 3" xfId="21126" xr:uid="{00000000-0005-0000-0000-0000C1220000}"/>
    <cellStyle name="Normal 3 2 3 2 3 2 2 2 4 3 2" xfId="52997" xr:uid="{00000000-0005-0000-0000-0000C2220000}"/>
    <cellStyle name="Normal 3 2 3 2 3 2 2 2 4 4" xfId="34374" xr:uid="{00000000-0005-0000-0000-0000C3220000}"/>
    <cellStyle name="Normal 3 2 3 2 3 2 2 2 5" xfId="2497" xr:uid="{00000000-0005-0000-0000-0000C4220000}"/>
    <cellStyle name="Normal 3 2 3 2 3 2 2 2 5 2" xfId="25065" xr:uid="{00000000-0005-0000-0000-0000C5220000}"/>
    <cellStyle name="Normal 3 2 3 2 3 2 2 2 5 2 2" xfId="56936" xr:uid="{00000000-0005-0000-0000-0000C6220000}"/>
    <cellStyle name="Normal 3 2 3 2 3 2 2 2 5 3" xfId="34376" xr:uid="{00000000-0005-0000-0000-0000C7220000}"/>
    <cellStyle name="Normal 3 2 3 2 3 2 2 2 6" xfId="17187" xr:uid="{00000000-0005-0000-0000-0000C8220000}"/>
    <cellStyle name="Normal 3 2 3 2 3 2 2 2 6 2" xfId="49058" xr:uid="{00000000-0005-0000-0000-0000C9220000}"/>
    <cellStyle name="Normal 3 2 3 2 3 2 2 2 7" xfId="34361" xr:uid="{00000000-0005-0000-0000-0000CA220000}"/>
    <cellStyle name="Normal 3 2 3 2 3 2 2 3" xfId="2498" xr:uid="{00000000-0005-0000-0000-0000CB220000}"/>
    <cellStyle name="Normal 3 2 3 2 3 2 2 3 2" xfId="2499" xr:uid="{00000000-0005-0000-0000-0000CC220000}"/>
    <cellStyle name="Normal 3 2 3 2 3 2 2 3 2 2" xfId="2500" xr:uid="{00000000-0005-0000-0000-0000CD220000}"/>
    <cellStyle name="Normal 3 2 3 2 3 2 2 3 2 2 2" xfId="2501" xr:uid="{00000000-0005-0000-0000-0000CE220000}"/>
    <cellStyle name="Normal 3 2 3 2 3 2 2 3 2 2 2 2" xfId="29009" xr:uid="{00000000-0005-0000-0000-0000CF220000}"/>
    <cellStyle name="Normal 3 2 3 2 3 2 2 3 2 2 2 2 2" xfId="60880" xr:uid="{00000000-0005-0000-0000-0000D0220000}"/>
    <cellStyle name="Normal 3 2 3 2 3 2 2 3 2 2 2 3" xfId="34380" xr:uid="{00000000-0005-0000-0000-0000D1220000}"/>
    <cellStyle name="Normal 3 2 3 2 3 2 2 3 2 2 3" xfId="21131" xr:uid="{00000000-0005-0000-0000-0000D2220000}"/>
    <cellStyle name="Normal 3 2 3 2 3 2 2 3 2 2 3 2" xfId="53002" xr:uid="{00000000-0005-0000-0000-0000D3220000}"/>
    <cellStyle name="Normal 3 2 3 2 3 2 2 3 2 2 4" xfId="34379" xr:uid="{00000000-0005-0000-0000-0000D4220000}"/>
    <cellStyle name="Normal 3 2 3 2 3 2 2 3 2 3" xfId="2502" xr:uid="{00000000-0005-0000-0000-0000D5220000}"/>
    <cellStyle name="Normal 3 2 3 2 3 2 2 3 2 3 2" xfId="25070" xr:uid="{00000000-0005-0000-0000-0000D6220000}"/>
    <cellStyle name="Normal 3 2 3 2 3 2 2 3 2 3 2 2" xfId="56941" xr:uid="{00000000-0005-0000-0000-0000D7220000}"/>
    <cellStyle name="Normal 3 2 3 2 3 2 2 3 2 3 3" xfId="34381" xr:uid="{00000000-0005-0000-0000-0000D8220000}"/>
    <cellStyle name="Normal 3 2 3 2 3 2 2 3 2 4" xfId="17192" xr:uid="{00000000-0005-0000-0000-0000D9220000}"/>
    <cellStyle name="Normal 3 2 3 2 3 2 2 3 2 4 2" xfId="49063" xr:uid="{00000000-0005-0000-0000-0000DA220000}"/>
    <cellStyle name="Normal 3 2 3 2 3 2 2 3 2 5" xfId="34378" xr:uid="{00000000-0005-0000-0000-0000DB220000}"/>
    <cellStyle name="Normal 3 2 3 2 3 2 2 3 3" xfId="2503" xr:uid="{00000000-0005-0000-0000-0000DC220000}"/>
    <cellStyle name="Normal 3 2 3 2 3 2 2 3 3 2" xfId="2504" xr:uid="{00000000-0005-0000-0000-0000DD220000}"/>
    <cellStyle name="Normal 3 2 3 2 3 2 2 3 3 2 2" xfId="29008" xr:uid="{00000000-0005-0000-0000-0000DE220000}"/>
    <cellStyle name="Normal 3 2 3 2 3 2 2 3 3 2 2 2" xfId="60879" xr:uid="{00000000-0005-0000-0000-0000DF220000}"/>
    <cellStyle name="Normal 3 2 3 2 3 2 2 3 3 2 3" xfId="34383" xr:uid="{00000000-0005-0000-0000-0000E0220000}"/>
    <cellStyle name="Normal 3 2 3 2 3 2 2 3 3 3" xfId="21130" xr:uid="{00000000-0005-0000-0000-0000E1220000}"/>
    <cellStyle name="Normal 3 2 3 2 3 2 2 3 3 3 2" xfId="53001" xr:uid="{00000000-0005-0000-0000-0000E2220000}"/>
    <cellStyle name="Normal 3 2 3 2 3 2 2 3 3 4" xfId="34382" xr:uid="{00000000-0005-0000-0000-0000E3220000}"/>
    <cellStyle name="Normal 3 2 3 2 3 2 2 3 4" xfId="2505" xr:uid="{00000000-0005-0000-0000-0000E4220000}"/>
    <cellStyle name="Normal 3 2 3 2 3 2 2 3 4 2" xfId="25069" xr:uid="{00000000-0005-0000-0000-0000E5220000}"/>
    <cellStyle name="Normal 3 2 3 2 3 2 2 3 4 2 2" xfId="56940" xr:uid="{00000000-0005-0000-0000-0000E6220000}"/>
    <cellStyle name="Normal 3 2 3 2 3 2 2 3 4 3" xfId="34384" xr:uid="{00000000-0005-0000-0000-0000E7220000}"/>
    <cellStyle name="Normal 3 2 3 2 3 2 2 3 5" xfId="17191" xr:uid="{00000000-0005-0000-0000-0000E8220000}"/>
    <cellStyle name="Normal 3 2 3 2 3 2 2 3 5 2" xfId="49062" xr:uid="{00000000-0005-0000-0000-0000E9220000}"/>
    <cellStyle name="Normal 3 2 3 2 3 2 2 3 6" xfId="34377" xr:uid="{00000000-0005-0000-0000-0000EA220000}"/>
    <cellStyle name="Normal 3 2 3 2 3 2 2 4" xfId="2506" xr:uid="{00000000-0005-0000-0000-0000EB220000}"/>
    <cellStyle name="Normal 3 2 3 2 3 2 2 4 2" xfId="2507" xr:uid="{00000000-0005-0000-0000-0000EC220000}"/>
    <cellStyle name="Normal 3 2 3 2 3 2 2 4 2 2" xfId="2508" xr:uid="{00000000-0005-0000-0000-0000ED220000}"/>
    <cellStyle name="Normal 3 2 3 2 3 2 2 4 2 2 2" xfId="29010" xr:uid="{00000000-0005-0000-0000-0000EE220000}"/>
    <cellStyle name="Normal 3 2 3 2 3 2 2 4 2 2 2 2" xfId="60881" xr:uid="{00000000-0005-0000-0000-0000EF220000}"/>
    <cellStyle name="Normal 3 2 3 2 3 2 2 4 2 2 3" xfId="34387" xr:uid="{00000000-0005-0000-0000-0000F0220000}"/>
    <cellStyle name="Normal 3 2 3 2 3 2 2 4 2 3" xfId="21132" xr:uid="{00000000-0005-0000-0000-0000F1220000}"/>
    <cellStyle name="Normal 3 2 3 2 3 2 2 4 2 3 2" xfId="53003" xr:uid="{00000000-0005-0000-0000-0000F2220000}"/>
    <cellStyle name="Normal 3 2 3 2 3 2 2 4 2 4" xfId="34386" xr:uid="{00000000-0005-0000-0000-0000F3220000}"/>
    <cellStyle name="Normal 3 2 3 2 3 2 2 4 3" xfId="2509" xr:uid="{00000000-0005-0000-0000-0000F4220000}"/>
    <cellStyle name="Normal 3 2 3 2 3 2 2 4 3 2" xfId="25071" xr:uid="{00000000-0005-0000-0000-0000F5220000}"/>
    <cellStyle name="Normal 3 2 3 2 3 2 2 4 3 2 2" xfId="56942" xr:uid="{00000000-0005-0000-0000-0000F6220000}"/>
    <cellStyle name="Normal 3 2 3 2 3 2 2 4 3 3" xfId="34388" xr:uid="{00000000-0005-0000-0000-0000F7220000}"/>
    <cellStyle name="Normal 3 2 3 2 3 2 2 4 4" xfId="17193" xr:uid="{00000000-0005-0000-0000-0000F8220000}"/>
    <cellStyle name="Normal 3 2 3 2 3 2 2 4 4 2" xfId="49064" xr:uid="{00000000-0005-0000-0000-0000F9220000}"/>
    <cellStyle name="Normal 3 2 3 2 3 2 2 4 5" xfId="34385" xr:uid="{00000000-0005-0000-0000-0000FA220000}"/>
    <cellStyle name="Normal 3 2 3 2 3 2 2 5" xfId="2510" xr:uid="{00000000-0005-0000-0000-0000FB220000}"/>
    <cellStyle name="Normal 3 2 3 2 3 2 2 5 2" xfId="2511" xr:uid="{00000000-0005-0000-0000-0000FC220000}"/>
    <cellStyle name="Normal 3 2 3 2 3 2 2 5 2 2" xfId="29003" xr:uid="{00000000-0005-0000-0000-0000FD220000}"/>
    <cellStyle name="Normal 3 2 3 2 3 2 2 5 2 2 2" xfId="60874" xr:uid="{00000000-0005-0000-0000-0000FE220000}"/>
    <cellStyle name="Normal 3 2 3 2 3 2 2 5 2 3" xfId="34390" xr:uid="{00000000-0005-0000-0000-0000FF220000}"/>
    <cellStyle name="Normal 3 2 3 2 3 2 2 5 3" xfId="21125" xr:uid="{00000000-0005-0000-0000-000000230000}"/>
    <cellStyle name="Normal 3 2 3 2 3 2 2 5 3 2" xfId="52996" xr:uid="{00000000-0005-0000-0000-000001230000}"/>
    <cellStyle name="Normal 3 2 3 2 3 2 2 5 4" xfId="34389" xr:uid="{00000000-0005-0000-0000-000002230000}"/>
    <cellStyle name="Normal 3 2 3 2 3 2 2 6" xfId="2512" xr:uid="{00000000-0005-0000-0000-000003230000}"/>
    <cellStyle name="Normal 3 2 3 2 3 2 2 6 2" xfId="25064" xr:uid="{00000000-0005-0000-0000-000004230000}"/>
    <cellStyle name="Normal 3 2 3 2 3 2 2 6 2 2" xfId="56935" xr:uid="{00000000-0005-0000-0000-000005230000}"/>
    <cellStyle name="Normal 3 2 3 2 3 2 2 6 3" xfId="34391" xr:uid="{00000000-0005-0000-0000-000006230000}"/>
    <cellStyle name="Normal 3 2 3 2 3 2 2 7" xfId="17186" xr:uid="{00000000-0005-0000-0000-000007230000}"/>
    <cellStyle name="Normal 3 2 3 2 3 2 2 7 2" xfId="49057" xr:uid="{00000000-0005-0000-0000-000008230000}"/>
    <cellStyle name="Normal 3 2 3 2 3 2 2 8" xfId="34360" xr:uid="{00000000-0005-0000-0000-000009230000}"/>
    <cellStyle name="Normal 3 2 3 2 3 2 3" xfId="2513" xr:uid="{00000000-0005-0000-0000-00000A230000}"/>
    <cellStyle name="Normal 3 2 3 2 3 2 3 2" xfId="2514" xr:uid="{00000000-0005-0000-0000-00000B230000}"/>
    <cellStyle name="Normal 3 2 3 2 3 2 3 2 2" xfId="2515" xr:uid="{00000000-0005-0000-0000-00000C230000}"/>
    <cellStyle name="Normal 3 2 3 2 3 2 3 2 2 2" xfId="2516" xr:uid="{00000000-0005-0000-0000-00000D230000}"/>
    <cellStyle name="Normal 3 2 3 2 3 2 3 2 2 2 2" xfId="2517" xr:uid="{00000000-0005-0000-0000-00000E230000}"/>
    <cellStyle name="Normal 3 2 3 2 3 2 3 2 2 2 2 2" xfId="29013" xr:uid="{00000000-0005-0000-0000-00000F230000}"/>
    <cellStyle name="Normal 3 2 3 2 3 2 3 2 2 2 2 2 2" xfId="60884" xr:uid="{00000000-0005-0000-0000-000010230000}"/>
    <cellStyle name="Normal 3 2 3 2 3 2 3 2 2 2 2 3" xfId="34396" xr:uid="{00000000-0005-0000-0000-000011230000}"/>
    <cellStyle name="Normal 3 2 3 2 3 2 3 2 2 2 3" xfId="21135" xr:uid="{00000000-0005-0000-0000-000012230000}"/>
    <cellStyle name="Normal 3 2 3 2 3 2 3 2 2 2 3 2" xfId="53006" xr:uid="{00000000-0005-0000-0000-000013230000}"/>
    <cellStyle name="Normal 3 2 3 2 3 2 3 2 2 2 4" xfId="34395" xr:uid="{00000000-0005-0000-0000-000014230000}"/>
    <cellStyle name="Normal 3 2 3 2 3 2 3 2 2 3" xfId="2518" xr:uid="{00000000-0005-0000-0000-000015230000}"/>
    <cellStyle name="Normal 3 2 3 2 3 2 3 2 2 3 2" xfId="25074" xr:uid="{00000000-0005-0000-0000-000016230000}"/>
    <cellStyle name="Normal 3 2 3 2 3 2 3 2 2 3 2 2" xfId="56945" xr:uid="{00000000-0005-0000-0000-000017230000}"/>
    <cellStyle name="Normal 3 2 3 2 3 2 3 2 2 3 3" xfId="34397" xr:uid="{00000000-0005-0000-0000-000018230000}"/>
    <cellStyle name="Normal 3 2 3 2 3 2 3 2 2 4" xfId="17196" xr:uid="{00000000-0005-0000-0000-000019230000}"/>
    <cellStyle name="Normal 3 2 3 2 3 2 3 2 2 4 2" xfId="49067" xr:uid="{00000000-0005-0000-0000-00001A230000}"/>
    <cellStyle name="Normal 3 2 3 2 3 2 3 2 2 5" xfId="34394" xr:uid="{00000000-0005-0000-0000-00001B230000}"/>
    <cellStyle name="Normal 3 2 3 2 3 2 3 2 3" xfId="2519" xr:uid="{00000000-0005-0000-0000-00001C230000}"/>
    <cellStyle name="Normal 3 2 3 2 3 2 3 2 3 2" xfId="2520" xr:uid="{00000000-0005-0000-0000-00001D230000}"/>
    <cellStyle name="Normal 3 2 3 2 3 2 3 2 3 2 2" xfId="29012" xr:uid="{00000000-0005-0000-0000-00001E230000}"/>
    <cellStyle name="Normal 3 2 3 2 3 2 3 2 3 2 2 2" xfId="60883" xr:uid="{00000000-0005-0000-0000-00001F230000}"/>
    <cellStyle name="Normal 3 2 3 2 3 2 3 2 3 2 3" xfId="34399" xr:uid="{00000000-0005-0000-0000-000020230000}"/>
    <cellStyle name="Normal 3 2 3 2 3 2 3 2 3 3" xfId="21134" xr:uid="{00000000-0005-0000-0000-000021230000}"/>
    <cellStyle name="Normal 3 2 3 2 3 2 3 2 3 3 2" xfId="53005" xr:uid="{00000000-0005-0000-0000-000022230000}"/>
    <cellStyle name="Normal 3 2 3 2 3 2 3 2 3 4" xfId="34398" xr:uid="{00000000-0005-0000-0000-000023230000}"/>
    <cellStyle name="Normal 3 2 3 2 3 2 3 2 4" xfId="2521" xr:uid="{00000000-0005-0000-0000-000024230000}"/>
    <cellStyle name="Normal 3 2 3 2 3 2 3 2 4 2" xfId="25073" xr:uid="{00000000-0005-0000-0000-000025230000}"/>
    <cellStyle name="Normal 3 2 3 2 3 2 3 2 4 2 2" xfId="56944" xr:uid="{00000000-0005-0000-0000-000026230000}"/>
    <cellStyle name="Normal 3 2 3 2 3 2 3 2 4 3" xfId="34400" xr:uid="{00000000-0005-0000-0000-000027230000}"/>
    <cellStyle name="Normal 3 2 3 2 3 2 3 2 5" xfId="17195" xr:uid="{00000000-0005-0000-0000-000028230000}"/>
    <cellStyle name="Normal 3 2 3 2 3 2 3 2 5 2" xfId="49066" xr:uid="{00000000-0005-0000-0000-000029230000}"/>
    <cellStyle name="Normal 3 2 3 2 3 2 3 2 6" xfId="34393" xr:uid="{00000000-0005-0000-0000-00002A230000}"/>
    <cellStyle name="Normal 3 2 3 2 3 2 3 3" xfId="2522" xr:uid="{00000000-0005-0000-0000-00002B230000}"/>
    <cellStyle name="Normal 3 2 3 2 3 2 3 3 2" xfId="2523" xr:uid="{00000000-0005-0000-0000-00002C230000}"/>
    <cellStyle name="Normal 3 2 3 2 3 2 3 3 2 2" xfId="2524" xr:uid="{00000000-0005-0000-0000-00002D230000}"/>
    <cellStyle name="Normal 3 2 3 2 3 2 3 3 2 2 2" xfId="29014" xr:uid="{00000000-0005-0000-0000-00002E230000}"/>
    <cellStyle name="Normal 3 2 3 2 3 2 3 3 2 2 2 2" xfId="60885" xr:uid="{00000000-0005-0000-0000-00002F230000}"/>
    <cellStyle name="Normal 3 2 3 2 3 2 3 3 2 2 3" xfId="34403" xr:uid="{00000000-0005-0000-0000-000030230000}"/>
    <cellStyle name="Normal 3 2 3 2 3 2 3 3 2 3" xfId="21136" xr:uid="{00000000-0005-0000-0000-000031230000}"/>
    <cellStyle name="Normal 3 2 3 2 3 2 3 3 2 3 2" xfId="53007" xr:uid="{00000000-0005-0000-0000-000032230000}"/>
    <cellStyle name="Normal 3 2 3 2 3 2 3 3 2 4" xfId="34402" xr:uid="{00000000-0005-0000-0000-000033230000}"/>
    <cellStyle name="Normal 3 2 3 2 3 2 3 3 3" xfId="2525" xr:uid="{00000000-0005-0000-0000-000034230000}"/>
    <cellStyle name="Normal 3 2 3 2 3 2 3 3 3 2" xfId="25075" xr:uid="{00000000-0005-0000-0000-000035230000}"/>
    <cellStyle name="Normal 3 2 3 2 3 2 3 3 3 2 2" xfId="56946" xr:uid="{00000000-0005-0000-0000-000036230000}"/>
    <cellStyle name="Normal 3 2 3 2 3 2 3 3 3 3" xfId="34404" xr:uid="{00000000-0005-0000-0000-000037230000}"/>
    <cellStyle name="Normal 3 2 3 2 3 2 3 3 4" xfId="17197" xr:uid="{00000000-0005-0000-0000-000038230000}"/>
    <cellStyle name="Normal 3 2 3 2 3 2 3 3 4 2" xfId="49068" xr:uid="{00000000-0005-0000-0000-000039230000}"/>
    <cellStyle name="Normal 3 2 3 2 3 2 3 3 5" xfId="34401" xr:uid="{00000000-0005-0000-0000-00003A230000}"/>
    <cellStyle name="Normal 3 2 3 2 3 2 3 4" xfId="2526" xr:uid="{00000000-0005-0000-0000-00003B230000}"/>
    <cellStyle name="Normal 3 2 3 2 3 2 3 4 2" xfId="2527" xr:uid="{00000000-0005-0000-0000-00003C230000}"/>
    <cellStyle name="Normal 3 2 3 2 3 2 3 4 2 2" xfId="29011" xr:uid="{00000000-0005-0000-0000-00003D230000}"/>
    <cellStyle name="Normal 3 2 3 2 3 2 3 4 2 2 2" xfId="60882" xr:uid="{00000000-0005-0000-0000-00003E230000}"/>
    <cellStyle name="Normal 3 2 3 2 3 2 3 4 2 3" xfId="34406" xr:uid="{00000000-0005-0000-0000-00003F230000}"/>
    <cellStyle name="Normal 3 2 3 2 3 2 3 4 3" xfId="21133" xr:uid="{00000000-0005-0000-0000-000040230000}"/>
    <cellStyle name="Normal 3 2 3 2 3 2 3 4 3 2" xfId="53004" xr:uid="{00000000-0005-0000-0000-000041230000}"/>
    <cellStyle name="Normal 3 2 3 2 3 2 3 4 4" xfId="34405" xr:uid="{00000000-0005-0000-0000-000042230000}"/>
    <cellStyle name="Normal 3 2 3 2 3 2 3 5" xfId="2528" xr:uid="{00000000-0005-0000-0000-000043230000}"/>
    <cellStyle name="Normal 3 2 3 2 3 2 3 5 2" xfId="25072" xr:uid="{00000000-0005-0000-0000-000044230000}"/>
    <cellStyle name="Normal 3 2 3 2 3 2 3 5 2 2" xfId="56943" xr:uid="{00000000-0005-0000-0000-000045230000}"/>
    <cellStyle name="Normal 3 2 3 2 3 2 3 5 3" xfId="34407" xr:uid="{00000000-0005-0000-0000-000046230000}"/>
    <cellStyle name="Normal 3 2 3 2 3 2 3 6" xfId="17194" xr:uid="{00000000-0005-0000-0000-000047230000}"/>
    <cellStyle name="Normal 3 2 3 2 3 2 3 6 2" xfId="49065" xr:uid="{00000000-0005-0000-0000-000048230000}"/>
    <cellStyle name="Normal 3 2 3 2 3 2 3 7" xfId="34392" xr:uid="{00000000-0005-0000-0000-000049230000}"/>
    <cellStyle name="Normal 3 2 3 2 3 2 4" xfId="2529" xr:uid="{00000000-0005-0000-0000-00004A230000}"/>
    <cellStyle name="Normal 3 2 3 2 3 2 4 2" xfId="2530" xr:uid="{00000000-0005-0000-0000-00004B230000}"/>
    <cellStyle name="Normal 3 2 3 2 3 2 4 2 2" xfId="2531" xr:uid="{00000000-0005-0000-0000-00004C230000}"/>
    <cellStyle name="Normal 3 2 3 2 3 2 4 2 2 2" xfId="2532" xr:uid="{00000000-0005-0000-0000-00004D230000}"/>
    <cellStyle name="Normal 3 2 3 2 3 2 4 2 2 2 2" xfId="29016" xr:uid="{00000000-0005-0000-0000-00004E230000}"/>
    <cellStyle name="Normal 3 2 3 2 3 2 4 2 2 2 2 2" xfId="60887" xr:uid="{00000000-0005-0000-0000-00004F230000}"/>
    <cellStyle name="Normal 3 2 3 2 3 2 4 2 2 2 3" xfId="34411" xr:uid="{00000000-0005-0000-0000-000050230000}"/>
    <cellStyle name="Normal 3 2 3 2 3 2 4 2 2 3" xfId="21138" xr:uid="{00000000-0005-0000-0000-000051230000}"/>
    <cellStyle name="Normal 3 2 3 2 3 2 4 2 2 3 2" xfId="53009" xr:uid="{00000000-0005-0000-0000-000052230000}"/>
    <cellStyle name="Normal 3 2 3 2 3 2 4 2 2 4" xfId="34410" xr:uid="{00000000-0005-0000-0000-000053230000}"/>
    <cellStyle name="Normal 3 2 3 2 3 2 4 2 3" xfId="2533" xr:uid="{00000000-0005-0000-0000-000054230000}"/>
    <cellStyle name="Normal 3 2 3 2 3 2 4 2 3 2" xfId="25077" xr:uid="{00000000-0005-0000-0000-000055230000}"/>
    <cellStyle name="Normal 3 2 3 2 3 2 4 2 3 2 2" xfId="56948" xr:uid="{00000000-0005-0000-0000-000056230000}"/>
    <cellStyle name="Normal 3 2 3 2 3 2 4 2 3 3" xfId="34412" xr:uid="{00000000-0005-0000-0000-000057230000}"/>
    <cellStyle name="Normal 3 2 3 2 3 2 4 2 4" xfId="17199" xr:uid="{00000000-0005-0000-0000-000058230000}"/>
    <cellStyle name="Normal 3 2 3 2 3 2 4 2 4 2" xfId="49070" xr:uid="{00000000-0005-0000-0000-000059230000}"/>
    <cellStyle name="Normal 3 2 3 2 3 2 4 2 5" xfId="34409" xr:uid="{00000000-0005-0000-0000-00005A230000}"/>
    <cellStyle name="Normal 3 2 3 2 3 2 4 3" xfId="2534" xr:uid="{00000000-0005-0000-0000-00005B230000}"/>
    <cellStyle name="Normal 3 2 3 2 3 2 4 3 2" xfId="2535" xr:uid="{00000000-0005-0000-0000-00005C230000}"/>
    <cellStyle name="Normal 3 2 3 2 3 2 4 3 2 2" xfId="29015" xr:uid="{00000000-0005-0000-0000-00005D230000}"/>
    <cellStyle name="Normal 3 2 3 2 3 2 4 3 2 2 2" xfId="60886" xr:uid="{00000000-0005-0000-0000-00005E230000}"/>
    <cellStyle name="Normal 3 2 3 2 3 2 4 3 2 3" xfId="34414" xr:uid="{00000000-0005-0000-0000-00005F230000}"/>
    <cellStyle name="Normal 3 2 3 2 3 2 4 3 3" xfId="21137" xr:uid="{00000000-0005-0000-0000-000060230000}"/>
    <cellStyle name="Normal 3 2 3 2 3 2 4 3 3 2" xfId="53008" xr:uid="{00000000-0005-0000-0000-000061230000}"/>
    <cellStyle name="Normal 3 2 3 2 3 2 4 3 4" xfId="34413" xr:uid="{00000000-0005-0000-0000-000062230000}"/>
    <cellStyle name="Normal 3 2 3 2 3 2 4 4" xfId="2536" xr:uid="{00000000-0005-0000-0000-000063230000}"/>
    <cellStyle name="Normal 3 2 3 2 3 2 4 4 2" xfId="25076" xr:uid="{00000000-0005-0000-0000-000064230000}"/>
    <cellStyle name="Normal 3 2 3 2 3 2 4 4 2 2" xfId="56947" xr:uid="{00000000-0005-0000-0000-000065230000}"/>
    <cellStyle name="Normal 3 2 3 2 3 2 4 4 3" xfId="34415" xr:uid="{00000000-0005-0000-0000-000066230000}"/>
    <cellStyle name="Normal 3 2 3 2 3 2 4 5" xfId="17198" xr:uid="{00000000-0005-0000-0000-000067230000}"/>
    <cellStyle name="Normal 3 2 3 2 3 2 4 5 2" xfId="49069" xr:uid="{00000000-0005-0000-0000-000068230000}"/>
    <cellStyle name="Normal 3 2 3 2 3 2 4 6" xfId="34408" xr:uid="{00000000-0005-0000-0000-000069230000}"/>
    <cellStyle name="Normal 3 2 3 2 3 2 5" xfId="2537" xr:uid="{00000000-0005-0000-0000-00006A230000}"/>
    <cellStyle name="Normal 3 2 3 2 3 2 5 2" xfId="2538" xr:uid="{00000000-0005-0000-0000-00006B230000}"/>
    <cellStyle name="Normal 3 2 3 2 3 2 5 2 2" xfId="2539" xr:uid="{00000000-0005-0000-0000-00006C230000}"/>
    <cellStyle name="Normal 3 2 3 2 3 2 5 2 2 2" xfId="29017" xr:uid="{00000000-0005-0000-0000-00006D230000}"/>
    <cellStyle name="Normal 3 2 3 2 3 2 5 2 2 2 2" xfId="60888" xr:uid="{00000000-0005-0000-0000-00006E230000}"/>
    <cellStyle name="Normal 3 2 3 2 3 2 5 2 2 3" xfId="34418" xr:uid="{00000000-0005-0000-0000-00006F230000}"/>
    <cellStyle name="Normal 3 2 3 2 3 2 5 2 3" xfId="21139" xr:uid="{00000000-0005-0000-0000-000070230000}"/>
    <cellStyle name="Normal 3 2 3 2 3 2 5 2 3 2" xfId="53010" xr:uid="{00000000-0005-0000-0000-000071230000}"/>
    <cellStyle name="Normal 3 2 3 2 3 2 5 2 4" xfId="34417" xr:uid="{00000000-0005-0000-0000-000072230000}"/>
    <cellStyle name="Normal 3 2 3 2 3 2 5 3" xfId="2540" xr:uid="{00000000-0005-0000-0000-000073230000}"/>
    <cellStyle name="Normal 3 2 3 2 3 2 5 3 2" xfId="25078" xr:uid="{00000000-0005-0000-0000-000074230000}"/>
    <cellStyle name="Normal 3 2 3 2 3 2 5 3 2 2" xfId="56949" xr:uid="{00000000-0005-0000-0000-000075230000}"/>
    <cellStyle name="Normal 3 2 3 2 3 2 5 3 3" xfId="34419" xr:uid="{00000000-0005-0000-0000-000076230000}"/>
    <cellStyle name="Normal 3 2 3 2 3 2 5 4" xfId="17200" xr:uid="{00000000-0005-0000-0000-000077230000}"/>
    <cellStyle name="Normal 3 2 3 2 3 2 5 4 2" xfId="49071" xr:uid="{00000000-0005-0000-0000-000078230000}"/>
    <cellStyle name="Normal 3 2 3 2 3 2 5 5" xfId="34416" xr:uid="{00000000-0005-0000-0000-000079230000}"/>
    <cellStyle name="Normal 3 2 3 2 3 2 6" xfId="2541" xr:uid="{00000000-0005-0000-0000-00007A230000}"/>
    <cellStyle name="Normal 3 2 3 2 3 2 6 2" xfId="2542" xr:uid="{00000000-0005-0000-0000-00007B230000}"/>
    <cellStyle name="Normal 3 2 3 2 3 2 6 2 2" xfId="28489" xr:uid="{00000000-0005-0000-0000-00007C230000}"/>
    <cellStyle name="Normal 3 2 3 2 3 2 6 2 2 2" xfId="60360" xr:uid="{00000000-0005-0000-0000-00007D230000}"/>
    <cellStyle name="Normal 3 2 3 2 3 2 6 2 3" xfId="34421" xr:uid="{00000000-0005-0000-0000-00007E230000}"/>
    <cellStyle name="Normal 3 2 3 2 3 2 6 3" xfId="20611" xr:uid="{00000000-0005-0000-0000-00007F230000}"/>
    <cellStyle name="Normal 3 2 3 2 3 2 6 3 2" xfId="52482" xr:uid="{00000000-0005-0000-0000-000080230000}"/>
    <cellStyle name="Normal 3 2 3 2 3 2 6 4" xfId="34420" xr:uid="{00000000-0005-0000-0000-000081230000}"/>
    <cellStyle name="Normal 3 2 3 2 3 2 7" xfId="2543" xr:uid="{00000000-0005-0000-0000-000082230000}"/>
    <cellStyle name="Normal 3 2 3 2 3 2 7 2" xfId="24550" xr:uid="{00000000-0005-0000-0000-000083230000}"/>
    <cellStyle name="Normal 3 2 3 2 3 2 7 2 2" xfId="56421" xr:uid="{00000000-0005-0000-0000-000084230000}"/>
    <cellStyle name="Normal 3 2 3 2 3 2 7 3" xfId="34422" xr:uid="{00000000-0005-0000-0000-000085230000}"/>
    <cellStyle name="Normal 3 2 3 2 3 2 8" xfId="16672" xr:uid="{00000000-0005-0000-0000-000086230000}"/>
    <cellStyle name="Normal 3 2 3 2 3 2 8 2" xfId="48543" xr:uid="{00000000-0005-0000-0000-000087230000}"/>
    <cellStyle name="Normal 3 2 3 2 3 2 9" xfId="34359" xr:uid="{00000000-0005-0000-0000-000088230000}"/>
    <cellStyle name="Normal 3 2 3 2 3 3" xfId="2544" xr:uid="{00000000-0005-0000-0000-000089230000}"/>
    <cellStyle name="Normal 3 2 3 2 3 3 2" xfId="2545" xr:uid="{00000000-0005-0000-0000-00008A230000}"/>
    <cellStyle name="Normal 3 2 3 2 3 3 2 2" xfId="2546" xr:uid="{00000000-0005-0000-0000-00008B230000}"/>
    <cellStyle name="Normal 3 2 3 2 3 3 2 2 2" xfId="2547" xr:uid="{00000000-0005-0000-0000-00008C230000}"/>
    <cellStyle name="Normal 3 2 3 2 3 3 2 2 2 2" xfId="2548" xr:uid="{00000000-0005-0000-0000-00008D230000}"/>
    <cellStyle name="Normal 3 2 3 2 3 3 2 2 2 2 2" xfId="2549" xr:uid="{00000000-0005-0000-0000-00008E230000}"/>
    <cellStyle name="Normal 3 2 3 2 3 3 2 2 2 2 2 2" xfId="29021" xr:uid="{00000000-0005-0000-0000-00008F230000}"/>
    <cellStyle name="Normal 3 2 3 2 3 3 2 2 2 2 2 2 2" xfId="60892" xr:uid="{00000000-0005-0000-0000-000090230000}"/>
    <cellStyle name="Normal 3 2 3 2 3 3 2 2 2 2 2 3" xfId="34428" xr:uid="{00000000-0005-0000-0000-000091230000}"/>
    <cellStyle name="Normal 3 2 3 2 3 3 2 2 2 2 3" xfId="21143" xr:uid="{00000000-0005-0000-0000-000092230000}"/>
    <cellStyle name="Normal 3 2 3 2 3 3 2 2 2 2 3 2" xfId="53014" xr:uid="{00000000-0005-0000-0000-000093230000}"/>
    <cellStyle name="Normal 3 2 3 2 3 3 2 2 2 2 4" xfId="34427" xr:uid="{00000000-0005-0000-0000-000094230000}"/>
    <cellStyle name="Normal 3 2 3 2 3 3 2 2 2 3" xfId="2550" xr:uid="{00000000-0005-0000-0000-000095230000}"/>
    <cellStyle name="Normal 3 2 3 2 3 3 2 2 2 3 2" xfId="25082" xr:uid="{00000000-0005-0000-0000-000096230000}"/>
    <cellStyle name="Normal 3 2 3 2 3 3 2 2 2 3 2 2" xfId="56953" xr:uid="{00000000-0005-0000-0000-000097230000}"/>
    <cellStyle name="Normal 3 2 3 2 3 3 2 2 2 3 3" xfId="34429" xr:uid="{00000000-0005-0000-0000-000098230000}"/>
    <cellStyle name="Normal 3 2 3 2 3 3 2 2 2 4" xfId="17204" xr:uid="{00000000-0005-0000-0000-000099230000}"/>
    <cellStyle name="Normal 3 2 3 2 3 3 2 2 2 4 2" xfId="49075" xr:uid="{00000000-0005-0000-0000-00009A230000}"/>
    <cellStyle name="Normal 3 2 3 2 3 3 2 2 2 5" xfId="34426" xr:uid="{00000000-0005-0000-0000-00009B230000}"/>
    <cellStyle name="Normal 3 2 3 2 3 3 2 2 3" xfId="2551" xr:uid="{00000000-0005-0000-0000-00009C230000}"/>
    <cellStyle name="Normal 3 2 3 2 3 3 2 2 3 2" xfId="2552" xr:uid="{00000000-0005-0000-0000-00009D230000}"/>
    <cellStyle name="Normal 3 2 3 2 3 3 2 2 3 2 2" xfId="29020" xr:uid="{00000000-0005-0000-0000-00009E230000}"/>
    <cellStyle name="Normal 3 2 3 2 3 3 2 2 3 2 2 2" xfId="60891" xr:uid="{00000000-0005-0000-0000-00009F230000}"/>
    <cellStyle name="Normal 3 2 3 2 3 3 2 2 3 2 3" xfId="34431" xr:uid="{00000000-0005-0000-0000-0000A0230000}"/>
    <cellStyle name="Normal 3 2 3 2 3 3 2 2 3 3" xfId="21142" xr:uid="{00000000-0005-0000-0000-0000A1230000}"/>
    <cellStyle name="Normal 3 2 3 2 3 3 2 2 3 3 2" xfId="53013" xr:uid="{00000000-0005-0000-0000-0000A2230000}"/>
    <cellStyle name="Normal 3 2 3 2 3 3 2 2 3 4" xfId="34430" xr:uid="{00000000-0005-0000-0000-0000A3230000}"/>
    <cellStyle name="Normal 3 2 3 2 3 3 2 2 4" xfId="2553" xr:uid="{00000000-0005-0000-0000-0000A4230000}"/>
    <cellStyle name="Normal 3 2 3 2 3 3 2 2 4 2" xfId="25081" xr:uid="{00000000-0005-0000-0000-0000A5230000}"/>
    <cellStyle name="Normal 3 2 3 2 3 3 2 2 4 2 2" xfId="56952" xr:uid="{00000000-0005-0000-0000-0000A6230000}"/>
    <cellStyle name="Normal 3 2 3 2 3 3 2 2 4 3" xfId="34432" xr:uid="{00000000-0005-0000-0000-0000A7230000}"/>
    <cellStyle name="Normal 3 2 3 2 3 3 2 2 5" xfId="17203" xr:uid="{00000000-0005-0000-0000-0000A8230000}"/>
    <cellStyle name="Normal 3 2 3 2 3 3 2 2 5 2" xfId="49074" xr:uid="{00000000-0005-0000-0000-0000A9230000}"/>
    <cellStyle name="Normal 3 2 3 2 3 3 2 2 6" xfId="34425" xr:uid="{00000000-0005-0000-0000-0000AA230000}"/>
    <cellStyle name="Normal 3 2 3 2 3 3 2 3" xfId="2554" xr:uid="{00000000-0005-0000-0000-0000AB230000}"/>
    <cellStyle name="Normal 3 2 3 2 3 3 2 3 2" xfId="2555" xr:uid="{00000000-0005-0000-0000-0000AC230000}"/>
    <cellStyle name="Normal 3 2 3 2 3 3 2 3 2 2" xfId="2556" xr:uid="{00000000-0005-0000-0000-0000AD230000}"/>
    <cellStyle name="Normal 3 2 3 2 3 3 2 3 2 2 2" xfId="29022" xr:uid="{00000000-0005-0000-0000-0000AE230000}"/>
    <cellStyle name="Normal 3 2 3 2 3 3 2 3 2 2 2 2" xfId="60893" xr:uid="{00000000-0005-0000-0000-0000AF230000}"/>
    <cellStyle name="Normal 3 2 3 2 3 3 2 3 2 2 3" xfId="34435" xr:uid="{00000000-0005-0000-0000-0000B0230000}"/>
    <cellStyle name="Normal 3 2 3 2 3 3 2 3 2 3" xfId="21144" xr:uid="{00000000-0005-0000-0000-0000B1230000}"/>
    <cellStyle name="Normal 3 2 3 2 3 3 2 3 2 3 2" xfId="53015" xr:uid="{00000000-0005-0000-0000-0000B2230000}"/>
    <cellStyle name="Normal 3 2 3 2 3 3 2 3 2 4" xfId="34434" xr:uid="{00000000-0005-0000-0000-0000B3230000}"/>
    <cellStyle name="Normal 3 2 3 2 3 3 2 3 3" xfId="2557" xr:uid="{00000000-0005-0000-0000-0000B4230000}"/>
    <cellStyle name="Normal 3 2 3 2 3 3 2 3 3 2" xfId="25083" xr:uid="{00000000-0005-0000-0000-0000B5230000}"/>
    <cellStyle name="Normal 3 2 3 2 3 3 2 3 3 2 2" xfId="56954" xr:uid="{00000000-0005-0000-0000-0000B6230000}"/>
    <cellStyle name="Normal 3 2 3 2 3 3 2 3 3 3" xfId="34436" xr:uid="{00000000-0005-0000-0000-0000B7230000}"/>
    <cellStyle name="Normal 3 2 3 2 3 3 2 3 4" xfId="17205" xr:uid="{00000000-0005-0000-0000-0000B8230000}"/>
    <cellStyle name="Normal 3 2 3 2 3 3 2 3 4 2" xfId="49076" xr:uid="{00000000-0005-0000-0000-0000B9230000}"/>
    <cellStyle name="Normal 3 2 3 2 3 3 2 3 5" xfId="34433" xr:uid="{00000000-0005-0000-0000-0000BA230000}"/>
    <cellStyle name="Normal 3 2 3 2 3 3 2 4" xfId="2558" xr:uid="{00000000-0005-0000-0000-0000BB230000}"/>
    <cellStyle name="Normal 3 2 3 2 3 3 2 4 2" xfId="2559" xr:uid="{00000000-0005-0000-0000-0000BC230000}"/>
    <cellStyle name="Normal 3 2 3 2 3 3 2 4 2 2" xfId="29019" xr:uid="{00000000-0005-0000-0000-0000BD230000}"/>
    <cellStyle name="Normal 3 2 3 2 3 3 2 4 2 2 2" xfId="60890" xr:uid="{00000000-0005-0000-0000-0000BE230000}"/>
    <cellStyle name="Normal 3 2 3 2 3 3 2 4 2 3" xfId="34438" xr:uid="{00000000-0005-0000-0000-0000BF230000}"/>
    <cellStyle name="Normal 3 2 3 2 3 3 2 4 3" xfId="21141" xr:uid="{00000000-0005-0000-0000-0000C0230000}"/>
    <cellStyle name="Normal 3 2 3 2 3 3 2 4 3 2" xfId="53012" xr:uid="{00000000-0005-0000-0000-0000C1230000}"/>
    <cellStyle name="Normal 3 2 3 2 3 3 2 4 4" xfId="34437" xr:uid="{00000000-0005-0000-0000-0000C2230000}"/>
    <cellStyle name="Normal 3 2 3 2 3 3 2 5" xfId="2560" xr:uid="{00000000-0005-0000-0000-0000C3230000}"/>
    <cellStyle name="Normal 3 2 3 2 3 3 2 5 2" xfId="25080" xr:uid="{00000000-0005-0000-0000-0000C4230000}"/>
    <cellStyle name="Normal 3 2 3 2 3 3 2 5 2 2" xfId="56951" xr:uid="{00000000-0005-0000-0000-0000C5230000}"/>
    <cellStyle name="Normal 3 2 3 2 3 3 2 5 3" xfId="34439" xr:uid="{00000000-0005-0000-0000-0000C6230000}"/>
    <cellStyle name="Normal 3 2 3 2 3 3 2 6" xfId="17202" xr:uid="{00000000-0005-0000-0000-0000C7230000}"/>
    <cellStyle name="Normal 3 2 3 2 3 3 2 6 2" xfId="49073" xr:uid="{00000000-0005-0000-0000-0000C8230000}"/>
    <cellStyle name="Normal 3 2 3 2 3 3 2 7" xfId="34424" xr:uid="{00000000-0005-0000-0000-0000C9230000}"/>
    <cellStyle name="Normal 3 2 3 2 3 3 3" xfId="2561" xr:uid="{00000000-0005-0000-0000-0000CA230000}"/>
    <cellStyle name="Normal 3 2 3 2 3 3 3 2" xfId="2562" xr:uid="{00000000-0005-0000-0000-0000CB230000}"/>
    <cellStyle name="Normal 3 2 3 2 3 3 3 2 2" xfId="2563" xr:uid="{00000000-0005-0000-0000-0000CC230000}"/>
    <cellStyle name="Normal 3 2 3 2 3 3 3 2 2 2" xfId="2564" xr:uid="{00000000-0005-0000-0000-0000CD230000}"/>
    <cellStyle name="Normal 3 2 3 2 3 3 3 2 2 2 2" xfId="29024" xr:uid="{00000000-0005-0000-0000-0000CE230000}"/>
    <cellStyle name="Normal 3 2 3 2 3 3 3 2 2 2 2 2" xfId="60895" xr:uid="{00000000-0005-0000-0000-0000CF230000}"/>
    <cellStyle name="Normal 3 2 3 2 3 3 3 2 2 2 3" xfId="34443" xr:uid="{00000000-0005-0000-0000-0000D0230000}"/>
    <cellStyle name="Normal 3 2 3 2 3 3 3 2 2 3" xfId="21146" xr:uid="{00000000-0005-0000-0000-0000D1230000}"/>
    <cellStyle name="Normal 3 2 3 2 3 3 3 2 2 3 2" xfId="53017" xr:uid="{00000000-0005-0000-0000-0000D2230000}"/>
    <cellStyle name="Normal 3 2 3 2 3 3 3 2 2 4" xfId="34442" xr:uid="{00000000-0005-0000-0000-0000D3230000}"/>
    <cellStyle name="Normal 3 2 3 2 3 3 3 2 3" xfId="2565" xr:uid="{00000000-0005-0000-0000-0000D4230000}"/>
    <cellStyle name="Normal 3 2 3 2 3 3 3 2 3 2" xfId="25085" xr:uid="{00000000-0005-0000-0000-0000D5230000}"/>
    <cellStyle name="Normal 3 2 3 2 3 3 3 2 3 2 2" xfId="56956" xr:uid="{00000000-0005-0000-0000-0000D6230000}"/>
    <cellStyle name="Normal 3 2 3 2 3 3 3 2 3 3" xfId="34444" xr:uid="{00000000-0005-0000-0000-0000D7230000}"/>
    <cellStyle name="Normal 3 2 3 2 3 3 3 2 4" xfId="17207" xr:uid="{00000000-0005-0000-0000-0000D8230000}"/>
    <cellStyle name="Normal 3 2 3 2 3 3 3 2 4 2" xfId="49078" xr:uid="{00000000-0005-0000-0000-0000D9230000}"/>
    <cellStyle name="Normal 3 2 3 2 3 3 3 2 5" xfId="34441" xr:uid="{00000000-0005-0000-0000-0000DA230000}"/>
    <cellStyle name="Normal 3 2 3 2 3 3 3 3" xfId="2566" xr:uid="{00000000-0005-0000-0000-0000DB230000}"/>
    <cellStyle name="Normal 3 2 3 2 3 3 3 3 2" xfId="2567" xr:uid="{00000000-0005-0000-0000-0000DC230000}"/>
    <cellStyle name="Normal 3 2 3 2 3 3 3 3 2 2" xfId="29023" xr:uid="{00000000-0005-0000-0000-0000DD230000}"/>
    <cellStyle name="Normal 3 2 3 2 3 3 3 3 2 2 2" xfId="60894" xr:uid="{00000000-0005-0000-0000-0000DE230000}"/>
    <cellStyle name="Normal 3 2 3 2 3 3 3 3 2 3" xfId="34446" xr:uid="{00000000-0005-0000-0000-0000DF230000}"/>
    <cellStyle name="Normal 3 2 3 2 3 3 3 3 3" xfId="21145" xr:uid="{00000000-0005-0000-0000-0000E0230000}"/>
    <cellStyle name="Normal 3 2 3 2 3 3 3 3 3 2" xfId="53016" xr:uid="{00000000-0005-0000-0000-0000E1230000}"/>
    <cellStyle name="Normal 3 2 3 2 3 3 3 3 4" xfId="34445" xr:uid="{00000000-0005-0000-0000-0000E2230000}"/>
    <cellStyle name="Normal 3 2 3 2 3 3 3 4" xfId="2568" xr:uid="{00000000-0005-0000-0000-0000E3230000}"/>
    <cellStyle name="Normal 3 2 3 2 3 3 3 4 2" xfId="25084" xr:uid="{00000000-0005-0000-0000-0000E4230000}"/>
    <cellStyle name="Normal 3 2 3 2 3 3 3 4 2 2" xfId="56955" xr:uid="{00000000-0005-0000-0000-0000E5230000}"/>
    <cellStyle name="Normal 3 2 3 2 3 3 3 4 3" xfId="34447" xr:uid="{00000000-0005-0000-0000-0000E6230000}"/>
    <cellStyle name="Normal 3 2 3 2 3 3 3 5" xfId="17206" xr:uid="{00000000-0005-0000-0000-0000E7230000}"/>
    <cellStyle name="Normal 3 2 3 2 3 3 3 5 2" xfId="49077" xr:uid="{00000000-0005-0000-0000-0000E8230000}"/>
    <cellStyle name="Normal 3 2 3 2 3 3 3 6" xfId="34440" xr:uid="{00000000-0005-0000-0000-0000E9230000}"/>
    <cellStyle name="Normal 3 2 3 2 3 3 4" xfId="2569" xr:uid="{00000000-0005-0000-0000-0000EA230000}"/>
    <cellStyle name="Normal 3 2 3 2 3 3 4 2" xfId="2570" xr:uid="{00000000-0005-0000-0000-0000EB230000}"/>
    <cellStyle name="Normal 3 2 3 2 3 3 4 2 2" xfId="2571" xr:uid="{00000000-0005-0000-0000-0000EC230000}"/>
    <cellStyle name="Normal 3 2 3 2 3 3 4 2 2 2" xfId="29025" xr:uid="{00000000-0005-0000-0000-0000ED230000}"/>
    <cellStyle name="Normal 3 2 3 2 3 3 4 2 2 2 2" xfId="60896" xr:uid="{00000000-0005-0000-0000-0000EE230000}"/>
    <cellStyle name="Normal 3 2 3 2 3 3 4 2 2 3" xfId="34450" xr:uid="{00000000-0005-0000-0000-0000EF230000}"/>
    <cellStyle name="Normal 3 2 3 2 3 3 4 2 3" xfId="21147" xr:uid="{00000000-0005-0000-0000-0000F0230000}"/>
    <cellStyle name="Normal 3 2 3 2 3 3 4 2 3 2" xfId="53018" xr:uid="{00000000-0005-0000-0000-0000F1230000}"/>
    <cellStyle name="Normal 3 2 3 2 3 3 4 2 4" xfId="34449" xr:uid="{00000000-0005-0000-0000-0000F2230000}"/>
    <cellStyle name="Normal 3 2 3 2 3 3 4 3" xfId="2572" xr:uid="{00000000-0005-0000-0000-0000F3230000}"/>
    <cellStyle name="Normal 3 2 3 2 3 3 4 3 2" xfId="25086" xr:uid="{00000000-0005-0000-0000-0000F4230000}"/>
    <cellStyle name="Normal 3 2 3 2 3 3 4 3 2 2" xfId="56957" xr:uid="{00000000-0005-0000-0000-0000F5230000}"/>
    <cellStyle name="Normal 3 2 3 2 3 3 4 3 3" xfId="34451" xr:uid="{00000000-0005-0000-0000-0000F6230000}"/>
    <cellStyle name="Normal 3 2 3 2 3 3 4 4" xfId="17208" xr:uid="{00000000-0005-0000-0000-0000F7230000}"/>
    <cellStyle name="Normal 3 2 3 2 3 3 4 4 2" xfId="49079" xr:uid="{00000000-0005-0000-0000-0000F8230000}"/>
    <cellStyle name="Normal 3 2 3 2 3 3 4 5" xfId="34448" xr:uid="{00000000-0005-0000-0000-0000F9230000}"/>
    <cellStyle name="Normal 3 2 3 2 3 3 5" xfId="2573" xr:uid="{00000000-0005-0000-0000-0000FA230000}"/>
    <cellStyle name="Normal 3 2 3 2 3 3 5 2" xfId="2574" xr:uid="{00000000-0005-0000-0000-0000FB230000}"/>
    <cellStyle name="Normal 3 2 3 2 3 3 5 2 2" xfId="29018" xr:uid="{00000000-0005-0000-0000-0000FC230000}"/>
    <cellStyle name="Normal 3 2 3 2 3 3 5 2 2 2" xfId="60889" xr:uid="{00000000-0005-0000-0000-0000FD230000}"/>
    <cellStyle name="Normal 3 2 3 2 3 3 5 2 3" xfId="34453" xr:uid="{00000000-0005-0000-0000-0000FE230000}"/>
    <cellStyle name="Normal 3 2 3 2 3 3 5 3" xfId="21140" xr:uid="{00000000-0005-0000-0000-0000FF230000}"/>
    <cellStyle name="Normal 3 2 3 2 3 3 5 3 2" xfId="53011" xr:uid="{00000000-0005-0000-0000-000000240000}"/>
    <cellStyle name="Normal 3 2 3 2 3 3 5 4" xfId="34452" xr:uid="{00000000-0005-0000-0000-000001240000}"/>
    <cellStyle name="Normal 3 2 3 2 3 3 6" xfId="2575" xr:uid="{00000000-0005-0000-0000-000002240000}"/>
    <cellStyle name="Normal 3 2 3 2 3 3 6 2" xfId="25079" xr:uid="{00000000-0005-0000-0000-000003240000}"/>
    <cellStyle name="Normal 3 2 3 2 3 3 6 2 2" xfId="56950" xr:uid="{00000000-0005-0000-0000-000004240000}"/>
    <cellStyle name="Normal 3 2 3 2 3 3 6 3" xfId="34454" xr:uid="{00000000-0005-0000-0000-000005240000}"/>
    <cellStyle name="Normal 3 2 3 2 3 3 7" xfId="17201" xr:uid="{00000000-0005-0000-0000-000006240000}"/>
    <cellStyle name="Normal 3 2 3 2 3 3 7 2" xfId="49072" xr:uid="{00000000-0005-0000-0000-000007240000}"/>
    <cellStyle name="Normal 3 2 3 2 3 3 8" xfId="34423" xr:uid="{00000000-0005-0000-0000-000008240000}"/>
    <cellStyle name="Normal 3 2 3 2 3 4" xfId="2576" xr:uid="{00000000-0005-0000-0000-000009240000}"/>
    <cellStyle name="Normal 3 2 3 2 3 4 2" xfId="2577" xr:uid="{00000000-0005-0000-0000-00000A240000}"/>
    <cellStyle name="Normal 3 2 3 2 3 4 2 2" xfId="2578" xr:uid="{00000000-0005-0000-0000-00000B240000}"/>
    <cellStyle name="Normal 3 2 3 2 3 4 2 2 2" xfId="2579" xr:uid="{00000000-0005-0000-0000-00000C240000}"/>
    <cellStyle name="Normal 3 2 3 2 3 4 2 2 2 2" xfId="2580" xr:uid="{00000000-0005-0000-0000-00000D240000}"/>
    <cellStyle name="Normal 3 2 3 2 3 4 2 2 2 2 2" xfId="29028" xr:uid="{00000000-0005-0000-0000-00000E240000}"/>
    <cellStyle name="Normal 3 2 3 2 3 4 2 2 2 2 2 2" xfId="60899" xr:uid="{00000000-0005-0000-0000-00000F240000}"/>
    <cellStyle name="Normal 3 2 3 2 3 4 2 2 2 2 3" xfId="34459" xr:uid="{00000000-0005-0000-0000-000010240000}"/>
    <cellStyle name="Normal 3 2 3 2 3 4 2 2 2 3" xfId="21150" xr:uid="{00000000-0005-0000-0000-000011240000}"/>
    <cellStyle name="Normal 3 2 3 2 3 4 2 2 2 3 2" xfId="53021" xr:uid="{00000000-0005-0000-0000-000012240000}"/>
    <cellStyle name="Normal 3 2 3 2 3 4 2 2 2 4" xfId="34458" xr:uid="{00000000-0005-0000-0000-000013240000}"/>
    <cellStyle name="Normal 3 2 3 2 3 4 2 2 3" xfId="2581" xr:uid="{00000000-0005-0000-0000-000014240000}"/>
    <cellStyle name="Normal 3 2 3 2 3 4 2 2 3 2" xfId="25089" xr:uid="{00000000-0005-0000-0000-000015240000}"/>
    <cellStyle name="Normal 3 2 3 2 3 4 2 2 3 2 2" xfId="56960" xr:uid="{00000000-0005-0000-0000-000016240000}"/>
    <cellStyle name="Normal 3 2 3 2 3 4 2 2 3 3" xfId="34460" xr:uid="{00000000-0005-0000-0000-000017240000}"/>
    <cellStyle name="Normal 3 2 3 2 3 4 2 2 4" xfId="17211" xr:uid="{00000000-0005-0000-0000-000018240000}"/>
    <cellStyle name="Normal 3 2 3 2 3 4 2 2 4 2" xfId="49082" xr:uid="{00000000-0005-0000-0000-000019240000}"/>
    <cellStyle name="Normal 3 2 3 2 3 4 2 2 5" xfId="34457" xr:uid="{00000000-0005-0000-0000-00001A240000}"/>
    <cellStyle name="Normal 3 2 3 2 3 4 2 3" xfId="2582" xr:uid="{00000000-0005-0000-0000-00001B240000}"/>
    <cellStyle name="Normal 3 2 3 2 3 4 2 3 2" xfId="2583" xr:uid="{00000000-0005-0000-0000-00001C240000}"/>
    <cellStyle name="Normal 3 2 3 2 3 4 2 3 2 2" xfId="29027" xr:uid="{00000000-0005-0000-0000-00001D240000}"/>
    <cellStyle name="Normal 3 2 3 2 3 4 2 3 2 2 2" xfId="60898" xr:uid="{00000000-0005-0000-0000-00001E240000}"/>
    <cellStyle name="Normal 3 2 3 2 3 4 2 3 2 3" xfId="34462" xr:uid="{00000000-0005-0000-0000-00001F240000}"/>
    <cellStyle name="Normal 3 2 3 2 3 4 2 3 3" xfId="21149" xr:uid="{00000000-0005-0000-0000-000020240000}"/>
    <cellStyle name="Normal 3 2 3 2 3 4 2 3 3 2" xfId="53020" xr:uid="{00000000-0005-0000-0000-000021240000}"/>
    <cellStyle name="Normal 3 2 3 2 3 4 2 3 4" xfId="34461" xr:uid="{00000000-0005-0000-0000-000022240000}"/>
    <cellStyle name="Normal 3 2 3 2 3 4 2 4" xfId="2584" xr:uid="{00000000-0005-0000-0000-000023240000}"/>
    <cellStyle name="Normal 3 2 3 2 3 4 2 4 2" xfId="25088" xr:uid="{00000000-0005-0000-0000-000024240000}"/>
    <cellStyle name="Normal 3 2 3 2 3 4 2 4 2 2" xfId="56959" xr:uid="{00000000-0005-0000-0000-000025240000}"/>
    <cellStyle name="Normal 3 2 3 2 3 4 2 4 3" xfId="34463" xr:uid="{00000000-0005-0000-0000-000026240000}"/>
    <cellStyle name="Normal 3 2 3 2 3 4 2 5" xfId="17210" xr:uid="{00000000-0005-0000-0000-000027240000}"/>
    <cellStyle name="Normal 3 2 3 2 3 4 2 5 2" xfId="49081" xr:uid="{00000000-0005-0000-0000-000028240000}"/>
    <cellStyle name="Normal 3 2 3 2 3 4 2 6" xfId="34456" xr:uid="{00000000-0005-0000-0000-000029240000}"/>
    <cellStyle name="Normal 3 2 3 2 3 4 3" xfId="2585" xr:uid="{00000000-0005-0000-0000-00002A240000}"/>
    <cellStyle name="Normal 3 2 3 2 3 4 3 2" xfId="2586" xr:uid="{00000000-0005-0000-0000-00002B240000}"/>
    <cellStyle name="Normal 3 2 3 2 3 4 3 2 2" xfId="2587" xr:uid="{00000000-0005-0000-0000-00002C240000}"/>
    <cellStyle name="Normal 3 2 3 2 3 4 3 2 2 2" xfId="29029" xr:uid="{00000000-0005-0000-0000-00002D240000}"/>
    <cellStyle name="Normal 3 2 3 2 3 4 3 2 2 2 2" xfId="60900" xr:uid="{00000000-0005-0000-0000-00002E240000}"/>
    <cellStyle name="Normal 3 2 3 2 3 4 3 2 2 3" xfId="34466" xr:uid="{00000000-0005-0000-0000-00002F240000}"/>
    <cellStyle name="Normal 3 2 3 2 3 4 3 2 3" xfId="21151" xr:uid="{00000000-0005-0000-0000-000030240000}"/>
    <cellStyle name="Normal 3 2 3 2 3 4 3 2 3 2" xfId="53022" xr:uid="{00000000-0005-0000-0000-000031240000}"/>
    <cellStyle name="Normal 3 2 3 2 3 4 3 2 4" xfId="34465" xr:uid="{00000000-0005-0000-0000-000032240000}"/>
    <cellStyle name="Normal 3 2 3 2 3 4 3 3" xfId="2588" xr:uid="{00000000-0005-0000-0000-000033240000}"/>
    <cellStyle name="Normal 3 2 3 2 3 4 3 3 2" xfId="25090" xr:uid="{00000000-0005-0000-0000-000034240000}"/>
    <cellStyle name="Normal 3 2 3 2 3 4 3 3 2 2" xfId="56961" xr:uid="{00000000-0005-0000-0000-000035240000}"/>
    <cellStyle name="Normal 3 2 3 2 3 4 3 3 3" xfId="34467" xr:uid="{00000000-0005-0000-0000-000036240000}"/>
    <cellStyle name="Normal 3 2 3 2 3 4 3 4" xfId="17212" xr:uid="{00000000-0005-0000-0000-000037240000}"/>
    <cellStyle name="Normal 3 2 3 2 3 4 3 4 2" xfId="49083" xr:uid="{00000000-0005-0000-0000-000038240000}"/>
    <cellStyle name="Normal 3 2 3 2 3 4 3 5" xfId="34464" xr:uid="{00000000-0005-0000-0000-000039240000}"/>
    <cellStyle name="Normal 3 2 3 2 3 4 4" xfId="2589" xr:uid="{00000000-0005-0000-0000-00003A240000}"/>
    <cellStyle name="Normal 3 2 3 2 3 4 4 2" xfId="2590" xr:uid="{00000000-0005-0000-0000-00003B240000}"/>
    <cellStyle name="Normal 3 2 3 2 3 4 4 2 2" xfId="29026" xr:uid="{00000000-0005-0000-0000-00003C240000}"/>
    <cellStyle name="Normal 3 2 3 2 3 4 4 2 2 2" xfId="60897" xr:uid="{00000000-0005-0000-0000-00003D240000}"/>
    <cellStyle name="Normal 3 2 3 2 3 4 4 2 3" xfId="34469" xr:uid="{00000000-0005-0000-0000-00003E240000}"/>
    <cellStyle name="Normal 3 2 3 2 3 4 4 3" xfId="21148" xr:uid="{00000000-0005-0000-0000-00003F240000}"/>
    <cellStyle name="Normal 3 2 3 2 3 4 4 3 2" xfId="53019" xr:uid="{00000000-0005-0000-0000-000040240000}"/>
    <cellStyle name="Normal 3 2 3 2 3 4 4 4" xfId="34468" xr:uid="{00000000-0005-0000-0000-000041240000}"/>
    <cellStyle name="Normal 3 2 3 2 3 4 5" xfId="2591" xr:uid="{00000000-0005-0000-0000-000042240000}"/>
    <cellStyle name="Normal 3 2 3 2 3 4 5 2" xfId="25087" xr:uid="{00000000-0005-0000-0000-000043240000}"/>
    <cellStyle name="Normal 3 2 3 2 3 4 5 2 2" xfId="56958" xr:uid="{00000000-0005-0000-0000-000044240000}"/>
    <cellStyle name="Normal 3 2 3 2 3 4 5 3" xfId="34470" xr:uid="{00000000-0005-0000-0000-000045240000}"/>
    <cellStyle name="Normal 3 2 3 2 3 4 6" xfId="17209" xr:uid="{00000000-0005-0000-0000-000046240000}"/>
    <cellStyle name="Normal 3 2 3 2 3 4 6 2" xfId="49080" xr:uid="{00000000-0005-0000-0000-000047240000}"/>
    <cellStyle name="Normal 3 2 3 2 3 4 7" xfId="34455" xr:uid="{00000000-0005-0000-0000-000048240000}"/>
    <cellStyle name="Normal 3 2 3 2 3 5" xfId="2592" xr:uid="{00000000-0005-0000-0000-000049240000}"/>
    <cellStyle name="Normal 3 2 3 2 3 5 2" xfId="2593" xr:uid="{00000000-0005-0000-0000-00004A240000}"/>
    <cellStyle name="Normal 3 2 3 2 3 5 2 2" xfId="2594" xr:uid="{00000000-0005-0000-0000-00004B240000}"/>
    <cellStyle name="Normal 3 2 3 2 3 5 2 2 2" xfId="2595" xr:uid="{00000000-0005-0000-0000-00004C240000}"/>
    <cellStyle name="Normal 3 2 3 2 3 5 2 2 2 2" xfId="29031" xr:uid="{00000000-0005-0000-0000-00004D240000}"/>
    <cellStyle name="Normal 3 2 3 2 3 5 2 2 2 2 2" xfId="60902" xr:uid="{00000000-0005-0000-0000-00004E240000}"/>
    <cellStyle name="Normal 3 2 3 2 3 5 2 2 2 3" xfId="34474" xr:uid="{00000000-0005-0000-0000-00004F240000}"/>
    <cellStyle name="Normal 3 2 3 2 3 5 2 2 3" xfId="21153" xr:uid="{00000000-0005-0000-0000-000050240000}"/>
    <cellStyle name="Normal 3 2 3 2 3 5 2 2 3 2" xfId="53024" xr:uid="{00000000-0005-0000-0000-000051240000}"/>
    <cellStyle name="Normal 3 2 3 2 3 5 2 2 4" xfId="34473" xr:uid="{00000000-0005-0000-0000-000052240000}"/>
    <cellStyle name="Normal 3 2 3 2 3 5 2 3" xfId="2596" xr:uid="{00000000-0005-0000-0000-000053240000}"/>
    <cellStyle name="Normal 3 2 3 2 3 5 2 3 2" xfId="25092" xr:uid="{00000000-0005-0000-0000-000054240000}"/>
    <cellStyle name="Normal 3 2 3 2 3 5 2 3 2 2" xfId="56963" xr:uid="{00000000-0005-0000-0000-000055240000}"/>
    <cellStyle name="Normal 3 2 3 2 3 5 2 3 3" xfId="34475" xr:uid="{00000000-0005-0000-0000-000056240000}"/>
    <cellStyle name="Normal 3 2 3 2 3 5 2 4" xfId="17214" xr:uid="{00000000-0005-0000-0000-000057240000}"/>
    <cellStyle name="Normal 3 2 3 2 3 5 2 4 2" xfId="49085" xr:uid="{00000000-0005-0000-0000-000058240000}"/>
    <cellStyle name="Normal 3 2 3 2 3 5 2 5" xfId="34472" xr:uid="{00000000-0005-0000-0000-000059240000}"/>
    <cellStyle name="Normal 3 2 3 2 3 5 3" xfId="2597" xr:uid="{00000000-0005-0000-0000-00005A240000}"/>
    <cellStyle name="Normal 3 2 3 2 3 5 3 2" xfId="2598" xr:uid="{00000000-0005-0000-0000-00005B240000}"/>
    <cellStyle name="Normal 3 2 3 2 3 5 3 2 2" xfId="29030" xr:uid="{00000000-0005-0000-0000-00005C240000}"/>
    <cellStyle name="Normal 3 2 3 2 3 5 3 2 2 2" xfId="60901" xr:uid="{00000000-0005-0000-0000-00005D240000}"/>
    <cellStyle name="Normal 3 2 3 2 3 5 3 2 3" xfId="34477" xr:uid="{00000000-0005-0000-0000-00005E240000}"/>
    <cellStyle name="Normal 3 2 3 2 3 5 3 3" xfId="21152" xr:uid="{00000000-0005-0000-0000-00005F240000}"/>
    <cellStyle name="Normal 3 2 3 2 3 5 3 3 2" xfId="53023" xr:uid="{00000000-0005-0000-0000-000060240000}"/>
    <cellStyle name="Normal 3 2 3 2 3 5 3 4" xfId="34476" xr:uid="{00000000-0005-0000-0000-000061240000}"/>
    <cellStyle name="Normal 3 2 3 2 3 5 4" xfId="2599" xr:uid="{00000000-0005-0000-0000-000062240000}"/>
    <cellStyle name="Normal 3 2 3 2 3 5 4 2" xfId="25091" xr:uid="{00000000-0005-0000-0000-000063240000}"/>
    <cellStyle name="Normal 3 2 3 2 3 5 4 2 2" xfId="56962" xr:uid="{00000000-0005-0000-0000-000064240000}"/>
    <cellStyle name="Normal 3 2 3 2 3 5 4 3" xfId="34478" xr:uid="{00000000-0005-0000-0000-000065240000}"/>
    <cellStyle name="Normal 3 2 3 2 3 5 5" xfId="17213" xr:uid="{00000000-0005-0000-0000-000066240000}"/>
    <cellStyle name="Normal 3 2 3 2 3 5 5 2" xfId="49084" xr:uid="{00000000-0005-0000-0000-000067240000}"/>
    <cellStyle name="Normal 3 2 3 2 3 5 6" xfId="34471" xr:uid="{00000000-0005-0000-0000-000068240000}"/>
    <cellStyle name="Normal 3 2 3 2 3 6" xfId="2600" xr:uid="{00000000-0005-0000-0000-000069240000}"/>
    <cellStyle name="Normal 3 2 3 2 3 6 2" xfId="2601" xr:uid="{00000000-0005-0000-0000-00006A240000}"/>
    <cellStyle name="Normal 3 2 3 2 3 6 2 2" xfId="2602" xr:uid="{00000000-0005-0000-0000-00006B240000}"/>
    <cellStyle name="Normal 3 2 3 2 3 6 2 2 2" xfId="29032" xr:uid="{00000000-0005-0000-0000-00006C240000}"/>
    <cellStyle name="Normal 3 2 3 2 3 6 2 2 2 2" xfId="60903" xr:uid="{00000000-0005-0000-0000-00006D240000}"/>
    <cellStyle name="Normal 3 2 3 2 3 6 2 2 3" xfId="34481" xr:uid="{00000000-0005-0000-0000-00006E240000}"/>
    <cellStyle name="Normal 3 2 3 2 3 6 2 3" xfId="21154" xr:uid="{00000000-0005-0000-0000-00006F240000}"/>
    <cellStyle name="Normal 3 2 3 2 3 6 2 3 2" xfId="53025" xr:uid="{00000000-0005-0000-0000-000070240000}"/>
    <cellStyle name="Normal 3 2 3 2 3 6 2 4" xfId="34480" xr:uid="{00000000-0005-0000-0000-000071240000}"/>
    <cellStyle name="Normal 3 2 3 2 3 6 3" xfId="2603" xr:uid="{00000000-0005-0000-0000-000072240000}"/>
    <cellStyle name="Normal 3 2 3 2 3 6 3 2" xfId="25093" xr:uid="{00000000-0005-0000-0000-000073240000}"/>
    <cellStyle name="Normal 3 2 3 2 3 6 3 2 2" xfId="56964" xr:uid="{00000000-0005-0000-0000-000074240000}"/>
    <cellStyle name="Normal 3 2 3 2 3 6 3 3" xfId="34482" xr:uid="{00000000-0005-0000-0000-000075240000}"/>
    <cellStyle name="Normal 3 2 3 2 3 6 4" xfId="17215" xr:uid="{00000000-0005-0000-0000-000076240000}"/>
    <cellStyle name="Normal 3 2 3 2 3 6 4 2" xfId="49086" xr:uid="{00000000-0005-0000-0000-000077240000}"/>
    <cellStyle name="Normal 3 2 3 2 3 6 5" xfId="34479" xr:uid="{00000000-0005-0000-0000-000078240000}"/>
    <cellStyle name="Normal 3 2 3 2 3 7" xfId="2604" xr:uid="{00000000-0005-0000-0000-000079240000}"/>
    <cellStyle name="Normal 3 2 3 2 3 7 2" xfId="2605" xr:uid="{00000000-0005-0000-0000-00007A240000}"/>
    <cellStyle name="Normal 3 2 3 2 3 7 2 2" xfId="28366" xr:uid="{00000000-0005-0000-0000-00007B240000}"/>
    <cellStyle name="Normal 3 2 3 2 3 7 2 2 2" xfId="60237" xr:uid="{00000000-0005-0000-0000-00007C240000}"/>
    <cellStyle name="Normal 3 2 3 2 3 7 2 3" xfId="34484" xr:uid="{00000000-0005-0000-0000-00007D240000}"/>
    <cellStyle name="Normal 3 2 3 2 3 7 3" xfId="20488" xr:uid="{00000000-0005-0000-0000-00007E240000}"/>
    <cellStyle name="Normal 3 2 3 2 3 7 3 2" xfId="52359" xr:uid="{00000000-0005-0000-0000-00007F240000}"/>
    <cellStyle name="Normal 3 2 3 2 3 7 4" xfId="34483" xr:uid="{00000000-0005-0000-0000-000080240000}"/>
    <cellStyle name="Normal 3 2 3 2 3 8" xfId="2606" xr:uid="{00000000-0005-0000-0000-000081240000}"/>
    <cellStyle name="Normal 3 2 3 2 3 8 2" xfId="24427" xr:uid="{00000000-0005-0000-0000-000082240000}"/>
    <cellStyle name="Normal 3 2 3 2 3 8 2 2" xfId="56298" xr:uid="{00000000-0005-0000-0000-000083240000}"/>
    <cellStyle name="Normal 3 2 3 2 3 8 3" xfId="34485" xr:uid="{00000000-0005-0000-0000-000084240000}"/>
    <cellStyle name="Normal 3 2 3 2 3 9" xfId="16549" xr:uid="{00000000-0005-0000-0000-000085240000}"/>
    <cellStyle name="Normal 3 2 3 2 3 9 2" xfId="48420" xr:uid="{00000000-0005-0000-0000-000086240000}"/>
    <cellStyle name="Normal 3 2 3 2 4" xfId="2607" xr:uid="{00000000-0005-0000-0000-000087240000}"/>
    <cellStyle name="Normal 3 2 3 2 4 2" xfId="2608" xr:uid="{00000000-0005-0000-0000-000088240000}"/>
    <cellStyle name="Normal 3 2 3 2 4 2 2" xfId="2609" xr:uid="{00000000-0005-0000-0000-000089240000}"/>
    <cellStyle name="Normal 3 2 3 2 4 2 2 2" xfId="2610" xr:uid="{00000000-0005-0000-0000-00008A240000}"/>
    <cellStyle name="Normal 3 2 3 2 4 2 2 2 2" xfId="2611" xr:uid="{00000000-0005-0000-0000-00008B240000}"/>
    <cellStyle name="Normal 3 2 3 2 4 2 2 2 2 2" xfId="2612" xr:uid="{00000000-0005-0000-0000-00008C240000}"/>
    <cellStyle name="Normal 3 2 3 2 4 2 2 2 2 2 2" xfId="2613" xr:uid="{00000000-0005-0000-0000-00008D240000}"/>
    <cellStyle name="Normal 3 2 3 2 4 2 2 2 2 2 2 2" xfId="29036" xr:uid="{00000000-0005-0000-0000-00008E240000}"/>
    <cellStyle name="Normal 3 2 3 2 4 2 2 2 2 2 2 2 2" xfId="60907" xr:uid="{00000000-0005-0000-0000-00008F240000}"/>
    <cellStyle name="Normal 3 2 3 2 4 2 2 2 2 2 2 3" xfId="34492" xr:uid="{00000000-0005-0000-0000-000090240000}"/>
    <cellStyle name="Normal 3 2 3 2 4 2 2 2 2 2 3" xfId="21158" xr:uid="{00000000-0005-0000-0000-000091240000}"/>
    <cellStyle name="Normal 3 2 3 2 4 2 2 2 2 2 3 2" xfId="53029" xr:uid="{00000000-0005-0000-0000-000092240000}"/>
    <cellStyle name="Normal 3 2 3 2 4 2 2 2 2 2 4" xfId="34491" xr:uid="{00000000-0005-0000-0000-000093240000}"/>
    <cellStyle name="Normal 3 2 3 2 4 2 2 2 2 3" xfId="2614" xr:uid="{00000000-0005-0000-0000-000094240000}"/>
    <cellStyle name="Normal 3 2 3 2 4 2 2 2 2 3 2" xfId="25097" xr:uid="{00000000-0005-0000-0000-000095240000}"/>
    <cellStyle name="Normal 3 2 3 2 4 2 2 2 2 3 2 2" xfId="56968" xr:uid="{00000000-0005-0000-0000-000096240000}"/>
    <cellStyle name="Normal 3 2 3 2 4 2 2 2 2 3 3" xfId="34493" xr:uid="{00000000-0005-0000-0000-000097240000}"/>
    <cellStyle name="Normal 3 2 3 2 4 2 2 2 2 4" xfId="17219" xr:uid="{00000000-0005-0000-0000-000098240000}"/>
    <cellStyle name="Normal 3 2 3 2 4 2 2 2 2 4 2" xfId="49090" xr:uid="{00000000-0005-0000-0000-000099240000}"/>
    <cellStyle name="Normal 3 2 3 2 4 2 2 2 2 5" xfId="34490" xr:uid="{00000000-0005-0000-0000-00009A240000}"/>
    <cellStyle name="Normal 3 2 3 2 4 2 2 2 3" xfId="2615" xr:uid="{00000000-0005-0000-0000-00009B240000}"/>
    <cellStyle name="Normal 3 2 3 2 4 2 2 2 3 2" xfId="2616" xr:uid="{00000000-0005-0000-0000-00009C240000}"/>
    <cellStyle name="Normal 3 2 3 2 4 2 2 2 3 2 2" xfId="29035" xr:uid="{00000000-0005-0000-0000-00009D240000}"/>
    <cellStyle name="Normal 3 2 3 2 4 2 2 2 3 2 2 2" xfId="60906" xr:uid="{00000000-0005-0000-0000-00009E240000}"/>
    <cellStyle name="Normal 3 2 3 2 4 2 2 2 3 2 3" xfId="34495" xr:uid="{00000000-0005-0000-0000-00009F240000}"/>
    <cellStyle name="Normal 3 2 3 2 4 2 2 2 3 3" xfId="21157" xr:uid="{00000000-0005-0000-0000-0000A0240000}"/>
    <cellStyle name="Normal 3 2 3 2 4 2 2 2 3 3 2" xfId="53028" xr:uid="{00000000-0005-0000-0000-0000A1240000}"/>
    <cellStyle name="Normal 3 2 3 2 4 2 2 2 3 4" xfId="34494" xr:uid="{00000000-0005-0000-0000-0000A2240000}"/>
    <cellStyle name="Normal 3 2 3 2 4 2 2 2 4" xfId="2617" xr:uid="{00000000-0005-0000-0000-0000A3240000}"/>
    <cellStyle name="Normal 3 2 3 2 4 2 2 2 4 2" xfId="25096" xr:uid="{00000000-0005-0000-0000-0000A4240000}"/>
    <cellStyle name="Normal 3 2 3 2 4 2 2 2 4 2 2" xfId="56967" xr:uid="{00000000-0005-0000-0000-0000A5240000}"/>
    <cellStyle name="Normal 3 2 3 2 4 2 2 2 4 3" xfId="34496" xr:uid="{00000000-0005-0000-0000-0000A6240000}"/>
    <cellStyle name="Normal 3 2 3 2 4 2 2 2 5" xfId="17218" xr:uid="{00000000-0005-0000-0000-0000A7240000}"/>
    <cellStyle name="Normal 3 2 3 2 4 2 2 2 5 2" xfId="49089" xr:uid="{00000000-0005-0000-0000-0000A8240000}"/>
    <cellStyle name="Normal 3 2 3 2 4 2 2 2 6" xfId="34489" xr:uid="{00000000-0005-0000-0000-0000A9240000}"/>
    <cellStyle name="Normal 3 2 3 2 4 2 2 3" xfId="2618" xr:uid="{00000000-0005-0000-0000-0000AA240000}"/>
    <cellStyle name="Normal 3 2 3 2 4 2 2 3 2" xfId="2619" xr:uid="{00000000-0005-0000-0000-0000AB240000}"/>
    <cellStyle name="Normal 3 2 3 2 4 2 2 3 2 2" xfId="2620" xr:uid="{00000000-0005-0000-0000-0000AC240000}"/>
    <cellStyle name="Normal 3 2 3 2 4 2 2 3 2 2 2" xfId="29037" xr:uid="{00000000-0005-0000-0000-0000AD240000}"/>
    <cellStyle name="Normal 3 2 3 2 4 2 2 3 2 2 2 2" xfId="60908" xr:uid="{00000000-0005-0000-0000-0000AE240000}"/>
    <cellStyle name="Normal 3 2 3 2 4 2 2 3 2 2 3" xfId="34499" xr:uid="{00000000-0005-0000-0000-0000AF240000}"/>
    <cellStyle name="Normal 3 2 3 2 4 2 2 3 2 3" xfId="21159" xr:uid="{00000000-0005-0000-0000-0000B0240000}"/>
    <cellStyle name="Normal 3 2 3 2 4 2 2 3 2 3 2" xfId="53030" xr:uid="{00000000-0005-0000-0000-0000B1240000}"/>
    <cellStyle name="Normal 3 2 3 2 4 2 2 3 2 4" xfId="34498" xr:uid="{00000000-0005-0000-0000-0000B2240000}"/>
    <cellStyle name="Normal 3 2 3 2 4 2 2 3 3" xfId="2621" xr:uid="{00000000-0005-0000-0000-0000B3240000}"/>
    <cellStyle name="Normal 3 2 3 2 4 2 2 3 3 2" xfId="25098" xr:uid="{00000000-0005-0000-0000-0000B4240000}"/>
    <cellStyle name="Normal 3 2 3 2 4 2 2 3 3 2 2" xfId="56969" xr:uid="{00000000-0005-0000-0000-0000B5240000}"/>
    <cellStyle name="Normal 3 2 3 2 4 2 2 3 3 3" xfId="34500" xr:uid="{00000000-0005-0000-0000-0000B6240000}"/>
    <cellStyle name="Normal 3 2 3 2 4 2 2 3 4" xfId="17220" xr:uid="{00000000-0005-0000-0000-0000B7240000}"/>
    <cellStyle name="Normal 3 2 3 2 4 2 2 3 4 2" xfId="49091" xr:uid="{00000000-0005-0000-0000-0000B8240000}"/>
    <cellStyle name="Normal 3 2 3 2 4 2 2 3 5" xfId="34497" xr:uid="{00000000-0005-0000-0000-0000B9240000}"/>
    <cellStyle name="Normal 3 2 3 2 4 2 2 4" xfId="2622" xr:uid="{00000000-0005-0000-0000-0000BA240000}"/>
    <cellStyle name="Normal 3 2 3 2 4 2 2 4 2" xfId="2623" xr:uid="{00000000-0005-0000-0000-0000BB240000}"/>
    <cellStyle name="Normal 3 2 3 2 4 2 2 4 2 2" xfId="29034" xr:uid="{00000000-0005-0000-0000-0000BC240000}"/>
    <cellStyle name="Normal 3 2 3 2 4 2 2 4 2 2 2" xfId="60905" xr:uid="{00000000-0005-0000-0000-0000BD240000}"/>
    <cellStyle name="Normal 3 2 3 2 4 2 2 4 2 3" xfId="34502" xr:uid="{00000000-0005-0000-0000-0000BE240000}"/>
    <cellStyle name="Normal 3 2 3 2 4 2 2 4 3" xfId="21156" xr:uid="{00000000-0005-0000-0000-0000BF240000}"/>
    <cellStyle name="Normal 3 2 3 2 4 2 2 4 3 2" xfId="53027" xr:uid="{00000000-0005-0000-0000-0000C0240000}"/>
    <cellStyle name="Normal 3 2 3 2 4 2 2 4 4" xfId="34501" xr:uid="{00000000-0005-0000-0000-0000C1240000}"/>
    <cellStyle name="Normal 3 2 3 2 4 2 2 5" xfId="2624" xr:uid="{00000000-0005-0000-0000-0000C2240000}"/>
    <cellStyle name="Normal 3 2 3 2 4 2 2 5 2" xfId="25095" xr:uid="{00000000-0005-0000-0000-0000C3240000}"/>
    <cellStyle name="Normal 3 2 3 2 4 2 2 5 2 2" xfId="56966" xr:uid="{00000000-0005-0000-0000-0000C4240000}"/>
    <cellStyle name="Normal 3 2 3 2 4 2 2 5 3" xfId="34503" xr:uid="{00000000-0005-0000-0000-0000C5240000}"/>
    <cellStyle name="Normal 3 2 3 2 4 2 2 6" xfId="17217" xr:uid="{00000000-0005-0000-0000-0000C6240000}"/>
    <cellStyle name="Normal 3 2 3 2 4 2 2 6 2" xfId="49088" xr:uid="{00000000-0005-0000-0000-0000C7240000}"/>
    <cellStyle name="Normal 3 2 3 2 4 2 2 7" xfId="34488" xr:uid="{00000000-0005-0000-0000-0000C8240000}"/>
    <cellStyle name="Normal 3 2 3 2 4 2 3" xfId="2625" xr:uid="{00000000-0005-0000-0000-0000C9240000}"/>
    <cellStyle name="Normal 3 2 3 2 4 2 3 2" xfId="2626" xr:uid="{00000000-0005-0000-0000-0000CA240000}"/>
    <cellStyle name="Normal 3 2 3 2 4 2 3 2 2" xfId="2627" xr:uid="{00000000-0005-0000-0000-0000CB240000}"/>
    <cellStyle name="Normal 3 2 3 2 4 2 3 2 2 2" xfId="2628" xr:uid="{00000000-0005-0000-0000-0000CC240000}"/>
    <cellStyle name="Normal 3 2 3 2 4 2 3 2 2 2 2" xfId="29039" xr:uid="{00000000-0005-0000-0000-0000CD240000}"/>
    <cellStyle name="Normal 3 2 3 2 4 2 3 2 2 2 2 2" xfId="60910" xr:uid="{00000000-0005-0000-0000-0000CE240000}"/>
    <cellStyle name="Normal 3 2 3 2 4 2 3 2 2 2 3" xfId="34507" xr:uid="{00000000-0005-0000-0000-0000CF240000}"/>
    <cellStyle name="Normal 3 2 3 2 4 2 3 2 2 3" xfId="21161" xr:uid="{00000000-0005-0000-0000-0000D0240000}"/>
    <cellStyle name="Normal 3 2 3 2 4 2 3 2 2 3 2" xfId="53032" xr:uid="{00000000-0005-0000-0000-0000D1240000}"/>
    <cellStyle name="Normal 3 2 3 2 4 2 3 2 2 4" xfId="34506" xr:uid="{00000000-0005-0000-0000-0000D2240000}"/>
    <cellStyle name="Normal 3 2 3 2 4 2 3 2 3" xfId="2629" xr:uid="{00000000-0005-0000-0000-0000D3240000}"/>
    <cellStyle name="Normal 3 2 3 2 4 2 3 2 3 2" xfId="25100" xr:uid="{00000000-0005-0000-0000-0000D4240000}"/>
    <cellStyle name="Normal 3 2 3 2 4 2 3 2 3 2 2" xfId="56971" xr:uid="{00000000-0005-0000-0000-0000D5240000}"/>
    <cellStyle name="Normal 3 2 3 2 4 2 3 2 3 3" xfId="34508" xr:uid="{00000000-0005-0000-0000-0000D6240000}"/>
    <cellStyle name="Normal 3 2 3 2 4 2 3 2 4" xfId="17222" xr:uid="{00000000-0005-0000-0000-0000D7240000}"/>
    <cellStyle name="Normal 3 2 3 2 4 2 3 2 4 2" xfId="49093" xr:uid="{00000000-0005-0000-0000-0000D8240000}"/>
    <cellStyle name="Normal 3 2 3 2 4 2 3 2 5" xfId="34505" xr:uid="{00000000-0005-0000-0000-0000D9240000}"/>
    <cellStyle name="Normal 3 2 3 2 4 2 3 3" xfId="2630" xr:uid="{00000000-0005-0000-0000-0000DA240000}"/>
    <cellStyle name="Normal 3 2 3 2 4 2 3 3 2" xfId="2631" xr:uid="{00000000-0005-0000-0000-0000DB240000}"/>
    <cellStyle name="Normal 3 2 3 2 4 2 3 3 2 2" xfId="29038" xr:uid="{00000000-0005-0000-0000-0000DC240000}"/>
    <cellStyle name="Normal 3 2 3 2 4 2 3 3 2 2 2" xfId="60909" xr:uid="{00000000-0005-0000-0000-0000DD240000}"/>
    <cellStyle name="Normal 3 2 3 2 4 2 3 3 2 3" xfId="34510" xr:uid="{00000000-0005-0000-0000-0000DE240000}"/>
    <cellStyle name="Normal 3 2 3 2 4 2 3 3 3" xfId="21160" xr:uid="{00000000-0005-0000-0000-0000DF240000}"/>
    <cellStyle name="Normal 3 2 3 2 4 2 3 3 3 2" xfId="53031" xr:uid="{00000000-0005-0000-0000-0000E0240000}"/>
    <cellStyle name="Normal 3 2 3 2 4 2 3 3 4" xfId="34509" xr:uid="{00000000-0005-0000-0000-0000E1240000}"/>
    <cellStyle name="Normal 3 2 3 2 4 2 3 4" xfId="2632" xr:uid="{00000000-0005-0000-0000-0000E2240000}"/>
    <cellStyle name="Normal 3 2 3 2 4 2 3 4 2" xfId="25099" xr:uid="{00000000-0005-0000-0000-0000E3240000}"/>
    <cellStyle name="Normal 3 2 3 2 4 2 3 4 2 2" xfId="56970" xr:uid="{00000000-0005-0000-0000-0000E4240000}"/>
    <cellStyle name="Normal 3 2 3 2 4 2 3 4 3" xfId="34511" xr:uid="{00000000-0005-0000-0000-0000E5240000}"/>
    <cellStyle name="Normal 3 2 3 2 4 2 3 5" xfId="17221" xr:uid="{00000000-0005-0000-0000-0000E6240000}"/>
    <cellStyle name="Normal 3 2 3 2 4 2 3 5 2" xfId="49092" xr:uid="{00000000-0005-0000-0000-0000E7240000}"/>
    <cellStyle name="Normal 3 2 3 2 4 2 3 6" xfId="34504" xr:uid="{00000000-0005-0000-0000-0000E8240000}"/>
    <cellStyle name="Normal 3 2 3 2 4 2 4" xfId="2633" xr:uid="{00000000-0005-0000-0000-0000E9240000}"/>
    <cellStyle name="Normal 3 2 3 2 4 2 4 2" xfId="2634" xr:uid="{00000000-0005-0000-0000-0000EA240000}"/>
    <cellStyle name="Normal 3 2 3 2 4 2 4 2 2" xfId="2635" xr:uid="{00000000-0005-0000-0000-0000EB240000}"/>
    <cellStyle name="Normal 3 2 3 2 4 2 4 2 2 2" xfId="29040" xr:uid="{00000000-0005-0000-0000-0000EC240000}"/>
    <cellStyle name="Normal 3 2 3 2 4 2 4 2 2 2 2" xfId="60911" xr:uid="{00000000-0005-0000-0000-0000ED240000}"/>
    <cellStyle name="Normal 3 2 3 2 4 2 4 2 2 3" xfId="34514" xr:uid="{00000000-0005-0000-0000-0000EE240000}"/>
    <cellStyle name="Normal 3 2 3 2 4 2 4 2 3" xfId="21162" xr:uid="{00000000-0005-0000-0000-0000EF240000}"/>
    <cellStyle name="Normal 3 2 3 2 4 2 4 2 3 2" xfId="53033" xr:uid="{00000000-0005-0000-0000-0000F0240000}"/>
    <cellStyle name="Normal 3 2 3 2 4 2 4 2 4" xfId="34513" xr:uid="{00000000-0005-0000-0000-0000F1240000}"/>
    <cellStyle name="Normal 3 2 3 2 4 2 4 3" xfId="2636" xr:uid="{00000000-0005-0000-0000-0000F2240000}"/>
    <cellStyle name="Normal 3 2 3 2 4 2 4 3 2" xfId="25101" xr:uid="{00000000-0005-0000-0000-0000F3240000}"/>
    <cellStyle name="Normal 3 2 3 2 4 2 4 3 2 2" xfId="56972" xr:uid="{00000000-0005-0000-0000-0000F4240000}"/>
    <cellStyle name="Normal 3 2 3 2 4 2 4 3 3" xfId="34515" xr:uid="{00000000-0005-0000-0000-0000F5240000}"/>
    <cellStyle name="Normal 3 2 3 2 4 2 4 4" xfId="17223" xr:uid="{00000000-0005-0000-0000-0000F6240000}"/>
    <cellStyle name="Normal 3 2 3 2 4 2 4 4 2" xfId="49094" xr:uid="{00000000-0005-0000-0000-0000F7240000}"/>
    <cellStyle name="Normal 3 2 3 2 4 2 4 5" xfId="34512" xr:uid="{00000000-0005-0000-0000-0000F8240000}"/>
    <cellStyle name="Normal 3 2 3 2 4 2 5" xfId="2637" xr:uid="{00000000-0005-0000-0000-0000F9240000}"/>
    <cellStyle name="Normal 3 2 3 2 4 2 5 2" xfId="2638" xr:uid="{00000000-0005-0000-0000-0000FA240000}"/>
    <cellStyle name="Normal 3 2 3 2 4 2 5 2 2" xfId="29033" xr:uid="{00000000-0005-0000-0000-0000FB240000}"/>
    <cellStyle name="Normal 3 2 3 2 4 2 5 2 2 2" xfId="60904" xr:uid="{00000000-0005-0000-0000-0000FC240000}"/>
    <cellStyle name="Normal 3 2 3 2 4 2 5 2 3" xfId="34517" xr:uid="{00000000-0005-0000-0000-0000FD240000}"/>
    <cellStyle name="Normal 3 2 3 2 4 2 5 3" xfId="21155" xr:uid="{00000000-0005-0000-0000-0000FE240000}"/>
    <cellStyle name="Normal 3 2 3 2 4 2 5 3 2" xfId="53026" xr:uid="{00000000-0005-0000-0000-0000FF240000}"/>
    <cellStyle name="Normal 3 2 3 2 4 2 5 4" xfId="34516" xr:uid="{00000000-0005-0000-0000-000000250000}"/>
    <cellStyle name="Normal 3 2 3 2 4 2 6" xfId="2639" xr:uid="{00000000-0005-0000-0000-000001250000}"/>
    <cellStyle name="Normal 3 2 3 2 4 2 6 2" xfId="25094" xr:uid="{00000000-0005-0000-0000-000002250000}"/>
    <cellStyle name="Normal 3 2 3 2 4 2 6 2 2" xfId="56965" xr:uid="{00000000-0005-0000-0000-000003250000}"/>
    <cellStyle name="Normal 3 2 3 2 4 2 6 3" xfId="34518" xr:uid="{00000000-0005-0000-0000-000004250000}"/>
    <cellStyle name="Normal 3 2 3 2 4 2 7" xfId="17216" xr:uid="{00000000-0005-0000-0000-000005250000}"/>
    <cellStyle name="Normal 3 2 3 2 4 2 7 2" xfId="49087" xr:uid="{00000000-0005-0000-0000-000006250000}"/>
    <cellStyle name="Normal 3 2 3 2 4 2 8" xfId="34487" xr:uid="{00000000-0005-0000-0000-000007250000}"/>
    <cellStyle name="Normal 3 2 3 2 4 3" xfId="2640" xr:uid="{00000000-0005-0000-0000-000008250000}"/>
    <cellStyle name="Normal 3 2 3 2 4 3 2" xfId="2641" xr:uid="{00000000-0005-0000-0000-000009250000}"/>
    <cellStyle name="Normal 3 2 3 2 4 3 2 2" xfId="2642" xr:uid="{00000000-0005-0000-0000-00000A250000}"/>
    <cellStyle name="Normal 3 2 3 2 4 3 2 2 2" xfId="2643" xr:uid="{00000000-0005-0000-0000-00000B250000}"/>
    <cellStyle name="Normal 3 2 3 2 4 3 2 2 2 2" xfId="2644" xr:uid="{00000000-0005-0000-0000-00000C250000}"/>
    <cellStyle name="Normal 3 2 3 2 4 3 2 2 2 2 2" xfId="29043" xr:uid="{00000000-0005-0000-0000-00000D250000}"/>
    <cellStyle name="Normal 3 2 3 2 4 3 2 2 2 2 2 2" xfId="60914" xr:uid="{00000000-0005-0000-0000-00000E250000}"/>
    <cellStyle name="Normal 3 2 3 2 4 3 2 2 2 2 3" xfId="34523" xr:uid="{00000000-0005-0000-0000-00000F250000}"/>
    <cellStyle name="Normal 3 2 3 2 4 3 2 2 2 3" xfId="21165" xr:uid="{00000000-0005-0000-0000-000010250000}"/>
    <cellStyle name="Normal 3 2 3 2 4 3 2 2 2 3 2" xfId="53036" xr:uid="{00000000-0005-0000-0000-000011250000}"/>
    <cellStyle name="Normal 3 2 3 2 4 3 2 2 2 4" xfId="34522" xr:uid="{00000000-0005-0000-0000-000012250000}"/>
    <cellStyle name="Normal 3 2 3 2 4 3 2 2 3" xfId="2645" xr:uid="{00000000-0005-0000-0000-000013250000}"/>
    <cellStyle name="Normal 3 2 3 2 4 3 2 2 3 2" xfId="25104" xr:uid="{00000000-0005-0000-0000-000014250000}"/>
    <cellStyle name="Normal 3 2 3 2 4 3 2 2 3 2 2" xfId="56975" xr:uid="{00000000-0005-0000-0000-000015250000}"/>
    <cellStyle name="Normal 3 2 3 2 4 3 2 2 3 3" xfId="34524" xr:uid="{00000000-0005-0000-0000-000016250000}"/>
    <cellStyle name="Normal 3 2 3 2 4 3 2 2 4" xfId="17226" xr:uid="{00000000-0005-0000-0000-000017250000}"/>
    <cellStyle name="Normal 3 2 3 2 4 3 2 2 4 2" xfId="49097" xr:uid="{00000000-0005-0000-0000-000018250000}"/>
    <cellStyle name="Normal 3 2 3 2 4 3 2 2 5" xfId="34521" xr:uid="{00000000-0005-0000-0000-000019250000}"/>
    <cellStyle name="Normal 3 2 3 2 4 3 2 3" xfId="2646" xr:uid="{00000000-0005-0000-0000-00001A250000}"/>
    <cellStyle name="Normal 3 2 3 2 4 3 2 3 2" xfId="2647" xr:uid="{00000000-0005-0000-0000-00001B250000}"/>
    <cellStyle name="Normal 3 2 3 2 4 3 2 3 2 2" xfId="29042" xr:uid="{00000000-0005-0000-0000-00001C250000}"/>
    <cellStyle name="Normal 3 2 3 2 4 3 2 3 2 2 2" xfId="60913" xr:uid="{00000000-0005-0000-0000-00001D250000}"/>
    <cellStyle name="Normal 3 2 3 2 4 3 2 3 2 3" xfId="34526" xr:uid="{00000000-0005-0000-0000-00001E250000}"/>
    <cellStyle name="Normal 3 2 3 2 4 3 2 3 3" xfId="21164" xr:uid="{00000000-0005-0000-0000-00001F250000}"/>
    <cellStyle name="Normal 3 2 3 2 4 3 2 3 3 2" xfId="53035" xr:uid="{00000000-0005-0000-0000-000020250000}"/>
    <cellStyle name="Normal 3 2 3 2 4 3 2 3 4" xfId="34525" xr:uid="{00000000-0005-0000-0000-000021250000}"/>
    <cellStyle name="Normal 3 2 3 2 4 3 2 4" xfId="2648" xr:uid="{00000000-0005-0000-0000-000022250000}"/>
    <cellStyle name="Normal 3 2 3 2 4 3 2 4 2" xfId="25103" xr:uid="{00000000-0005-0000-0000-000023250000}"/>
    <cellStyle name="Normal 3 2 3 2 4 3 2 4 2 2" xfId="56974" xr:uid="{00000000-0005-0000-0000-000024250000}"/>
    <cellStyle name="Normal 3 2 3 2 4 3 2 4 3" xfId="34527" xr:uid="{00000000-0005-0000-0000-000025250000}"/>
    <cellStyle name="Normal 3 2 3 2 4 3 2 5" xfId="17225" xr:uid="{00000000-0005-0000-0000-000026250000}"/>
    <cellStyle name="Normal 3 2 3 2 4 3 2 5 2" xfId="49096" xr:uid="{00000000-0005-0000-0000-000027250000}"/>
    <cellStyle name="Normal 3 2 3 2 4 3 2 6" xfId="34520" xr:uid="{00000000-0005-0000-0000-000028250000}"/>
    <cellStyle name="Normal 3 2 3 2 4 3 3" xfId="2649" xr:uid="{00000000-0005-0000-0000-000029250000}"/>
    <cellStyle name="Normal 3 2 3 2 4 3 3 2" xfId="2650" xr:uid="{00000000-0005-0000-0000-00002A250000}"/>
    <cellStyle name="Normal 3 2 3 2 4 3 3 2 2" xfId="2651" xr:uid="{00000000-0005-0000-0000-00002B250000}"/>
    <cellStyle name="Normal 3 2 3 2 4 3 3 2 2 2" xfId="29044" xr:uid="{00000000-0005-0000-0000-00002C250000}"/>
    <cellStyle name="Normal 3 2 3 2 4 3 3 2 2 2 2" xfId="60915" xr:uid="{00000000-0005-0000-0000-00002D250000}"/>
    <cellStyle name="Normal 3 2 3 2 4 3 3 2 2 3" xfId="34530" xr:uid="{00000000-0005-0000-0000-00002E250000}"/>
    <cellStyle name="Normal 3 2 3 2 4 3 3 2 3" xfId="21166" xr:uid="{00000000-0005-0000-0000-00002F250000}"/>
    <cellStyle name="Normal 3 2 3 2 4 3 3 2 3 2" xfId="53037" xr:uid="{00000000-0005-0000-0000-000030250000}"/>
    <cellStyle name="Normal 3 2 3 2 4 3 3 2 4" xfId="34529" xr:uid="{00000000-0005-0000-0000-000031250000}"/>
    <cellStyle name="Normal 3 2 3 2 4 3 3 3" xfId="2652" xr:uid="{00000000-0005-0000-0000-000032250000}"/>
    <cellStyle name="Normal 3 2 3 2 4 3 3 3 2" xfId="25105" xr:uid="{00000000-0005-0000-0000-000033250000}"/>
    <cellStyle name="Normal 3 2 3 2 4 3 3 3 2 2" xfId="56976" xr:uid="{00000000-0005-0000-0000-000034250000}"/>
    <cellStyle name="Normal 3 2 3 2 4 3 3 3 3" xfId="34531" xr:uid="{00000000-0005-0000-0000-000035250000}"/>
    <cellStyle name="Normal 3 2 3 2 4 3 3 4" xfId="17227" xr:uid="{00000000-0005-0000-0000-000036250000}"/>
    <cellStyle name="Normal 3 2 3 2 4 3 3 4 2" xfId="49098" xr:uid="{00000000-0005-0000-0000-000037250000}"/>
    <cellStyle name="Normal 3 2 3 2 4 3 3 5" xfId="34528" xr:uid="{00000000-0005-0000-0000-000038250000}"/>
    <cellStyle name="Normal 3 2 3 2 4 3 4" xfId="2653" xr:uid="{00000000-0005-0000-0000-000039250000}"/>
    <cellStyle name="Normal 3 2 3 2 4 3 4 2" xfId="2654" xr:uid="{00000000-0005-0000-0000-00003A250000}"/>
    <cellStyle name="Normal 3 2 3 2 4 3 4 2 2" xfId="29041" xr:uid="{00000000-0005-0000-0000-00003B250000}"/>
    <cellStyle name="Normal 3 2 3 2 4 3 4 2 2 2" xfId="60912" xr:uid="{00000000-0005-0000-0000-00003C250000}"/>
    <cellStyle name="Normal 3 2 3 2 4 3 4 2 3" xfId="34533" xr:uid="{00000000-0005-0000-0000-00003D250000}"/>
    <cellStyle name="Normal 3 2 3 2 4 3 4 3" xfId="21163" xr:uid="{00000000-0005-0000-0000-00003E250000}"/>
    <cellStyle name="Normal 3 2 3 2 4 3 4 3 2" xfId="53034" xr:uid="{00000000-0005-0000-0000-00003F250000}"/>
    <cellStyle name="Normal 3 2 3 2 4 3 4 4" xfId="34532" xr:uid="{00000000-0005-0000-0000-000040250000}"/>
    <cellStyle name="Normal 3 2 3 2 4 3 5" xfId="2655" xr:uid="{00000000-0005-0000-0000-000041250000}"/>
    <cellStyle name="Normal 3 2 3 2 4 3 5 2" xfId="25102" xr:uid="{00000000-0005-0000-0000-000042250000}"/>
    <cellStyle name="Normal 3 2 3 2 4 3 5 2 2" xfId="56973" xr:uid="{00000000-0005-0000-0000-000043250000}"/>
    <cellStyle name="Normal 3 2 3 2 4 3 5 3" xfId="34534" xr:uid="{00000000-0005-0000-0000-000044250000}"/>
    <cellStyle name="Normal 3 2 3 2 4 3 6" xfId="17224" xr:uid="{00000000-0005-0000-0000-000045250000}"/>
    <cellStyle name="Normal 3 2 3 2 4 3 6 2" xfId="49095" xr:uid="{00000000-0005-0000-0000-000046250000}"/>
    <cellStyle name="Normal 3 2 3 2 4 3 7" xfId="34519" xr:uid="{00000000-0005-0000-0000-000047250000}"/>
    <cellStyle name="Normal 3 2 3 2 4 4" xfId="2656" xr:uid="{00000000-0005-0000-0000-000048250000}"/>
    <cellStyle name="Normal 3 2 3 2 4 4 2" xfId="2657" xr:uid="{00000000-0005-0000-0000-000049250000}"/>
    <cellStyle name="Normal 3 2 3 2 4 4 2 2" xfId="2658" xr:uid="{00000000-0005-0000-0000-00004A250000}"/>
    <cellStyle name="Normal 3 2 3 2 4 4 2 2 2" xfId="2659" xr:uid="{00000000-0005-0000-0000-00004B250000}"/>
    <cellStyle name="Normal 3 2 3 2 4 4 2 2 2 2" xfId="29046" xr:uid="{00000000-0005-0000-0000-00004C250000}"/>
    <cellStyle name="Normal 3 2 3 2 4 4 2 2 2 2 2" xfId="60917" xr:uid="{00000000-0005-0000-0000-00004D250000}"/>
    <cellStyle name="Normal 3 2 3 2 4 4 2 2 2 3" xfId="34538" xr:uid="{00000000-0005-0000-0000-00004E250000}"/>
    <cellStyle name="Normal 3 2 3 2 4 4 2 2 3" xfId="21168" xr:uid="{00000000-0005-0000-0000-00004F250000}"/>
    <cellStyle name="Normal 3 2 3 2 4 4 2 2 3 2" xfId="53039" xr:uid="{00000000-0005-0000-0000-000050250000}"/>
    <cellStyle name="Normal 3 2 3 2 4 4 2 2 4" xfId="34537" xr:uid="{00000000-0005-0000-0000-000051250000}"/>
    <cellStyle name="Normal 3 2 3 2 4 4 2 3" xfId="2660" xr:uid="{00000000-0005-0000-0000-000052250000}"/>
    <cellStyle name="Normal 3 2 3 2 4 4 2 3 2" xfId="25107" xr:uid="{00000000-0005-0000-0000-000053250000}"/>
    <cellStyle name="Normal 3 2 3 2 4 4 2 3 2 2" xfId="56978" xr:uid="{00000000-0005-0000-0000-000054250000}"/>
    <cellStyle name="Normal 3 2 3 2 4 4 2 3 3" xfId="34539" xr:uid="{00000000-0005-0000-0000-000055250000}"/>
    <cellStyle name="Normal 3 2 3 2 4 4 2 4" xfId="17229" xr:uid="{00000000-0005-0000-0000-000056250000}"/>
    <cellStyle name="Normal 3 2 3 2 4 4 2 4 2" xfId="49100" xr:uid="{00000000-0005-0000-0000-000057250000}"/>
    <cellStyle name="Normal 3 2 3 2 4 4 2 5" xfId="34536" xr:uid="{00000000-0005-0000-0000-000058250000}"/>
    <cellStyle name="Normal 3 2 3 2 4 4 3" xfId="2661" xr:uid="{00000000-0005-0000-0000-000059250000}"/>
    <cellStyle name="Normal 3 2 3 2 4 4 3 2" xfId="2662" xr:uid="{00000000-0005-0000-0000-00005A250000}"/>
    <cellStyle name="Normal 3 2 3 2 4 4 3 2 2" xfId="29045" xr:uid="{00000000-0005-0000-0000-00005B250000}"/>
    <cellStyle name="Normal 3 2 3 2 4 4 3 2 2 2" xfId="60916" xr:uid="{00000000-0005-0000-0000-00005C250000}"/>
    <cellStyle name="Normal 3 2 3 2 4 4 3 2 3" xfId="34541" xr:uid="{00000000-0005-0000-0000-00005D250000}"/>
    <cellStyle name="Normal 3 2 3 2 4 4 3 3" xfId="21167" xr:uid="{00000000-0005-0000-0000-00005E250000}"/>
    <cellStyle name="Normal 3 2 3 2 4 4 3 3 2" xfId="53038" xr:uid="{00000000-0005-0000-0000-00005F250000}"/>
    <cellStyle name="Normal 3 2 3 2 4 4 3 4" xfId="34540" xr:uid="{00000000-0005-0000-0000-000060250000}"/>
    <cellStyle name="Normal 3 2 3 2 4 4 4" xfId="2663" xr:uid="{00000000-0005-0000-0000-000061250000}"/>
    <cellStyle name="Normal 3 2 3 2 4 4 4 2" xfId="25106" xr:uid="{00000000-0005-0000-0000-000062250000}"/>
    <cellStyle name="Normal 3 2 3 2 4 4 4 2 2" xfId="56977" xr:uid="{00000000-0005-0000-0000-000063250000}"/>
    <cellStyle name="Normal 3 2 3 2 4 4 4 3" xfId="34542" xr:uid="{00000000-0005-0000-0000-000064250000}"/>
    <cellStyle name="Normal 3 2 3 2 4 4 5" xfId="17228" xr:uid="{00000000-0005-0000-0000-000065250000}"/>
    <cellStyle name="Normal 3 2 3 2 4 4 5 2" xfId="49099" xr:uid="{00000000-0005-0000-0000-000066250000}"/>
    <cellStyle name="Normal 3 2 3 2 4 4 6" xfId="34535" xr:uid="{00000000-0005-0000-0000-000067250000}"/>
    <cellStyle name="Normal 3 2 3 2 4 5" xfId="2664" xr:uid="{00000000-0005-0000-0000-000068250000}"/>
    <cellStyle name="Normal 3 2 3 2 4 5 2" xfId="2665" xr:uid="{00000000-0005-0000-0000-000069250000}"/>
    <cellStyle name="Normal 3 2 3 2 4 5 2 2" xfId="2666" xr:uid="{00000000-0005-0000-0000-00006A250000}"/>
    <cellStyle name="Normal 3 2 3 2 4 5 2 2 2" xfId="29047" xr:uid="{00000000-0005-0000-0000-00006B250000}"/>
    <cellStyle name="Normal 3 2 3 2 4 5 2 2 2 2" xfId="60918" xr:uid="{00000000-0005-0000-0000-00006C250000}"/>
    <cellStyle name="Normal 3 2 3 2 4 5 2 2 3" xfId="34545" xr:uid="{00000000-0005-0000-0000-00006D250000}"/>
    <cellStyle name="Normal 3 2 3 2 4 5 2 3" xfId="21169" xr:uid="{00000000-0005-0000-0000-00006E250000}"/>
    <cellStyle name="Normal 3 2 3 2 4 5 2 3 2" xfId="53040" xr:uid="{00000000-0005-0000-0000-00006F250000}"/>
    <cellStyle name="Normal 3 2 3 2 4 5 2 4" xfId="34544" xr:uid="{00000000-0005-0000-0000-000070250000}"/>
    <cellStyle name="Normal 3 2 3 2 4 5 3" xfId="2667" xr:uid="{00000000-0005-0000-0000-000071250000}"/>
    <cellStyle name="Normal 3 2 3 2 4 5 3 2" xfId="25108" xr:uid="{00000000-0005-0000-0000-000072250000}"/>
    <cellStyle name="Normal 3 2 3 2 4 5 3 2 2" xfId="56979" xr:uid="{00000000-0005-0000-0000-000073250000}"/>
    <cellStyle name="Normal 3 2 3 2 4 5 3 3" xfId="34546" xr:uid="{00000000-0005-0000-0000-000074250000}"/>
    <cellStyle name="Normal 3 2 3 2 4 5 4" xfId="17230" xr:uid="{00000000-0005-0000-0000-000075250000}"/>
    <cellStyle name="Normal 3 2 3 2 4 5 4 2" xfId="49101" xr:uid="{00000000-0005-0000-0000-000076250000}"/>
    <cellStyle name="Normal 3 2 3 2 4 5 5" xfId="34543" xr:uid="{00000000-0005-0000-0000-000077250000}"/>
    <cellStyle name="Normal 3 2 3 2 4 6" xfId="2668" xr:uid="{00000000-0005-0000-0000-000078250000}"/>
    <cellStyle name="Normal 3 2 3 2 4 6 2" xfId="2669" xr:uid="{00000000-0005-0000-0000-000079250000}"/>
    <cellStyle name="Normal 3 2 3 2 4 6 2 2" xfId="28407" xr:uid="{00000000-0005-0000-0000-00007A250000}"/>
    <cellStyle name="Normal 3 2 3 2 4 6 2 2 2" xfId="60278" xr:uid="{00000000-0005-0000-0000-00007B250000}"/>
    <cellStyle name="Normal 3 2 3 2 4 6 2 3" xfId="34548" xr:uid="{00000000-0005-0000-0000-00007C250000}"/>
    <cellStyle name="Normal 3 2 3 2 4 6 3" xfId="20529" xr:uid="{00000000-0005-0000-0000-00007D250000}"/>
    <cellStyle name="Normal 3 2 3 2 4 6 3 2" xfId="52400" xr:uid="{00000000-0005-0000-0000-00007E250000}"/>
    <cellStyle name="Normal 3 2 3 2 4 6 4" xfId="34547" xr:uid="{00000000-0005-0000-0000-00007F250000}"/>
    <cellStyle name="Normal 3 2 3 2 4 7" xfId="2670" xr:uid="{00000000-0005-0000-0000-000080250000}"/>
    <cellStyle name="Normal 3 2 3 2 4 7 2" xfId="24468" xr:uid="{00000000-0005-0000-0000-000081250000}"/>
    <cellStyle name="Normal 3 2 3 2 4 7 2 2" xfId="56339" xr:uid="{00000000-0005-0000-0000-000082250000}"/>
    <cellStyle name="Normal 3 2 3 2 4 7 3" xfId="34549" xr:uid="{00000000-0005-0000-0000-000083250000}"/>
    <cellStyle name="Normal 3 2 3 2 4 8" xfId="16590" xr:uid="{00000000-0005-0000-0000-000084250000}"/>
    <cellStyle name="Normal 3 2 3 2 4 8 2" xfId="48461" xr:uid="{00000000-0005-0000-0000-000085250000}"/>
    <cellStyle name="Normal 3 2 3 2 4 9" xfId="34486" xr:uid="{00000000-0005-0000-0000-000086250000}"/>
    <cellStyle name="Normal 3 2 3 2 5" xfId="2671" xr:uid="{00000000-0005-0000-0000-000087250000}"/>
    <cellStyle name="Normal 3 2 3 2 5 2" xfId="2672" xr:uid="{00000000-0005-0000-0000-000088250000}"/>
    <cellStyle name="Normal 3 2 3 2 5 2 2" xfId="2673" xr:uid="{00000000-0005-0000-0000-000089250000}"/>
    <cellStyle name="Normal 3 2 3 2 5 2 2 2" xfId="2674" xr:uid="{00000000-0005-0000-0000-00008A250000}"/>
    <cellStyle name="Normal 3 2 3 2 5 2 2 2 2" xfId="2675" xr:uid="{00000000-0005-0000-0000-00008B250000}"/>
    <cellStyle name="Normal 3 2 3 2 5 2 2 2 2 2" xfId="2676" xr:uid="{00000000-0005-0000-0000-00008C250000}"/>
    <cellStyle name="Normal 3 2 3 2 5 2 2 2 2 2 2" xfId="29051" xr:uid="{00000000-0005-0000-0000-00008D250000}"/>
    <cellStyle name="Normal 3 2 3 2 5 2 2 2 2 2 2 2" xfId="60922" xr:uid="{00000000-0005-0000-0000-00008E250000}"/>
    <cellStyle name="Normal 3 2 3 2 5 2 2 2 2 2 3" xfId="34555" xr:uid="{00000000-0005-0000-0000-00008F250000}"/>
    <cellStyle name="Normal 3 2 3 2 5 2 2 2 2 3" xfId="21173" xr:uid="{00000000-0005-0000-0000-000090250000}"/>
    <cellStyle name="Normal 3 2 3 2 5 2 2 2 2 3 2" xfId="53044" xr:uid="{00000000-0005-0000-0000-000091250000}"/>
    <cellStyle name="Normal 3 2 3 2 5 2 2 2 2 4" xfId="34554" xr:uid="{00000000-0005-0000-0000-000092250000}"/>
    <cellStyle name="Normal 3 2 3 2 5 2 2 2 3" xfId="2677" xr:uid="{00000000-0005-0000-0000-000093250000}"/>
    <cellStyle name="Normal 3 2 3 2 5 2 2 2 3 2" xfId="25112" xr:uid="{00000000-0005-0000-0000-000094250000}"/>
    <cellStyle name="Normal 3 2 3 2 5 2 2 2 3 2 2" xfId="56983" xr:uid="{00000000-0005-0000-0000-000095250000}"/>
    <cellStyle name="Normal 3 2 3 2 5 2 2 2 3 3" xfId="34556" xr:uid="{00000000-0005-0000-0000-000096250000}"/>
    <cellStyle name="Normal 3 2 3 2 5 2 2 2 4" xfId="17234" xr:uid="{00000000-0005-0000-0000-000097250000}"/>
    <cellStyle name="Normal 3 2 3 2 5 2 2 2 4 2" xfId="49105" xr:uid="{00000000-0005-0000-0000-000098250000}"/>
    <cellStyle name="Normal 3 2 3 2 5 2 2 2 5" xfId="34553" xr:uid="{00000000-0005-0000-0000-000099250000}"/>
    <cellStyle name="Normal 3 2 3 2 5 2 2 3" xfId="2678" xr:uid="{00000000-0005-0000-0000-00009A250000}"/>
    <cellStyle name="Normal 3 2 3 2 5 2 2 3 2" xfId="2679" xr:uid="{00000000-0005-0000-0000-00009B250000}"/>
    <cellStyle name="Normal 3 2 3 2 5 2 2 3 2 2" xfId="29050" xr:uid="{00000000-0005-0000-0000-00009C250000}"/>
    <cellStyle name="Normal 3 2 3 2 5 2 2 3 2 2 2" xfId="60921" xr:uid="{00000000-0005-0000-0000-00009D250000}"/>
    <cellStyle name="Normal 3 2 3 2 5 2 2 3 2 3" xfId="34558" xr:uid="{00000000-0005-0000-0000-00009E250000}"/>
    <cellStyle name="Normal 3 2 3 2 5 2 2 3 3" xfId="21172" xr:uid="{00000000-0005-0000-0000-00009F250000}"/>
    <cellStyle name="Normal 3 2 3 2 5 2 2 3 3 2" xfId="53043" xr:uid="{00000000-0005-0000-0000-0000A0250000}"/>
    <cellStyle name="Normal 3 2 3 2 5 2 2 3 4" xfId="34557" xr:uid="{00000000-0005-0000-0000-0000A1250000}"/>
    <cellStyle name="Normal 3 2 3 2 5 2 2 4" xfId="2680" xr:uid="{00000000-0005-0000-0000-0000A2250000}"/>
    <cellStyle name="Normal 3 2 3 2 5 2 2 4 2" xfId="25111" xr:uid="{00000000-0005-0000-0000-0000A3250000}"/>
    <cellStyle name="Normal 3 2 3 2 5 2 2 4 2 2" xfId="56982" xr:uid="{00000000-0005-0000-0000-0000A4250000}"/>
    <cellStyle name="Normal 3 2 3 2 5 2 2 4 3" xfId="34559" xr:uid="{00000000-0005-0000-0000-0000A5250000}"/>
    <cellStyle name="Normal 3 2 3 2 5 2 2 5" xfId="17233" xr:uid="{00000000-0005-0000-0000-0000A6250000}"/>
    <cellStyle name="Normal 3 2 3 2 5 2 2 5 2" xfId="49104" xr:uid="{00000000-0005-0000-0000-0000A7250000}"/>
    <cellStyle name="Normal 3 2 3 2 5 2 2 6" xfId="34552" xr:uid="{00000000-0005-0000-0000-0000A8250000}"/>
    <cellStyle name="Normal 3 2 3 2 5 2 3" xfId="2681" xr:uid="{00000000-0005-0000-0000-0000A9250000}"/>
    <cellStyle name="Normal 3 2 3 2 5 2 3 2" xfId="2682" xr:uid="{00000000-0005-0000-0000-0000AA250000}"/>
    <cellStyle name="Normal 3 2 3 2 5 2 3 2 2" xfId="2683" xr:uid="{00000000-0005-0000-0000-0000AB250000}"/>
    <cellStyle name="Normal 3 2 3 2 5 2 3 2 2 2" xfId="29052" xr:uid="{00000000-0005-0000-0000-0000AC250000}"/>
    <cellStyle name="Normal 3 2 3 2 5 2 3 2 2 2 2" xfId="60923" xr:uid="{00000000-0005-0000-0000-0000AD250000}"/>
    <cellStyle name="Normal 3 2 3 2 5 2 3 2 2 3" xfId="34562" xr:uid="{00000000-0005-0000-0000-0000AE250000}"/>
    <cellStyle name="Normal 3 2 3 2 5 2 3 2 3" xfId="21174" xr:uid="{00000000-0005-0000-0000-0000AF250000}"/>
    <cellStyle name="Normal 3 2 3 2 5 2 3 2 3 2" xfId="53045" xr:uid="{00000000-0005-0000-0000-0000B0250000}"/>
    <cellStyle name="Normal 3 2 3 2 5 2 3 2 4" xfId="34561" xr:uid="{00000000-0005-0000-0000-0000B1250000}"/>
    <cellStyle name="Normal 3 2 3 2 5 2 3 3" xfId="2684" xr:uid="{00000000-0005-0000-0000-0000B2250000}"/>
    <cellStyle name="Normal 3 2 3 2 5 2 3 3 2" xfId="25113" xr:uid="{00000000-0005-0000-0000-0000B3250000}"/>
    <cellStyle name="Normal 3 2 3 2 5 2 3 3 2 2" xfId="56984" xr:uid="{00000000-0005-0000-0000-0000B4250000}"/>
    <cellStyle name="Normal 3 2 3 2 5 2 3 3 3" xfId="34563" xr:uid="{00000000-0005-0000-0000-0000B5250000}"/>
    <cellStyle name="Normal 3 2 3 2 5 2 3 4" xfId="17235" xr:uid="{00000000-0005-0000-0000-0000B6250000}"/>
    <cellStyle name="Normal 3 2 3 2 5 2 3 4 2" xfId="49106" xr:uid="{00000000-0005-0000-0000-0000B7250000}"/>
    <cellStyle name="Normal 3 2 3 2 5 2 3 5" xfId="34560" xr:uid="{00000000-0005-0000-0000-0000B8250000}"/>
    <cellStyle name="Normal 3 2 3 2 5 2 4" xfId="2685" xr:uid="{00000000-0005-0000-0000-0000B9250000}"/>
    <cellStyle name="Normal 3 2 3 2 5 2 4 2" xfId="2686" xr:uid="{00000000-0005-0000-0000-0000BA250000}"/>
    <cellStyle name="Normal 3 2 3 2 5 2 4 2 2" xfId="29049" xr:uid="{00000000-0005-0000-0000-0000BB250000}"/>
    <cellStyle name="Normal 3 2 3 2 5 2 4 2 2 2" xfId="60920" xr:uid="{00000000-0005-0000-0000-0000BC250000}"/>
    <cellStyle name="Normal 3 2 3 2 5 2 4 2 3" xfId="34565" xr:uid="{00000000-0005-0000-0000-0000BD250000}"/>
    <cellStyle name="Normal 3 2 3 2 5 2 4 3" xfId="21171" xr:uid="{00000000-0005-0000-0000-0000BE250000}"/>
    <cellStyle name="Normal 3 2 3 2 5 2 4 3 2" xfId="53042" xr:uid="{00000000-0005-0000-0000-0000BF250000}"/>
    <cellStyle name="Normal 3 2 3 2 5 2 4 4" xfId="34564" xr:uid="{00000000-0005-0000-0000-0000C0250000}"/>
    <cellStyle name="Normal 3 2 3 2 5 2 5" xfId="2687" xr:uid="{00000000-0005-0000-0000-0000C1250000}"/>
    <cellStyle name="Normal 3 2 3 2 5 2 5 2" xfId="25110" xr:uid="{00000000-0005-0000-0000-0000C2250000}"/>
    <cellStyle name="Normal 3 2 3 2 5 2 5 2 2" xfId="56981" xr:uid="{00000000-0005-0000-0000-0000C3250000}"/>
    <cellStyle name="Normal 3 2 3 2 5 2 5 3" xfId="34566" xr:uid="{00000000-0005-0000-0000-0000C4250000}"/>
    <cellStyle name="Normal 3 2 3 2 5 2 6" xfId="17232" xr:uid="{00000000-0005-0000-0000-0000C5250000}"/>
    <cellStyle name="Normal 3 2 3 2 5 2 6 2" xfId="49103" xr:uid="{00000000-0005-0000-0000-0000C6250000}"/>
    <cellStyle name="Normal 3 2 3 2 5 2 7" xfId="34551" xr:uid="{00000000-0005-0000-0000-0000C7250000}"/>
    <cellStyle name="Normal 3 2 3 2 5 3" xfId="2688" xr:uid="{00000000-0005-0000-0000-0000C8250000}"/>
    <cellStyle name="Normal 3 2 3 2 5 3 2" xfId="2689" xr:uid="{00000000-0005-0000-0000-0000C9250000}"/>
    <cellStyle name="Normal 3 2 3 2 5 3 2 2" xfId="2690" xr:uid="{00000000-0005-0000-0000-0000CA250000}"/>
    <cellStyle name="Normal 3 2 3 2 5 3 2 2 2" xfId="2691" xr:uid="{00000000-0005-0000-0000-0000CB250000}"/>
    <cellStyle name="Normal 3 2 3 2 5 3 2 2 2 2" xfId="29054" xr:uid="{00000000-0005-0000-0000-0000CC250000}"/>
    <cellStyle name="Normal 3 2 3 2 5 3 2 2 2 2 2" xfId="60925" xr:uid="{00000000-0005-0000-0000-0000CD250000}"/>
    <cellStyle name="Normal 3 2 3 2 5 3 2 2 2 3" xfId="34570" xr:uid="{00000000-0005-0000-0000-0000CE250000}"/>
    <cellStyle name="Normal 3 2 3 2 5 3 2 2 3" xfId="21176" xr:uid="{00000000-0005-0000-0000-0000CF250000}"/>
    <cellStyle name="Normal 3 2 3 2 5 3 2 2 3 2" xfId="53047" xr:uid="{00000000-0005-0000-0000-0000D0250000}"/>
    <cellStyle name="Normal 3 2 3 2 5 3 2 2 4" xfId="34569" xr:uid="{00000000-0005-0000-0000-0000D1250000}"/>
    <cellStyle name="Normal 3 2 3 2 5 3 2 3" xfId="2692" xr:uid="{00000000-0005-0000-0000-0000D2250000}"/>
    <cellStyle name="Normal 3 2 3 2 5 3 2 3 2" xfId="25115" xr:uid="{00000000-0005-0000-0000-0000D3250000}"/>
    <cellStyle name="Normal 3 2 3 2 5 3 2 3 2 2" xfId="56986" xr:uid="{00000000-0005-0000-0000-0000D4250000}"/>
    <cellStyle name="Normal 3 2 3 2 5 3 2 3 3" xfId="34571" xr:uid="{00000000-0005-0000-0000-0000D5250000}"/>
    <cellStyle name="Normal 3 2 3 2 5 3 2 4" xfId="17237" xr:uid="{00000000-0005-0000-0000-0000D6250000}"/>
    <cellStyle name="Normal 3 2 3 2 5 3 2 4 2" xfId="49108" xr:uid="{00000000-0005-0000-0000-0000D7250000}"/>
    <cellStyle name="Normal 3 2 3 2 5 3 2 5" xfId="34568" xr:uid="{00000000-0005-0000-0000-0000D8250000}"/>
    <cellStyle name="Normal 3 2 3 2 5 3 3" xfId="2693" xr:uid="{00000000-0005-0000-0000-0000D9250000}"/>
    <cellStyle name="Normal 3 2 3 2 5 3 3 2" xfId="2694" xr:uid="{00000000-0005-0000-0000-0000DA250000}"/>
    <cellStyle name="Normal 3 2 3 2 5 3 3 2 2" xfId="29053" xr:uid="{00000000-0005-0000-0000-0000DB250000}"/>
    <cellStyle name="Normal 3 2 3 2 5 3 3 2 2 2" xfId="60924" xr:uid="{00000000-0005-0000-0000-0000DC250000}"/>
    <cellStyle name="Normal 3 2 3 2 5 3 3 2 3" xfId="34573" xr:uid="{00000000-0005-0000-0000-0000DD250000}"/>
    <cellStyle name="Normal 3 2 3 2 5 3 3 3" xfId="21175" xr:uid="{00000000-0005-0000-0000-0000DE250000}"/>
    <cellStyle name="Normal 3 2 3 2 5 3 3 3 2" xfId="53046" xr:uid="{00000000-0005-0000-0000-0000DF250000}"/>
    <cellStyle name="Normal 3 2 3 2 5 3 3 4" xfId="34572" xr:uid="{00000000-0005-0000-0000-0000E0250000}"/>
    <cellStyle name="Normal 3 2 3 2 5 3 4" xfId="2695" xr:uid="{00000000-0005-0000-0000-0000E1250000}"/>
    <cellStyle name="Normal 3 2 3 2 5 3 4 2" xfId="25114" xr:uid="{00000000-0005-0000-0000-0000E2250000}"/>
    <cellStyle name="Normal 3 2 3 2 5 3 4 2 2" xfId="56985" xr:uid="{00000000-0005-0000-0000-0000E3250000}"/>
    <cellStyle name="Normal 3 2 3 2 5 3 4 3" xfId="34574" xr:uid="{00000000-0005-0000-0000-0000E4250000}"/>
    <cellStyle name="Normal 3 2 3 2 5 3 5" xfId="17236" xr:uid="{00000000-0005-0000-0000-0000E5250000}"/>
    <cellStyle name="Normal 3 2 3 2 5 3 5 2" xfId="49107" xr:uid="{00000000-0005-0000-0000-0000E6250000}"/>
    <cellStyle name="Normal 3 2 3 2 5 3 6" xfId="34567" xr:uid="{00000000-0005-0000-0000-0000E7250000}"/>
    <cellStyle name="Normal 3 2 3 2 5 4" xfId="2696" xr:uid="{00000000-0005-0000-0000-0000E8250000}"/>
    <cellStyle name="Normal 3 2 3 2 5 4 2" xfId="2697" xr:uid="{00000000-0005-0000-0000-0000E9250000}"/>
    <cellStyle name="Normal 3 2 3 2 5 4 2 2" xfId="2698" xr:uid="{00000000-0005-0000-0000-0000EA250000}"/>
    <cellStyle name="Normal 3 2 3 2 5 4 2 2 2" xfId="29055" xr:uid="{00000000-0005-0000-0000-0000EB250000}"/>
    <cellStyle name="Normal 3 2 3 2 5 4 2 2 2 2" xfId="60926" xr:uid="{00000000-0005-0000-0000-0000EC250000}"/>
    <cellStyle name="Normal 3 2 3 2 5 4 2 2 3" xfId="34577" xr:uid="{00000000-0005-0000-0000-0000ED250000}"/>
    <cellStyle name="Normal 3 2 3 2 5 4 2 3" xfId="21177" xr:uid="{00000000-0005-0000-0000-0000EE250000}"/>
    <cellStyle name="Normal 3 2 3 2 5 4 2 3 2" xfId="53048" xr:uid="{00000000-0005-0000-0000-0000EF250000}"/>
    <cellStyle name="Normal 3 2 3 2 5 4 2 4" xfId="34576" xr:uid="{00000000-0005-0000-0000-0000F0250000}"/>
    <cellStyle name="Normal 3 2 3 2 5 4 3" xfId="2699" xr:uid="{00000000-0005-0000-0000-0000F1250000}"/>
    <cellStyle name="Normal 3 2 3 2 5 4 3 2" xfId="25116" xr:uid="{00000000-0005-0000-0000-0000F2250000}"/>
    <cellStyle name="Normal 3 2 3 2 5 4 3 2 2" xfId="56987" xr:uid="{00000000-0005-0000-0000-0000F3250000}"/>
    <cellStyle name="Normal 3 2 3 2 5 4 3 3" xfId="34578" xr:uid="{00000000-0005-0000-0000-0000F4250000}"/>
    <cellStyle name="Normal 3 2 3 2 5 4 4" xfId="17238" xr:uid="{00000000-0005-0000-0000-0000F5250000}"/>
    <cellStyle name="Normal 3 2 3 2 5 4 4 2" xfId="49109" xr:uid="{00000000-0005-0000-0000-0000F6250000}"/>
    <cellStyle name="Normal 3 2 3 2 5 4 5" xfId="34575" xr:uid="{00000000-0005-0000-0000-0000F7250000}"/>
    <cellStyle name="Normal 3 2 3 2 5 5" xfId="2700" xr:uid="{00000000-0005-0000-0000-0000F8250000}"/>
    <cellStyle name="Normal 3 2 3 2 5 5 2" xfId="2701" xr:uid="{00000000-0005-0000-0000-0000F9250000}"/>
    <cellStyle name="Normal 3 2 3 2 5 5 2 2" xfId="29048" xr:uid="{00000000-0005-0000-0000-0000FA250000}"/>
    <cellStyle name="Normal 3 2 3 2 5 5 2 2 2" xfId="60919" xr:uid="{00000000-0005-0000-0000-0000FB250000}"/>
    <cellStyle name="Normal 3 2 3 2 5 5 2 3" xfId="34580" xr:uid="{00000000-0005-0000-0000-0000FC250000}"/>
    <cellStyle name="Normal 3 2 3 2 5 5 3" xfId="21170" xr:uid="{00000000-0005-0000-0000-0000FD250000}"/>
    <cellStyle name="Normal 3 2 3 2 5 5 3 2" xfId="53041" xr:uid="{00000000-0005-0000-0000-0000FE250000}"/>
    <cellStyle name="Normal 3 2 3 2 5 5 4" xfId="34579" xr:uid="{00000000-0005-0000-0000-0000FF250000}"/>
    <cellStyle name="Normal 3 2 3 2 5 6" xfId="2702" xr:uid="{00000000-0005-0000-0000-000000260000}"/>
    <cellStyle name="Normal 3 2 3 2 5 6 2" xfId="25109" xr:uid="{00000000-0005-0000-0000-000001260000}"/>
    <cellStyle name="Normal 3 2 3 2 5 6 2 2" xfId="56980" xr:uid="{00000000-0005-0000-0000-000002260000}"/>
    <cellStyle name="Normal 3 2 3 2 5 6 3" xfId="34581" xr:uid="{00000000-0005-0000-0000-000003260000}"/>
    <cellStyle name="Normal 3 2 3 2 5 7" xfId="17231" xr:uid="{00000000-0005-0000-0000-000004260000}"/>
    <cellStyle name="Normal 3 2 3 2 5 7 2" xfId="49102" xr:uid="{00000000-0005-0000-0000-000005260000}"/>
    <cellStyle name="Normal 3 2 3 2 5 8" xfId="34550" xr:uid="{00000000-0005-0000-0000-000006260000}"/>
    <cellStyle name="Normal 3 2 3 2 6" xfId="2703" xr:uid="{00000000-0005-0000-0000-000007260000}"/>
    <cellStyle name="Normal 3 2 3 2 6 2" xfId="2704" xr:uid="{00000000-0005-0000-0000-000008260000}"/>
    <cellStyle name="Normal 3 2 3 2 6 2 2" xfId="2705" xr:uid="{00000000-0005-0000-0000-000009260000}"/>
    <cellStyle name="Normal 3 2 3 2 6 2 2 2" xfId="2706" xr:uid="{00000000-0005-0000-0000-00000A260000}"/>
    <cellStyle name="Normal 3 2 3 2 6 2 2 2 2" xfId="2707" xr:uid="{00000000-0005-0000-0000-00000B260000}"/>
    <cellStyle name="Normal 3 2 3 2 6 2 2 2 2 2" xfId="29058" xr:uid="{00000000-0005-0000-0000-00000C260000}"/>
    <cellStyle name="Normal 3 2 3 2 6 2 2 2 2 2 2" xfId="60929" xr:uid="{00000000-0005-0000-0000-00000D260000}"/>
    <cellStyle name="Normal 3 2 3 2 6 2 2 2 2 3" xfId="34586" xr:uid="{00000000-0005-0000-0000-00000E260000}"/>
    <cellStyle name="Normal 3 2 3 2 6 2 2 2 3" xfId="21180" xr:uid="{00000000-0005-0000-0000-00000F260000}"/>
    <cellStyle name="Normal 3 2 3 2 6 2 2 2 3 2" xfId="53051" xr:uid="{00000000-0005-0000-0000-000010260000}"/>
    <cellStyle name="Normal 3 2 3 2 6 2 2 2 4" xfId="34585" xr:uid="{00000000-0005-0000-0000-000011260000}"/>
    <cellStyle name="Normal 3 2 3 2 6 2 2 3" xfId="2708" xr:uid="{00000000-0005-0000-0000-000012260000}"/>
    <cellStyle name="Normal 3 2 3 2 6 2 2 3 2" xfId="25119" xr:uid="{00000000-0005-0000-0000-000013260000}"/>
    <cellStyle name="Normal 3 2 3 2 6 2 2 3 2 2" xfId="56990" xr:uid="{00000000-0005-0000-0000-000014260000}"/>
    <cellStyle name="Normal 3 2 3 2 6 2 2 3 3" xfId="34587" xr:uid="{00000000-0005-0000-0000-000015260000}"/>
    <cellStyle name="Normal 3 2 3 2 6 2 2 4" xfId="17241" xr:uid="{00000000-0005-0000-0000-000016260000}"/>
    <cellStyle name="Normal 3 2 3 2 6 2 2 4 2" xfId="49112" xr:uid="{00000000-0005-0000-0000-000017260000}"/>
    <cellStyle name="Normal 3 2 3 2 6 2 2 5" xfId="34584" xr:uid="{00000000-0005-0000-0000-000018260000}"/>
    <cellStyle name="Normal 3 2 3 2 6 2 3" xfId="2709" xr:uid="{00000000-0005-0000-0000-000019260000}"/>
    <cellStyle name="Normal 3 2 3 2 6 2 3 2" xfId="2710" xr:uid="{00000000-0005-0000-0000-00001A260000}"/>
    <cellStyle name="Normal 3 2 3 2 6 2 3 2 2" xfId="29057" xr:uid="{00000000-0005-0000-0000-00001B260000}"/>
    <cellStyle name="Normal 3 2 3 2 6 2 3 2 2 2" xfId="60928" xr:uid="{00000000-0005-0000-0000-00001C260000}"/>
    <cellStyle name="Normal 3 2 3 2 6 2 3 2 3" xfId="34589" xr:uid="{00000000-0005-0000-0000-00001D260000}"/>
    <cellStyle name="Normal 3 2 3 2 6 2 3 3" xfId="21179" xr:uid="{00000000-0005-0000-0000-00001E260000}"/>
    <cellStyle name="Normal 3 2 3 2 6 2 3 3 2" xfId="53050" xr:uid="{00000000-0005-0000-0000-00001F260000}"/>
    <cellStyle name="Normal 3 2 3 2 6 2 3 4" xfId="34588" xr:uid="{00000000-0005-0000-0000-000020260000}"/>
    <cellStyle name="Normal 3 2 3 2 6 2 4" xfId="2711" xr:uid="{00000000-0005-0000-0000-000021260000}"/>
    <cellStyle name="Normal 3 2 3 2 6 2 4 2" xfId="25118" xr:uid="{00000000-0005-0000-0000-000022260000}"/>
    <cellStyle name="Normal 3 2 3 2 6 2 4 2 2" xfId="56989" xr:uid="{00000000-0005-0000-0000-000023260000}"/>
    <cellStyle name="Normal 3 2 3 2 6 2 4 3" xfId="34590" xr:uid="{00000000-0005-0000-0000-000024260000}"/>
    <cellStyle name="Normal 3 2 3 2 6 2 5" xfId="17240" xr:uid="{00000000-0005-0000-0000-000025260000}"/>
    <cellStyle name="Normal 3 2 3 2 6 2 5 2" xfId="49111" xr:uid="{00000000-0005-0000-0000-000026260000}"/>
    <cellStyle name="Normal 3 2 3 2 6 2 6" xfId="34583" xr:uid="{00000000-0005-0000-0000-000027260000}"/>
    <cellStyle name="Normal 3 2 3 2 6 3" xfId="2712" xr:uid="{00000000-0005-0000-0000-000028260000}"/>
    <cellStyle name="Normal 3 2 3 2 6 3 2" xfId="2713" xr:uid="{00000000-0005-0000-0000-000029260000}"/>
    <cellStyle name="Normal 3 2 3 2 6 3 2 2" xfId="2714" xr:uid="{00000000-0005-0000-0000-00002A260000}"/>
    <cellStyle name="Normal 3 2 3 2 6 3 2 2 2" xfId="29059" xr:uid="{00000000-0005-0000-0000-00002B260000}"/>
    <cellStyle name="Normal 3 2 3 2 6 3 2 2 2 2" xfId="60930" xr:uid="{00000000-0005-0000-0000-00002C260000}"/>
    <cellStyle name="Normal 3 2 3 2 6 3 2 2 3" xfId="34593" xr:uid="{00000000-0005-0000-0000-00002D260000}"/>
    <cellStyle name="Normal 3 2 3 2 6 3 2 3" xfId="21181" xr:uid="{00000000-0005-0000-0000-00002E260000}"/>
    <cellStyle name="Normal 3 2 3 2 6 3 2 3 2" xfId="53052" xr:uid="{00000000-0005-0000-0000-00002F260000}"/>
    <cellStyle name="Normal 3 2 3 2 6 3 2 4" xfId="34592" xr:uid="{00000000-0005-0000-0000-000030260000}"/>
    <cellStyle name="Normal 3 2 3 2 6 3 3" xfId="2715" xr:uid="{00000000-0005-0000-0000-000031260000}"/>
    <cellStyle name="Normal 3 2 3 2 6 3 3 2" xfId="25120" xr:uid="{00000000-0005-0000-0000-000032260000}"/>
    <cellStyle name="Normal 3 2 3 2 6 3 3 2 2" xfId="56991" xr:uid="{00000000-0005-0000-0000-000033260000}"/>
    <cellStyle name="Normal 3 2 3 2 6 3 3 3" xfId="34594" xr:uid="{00000000-0005-0000-0000-000034260000}"/>
    <cellStyle name="Normal 3 2 3 2 6 3 4" xfId="17242" xr:uid="{00000000-0005-0000-0000-000035260000}"/>
    <cellStyle name="Normal 3 2 3 2 6 3 4 2" xfId="49113" xr:uid="{00000000-0005-0000-0000-000036260000}"/>
    <cellStyle name="Normal 3 2 3 2 6 3 5" xfId="34591" xr:uid="{00000000-0005-0000-0000-000037260000}"/>
    <cellStyle name="Normal 3 2 3 2 6 4" xfId="2716" xr:uid="{00000000-0005-0000-0000-000038260000}"/>
    <cellStyle name="Normal 3 2 3 2 6 4 2" xfId="2717" xr:uid="{00000000-0005-0000-0000-000039260000}"/>
    <cellStyle name="Normal 3 2 3 2 6 4 2 2" xfId="29056" xr:uid="{00000000-0005-0000-0000-00003A260000}"/>
    <cellStyle name="Normal 3 2 3 2 6 4 2 2 2" xfId="60927" xr:uid="{00000000-0005-0000-0000-00003B260000}"/>
    <cellStyle name="Normal 3 2 3 2 6 4 2 3" xfId="34596" xr:uid="{00000000-0005-0000-0000-00003C260000}"/>
    <cellStyle name="Normal 3 2 3 2 6 4 3" xfId="21178" xr:uid="{00000000-0005-0000-0000-00003D260000}"/>
    <cellStyle name="Normal 3 2 3 2 6 4 3 2" xfId="53049" xr:uid="{00000000-0005-0000-0000-00003E260000}"/>
    <cellStyle name="Normal 3 2 3 2 6 4 4" xfId="34595" xr:uid="{00000000-0005-0000-0000-00003F260000}"/>
    <cellStyle name="Normal 3 2 3 2 6 5" xfId="2718" xr:uid="{00000000-0005-0000-0000-000040260000}"/>
    <cellStyle name="Normal 3 2 3 2 6 5 2" xfId="25117" xr:uid="{00000000-0005-0000-0000-000041260000}"/>
    <cellStyle name="Normal 3 2 3 2 6 5 2 2" xfId="56988" xr:uid="{00000000-0005-0000-0000-000042260000}"/>
    <cellStyle name="Normal 3 2 3 2 6 5 3" xfId="34597" xr:uid="{00000000-0005-0000-0000-000043260000}"/>
    <cellStyle name="Normal 3 2 3 2 6 6" xfId="17239" xr:uid="{00000000-0005-0000-0000-000044260000}"/>
    <cellStyle name="Normal 3 2 3 2 6 6 2" xfId="49110" xr:uid="{00000000-0005-0000-0000-000045260000}"/>
    <cellStyle name="Normal 3 2 3 2 6 7" xfId="34582" xr:uid="{00000000-0005-0000-0000-000046260000}"/>
    <cellStyle name="Normal 3 2 3 2 7" xfId="2719" xr:uid="{00000000-0005-0000-0000-000047260000}"/>
    <cellStyle name="Normal 3 2 3 2 7 2" xfId="2720" xr:uid="{00000000-0005-0000-0000-000048260000}"/>
    <cellStyle name="Normal 3 2 3 2 7 2 2" xfId="2721" xr:uid="{00000000-0005-0000-0000-000049260000}"/>
    <cellStyle name="Normal 3 2 3 2 7 2 2 2" xfId="2722" xr:uid="{00000000-0005-0000-0000-00004A260000}"/>
    <cellStyle name="Normal 3 2 3 2 7 2 2 2 2" xfId="29061" xr:uid="{00000000-0005-0000-0000-00004B260000}"/>
    <cellStyle name="Normal 3 2 3 2 7 2 2 2 2 2" xfId="60932" xr:uid="{00000000-0005-0000-0000-00004C260000}"/>
    <cellStyle name="Normal 3 2 3 2 7 2 2 2 3" xfId="34601" xr:uid="{00000000-0005-0000-0000-00004D260000}"/>
    <cellStyle name="Normal 3 2 3 2 7 2 2 3" xfId="21183" xr:uid="{00000000-0005-0000-0000-00004E260000}"/>
    <cellStyle name="Normal 3 2 3 2 7 2 2 3 2" xfId="53054" xr:uid="{00000000-0005-0000-0000-00004F260000}"/>
    <cellStyle name="Normal 3 2 3 2 7 2 2 4" xfId="34600" xr:uid="{00000000-0005-0000-0000-000050260000}"/>
    <cellStyle name="Normal 3 2 3 2 7 2 3" xfId="2723" xr:uid="{00000000-0005-0000-0000-000051260000}"/>
    <cellStyle name="Normal 3 2 3 2 7 2 3 2" xfId="25122" xr:uid="{00000000-0005-0000-0000-000052260000}"/>
    <cellStyle name="Normal 3 2 3 2 7 2 3 2 2" xfId="56993" xr:uid="{00000000-0005-0000-0000-000053260000}"/>
    <cellStyle name="Normal 3 2 3 2 7 2 3 3" xfId="34602" xr:uid="{00000000-0005-0000-0000-000054260000}"/>
    <cellStyle name="Normal 3 2 3 2 7 2 4" xfId="17244" xr:uid="{00000000-0005-0000-0000-000055260000}"/>
    <cellStyle name="Normal 3 2 3 2 7 2 4 2" xfId="49115" xr:uid="{00000000-0005-0000-0000-000056260000}"/>
    <cellStyle name="Normal 3 2 3 2 7 2 5" xfId="34599" xr:uid="{00000000-0005-0000-0000-000057260000}"/>
    <cellStyle name="Normal 3 2 3 2 7 3" xfId="2724" xr:uid="{00000000-0005-0000-0000-000058260000}"/>
    <cellStyle name="Normal 3 2 3 2 7 3 2" xfId="2725" xr:uid="{00000000-0005-0000-0000-000059260000}"/>
    <cellStyle name="Normal 3 2 3 2 7 3 2 2" xfId="29060" xr:uid="{00000000-0005-0000-0000-00005A260000}"/>
    <cellStyle name="Normal 3 2 3 2 7 3 2 2 2" xfId="60931" xr:uid="{00000000-0005-0000-0000-00005B260000}"/>
    <cellStyle name="Normal 3 2 3 2 7 3 2 3" xfId="34604" xr:uid="{00000000-0005-0000-0000-00005C260000}"/>
    <cellStyle name="Normal 3 2 3 2 7 3 3" xfId="21182" xr:uid="{00000000-0005-0000-0000-00005D260000}"/>
    <cellStyle name="Normal 3 2 3 2 7 3 3 2" xfId="53053" xr:uid="{00000000-0005-0000-0000-00005E260000}"/>
    <cellStyle name="Normal 3 2 3 2 7 3 4" xfId="34603" xr:uid="{00000000-0005-0000-0000-00005F260000}"/>
    <cellStyle name="Normal 3 2 3 2 7 4" xfId="2726" xr:uid="{00000000-0005-0000-0000-000060260000}"/>
    <cellStyle name="Normal 3 2 3 2 7 4 2" xfId="25121" xr:uid="{00000000-0005-0000-0000-000061260000}"/>
    <cellStyle name="Normal 3 2 3 2 7 4 2 2" xfId="56992" xr:uid="{00000000-0005-0000-0000-000062260000}"/>
    <cellStyle name="Normal 3 2 3 2 7 4 3" xfId="34605" xr:uid="{00000000-0005-0000-0000-000063260000}"/>
    <cellStyle name="Normal 3 2 3 2 7 5" xfId="17243" xr:uid="{00000000-0005-0000-0000-000064260000}"/>
    <cellStyle name="Normal 3 2 3 2 7 5 2" xfId="49114" xr:uid="{00000000-0005-0000-0000-000065260000}"/>
    <cellStyle name="Normal 3 2 3 2 7 6" xfId="34598" xr:uid="{00000000-0005-0000-0000-000066260000}"/>
    <cellStyle name="Normal 3 2 3 2 8" xfId="2727" xr:uid="{00000000-0005-0000-0000-000067260000}"/>
    <cellStyle name="Normal 3 2 3 2 8 2" xfId="2728" xr:uid="{00000000-0005-0000-0000-000068260000}"/>
    <cellStyle name="Normal 3 2 3 2 8 2 2" xfId="2729" xr:uid="{00000000-0005-0000-0000-000069260000}"/>
    <cellStyle name="Normal 3 2 3 2 8 2 2 2" xfId="29062" xr:uid="{00000000-0005-0000-0000-00006A260000}"/>
    <cellStyle name="Normal 3 2 3 2 8 2 2 2 2" xfId="60933" xr:uid="{00000000-0005-0000-0000-00006B260000}"/>
    <cellStyle name="Normal 3 2 3 2 8 2 2 3" xfId="34608" xr:uid="{00000000-0005-0000-0000-00006C260000}"/>
    <cellStyle name="Normal 3 2 3 2 8 2 3" xfId="21184" xr:uid="{00000000-0005-0000-0000-00006D260000}"/>
    <cellStyle name="Normal 3 2 3 2 8 2 3 2" xfId="53055" xr:uid="{00000000-0005-0000-0000-00006E260000}"/>
    <cellStyle name="Normal 3 2 3 2 8 2 4" xfId="34607" xr:uid="{00000000-0005-0000-0000-00006F260000}"/>
    <cellStyle name="Normal 3 2 3 2 8 3" xfId="2730" xr:uid="{00000000-0005-0000-0000-000070260000}"/>
    <cellStyle name="Normal 3 2 3 2 8 3 2" xfId="25123" xr:uid="{00000000-0005-0000-0000-000071260000}"/>
    <cellStyle name="Normal 3 2 3 2 8 3 2 2" xfId="56994" xr:uid="{00000000-0005-0000-0000-000072260000}"/>
    <cellStyle name="Normal 3 2 3 2 8 3 3" xfId="34609" xr:uid="{00000000-0005-0000-0000-000073260000}"/>
    <cellStyle name="Normal 3 2 3 2 8 4" xfId="17245" xr:uid="{00000000-0005-0000-0000-000074260000}"/>
    <cellStyle name="Normal 3 2 3 2 8 4 2" xfId="49116" xr:uid="{00000000-0005-0000-0000-000075260000}"/>
    <cellStyle name="Normal 3 2 3 2 8 5" xfId="34606" xr:uid="{00000000-0005-0000-0000-000076260000}"/>
    <cellStyle name="Normal 3 2 3 2 9" xfId="2731" xr:uid="{00000000-0005-0000-0000-000077260000}"/>
    <cellStyle name="Normal 3 2 3 2 9 2" xfId="2732" xr:uid="{00000000-0005-0000-0000-000078260000}"/>
    <cellStyle name="Normal 3 2 3 2 9 2 2" xfId="28284" xr:uid="{00000000-0005-0000-0000-000079260000}"/>
    <cellStyle name="Normal 3 2 3 2 9 2 2 2" xfId="60155" xr:uid="{00000000-0005-0000-0000-00007A260000}"/>
    <cellStyle name="Normal 3 2 3 2 9 2 3" xfId="34611" xr:uid="{00000000-0005-0000-0000-00007B260000}"/>
    <cellStyle name="Normal 3 2 3 2 9 3" xfId="20406" xr:uid="{00000000-0005-0000-0000-00007C260000}"/>
    <cellStyle name="Normal 3 2 3 2 9 3 2" xfId="52277" xr:uid="{00000000-0005-0000-0000-00007D260000}"/>
    <cellStyle name="Normal 3 2 3 2 9 4" xfId="34610" xr:uid="{00000000-0005-0000-0000-00007E260000}"/>
    <cellStyle name="Normal 3 2 3 3" xfId="2733" xr:uid="{00000000-0005-0000-0000-00007F260000}"/>
    <cellStyle name="Normal 3 2 3 3 10" xfId="34612" xr:uid="{00000000-0005-0000-0000-000080260000}"/>
    <cellStyle name="Normal 3 2 3 3 2" xfId="2734" xr:uid="{00000000-0005-0000-0000-000081260000}"/>
    <cellStyle name="Normal 3 2 3 3 2 2" xfId="2735" xr:uid="{00000000-0005-0000-0000-000082260000}"/>
    <cellStyle name="Normal 3 2 3 3 2 2 2" xfId="2736" xr:uid="{00000000-0005-0000-0000-000083260000}"/>
    <cellStyle name="Normal 3 2 3 3 2 2 2 2" xfId="2737" xr:uid="{00000000-0005-0000-0000-000084260000}"/>
    <cellStyle name="Normal 3 2 3 3 2 2 2 2 2" xfId="2738" xr:uid="{00000000-0005-0000-0000-000085260000}"/>
    <cellStyle name="Normal 3 2 3 3 2 2 2 2 2 2" xfId="2739" xr:uid="{00000000-0005-0000-0000-000086260000}"/>
    <cellStyle name="Normal 3 2 3 3 2 2 2 2 2 2 2" xfId="2740" xr:uid="{00000000-0005-0000-0000-000087260000}"/>
    <cellStyle name="Normal 3 2 3 3 2 2 2 2 2 2 2 2" xfId="29066" xr:uid="{00000000-0005-0000-0000-000088260000}"/>
    <cellStyle name="Normal 3 2 3 3 2 2 2 2 2 2 2 2 2" xfId="60937" xr:uid="{00000000-0005-0000-0000-000089260000}"/>
    <cellStyle name="Normal 3 2 3 3 2 2 2 2 2 2 2 3" xfId="34619" xr:uid="{00000000-0005-0000-0000-00008A260000}"/>
    <cellStyle name="Normal 3 2 3 3 2 2 2 2 2 2 3" xfId="21188" xr:uid="{00000000-0005-0000-0000-00008B260000}"/>
    <cellStyle name="Normal 3 2 3 3 2 2 2 2 2 2 3 2" xfId="53059" xr:uid="{00000000-0005-0000-0000-00008C260000}"/>
    <cellStyle name="Normal 3 2 3 3 2 2 2 2 2 2 4" xfId="34618" xr:uid="{00000000-0005-0000-0000-00008D260000}"/>
    <cellStyle name="Normal 3 2 3 3 2 2 2 2 2 3" xfId="2741" xr:uid="{00000000-0005-0000-0000-00008E260000}"/>
    <cellStyle name="Normal 3 2 3 3 2 2 2 2 2 3 2" xfId="25127" xr:uid="{00000000-0005-0000-0000-00008F260000}"/>
    <cellStyle name="Normal 3 2 3 3 2 2 2 2 2 3 2 2" xfId="56998" xr:uid="{00000000-0005-0000-0000-000090260000}"/>
    <cellStyle name="Normal 3 2 3 3 2 2 2 2 2 3 3" xfId="34620" xr:uid="{00000000-0005-0000-0000-000091260000}"/>
    <cellStyle name="Normal 3 2 3 3 2 2 2 2 2 4" xfId="17249" xr:uid="{00000000-0005-0000-0000-000092260000}"/>
    <cellStyle name="Normal 3 2 3 3 2 2 2 2 2 4 2" xfId="49120" xr:uid="{00000000-0005-0000-0000-000093260000}"/>
    <cellStyle name="Normal 3 2 3 3 2 2 2 2 2 5" xfId="34617" xr:uid="{00000000-0005-0000-0000-000094260000}"/>
    <cellStyle name="Normal 3 2 3 3 2 2 2 2 3" xfId="2742" xr:uid="{00000000-0005-0000-0000-000095260000}"/>
    <cellStyle name="Normal 3 2 3 3 2 2 2 2 3 2" xfId="2743" xr:uid="{00000000-0005-0000-0000-000096260000}"/>
    <cellStyle name="Normal 3 2 3 3 2 2 2 2 3 2 2" xfId="29065" xr:uid="{00000000-0005-0000-0000-000097260000}"/>
    <cellStyle name="Normal 3 2 3 3 2 2 2 2 3 2 2 2" xfId="60936" xr:uid="{00000000-0005-0000-0000-000098260000}"/>
    <cellStyle name="Normal 3 2 3 3 2 2 2 2 3 2 3" xfId="34622" xr:uid="{00000000-0005-0000-0000-000099260000}"/>
    <cellStyle name="Normal 3 2 3 3 2 2 2 2 3 3" xfId="21187" xr:uid="{00000000-0005-0000-0000-00009A260000}"/>
    <cellStyle name="Normal 3 2 3 3 2 2 2 2 3 3 2" xfId="53058" xr:uid="{00000000-0005-0000-0000-00009B260000}"/>
    <cellStyle name="Normal 3 2 3 3 2 2 2 2 3 4" xfId="34621" xr:uid="{00000000-0005-0000-0000-00009C260000}"/>
    <cellStyle name="Normal 3 2 3 3 2 2 2 2 4" xfId="2744" xr:uid="{00000000-0005-0000-0000-00009D260000}"/>
    <cellStyle name="Normal 3 2 3 3 2 2 2 2 4 2" xfId="25126" xr:uid="{00000000-0005-0000-0000-00009E260000}"/>
    <cellStyle name="Normal 3 2 3 3 2 2 2 2 4 2 2" xfId="56997" xr:uid="{00000000-0005-0000-0000-00009F260000}"/>
    <cellStyle name="Normal 3 2 3 3 2 2 2 2 4 3" xfId="34623" xr:uid="{00000000-0005-0000-0000-0000A0260000}"/>
    <cellStyle name="Normal 3 2 3 3 2 2 2 2 5" xfId="17248" xr:uid="{00000000-0005-0000-0000-0000A1260000}"/>
    <cellStyle name="Normal 3 2 3 3 2 2 2 2 5 2" xfId="49119" xr:uid="{00000000-0005-0000-0000-0000A2260000}"/>
    <cellStyle name="Normal 3 2 3 3 2 2 2 2 6" xfId="34616" xr:uid="{00000000-0005-0000-0000-0000A3260000}"/>
    <cellStyle name="Normal 3 2 3 3 2 2 2 3" xfId="2745" xr:uid="{00000000-0005-0000-0000-0000A4260000}"/>
    <cellStyle name="Normal 3 2 3 3 2 2 2 3 2" xfId="2746" xr:uid="{00000000-0005-0000-0000-0000A5260000}"/>
    <cellStyle name="Normal 3 2 3 3 2 2 2 3 2 2" xfId="2747" xr:uid="{00000000-0005-0000-0000-0000A6260000}"/>
    <cellStyle name="Normal 3 2 3 3 2 2 2 3 2 2 2" xfId="29067" xr:uid="{00000000-0005-0000-0000-0000A7260000}"/>
    <cellStyle name="Normal 3 2 3 3 2 2 2 3 2 2 2 2" xfId="60938" xr:uid="{00000000-0005-0000-0000-0000A8260000}"/>
    <cellStyle name="Normal 3 2 3 3 2 2 2 3 2 2 3" xfId="34626" xr:uid="{00000000-0005-0000-0000-0000A9260000}"/>
    <cellStyle name="Normal 3 2 3 3 2 2 2 3 2 3" xfId="21189" xr:uid="{00000000-0005-0000-0000-0000AA260000}"/>
    <cellStyle name="Normal 3 2 3 3 2 2 2 3 2 3 2" xfId="53060" xr:uid="{00000000-0005-0000-0000-0000AB260000}"/>
    <cellStyle name="Normal 3 2 3 3 2 2 2 3 2 4" xfId="34625" xr:uid="{00000000-0005-0000-0000-0000AC260000}"/>
    <cellStyle name="Normal 3 2 3 3 2 2 2 3 3" xfId="2748" xr:uid="{00000000-0005-0000-0000-0000AD260000}"/>
    <cellStyle name="Normal 3 2 3 3 2 2 2 3 3 2" xfId="25128" xr:uid="{00000000-0005-0000-0000-0000AE260000}"/>
    <cellStyle name="Normal 3 2 3 3 2 2 2 3 3 2 2" xfId="56999" xr:uid="{00000000-0005-0000-0000-0000AF260000}"/>
    <cellStyle name="Normal 3 2 3 3 2 2 2 3 3 3" xfId="34627" xr:uid="{00000000-0005-0000-0000-0000B0260000}"/>
    <cellStyle name="Normal 3 2 3 3 2 2 2 3 4" xfId="17250" xr:uid="{00000000-0005-0000-0000-0000B1260000}"/>
    <cellStyle name="Normal 3 2 3 3 2 2 2 3 4 2" xfId="49121" xr:uid="{00000000-0005-0000-0000-0000B2260000}"/>
    <cellStyle name="Normal 3 2 3 3 2 2 2 3 5" xfId="34624" xr:uid="{00000000-0005-0000-0000-0000B3260000}"/>
    <cellStyle name="Normal 3 2 3 3 2 2 2 4" xfId="2749" xr:uid="{00000000-0005-0000-0000-0000B4260000}"/>
    <cellStyle name="Normal 3 2 3 3 2 2 2 4 2" xfId="2750" xr:uid="{00000000-0005-0000-0000-0000B5260000}"/>
    <cellStyle name="Normal 3 2 3 3 2 2 2 4 2 2" xfId="29064" xr:uid="{00000000-0005-0000-0000-0000B6260000}"/>
    <cellStyle name="Normal 3 2 3 3 2 2 2 4 2 2 2" xfId="60935" xr:uid="{00000000-0005-0000-0000-0000B7260000}"/>
    <cellStyle name="Normal 3 2 3 3 2 2 2 4 2 3" xfId="34629" xr:uid="{00000000-0005-0000-0000-0000B8260000}"/>
    <cellStyle name="Normal 3 2 3 3 2 2 2 4 3" xfId="21186" xr:uid="{00000000-0005-0000-0000-0000B9260000}"/>
    <cellStyle name="Normal 3 2 3 3 2 2 2 4 3 2" xfId="53057" xr:uid="{00000000-0005-0000-0000-0000BA260000}"/>
    <cellStyle name="Normal 3 2 3 3 2 2 2 4 4" xfId="34628" xr:uid="{00000000-0005-0000-0000-0000BB260000}"/>
    <cellStyle name="Normal 3 2 3 3 2 2 2 5" xfId="2751" xr:uid="{00000000-0005-0000-0000-0000BC260000}"/>
    <cellStyle name="Normal 3 2 3 3 2 2 2 5 2" xfId="25125" xr:uid="{00000000-0005-0000-0000-0000BD260000}"/>
    <cellStyle name="Normal 3 2 3 3 2 2 2 5 2 2" xfId="56996" xr:uid="{00000000-0005-0000-0000-0000BE260000}"/>
    <cellStyle name="Normal 3 2 3 3 2 2 2 5 3" xfId="34630" xr:uid="{00000000-0005-0000-0000-0000BF260000}"/>
    <cellStyle name="Normal 3 2 3 3 2 2 2 6" xfId="17247" xr:uid="{00000000-0005-0000-0000-0000C0260000}"/>
    <cellStyle name="Normal 3 2 3 3 2 2 2 6 2" xfId="49118" xr:uid="{00000000-0005-0000-0000-0000C1260000}"/>
    <cellStyle name="Normal 3 2 3 3 2 2 2 7" xfId="34615" xr:uid="{00000000-0005-0000-0000-0000C2260000}"/>
    <cellStyle name="Normal 3 2 3 3 2 2 3" xfId="2752" xr:uid="{00000000-0005-0000-0000-0000C3260000}"/>
    <cellStyle name="Normal 3 2 3 3 2 2 3 2" xfId="2753" xr:uid="{00000000-0005-0000-0000-0000C4260000}"/>
    <cellStyle name="Normal 3 2 3 3 2 2 3 2 2" xfId="2754" xr:uid="{00000000-0005-0000-0000-0000C5260000}"/>
    <cellStyle name="Normal 3 2 3 3 2 2 3 2 2 2" xfId="2755" xr:uid="{00000000-0005-0000-0000-0000C6260000}"/>
    <cellStyle name="Normal 3 2 3 3 2 2 3 2 2 2 2" xfId="29069" xr:uid="{00000000-0005-0000-0000-0000C7260000}"/>
    <cellStyle name="Normal 3 2 3 3 2 2 3 2 2 2 2 2" xfId="60940" xr:uid="{00000000-0005-0000-0000-0000C8260000}"/>
    <cellStyle name="Normal 3 2 3 3 2 2 3 2 2 2 3" xfId="34634" xr:uid="{00000000-0005-0000-0000-0000C9260000}"/>
    <cellStyle name="Normal 3 2 3 3 2 2 3 2 2 3" xfId="21191" xr:uid="{00000000-0005-0000-0000-0000CA260000}"/>
    <cellStyle name="Normal 3 2 3 3 2 2 3 2 2 3 2" xfId="53062" xr:uid="{00000000-0005-0000-0000-0000CB260000}"/>
    <cellStyle name="Normal 3 2 3 3 2 2 3 2 2 4" xfId="34633" xr:uid="{00000000-0005-0000-0000-0000CC260000}"/>
    <cellStyle name="Normal 3 2 3 3 2 2 3 2 3" xfId="2756" xr:uid="{00000000-0005-0000-0000-0000CD260000}"/>
    <cellStyle name="Normal 3 2 3 3 2 2 3 2 3 2" xfId="25130" xr:uid="{00000000-0005-0000-0000-0000CE260000}"/>
    <cellStyle name="Normal 3 2 3 3 2 2 3 2 3 2 2" xfId="57001" xr:uid="{00000000-0005-0000-0000-0000CF260000}"/>
    <cellStyle name="Normal 3 2 3 3 2 2 3 2 3 3" xfId="34635" xr:uid="{00000000-0005-0000-0000-0000D0260000}"/>
    <cellStyle name="Normal 3 2 3 3 2 2 3 2 4" xfId="17252" xr:uid="{00000000-0005-0000-0000-0000D1260000}"/>
    <cellStyle name="Normal 3 2 3 3 2 2 3 2 4 2" xfId="49123" xr:uid="{00000000-0005-0000-0000-0000D2260000}"/>
    <cellStyle name="Normal 3 2 3 3 2 2 3 2 5" xfId="34632" xr:uid="{00000000-0005-0000-0000-0000D3260000}"/>
    <cellStyle name="Normal 3 2 3 3 2 2 3 3" xfId="2757" xr:uid="{00000000-0005-0000-0000-0000D4260000}"/>
    <cellStyle name="Normal 3 2 3 3 2 2 3 3 2" xfId="2758" xr:uid="{00000000-0005-0000-0000-0000D5260000}"/>
    <cellStyle name="Normal 3 2 3 3 2 2 3 3 2 2" xfId="29068" xr:uid="{00000000-0005-0000-0000-0000D6260000}"/>
    <cellStyle name="Normal 3 2 3 3 2 2 3 3 2 2 2" xfId="60939" xr:uid="{00000000-0005-0000-0000-0000D7260000}"/>
    <cellStyle name="Normal 3 2 3 3 2 2 3 3 2 3" xfId="34637" xr:uid="{00000000-0005-0000-0000-0000D8260000}"/>
    <cellStyle name="Normal 3 2 3 3 2 2 3 3 3" xfId="21190" xr:uid="{00000000-0005-0000-0000-0000D9260000}"/>
    <cellStyle name="Normal 3 2 3 3 2 2 3 3 3 2" xfId="53061" xr:uid="{00000000-0005-0000-0000-0000DA260000}"/>
    <cellStyle name="Normal 3 2 3 3 2 2 3 3 4" xfId="34636" xr:uid="{00000000-0005-0000-0000-0000DB260000}"/>
    <cellStyle name="Normal 3 2 3 3 2 2 3 4" xfId="2759" xr:uid="{00000000-0005-0000-0000-0000DC260000}"/>
    <cellStyle name="Normal 3 2 3 3 2 2 3 4 2" xfId="25129" xr:uid="{00000000-0005-0000-0000-0000DD260000}"/>
    <cellStyle name="Normal 3 2 3 3 2 2 3 4 2 2" xfId="57000" xr:uid="{00000000-0005-0000-0000-0000DE260000}"/>
    <cellStyle name="Normal 3 2 3 3 2 2 3 4 3" xfId="34638" xr:uid="{00000000-0005-0000-0000-0000DF260000}"/>
    <cellStyle name="Normal 3 2 3 3 2 2 3 5" xfId="17251" xr:uid="{00000000-0005-0000-0000-0000E0260000}"/>
    <cellStyle name="Normal 3 2 3 3 2 2 3 5 2" xfId="49122" xr:uid="{00000000-0005-0000-0000-0000E1260000}"/>
    <cellStyle name="Normal 3 2 3 3 2 2 3 6" xfId="34631" xr:uid="{00000000-0005-0000-0000-0000E2260000}"/>
    <cellStyle name="Normal 3 2 3 3 2 2 4" xfId="2760" xr:uid="{00000000-0005-0000-0000-0000E3260000}"/>
    <cellStyle name="Normal 3 2 3 3 2 2 4 2" xfId="2761" xr:uid="{00000000-0005-0000-0000-0000E4260000}"/>
    <cellStyle name="Normal 3 2 3 3 2 2 4 2 2" xfId="2762" xr:uid="{00000000-0005-0000-0000-0000E5260000}"/>
    <cellStyle name="Normal 3 2 3 3 2 2 4 2 2 2" xfId="29070" xr:uid="{00000000-0005-0000-0000-0000E6260000}"/>
    <cellStyle name="Normal 3 2 3 3 2 2 4 2 2 2 2" xfId="60941" xr:uid="{00000000-0005-0000-0000-0000E7260000}"/>
    <cellStyle name="Normal 3 2 3 3 2 2 4 2 2 3" xfId="34641" xr:uid="{00000000-0005-0000-0000-0000E8260000}"/>
    <cellStyle name="Normal 3 2 3 3 2 2 4 2 3" xfId="21192" xr:uid="{00000000-0005-0000-0000-0000E9260000}"/>
    <cellStyle name="Normal 3 2 3 3 2 2 4 2 3 2" xfId="53063" xr:uid="{00000000-0005-0000-0000-0000EA260000}"/>
    <cellStyle name="Normal 3 2 3 3 2 2 4 2 4" xfId="34640" xr:uid="{00000000-0005-0000-0000-0000EB260000}"/>
    <cellStyle name="Normal 3 2 3 3 2 2 4 3" xfId="2763" xr:uid="{00000000-0005-0000-0000-0000EC260000}"/>
    <cellStyle name="Normal 3 2 3 3 2 2 4 3 2" xfId="25131" xr:uid="{00000000-0005-0000-0000-0000ED260000}"/>
    <cellStyle name="Normal 3 2 3 3 2 2 4 3 2 2" xfId="57002" xr:uid="{00000000-0005-0000-0000-0000EE260000}"/>
    <cellStyle name="Normal 3 2 3 3 2 2 4 3 3" xfId="34642" xr:uid="{00000000-0005-0000-0000-0000EF260000}"/>
    <cellStyle name="Normal 3 2 3 3 2 2 4 4" xfId="17253" xr:uid="{00000000-0005-0000-0000-0000F0260000}"/>
    <cellStyle name="Normal 3 2 3 3 2 2 4 4 2" xfId="49124" xr:uid="{00000000-0005-0000-0000-0000F1260000}"/>
    <cellStyle name="Normal 3 2 3 3 2 2 4 5" xfId="34639" xr:uid="{00000000-0005-0000-0000-0000F2260000}"/>
    <cellStyle name="Normal 3 2 3 3 2 2 5" xfId="2764" xr:uid="{00000000-0005-0000-0000-0000F3260000}"/>
    <cellStyle name="Normal 3 2 3 3 2 2 5 2" xfId="2765" xr:uid="{00000000-0005-0000-0000-0000F4260000}"/>
    <cellStyle name="Normal 3 2 3 3 2 2 5 2 2" xfId="29063" xr:uid="{00000000-0005-0000-0000-0000F5260000}"/>
    <cellStyle name="Normal 3 2 3 3 2 2 5 2 2 2" xfId="60934" xr:uid="{00000000-0005-0000-0000-0000F6260000}"/>
    <cellStyle name="Normal 3 2 3 3 2 2 5 2 3" xfId="34644" xr:uid="{00000000-0005-0000-0000-0000F7260000}"/>
    <cellStyle name="Normal 3 2 3 3 2 2 5 3" xfId="21185" xr:uid="{00000000-0005-0000-0000-0000F8260000}"/>
    <cellStyle name="Normal 3 2 3 3 2 2 5 3 2" xfId="53056" xr:uid="{00000000-0005-0000-0000-0000F9260000}"/>
    <cellStyle name="Normal 3 2 3 3 2 2 5 4" xfId="34643" xr:uid="{00000000-0005-0000-0000-0000FA260000}"/>
    <cellStyle name="Normal 3 2 3 3 2 2 6" xfId="2766" xr:uid="{00000000-0005-0000-0000-0000FB260000}"/>
    <cellStyle name="Normal 3 2 3 3 2 2 6 2" xfId="25124" xr:uid="{00000000-0005-0000-0000-0000FC260000}"/>
    <cellStyle name="Normal 3 2 3 3 2 2 6 2 2" xfId="56995" xr:uid="{00000000-0005-0000-0000-0000FD260000}"/>
    <cellStyle name="Normal 3 2 3 3 2 2 6 3" xfId="34645" xr:uid="{00000000-0005-0000-0000-0000FE260000}"/>
    <cellStyle name="Normal 3 2 3 3 2 2 7" xfId="17246" xr:uid="{00000000-0005-0000-0000-0000FF260000}"/>
    <cellStyle name="Normal 3 2 3 3 2 2 7 2" xfId="49117" xr:uid="{00000000-0005-0000-0000-000000270000}"/>
    <cellStyle name="Normal 3 2 3 3 2 2 8" xfId="34614" xr:uid="{00000000-0005-0000-0000-000001270000}"/>
    <cellStyle name="Normal 3 2 3 3 2 3" xfId="2767" xr:uid="{00000000-0005-0000-0000-000002270000}"/>
    <cellStyle name="Normal 3 2 3 3 2 3 2" xfId="2768" xr:uid="{00000000-0005-0000-0000-000003270000}"/>
    <cellStyle name="Normal 3 2 3 3 2 3 2 2" xfId="2769" xr:uid="{00000000-0005-0000-0000-000004270000}"/>
    <cellStyle name="Normal 3 2 3 3 2 3 2 2 2" xfId="2770" xr:uid="{00000000-0005-0000-0000-000005270000}"/>
    <cellStyle name="Normal 3 2 3 3 2 3 2 2 2 2" xfId="2771" xr:uid="{00000000-0005-0000-0000-000006270000}"/>
    <cellStyle name="Normal 3 2 3 3 2 3 2 2 2 2 2" xfId="29073" xr:uid="{00000000-0005-0000-0000-000007270000}"/>
    <cellStyle name="Normal 3 2 3 3 2 3 2 2 2 2 2 2" xfId="60944" xr:uid="{00000000-0005-0000-0000-000008270000}"/>
    <cellStyle name="Normal 3 2 3 3 2 3 2 2 2 2 3" xfId="34650" xr:uid="{00000000-0005-0000-0000-000009270000}"/>
    <cellStyle name="Normal 3 2 3 3 2 3 2 2 2 3" xfId="21195" xr:uid="{00000000-0005-0000-0000-00000A270000}"/>
    <cellStyle name="Normal 3 2 3 3 2 3 2 2 2 3 2" xfId="53066" xr:uid="{00000000-0005-0000-0000-00000B270000}"/>
    <cellStyle name="Normal 3 2 3 3 2 3 2 2 2 4" xfId="34649" xr:uid="{00000000-0005-0000-0000-00000C270000}"/>
    <cellStyle name="Normal 3 2 3 3 2 3 2 2 3" xfId="2772" xr:uid="{00000000-0005-0000-0000-00000D270000}"/>
    <cellStyle name="Normal 3 2 3 3 2 3 2 2 3 2" xfId="25134" xr:uid="{00000000-0005-0000-0000-00000E270000}"/>
    <cellStyle name="Normal 3 2 3 3 2 3 2 2 3 2 2" xfId="57005" xr:uid="{00000000-0005-0000-0000-00000F270000}"/>
    <cellStyle name="Normal 3 2 3 3 2 3 2 2 3 3" xfId="34651" xr:uid="{00000000-0005-0000-0000-000010270000}"/>
    <cellStyle name="Normal 3 2 3 3 2 3 2 2 4" xfId="17256" xr:uid="{00000000-0005-0000-0000-000011270000}"/>
    <cellStyle name="Normal 3 2 3 3 2 3 2 2 4 2" xfId="49127" xr:uid="{00000000-0005-0000-0000-000012270000}"/>
    <cellStyle name="Normal 3 2 3 3 2 3 2 2 5" xfId="34648" xr:uid="{00000000-0005-0000-0000-000013270000}"/>
    <cellStyle name="Normal 3 2 3 3 2 3 2 3" xfId="2773" xr:uid="{00000000-0005-0000-0000-000014270000}"/>
    <cellStyle name="Normal 3 2 3 3 2 3 2 3 2" xfId="2774" xr:uid="{00000000-0005-0000-0000-000015270000}"/>
    <cellStyle name="Normal 3 2 3 3 2 3 2 3 2 2" xfId="29072" xr:uid="{00000000-0005-0000-0000-000016270000}"/>
    <cellStyle name="Normal 3 2 3 3 2 3 2 3 2 2 2" xfId="60943" xr:uid="{00000000-0005-0000-0000-000017270000}"/>
    <cellStyle name="Normal 3 2 3 3 2 3 2 3 2 3" xfId="34653" xr:uid="{00000000-0005-0000-0000-000018270000}"/>
    <cellStyle name="Normal 3 2 3 3 2 3 2 3 3" xfId="21194" xr:uid="{00000000-0005-0000-0000-000019270000}"/>
    <cellStyle name="Normal 3 2 3 3 2 3 2 3 3 2" xfId="53065" xr:uid="{00000000-0005-0000-0000-00001A270000}"/>
    <cellStyle name="Normal 3 2 3 3 2 3 2 3 4" xfId="34652" xr:uid="{00000000-0005-0000-0000-00001B270000}"/>
    <cellStyle name="Normal 3 2 3 3 2 3 2 4" xfId="2775" xr:uid="{00000000-0005-0000-0000-00001C270000}"/>
    <cellStyle name="Normal 3 2 3 3 2 3 2 4 2" xfId="25133" xr:uid="{00000000-0005-0000-0000-00001D270000}"/>
    <cellStyle name="Normal 3 2 3 3 2 3 2 4 2 2" xfId="57004" xr:uid="{00000000-0005-0000-0000-00001E270000}"/>
    <cellStyle name="Normal 3 2 3 3 2 3 2 4 3" xfId="34654" xr:uid="{00000000-0005-0000-0000-00001F270000}"/>
    <cellStyle name="Normal 3 2 3 3 2 3 2 5" xfId="17255" xr:uid="{00000000-0005-0000-0000-000020270000}"/>
    <cellStyle name="Normal 3 2 3 3 2 3 2 5 2" xfId="49126" xr:uid="{00000000-0005-0000-0000-000021270000}"/>
    <cellStyle name="Normal 3 2 3 3 2 3 2 6" xfId="34647" xr:uid="{00000000-0005-0000-0000-000022270000}"/>
    <cellStyle name="Normal 3 2 3 3 2 3 3" xfId="2776" xr:uid="{00000000-0005-0000-0000-000023270000}"/>
    <cellStyle name="Normal 3 2 3 3 2 3 3 2" xfId="2777" xr:uid="{00000000-0005-0000-0000-000024270000}"/>
    <cellStyle name="Normal 3 2 3 3 2 3 3 2 2" xfId="2778" xr:uid="{00000000-0005-0000-0000-000025270000}"/>
    <cellStyle name="Normal 3 2 3 3 2 3 3 2 2 2" xfId="29074" xr:uid="{00000000-0005-0000-0000-000026270000}"/>
    <cellStyle name="Normal 3 2 3 3 2 3 3 2 2 2 2" xfId="60945" xr:uid="{00000000-0005-0000-0000-000027270000}"/>
    <cellStyle name="Normal 3 2 3 3 2 3 3 2 2 3" xfId="34657" xr:uid="{00000000-0005-0000-0000-000028270000}"/>
    <cellStyle name="Normal 3 2 3 3 2 3 3 2 3" xfId="21196" xr:uid="{00000000-0005-0000-0000-000029270000}"/>
    <cellStyle name="Normal 3 2 3 3 2 3 3 2 3 2" xfId="53067" xr:uid="{00000000-0005-0000-0000-00002A270000}"/>
    <cellStyle name="Normal 3 2 3 3 2 3 3 2 4" xfId="34656" xr:uid="{00000000-0005-0000-0000-00002B270000}"/>
    <cellStyle name="Normal 3 2 3 3 2 3 3 3" xfId="2779" xr:uid="{00000000-0005-0000-0000-00002C270000}"/>
    <cellStyle name="Normal 3 2 3 3 2 3 3 3 2" xfId="25135" xr:uid="{00000000-0005-0000-0000-00002D270000}"/>
    <cellStyle name="Normal 3 2 3 3 2 3 3 3 2 2" xfId="57006" xr:uid="{00000000-0005-0000-0000-00002E270000}"/>
    <cellStyle name="Normal 3 2 3 3 2 3 3 3 3" xfId="34658" xr:uid="{00000000-0005-0000-0000-00002F270000}"/>
    <cellStyle name="Normal 3 2 3 3 2 3 3 4" xfId="17257" xr:uid="{00000000-0005-0000-0000-000030270000}"/>
    <cellStyle name="Normal 3 2 3 3 2 3 3 4 2" xfId="49128" xr:uid="{00000000-0005-0000-0000-000031270000}"/>
    <cellStyle name="Normal 3 2 3 3 2 3 3 5" xfId="34655" xr:uid="{00000000-0005-0000-0000-000032270000}"/>
    <cellStyle name="Normal 3 2 3 3 2 3 4" xfId="2780" xr:uid="{00000000-0005-0000-0000-000033270000}"/>
    <cellStyle name="Normal 3 2 3 3 2 3 4 2" xfId="2781" xr:uid="{00000000-0005-0000-0000-000034270000}"/>
    <cellStyle name="Normal 3 2 3 3 2 3 4 2 2" xfId="29071" xr:uid="{00000000-0005-0000-0000-000035270000}"/>
    <cellStyle name="Normal 3 2 3 3 2 3 4 2 2 2" xfId="60942" xr:uid="{00000000-0005-0000-0000-000036270000}"/>
    <cellStyle name="Normal 3 2 3 3 2 3 4 2 3" xfId="34660" xr:uid="{00000000-0005-0000-0000-000037270000}"/>
    <cellStyle name="Normal 3 2 3 3 2 3 4 3" xfId="21193" xr:uid="{00000000-0005-0000-0000-000038270000}"/>
    <cellStyle name="Normal 3 2 3 3 2 3 4 3 2" xfId="53064" xr:uid="{00000000-0005-0000-0000-000039270000}"/>
    <cellStyle name="Normal 3 2 3 3 2 3 4 4" xfId="34659" xr:uid="{00000000-0005-0000-0000-00003A270000}"/>
    <cellStyle name="Normal 3 2 3 3 2 3 5" xfId="2782" xr:uid="{00000000-0005-0000-0000-00003B270000}"/>
    <cellStyle name="Normal 3 2 3 3 2 3 5 2" xfId="25132" xr:uid="{00000000-0005-0000-0000-00003C270000}"/>
    <cellStyle name="Normal 3 2 3 3 2 3 5 2 2" xfId="57003" xr:uid="{00000000-0005-0000-0000-00003D270000}"/>
    <cellStyle name="Normal 3 2 3 3 2 3 5 3" xfId="34661" xr:uid="{00000000-0005-0000-0000-00003E270000}"/>
    <cellStyle name="Normal 3 2 3 3 2 3 6" xfId="17254" xr:uid="{00000000-0005-0000-0000-00003F270000}"/>
    <cellStyle name="Normal 3 2 3 3 2 3 6 2" xfId="49125" xr:uid="{00000000-0005-0000-0000-000040270000}"/>
    <cellStyle name="Normal 3 2 3 3 2 3 7" xfId="34646" xr:uid="{00000000-0005-0000-0000-000041270000}"/>
    <cellStyle name="Normal 3 2 3 3 2 4" xfId="2783" xr:uid="{00000000-0005-0000-0000-000042270000}"/>
    <cellStyle name="Normal 3 2 3 3 2 4 2" xfId="2784" xr:uid="{00000000-0005-0000-0000-000043270000}"/>
    <cellStyle name="Normal 3 2 3 3 2 4 2 2" xfId="2785" xr:uid="{00000000-0005-0000-0000-000044270000}"/>
    <cellStyle name="Normal 3 2 3 3 2 4 2 2 2" xfId="2786" xr:uid="{00000000-0005-0000-0000-000045270000}"/>
    <cellStyle name="Normal 3 2 3 3 2 4 2 2 2 2" xfId="29076" xr:uid="{00000000-0005-0000-0000-000046270000}"/>
    <cellStyle name="Normal 3 2 3 3 2 4 2 2 2 2 2" xfId="60947" xr:uid="{00000000-0005-0000-0000-000047270000}"/>
    <cellStyle name="Normal 3 2 3 3 2 4 2 2 2 3" xfId="34665" xr:uid="{00000000-0005-0000-0000-000048270000}"/>
    <cellStyle name="Normal 3 2 3 3 2 4 2 2 3" xfId="21198" xr:uid="{00000000-0005-0000-0000-000049270000}"/>
    <cellStyle name="Normal 3 2 3 3 2 4 2 2 3 2" xfId="53069" xr:uid="{00000000-0005-0000-0000-00004A270000}"/>
    <cellStyle name="Normal 3 2 3 3 2 4 2 2 4" xfId="34664" xr:uid="{00000000-0005-0000-0000-00004B270000}"/>
    <cellStyle name="Normal 3 2 3 3 2 4 2 3" xfId="2787" xr:uid="{00000000-0005-0000-0000-00004C270000}"/>
    <cellStyle name="Normal 3 2 3 3 2 4 2 3 2" xfId="25137" xr:uid="{00000000-0005-0000-0000-00004D270000}"/>
    <cellStyle name="Normal 3 2 3 3 2 4 2 3 2 2" xfId="57008" xr:uid="{00000000-0005-0000-0000-00004E270000}"/>
    <cellStyle name="Normal 3 2 3 3 2 4 2 3 3" xfId="34666" xr:uid="{00000000-0005-0000-0000-00004F270000}"/>
    <cellStyle name="Normal 3 2 3 3 2 4 2 4" xfId="17259" xr:uid="{00000000-0005-0000-0000-000050270000}"/>
    <cellStyle name="Normal 3 2 3 3 2 4 2 4 2" xfId="49130" xr:uid="{00000000-0005-0000-0000-000051270000}"/>
    <cellStyle name="Normal 3 2 3 3 2 4 2 5" xfId="34663" xr:uid="{00000000-0005-0000-0000-000052270000}"/>
    <cellStyle name="Normal 3 2 3 3 2 4 3" xfId="2788" xr:uid="{00000000-0005-0000-0000-000053270000}"/>
    <cellStyle name="Normal 3 2 3 3 2 4 3 2" xfId="2789" xr:uid="{00000000-0005-0000-0000-000054270000}"/>
    <cellStyle name="Normal 3 2 3 3 2 4 3 2 2" xfId="29075" xr:uid="{00000000-0005-0000-0000-000055270000}"/>
    <cellStyle name="Normal 3 2 3 3 2 4 3 2 2 2" xfId="60946" xr:uid="{00000000-0005-0000-0000-000056270000}"/>
    <cellStyle name="Normal 3 2 3 3 2 4 3 2 3" xfId="34668" xr:uid="{00000000-0005-0000-0000-000057270000}"/>
    <cellStyle name="Normal 3 2 3 3 2 4 3 3" xfId="21197" xr:uid="{00000000-0005-0000-0000-000058270000}"/>
    <cellStyle name="Normal 3 2 3 3 2 4 3 3 2" xfId="53068" xr:uid="{00000000-0005-0000-0000-000059270000}"/>
    <cellStyle name="Normal 3 2 3 3 2 4 3 4" xfId="34667" xr:uid="{00000000-0005-0000-0000-00005A270000}"/>
    <cellStyle name="Normal 3 2 3 3 2 4 4" xfId="2790" xr:uid="{00000000-0005-0000-0000-00005B270000}"/>
    <cellStyle name="Normal 3 2 3 3 2 4 4 2" xfId="25136" xr:uid="{00000000-0005-0000-0000-00005C270000}"/>
    <cellStyle name="Normal 3 2 3 3 2 4 4 2 2" xfId="57007" xr:uid="{00000000-0005-0000-0000-00005D270000}"/>
    <cellStyle name="Normal 3 2 3 3 2 4 4 3" xfId="34669" xr:uid="{00000000-0005-0000-0000-00005E270000}"/>
    <cellStyle name="Normal 3 2 3 3 2 4 5" xfId="17258" xr:uid="{00000000-0005-0000-0000-00005F270000}"/>
    <cellStyle name="Normal 3 2 3 3 2 4 5 2" xfId="49129" xr:uid="{00000000-0005-0000-0000-000060270000}"/>
    <cellStyle name="Normal 3 2 3 3 2 4 6" xfId="34662" xr:uid="{00000000-0005-0000-0000-000061270000}"/>
    <cellStyle name="Normal 3 2 3 3 2 5" xfId="2791" xr:uid="{00000000-0005-0000-0000-000062270000}"/>
    <cellStyle name="Normal 3 2 3 3 2 5 2" xfId="2792" xr:uid="{00000000-0005-0000-0000-000063270000}"/>
    <cellStyle name="Normal 3 2 3 3 2 5 2 2" xfId="2793" xr:uid="{00000000-0005-0000-0000-000064270000}"/>
    <cellStyle name="Normal 3 2 3 3 2 5 2 2 2" xfId="29077" xr:uid="{00000000-0005-0000-0000-000065270000}"/>
    <cellStyle name="Normal 3 2 3 3 2 5 2 2 2 2" xfId="60948" xr:uid="{00000000-0005-0000-0000-000066270000}"/>
    <cellStyle name="Normal 3 2 3 3 2 5 2 2 3" xfId="34672" xr:uid="{00000000-0005-0000-0000-000067270000}"/>
    <cellStyle name="Normal 3 2 3 3 2 5 2 3" xfId="21199" xr:uid="{00000000-0005-0000-0000-000068270000}"/>
    <cellStyle name="Normal 3 2 3 3 2 5 2 3 2" xfId="53070" xr:uid="{00000000-0005-0000-0000-000069270000}"/>
    <cellStyle name="Normal 3 2 3 3 2 5 2 4" xfId="34671" xr:uid="{00000000-0005-0000-0000-00006A270000}"/>
    <cellStyle name="Normal 3 2 3 3 2 5 3" xfId="2794" xr:uid="{00000000-0005-0000-0000-00006B270000}"/>
    <cellStyle name="Normal 3 2 3 3 2 5 3 2" xfId="25138" xr:uid="{00000000-0005-0000-0000-00006C270000}"/>
    <cellStyle name="Normal 3 2 3 3 2 5 3 2 2" xfId="57009" xr:uid="{00000000-0005-0000-0000-00006D270000}"/>
    <cellStyle name="Normal 3 2 3 3 2 5 3 3" xfId="34673" xr:uid="{00000000-0005-0000-0000-00006E270000}"/>
    <cellStyle name="Normal 3 2 3 3 2 5 4" xfId="17260" xr:uid="{00000000-0005-0000-0000-00006F270000}"/>
    <cellStyle name="Normal 3 2 3 3 2 5 4 2" xfId="49131" xr:uid="{00000000-0005-0000-0000-000070270000}"/>
    <cellStyle name="Normal 3 2 3 3 2 5 5" xfId="34670" xr:uid="{00000000-0005-0000-0000-000071270000}"/>
    <cellStyle name="Normal 3 2 3 3 2 6" xfId="2795" xr:uid="{00000000-0005-0000-0000-000072270000}"/>
    <cellStyle name="Normal 3 2 3 3 2 6 2" xfId="2796" xr:uid="{00000000-0005-0000-0000-000073270000}"/>
    <cellStyle name="Normal 3 2 3 3 2 6 2 2" xfId="28431" xr:uid="{00000000-0005-0000-0000-000074270000}"/>
    <cellStyle name="Normal 3 2 3 3 2 6 2 2 2" xfId="60302" xr:uid="{00000000-0005-0000-0000-000075270000}"/>
    <cellStyle name="Normal 3 2 3 3 2 6 2 3" xfId="34675" xr:uid="{00000000-0005-0000-0000-000076270000}"/>
    <cellStyle name="Normal 3 2 3 3 2 6 3" xfId="20553" xr:uid="{00000000-0005-0000-0000-000077270000}"/>
    <cellStyle name="Normal 3 2 3 3 2 6 3 2" xfId="52424" xr:uid="{00000000-0005-0000-0000-000078270000}"/>
    <cellStyle name="Normal 3 2 3 3 2 6 4" xfId="34674" xr:uid="{00000000-0005-0000-0000-000079270000}"/>
    <cellStyle name="Normal 3 2 3 3 2 7" xfId="2797" xr:uid="{00000000-0005-0000-0000-00007A270000}"/>
    <cellStyle name="Normal 3 2 3 3 2 7 2" xfId="24492" xr:uid="{00000000-0005-0000-0000-00007B270000}"/>
    <cellStyle name="Normal 3 2 3 3 2 7 2 2" xfId="56363" xr:uid="{00000000-0005-0000-0000-00007C270000}"/>
    <cellStyle name="Normal 3 2 3 3 2 7 3" xfId="34676" xr:uid="{00000000-0005-0000-0000-00007D270000}"/>
    <cellStyle name="Normal 3 2 3 3 2 8" xfId="16614" xr:uid="{00000000-0005-0000-0000-00007E270000}"/>
    <cellStyle name="Normal 3 2 3 3 2 8 2" xfId="48485" xr:uid="{00000000-0005-0000-0000-00007F270000}"/>
    <cellStyle name="Normal 3 2 3 3 2 9" xfId="34613" xr:uid="{00000000-0005-0000-0000-000080270000}"/>
    <cellStyle name="Normal 3 2 3 3 3" xfId="2798" xr:uid="{00000000-0005-0000-0000-000081270000}"/>
    <cellStyle name="Normal 3 2 3 3 3 2" xfId="2799" xr:uid="{00000000-0005-0000-0000-000082270000}"/>
    <cellStyle name="Normal 3 2 3 3 3 2 2" xfId="2800" xr:uid="{00000000-0005-0000-0000-000083270000}"/>
    <cellStyle name="Normal 3 2 3 3 3 2 2 2" xfId="2801" xr:uid="{00000000-0005-0000-0000-000084270000}"/>
    <cellStyle name="Normal 3 2 3 3 3 2 2 2 2" xfId="2802" xr:uid="{00000000-0005-0000-0000-000085270000}"/>
    <cellStyle name="Normal 3 2 3 3 3 2 2 2 2 2" xfId="2803" xr:uid="{00000000-0005-0000-0000-000086270000}"/>
    <cellStyle name="Normal 3 2 3 3 3 2 2 2 2 2 2" xfId="29081" xr:uid="{00000000-0005-0000-0000-000087270000}"/>
    <cellStyle name="Normal 3 2 3 3 3 2 2 2 2 2 2 2" xfId="60952" xr:uid="{00000000-0005-0000-0000-000088270000}"/>
    <cellStyle name="Normal 3 2 3 3 3 2 2 2 2 2 3" xfId="34682" xr:uid="{00000000-0005-0000-0000-000089270000}"/>
    <cellStyle name="Normal 3 2 3 3 3 2 2 2 2 3" xfId="21203" xr:uid="{00000000-0005-0000-0000-00008A270000}"/>
    <cellStyle name="Normal 3 2 3 3 3 2 2 2 2 3 2" xfId="53074" xr:uid="{00000000-0005-0000-0000-00008B270000}"/>
    <cellStyle name="Normal 3 2 3 3 3 2 2 2 2 4" xfId="34681" xr:uid="{00000000-0005-0000-0000-00008C270000}"/>
    <cellStyle name="Normal 3 2 3 3 3 2 2 2 3" xfId="2804" xr:uid="{00000000-0005-0000-0000-00008D270000}"/>
    <cellStyle name="Normal 3 2 3 3 3 2 2 2 3 2" xfId="25142" xr:uid="{00000000-0005-0000-0000-00008E270000}"/>
    <cellStyle name="Normal 3 2 3 3 3 2 2 2 3 2 2" xfId="57013" xr:uid="{00000000-0005-0000-0000-00008F270000}"/>
    <cellStyle name="Normal 3 2 3 3 3 2 2 2 3 3" xfId="34683" xr:uid="{00000000-0005-0000-0000-000090270000}"/>
    <cellStyle name="Normal 3 2 3 3 3 2 2 2 4" xfId="17264" xr:uid="{00000000-0005-0000-0000-000091270000}"/>
    <cellStyle name="Normal 3 2 3 3 3 2 2 2 4 2" xfId="49135" xr:uid="{00000000-0005-0000-0000-000092270000}"/>
    <cellStyle name="Normal 3 2 3 3 3 2 2 2 5" xfId="34680" xr:uid="{00000000-0005-0000-0000-000093270000}"/>
    <cellStyle name="Normal 3 2 3 3 3 2 2 3" xfId="2805" xr:uid="{00000000-0005-0000-0000-000094270000}"/>
    <cellStyle name="Normal 3 2 3 3 3 2 2 3 2" xfId="2806" xr:uid="{00000000-0005-0000-0000-000095270000}"/>
    <cellStyle name="Normal 3 2 3 3 3 2 2 3 2 2" xfId="29080" xr:uid="{00000000-0005-0000-0000-000096270000}"/>
    <cellStyle name="Normal 3 2 3 3 3 2 2 3 2 2 2" xfId="60951" xr:uid="{00000000-0005-0000-0000-000097270000}"/>
    <cellStyle name="Normal 3 2 3 3 3 2 2 3 2 3" xfId="34685" xr:uid="{00000000-0005-0000-0000-000098270000}"/>
    <cellStyle name="Normal 3 2 3 3 3 2 2 3 3" xfId="21202" xr:uid="{00000000-0005-0000-0000-000099270000}"/>
    <cellStyle name="Normal 3 2 3 3 3 2 2 3 3 2" xfId="53073" xr:uid="{00000000-0005-0000-0000-00009A270000}"/>
    <cellStyle name="Normal 3 2 3 3 3 2 2 3 4" xfId="34684" xr:uid="{00000000-0005-0000-0000-00009B270000}"/>
    <cellStyle name="Normal 3 2 3 3 3 2 2 4" xfId="2807" xr:uid="{00000000-0005-0000-0000-00009C270000}"/>
    <cellStyle name="Normal 3 2 3 3 3 2 2 4 2" xfId="25141" xr:uid="{00000000-0005-0000-0000-00009D270000}"/>
    <cellStyle name="Normal 3 2 3 3 3 2 2 4 2 2" xfId="57012" xr:uid="{00000000-0005-0000-0000-00009E270000}"/>
    <cellStyle name="Normal 3 2 3 3 3 2 2 4 3" xfId="34686" xr:uid="{00000000-0005-0000-0000-00009F270000}"/>
    <cellStyle name="Normal 3 2 3 3 3 2 2 5" xfId="17263" xr:uid="{00000000-0005-0000-0000-0000A0270000}"/>
    <cellStyle name="Normal 3 2 3 3 3 2 2 5 2" xfId="49134" xr:uid="{00000000-0005-0000-0000-0000A1270000}"/>
    <cellStyle name="Normal 3 2 3 3 3 2 2 6" xfId="34679" xr:uid="{00000000-0005-0000-0000-0000A2270000}"/>
    <cellStyle name="Normal 3 2 3 3 3 2 3" xfId="2808" xr:uid="{00000000-0005-0000-0000-0000A3270000}"/>
    <cellStyle name="Normal 3 2 3 3 3 2 3 2" xfId="2809" xr:uid="{00000000-0005-0000-0000-0000A4270000}"/>
    <cellStyle name="Normal 3 2 3 3 3 2 3 2 2" xfId="2810" xr:uid="{00000000-0005-0000-0000-0000A5270000}"/>
    <cellStyle name="Normal 3 2 3 3 3 2 3 2 2 2" xfId="29082" xr:uid="{00000000-0005-0000-0000-0000A6270000}"/>
    <cellStyle name="Normal 3 2 3 3 3 2 3 2 2 2 2" xfId="60953" xr:uid="{00000000-0005-0000-0000-0000A7270000}"/>
    <cellStyle name="Normal 3 2 3 3 3 2 3 2 2 3" xfId="34689" xr:uid="{00000000-0005-0000-0000-0000A8270000}"/>
    <cellStyle name="Normal 3 2 3 3 3 2 3 2 3" xfId="21204" xr:uid="{00000000-0005-0000-0000-0000A9270000}"/>
    <cellStyle name="Normal 3 2 3 3 3 2 3 2 3 2" xfId="53075" xr:uid="{00000000-0005-0000-0000-0000AA270000}"/>
    <cellStyle name="Normal 3 2 3 3 3 2 3 2 4" xfId="34688" xr:uid="{00000000-0005-0000-0000-0000AB270000}"/>
    <cellStyle name="Normal 3 2 3 3 3 2 3 3" xfId="2811" xr:uid="{00000000-0005-0000-0000-0000AC270000}"/>
    <cellStyle name="Normal 3 2 3 3 3 2 3 3 2" xfId="25143" xr:uid="{00000000-0005-0000-0000-0000AD270000}"/>
    <cellStyle name="Normal 3 2 3 3 3 2 3 3 2 2" xfId="57014" xr:uid="{00000000-0005-0000-0000-0000AE270000}"/>
    <cellStyle name="Normal 3 2 3 3 3 2 3 3 3" xfId="34690" xr:uid="{00000000-0005-0000-0000-0000AF270000}"/>
    <cellStyle name="Normal 3 2 3 3 3 2 3 4" xfId="17265" xr:uid="{00000000-0005-0000-0000-0000B0270000}"/>
    <cellStyle name="Normal 3 2 3 3 3 2 3 4 2" xfId="49136" xr:uid="{00000000-0005-0000-0000-0000B1270000}"/>
    <cellStyle name="Normal 3 2 3 3 3 2 3 5" xfId="34687" xr:uid="{00000000-0005-0000-0000-0000B2270000}"/>
    <cellStyle name="Normal 3 2 3 3 3 2 4" xfId="2812" xr:uid="{00000000-0005-0000-0000-0000B3270000}"/>
    <cellStyle name="Normal 3 2 3 3 3 2 4 2" xfId="2813" xr:uid="{00000000-0005-0000-0000-0000B4270000}"/>
    <cellStyle name="Normal 3 2 3 3 3 2 4 2 2" xfId="29079" xr:uid="{00000000-0005-0000-0000-0000B5270000}"/>
    <cellStyle name="Normal 3 2 3 3 3 2 4 2 2 2" xfId="60950" xr:uid="{00000000-0005-0000-0000-0000B6270000}"/>
    <cellStyle name="Normal 3 2 3 3 3 2 4 2 3" xfId="34692" xr:uid="{00000000-0005-0000-0000-0000B7270000}"/>
    <cellStyle name="Normal 3 2 3 3 3 2 4 3" xfId="21201" xr:uid="{00000000-0005-0000-0000-0000B8270000}"/>
    <cellStyle name="Normal 3 2 3 3 3 2 4 3 2" xfId="53072" xr:uid="{00000000-0005-0000-0000-0000B9270000}"/>
    <cellStyle name="Normal 3 2 3 3 3 2 4 4" xfId="34691" xr:uid="{00000000-0005-0000-0000-0000BA270000}"/>
    <cellStyle name="Normal 3 2 3 3 3 2 5" xfId="2814" xr:uid="{00000000-0005-0000-0000-0000BB270000}"/>
    <cellStyle name="Normal 3 2 3 3 3 2 5 2" xfId="25140" xr:uid="{00000000-0005-0000-0000-0000BC270000}"/>
    <cellStyle name="Normal 3 2 3 3 3 2 5 2 2" xfId="57011" xr:uid="{00000000-0005-0000-0000-0000BD270000}"/>
    <cellStyle name="Normal 3 2 3 3 3 2 5 3" xfId="34693" xr:uid="{00000000-0005-0000-0000-0000BE270000}"/>
    <cellStyle name="Normal 3 2 3 3 3 2 6" xfId="17262" xr:uid="{00000000-0005-0000-0000-0000BF270000}"/>
    <cellStyle name="Normal 3 2 3 3 3 2 6 2" xfId="49133" xr:uid="{00000000-0005-0000-0000-0000C0270000}"/>
    <cellStyle name="Normal 3 2 3 3 3 2 7" xfId="34678" xr:uid="{00000000-0005-0000-0000-0000C1270000}"/>
    <cellStyle name="Normal 3 2 3 3 3 3" xfId="2815" xr:uid="{00000000-0005-0000-0000-0000C2270000}"/>
    <cellStyle name="Normal 3 2 3 3 3 3 2" xfId="2816" xr:uid="{00000000-0005-0000-0000-0000C3270000}"/>
    <cellStyle name="Normal 3 2 3 3 3 3 2 2" xfId="2817" xr:uid="{00000000-0005-0000-0000-0000C4270000}"/>
    <cellStyle name="Normal 3 2 3 3 3 3 2 2 2" xfId="2818" xr:uid="{00000000-0005-0000-0000-0000C5270000}"/>
    <cellStyle name="Normal 3 2 3 3 3 3 2 2 2 2" xfId="29084" xr:uid="{00000000-0005-0000-0000-0000C6270000}"/>
    <cellStyle name="Normal 3 2 3 3 3 3 2 2 2 2 2" xfId="60955" xr:uid="{00000000-0005-0000-0000-0000C7270000}"/>
    <cellStyle name="Normal 3 2 3 3 3 3 2 2 2 3" xfId="34697" xr:uid="{00000000-0005-0000-0000-0000C8270000}"/>
    <cellStyle name="Normal 3 2 3 3 3 3 2 2 3" xfId="21206" xr:uid="{00000000-0005-0000-0000-0000C9270000}"/>
    <cellStyle name="Normal 3 2 3 3 3 3 2 2 3 2" xfId="53077" xr:uid="{00000000-0005-0000-0000-0000CA270000}"/>
    <cellStyle name="Normal 3 2 3 3 3 3 2 2 4" xfId="34696" xr:uid="{00000000-0005-0000-0000-0000CB270000}"/>
    <cellStyle name="Normal 3 2 3 3 3 3 2 3" xfId="2819" xr:uid="{00000000-0005-0000-0000-0000CC270000}"/>
    <cellStyle name="Normal 3 2 3 3 3 3 2 3 2" xfId="25145" xr:uid="{00000000-0005-0000-0000-0000CD270000}"/>
    <cellStyle name="Normal 3 2 3 3 3 3 2 3 2 2" xfId="57016" xr:uid="{00000000-0005-0000-0000-0000CE270000}"/>
    <cellStyle name="Normal 3 2 3 3 3 3 2 3 3" xfId="34698" xr:uid="{00000000-0005-0000-0000-0000CF270000}"/>
    <cellStyle name="Normal 3 2 3 3 3 3 2 4" xfId="17267" xr:uid="{00000000-0005-0000-0000-0000D0270000}"/>
    <cellStyle name="Normal 3 2 3 3 3 3 2 4 2" xfId="49138" xr:uid="{00000000-0005-0000-0000-0000D1270000}"/>
    <cellStyle name="Normal 3 2 3 3 3 3 2 5" xfId="34695" xr:uid="{00000000-0005-0000-0000-0000D2270000}"/>
    <cellStyle name="Normal 3 2 3 3 3 3 3" xfId="2820" xr:uid="{00000000-0005-0000-0000-0000D3270000}"/>
    <cellStyle name="Normal 3 2 3 3 3 3 3 2" xfId="2821" xr:uid="{00000000-0005-0000-0000-0000D4270000}"/>
    <cellStyle name="Normal 3 2 3 3 3 3 3 2 2" xfId="29083" xr:uid="{00000000-0005-0000-0000-0000D5270000}"/>
    <cellStyle name="Normal 3 2 3 3 3 3 3 2 2 2" xfId="60954" xr:uid="{00000000-0005-0000-0000-0000D6270000}"/>
    <cellStyle name="Normal 3 2 3 3 3 3 3 2 3" xfId="34700" xr:uid="{00000000-0005-0000-0000-0000D7270000}"/>
    <cellStyle name="Normal 3 2 3 3 3 3 3 3" xfId="21205" xr:uid="{00000000-0005-0000-0000-0000D8270000}"/>
    <cellStyle name="Normal 3 2 3 3 3 3 3 3 2" xfId="53076" xr:uid="{00000000-0005-0000-0000-0000D9270000}"/>
    <cellStyle name="Normal 3 2 3 3 3 3 3 4" xfId="34699" xr:uid="{00000000-0005-0000-0000-0000DA270000}"/>
    <cellStyle name="Normal 3 2 3 3 3 3 4" xfId="2822" xr:uid="{00000000-0005-0000-0000-0000DB270000}"/>
    <cellStyle name="Normal 3 2 3 3 3 3 4 2" xfId="25144" xr:uid="{00000000-0005-0000-0000-0000DC270000}"/>
    <cellStyle name="Normal 3 2 3 3 3 3 4 2 2" xfId="57015" xr:uid="{00000000-0005-0000-0000-0000DD270000}"/>
    <cellStyle name="Normal 3 2 3 3 3 3 4 3" xfId="34701" xr:uid="{00000000-0005-0000-0000-0000DE270000}"/>
    <cellStyle name="Normal 3 2 3 3 3 3 5" xfId="17266" xr:uid="{00000000-0005-0000-0000-0000DF270000}"/>
    <cellStyle name="Normal 3 2 3 3 3 3 5 2" xfId="49137" xr:uid="{00000000-0005-0000-0000-0000E0270000}"/>
    <cellStyle name="Normal 3 2 3 3 3 3 6" xfId="34694" xr:uid="{00000000-0005-0000-0000-0000E1270000}"/>
    <cellStyle name="Normal 3 2 3 3 3 4" xfId="2823" xr:uid="{00000000-0005-0000-0000-0000E2270000}"/>
    <cellStyle name="Normal 3 2 3 3 3 4 2" xfId="2824" xr:uid="{00000000-0005-0000-0000-0000E3270000}"/>
    <cellStyle name="Normal 3 2 3 3 3 4 2 2" xfId="2825" xr:uid="{00000000-0005-0000-0000-0000E4270000}"/>
    <cellStyle name="Normal 3 2 3 3 3 4 2 2 2" xfId="29085" xr:uid="{00000000-0005-0000-0000-0000E5270000}"/>
    <cellStyle name="Normal 3 2 3 3 3 4 2 2 2 2" xfId="60956" xr:uid="{00000000-0005-0000-0000-0000E6270000}"/>
    <cellStyle name="Normal 3 2 3 3 3 4 2 2 3" xfId="34704" xr:uid="{00000000-0005-0000-0000-0000E7270000}"/>
    <cellStyle name="Normal 3 2 3 3 3 4 2 3" xfId="21207" xr:uid="{00000000-0005-0000-0000-0000E8270000}"/>
    <cellStyle name="Normal 3 2 3 3 3 4 2 3 2" xfId="53078" xr:uid="{00000000-0005-0000-0000-0000E9270000}"/>
    <cellStyle name="Normal 3 2 3 3 3 4 2 4" xfId="34703" xr:uid="{00000000-0005-0000-0000-0000EA270000}"/>
    <cellStyle name="Normal 3 2 3 3 3 4 3" xfId="2826" xr:uid="{00000000-0005-0000-0000-0000EB270000}"/>
    <cellStyle name="Normal 3 2 3 3 3 4 3 2" xfId="25146" xr:uid="{00000000-0005-0000-0000-0000EC270000}"/>
    <cellStyle name="Normal 3 2 3 3 3 4 3 2 2" xfId="57017" xr:uid="{00000000-0005-0000-0000-0000ED270000}"/>
    <cellStyle name="Normal 3 2 3 3 3 4 3 3" xfId="34705" xr:uid="{00000000-0005-0000-0000-0000EE270000}"/>
    <cellStyle name="Normal 3 2 3 3 3 4 4" xfId="17268" xr:uid="{00000000-0005-0000-0000-0000EF270000}"/>
    <cellStyle name="Normal 3 2 3 3 3 4 4 2" xfId="49139" xr:uid="{00000000-0005-0000-0000-0000F0270000}"/>
    <cellStyle name="Normal 3 2 3 3 3 4 5" xfId="34702" xr:uid="{00000000-0005-0000-0000-0000F1270000}"/>
    <cellStyle name="Normal 3 2 3 3 3 5" xfId="2827" xr:uid="{00000000-0005-0000-0000-0000F2270000}"/>
    <cellStyle name="Normal 3 2 3 3 3 5 2" xfId="2828" xr:uid="{00000000-0005-0000-0000-0000F3270000}"/>
    <cellStyle name="Normal 3 2 3 3 3 5 2 2" xfId="29078" xr:uid="{00000000-0005-0000-0000-0000F4270000}"/>
    <cellStyle name="Normal 3 2 3 3 3 5 2 2 2" xfId="60949" xr:uid="{00000000-0005-0000-0000-0000F5270000}"/>
    <cellStyle name="Normal 3 2 3 3 3 5 2 3" xfId="34707" xr:uid="{00000000-0005-0000-0000-0000F6270000}"/>
    <cellStyle name="Normal 3 2 3 3 3 5 3" xfId="21200" xr:uid="{00000000-0005-0000-0000-0000F7270000}"/>
    <cellStyle name="Normal 3 2 3 3 3 5 3 2" xfId="53071" xr:uid="{00000000-0005-0000-0000-0000F8270000}"/>
    <cellStyle name="Normal 3 2 3 3 3 5 4" xfId="34706" xr:uid="{00000000-0005-0000-0000-0000F9270000}"/>
    <cellStyle name="Normal 3 2 3 3 3 6" xfId="2829" xr:uid="{00000000-0005-0000-0000-0000FA270000}"/>
    <cellStyle name="Normal 3 2 3 3 3 6 2" xfId="25139" xr:uid="{00000000-0005-0000-0000-0000FB270000}"/>
    <cellStyle name="Normal 3 2 3 3 3 6 2 2" xfId="57010" xr:uid="{00000000-0005-0000-0000-0000FC270000}"/>
    <cellStyle name="Normal 3 2 3 3 3 6 3" xfId="34708" xr:uid="{00000000-0005-0000-0000-0000FD270000}"/>
    <cellStyle name="Normal 3 2 3 3 3 7" xfId="17261" xr:uid="{00000000-0005-0000-0000-0000FE270000}"/>
    <cellStyle name="Normal 3 2 3 3 3 7 2" xfId="49132" xr:uid="{00000000-0005-0000-0000-0000FF270000}"/>
    <cellStyle name="Normal 3 2 3 3 3 8" xfId="34677" xr:uid="{00000000-0005-0000-0000-000000280000}"/>
    <cellStyle name="Normal 3 2 3 3 4" xfId="2830" xr:uid="{00000000-0005-0000-0000-000001280000}"/>
    <cellStyle name="Normal 3 2 3 3 4 2" xfId="2831" xr:uid="{00000000-0005-0000-0000-000002280000}"/>
    <cellStyle name="Normal 3 2 3 3 4 2 2" xfId="2832" xr:uid="{00000000-0005-0000-0000-000003280000}"/>
    <cellStyle name="Normal 3 2 3 3 4 2 2 2" xfId="2833" xr:uid="{00000000-0005-0000-0000-000004280000}"/>
    <cellStyle name="Normal 3 2 3 3 4 2 2 2 2" xfId="2834" xr:uid="{00000000-0005-0000-0000-000005280000}"/>
    <cellStyle name="Normal 3 2 3 3 4 2 2 2 2 2" xfId="29088" xr:uid="{00000000-0005-0000-0000-000006280000}"/>
    <cellStyle name="Normal 3 2 3 3 4 2 2 2 2 2 2" xfId="60959" xr:uid="{00000000-0005-0000-0000-000007280000}"/>
    <cellStyle name="Normal 3 2 3 3 4 2 2 2 2 3" xfId="34713" xr:uid="{00000000-0005-0000-0000-000008280000}"/>
    <cellStyle name="Normal 3 2 3 3 4 2 2 2 3" xfId="21210" xr:uid="{00000000-0005-0000-0000-000009280000}"/>
    <cellStyle name="Normal 3 2 3 3 4 2 2 2 3 2" xfId="53081" xr:uid="{00000000-0005-0000-0000-00000A280000}"/>
    <cellStyle name="Normal 3 2 3 3 4 2 2 2 4" xfId="34712" xr:uid="{00000000-0005-0000-0000-00000B280000}"/>
    <cellStyle name="Normal 3 2 3 3 4 2 2 3" xfId="2835" xr:uid="{00000000-0005-0000-0000-00000C280000}"/>
    <cellStyle name="Normal 3 2 3 3 4 2 2 3 2" xfId="25149" xr:uid="{00000000-0005-0000-0000-00000D280000}"/>
    <cellStyle name="Normal 3 2 3 3 4 2 2 3 2 2" xfId="57020" xr:uid="{00000000-0005-0000-0000-00000E280000}"/>
    <cellStyle name="Normal 3 2 3 3 4 2 2 3 3" xfId="34714" xr:uid="{00000000-0005-0000-0000-00000F280000}"/>
    <cellStyle name="Normal 3 2 3 3 4 2 2 4" xfId="17271" xr:uid="{00000000-0005-0000-0000-000010280000}"/>
    <cellStyle name="Normal 3 2 3 3 4 2 2 4 2" xfId="49142" xr:uid="{00000000-0005-0000-0000-000011280000}"/>
    <cellStyle name="Normal 3 2 3 3 4 2 2 5" xfId="34711" xr:uid="{00000000-0005-0000-0000-000012280000}"/>
    <cellStyle name="Normal 3 2 3 3 4 2 3" xfId="2836" xr:uid="{00000000-0005-0000-0000-000013280000}"/>
    <cellStyle name="Normal 3 2 3 3 4 2 3 2" xfId="2837" xr:uid="{00000000-0005-0000-0000-000014280000}"/>
    <cellStyle name="Normal 3 2 3 3 4 2 3 2 2" xfId="29087" xr:uid="{00000000-0005-0000-0000-000015280000}"/>
    <cellStyle name="Normal 3 2 3 3 4 2 3 2 2 2" xfId="60958" xr:uid="{00000000-0005-0000-0000-000016280000}"/>
    <cellStyle name="Normal 3 2 3 3 4 2 3 2 3" xfId="34716" xr:uid="{00000000-0005-0000-0000-000017280000}"/>
    <cellStyle name="Normal 3 2 3 3 4 2 3 3" xfId="21209" xr:uid="{00000000-0005-0000-0000-000018280000}"/>
    <cellStyle name="Normal 3 2 3 3 4 2 3 3 2" xfId="53080" xr:uid="{00000000-0005-0000-0000-000019280000}"/>
    <cellStyle name="Normal 3 2 3 3 4 2 3 4" xfId="34715" xr:uid="{00000000-0005-0000-0000-00001A280000}"/>
    <cellStyle name="Normal 3 2 3 3 4 2 4" xfId="2838" xr:uid="{00000000-0005-0000-0000-00001B280000}"/>
    <cellStyle name="Normal 3 2 3 3 4 2 4 2" xfId="25148" xr:uid="{00000000-0005-0000-0000-00001C280000}"/>
    <cellStyle name="Normal 3 2 3 3 4 2 4 2 2" xfId="57019" xr:uid="{00000000-0005-0000-0000-00001D280000}"/>
    <cellStyle name="Normal 3 2 3 3 4 2 4 3" xfId="34717" xr:uid="{00000000-0005-0000-0000-00001E280000}"/>
    <cellStyle name="Normal 3 2 3 3 4 2 5" xfId="17270" xr:uid="{00000000-0005-0000-0000-00001F280000}"/>
    <cellStyle name="Normal 3 2 3 3 4 2 5 2" xfId="49141" xr:uid="{00000000-0005-0000-0000-000020280000}"/>
    <cellStyle name="Normal 3 2 3 3 4 2 6" xfId="34710" xr:uid="{00000000-0005-0000-0000-000021280000}"/>
    <cellStyle name="Normal 3 2 3 3 4 3" xfId="2839" xr:uid="{00000000-0005-0000-0000-000022280000}"/>
    <cellStyle name="Normal 3 2 3 3 4 3 2" xfId="2840" xr:uid="{00000000-0005-0000-0000-000023280000}"/>
    <cellStyle name="Normal 3 2 3 3 4 3 2 2" xfId="2841" xr:uid="{00000000-0005-0000-0000-000024280000}"/>
    <cellStyle name="Normal 3 2 3 3 4 3 2 2 2" xfId="29089" xr:uid="{00000000-0005-0000-0000-000025280000}"/>
    <cellStyle name="Normal 3 2 3 3 4 3 2 2 2 2" xfId="60960" xr:uid="{00000000-0005-0000-0000-000026280000}"/>
    <cellStyle name="Normal 3 2 3 3 4 3 2 2 3" xfId="34720" xr:uid="{00000000-0005-0000-0000-000027280000}"/>
    <cellStyle name="Normal 3 2 3 3 4 3 2 3" xfId="21211" xr:uid="{00000000-0005-0000-0000-000028280000}"/>
    <cellStyle name="Normal 3 2 3 3 4 3 2 3 2" xfId="53082" xr:uid="{00000000-0005-0000-0000-000029280000}"/>
    <cellStyle name="Normal 3 2 3 3 4 3 2 4" xfId="34719" xr:uid="{00000000-0005-0000-0000-00002A280000}"/>
    <cellStyle name="Normal 3 2 3 3 4 3 3" xfId="2842" xr:uid="{00000000-0005-0000-0000-00002B280000}"/>
    <cellStyle name="Normal 3 2 3 3 4 3 3 2" xfId="25150" xr:uid="{00000000-0005-0000-0000-00002C280000}"/>
    <cellStyle name="Normal 3 2 3 3 4 3 3 2 2" xfId="57021" xr:uid="{00000000-0005-0000-0000-00002D280000}"/>
    <cellStyle name="Normal 3 2 3 3 4 3 3 3" xfId="34721" xr:uid="{00000000-0005-0000-0000-00002E280000}"/>
    <cellStyle name="Normal 3 2 3 3 4 3 4" xfId="17272" xr:uid="{00000000-0005-0000-0000-00002F280000}"/>
    <cellStyle name="Normal 3 2 3 3 4 3 4 2" xfId="49143" xr:uid="{00000000-0005-0000-0000-000030280000}"/>
    <cellStyle name="Normal 3 2 3 3 4 3 5" xfId="34718" xr:uid="{00000000-0005-0000-0000-000031280000}"/>
    <cellStyle name="Normal 3 2 3 3 4 4" xfId="2843" xr:uid="{00000000-0005-0000-0000-000032280000}"/>
    <cellStyle name="Normal 3 2 3 3 4 4 2" xfId="2844" xr:uid="{00000000-0005-0000-0000-000033280000}"/>
    <cellStyle name="Normal 3 2 3 3 4 4 2 2" xfId="29086" xr:uid="{00000000-0005-0000-0000-000034280000}"/>
    <cellStyle name="Normal 3 2 3 3 4 4 2 2 2" xfId="60957" xr:uid="{00000000-0005-0000-0000-000035280000}"/>
    <cellStyle name="Normal 3 2 3 3 4 4 2 3" xfId="34723" xr:uid="{00000000-0005-0000-0000-000036280000}"/>
    <cellStyle name="Normal 3 2 3 3 4 4 3" xfId="21208" xr:uid="{00000000-0005-0000-0000-000037280000}"/>
    <cellStyle name="Normal 3 2 3 3 4 4 3 2" xfId="53079" xr:uid="{00000000-0005-0000-0000-000038280000}"/>
    <cellStyle name="Normal 3 2 3 3 4 4 4" xfId="34722" xr:uid="{00000000-0005-0000-0000-000039280000}"/>
    <cellStyle name="Normal 3 2 3 3 4 5" xfId="2845" xr:uid="{00000000-0005-0000-0000-00003A280000}"/>
    <cellStyle name="Normal 3 2 3 3 4 5 2" xfId="25147" xr:uid="{00000000-0005-0000-0000-00003B280000}"/>
    <cellStyle name="Normal 3 2 3 3 4 5 2 2" xfId="57018" xr:uid="{00000000-0005-0000-0000-00003C280000}"/>
    <cellStyle name="Normal 3 2 3 3 4 5 3" xfId="34724" xr:uid="{00000000-0005-0000-0000-00003D280000}"/>
    <cellStyle name="Normal 3 2 3 3 4 6" xfId="17269" xr:uid="{00000000-0005-0000-0000-00003E280000}"/>
    <cellStyle name="Normal 3 2 3 3 4 6 2" xfId="49140" xr:uid="{00000000-0005-0000-0000-00003F280000}"/>
    <cellStyle name="Normal 3 2 3 3 4 7" xfId="34709" xr:uid="{00000000-0005-0000-0000-000040280000}"/>
    <cellStyle name="Normal 3 2 3 3 5" xfId="2846" xr:uid="{00000000-0005-0000-0000-000041280000}"/>
    <cellStyle name="Normal 3 2 3 3 5 2" xfId="2847" xr:uid="{00000000-0005-0000-0000-000042280000}"/>
    <cellStyle name="Normal 3 2 3 3 5 2 2" xfId="2848" xr:uid="{00000000-0005-0000-0000-000043280000}"/>
    <cellStyle name="Normal 3 2 3 3 5 2 2 2" xfId="2849" xr:uid="{00000000-0005-0000-0000-000044280000}"/>
    <cellStyle name="Normal 3 2 3 3 5 2 2 2 2" xfId="29091" xr:uid="{00000000-0005-0000-0000-000045280000}"/>
    <cellStyle name="Normal 3 2 3 3 5 2 2 2 2 2" xfId="60962" xr:uid="{00000000-0005-0000-0000-000046280000}"/>
    <cellStyle name="Normal 3 2 3 3 5 2 2 2 3" xfId="34728" xr:uid="{00000000-0005-0000-0000-000047280000}"/>
    <cellStyle name="Normal 3 2 3 3 5 2 2 3" xfId="21213" xr:uid="{00000000-0005-0000-0000-000048280000}"/>
    <cellStyle name="Normal 3 2 3 3 5 2 2 3 2" xfId="53084" xr:uid="{00000000-0005-0000-0000-000049280000}"/>
    <cellStyle name="Normal 3 2 3 3 5 2 2 4" xfId="34727" xr:uid="{00000000-0005-0000-0000-00004A280000}"/>
    <cellStyle name="Normal 3 2 3 3 5 2 3" xfId="2850" xr:uid="{00000000-0005-0000-0000-00004B280000}"/>
    <cellStyle name="Normal 3 2 3 3 5 2 3 2" xfId="25152" xr:uid="{00000000-0005-0000-0000-00004C280000}"/>
    <cellStyle name="Normal 3 2 3 3 5 2 3 2 2" xfId="57023" xr:uid="{00000000-0005-0000-0000-00004D280000}"/>
    <cellStyle name="Normal 3 2 3 3 5 2 3 3" xfId="34729" xr:uid="{00000000-0005-0000-0000-00004E280000}"/>
    <cellStyle name="Normal 3 2 3 3 5 2 4" xfId="17274" xr:uid="{00000000-0005-0000-0000-00004F280000}"/>
    <cellStyle name="Normal 3 2 3 3 5 2 4 2" xfId="49145" xr:uid="{00000000-0005-0000-0000-000050280000}"/>
    <cellStyle name="Normal 3 2 3 3 5 2 5" xfId="34726" xr:uid="{00000000-0005-0000-0000-000051280000}"/>
    <cellStyle name="Normal 3 2 3 3 5 3" xfId="2851" xr:uid="{00000000-0005-0000-0000-000052280000}"/>
    <cellStyle name="Normal 3 2 3 3 5 3 2" xfId="2852" xr:uid="{00000000-0005-0000-0000-000053280000}"/>
    <cellStyle name="Normal 3 2 3 3 5 3 2 2" xfId="29090" xr:uid="{00000000-0005-0000-0000-000054280000}"/>
    <cellStyle name="Normal 3 2 3 3 5 3 2 2 2" xfId="60961" xr:uid="{00000000-0005-0000-0000-000055280000}"/>
    <cellStyle name="Normal 3 2 3 3 5 3 2 3" xfId="34731" xr:uid="{00000000-0005-0000-0000-000056280000}"/>
    <cellStyle name="Normal 3 2 3 3 5 3 3" xfId="21212" xr:uid="{00000000-0005-0000-0000-000057280000}"/>
    <cellStyle name="Normal 3 2 3 3 5 3 3 2" xfId="53083" xr:uid="{00000000-0005-0000-0000-000058280000}"/>
    <cellStyle name="Normal 3 2 3 3 5 3 4" xfId="34730" xr:uid="{00000000-0005-0000-0000-000059280000}"/>
    <cellStyle name="Normal 3 2 3 3 5 4" xfId="2853" xr:uid="{00000000-0005-0000-0000-00005A280000}"/>
    <cellStyle name="Normal 3 2 3 3 5 4 2" xfId="25151" xr:uid="{00000000-0005-0000-0000-00005B280000}"/>
    <cellStyle name="Normal 3 2 3 3 5 4 2 2" xfId="57022" xr:uid="{00000000-0005-0000-0000-00005C280000}"/>
    <cellStyle name="Normal 3 2 3 3 5 4 3" xfId="34732" xr:uid="{00000000-0005-0000-0000-00005D280000}"/>
    <cellStyle name="Normal 3 2 3 3 5 5" xfId="17273" xr:uid="{00000000-0005-0000-0000-00005E280000}"/>
    <cellStyle name="Normal 3 2 3 3 5 5 2" xfId="49144" xr:uid="{00000000-0005-0000-0000-00005F280000}"/>
    <cellStyle name="Normal 3 2 3 3 5 6" xfId="34725" xr:uid="{00000000-0005-0000-0000-000060280000}"/>
    <cellStyle name="Normal 3 2 3 3 6" xfId="2854" xr:uid="{00000000-0005-0000-0000-000061280000}"/>
    <cellStyle name="Normal 3 2 3 3 6 2" xfId="2855" xr:uid="{00000000-0005-0000-0000-000062280000}"/>
    <cellStyle name="Normal 3 2 3 3 6 2 2" xfId="2856" xr:uid="{00000000-0005-0000-0000-000063280000}"/>
    <cellStyle name="Normal 3 2 3 3 6 2 2 2" xfId="29092" xr:uid="{00000000-0005-0000-0000-000064280000}"/>
    <cellStyle name="Normal 3 2 3 3 6 2 2 2 2" xfId="60963" xr:uid="{00000000-0005-0000-0000-000065280000}"/>
    <cellStyle name="Normal 3 2 3 3 6 2 2 3" xfId="34735" xr:uid="{00000000-0005-0000-0000-000066280000}"/>
    <cellStyle name="Normal 3 2 3 3 6 2 3" xfId="21214" xr:uid="{00000000-0005-0000-0000-000067280000}"/>
    <cellStyle name="Normal 3 2 3 3 6 2 3 2" xfId="53085" xr:uid="{00000000-0005-0000-0000-000068280000}"/>
    <cellStyle name="Normal 3 2 3 3 6 2 4" xfId="34734" xr:uid="{00000000-0005-0000-0000-000069280000}"/>
    <cellStyle name="Normal 3 2 3 3 6 3" xfId="2857" xr:uid="{00000000-0005-0000-0000-00006A280000}"/>
    <cellStyle name="Normal 3 2 3 3 6 3 2" xfId="25153" xr:uid="{00000000-0005-0000-0000-00006B280000}"/>
    <cellStyle name="Normal 3 2 3 3 6 3 2 2" xfId="57024" xr:uid="{00000000-0005-0000-0000-00006C280000}"/>
    <cellStyle name="Normal 3 2 3 3 6 3 3" xfId="34736" xr:uid="{00000000-0005-0000-0000-00006D280000}"/>
    <cellStyle name="Normal 3 2 3 3 6 4" xfId="17275" xr:uid="{00000000-0005-0000-0000-00006E280000}"/>
    <cellStyle name="Normal 3 2 3 3 6 4 2" xfId="49146" xr:uid="{00000000-0005-0000-0000-00006F280000}"/>
    <cellStyle name="Normal 3 2 3 3 6 5" xfId="34733" xr:uid="{00000000-0005-0000-0000-000070280000}"/>
    <cellStyle name="Normal 3 2 3 3 7" xfId="2858" xr:uid="{00000000-0005-0000-0000-000071280000}"/>
    <cellStyle name="Normal 3 2 3 3 7 2" xfId="2859" xr:uid="{00000000-0005-0000-0000-000072280000}"/>
    <cellStyle name="Normal 3 2 3 3 7 2 2" xfId="28308" xr:uid="{00000000-0005-0000-0000-000073280000}"/>
    <cellStyle name="Normal 3 2 3 3 7 2 2 2" xfId="60179" xr:uid="{00000000-0005-0000-0000-000074280000}"/>
    <cellStyle name="Normal 3 2 3 3 7 2 3" xfId="34738" xr:uid="{00000000-0005-0000-0000-000075280000}"/>
    <cellStyle name="Normal 3 2 3 3 7 3" xfId="20430" xr:uid="{00000000-0005-0000-0000-000076280000}"/>
    <cellStyle name="Normal 3 2 3 3 7 3 2" xfId="52301" xr:uid="{00000000-0005-0000-0000-000077280000}"/>
    <cellStyle name="Normal 3 2 3 3 7 4" xfId="34737" xr:uid="{00000000-0005-0000-0000-000078280000}"/>
    <cellStyle name="Normal 3 2 3 3 8" xfId="2860" xr:uid="{00000000-0005-0000-0000-000079280000}"/>
    <cellStyle name="Normal 3 2 3 3 8 2" xfId="24369" xr:uid="{00000000-0005-0000-0000-00007A280000}"/>
    <cellStyle name="Normal 3 2 3 3 8 2 2" xfId="56240" xr:uid="{00000000-0005-0000-0000-00007B280000}"/>
    <cellStyle name="Normal 3 2 3 3 8 3" xfId="34739" xr:uid="{00000000-0005-0000-0000-00007C280000}"/>
    <cellStyle name="Normal 3 2 3 3 9" xfId="16491" xr:uid="{00000000-0005-0000-0000-00007D280000}"/>
    <cellStyle name="Normal 3 2 3 3 9 2" xfId="48362" xr:uid="{00000000-0005-0000-0000-00007E280000}"/>
    <cellStyle name="Normal 3 2 3 4" xfId="2861" xr:uid="{00000000-0005-0000-0000-00007F280000}"/>
    <cellStyle name="Normal 3 2 3 4 10" xfId="34740" xr:uid="{00000000-0005-0000-0000-000080280000}"/>
    <cellStyle name="Normal 3 2 3 4 2" xfId="2862" xr:uid="{00000000-0005-0000-0000-000081280000}"/>
    <cellStyle name="Normal 3 2 3 4 2 2" xfId="2863" xr:uid="{00000000-0005-0000-0000-000082280000}"/>
    <cellStyle name="Normal 3 2 3 4 2 2 2" xfId="2864" xr:uid="{00000000-0005-0000-0000-000083280000}"/>
    <cellStyle name="Normal 3 2 3 4 2 2 2 2" xfId="2865" xr:uid="{00000000-0005-0000-0000-000084280000}"/>
    <cellStyle name="Normal 3 2 3 4 2 2 2 2 2" xfId="2866" xr:uid="{00000000-0005-0000-0000-000085280000}"/>
    <cellStyle name="Normal 3 2 3 4 2 2 2 2 2 2" xfId="2867" xr:uid="{00000000-0005-0000-0000-000086280000}"/>
    <cellStyle name="Normal 3 2 3 4 2 2 2 2 2 2 2" xfId="2868" xr:uid="{00000000-0005-0000-0000-000087280000}"/>
    <cellStyle name="Normal 3 2 3 4 2 2 2 2 2 2 2 2" xfId="29096" xr:uid="{00000000-0005-0000-0000-000088280000}"/>
    <cellStyle name="Normal 3 2 3 4 2 2 2 2 2 2 2 2 2" xfId="60967" xr:uid="{00000000-0005-0000-0000-000089280000}"/>
    <cellStyle name="Normal 3 2 3 4 2 2 2 2 2 2 2 3" xfId="34747" xr:uid="{00000000-0005-0000-0000-00008A280000}"/>
    <cellStyle name="Normal 3 2 3 4 2 2 2 2 2 2 3" xfId="21218" xr:uid="{00000000-0005-0000-0000-00008B280000}"/>
    <cellStyle name="Normal 3 2 3 4 2 2 2 2 2 2 3 2" xfId="53089" xr:uid="{00000000-0005-0000-0000-00008C280000}"/>
    <cellStyle name="Normal 3 2 3 4 2 2 2 2 2 2 4" xfId="34746" xr:uid="{00000000-0005-0000-0000-00008D280000}"/>
    <cellStyle name="Normal 3 2 3 4 2 2 2 2 2 3" xfId="2869" xr:uid="{00000000-0005-0000-0000-00008E280000}"/>
    <cellStyle name="Normal 3 2 3 4 2 2 2 2 2 3 2" xfId="25157" xr:uid="{00000000-0005-0000-0000-00008F280000}"/>
    <cellStyle name="Normal 3 2 3 4 2 2 2 2 2 3 2 2" xfId="57028" xr:uid="{00000000-0005-0000-0000-000090280000}"/>
    <cellStyle name="Normal 3 2 3 4 2 2 2 2 2 3 3" xfId="34748" xr:uid="{00000000-0005-0000-0000-000091280000}"/>
    <cellStyle name="Normal 3 2 3 4 2 2 2 2 2 4" xfId="17279" xr:uid="{00000000-0005-0000-0000-000092280000}"/>
    <cellStyle name="Normal 3 2 3 4 2 2 2 2 2 4 2" xfId="49150" xr:uid="{00000000-0005-0000-0000-000093280000}"/>
    <cellStyle name="Normal 3 2 3 4 2 2 2 2 2 5" xfId="34745" xr:uid="{00000000-0005-0000-0000-000094280000}"/>
    <cellStyle name="Normal 3 2 3 4 2 2 2 2 3" xfId="2870" xr:uid="{00000000-0005-0000-0000-000095280000}"/>
    <cellStyle name="Normal 3 2 3 4 2 2 2 2 3 2" xfId="2871" xr:uid="{00000000-0005-0000-0000-000096280000}"/>
    <cellStyle name="Normal 3 2 3 4 2 2 2 2 3 2 2" xfId="29095" xr:uid="{00000000-0005-0000-0000-000097280000}"/>
    <cellStyle name="Normal 3 2 3 4 2 2 2 2 3 2 2 2" xfId="60966" xr:uid="{00000000-0005-0000-0000-000098280000}"/>
    <cellStyle name="Normal 3 2 3 4 2 2 2 2 3 2 3" xfId="34750" xr:uid="{00000000-0005-0000-0000-000099280000}"/>
    <cellStyle name="Normal 3 2 3 4 2 2 2 2 3 3" xfId="21217" xr:uid="{00000000-0005-0000-0000-00009A280000}"/>
    <cellStyle name="Normal 3 2 3 4 2 2 2 2 3 3 2" xfId="53088" xr:uid="{00000000-0005-0000-0000-00009B280000}"/>
    <cellStyle name="Normal 3 2 3 4 2 2 2 2 3 4" xfId="34749" xr:uid="{00000000-0005-0000-0000-00009C280000}"/>
    <cellStyle name="Normal 3 2 3 4 2 2 2 2 4" xfId="2872" xr:uid="{00000000-0005-0000-0000-00009D280000}"/>
    <cellStyle name="Normal 3 2 3 4 2 2 2 2 4 2" xfId="25156" xr:uid="{00000000-0005-0000-0000-00009E280000}"/>
    <cellStyle name="Normal 3 2 3 4 2 2 2 2 4 2 2" xfId="57027" xr:uid="{00000000-0005-0000-0000-00009F280000}"/>
    <cellStyle name="Normal 3 2 3 4 2 2 2 2 4 3" xfId="34751" xr:uid="{00000000-0005-0000-0000-0000A0280000}"/>
    <cellStyle name="Normal 3 2 3 4 2 2 2 2 5" xfId="17278" xr:uid="{00000000-0005-0000-0000-0000A1280000}"/>
    <cellStyle name="Normal 3 2 3 4 2 2 2 2 5 2" xfId="49149" xr:uid="{00000000-0005-0000-0000-0000A2280000}"/>
    <cellStyle name="Normal 3 2 3 4 2 2 2 2 6" xfId="34744" xr:uid="{00000000-0005-0000-0000-0000A3280000}"/>
    <cellStyle name="Normal 3 2 3 4 2 2 2 3" xfId="2873" xr:uid="{00000000-0005-0000-0000-0000A4280000}"/>
    <cellStyle name="Normal 3 2 3 4 2 2 2 3 2" xfId="2874" xr:uid="{00000000-0005-0000-0000-0000A5280000}"/>
    <cellStyle name="Normal 3 2 3 4 2 2 2 3 2 2" xfId="2875" xr:uid="{00000000-0005-0000-0000-0000A6280000}"/>
    <cellStyle name="Normal 3 2 3 4 2 2 2 3 2 2 2" xfId="29097" xr:uid="{00000000-0005-0000-0000-0000A7280000}"/>
    <cellStyle name="Normal 3 2 3 4 2 2 2 3 2 2 2 2" xfId="60968" xr:uid="{00000000-0005-0000-0000-0000A8280000}"/>
    <cellStyle name="Normal 3 2 3 4 2 2 2 3 2 2 3" xfId="34754" xr:uid="{00000000-0005-0000-0000-0000A9280000}"/>
    <cellStyle name="Normal 3 2 3 4 2 2 2 3 2 3" xfId="21219" xr:uid="{00000000-0005-0000-0000-0000AA280000}"/>
    <cellStyle name="Normal 3 2 3 4 2 2 2 3 2 3 2" xfId="53090" xr:uid="{00000000-0005-0000-0000-0000AB280000}"/>
    <cellStyle name="Normal 3 2 3 4 2 2 2 3 2 4" xfId="34753" xr:uid="{00000000-0005-0000-0000-0000AC280000}"/>
    <cellStyle name="Normal 3 2 3 4 2 2 2 3 3" xfId="2876" xr:uid="{00000000-0005-0000-0000-0000AD280000}"/>
    <cellStyle name="Normal 3 2 3 4 2 2 2 3 3 2" xfId="25158" xr:uid="{00000000-0005-0000-0000-0000AE280000}"/>
    <cellStyle name="Normal 3 2 3 4 2 2 2 3 3 2 2" xfId="57029" xr:uid="{00000000-0005-0000-0000-0000AF280000}"/>
    <cellStyle name="Normal 3 2 3 4 2 2 2 3 3 3" xfId="34755" xr:uid="{00000000-0005-0000-0000-0000B0280000}"/>
    <cellStyle name="Normal 3 2 3 4 2 2 2 3 4" xfId="17280" xr:uid="{00000000-0005-0000-0000-0000B1280000}"/>
    <cellStyle name="Normal 3 2 3 4 2 2 2 3 4 2" xfId="49151" xr:uid="{00000000-0005-0000-0000-0000B2280000}"/>
    <cellStyle name="Normal 3 2 3 4 2 2 2 3 5" xfId="34752" xr:uid="{00000000-0005-0000-0000-0000B3280000}"/>
    <cellStyle name="Normal 3 2 3 4 2 2 2 4" xfId="2877" xr:uid="{00000000-0005-0000-0000-0000B4280000}"/>
    <cellStyle name="Normal 3 2 3 4 2 2 2 4 2" xfId="2878" xr:uid="{00000000-0005-0000-0000-0000B5280000}"/>
    <cellStyle name="Normal 3 2 3 4 2 2 2 4 2 2" xfId="29094" xr:uid="{00000000-0005-0000-0000-0000B6280000}"/>
    <cellStyle name="Normal 3 2 3 4 2 2 2 4 2 2 2" xfId="60965" xr:uid="{00000000-0005-0000-0000-0000B7280000}"/>
    <cellStyle name="Normal 3 2 3 4 2 2 2 4 2 3" xfId="34757" xr:uid="{00000000-0005-0000-0000-0000B8280000}"/>
    <cellStyle name="Normal 3 2 3 4 2 2 2 4 3" xfId="21216" xr:uid="{00000000-0005-0000-0000-0000B9280000}"/>
    <cellStyle name="Normal 3 2 3 4 2 2 2 4 3 2" xfId="53087" xr:uid="{00000000-0005-0000-0000-0000BA280000}"/>
    <cellStyle name="Normal 3 2 3 4 2 2 2 4 4" xfId="34756" xr:uid="{00000000-0005-0000-0000-0000BB280000}"/>
    <cellStyle name="Normal 3 2 3 4 2 2 2 5" xfId="2879" xr:uid="{00000000-0005-0000-0000-0000BC280000}"/>
    <cellStyle name="Normal 3 2 3 4 2 2 2 5 2" xfId="25155" xr:uid="{00000000-0005-0000-0000-0000BD280000}"/>
    <cellStyle name="Normal 3 2 3 4 2 2 2 5 2 2" xfId="57026" xr:uid="{00000000-0005-0000-0000-0000BE280000}"/>
    <cellStyle name="Normal 3 2 3 4 2 2 2 5 3" xfId="34758" xr:uid="{00000000-0005-0000-0000-0000BF280000}"/>
    <cellStyle name="Normal 3 2 3 4 2 2 2 6" xfId="17277" xr:uid="{00000000-0005-0000-0000-0000C0280000}"/>
    <cellStyle name="Normal 3 2 3 4 2 2 2 6 2" xfId="49148" xr:uid="{00000000-0005-0000-0000-0000C1280000}"/>
    <cellStyle name="Normal 3 2 3 4 2 2 2 7" xfId="34743" xr:uid="{00000000-0005-0000-0000-0000C2280000}"/>
    <cellStyle name="Normal 3 2 3 4 2 2 3" xfId="2880" xr:uid="{00000000-0005-0000-0000-0000C3280000}"/>
    <cellStyle name="Normal 3 2 3 4 2 2 3 2" xfId="2881" xr:uid="{00000000-0005-0000-0000-0000C4280000}"/>
    <cellStyle name="Normal 3 2 3 4 2 2 3 2 2" xfId="2882" xr:uid="{00000000-0005-0000-0000-0000C5280000}"/>
    <cellStyle name="Normal 3 2 3 4 2 2 3 2 2 2" xfId="2883" xr:uid="{00000000-0005-0000-0000-0000C6280000}"/>
    <cellStyle name="Normal 3 2 3 4 2 2 3 2 2 2 2" xfId="29099" xr:uid="{00000000-0005-0000-0000-0000C7280000}"/>
    <cellStyle name="Normal 3 2 3 4 2 2 3 2 2 2 2 2" xfId="60970" xr:uid="{00000000-0005-0000-0000-0000C8280000}"/>
    <cellStyle name="Normal 3 2 3 4 2 2 3 2 2 2 3" xfId="34762" xr:uid="{00000000-0005-0000-0000-0000C9280000}"/>
    <cellStyle name="Normal 3 2 3 4 2 2 3 2 2 3" xfId="21221" xr:uid="{00000000-0005-0000-0000-0000CA280000}"/>
    <cellStyle name="Normal 3 2 3 4 2 2 3 2 2 3 2" xfId="53092" xr:uid="{00000000-0005-0000-0000-0000CB280000}"/>
    <cellStyle name="Normal 3 2 3 4 2 2 3 2 2 4" xfId="34761" xr:uid="{00000000-0005-0000-0000-0000CC280000}"/>
    <cellStyle name="Normal 3 2 3 4 2 2 3 2 3" xfId="2884" xr:uid="{00000000-0005-0000-0000-0000CD280000}"/>
    <cellStyle name="Normal 3 2 3 4 2 2 3 2 3 2" xfId="25160" xr:uid="{00000000-0005-0000-0000-0000CE280000}"/>
    <cellStyle name="Normal 3 2 3 4 2 2 3 2 3 2 2" xfId="57031" xr:uid="{00000000-0005-0000-0000-0000CF280000}"/>
    <cellStyle name="Normal 3 2 3 4 2 2 3 2 3 3" xfId="34763" xr:uid="{00000000-0005-0000-0000-0000D0280000}"/>
    <cellStyle name="Normal 3 2 3 4 2 2 3 2 4" xfId="17282" xr:uid="{00000000-0005-0000-0000-0000D1280000}"/>
    <cellStyle name="Normal 3 2 3 4 2 2 3 2 4 2" xfId="49153" xr:uid="{00000000-0005-0000-0000-0000D2280000}"/>
    <cellStyle name="Normal 3 2 3 4 2 2 3 2 5" xfId="34760" xr:uid="{00000000-0005-0000-0000-0000D3280000}"/>
    <cellStyle name="Normal 3 2 3 4 2 2 3 3" xfId="2885" xr:uid="{00000000-0005-0000-0000-0000D4280000}"/>
    <cellStyle name="Normal 3 2 3 4 2 2 3 3 2" xfId="2886" xr:uid="{00000000-0005-0000-0000-0000D5280000}"/>
    <cellStyle name="Normal 3 2 3 4 2 2 3 3 2 2" xfId="29098" xr:uid="{00000000-0005-0000-0000-0000D6280000}"/>
    <cellStyle name="Normal 3 2 3 4 2 2 3 3 2 2 2" xfId="60969" xr:uid="{00000000-0005-0000-0000-0000D7280000}"/>
    <cellStyle name="Normal 3 2 3 4 2 2 3 3 2 3" xfId="34765" xr:uid="{00000000-0005-0000-0000-0000D8280000}"/>
    <cellStyle name="Normal 3 2 3 4 2 2 3 3 3" xfId="21220" xr:uid="{00000000-0005-0000-0000-0000D9280000}"/>
    <cellStyle name="Normal 3 2 3 4 2 2 3 3 3 2" xfId="53091" xr:uid="{00000000-0005-0000-0000-0000DA280000}"/>
    <cellStyle name="Normal 3 2 3 4 2 2 3 3 4" xfId="34764" xr:uid="{00000000-0005-0000-0000-0000DB280000}"/>
    <cellStyle name="Normal 3 2 3 4 2 2 3 4" xfId="2887" xr:uid="{00000000-0005-0000-0000-0000DC280000}"/>
    <cellStyle name="Normal 3 2 3 4 2 2 3 4 2" xfId="25159" xr:uid="{00000000-0005-0000-0000-0000DD280000}"/>
    <cellStyle name="Normal 3 2 3 4 2 2 3 4 2 2" xfId="57030" xr:uid="{00000000-0005-0000-0000-0000DE280000}"/>
    <cellStyle name="Normal 3 2 3 4 2 2 3 4 3" xfId="34766" xr:uid="{00000000-0005-0000-0000-0000DF280000}"/>
    <cellStyle name="Normal 3 2 3 4 2 2 3 5" xfId="17281" xr:uid="{00000000-0005-0000-0000-0000E0280000}"/>
    <cellStyle name="Normal 3 2 3 4 2 2 3 5 2" xfId="49152" xr:uid="{00000000-0005-0000-0000-0000E1280000}"/>
    <cellStyle name="Normal 3 2 3 4 2 2 3 6" xfId="34759" xr:uid="{00000000-0005-0000-0000-0000E2280000}"/>
    <cellStyle name="Normal 3 2 3 4 2 2 4" xfId="2888" xr:uid="{00000000-0005-0000-0000-0000E3280000}"/>
    <cellStyle name="Normal 3 2 3 4 2 2 4 2" xfId="2889" xr:uid="{00000000-0005-0000-0000-0000E4280000}"/>
    <cellStyle name="Normal 3 2 3 4 2 2 4 2 2" xfId="2890" xr:uid="{00000000-0005-0000-0000-0000E5280000}"/>
    <cellStyle name="Normal 3 2 3 4 2 2 4 2 2 2" xfId="29100" xr:uid="{00000000-0005-0000-0000-0000E6280000}"/>
    <cellStyle name="Normal 3 2 3 4 2 2 4 2 2 2 2" xfId="60971" xr:uid="{00000000-0005-0000-0000-0000E7280000}"/>
    <cellStyle name="Normal 3 2 3 4 2 2 4 2 2 3" xfId="34769" xr:uid="{00000000-0005-0000-0000-0000E8280000}"/>
    <cellStyle name="Normal 3 2 3 4 2 2 4 2 3" xfId="21222" xr:uid="{00000000-0005-0000-0000-0000E9280000}"/>
    <cellStyle name="Normal 3 2 3 4 2 2 4 2 3 2" xfId="53093" xr:uid="{00000000-0005-0000-0000-0000EA280000}"/>
    <cellStyle name="Normal 3 2 3 4 2 2 4 2 4" xfId="34768" xr:uid="{00000000-0005-0000-0000-0000EB280000}"/>
    <cellStyle name="Normal 3 2 3 4 2 2 4 3" xfId="2891" xr:uid="{00000000-0005-0000-0000-0000EC280000}"/>
    <cellStyle name="Normal 3 2 3 4 2 2 4 3 2" xfId="25161" xr:uid="{00000000-0005-0000-0000-0000ED280000}"/>
    <cellStyle name="Normal 3 2 3 4 2 2 4 3 2 2" xfId="57032" xr:uid="{00000000-0005-0000-0000-0000EE280000}"/>
    <cellStyle name="Normal 3 2 3 4 2 2 4 3 3" xfId="34770" xr:uid="{00000000-0005-0000-0000-0000EF280000}"/>
    <cellStyle name="Normal 3 2 3 4 2 2 4 4" xfId="17283" xr:uid="{00000000-0005-0000-0000-0000F0280000}"/>
    <cellStyle name="Normal 3 2 3 4 2 2 4 4 2" xfId="49154" xr:uid="{00000000-0005-0000-0000-0000F1280000}"/>
    <cellStyle name="Normal 3 2 3 4 2 2 4 5" xfId="34767" xr:uid="{00000000-0005-0000-0000-0000F2280000}"/>
    <cellStyle name="Normal 3 2 3 4 2 2 5" xfId="2892" xr:uid="{00000000-0005-0000-0000-0000F3280000}"/>
    <cellStyle name="Normal 3 2 3 4 2 2 5 2" xfId="2893" xr:uid="{00000000-0005-0000-0000-0000F4280000}"/>
    <cellStyle name="Normal 3 2 3 4 2 2 5 2 2" xfId="29093" xr:uid="{00000000-0005-0000-0000-0000F5280000}"/>
    <cellStyle name="Normal 3 2 3 4 2 2 5 2 2 2" xfId="60964" xr:uid="{00000000-0005-0000-0000-0000F6280000}"/>
    <cellStyle name="Normal 3 2 3 4 2 2 5 2 3" xfId="34772" xr:uid="{00000000-0005-0000-0000-0000F7280000}"/>
    <cellStyle name="Normal 3 2 3 4 2 2 5 3" xfId="21215" xr:uid="{00000000-0005-0000-0000-0000F8280000}"/>
    <cellStyle name="Normal 3 2 3 4 2 2 5 3 2" xfId="53086" xr:uid="{00000000-0005-0000-0000-0000F9280000}"/>
    <cellStyle name="Normal 3 2 3 4 2 2 5 4" xfId="34771" xr:uid="{00000000-0005-0000-0000-0000FA280000}"/>
    <cellStyle name="Normal 3 2 3 4 2 2 6" xfId="2894" xr:uid="{00000000-0005-0000-0000-0000FB280000}"/>
    <cellStyle name="Normal 3 2 3 4 2 2 6 2" xfId="25154" xr:uid="{00000000-0005-0000-0000-0000FC280000}"/>
    <cellStyle name="Normal 3 2 3 4 2 2 6 2 2" xfId="57025" xr:uid="{00000000-0005-0000-0000-0000FD280000}"/>
    <cellStyle name="Normal 3 2 3 4 2 2 6 3" xfId="34773" xr:uid="{00000000-0005-0000-0000-0000FE280000}"/>
    <cellStyle name="Normal 3 2 3 4 2 2 7" xfId="17276" xr:uid="{00000000-0005-0000-0000-0000FF280000}"/>
    <cellStyle name="Normal 3 2 3 4 2 2 7 2" xfId="49147" xr:uid="{00000000-0005-0000-0000-000000290000}"/>
    <cellStyle name="Normal 3 2 3 4 2 2 8" xfId="34742" xr:uid="{00000000-0005-0000-0000-000001290000}"/>
    <cellStyle name="Normal 3 2 3 4 2 3" xfId="2895" xr:uid="{00000000-0005-0000-0000-000002290000}"/>
    <cellStyle name="Normal 3 2 3 4 2 3 2" xfId="2896" xr:uid="{00000000-0005-0000-0000-000003290000}"/>
    <cellStyle name="Normal 3 2 3 4 2 3 2 2" xfId="2897" xr:uid="{00000000-0005-0000-0000-000004290000}"/>
    <cellStyle name="Normal 3 2 3 4 2 3 2 2 2" xfId="2898" xr:uid="{00000000-0005-0000-0000-000005290000}"/>
    <cellStyle name="Normal 3 2 3 4 2 3 2 2 2 2" xfId="2899" xr:uid="{00000000-0005-0000-0000-000006290000}"/>
    <cellStyle name="Normal 3 2 3 4 2 3 2 2 2 2 2" xfId="29103" xr:uid="{00000000-0005-0000-0000-000007290000}"/>
    <cellStyle name="Normal 3 2 3 4 2 3 2 2 2 2 2 2" xfId="60974" xr:uid="{00000000-0005-0000-0000-000008290000}"/>
    <cellStyle name="Normal 3 2 3 4 2 3 2 2 2 2 3" xfId="34778" xr:uid="{00000000-0005-0000-0000-000009290000}"/>
    <cellStyle name="Normal 3 2 3 4 2 3 2 2 2 3" xfId="21225" xr:uid="{00000000-0005-0000-0000-00000A290000}"/>
    <cellStyle name="Normal 3 2 3 4 2 3 2 2 2 3 2" xfId="53096" xr:uid="{00000000-0005-0000-0000-00000B290000}"/>
    <cellStyle name="Normal 3 2 3 4 2 3 2 2 2 4" xfId="34777" xr:uid="{00000000-0005-0000-0000-00000C290000}"/>
    <cellStyle name="Normal 3 2 3 4 2 3 2 2 3" xfId="2900" xr:uid="{00000000-0005-0000-0000-00000D290000}"/>
    <cellStyle name="Normal 3 2 3 4 2 3 2 2 3 2" xfId="25164" xr:uid="{00000000-0005-0000-0000-00000E290000}"/>
    <cellStyle name="Normal 3 2 3 4 2 3 2 2 3 2 2" xfId="57035" xr:uid="{00000000-0005-0000-0000-00000F290000}"/>
    <cellStyle name="Normal 3 2 3 4 2 3 2 2 3 3" xfId="34779" xr:uid="{00000000-0005-0000-0000-000010290000}"/>
    <cellStyle name="Normal 3 2 3 4 2 3 2 2 4" xfId="17286" xr:uid="{00000000-0005-0000-0000-000011290000}"/>
    <cellStyle name="Normal 3 2 3 4 2 3 2 2 4 2" xfId="49157" xr:uid="{00000000-0005-0000-0000-000012290000}"/>
    <cellStyle name="Normal 3 2 3 4 2 3 2 2 5" xfId="34776" xr:uid="{00000000-0005-0000-0000-000013290000}"/>
    <cellStyle name="Normal 3 2 3 4 2 3 2 3" xfId="2901" xr:uid="{00000000-0005-0000-0000-000014290000}"/>
    <cellStyle name="Normal 3 2 3 4 2 3 2 3 2" xfId="2902" xr:uid="{00000000-0005-0000-0000-000015290000}"/>
    <cellStyle name="Normal 3 2 3 4 2 3 2 3 2 2" xfId="29102" xr:uid="{00000000-0005-0000-0000-000016290000}"/>
    <cellStyle name="Normal 3 2 3 4 2 3 2 3 2 2 2" xfId="60973" xr:uid="{00000000-0005-0000-0000-000017290000}"/>
    <cellStyle name="Normal 3 2 3 4 2 3 2 3 2 3" xfId="34781" xr:uid="{00000000-0005-0000-0000-000018290000}"/>
    <cellStyle name="Normal 3 2 3 4 2 3 2 3 3" xfId="21224" xr:uid="{00000000-0005-0000-0000-000019290000}"/>
    <cellStyle name="Normal 3 2 3 4 2 3 2 3 3 2" xfId="53095" xr:uid="{00000000-0005-0000-0000-00001A290000}"/>
    <cellStyle name="Normal 3 2 3 4 2 3 2 3 4" xfId="34780" xr:uid="{00000000-0005-0000-0000-00001B290000}"/>
    <cellStyle name="Normal 3 2 3 4 2 3 2 4" xfId="2903" xr:uid="{00000000-0005-0000-0000-00001C290000}"/>
    <cellStyle name="Normal 3 2 3 4 2 3 2 4 2" xfId="25163" xr:uid="{00000000-0005-0000-0000-00001D290000}"/>
    <cellStyle name="Normal 3 2 3 4 2 3 2 4 2 2" xfId="57034" xr:uid="{00000000-0005-0000-0000-00001E290000}"/>
    <cellStyle name="Normal 3 2 3 4 2 3 2 4 3" xfId="34782" xr:uid="{00000000-0005-0000-0000-00001F290000}"/>
    <cellStyle name="Normal 3 2 3 4 2 3 2 5" xfId="17285" xr:uid="{00000000-0005-0000-0000-000020290000}"/>
    <cellStyle name="Normal 3 2 3 4 2 3 2 5 2" xfId="49156" xr:uid="{00000000-0005-0000-0000-000021290000}"/>
    <cellStyle name="Normal 3 2 3 4 2 3 2 6" xfId="34775" xr:uid="{00000000-0005-0000-0000-000022290000}"/>
    <cellStyle name="Normal 3 2 3 4 2 3 3" xfId="2904" xr:uid="{00000000-0005-0000-0000-000023290000}"/>
    <cellStyle name="Normal 3 2 3 4 2 3 3 2" xfId="2905" xr:uid="{00000000-0005-0000-0000-000024290000}"/>
    <cellStyle name="Normal 3 2 3 4 2 3 3 2 2" xfId="2906" xr:uid="{00000000-0005-0000-0000-000025290000}"/>
    <cellStyle name="Normal 3 2 3 4 2 3 3 2 2 2" xfId="29104" xr:uid="{00000000-0005-0000-0000-000026290000}"/>
    <cellStyle name="Normal 3 2 3 4 2 3 3 2 2 2 2" xfId="60975" xr:uid="{00000000-0005-0000-0000-000027290000}"/>
    <cellStyle name="Normal 3 2 3 4 2 3 3 2 2 3" xfId="34785" xr:uid="{00000000-0005-0000-0000-000028290000}"/>
    <cellStyle name="Normal 3 2 3 4 2 3 3 2 3" xfId="21226" xr:uid="{00000000-0005-0000-0000-000029290000}"/>
    <cellStyle name="Normal 3 2 3 4 2 3 3 2 3 2" xfId="53097" xr:uid="{00000000-0005-0000-0000-00002A290000}"/>
    <cellStyle name="Normal 3 2 3 4 2 3 3 2 4" xfId="34784" xr:uid="{00000000-0005-0000-0000-00002B290000}"/>
    <cellStyle name="Normal 3 2 3 4 2 3 3 3" xfId="2907" xr:uid="{00000000-0005-0000-0000-00002C290000}"/>
    <cellStyle name="Normal 3 2 3 4 2 3 3 3 2" xfId="25165" xr:uid="{00000000-0005-0000-0000-00002D290000}"/>
    <cellStyle name="Normal 3 2 3 4 2 3 3 3 2 2" xfId="57036" xr:uid="{00000000-0005-0000-0000-00002E290000}"/>
    <cellStyle name="Normal 3 2 3 4 2 3 3 3 3" xfId="34786" xr:uid="{00000000-0005-0000-0000-00002F290000}"/>
    <cellStyle name="Normal 3 2 3 4 2 3 3 4" xfId="17287" xr:uid="{00000000-0005-0000-0000-000030290000}"/>
    <cellStyle name="Normal 3 2 3 4 2 3 3 4 2" xfId="49158" xr:uid="{00000000-0005-0000-0000-000031290000}"/>
    <cellStyle name="Normal 3 2 3 4 2 3 3 5" xfId="34783" xr:uid="{00000000-0005-0000-0000-000032290000}"/>
    <cellStyle name="Normal 3 2 3 4 2 3 4" xfId="2908" xr:uid="{00000000-0005-0000-0000-000033290000}"/>
    <cellStyle name="Normal 3 2 3 4 2 3 4 2" xfId="2909" xr:uid="{00000000-0005-0000-0000-000034290000}"/>
    <cellStyle name="Normal 3 2 3 4 2 3 4 2 2" xfId="29101" xr:uid="{00000000-0005-0000-0000-000035290000}"/>
    <cellStyle name="Normal 3 2 3 4 2 3 4 2 2 2" xfId="60972" xr:uid="{00000000-0005-0000-0000-000036290000}"/>
    <cellStyle name="Normal 3 2 3 4 2 3 4 2 3" xfId="34788" xr:uid="{00000000-0005-0000-0000-000037290000}"/>
    <cellStyle name="Normal 3 2 3 4 2 3 4 3" xfId="21223" xr:uid="{00000000-0005-0000-0000-000038290000}"/>
    <cellStyle name="Normal 3 2 3 4 2 3 4 3 2" xfId="53094" xr:uid="{00000000-0005-0000-0000-000039290000}"/>
    <cellStyle name="Normal 3 2 3 4 2 3 4 4" xfId="34787" xr:uid="{00000000-0005-0000-0000-00003A290000}"/>
    <cellStyle name="Normal 3 2 3 4 2 3 5" xfId="2910" xr:uid="{00000000-0005-0000-0000-00003B290000}"/>
    <cellStyle name="Normal 3 2 3 4 2 3 5 2" xfId="25162" xr:uid="{00000000-0005-0000-0000-00003C290000}"/>
    <cellStyle name="Normal 3 2 3 4 2 3 5 2 2" xfId="57033" xr:uid="{00000000-0005-0000-0000-00003D290000}"/>
    <cellStyle name="Normal 3 2 3 4 2 3 5 3" xfId="34789" xr:uid="{00000000-0005-0000-0000-00003E290000}"/>
    <cellStyle name="Normal 3 2 3 4 2 3 6" xfId="17284" xr:uid="{00000000-0005-0000-0000-00003F290000}"/>
    <cellStyle name="Normal 3 2 3 4 2 3 6 2" xfId="49155" xr:uid="{00000000-0005-0000-0000-000040290000}"/>
    <cellStyle name="Normal 3 2 3 4 2 3 7" xfId="34774" xr:uid="{00000000-0005-0000-0000-000041290000}"/>
    <cellStyle name="Normal 3 2 3 4 2 4" xfId="2911" xr:uid="{00000000-0005-0000-0000-000042290000}"/>
    <cellStyle name="Normal 3 2 3 4 2 4 2" xfId="2912" xr:uid="{00000000-0005-0000-0000-000043290000}"/>
    <cellStyle name="Normal 3 2 3 4 2 4 2 2" xfId="2913" xr:uid="{00000000-0005-0000-0000-000044290000}"/>
    <cellStyle name="Normal 3 2 3 4 2 4 2 2 2" xfId="2914" xr:uid="{00000000-0005-0000-0000-000045290000}"/>
    <cellStyle name="Normal 3 2 3 4 2 4 2 2 2 2" xfId="29106" xr:uid="{00000000-0005-0000-0000-000046290000}"/>
    <cellStyle name="Normal 3 2 3 4 2 4 2 2 2 2 2" xfId="60977" xr:uid="{00000000-0005-0000-0000-000047290000}"/>
    <cellStyle name="Normal 3 2 3 4 2 4 2 2 2 3" xfId="34793" xr:uid="{00000000-0005-0000-0000-000048290000}"/>
    <cellStyle name="Normal 3 2 3 4 2 4 2 2 3" xfId="21228" xr:uid="{00000000-0005-0000-0000-000049290000}"/>
    <cellStyle name="Normal 3 2 3 4 2 4 2 2 3 2" xfId="53099" xr:uid="{00000000-0005-0000-0000-00004A290000}"/>
    <cellStyle name="Normal 3 2 3 4 2 4 2 2 4" xfId="34792" xr:uid="{00000000-0005-0000-0000-00004B290000}"/>
    <cellStyle name="Normal 3 2 3 4 2 4 2 3" xfId="2915" xr:uid="{00000000-0005-0000-0000-00004C290000}"/>
    <cellStyle name="Normal 3 2 3 4 2 4 2 3 2" xfId="25167" xr:uid="{00000000-0005-0000-0000-00004D290000}"/>
    <cellStyle name="Normal 3 2 3 4 2 4 2 3 2 2" xfId="57038" xr:uid="{00000000-0005-0000-0000-00004E290000}"/>
    <cellStyle name="Normal 3 2 3 4 2 4 2 3 3" xfId="34794" xr:uid="{00000000-0005-0000-0000-00004F290000}"/>
    <cellStyle name="Normal 3 2 3 4 2 4 2 4" xfId="17289" xr:uid="{00000000-0005-0000-0000-000050290000}"/>
    <cellStyle name="Normal 3 2 3 4 2 4 2 4 2" xfId="49160" xr:uid="{00000000-0005-0000-0000-000051290000}"/>
    <cellStyle name="Normal 3 2 3 4 2 4 2 5" xfId="34791" xr:uid="{00000000-0005-0000-0000-000052290000}"/>
    <cellStyle name="Normal 3 2 3 4 2 4 3" xfId="2916" xr:uid="{00000000-0005-0000-0000-000053290000}"/>
    <cellStyle name="Normal 3 2 3 4 2 4 3 2" xfId="2917" xr:uid="{00000000-0005-0000-0000-000054290000}"/>
    <cellStyle name="Normal 3 2 3 4 2 4 3 2 2" xfId="29105" xr:uid="{00000000-0005-0000-0000-000055290000}"/>
    <cellStyle name="Normal 3 2 3 4 2 4 3 2 2 2" xfId="60976" xr:uid="{00000000-0005-0000-0000-000056290000}"/>
    <cellStyle name="Normal 3 2 3 4 2 4 3 2 3" xfId="34796" xr:uid="{00000000-0005-0000-0000-000057290000}"/>
    <cellStyle name="Normal 3 2 3 4 2 4 3 3" xfId="21227" xr:uid="{00000000-0005-0000-0000-000058290000}"/>
    <cellStyle name="Normal 3 2 3 4 2 4 3 3 2" xfId="53098" xr:uid="{00000000-0005-0000-0000-000059290000}"/>
    <cellStyle name="Normal 3 2 3 4 2 4 3 4" xfId="34795" xr:uid="{00000000-0005-0000-0000-00005A290000}"/>
    <cellStyle name="Normal 3 2 3 4 2 4 4" xfId="2918" xr:uid="{00000000-0005-0000-0000-00005B290000}"/>
    <cellStyle name="Normal 3 2 3 4 2 4 4 2" xfId="25166" xr:uid="{00000000-0005-0000-0000-00005C290000}"/>
    <cellStyle name="Normal 3 2 3 4 2 4 4 2 2" xfId="57037" xr:uid="{00000000-0005-0000-0000-00005D290000}"/>
    <cellStyle name="Normal 3 2 3 4 2 4 4 3" xfId="34797" xr:uid="{00000000-0005-0000-0000-00005E290000}"/>
    <cellStyle name="Normal 3 2 3 4 2 4 5" xfId="17288" xr:uid="{00000000-0005-0000-0000-00005F290000}"/>
    <cellStyle name="Normal 3 2 3 4 2 4 5 2" xfId="49159" xr:uid="{00000000-0005-0000-0000-000060290000}"/>
    <cellStyle name="Normal 3 2 3 4 2 4 6" xfId="34790" xr:uid="{00000000-0005-0000-0000-000061290000}"/>
    <cellStyle name="Normal 3 2 3 4 2 5" xfId="2919" xr:uid="{00000000-0005-0000-0000-000062290000}"/>
    <cellStyle name="Normal 3 2 3 4 2 5 2" xfId="2920" xr:uid="{00000000-0005-0000-0000-000063290000}"/>
    <cellStyle name="Normal 3 2 3 4 2 5 2 2" xfId="2921" xr:uid="{00000000-0005-0000-0000-000064290000}"/>
    <cellStyle name="Normal 3 2 3 4 2 5 2 2 2" xfId="29107" xr:uid="{00000000-0005-0000-0000-000065290000}"/>
    <cellStyle name="Normal 3 2 3 4 2 5 2 2 2 2" xfId="60978" xr:uid="{00000000-0005-0000-0000-000066290000}"/>
    <cellStyle name="Normal 3 2 3 4 2 5 2 2 3" xfId="34800" xr:uid="{00000000-0005-0000-0000-000067290000}"/>
    <cellStyle name="Normal 3 2 3 4 2 5 2 3" xfId="21229" xr:uid="{00000000-0005-0000-0000-000068290000}"/>
    <cellStyle name="Normal 3 2 3 4 2 5 2 3 2" xfId="53100" xr:uid="{00000000-0005-0000-0000-000069290000}"/>
    <cellStyle name="Normal 3 2 3 4 2 5 2 4" xfId="34799" xr:uid="{00000000-0005-0000-0000-00006A290000}"/>
    <cellStyle name="Normal 3 2 3 4 2 5 3" xfId="2922" xr:uid="{00000000-0005-0000-0000-00006B290000}"/>
    <cellStyle name="Normal 3 2 3 4 2 5 3 2" xfId="25168" xr:uid="{00000000-0005-0000-0000-00006C290000}"/>
    <cellStyle name="Normal 3 2 3 4 2 5 3 2 2" xfId="57039" xr:uid="{00000000-0005-0000-0000-00006D290000}"/>
    <cellStyle name="Normal 3 2 3 4 2 5 3 3" xfId="34801" xr:uid="{00000000-0005-0000-0000-00006E290000}"/>
    <cellStyle name="Normal 3 2 3 4 2 5 4" xfId="17290" xr:uid="{00000000-0005-0000-0000-00006F290000}"/>
    <cellStyle name="Normal 3 2 3 4 2 5 4 2" xfId="49161" xr:uid="{00000000-0005-0000-0000-000070290000}"/>
    <cellStyle name="Normal 3 2 3 4 2 5 5" xfId="34798" xr:uid="{00000000-0005-0000-0000-000071290000}"/>
    <cellStyle name="Normal 3 2 3 4 2 6" xfId="2923" xr:uid="{00000000-0005-0000-0000-000072290000}"/>
    <cellStyle name="Normal 3 2 3 4 2 6 2" xfId="2924" xr:uid="{00000000-0005-0000-0000-000073290000}"/>
    <cellStyle name="Normal 3 2 3 4 2 6 2 2" xfId="28472" xr:uid="{00000000-0005-0000-0000-000074290000}"/>
    <cellStyle name="Normal 3 2 3 4 2 6 2 2 2" xfId="60343" xr:uid="{00000000-0005-0000-0000-000075290000}"/>
    <cellStyle name="Normal 3 2 3 4 2 6 2 3" xfId="34803" xr:uid="{00000000-0005-0000-0000-000076290000}"/>
    <cellStyle name="Normal 3 2 3 4 2 6 3" xfId="20594" xr:uid="{00000000-0005-0000-0000-000077290000}"/>
    <cellStyle name="Normal 3 2 3 4 2 6 3 2" xfId="52465" xr:uid="{00000000-0005-0000-0000-000078290000}"/>
    <cellStyle name="Normal 3 2 3 4 2 6 4" xfId="34802" xr:uid="{00000000-0005-0000-0000-000079290000}"/>
    <cellStyle name="Normal 3 2 3 4 2 7" xfId="2925" xr:uid="{00000000-0005-0000-0000-00007A290000}"/>
    <cellStyle name="Normal 3 2 3 4 2 7 2" xfId="24533" xr:uid="{00000000-0005-0000-0000-00007B290000}"/>
    <cellStyle name="Normal 3 2 3 4 2 7 2 2" xfId="56404" xr:uid="{00000000-0005-0000-0000-00007C290000}"/>
    <cellStyle name="Normal 3 2 3 4 2 7 3" xfId="34804" xr:uid="{00000000-0005-0000-0000-00007D290000}"/>
    <cellStyle name="Normal 3 2 3 4 2 8" xfId="16655" xr:uid="{00000000-0005-0000-0000-00007E290000}"/>
    <cellStyle name="Normal 3 2 3 4 2 8 2" xfId="48526" xr:uid="{00000000-0005-0000-0000-00007F290000}"/>
    <cellStyle name="Normal 3 2 3 4 2 9" xfId="34741" xr:uid="{00000000-0005-0000-0000-000080290000}"/>
    <cellStyle name="Normal 3 2 3 4 3" xfId="2926" xr:uid="{00000000-0005-0000-0000-000081290000}"/>
    <cellStyle name="Normal 3 2 3 4 3 2" xfId="2927" xr:uid="{00000000-0005-0000-0000-000082290000}"/>
    <cellStyle name="Normal 3 2 3 4 3 2 2" xfId="2928" xr:uid="{00000000-0005-0000-0000-000083290000}"/>
    <cellStyle name="Normal 3 2 3 4 3 2 2 2" xfId="2929" xr:uid="{00000000-0005-0000-0000-000084290000}"/>
    <cellStyle name="Normal 3 2 3 4 3 2 2 2 2" xfId="2930" xr:uid="{00000000-0005-0000-0000-000085290000}"/>
    <cellStyle name="Normal 3 2 3 4 3 2 2 2 2 2" xfId="2931" xr:uid="{00000000-0005-0000-0000-000086290000}"/>
    <cellStyle name="Normal 3 2 3 4 3 2 2 2 2 2 2" xfId="29111" xr:uid="{00000000-0005-0000-0000-000087290000}"/>
    <cellStyle name="Normal 3 2 3 4 3 2 2 2 2 2 2 2" xfId="60982" xr:uid="{00000000-0005-0000-0000-000088290000}"/>
    <cellStyle name="Normal 3 2 3 4 3 2 2 2 2 2 3" xfId="34810" xr:uid="{00000000-0005-0000-0000-000089290000}"/>
    <cellStyle name="Normal 3 2 3 4 3 2 2 2 2 3" xfId="21233" xr:uid="{00000000-0005-0000-0000-00008A290000}"/>
    <cellStyle name="Normal 3 2 3 4 3 2 2 2 2 3 2" xfId="53104" xr:uid="{00000000-0005-0000-0000-00008B290000}"/>
    <cellStyle name="Normal 3 2 3 4 3 2 2 2 2 4" xfId="34809" xr:uid="{00000000-0005-0000-0000-00008C290000}"/>
    <cellStyle name="Normal 3 2 3 4 3 2 2 2 3" xfId="2932" xr:uid="{00000000-0005-0000-0000-00008D290000}"/>
    <cellStyle name="Normal 3 2 3 4 3 2 2 2 3 2" xfId="25172" xr:uid="{00000000-0005-0000-0000-00008E290000}"/>
    <cellStyle name="Normal 3 2 3 4 3 2 2 2 3 2 2" xfId="57043" xr:uid="{00000000-0005-0000-0000-00008F290000}"/>
    <cellStyle name="Normal 3 2 3 4 3 2 2 2 3 3" xfId="34811" xr:uid="{00000000-0005-0000-0000-000090290000}"/>
    <cellStyle name="Normal 3 2 3 4 3 2 2 2 4" xfId="17294" xr:uid="{00000000-0005-0000-0000-000091290000}"/>
    <cellStyle name="Normal 3 2 3 4 3 2 2 2 4 2" xfId="49165" xr:uid="{00000000-0005-0000-0000-000092290000}"/>
    <cellStyle name="Normal 3 2 3 4 3 2 2 2 5" xfId="34808" xr:uid="{00000000-0005-0000-0000-000093290000}"/>
    <cellStyle name="Normal 3 2 3 4 3 2 2 3" xfId="2933" xr:uid="{00000000-0005-0000-0000-000094290000}"/>
    <cellStyle name="Normal 3 2 3 4 3 2 2 3 2" xfId="2934" xr:uid="{00000000-0005-0000-0000-000095290000}"/>
    <cellStyle name="Normal 3 2 3 4 3 2 2 3 2 2" xfId="29110" xr:uid="{00000000-0005-0000-0000-000096290000}"/>
    <cellStyle name="Normal 3 2 3 4 3 2 2 3 2 2 2" xfId="60981" xr:uid="{00000000-0005-0000-0000-000097290000}"/>
    <cellStyle name="Normal 3 2 3 4 3 2 2 3 2 3" xfId="34813" xr:uid="{00000000-0005-0000-0000-000098290000}"/>
    <cellStyle name="Normal 3 2 3 4 3 2 2 3 3" xfId="21232" xr:uid="{00000000-0005-0000-0000-000099290000}"/>
    <cellStyle name="Normal 3 2 3 4 3 2 2 3 3 2" xfId="53103" xr:uid="{00000000-0005-0000-0000-00009A290000}"/>
    <cellStyle name="Normal 3 2 3 4 3 2 2 3 4" xfId="34812" xr:uid="{00000000-0005-0000-0000-00009B290000}"/>
    <cellStyle name="Normal 3 2 3 4 3 2 2 4" xfId="2935" xr:uid="{00000000-0005-0000-0000-00009C290000}"/>
    <cellStyle name="Normal 3 2 3 4 3 2 2 4 2" xfId="25171" xr:uid="{00000000-0005-0000-0000-00009D290000}"/>
    <cellStyle name="Normal 3 2 3 4 3 2 2 4 2 2" xfId="57042" xr:uid="{00000000-0005-0000-0000-00009E290000}"/>
    <cellStyle name="Normal 3 2 3 4 3 2 2 4 3" xfId="34814" xr:uid="{00000000-0005-0000-0000-00009F290000}"/>
    <cellStyle name="Normal 3 2 3 4 3 2 2 5" xfId="17293" xr:uid="{00000000-0005-0000-0000-0000A0290000}"/>
    <cellStyle name="Normal 3 2 3 4 3 2 2 5 2" xfId="49164" xr:uid="{00000000-0005-0000-0000-0000A1290000}"/>
    <cellStyle name="Normal 3 2 3 4 3 2 2 6" xfId="34807" xr:uid="{00000000-0005-0000-0000-0000A2290000}"/>
    <cellStyle name="Normal 3 2 3 4 3 2 3" xfId="2936" xr:uid="{00000000-0005-0000-0000-0000A3290000}"/>
    <cellStyle name="Normal 3 2 3 4 3 2 3 2" xfId="2937" xr:uid="{00000000-0005-0000-0000-0000A4290000}"/>
    <cellStyle name="Normal 3 2 3 4 3 2 3 2 2" xfId="2938" xr:uid="{00000000-0005-0000-0000-0000A5290000}"/>
    <cellStyle name="Normal 3 2 3 4 3 2 3 2 2 2" xfId="29112" xr:uid="{00000000-0005-0000-0000-0000A6290000}"/>
    <cellStyle name="Normal 3 2 3 4 3 2 3 2 2 2 2" xfId="60983" xr:uid="{00000000-0005-0000-0000-0000A7290000}"/>
    <cellStyle name="Normal 3 2 3 4 3 2 3 2 2 3" xfId="34817" xr:uid="{00000000-0005-0000-0000-0000A8290000}"/>
    <cellStyle name="Normal 3 2 3 4 3 2 3 2 3" xfId="21234" xr:uid="{00000000-0005-0000-0000-0000A9290000}"/>
    <cellStyle name="Normal 3 2 3 4 3 2 3 2 3 2" xfId="53105" xr:uid="{00000000-0005-0000-0000-0000AA290000}"/>
    <cellStyle name="Normal 3 2 3 4 3 2 3 2 4" xfId="34816" xr:uid="{00000000-0005-0000-0000-0000AB290000}"/>
    <cellStyle name="Normal 3 2 3 4 3 2 3 3" xfId="2939" xr:uid="{00000000-0005-0000-0000-0000AC290000}"/>
    <cellStyle name="Normal 3 2 3 4 3 2 3 3 2" xfId="25173" xr:uid="{00000000-0005-0000-0000-0000AD290000}"/>
    <cellStyle name="Normal 3 2 3 4 3 2 3 3 2 2" xfId="57044" xr:uid="{00000000-0005-0000-0000-0000AE290000}"/>
    <cellStyle name="Normal 3 2 3 4 3 2 3 3 3" xfId="34818" xr:uid="{00000000-0005-0000-0000-0000AF290000}"/>
    <cellStyle name="Normal 3 2 3 4 3 2 3 4" xfId="17295" xr:uid="{00000000-0005-0000-0000-0000B0290000}"/>
    <cellStyle name="Normal 3 2 3 4 3 2 3 4 2" xfId="49166" xr:uid="{00000000-0005-0000-0000-0000B1290000}"/>
    <cellStyle name="Normal 3 2 3 4 3 2 3 5" xfId="34815" xr:uid="{00000000-0005-0000-0000-0000B2290000}"/>
    <cellStyle name="Normal 3 2 3 4 3 2 4" xfId="2940" xr:uid="{00000000-0005-0000-0000-0000B3290000}"/>
    <cellStyle name="Normal 3 2 3 4 3 2 4 2" xfId="2941" xr:uid="{00000000-0005-0000-0000-0000B4290000}"/>
    <cellStyle name="Normal 3 2 3 4 3 2 4 2 2" xfId="29109" xr:uid="{00000000-0005-0000-0000-0000B5290000}"/>
    <cellStyle name="Normal 3 2 3 4 3 2 4 2 2 2" xfId="60980" xr:uid="{00000000-0005-0000-0000-0000B6290000}"/>
    <cellStyle name="Normal 3 2 3 4 3 2 4 2 3" xfId="34820" xr:uid="{00000000-0005-0000-0000-0000B7290000}"/>
    <cellStyle name="Normal 3 2 3 4 3 2 4 3" xfId="21231" xr:uid="{00000000-0005-0000-0000-0000B8290000}"/>
    <cellStyle name="Normal 3 2 3 4 3 2 4 3 2" xfId="53102" xr:uid="{00000000-0005-0000-0000-0000B9290000}"/>
    <cellStyle name="Normal 3 2 3 4 3 2 4 4" xfId="34819" xr:uid="{00000000-0005-0000-0000-0000BA290000}"/>
    <cellStyle name="Normal 3 2 3 4 3 2 5" xfId="2942" xr:uid="{00000000-0005-0000-0000-0000BB290000}"/>
    <cellStyle name="Normal 3 2 3 4 3 2 5 2" xfId="25170" xr:uid="{00000000-0005-0000-0000-0000BC290000}"/>
    <cellStyle name="Normal 3 2 3 4 3 2 5 2 2" xfId="57041" xr:uid="{00000000-0005-0000-0000-0000BD290000}"/>
    <cellStyle name="Normal 3 2 3 4 3 2 5 3" xfId="34821" xr:uid="{00000000-0005-0000-0000-0000BE290000}"/>
    <cellStyle name="Normal 3 2 3 4 3 2 6" xfId="17292" xr:uid="{00000000-0005-0000-0000-0000BF290000}"/>
    <cellStyle name="Normal 3 2 3 4 3 2 6 2" xfId="49163" xr:uid="{00000000-0005-0000-0000-0000C0290000}"/>
    <cellStyle name="Normal 3 2 3 4 3 2 7" xfId="34806" xr:uid="{00000000-0005-0000-0000-0000C1290000}"/>
    <cellStyle name="Normal 3 2 3 4 3 3" xfId="2943" xr:uid="{00000000-0005-0000-0000-0000C2290000}"/>
    <cellStyle name="Normal 3 2 3 4 3 3 2" xfId="2944" xr:uid="{00000000-0005-0000-0000-0000C3290000}"/>
    <cellStyle name="Normal 3 2 3 4 3 3 2 2" xfId="2945" xr:uid="{00000000-0005-0000-0000-0000C4290000}"/>
    <cellStyle name="Normal 3 2 3 4 3 3 2 2 2" xfId="2946" xr:uid="{00000000-0005-0000-0000-0000C5290000}"/>
    <cellStyle name="Normal 3 2 3 4 3 3 2 2 2 2" xfId="29114" xr:uid="{00000000-0005-0000-0000-0000C6290000}"/>
    <cellStyle name="Normal 3 2 3 4 3 3 2 2 2 2 2" xfId="60985" xr:uid="{00000000-0005-0000-0000-0000C7290000}"/>
    <cellStyle name="Normal 3 2 3 4 3 3 2 2 2 3" xfId="34825" xr:uid="{00000000-0005-0000-0000-0000C8290000}"/>
    <cellStyle name="Normal 3 2 3 4 3 3 2 2 3" xfId="21236" xr:uid="{00000000-0005-0000-0000-0000C9290000}"/>
    <cellStyle name="Normal 3 2 3 4 3 3 2 2 3 2" xfId="53107" xr:uid="{00000000-0005-0000-0000-0000CA290000}"/>
    <cellStyle name="Normal 3 2 3 4 3 3 2 2 4" xfId="34824" xr:uid="{00000000-0005-0000-0000-0000CB290000}"/>
    <cellStyle name="Normal 3 2 3 4 3 3 2 3" xfId="2947" xr:uid="{00000000-0005-0000-0000-0000CC290000}"/>
    <cellStyle name="Normal 3 2 3 4 3 3 2 3 2" xfId="25175" xr:uid="{00000000-0005-0000-0000-0000CD290000}"/>
    <cellStyle name="Normal 3 2 3 4 3 3 2 3 2 2" xfId="57046" xr:uid="{00000000-0005-0000-0000-0000CE290000}"/>
    <cellStyle name="Normal 3 2 3 4 3 3 2 3 3" xfId="34826" xr:uid="{00000000-0005-0000-0000-0000CF290000}"/>
    <cellStyle name="Normal 3 2 3 4 3 3 2 4" xfId="17297" xr:uid="{00000000-0005-0000-0000-0000D0290000}"/>
    <cellStyle name="Normal 3 2 3 4 3 3 2 4 2" xfId="49168" xr:uid="{00000000-0005-0000-0000-0000D1290000}"/>
    <cellStyle name="Normal 3 2 3 4 3 3 2 5" xfId="34823" xr:uid="{00000000-0005-0000-0000-0000D2290000}"/>
    <cellStyle name="Normal 3 2 3 4 3 3 3" xfId="2948" xr:uid="{00000000-0005-0000-0000-0000D3290000}"/>
    <cellStyle name="Normal 3 2 3 4 3 3 3 2" xfId="2949" xr:uid="{00000000-0005-0000-0000-0000D4290000}"/>
    <cellStyle name="Normal 3 2 3 4 3 3 3 2 2" xfId="29113" xr:uid="{00000000-0005-0000-0000-0000D5290000}"/>
    <cellStyle name="Normal 3 2 3 4 3 3 3 2 2 2" xfId="60984" xr:uid="{00000000-0005-0000-0000-0000D6290000}"/>
    <cellStyle name="Normal 3 2 3 4 3 3 3 2 3" xfId="34828" xr:uid="{00000000-0005-0000-0000-0000D7290000}"/>
    <cellStyle name="Normal 3 2 3 4 3 3 3 3" xfId="21235" xr:uid="{00000000-0005-0000-0000-0000D8290000}"/>
    <cellStyle name="Normal 3 2 3 4 3 3 3 3 2" xfId="53106" xr:uid="{00000000-0005-0000-0000-0000D9290000}"/>
    <cellStyle name="Normal 3 2 3 4 3 3 3 4" xfId="34827" xr:uid="{00000000-0005-0000-0000-0000DA290000}"/>
    <cellStyle name="Normal 3 2 3 4 3 3 4" xfId="2950" xr:uid="{00000000-0005-0000-0000-0000DB290000}"/>
    <cellStyle name="Normal 3 2 3 4 3 3 4 2" xfId="25174" xr:uid="{00000000-0005-0000-0000-0000DC290000}"/>
    <cellStyle name="Normal 3 2 3 4 3 3 4 2 2" xfId="57045" xr:uid="{00000000-0005-0000-0000-0000DD290000}"/>
    <cellStyle name="Normal 3 2 3 4 3 3 4 3" xfId="34829" xr:uid="{00000000-0005-0000-0000-0000DE290000}"/>
    <cellStyle name="Normal 3 2 3 4 3 3 5" xfId="17296" xr:uid="{00000000-0005-0000-0000-0000DF290000}"/>
    <cellStyle name="Normal 3 2 3 4 3 3 5 2" xfId="49167" xr:uid="{00000000-0005-0000-0000-0000E0290000}"/>
    <cellStyle name="Normal 3 2 3 4 3 3 6" xfId="34822" xr:uid="{00000000-0005-0000-0000-0000E1290000}"/>
    <cellStyle name="Normal 3 2 3 4 3 4" xfId="2951" xr:uid="{00000000-0005-0000-0000-0000E2290000}"/>
    <cellStyle name="Normal 3 2 3 4 3 4 2" xfId="2952" xr:uid="{00000000-0005-0000-0000-0000E3290000}"/>
    <cellStyle name="Normal 3 2 3 4 3 4 2 2" xfId="2953" xr:uid="{00000000-0005-0000-0000-0000E4290000}"/>
    <cellStyle name="Normal 3 2 3 4 3 4 2 2 2" xfId="29115" xr:uid="{00000000-0005-0000-0000-0000E5290000}"/>
    <cellStyle name="Normal 3 2 3 4 3 4 2 2 2 2" xfId="60986" xr:uid="{00000000-0005-0000-0000-0000E6290000}"/>
    <cellStyle name="Normal 3 2 3 4 3 4 2 2 3" xfId="34832" xr:uid="{00000000-0005-0000-0000-0000E7290000}"/>
    <cellStyle name="Normal 3 2 3 4 3 4 2 3" xfId="21237" xr:uid="{00000000-0005-0000-0000-0000E8290000}"/>
    <cellStyle name="Normal 3 2 3 4 3 4 2 3 2" xfId="53108" xr:uid="{00000000-0005-0000-0000-0000E9290000}"/>
    <cellStyle name="Normal 3 2 3 4 3 4 2 4" xfId="34831" xr:uid="{00000000-0005-0000-0000-0000EA290000}"/>
    <cellStyle name="Normal 3 2 3 4 3 4 3" xfId="2954" xr:uid="{00000000-0005-0000-0000-0000EB290000}"/>
    <cellStyle name="Normal 3 2 3 4 3 4 3 2" xfId="25176" xr:uid="{00000000-0005-0000-0000-0000EC290000}"/>
    <cellStyle name="Normal 3 2 3 4 3 4 3 2 2" xfId="57047" xr:uid="{00000000-0005-0000-0000-0000ED290000}"/>
    <cellStyle name="Normal 3 2 3 4 3 4 3 3" xfId="34833" xr:uid="{00000000-0005-0000-0000-0000EE290000}"/>
    <cellStyle name="Normal 3 2 3 4 3 4 4" xfId="17298" xr:uid="{00000000-0005-0000-0000-0000EF290000}"/>
    <cellStyle name="Normal 3 2 3 4 3 4 4 2" xfId="49169" xr:uid="{00000000-0005-0000-0000-0000F0290000}"/>
    <cellStyle name="Normal 3 2 3 4 3 4 5" xfId="34830" xr:uid="{00000000-0005-0000-0000-0000F1290000}"/>
    <cellStyle name="Normal 3 2 3 4 3 5" xfId="2955" xr:uid="{00000000-0005-0000-0000-0000F2290000}"/>
    <cellStyle name="Normal 3 2 3 4 3 5 2" xfId="2956" xr:uid="{00000000-0005-0000-0000-0000F3290000}"/>
    <cellStyle name="Normal 3 2 3 4 3 5 2 2" xfId="29108" xr:uid="{00000000-0005-0000-0000-0000F4290000}"/>
    <cellStyle name="Normal 3 2 3 4 3 5 2 2 2" xfId="60979" xr:uid="{00000000-0005-0000-0000-0000F5290000}"/>
    <cellStyle name="Normal 3 2 3 4 3 5 2 3" xfId="34835" xr:uid="{00000000-0005-0000-0000-0000F6290000}"/>
    <cellStyle name="Normal 3 2 3 4 3 5 3" xfId="21230" xr:uid="{00000000-0005-0000-0000-0000F7290000}"/>
    <cellStyle name="Normal 3 2 3 4 3 5 3 2" xfId="53101" xr:uid="{00000000-0005-0000-0000-0000F8290000}"/>
    <cellStyle name="Normal 3 2 3 4 3 5 4" xfId="34834" xr:uid="{00000000-0005-0000-0000-0000F9290000}"/>
    <cellStyle name="Normal 3 2 3 4 3 6" xfId="2957" xr:uid="{00000000-0005-0000-0000-0000FA290000}"/>
    <cellStyle name="Normal 3 2 3 4 3 6 2" xfId="25169" xr:uid="{00000000-0005-0000-0000-0000FB290000}"/>
    <cellStyle name="Normal 3 2 3 4 3 6 2 2" xfId="57040" xr:uid="{00000000-0005-0000-0000-0000FC290000}"/>
    <cellStyle name="Normal 3 2 3 4 3 6 3" xfId="34836" xr:uid="{00000000-0005-0000-0000-0000FD290000}"/>
    <cellStyle name="Normal 3 2 3 4 3 7" xfId="17291" xr:uid="{00000000-0005-0000-0000-0000FE290000}"/>
    <cellStyle name="Normal 3 2 3 4 3 7 2" xfId="49162" xr:uid="{00000000-0005-0000-0000-0000FF290000}"/>
    <cellStyle name="Normal 3 2 3 4 3 8" xfId="34805" xr:uid="{00000000-0005-0000-0000-0000002A0000}"/>
    <cellStyle name="Normal 3 2 3 4 4" xfId="2958" xr:uid="{00000000-0005-0000-0000-0000012A0000}"/>
    <cellStyle name="Normal 3 2 3 4 4 2" xfId="2959" xr:uid="{00000000-0005-0000-0000-0000022A0000}"/>
    <cellStyle name="Normal 3 2 3 4 4 2 2" xfId="2960" xr:uid="{00000000-0005-0000-0000-0000032A0000}"/>
    <cellStyle name="Normal 3 2 3 4 4 2 2 2" xfId="2961" xr:uid="{00000000-0005-0000-0000-0000042A0000}"/>
    <cellStyle name="Normal 3 2 3 4 4 2 2 2 2" xfId="2962" xr:uid="{00000000-0005-0000-0000-0000052A0000}"/>
    <cellStyle name="Normal 3 2 3 4 4 2 2 2 2 2" xfId="29118" xr:uid="{00000000-0005-0000-0000-0000062A0000}"/>
    <cellStyle name="Normal 3 2 3 4 4 2 2 2 2 2 2" xfId="60989" xr:uid="{00000000-0005-0000-0000-0000072A0000}"/>
    <cellStyle name="Normal 3 2 3 4 4 2 2 2 2 3" xfId="34841" xr:uid="{00000000-0005-0000-0000-0000082A0000}"/>
    <cellStyle name="Normal 3 2 3 4 4 2 2 2 3" xfId="21240" xr:uid="{00000000-0005-0000-0000-0000092A0000}"/>
    <cellStyle name="Normal 3 2 3 4 4 2 2 2 3 2" xfId="53111" xr:uid="{00000000-0005-0000-0000-00000A2A0000}"/>
    <cellStyle name="Normal 3 2 3 4 4 2 2 2 4" xfId="34840" xr:uid="{00000000-0005-0000-0000-00000B2A0000}"/>
    <cellStyle name="Normal 3 2 3 4 4 2 2 3" xfId="2963" xr:uid="{00000000-0005-0000-0000-00000C2A0000}"/>
    <cellStyle name="Normal 3 2 3 4 4 2 2 3 2" xfId="25179" xr:uid="{00000000-0005-0000-0000-00000D2A0000}"/>
    <cellStyle name="Normal 3 2 3 4 4 2 2 3 2 2" xfId="57050" xr:uid="{00000000-0005-0000-0000-00000E2A0000}"/>
    <cellStyle name="Normal 3 2 3 4 4 2 2 3 3" xfId="34842" xr:uid="{00000000-0005-0000-0000-00000F2A0000}"/>
    <cellStyle name="Normal 3 2 3 4 4 2 2 4" xfId="17301" xr:uid="{00000000-0005-0000-0000-0000102A0000}"/>
    <cellStyle name="Normal 3 2 3 4 4 2 2 4 2" xfId="49172" xr:uid="{00000000-0005-0000-0000-0000112A0000}"/>
    <cellStyle name="Normal 3 2 3 4 4 2 2 5" xfId="34839" xr:uid="{00000000-0005-0000-0000-0000122A0000}"/>
    <cellStyle name="Normal 3 2 3 4 4 2 3" xfId="2964" xr:uid="{00000000-0005-0000-0000-0000132A0000}"/>
    <cellStyle name="Normal 3 2 3 4 4 2 3 2" xfId="2965" xr:uid="{00000000-0005-0000-0000-0000142A0000}"/>
    <cellStyle name="Normal 3 2 3 4 4 2 3 2 2" xfId="29117" xr:uid="{00000000-0005-0000-0000-0000152A0000}"/>
    <cellStyle name="Normal 3 2 3 4 4 2 3 2 2 2" xfId="60988" xr:uid="{00000000-0005-0000-0000-0000162A0000}"/>
    <cellStyle name="Normal 3 2 3 4 4 2 3 2 3" xfId="34844" xr:uid="{00000000-0005-0000-0000-0000172A0000}"/>
    <cellStyle name="Normal 3 2 3 4 4 2 3 3" xfId="21239" xr:uid="{00000000-0005-0000-0000-0000182A0000}"/>
    <cellStyle name="Normal 3 2 3 4 4 2 3 3 2" xfId="53110" xr:uid="{00000000-0005-0000-0000-0000192A0000}"/>
    <cellStyle name="Normal 3 2 3 4 4 2 3 4" xfId="34843" xr:uid="{00000000-0005-0000-0000-00001A2A0000}"/>
    <cellStyle name="Normal 3 2 3 4 4 2 4" xfId="2966" xr:uid="{00000000-0005-0000-0000-00001B2A0000}"/>
    <cellStyle name="Normal 3 2 3 4 4 2 4 2" xfId="25178" xr:uid="{00000000-0005-0000-0000-00001C2A0000}"/>
    <cellStyle name="Normal 3 2 3 4 4 2 4 2 2" xfId="57049" xr:uid="{00000000-0005-0000-0000-00001D2A0000}"/>
    <cellStyle name="Normal 3 2 3 4 4 2 4 3" xfId="34845" xr:uid="{00000000-0005-0000-0000-00001E2A0000}"/>
    <cellStyle name="Normal 3 2 3 4 4 2 5" xfId="17300" xr:uid="{00000000-0005-0000-0000-00001F2A0000}"/>
    <cellStyle name="Normal 3 2 3 4 4 2 5 2" xfId="49171" xr:uid="{00000000-0005-0000-0000-0000202A0000}"/>
    <cellStyle name="Normal 3 2 3 4 4 2 6" xfId="34838" xr:uid="{00000000-0005-0000-0000-0000212A0000}"/>
    <cellStyle name="Normal 3 2 3 4 4 3" xfId="2967" xr:uid="{00000000-0005-0000-0000-0000222A0000}"/>
    <cellStyle name="Normal 3 2 3 4 4 3 2" xfId="2968" xr:uid="{00000000-0005-0000-0000-0000232A0000}"/>
    <cellStyle name="Normal 3 2 3 4 4 3 2 2" xfId="2969" xr:uid="{00000000-0005-0000-0000-0000242A0000}"/>
    <cellStyle name="Normal 3 2 3 4 4 3 2 2 2" xfId="29119" xr:uid="{00000000-0005-0000-0000-0000252A0000}"/>
    <cellStyle name="Normal 3 2 3 4 4 3 2 2 2 2" xfId="60990" xr:uid="{00000000-0005-0000-0000-0000262A0000}"/>
    <cellStyle name="Normal 3 2 3 4 4 3 2 2 3" xfId="34848" xr:uid="{00000000-0005-0000-0000-0000272A0000}"/>
    <cellStyle name="Normal 3 2 3 4 4 3 2 3" xfId="21241" xr:uid="{00000000-0005-0000-0000-0000282A0000}"/>
    <cellStyle name="Normal 3 2 3 4 4 3 2 3 2" xfId="53112" xr:uid="{00000000-0005-0000-0000-0000292A0000}"/>
    <cellStyle name="Normal 3 2 3 4 4 3 2 4" xfId="34847" xr:uid="{00000000-0005-0000-0000-00002A2A0000}"/>
    <cellStyle name="Normal 3 2 3 4 4 3 3" xfId="2970" xr:uid="{00000000-0005-0000-0000-00002B2A0000}"/>
    <cellStyle name="Normal 3 2 3 4 4 3 3 2" xfId="25180" xr:uid="{00000000-0005-0000-0000-00002C2A0000}"/>
    <cellStyle name="Normal 3 2 3 4 4 3 3 2 2" xfId="57051" xr:uid="{00000000-0005-0000-0000-00002D2A0000}"/>
    <cellStyle name="Normal 3 2 3 4 4 3 3 3" xfId="34849" xr:uid="{00000000-0005-0000-0000-00002E2A0000}"/>
    <cellStyle name="Normal 3 2 3 4 4 3 4" xfId="17302" xr:uid="{00000000-0005-0000-0000-00002F2A0000}"/>
    <cellStyle name="Normal 3 2 3 4 4 3 4 2" xfId="49173" xr:uid="{00000000-0005-0000-0000-0000302A0000}"/>
    <cellStyle name="Normal 3 2 3 4 4 3 5" xfId="34846" xr:uid="{00000000-0005-0000-0000-0000312A0000}"/>
    <cellStyle name="Normal 3 2 3 4 4 4" xfId="2971" xr:uid="{00000000-0005-0000-0000-0000322A0000}"/>
    <cellStyle name="Normal 3 2 3 4 4 4 2" xfId="2972" xr:uid="{00000000-0005-0000-0000-0000332A0000}"/>
    <cellStyle name="Normal 3 2 3 4 4 4 2 2" xfId="29116" xr:uid="{00000000-0005-0000-0000-0000342A0000}"/>
    <cellStyle name="Normal 3 2 3 4 4 4 2 2 2" xfId="60987" xr:uid="{00000000-0005-0000-0000-0000352A0000}"/>
    <cellStyle name="Normal 3 2 3 4 4 4 2 3" xfId="34851" xr:uid="{00000000-0005-0000-0000-0000362A0000}"/>
    <cellStyle name="Normal 3 2 3 4 4 4 3" xfId="21238" xr:uid="{00000000-0005-0000-0000-0000372A0000}"/>
    <cellStyle name="Normal 3 2 3 4 4 4 3 2" xfId="53109" xr:uid="{00000000-0005-0000-0000-0000382A0000}"/>
    <cellStyle name="Normal 3 2 3 4 4 4 4" xfId="34850" xr:uid="{00000000-0005-0000-0000-0000392A0000}"/>
    <cellStyle name="Normal 3 2 3 4 4 5" xfId="2973" xr:uid="{00000000-0005-0000-0000-00003A2A0000}"/>
    <cellStyle name="Normal 3 2 3 4 4 5 2" xfId="25177" xr:uid="{00000000-0005-0000-0000-00003B2A0000}"/>
    <cellStyle name="Normal 3 2 3 4 4 5 2 2" xfId="57048" xr:uid="{00000000-0005-0000-0000-00003C2A0000}"/>
    <cellStyle name="Normal 3 2 3 4 4 5 3" xfId="34852" xr:uid="{00000000-0005-0000-0000-00003D2A0000}"/>
    <cellStyle name="Normal 3 2 3 4 4 6" xfId="17299" xr:uid="{00000000-0005-0000-0000-00003E2A0000}"/>
    <cellStyle name="Normal 3 2 3 4 4 6 2" xfId="49170" xr:uid="{00000000-0005-0000-0000-00003F2A0000}"/>
    <cellStyle name="Normal 3 2 3 4 4 7" xfId="34837" xr:uid="{00000000-0005-0000-0000-0000402A0000}"/>
    <cellStyle name="Normal 3 2 3 4 5" xfId="2974" xr:uid="{00000000-0005-0000-0000-0000412A0000}"/>
    <cellStyle name="Normal 3 2 3 4 5 2" xfId="2975" xr:uid="{00000000-0005-0000-0000-0000422A0000}"/>
    <cellStyle name="Normal 3 2 3 4 5 2 2" xfId="2976" xr:uid="{00000000-0005-0000-0000-0000432A0000}"/>
    <cellStyle name="Normal 3 2 3 4 5 2 2 2" xfId="2977" xr:uid="{00000000-0005-0000-0000-0000442A0000}"/>
    <cellStyle name="Normal 3 2 3 4 5 2 2 2 2" xfId="29121" xr:uid="{00000000-0005-0000-0000-0000452A0000}"/>
    <cellStyle name="Normal 3 2 3 4 5 2 2 2 2 2" xfId="60992" xr:uid="{00000000-0005-0000-0000-0000462A0000}"/>
    <cellStyle name="Normal 3 2 3 4 5 2 2 2 3" xfId="34856" xr:uid="{00000000-0005-0000-0000-0000472A0000}"/>
    <cellStyle name="Normal 3 2 3 4 5 2 2 3" xfId="21243" xr:uid="{00000000-0005-0000-0000-0000482A0000}"/>
    <cellStyle name="Normal 3 2 3 4 5 2 2 3 2" xfId="53114" xr:uid="{00000000-0005-0000-0000-0000492A0000}"/>
    <cellStyle name="Normal 3 2 3 4 5 2 2 4" xfId="34855" xr:uid="{00000000-0005-0000-0000-00004A2A0000}"/>
    <cellStyle name="Normal 3 2 3 4 5 2 3" xfId="2978" xr:uid="{00000000-0005-0000-0000-00004B2A0000}"/>
    <cellStyle name="Normal 3 2 3 4 5 2 3 2" xfId="25182" xr:uid="{00000000-0005-0000-0000-00004C2A0000}"/>
    <cellStyle name="Normal 3 2 3 4 5 2 3 2 2" xfId="57053" xr:uid="{00000000-0005-0000-0000-00004D2A0000}"/>
    <cellStyle name="Normal 3 2 3 4 5 2 3 3" xfId="34857" xr:uid="{00000000-0005-0000-0000-00004E2A0000}"/>
    <cellStyle name="Normal 3 2 3 4 5 2 4" xfId="17304" xr:uid="{00000000-0005-0000-0000-00004F2A0000}"/>
    <cellStyle name="Normal 3 2 3 4 5 2 4 2" xfId="49175" xr:uid="{00000000-0005-0000-0000-0000502A0000}"/>
    <cellStyle name="Normal 3 2 3 4 5 2 5" xfId="34854" xr:uid="{00000000-0005-0000-0000-0000512A0000}"/>
    <cellStyle name="Normal 3 2 3 4 5 3" xfId="2979" xr:uid="{00000000-0005-0000-0000-0000522A0000}"/>
    <cellStyle name="Normal 3 2 3 4 5 3 2" xfId="2980" xr:uid="{00000000-0005-0000-0000-0000532A0000}"/>
    <cellStyle name="Normal 3 2 3 4 5 3 2 2" xfId="29120" xr:uid="{00000000-0005-0000-0000-0000542A0000}"/>
    <cellStyle name="Normal 3 2 3 4 5 3 2 2 2" xfId="60991" xr:uid="{00000000-0005-0000-0000-0000552A0000}"/>
    <cellStyle name="Normal 3 2 3 4 5 3 2 3" xfId="34859" xr:uid="{00000000-0005-0000-0000-0000562A0000}"/>
    <cellStyle name="Normal 3 2 3 4 5 3 3" xfId="21242" xr:uid="{00000000-0005-0000-0000-0000572A0000}"/>
    <cellStyle name="Normal 3 2 3 4 5 3 3 2" xfId="53113" xr:uid="{00000000-0005-0000-0000-0000582A0000}"/>
    <cellStyle name="Normal 3 2 3 4 5 3 4" xfId="34858" xr:uid="{00000000-0005-0000-0000-0000592A0000}"/>
    <cellStyle name="Normal 3 2 3 4 5 4" xfId="2981" xr:uid="{00000000-0005-0000-0000-00005A2A0000}"/>
    <cellStyle name="Normal 3 2 3 4 5 4 2" xfId="25181" xr:uid="{00000000-0005-0000-0000-00005B2A0000}"/>
    <cellStyle name="Normal 3 2 3 4 5 4 2 2" xfId="57052" xr:uid="{00000000-0005-0000-0000-00005C2A0000}"/>
    <cellStyle name="Normal 3 2 3 4 5 4 3" xfId="34860" xr:uid="{00000000-0005-0000-0000-00005D2A0000}"/>
    <cellStyle name="Normal 3 2 3 4 5 5" xfId="17303" xr:uid="{00000000-0005-0000-0000-00005E2A0000}"/>
    <cellStyle name="Normal 3 2 3 4 5 5 2" xfId="49174" xr:uid="{00000000-0005-0000-0000-00005F2A0000}"/>
    <cellStyle name="Normal 3 2 3 4 5 6" xfId="34853" xr:uid="{00000000-0005-0000-0000-0000602A0000}"/>
    <cellStyle name="Normal 3 2 3 4 6" xfId="2982" xr:uid="{00000000-0005-0000-0000-0000612A0000}"/>
    <cellStyle name="Normal 3 2 3 4 6 2" xfId="2983" xr:uid="{00000000-0005-0000-0000-0000622A0000}"/>
    <cellStyle name="Normal 3 2 3 4 6 2 2" xfId="2984" xr:uid="{00000000-0005-0000-0000-0000632A0000}"/>
    <cellStyle name="Normal 3 2 3 4 6 2 2 2" xfId="29122" xr:uid="{00000000-0005-0000-0000-0000642A0000}"/>
    <cellStyle name="Normal 3 2 3 4 6 2 2 2 2" xfId="60993" xr:uid="{00000000-0005-0000-0000-0000652A0000}"/>
    <cellStyle name="Normal 3 2 3 4 6 2 2 3" xfId="34863" xr:uid="{00000000-0005-0000-0000-0000662A0000}"/>
    <cellStyle name="Normal 3 2 3 4 6 2 3" xfId="21244" xr:uid="{00000000-0005-0000-0000-0000672A0000}"/>
    <cellStyle name="Normal 3 2 3 4 6 2 3 2" xfId="53115" xr:uid="{00000000-0005-0000-0000-0000682A0000}"/>
    <cellStyle name="Normal 3 2 3 4 6 2 4" xfId="34862" xr:uid="{00000000-0005-0000-0000-0000692A0000}"/>
    <cellStyle name="Normal 3 2 3 4 6 3" xfId="2985" xr:uid="{00000000-0005-0000-0000-00006A2A0000}"/>
    <cellStyle name="Normal 3 2 3 4 6 3 2" xfId="25183" xr:uid="{00000000-0005-0000-0000-00006B2A0000}"/>
    <cellStyle name="Normal 3 2 3 4 6 3 2 2" xfId="57054" xr:uid="{00000000-0005-0000-0000-00006C2A0000}"/>
    <cellStyle name="Normal 3 2 3 4 6 3 3" xfId="34864" xr:uid="{00000000-0005-0000-0000-00006D2A0000}"/>
    <cellStyle name="Normal 3 2 3 4 6 4" xfId="17305" xr:uid="{00000000-0005-0000-0000-00006E2A0000}"/>
    <cellStyle name="Normal 3 2 3 4 6 4 2" xfId="49176" xr:uid="{00000000-0005-0000-0000-00006F2A0000}"/>
    <cellStyle name="Normal 3 2 3 4 6 5" xfId="34861" xr:uid="{00000000-0005-0000-0000-0000702A0000}"/>
    <cellStyle name="Normal 3 2 3 4 7" xfId="2986" xr:uid="{00000000-0005-0000-0000-0000712A0000}"/>
    <cellStyle name="Normal 3 2 3 4 7 2" xfId="2987" xr:uid="{00000000-0005-0000-0000-0000722A0000}"/>
    <cellStyle name="Normal 3 2 3 4 7 2 2" xfId="28349" xr:uid="{00000000-0005-0000-0000-0000732A0000}"/>
    <cellStyle name="Normal 3 2 3 4 7 2 2 2" xfId="60220" xr:uid="{00000000-0005-0000-0000-0000742A0000}"/>
    <cellStyle name="Normal 3 2 3 4 7 2 3" xfId="34866" xr:uid="{00000000-0005-0000-0000-0000752A0000}"/>
    <cellStyle name="Normal 3 2 3 4 7 3" xfId="20471" xr:uid="{00000000-0005-0000-0000-0000762A0000}"/>
    <cellStyle name="Normal 3 2 3 4 7 3 2" xfId="52342" xr:uid="{00000000-0005-0000-0000-0000772A0000}"/>
    <cellStyle name="Normal 3 2 3 4 7 4" xfId="34865" xr:uid="{00000000-0005-0000-0000-0000782A0000}"/>
    <cellStyle name="Normal 3 2 3 4 8" xfId="2988" xr:uid="{00000000-0005-0000-0000-0000792A0000}"/>
    <cellStyle name="Normal 3 2 3 4 8 2" xfId="24410" xr:uid="{00000000-0005-0000-0000-00007A2A0000}"/>
    <cellStyle name="Normal 3 2 3 4 8 2 2" xfId="56281" xr:uid="{00000000-0005-0000-0000-00007B2A0000}"/>
    <cellStyle name="Normal 3 2 3 4 8 3" xfId="34867" xr:uid="{00000000-0005-0000-0000-00007C2A0000}"/>
    <cellStyle name="Normal 3 2 3 4 9" xfId="16532" xr:uid="{00000000-0005-0000-0000-00007D2A0000}"/>
    <cellStyle name="Normal 3 2 3 4 9 2" xfId="48403" xr:uid="{00000000-0005-0000-0000-00007E2A0000}"/>
    <cellStyle name="Normal 3 2 3 5" xfId="2989" xr:uid="{00000000-0005-0000-0000-00007F2A0000}"/>
    <cellStyle name="Normal 3 2 3 5 2" xfId="2990" xr:uid="{00000000-0005-0000-0000-0000802A0000}"/>
    <cellStyle name="Normal 3 2 3 5 2 2" xfId="2991" xr:uid="{00000000-0005-0000-0000-0000812A0000}"/>
    <cellStyle name="Normal 3 2 3 5 2 2 2" xfId="2992" xr:uid="{00000000-0005-0000-0000-0000822A0000}"/>
    <cellStyle name="Normal 3 2 3 5 2 2 2 2" xfId="2993" xr:uid="{00000000-0005-0000-0000-0000832A0000}"/>
    <cellStyle name="Normal 3 2 3 5 2 2 2 2 2" xfId="2994" xr:uid="{00000000-0005-0000-0000-0000842A0000}"/>
    <cellStyle name="Normal 3 2 3 5 2 2 2 2 2 2" xfId="2995" xr:uid="{00000000-0005-0000-0000-0000852A0000}"/>
    <cellStyle name="Normal 3 2 3 5 2 2 2 2 2 2 2" xfId="29126" xr:uid="{00000000-0005-0000-0000-0000862A0000}"/>
    <cellStyle name="Normal 3 2 3 5 2 2 2 2 2 2 2 2" xfId="60997" xr:uid="{00000000-0005-0000-0000-0000872A0000}"/>
    <cellStyle name="Normal 3 2 3 5 2 2 2 2 2 2 3" xfId="34874" xr:uid="{00000000-0005-0000-0000-0000882A0000}"/>
    <cellStyle name="Normal 3 2 3 5 2 2 2 2 2 3" xfId="21248" xr:uid="{00000000-0005-0000-0000-0000892A0000}"/>
    <cellStyle name="Normal 3 2 3 5 2 2 2 2 2 3 2" xfId="53119" xr:uid="{00000000-0005-0000-0000-00008A2A0000}"/>
    <cellStyle name="Normal 3 2 3 5 2 2 2 2 2 4" xfId="34873" xr:uid="{00000000-0005-0000-0000-00008B2A0000}"/>
    <cellStyle name="Normal 3 2 3 5 2 2 2 2 3" xfId="2996" xr:uid="{00000000-0005-0000-0000-00008C2A0000}"/>
    <cellStyle name="Normal 3 2 3 5 2 2 2 2 3 2" xfId="25187" xr:uid="{00000000-0005-0000-0000-00008D2A0000}"/>
    <cellStyle name="Normal 3 2 3 5 2 2 2 2 3 2 2" xfId="57058" xr:uid="{00000000-0005-0000-0000-00008E2A0000}"/>
    <cellStyle name="Normal 3 2 3 5 2 2 2 2 3 3" xfId="34875" xr:uid="{00000000-0005-0000-0000-00008F2A0000}"/>
    <cellStyle name="Normal 3 2 3 5 2 2 2 2 4" xfId="17309" xr:uid="{00000000-0005-0000-0000-0000902A0000}"/>
    <cellStyle name="Normal 3 2 3 5 2 2 2 2 4 2" xfId="49180" xr:uid="{00000000-0005-0000-0000-0000912A0000}"/>
    <cellStyle name="Normal 3 2 3 5 2 2 2 2 5" xfId="34872" xr:uid="{00000000-0005-0000-0000-0000922A0000}"/>
    <cellStyle name="Normal 3 2 3 5 2 2 2 3" xfId="2997" xr:uid="{00000000-0005-0000-0000-0000932A0000}"/>
    <cellStyle name="Normal 3 2 3 5 2 2 2 3 2" xfId="2998" xr:uid="{00000000-0005-0000-0000-0000942A0000}"/>
    <cellStyle name="Normal 3 2 3 5 2 2 2 3 2 2" xfId="29125" xr:uid="{00000000-0005-0000-0000-0000952A0000}"/>
    <cellStyle name="Normal 3 2 3 5 2 2 2 3 2 2 2" xfId="60996" xr:uid="{00000000-0005-0000-0000-0000962A0000}"/>
    <cellStyle name="Normal 3 2 3 5 2 2 2 3 2 3" xfId="34877" xr:uid="{00000000-0005-0000-0000-0000972A0000}"/>
    <cellStyle name="Normal 3 2 3 5 2 2 2 3 3" xfId="21247" xr:uid="{00000000-0005-0000-0000-0000982A0000}"/>
    <cellStyle name="Normal 3 2 3 5 2 2 2 3 3 2" xfId="53118" xr:uid="{00000000-0005-0000-0000-0000992A0000}"/>
    <cellStyle name="Normal 3 2 3 5 2 2 2 3 4" xfId="34876" xr:uid="{00000000-0005-0000-0000-00009A2A0000}"/>
    <cellStyle name="Normal 3 2 3 5 2 2 2 4" xfId="2999" xr:uid="{00000000-0005-0000-0000-00009B2A0000}"/>
    <cellStyle name="Normal 3 2 3 5 2 2 2 4 2" xfId="25186" xr:uid="{00000000-0005-0000-0000-00009C2A0000}"/>
    <cellStyle name="Normal 3 2 3 5 2 2 2 4 2 2" xfId="57057" xr:uid="{00000000-0005-0000-0000-00009D2A0000}"/>
    <cellStyle name="Normal 3 2 3 5 2 2 2 4 3" xfId="34878" xr:uid="{00000000-0005-0000-0000-00009E2A0000}"/>
    <cellStyle name="Normal 3 2 3 5 2 2 2 5" xfId="17308" xr:uid="{00000000-0005-0000-0000-00009F2A0000}"/>
    <cellStyle name="Normal 3 2 3 5 2 2 2 5 2" xfId="49179" xr:uid="{00000000-0005-0000-0000-0000A02A0000}"/>
    <cellStyle name="Normal 3 2 3 5 2 2 2 6" xfId="34871" xr:uid="{00000000-0005-0000-0000-0000A12A0000}"/>
    <cellStyle name="Normal 3 2 3 5 2 2 3" xfId="3000" xr:uid="{00000000-0005-0000-0000-0000A22A0000}"/>
    <cellStyle name="Normal 3 2 3 5 2 2 3 2" xfId="3001" xr:uid="{00000000-0005-0000-0000-0000A32A0000}"/>
    <cellStyle name="Normal 3 2 3 5 2 2 3 2 2" xfId="3002" xr:uid="{00000000-0005-0000-0000-0000A42A0000}"/>
    <cellStyle name="Normal 3 2 3 5 2 2 3 2 2 2" xfId="29127" xr:uid="{00000000-0005-0000-0000-0000A52A0000}"/>
    <cellStyle name="Normal 3 2 3 5 2 2 3 2 2 2 2" xfId="60998" xr:uid="{00000000-0005-0000-0000-0000A62A0000}"/>
    <cellStyle name="Normal 3 2 3 5 2 2 3 2 2 3" xfId="34881" xr:uid="{00000000-0005-0000-0000-0000A72A0000}"/>
    <cellStyle name="Normal 3 2 3 5 2 2 3 2 3" xfId="21249" xr:uid="{00000000-0005-0000-0000-0000A82A0000}"/>
    <cellStyle name="Normal 3 2 3 5 2 2 3 2 3 2" xfId="53120" xr:uid="{00000000-0005-0000-0000-0000A92A0000}"/>
    <cellStyle name="Normal 3 2 3 5 2 2 3 2 4" xfId="34880" xr:uid="{00000000-0005-0000-0000-0000AA2A0000}"/>
    <cellStyle name="Normal 3 2 3 5 2 2 3 3" xfId="3003" xr:uid="{00000000-0005-0000-0000-0000AB2A0000}"/>
    <cellStyle name="Normal 3 2 3 5 2 2 3 3 2" xfId="25188" xr:uid="{00000000-0005-0000-0000-0000AC2A0000}"/>
    <cellStyle name="Normal 3 2 3 5 2 2 3 3 2 2" xfId="57059" xr:uid="{00000000-0005-0000-0000-0000AD2A0000}"/>
    <cellStyle name="Normal 3 2 3 5 2 2 3 3 3" xfId="34882" xr:uid="{00000000-0005-0000-0000-0000AE2A0000}"/>
    <cellStyle name="Normal 3 2 3 5 2 2 3 4" xfId="17310" xr:uid="{00000000-0005-0000-0000-0000AF2A0000}"/>
    <cellStyle name="Normal 3 2 3 5 2 2 3 4 2" xfId="49181" xr:uid="{00000000-0005-0000-0000-0000B02A0000}"/>
    <cellStyle name="Normal 3 2 3 5 2 2 3 5" xfId="34879" xr:uid="{00000000-0005-0000-0000-0000B12A0000}"/>
    <cellStyle name="Normal 3 2 3 5 2 2 4" xfId="3004" xr:uid="{00000000-0005-0000-0000-0000B22A0000}"/>
    <cellStyle name="Normal 3 2 3 5 2 2 4 2" xfId="3005" xr:uid="{00000000-0005-0000-0000-0000B32A0000}"/>
    <cellStyle name="Normal 3 2 3 5 2 2 4 2 2" xfId="29124" xr:uid="{00000000-0005-0000-0000-0000B42A0000}"/>
    <cellStyle name="Normal 3 2 3 5 2 2 4 2 2 2" xfId="60995" xr:uid="{00000000-0005-0000-0000-0000B52A0000}"/>
    <cellStyle name="Normal 3 2 3 5 2 2 4 2 3" xfId="34884" xr:uid="{00000000-0005-0000-0000-0000B62A0000}"/>
    <cellStyle name="Normal 3 2 3 5 2 2 4 3" xfId="21246" xr:uid="{00000000-0005-0000-0000-0000B72A0000}"/>
    <cellStyle name="Normal 3 2 3 5 2 2 4 3 2" xfId="53117" xr:uid="{00000000-0005-0000-0000-0000B82A0000}"/>
    <cellStyle name="Normal 3 2 3 5 2 2 4 4" xfId="34883" xr:uid="{00000000-0005-0000-0000-0000B92A0000}"/>
    <cellStyle name="Normal 3 2 3 5 2 2 5" xfId="3006" xr:uid="{00000000-0005-0000-0000-0000BA2A0000}"/>
    <cellStyle name="Normal 3 2 3 5 2 2 5 2" xfId="25185" xr:uid="{00000000-0005-0000-0000-0000BB2A0000}"/>
    <cellStyle name="Normal 3 2 3 5 2 2 5 2 2" xfId="57056" xr:uid="{00000000-0005-0000-0000-0000BC2A0000}"/>
    <cellStyle name="Normal 3 2 3 5 2 2 5 3" xfId="34885" xr:uid="{00000000-0005-0000-0000-0000BD2A0000}"/>
    <cellStyle name="Normal 3 2 3 5 2 2 6" xfId="17307" xr:uid="{00000000-0005-0000-0000-0000BE2A0000}"/>
    <cellStyle name="Normal 3 2 3 5 2 2 6 2" xfId="49178" xr:uid="{00000000-0005-0000-0000-0000BF2A0000}"/>
    <cellStyle name="Normal 3 2 3 5 2 2 7" xfId="34870" xr:uid="{00000000-0005-0000-0000-0000C02A0000}"/>
    <cellStyle name="Normal 3 2 3 5 2 3" xfId="3007" xr:uid="{00000000-0005-0000-0000-0000C12A0000}"/>
    <cellStyle name="Normal 3 2 3 5 2 3 2" xfId="3008" xr:uid="{00000000-0005-0000-0000-0000C22A0000}"/>
    <cellStyle name="Normal 3 2 3 5 2 3 2 2" xfId="3009" xr:uid="{00000000-0005-0000-0000-0000C32A0000}"/>
    <cellStyle name="Normal 3 2 3 5 2 3 2 2 2" xfId="3010" xr:uid="{00000000-0005-0000-0000-0000C42A0000}"/>
    <cellStyle name="Normal 3 2 3 5 2 3 2 2 2 2" xfId="29129" xr:uid="{00000000-0005-0000-0000-0000C52A0000}"/>
    <cellStyle name="Normal 3 2 3 5 2 3 2 2 2 2 2" xfId="61000" xr:uid="{00000000-0005-0000-0000-0000C62A0000}"/>
    <cellStyle name="Normal 3 2 3 5 2 3 2 2 2 3" xfId="34889" xr:uid="{00000000-0005-0000-0000-0000C72A0000}"/>
    <cellStyle name="Normal 3 2 3 5 2 3 2 2 3" xfId="21251" xr:uid="{00000000-0005-0000-0000-0000C82A0000}"/>
    <cellStyle name="Normal 3 2 3 5 2 3 2 2 3 2" xfId="53122" xr:uid="{00000000-0005-0000-0000-0000C92A0000}"/>
    <cellStyle name="Normal 3 2 3 5 2 3 2 2 4" xfId="34888" xr:uid="{00000000-0005-0000-0000-0000CA2A0000}"/>
    <cellStyle name="Normal 3 2 3 5 2 3 2 3" xfId="3011" xr:uid="{00000000-0005-0000-0000-0000CB2A0000}"/>
    <cellStyle name="Normal 3 2 3 5 2 3 2 3 2" xfId="25190" xr:uid="{00000000-0005-0000-0000-0000CC2A0000}"/>
    <cellStyle name="Normal 3 2 3 5 2 3 2 3 2 2" xfId="57061" xr:uid="{00000000-0005-0000-0000-0000CD2A0000}"/>
    <cellStyle name="Normal 3 2 3 5 2 3 2 3 3" xfId="34890" xr:uid="{00000000-0005-0000-0000-0000CE2A0000}"/>
    <cellStyle name="Normal 3 2 3 5 2 3 2 4" xfId="17312" xr:uid="{00000000-0005-0000-0000-0000CF2A0000}"/>
    <cellStyle name="Normal 3 2 3 5 2 3 2 4 2" xfId="49183" xr:uid="{00000000-0005-0000-0000-0000D02A0000}"/>
    <cellStyle name="Normal 3 2 3 5 2 3 2 5" xfId="34887" xr:uid="{00000000-0005-0000-0000-0000D12A0000}"/>
    <cellStyle name="Normal 3 2 3 5 2 3 3" xfId="3012" xr:uid="{00000000-0005-0000-0000-0000D22A0000}"/>
    <cellStyle name="Normal 3 2 3 5 2 3 3 2" xfId="3013" xr:uid="{00000000-0005-0000-0000-0000D32A0000}"/>
    <cellStyle name="Normal 3 2 3 5 2 3 3 2 2" xfId="29128" xr:uid="{00000000-0005-0000-0000-0000D42A0000}"/>
    <cellStyle name="Normal 3 2 3 5 2 3 3 2 2 2" xfId="60999" xr:uid="{00000000-0005-0000-0000-0000D52A0000}"/>
    <cellStyle name="Normal 3 2 3 5 2 3 3 2 3" xfId="34892" xr:uid="{00000000-0005-0000-0000-0000D62A0000}"/>
    <cellStyle name="Normal 3 2 3 5 2 3 3 3" xfId="21250" xr:uid="{00000000-0005-0000-0000-0000D72A0000}"/>
    <cellStyle name="Normal 3 2 3 5 2 3 3 3 2" xfId="53121" xr:uid="{00000000-0005-0000-0000-0000D82A0000}"/>
    <cellStyle name="Normal 3 2 3 5 2 3 3 4" xfId="34891" xr:uid="{00000000-0005-0000-0000-0000D92A0000}"/>
    <cellStyle name="Normal 3 2 3 5 2 3 4" xfId="3014" xr:uid="{00000000-0005-0000-0000-0000DA2A0000}"/>
    <cellStyle name="Normal 3 2 3 5 2 3 4 2" xfId="25189" xr:uid="{00000000-0005-0000-0000-0000DB2A0000}"/>
    <cellStyle name="Normal 3 2 3 5 2 3 4 2 2" xfId="57060" xr:uid="{00000000-0005-0000-0000-0000DC2A0000}"/>
    <cellStyle name="Normal 3 2 3 5 2 3 4 3" xfId="34893" xr:uid="{00000000-0005-0000-0000-0000DD2A0000}"/>
    <cellStyle name="Normal 3 2 3 5 2 3 5" xfId="17311" xr:uid="{00000000-0005-0000-0000-0000DE2A0000}"/>
    <cellStyle name="Normal 3 2 3 5 2 3 5 2" xfId="49182" xr:uid="{00000000-0005-0000-0000-0000DF2A0000}"/>
    <cellStyle name="Normal 3 2 3 5 2 3 6" xfId="34886" xr:uid="{00000000-0005-0000-0000-0000E02A0000}"/>
    <cellStyle name="Normal 3 2 3 5 2 4" xfId="3015" xr:uid="{00000000-0005-0000-0000-0000E12A0000}"/>
    <cellStyle name="Normal 3 2 3 5 2 4 2" xfId="3016" xr:uid="{00000000-0005-0000-0000-0000E22A0000}"/>
    <cellStyle name="Normal 3 2 3 5 2 4 2 2" xfId="3017" xr:uid="{00000000-0005-0000-0000-0000E32A0000}"/>
    <cellStyle name="Normal 3 2 3 5 2 4 2 2 2" xfId="29130" xr:uid="{00000000-0005-0000-0000-0000E42A0000}"/>
    <cellStyle name="Normal 3 2 3 5 2 4 2 2 2 2" xfId="61001" xr:uid="{00000000-0005-0000-0000-0000E52A0000}"/>
    <cellStyle name="Normal 3 2 3 5 2 4 2 2 3" xfId="34896" xr:uid="{00000000-0005-0000-0000-0000E62A0000}"/>
    <cellStyle name="Normal 3 2 3 5 2 4 2 3" xfId="21252" xr:uid="{00000000-0005-0000-0000-0000E72A0000}"/>
    <cellStyle name="Normal 3 2 3 5 2 4 2 3 2" xfId="53123" xr:uid="{00000000-0005-0000-0000-0000E82A0000}"/>
    <cellStyle name="Normal 3 2 3 5 2 4 2 4" xfId="34895" xr:uid="{00000000-0005-0000-0000-0000E92A0000}"/>
    <cellStyle name="Normal 3 2 3 5 2 4 3" xfId="3018" xr:uid="{00000000-0005-0000-0000-0000EA2A0000}"/>
    <cellStyle name="Normal 3 2 3 5 2 4 3 2" xfId="25191" xr:uid="{00000000-0005-0000-0000-0000EB2A0000}"/>
    <cellStyle name="Normal 3 2 3 5 2 4 3 2 2" xfId="57062" xr:uid="{00000000-0005-0000-0000-0000EC2A0000}"/>
    <cellStyle name="Normal 3 2 3 5 2 4 3 3" xfId="34897" xr:uid="{00000000-0005-0000-0000-0000ED2A0000}"/>
    <cellStyle name="Normal 3 2 3 5 2 4 4" xfId="17313" xr:uid="{00000000-0005-0000-0000-0000EE2A0000}"/>
    <cellStyle name="Normal 3 2 3 5 2 4 4 2" xfId="49184" xr:uid="{00000000-0005-0000-0000-0000EF2A0000}"/>
    <cellStyle name="Normal 3 2 3 5 2 4 5" xfId="34894" xr:uid="{00000000-0005-0000-0000-0000F02A0000}"/>
    <cellStyle name="Normal 3 2 3 5 2 5" xfId="3019" xr:uid="{00000000-0005-0000-0000-0000F12A0000}"/>
    <cellStyle name="Normal 3 2 3 5 2 5 2" xfId="3020" xr:uid="{00000000-0005-0000-0000-0000F22A0000}"/>
    <cellStyle name="Normal 3 2 3 5 2 5 2 2" xfId="29123" xr:uid="{00000000-0005-0000-0000-0000F32A0000}"/>
    <cellStyle name="Normal 3 2 3 5 2 5 2 2 2" xfId="60994" xr:uid="{00000000-0005-0000-0000-0000F42A0000}"/>
    <cellStyle name="Normal 3 2 3 5 2 5 2 3" xfId="34899" xr:uid="{00000000-0005-0000-0000-0000F52A0000}"/>
    <cellStyle name="Normal 3 2 3 5 2 5 3" xfId="21245" xr:uid="{00000000-0005-0000-0000-0000F62A0000}"/>
    <cellStyle name="Normal 3 2 3 5 2 5 3 2" xfId="53116" xr:uid="{00000000-0005-0000-0000-0000F72A0000}"/>
    <cellStyle name="Normal 3 2 3 5 2 5 4" xfId="34898" xr:uid="{00000000-0005-0000-0000-0000F82A0000}"/>
    <cellStyle name="Normal 3 2 3 5 2 6" xfId="3021" xr:uid="{00000000-0005-0000-0000-0000F92A0000}"/>
    <cellStyle name="Normal 3 2 3 5 2 6 2" xfId="25184" xr:uid="{00000000-0005-0000-0000-0000FA2A0000}"/>
    <cellStyle name="Normal 3 2 3 5 2 6 2 2" xfId="57055" xr:uid="{00000000-0005-0000-0000-0000FB2A0000}"/>
    <cellStyle name="Normal 3 2 3 5 2 6 3" xfId="34900" xr:uid="{00000000-0005-0000-0000-0000FC2A0000}"/>
    <cellStyle name="Normal 3 2 3 5 2 7" xfId="17306" xr:uid="{00000000-0005-0000-0000-0000FD2A0000}"/>
    <cellStyle name="Normal 3 2 3 5 2 7 2" xfId="49177" xr:uid="{00000000-0005-0000-0000-0000FE2A0000}"/>
    <cellStyle name="Normal 3 2 3 5 2 8" xfId="34869" xr:uid="{00000000-0005-0000-0000-0000FF2A0000}"/>
    <cellStyle name="Normal 3 2 3 5 3" xfId="3022" xr:uid="{00000000-0005-0000-0000-0000002B0000}"/>
    <cellStyle name="Normal 3 2 3 5 3 2" xfId="3023" xr:uid="{00000000-0005-0000-0000-0000012B0000}"/>
    <cellStyle name="Normal 3 2 3 5 3 2 2" xfId="3024" xr:uid="{00000000-0005-0000-0000-0000022B0000}"/>
    <cellStyle name="Normal 3 2 3 5 3 2 2 2" xfId="3025" xr:uid="{00000000-0005-0000-0000-0000032B0000}"/>
    <cellStyle name="Normal 3 2 3 5 3 2 2 2 2" xfId="3026" xr:uid="{00000000-0005-0000-0000-0000042B0000}"/>
    <cellStyle name="Normal 3 2 3 5 3 2 2 2 2 2" xfId="29133" xr:uid="{00000000-0005-0000-0000-0000052B0000}"/>
    <cellStyle name="Normal 3 2 3 5 3 2 2 2 2 2 2" xfId="61004" xr:uid="{00000000-0005-0000-0000-0000062B0000}"/>
    <cellStyle name="Normal 3 2 3 5 3 2 2 2 2 3" xfId="34905" xr:uid="{00000000-0005-0000-0000-0000072B0000}"/>
    <cellStyle name="Normal 3 2 3 5 3 2 2 2 3" xfId="21255" xr:uid="{00000000-0005-0000-0000-0000082B0000}"/>
    <cellStyle name="Normal 3 2 3 5 3 2 2 2 3 2" xfId="53126" xr:uid="{00000000-0005-0000-0000-0000092B0000}"/>
    <cellStyle name="Normal 3 2 3 5 3 2 2 2 4" xfId="34904" xr:uid="{00000000-0005-0000-0000-00000A2B0000}"/>
    <cellStyle name="Normal 3 2 3 5 3 2 2 3" xfId="3027" xr:uid="{00000000-0005-0000-0000-00000B2B0000}"/>
    <cellStyle name="Normal 3 2 3 5 3 2 2 3 2" xfId="25194" xr:uid="{00000000-0005-0000-0000-00000C2B0000}"/>
    <cellStyle name="Normal 3 2 3 5 3 2 2 3 2 2" xfId="57065" xr:uid="{00000000-0005-0000-0000-00000D2B0000}"/>
    <cellStyle name="Normal 3 2 3 5 3 2 2 3 3" xfId="34906" xr:uid="{00000000-0005-0000-0000-00000E2B0000}"/>
    <cellStyle name="Normal 3 2 3 5 3 2 2 4" xfId="17316" xr:uid="{00000000-0005-0000-0000-00000F2B0000}"/>
    <cellStyle name="Normal 3 2 3 5 3 2 2 4 2" xfId="49187" xr:uid="{00000000-0005-0000-0000-0000102B0000}"/>
    <cellStyle name="Normal 3 2 3 5 3 2 2 5" xfId="34903" xr:uid="{00000000-0005-0000-0000-0000112B0000}"/>
    <cellStyle name="Normal 3 2 3 5 3 2 3" xfId="3028" xr:uid="{00000000-0005-0000-0000-0000122B0000}"/>
    <cellStyle name="Normal 3 2 3 5 3 2 3 2" xfId="3029" xr:uid="{00000000-0005-0000-0000-0000132B0000}"/>
    <cellStyle name="Normal 3 2 3 5 3 2 3 2 2" xfId="29132" xr:uid="{00000000-0005-0000-0000-0000142B0000}"/>
    <cellStyle name="Normal 3 2 3 5 3 2 3 2 2 2" xfId="61003" xr:uid="{00000000-0005-0000-0000-0000152B0000}"/>
    <cellStyle name="Normal 3 2 3 5 3 2 3 2 3" xfId="34908" xr:uid="{00000000-0005-0000-0000-0000162B0000}"/>
    <cellStyle name="Normal 3 2 3 5 3 2 3 3" xfId="21254" xr:uid="{00000000-0005-0000-0000-0000172B0000}"/>
    <cellStyle name="Normal 3 2 3 5 3 2 3 3 2" xfId="53125" xr:uid="{00000000-0005-0000-0000-0000182B0000}"/>
    <cellStyle name="Normal 3 2 3 5 3 2 3 4" xfId="34907" xr:uid="{00000000-0005-0000-0000-0000192B0000}"/>
    <cellStyle name="Normal 3 2 3 5 3 2 4" xfId="3030" xr:uid="{00000000-0005-0000-0000-00001A2B0000}"/>
    <cellStyle name="Normal 3 2 3 5 3 2 4 2" xfId="25193" xr:uid="{00000000-0005-0000-0000-00001B2B0000}"/>
    <cellStyle name="Normal 3 2 3 5 3 2 4 2 2" xfId="57064" xr:uid="{00000000-0005-0000-0000-00001C2B0000}"/>
    <cellStyle name="Normal 3 2 3 5 3 2 4 3" xfId="34909" xr:uid="{00000000-0005-0000-0000-00001D2B0000}"/>
    <cellStyle name="Normal 3 2 3 5 3 2 5" xfId="17315" xr:uid="{00000000-0005-0000-0000-00001E2B0000}"/>
    <cellStyle name="Normal 3 2 3 5 3 2 5 2" xfId="49186" xr:uid="{00000000-0005-0000-0000-00001F2B0000}"/>
    <cellStyle name="Normal 3 2 3 5 3 2 6" xfId="34902" xr:uid="{00000000-0005-0000-0000-0000202B0000}"/>
    <cellStyle name="Normal 3 2 3 5 3 3" xfId="3031" xr:uid="{00000000-0005-0000-0000-0000212B0000}"/>
    <cellStyle name="Normal 3 2 3 5 3 3 2" xfId="3032" xr:uid="{00000000-0005-0000-0000-0000222B0000}"/>
    <cellStyle name="Normal 3 2 3 5 3 3 2 2" xfId="3033" xr:uid="{00000000-0005-0000-0000-0000232B0000}"/>
    <cellStyle name="Normal 3 2 3 5 3 3 2 2 2" xfId="29134" xr:uid="{00000000-0005-0000-0000-0000242B0000}"/>
    <cellStyle name="Normal 3 2 3 5 3 3 2 2 2 2" xfId="61005" xr:uid="{00000000-0005-0000-0000-0000252B0000}"/>
    <cellStyle name="Normal 3 2 3 5 3 3 2 2 3" xfId="34912" xr:uid="{00000000-0005-0000-0000-0000262B0000}"/>
    <cellStyle name="Normal 3 2 3 5 3 3 2 3" xfId="21256" xr:uid="{00000000-0005-0000-0000-0000272B0000}"/>
    <cellStyle name="Normal 3 2 3 5 3 3 2 3 2" xfId="53127" xr:uid="{00000000-0005-0000-0000-0000282B0000}"/>
    <cellStyle name="Normal 3 2 3 5 3 3 2 4" xfId="34911" xr:uid="{00000000-0005-0000-0000-0000292B0000}"/>
    <cellStyle name="Normal 3 2 3 5 3 3 3" xfId="3034" xr:uid="{00000000-0005-0000-0000-00002A2B0000}"/>
    <cellStyle name="Normal 3 2 3 5 3 3 3 2" xfId="25195" xr:uid="{00000000-0005-0000-0000-00002B2B0000}"/>
    <cellStyle name="Normal 3 2 3 5 3 3 3 2 2" xfId="57066" xr:uid="{00000000-0005-0000-0000-00002C2B0000}"/>
    <cellStyle name="Normal 3 2 3 5 3 3 3 3" xfId="34913" xr:uid="{00000000-0005-0000-0000-00002D2B0000}"/>
    <cellStyle name="Normal 3 2 3 5 3 3 4" xfId="17317" xr:uid="{00000000-0005-0000-0000-00002E2B0000}"/>
    <cellStyle name="Normal 3 2 3 5 3 3 4 2" xfId="49188" xr:uid="{00000000-0005-0000-0000-00002F2B0000}"/>
    <cellStyle name="Normal 3 2 3 5 3 3 5" xfId="34910" xr:uid="{00000000-0005-0000-0000-0000302B0000}"/>
    <cellStyle name="Normal 3 2 3 5 3 4" xfId="3035" xr:uid="{00000000-0005-0000-0000-0000312B0000}"/>
    <cellStyle name="Normal 3 2 3 5 3 4 2" xfId="3036" xr:uid="{00000000-0005-0000-0000-0000322B0000}"/>
    <cellStyle name="Normal 3 2 3 5 3 4 2 2" xfId="29131" xr:uid="{00000000-0005-0000-0000-0000332B0000}"/>
    <cellStyle name="Normal 3 2 3 5 3 4 2 2 2" xfId="61002" xr:uid="{00000000-0005-0000-0000-0000342B0000}"/>
    <cellStyle name="Normal 3 2 3 5 3 4 2 3" xfId="34915" xr:uid="{00000000-0005-0000-0000-0000352B0000}"/>
    <cellStyle name="Normal 3 2 3 5 3 4 3" xfId="21253" xr:uid="{00000000-0005-0000-0000-0000362B0000}"/>
    <cellStyle name="Normal 3 2 3 5 3 4 3 2" xfId="53124" xr:uid="{00000000-0005-0000-0000-0000372B0000}"/>
    <cellStyle name="Normal 3 2 3 5 3 4 4" xfId="34914" xr:uid="{00000000-0005-0000-0000-0000382B0000}"/>
    <cellStyle name="Normal 3 2 3 5 3 5" xfId="3037" xr:uid="{00000000-0005-0000-0000-0000392B0000}"/>
    <cellStyle name="Normal 3 2 3 5 3 5 2" xfId="25192" xr:uid="{00000000-0005-0000-0000-00003A2B0000}"/>
    <cellStyle name="Normal 3 2 3 5 3 5 2 2" xfId="57063" xr:uid="{00000000-0005-0000-0000-00003B2B0000}"/>
    <cellStyle name="Normal 3 2 3 5 3 5 3" xfId="34916" xr:uid="{00000000-0005-0000-0000-00003C2B0000}"/>
    <cellStyle name="Normal 3 2 3 5 3 6" xfId="17314" xr:uid="{00000000-0005-0000-0000-00003D2B0000}"/>
    <cellStyle name="Normal 3 2 3 5 3 6 2" xfId="49185" xr:uid="{00000000-0005-0000-0000-00003E2B0000}"/>
    <cellStyle name="Normal 3 2 3 5 3 7" xfId="34901" xr:uid="{00000000-0005-0000-0000-00003F2B0000}"/>
    <cellStyle name="Normal 3 2 3 5 4" xfId="3038" xr:uid="{00000000-0005-0000-0000-0000402B0000}"/>
    <cellStyle name="Normal 3 2 3 5 4 2" xfId="3039" xr:uid="{00000000-0005-0000-0000-0000412B0000}"/>
    <cellStyle name="Normal 3 2 3 5 4 2 2" xfId="3040" xr:uid="{00000000-0005-0000-0000-0000422B0000}"/>
    <cellStyle name="Normal 3 2 3 5 4 2 2 2" xfId="3041" xr:uid="{00000000-0005-0000-0000-0000432B0000}"/>
    <cellStyle name="Normal 3 2 3 5 4 2 2 2 2" xfId="29136" xr:uid="{00000000-0005-0000-0000-0000442B0000}"/>
    <cellStyle name="Normal 3 2 3 5 4 2 2 2 2 2" xfId="61007" xr:uid="{00000000-0005-0000-0000-0000452B0000}"/>
    <cellStyle name="Normal 3 2 3 5 4 2 2 2 3" xfId="34920" xr:uid="{00000000-0005-0000-0000-0000462B0000}"/>
    <cellStyle name="Normal 3 2 3 5 4 2 2 3" xfId="21258" xr:uid="{00000000-0005-0000-0000-0000472B0000}"/>
    <cellStyle name="Normal 3 2 3 5 4 2 2 3 2" xfId="53129" xr:uid="{00000000-0005-0000-0000-0000482B0000}"/>
    <cellStyle name="Normal 3 2 3 5 4 2 2 4" xfId="34919" xr:uid="{00000000-0005-0000-0000-0000492B0000}"/>
    <cellStyle name="Normal 3 2 3 5 4 2 3" xfId="3042" xr:uid="{00000000-0005-0000-0000-00004A2B0000}"/>
    <cellStyle name="Normal 3 2 3 5 4 2 3 2" xfId="25197" xr:uid="{00000000-0005-0000-0000-00004B2B0000}"/>
    <cellStyle name="Normal 3 2 3 5 4 2 3 2 2" xfId="57068" xr:uid="{00000000-0005-0000-0000-00004C2B0000}"/>
    <cellStyle name="Normal 3 2 3 5 4 2 3 3" xfId="34921" xr:uid="{00000000-0005-0000-0000-00004D2B0000}"/>
    <cellStyle name="Normal 3 2 3 5 4 2 4" xfId="17319" xr:uid="{00000000-0005-0000-0000-00004E2B0000}"/>
    <cellStyle name="Normal 3 2 3 5 4 2 4 2" xfId="49190" xr:uid="{00000000-0005-0000-0000-00004F2B0000}"/>
    <cellStyle name="Normal 3 2 3 5 4 2 5" xfId="34918" xr:uid="{00000000-0005-0000-0000-0000502B0000}"/>
    <cellStyle name="Normal 3 2 3 5 4 3" xfId="3043" xr:uid="{00000000-0005-0000-0000-0000512B0000}"/>
    <cellStyle name="Normal 3 2 3 5 4 3 2" xfId="3044" xr:uid="{00000000-0005-0000-0000-0000522B0000}"/>
    <cellStyle name="Normal 3 2 3 5 4 3 2 2" xfId="29135" xr:uid="{00000000-0005-0000-0000-0000532B0000}"/>
    <cellStyle name="Normal 3 2 3 5 4 3 2 2 2" xfId="61006" xr:uid="{00000000-0005-0000-0000-0000542B0000}"/>
    <cellStyle name="Normal 3 2 3 5 4 3 2 3" xfId="34923" xr:uid="{00000000-0005-0000-0000-0000552B0000}"/>
    <cellStyle name="Normal 3 2 3 5 4 3 3" xfId="21257" xr:uid="{00000000-0005-0000-0000-0000562B0000}"/>
    <cellStyle name="Normal 3 2 3 5 4 3 3 2" xfId="53128" xr:uid="{00000000-0005-0000-0000-0000572B0000}"/>
    <cellStyle name="Normal 3 2 3 5 4 3 4" xfId="34922" xr:uid="{00000000-0005-0000-0000-0000582B0000}"/>
    <cellStyle name="Normal 3 2 3 5 4 4" xfId="3045" xr:uid="{00000000-0005-0000-0000-0000592B0000}"/>
    <cellStyle name="Normal 3 2 3 5 4 4 2" xfId="25196" xr:uid="{00000000-0005-0000-0000-00005A2B0000}"/>
    <cellStyle name="Normal 3 2 3 5 4 4 2 2" xfId="57067" xr:uid="{00000000-0005-0000-0000-00005B2B0000}"/>
    <cellStyle name="Normal 3 2 3 5 4 4 3" xfId="34924" xr:uid="{00000000-0005-0000-0000-00005C2B0000}"/>
    <cellStyle name="Normal 3 2 3 5 4 5" xfId="17318" xr:uid="{00000000-0005-0000-0000-00005D2B0000}"/>
    <cellStyle name="Normal 3 2 3 5 4 5 2" xfId="49189" xr:uid="{00000000-0005-0000-0000-00005E2B0000}"/>
    <cellStyle name="Normal 3 2 3 5 4 6" xfId="34917" xr:uid="{00000000-0005-0000-0000-00005F2B0000}"/>
    <cellStyle name="Normal 3 2 3 5 5" xfId="3046" xr:uid="{00000000-0005-0000-0000-0000602B0000}"/>
    <cellStyle name="Normal 3 2 3 5 5 2" xfId="3047" xr:uid="{00000000-0005-0000-0000-0000612B0000}"/>
    <cellStyle name="Normal 3 2 3 5 5 2 2" xfId="3048" xr:uid="{00000000-0005-0000-0000-0000622B0000}"/>
    <cellStyle name="Normal 3 2 3 5 5 2 2 2" xfId="29137" xr:uid="{00000000-0005-0000-0000-0000632B0000}"/>
    <cellStyle name="Normal 3 2 3 5 5 2 2 2 2" xfId="61008" xr:uid="{00000000-0005-0000-0000-0000642B0000}"/>
    <cellStyle name="Normal 3 2 3 5 5 2 2 3" xfId="34927" xr:uid="{00000000-0005-0000-0000-0000652B0000}"/>
    <cellStyle name="Normal 3 2 3 5 5 2 3" xfId="21259" xr:uid="{00000000-0005-0000-0000-0000662B0000}"/>
    <cellStyle name="Normal 3 2 3 5 5 2 3 2" xfId="53130" xr:uid="{00000000-0005-0000-0000-0000672B0000}"/>
    <cellStyle name="Normal 3 2 3 5 5 2 4" xfId="34926" xr:uid="{00000000-0005-0000-0000-0000682B0000}"/>
    <cellStyle name="Normal 3 2 3 5 5 3" xfId="3049" xr:uid="{00000000-0005-0000-0000-0000692B0000}"/>
    <cellStyle name="Normal 3 2 3 5 5 3 2" xfId="25198" xr:uid="{00000000-0005-0000-0000-00006A2B0000}"/>
    <cellStyle name="Normal 3 2 3 5 5 3 2 2" xfId="57069" xr:uid="{00000000-0005-0000-0000-00006B2B0000}"/>
    <cellStyle name="Normal 3 2 3 5 5 3 3" xfId="34928" xr:uid="{00000000-0005-0000-0000-00006C2B0000}"/>
    <cellStyle name="Normal 3 2 3 5 5 4" xfId="17320" xr:uid="{00000000-0005-0000-0000-00006D2B0000}"/>
    <cellStyle name="Normal 3 2 3 5 5 4 2" xfId="49191" xr:uid="{00000000-0005-0000-0000-00006E2B0000}"/>
    <cellStyle name="Normal 3 2 3 5 5 5" xfId="34925" xr:uid="{00000000-0005-0000-0000-00006F2B0000}"/>
    <cellStyle name="Normal 3 2 3 5 6" xfId="3050" xr:uid="{00000000-0005-0000-0000-0000702B0000}"/>
    <cellStyle name="Normal 3 2 3 5 6 2" xfId="3051" xr:uid="{00000000-0005-0000-0000-0000712B0000}"/>
    <cellStyle name="Normal 3 2 3 5 6 2 2" xfId="28390" xr:uid="{00000000-0005-0000-0000-0000722B0000}"/>
    <cellStyle name="Normal 3 2 3 5 6 2 2 2" xfId="60261" xr:uid="{00000000-0005-0000-0000-0000732B0000}"/>
    <cellStyle name="Normal 3 2 3 5 6 2 3" xfId="34930" xr:uid="{00000000-0005-0000-0000-0000742B0000}"/>
    <cellStyle name="Normal 3 2 3 5 6 3" xfId="20512" xr:uid="{00000000-0005-0000-0000-0000752B0000}"/>
    <cellStyle name="Normal 3 2 3 5 6 3 2" xfId="52383" xr:uid="{00000000-0005-0000-0000-0000762B0000}"/>
    <cellStyle name="Normal 3 2 3 5 6 4" xfId="34929" xr:uid="{00000000-0005-0000-0000-0000772B0000}"/>
    <cellStyle name="Normal 3 2 3 5 7" xfId="3052" xr:uid="{00000000-0005-0000-0000-0000782B0000}"/>
    <cellStyle name="Normal 3 2 3 5 7 2" xfId="24451" xr:uid="{00000000-0005-0000-0000-0000792B0000}"/>
    <cellStyle name="Normal 3 2 3 5 7 2 2" xfId="56322" xr:uid="{00000000-0005-0000-0000-00007A2B0000}"/>
    <cellStyle name="Normal 3 2 3 5 7 3" xfId="34931" xr:uid="{00000000-0005-0000-0000-00007B2B0000}"/>
    <cellStyle name="Normal 3 2 3 5 8" xfId="16573" xr:uid="{00000000-0005-0000-0000-00007C2B0000}"/>
    <cellStyle name="Normal 3 2 3 5 8 2" xfId="48444" xr:uid="{00000000-0005-0000-0000-00007D2B0000}"/>
    <cellStyle name="Normal 3 2 3 5 9" xfId="34868" xr:uid="{00000000-0005-0000-0000-00007E2B0000}"/>
    <cellStyle name="Normal 3 2 3 6" xfId="3053" xr:uid="{00000000-0005-0000-0000-00007F2B0000}"/>
    <cellStyle name="Normal 3 2 3 6 2" xfId="3054" xr:uid="{00000000-0005-0000-0000-0000802B0000}"/>
    <cellStyle name="Normal 3 2 3 6 2 2" xfId="3055" xr:uid="{00000000-0005-0000-0000-0000812B0000}"/>
    <cellStyle name="Normal 3 2 3 6 2 2 2" xfId="3056" xr:uid="{00000000-0005-0000-0000-0000822B0000}"/>
    <cellStyle name="Normal 3 2 3 6 2 2 2 2" xfId="3057" xr:uid="{00000000-0005-0000-0000-0000832B0000}"/>
    <cellStyle name="Normal 3 2 3 6 2 2 2 2 2" xfId="3058" xr:uid="{00000000-0005-0000-0000-0000842B0000}"/>
    <cellStyle name="Normal 3 2 3 6 2 2 2 2 2 2" xfId="29140" xr:uid="{00000000-0005-0000-0000-0000852B0000}"/>
    <cellStyle name="Normal 3 2 3 6 2 2 2 2 2 2 2" xfId="61011" xr:uid="{00000000-0005-0000-0000-0000862B0000}"/>
    <cellStyle name="Normal 3 2 3 6 2 2 2 2 2 3" xfId="34937" xr:uid="{00000000-0005-0000-0000-0000872B0000}"/>
    <cellStyle name="Normal 3 2 3 6 2 2 2 2 3" xfId="21262" xr:uid="{00000000-0005-0000-0000-0000882B0000}"/>
    <cellStyle name="Normal 3 2 3 6 2 2 2 2 3 2" xfId="53133" xr:uid="{00000000-0005-0000-0000-0000892B0000}"/>
    <cellStyle name="Normal 3 2 3 6 2 2 2 2 4" xfId="34936" xr:uid="{00000000-0005-0000-0000-00008A2B0000}"/>
    <cellStyle name="Normal 3 2 3 6 2 2 2 3" xfId="3059" xr:uid="{00000000-0005-0000-0000-00008B2B0000}"/>
    <cellStyle name="Normal 3 2 3 6 2 2 2 3 2" xfId="25201" xr:uid="{00000000-0005-0000-0000-00008C2B0000}"/>
    <cellStyle name="Normal 3 2 3 6 2 2 2 3 2 2" xfId="57072" xr:uid="{00000000-0005-0000-0000-00008D2B0000}"/>
    <cellStyle name="Normal 3 2 3 6 2 2 2 3 3" xfId="34938" xr:uid="{00000000-0005-0000-0000-00008E2B0000}"/>
    <cellStyle name="Normal 3 2 3 6 2 2 2 4" xfId="17323" xr:uid="{00000000-0005-0000-0000-00008F2B0000}"/>
    <cellStyle name="Normal 3 2 3 6 2 2 2 4 2" xfId="49194" xr:uid="{00000000-0005-0000-0000-0000902B0000}"/>
    <cellStyle name="Normal 3 2 3 6 2 2 2 5" xfId="34935" xr:uid="{00000000-0005-0000-0000-0000912B0000}"/>
    <cellStyle name="Normal 3 2 3 6 2 2 3" xfId="3060" xr:uid="{00000000-0005-0000-0000-0000922B0000}"/>
    <cellStyle name="Normal 3 2 3 6 2 2 3 2" xfId="3061" xr:uid="{00000000-0005-0000-0000-0000932B0000}"/>
    <cellStyle name="Normal 3 2 3 6 2 2 3 2 2" xfId="29139" xr:uid="{00000000-0005-0000-0000-0000942B0000}"/>
    <cellStyle name="Normal 3 2 3 6 2 2 3 2 2 2" xfId="61010" xr:uid="{00000000-0005-0000-0000-0000952B0000}"/>
    <cellStyle name="Normal 3 2 3 6 2 2 3 2 3" xfId="34940" xr:uid="{00000000-0005-0000-0000-0000962B0000}"/>
    <cellStyle name="Normal 3 2 3 6 2 2 3 3" xfId="21261" xr:uid="{00000000-0005-0000-0000-0000972B0000}"/>
    <cellStyle name="Normal 3 2 3 6 2 2 3 3 2" xfId="53132" xr:uid="{00000000-0005-0000-0000-0000982B0000}"/>
    <cellStyle name="Normal 3 2 3 6 2 2 3 4" xfId="34939" xr:uid="{00000000-0005-0000-0000-0000992B0000}"/>
    <cellStyle name="Normal 3 2 3 6 2 2 4" xfId="3062" xr:uid="{00000000-0005-0000-0000-00009A2B0000}"/>
    <cellStyle name="Normal 3 2 3 6 2 2 4 2" xfId="25200" xr:uid="{00000000-0005-0000-0000-00009B2B0000}"/>
    <cellStyle name="Normal 3 2 3 6 2 2 4 2 2" xfId="57071" xr:uid="{00000000-0005-0000-0000-00009C2B0000}"/>
    <cellStyle name="Normal 3 2 3 6 2 2 4 3" xfId="34941" xr:uid="{00000000-0005-0000-0000-00009D2B0000}"/>
    <cellStyle name="Normal 3 2 3 6 2 2 5" xfId="17322" xr:uid="{00000000-0005-0000-0000-00009E2B0000}"/>
    <cellStyle name="Normal 3 2 3 6 2 2 5 2" xfId="49193" xr:uid="{00000000-0005-0000-0000-00009F2B0000}"/>
    <cellStyle name="Normal 3 2 3 6 2 2 6" xfId="34934" xr:uid="{00000000-0005-0000-0000-0000A02B0000}"/>
    <cellStyle name="Normal 3 2 3 6 2 3" xfId="3063" xr:uid="{00000000-0005-0000-0000-0000A12B0000}"/>
    <cellStyle name="Normal 3 2 3 6 2 3 2" xfId="3064" xr:uid="{00000000-0005-0000-0000-0000A22B0000}"/>
    <cellStyle name="Normal 3 2 3 6 2 3 2 2" xfId="3065" xr:uid="{00000000-0005-0000-0000-0000A32B0000}"/>
    <cellStyle name="Normal 3 2 3 6 2 3 2 2 2" xfId="29141" xr:uid="{00000000-0005-0000-0000-0000A42B0000}"/>
    <cellStyle name="Normal 3 2 3 6 2 3 2 2 2 2" xfId="61012" xr:uid="{00000000-0005-0000-0000-0000A52B0000}"/>
    <cellStyle name="Normal 3 2 3 6 2 3 2 2 3" xfId="34944" xr:uid="{00000000-0005-0000-0000-0000A62B0000}"/>
    <cellStyle name="Normal 3 2 3 6 2 3 2 3" xfId="21263" xr:uid="{00000000-0005-0000-0000-0000A72B0000}"/>
    <cellStyle name="Normal 3 2 3 6 2 3 2 3 2" xfId="53134" xr:uid="{00000000-0005-0000-0000-0000A82B0000}"/>
    <cellStyle name="Normal 3 2 3 6 2 3 2 4" xfId="34943" xr:uid="{00000000-0005-0000-0000-0000A92B0000}"/>
    <cellStyle name="Normal 3 2 3 6 2 3 3" xfId="3066" xr:uid="{00000000-0005-0000-0000-0000AA2B0000}"/>
    <cellStyle name="Normal 3 2 3 6 2 3 3 2" xfId="25202" xr:uid="{00000000-0005-0000-0000-0000AB2B0000}"/>
    <cellStyle name="Normal 3 2 3 6 2 3 3 2 2" xfId="57073" xr:uid="{00000000-0005-0000-0000-0000AC2B0000}"/>
    <cellStyle name="Normal 3 2 3 6 2 3 3 3" xfId="34945" xr:uid="{00000000-0005-0000-0000-0000AD2B0000}"/>
    <cellStyle name="Normal 3 2 3 6 2 3 4" xfId="17324" xr:uid="{00000000-0005-0000-0000-0000AE2B0000}"/>
    <cellStyle name="Normal 3 2 3 6 2 3 4 2" xfId="49195" xr:uid="{00000000-0005-0000-0000-0000AF2B0000}"/>
    <cellStyle name="Normal 3 2 3 6 2 3 5" xfId="34942" xr:uid="{00000000-0005-0000-0000-0000B02B0000}"/>
    <cellStyle name="Normal 3 2 3 6 2 4" xfId="3067" xr:uid="{00000000-0005-0000-0000-0000B12B0000}"/>
    <cellStyle name="Normal 3 2 3 6 2 4 2" xfId="3068" xr:uid="{00000000-0005-0000-0000-0000B22B0000}"/>
    <cellStyle name="Normal 3 2 3 6 2 4 2 2" xfId="29138" xr:uid="{00000000-0005-0000-0000-0000B32B0000}"/>
    <cellStyle name="Normal 3 2 3 6 2 4 2 2 2" xfId="61009" xr:uid="{00000000-0005-0000-0000-0000B42B0000}"/>
    <cellStyle name="Normal 3 2 3 6 2 4 2 3" xfId="34947" xr:uid="{00000000-0005-0000-0000-0000B52B0000}"/>
    <cellStyle name="Normal 3 2 3 6 2 4 3" xfId="21260" xr:uid="{00000000-0005-0000-0000-0000B62B0000}"/>
    <cellStyle name="Normal 3 2 3 6 2 4 3 2" xfId="53131" xr:uid="{00000000-0005-0000-0000-0000B72B0000}"/>
    <cellStyle name="Normal 3 2 3 6 2 4 4" xfId="34946" xr:uid="{00000000-0005-0000-0000-0000B82B0000}"/>
    <cellStyle name="Normal 3 2 3 6 2 5" xfId="3069" xr:uid="{00000000-0005-0000-0000-0000B92B0000}"/>
    <cellStyle name="Normal 3 2 3 6 2 5 2" xfId="25199" xr:uid="{00000000-0005-0000-0000-0000BA2B0000}"/>
    <cellStyle name="Normal 3 2 3 6 2 5 2 2" xfId="57070" xr:uid="{00000000-0005-0000-0000-0000BB2B0000}"/>
    <cellStyle name="Normal 3 2 3 6 2 5 3" xfId="34948" xr:uid="{00000000-0005-0000-0000-0000BC2B0000}"/>
    <cellStyle name="Normal 3 2 3 6 2 6" xfId="17321" xr:uid="{00000000-0005-0000-0000-0000BD2B0000}"/>
    <cellStyle name="Normal 3 2 3 6 2 6 2" xfId="49192" xr:uid="{00000000-0005-0000-0000-0000BE2B0000}"/>
    <cellStyle name="Normal 3 2 3 6 2 7" xfId="34933" xr:uid="{00000000-0005-0000-0000-0000BF2B0000}"/>
    <cellStyle name="Normal 3 2 3 6 3" xfId="3070" xr:uid="{00000000-0005-0000-0000-0000C02B0000}"/>
    <cellStyle name="Normal 3 2 3 6 3 2" xfId="3071" xr:uid="{00000000-0005-0000-0000-0000C12B0000}"/>
    <cellStyle name="Normal 3 2 3 6 3 2 2" xfId="3072" xr:uid="{00000000-0005-0000-0000-0000C22B0000}"/>
    <cellStyle name="Normal 3 2 3 6 3 2 2 2" xfId="3073" xr:uid="{00000000-0005-0000-0000-0000C32B0000}"/>
    <cellStyle name="Normal 3 2 3 6 3 2 2 2 2" xfId="29143" xr:uid="{00000000-0005-0000-0000-0000C42B0000}"/>
    <cellStyle name="Normal 3 2 3 6 3 2 2 2 2 2" xfId="61014" xr:uid="{00000000-0005-0000-0000-0000C52B0000}"/>
    <cellStyle name="Normal 3 2 3 6 3 2 2 2 3" xfId="34952" xr:uid="{00000000-0005-0000-0000-0000C62B0000}"/>
    <cellStyle name="Normal 3 2 3 6 3 2 2 3" xfId="21265" xr:uid="{00000000-0005-0000-0000-0000C72B0000}"/>
    <cellStyle name="Normal 3 2 3 6 3 2 2 3 2" xfId="53136" xr:uid="{00000000-0005-0000-0000-0000C82B0000}"/>
    <cellStyle name="Normal 3 2 3 6 3 2 2 4" xfId="34951" xr:uid="{00000000-0005-0000-0000-0000C92B0000}"/>
    <cellStyle name="Normal 3 2 3 6 3 2 3" xfId="3074" xr:uid="{00000000-0005-0000-0000-0000CA2B0000}"/>
    <cellStyle name="Normal 3 2 3 6 3 2 3 2" xfId="25204" xr:uid="{00000000-0005-0000-0000-0000CB2B0000}"/>
    <cellStyle name="Normal 3 2 3 6 3 2 3 2 2" xfId="57075" xr:uid="{00000000-0005-0000-0000-0000CC2B0000}"/>
    <cellStyle name="Normal 3 2 3 6 3 2 3 3" xfId="34953" xr:uid="{00000000-0005-0000-0000-0000CD2B0000}"/>
    <cellStyle name="Normal 3 2 3 6 3 2 4" xfId="17326" xr:uid="{00000000-0005-0000-0000-0000CE2B0000}"/>
    <cellStyle name="Normal 3 2 3 6 3 2 4 2" xfId="49197" xr:uid="{00000000-0005-0000-0000-0000CF2B0000}"/>
    <cellStyle name="Normal 3 2 3 6 3 2 5" xfId="34950" xr:uid="{00000000-0005-0000-0000-0000D02B0000}"/>
    <cellStyle name="Normal 3 2 3 6 3 3" xfId="3075" xr:uid="{00000000-0005-0000-0000-0000D12B0000}"/>
    <cellStyle name="Normal 3 2 3 6 3 3 2" xfId="3076" xr:uid="{00000000-0005-0000-0000-0000D22B0000}"/>
    <cellStyle name="Normal 3 2 3 6 3 3 2 2" xfId="29142" xr:uid="{00000000-0005-0000-0000-0000D32B0000}"/>
    <cellStyle name="Normal 3 2 3 6 3 3 2 2 2" xfId="61013" xr:uid="{00000000-0005-0000-0000-0000D42B0000}"/>
    <cellStyle name="Normal 3 2 3 6 3 3 2 3" xfId="34955" xr:uid="{00000000-0005-0000-0000-0000D52B0000}"/>
    <cellStyle name="Normal 3 2 3 6 3 3 3" xfId="21264" xr:uid="{00000000-0005-0000-0000-0000D62B0000}"/>
    <cellStyle name="Normal 3 2 3 6 3 3 3 2" xfId="53135" xr:uid="{00000000-0005-0000-0000-0000D72B0000}"/>
    <cellStyle name="Normal 3 2 3 6 3 3 4" xfId="34954" xr:uid="{00000000-0005-0000-0000-0000D82B0000}"/>
    <cellStyle name="Normal 3 2 3 6 3 4" xfId="3077" xr:uid="{00000000-0005-0000-0000-0000D92B0000}"/>
    <cellStyle name="Normal 3 2 3 6 3 4 2" xfId="25203" xr:uid="{00000000-0005-0000-0000-0000DA2B0000}"/>
    <cellStyle name="Normal 3 2 3 6 3 4 2 2" xfId="57074" xr:uid="{00000000-0005-0000-0000-0000DB2B0000}"/>
    <cellStyle name="Normal 3 2 3 6 3 4 3" xfId="34956" xr:uid="{00000000-0005-0000-0000-0000DC2B0000}"/>
    <cellStyle name="Normal 3 2 3 6 3 5" xfId="17325" xr:uid="{00000000-0005-0000-0000-0000DD2B0000}"/>
    <cellStyle name="Normal 3 2 3 6 3 5 2" xfId="49196" xr:uid="{00000000-0005-0000-0000-0000DE2B0000}"/>
    <cellStyle name="Normal 3 2 3 6 3 6" xfId="34949" xr:uid="{00000000-0005-0000-0000-0000DF2B0000}"/>
    <cellStyle name="Normal 3 2 3 6 4" xfId="3078" xr:uid="{00000000-0005-0000-0000-0000E02B0000}"/>
    <cellStyle name="Normal 3 2 3 6 4 2" xfId="3079" xr:uid="{00000000-0005-0000-0000-0000E12B0000}"/>
    <cellStyle name="Normal 3 2 3 6 4 2 2" xfId="3080" xr:uid="{00000000-0005-0000-0000-0000E22B0000}"/>
    <cellStyle name="Normal 3 2 3 6 4 2 2 2" xfId="29144" xr:uid="{00000000-0005-0000-0000-0000E32B0000}"/>
    <cellStyle name="Normal 3 2 3 6 4 2 2 2 2" xfId="61015" xr:uid="{00000000-0005-0000-0000-0000E42B0000}"/>
    <cellStyle name="Normal 3 2 3 6 4 2 2 3" xfId="34959" xr:uid="{00000000-0005-0000-0000-0000E52B0000}"/>
    <cellStyle name="Normal 3 2 3 6 4 2 3" xfId="21266" xr:uid="{00000000-0005-0000-0000-0000E62B0000}"/>
    <cellStyle name="Normal 3 2 3 6 4 2 3 2" xfId="53137" xr:uid="{00000000-0005-0000-0000-0000E72B0000}"/>
    <cellStyle name="Normal 3 2 3 6 4 2 4" xfId="34958" xr:uid="{00000000-0005-0000-0000-0000E82B0000}"/>
    <cellStyle name="Normal 3 2 3 6 4 3" xfId="3081" xr:uid="{00000000-0005-0000-0000-0000E92B0000}"/>
    <cellStyle name="Normal 3 2 3 6 4 3 2" xfId="25205" xr:uid="{00000000-0005-0000-0000-0000EA2B0000}"/>
    <cellStyle name="Normal 3 2 3 6 4 3 2 2" xfId="57076" xr:uid="{00000000-0005-0000-0000-0000EB2B0000}"/>
    <cellStyle name="Normal 3 2 3 6 4 3 3" xfId="34960" xr:uid="{00000000-0005-0000-0000-0000EC2B0000}"/>
    <cellStyle name="Normal 3 2 3 6 4 4" xfId="17327" xr:uid="{00000000-0005-0000-0000-0000ED2B0000}"/>
    <cellStyle name="Normal 3 2 3 6 4 4 2" xfId="49198" xr:uid="{00000000-0005-0000-0000-0000EE2B0000}"/>
    <cellStyle name="Normal 3 2 3 6 4 5" xfId="34957" xr:uid="{00000000-0005-0000-0000-0000EF2B0000}"/>
    <cellStyle name="Normal 3 2 3 6 5" xfId="3082" xr:uid="{00000000-0005-0000-0000-0000F02B0000}"/>
    <cellStyle name="Normal 3 2 3 6 5 2" xfId="3083" xr:uid="{00000000-0005-0000-0000-0000F12B0000}"/>
    <cellStyle name="Normal 3 2 3 6 5 2 2" xfId="28267" xr:uid="{00000000-0005-0000-0000-0000F22B0000}"/>
    <cellStyle name="Normal 3 2 3 6 5 2 2 2" xfId="60138" xr:uid="{00000000-0005-0000-0000-0000F32B0000}"/>
    <cellStyle name="Normal 3 2 3 6 5 2 3" xfId="34962" xr:uid="{00000000-0005-0000-0000-0000F42B0000}"/>
    <cellStyle name="Normal 3 2 3 6 5 3" xfId="20389" xr:uid="{00000000-0005-0000-0000-0000F52B0000}"/>
    <cellStyle name="Normal 3 2 3 6 5 3 2" xfId="52260" xr:uid="{00000000-0005-0000-0000-0000F62B0000}"/>
    <cellStyle name="Normal 3 2 3 6 5 4" xfId="34961" xr:uid="{00000000-0005-0000-0000-0000F72B0000}"/>
    <cellStyle name="Normal 3 2 3 6 6" xfId="3084" xr:uid="{00000000-0005-0000-0000-0000F82B0000}"/>
    <cellStyle name="Normal 3 2 3 6 6 2" xfId="24328" xr:uid="{00000000-0005-0000-0000-0000F92B0000}"/>
    <cellStyle name="Normal 3 2 3 6 6 2 2" xfId="56199" xr:uid="{00000000-0005-0000-0000-0000FA2B0000}"/>
    <cellStyle name="Normal 3 2 3 6 6 3" xfId="34963" xr:uid="{00000000-0005-0000-0000-0000FB2B0000}"/>
    <cellStyle name="Normal 3 2 3 6 7" xfId="16450" xr:uid="{00000000-0005-0000-0000-0000FC2B0000}"/>
    <cellStyle name="Normal 3 2 3 6 7 2" xfId="48321" xr:uid="{00000000-0005-0000-0000-0000FD2B0000}"/>
    <cellStyle name="Normal 3 2 3 6 8" xfId="34932" xr:uid="{00000000-0005-0000-0000-0000FE2B0000}"/>
    <cellStyle name="Normal 3 2 3 7" xfId="3085" xr:uid="{00000000-0005-0000-0000-0000FF2B0000}"/>
    <cellStyle name="Normal 3 2 3 7 2" xfId="3086" xr:uid="{00000000-0005-0000-0000-0000002C0000}"/>
    <cellStyle name="Normal 3 2 3 7 2 2" xfId="3087" xr:uid="{00000000-0005-0000-0000-0000012C0000}"/>
    <cellStyle name="Normal 3 2 3 7 2 2 2" xfId="3088" xr:uid="{00000000-0005-0000-0000-0000022C0000}"/>
    <cellStyle name="Normal 3 2 3 7 2 2 2 2" xfId="3089" xr:uid="{00000000-0005-0000-0000-0000032C0000}"/>
    <cellStyle name="Normal 3 2 3 7 2 2 2 2 2" xfId="29147" xr:uid="{00000000-0005-0000-0000-0000042C0000}"/>
    <cellStyle name="Normal 3 2 3 7 2 2 2 2 2 2" xfId="61018" xr:uid="{00000000-0005-0000-0000-0000052C0000}"/>
    <cellStyle name="Normal 3 2 3 7 2 2 2 2 3" xfId="34968" xr:uid="{00000000-0005-0000-0000-0000062C0000}"/>
    <cellStyle name="Normal 3 2 3 7 2 2 2 3" xfId="21269" xr:uid="{00000000-0005-0000-0000-0000072C0000}"/>
    <cellStyle name="Normal 3 2 3 7 2 2 2 3 2" xfId="53140" xr:uid="{00000000-0005-0000-0000-0000082C0000}"/>
    <cellStyle name="Normal 3 2 3 7 2 2 2 4" xfId="34967" xr:uid="{00000000-0005-0000-0000-0000092C0000}"/>
    <cellStyle name="Normal 3 2 3 7 2 2 3" xfId="3090" xr:uid="{00000000-0005-0000-0000-00000A2C0000}"/>
    <cellStyle name="Normal 3 2 3 7 2 2 3 2" xfId="25208" xr:uid="{00000000-0005-0000-0000-00000B2C0000}"/>
    <cellStyle name="Normal 3 2 3 7 2 2 3 2 2" xfId="57079" xr:uid="{00000000-0005-0000-0000-00000C2C0000}"/>
    <cellStyle name="Normal 3 2 3 7 2 2 3 3" xfId="34969" xr:uid="{00000000-0005-0000-0000-00000D2C0000}"/>
    <cellStyle name="Normal 3 2 3 7 2 2 4" xfId="17330" xr:uid="{00000000-0005-0000-0000-00000E2C0000}"/>
    <cellStyle name="Normal 3 2 3 7 2 2 4 2" xfId="49201" xr:uid="{00000000-0005-0000-0000-00000F2C0000}"/>
    <cellStyle name="Normal 3 2 3 7 2 2 5" xfId="34966" xr:uid="{00000000-0005-0000-0000-0000102C0000}"/>
    <cellStyle name="Normal 3 2 3 7 2 3" xfId="3091" xr:uid="{00000000-0005-0000-0000-0000112C0000}"/>
    <cellStyle name="Normal 3 2 3 7 2 3 2" xfId="3092" xr:uid="{00000000-0005-0000-0000-0000122C0000}"/>
    <cellStyle name="Normal 3 2 3 7 2 3 2 2" xfId="29146" xr:uid="{00000000-0005-0000-0000-0000132C0000}"/>
    <cellStyle name="Normal 3 2 3 7 2 3 2 2 2" xfId="61017" xr:uid="{00000000-0005-0000-0000-0000142C0000}"/>
    <cellStyle name="Normal 3 2 3 7 2 3 2 3" xfId="34971" xr:uid="{00000000-0005-0000-0000-0000152C0000}"/>
    <cellStyle name="Normal 3 2 3 7 2 3 3" xfId="21268" xr:uid="{00000000-0005-0000-0000-0000162C0000}"/>
    <cellStyle name="Normal 3 2 3 7 2 3 3 2" xfId="53139" xr:uid="{00000000-0005-0000-0000-0000172C0000}"/>
    <cellStyle name="Normal 3 2 3 7 2 3 4" xfId="34970" xr:uid="{00000000-0005-0000-0000-0000182C0000}"/>
    <cellStyle name="Normal 3 2 3 7 2 4" xfId="3093" xr:uid="{00000000-0005-0000-0000-0000192C0000}"/>
    <cellStyle name="Normal 3 2 3 7 2 4 2" xfId="25207" xr:uid="{00000000-0005-0000-0000-00001A2C0000}"/>
    <cellStyle name="Normal 3 2 3 7 2 4 2 2" xfId="57078" xr:uid="{00000000-0005-0000-0000-00001B2C0000}"/>
    <cellStyle name="Normal 3 2 3 7 2 4 3" xfId="34972" xr:uid="{00000000-0005-0000-0000-00001C2C0000}"/>
    <cellStyle name="Normal 3 2 3 7 2 5" xfId="17329" xr:uid="{00000000-0005-0000-0000-00001D2C0000}"/>
    <cellStyle name="Normal 3 2 3 7 2 5 2" xfId="49200" xr:uid="{00000000-0005-0000-0000-00001E2C0000}"/>
    <cellStyle name="Normal 3 2 3 7 2 6" xfId="34965" xr:uid="{00000000-0005-0000-0000-00001F2C0000}"/>
    <cellStyle name="Normal 3 2 3 7 3" xfId="3094" xr:uid="{00000000-0005-0000-0000-0000202C0000}"/>
    <cellStyle name="Normal 3 2 3 7 3 2" xfId="3095" xr:uid="{00000000-0005-0000-0000-0000212C0000}"/>
    <cellStyle name="Normal 3 2 3 7 3 2 2" xfId="3096" xr:uid="{00000000-0005-0000-0000-0000222C0000}"/>
    <cellStyle name="Normal 3 2 3 7 3 2 2 2" xfId="29148" xr:uid="{00000000-0005-0000-0000-0000232C0000}"/>
    <cellStyle name="Normal 3 2 3 7 3 2 2 2 2" xfId="61019" xr:uid="{00000000-0005-0000-0000-0000242C0000}"/>
    <cellStyle name="Normal 3 2 3 7 3 2 2 3" xfId="34975" xr:uid="{00000000-0005-0000-0000-0000252C0000}"/>
    <cellStyle name="Normal 3 2 3 7 3 2 3" xfId="21270" xr:uid="{00000000-0005-0000-0000-0000262C0000}"/>
    <cellStyle name="Normal 3 2 3 7 3 2 3 2" xfId="53141" xr:uid="{00000000-0005-0000-0000-0000272C0000}"/>
    <cellStyle name="Normal 3 2 3 7 3 2 4" xfId="34974" xr:uid="{00000000-0005-0000-0000-0000282C0000}"/>
    <cellStyle name="Normal 3 2 3 7 3 3" xfId="3097" xr:uid="{00000000-0005-0000-0000-0000292C0000}"/>
    <cellStyle name="Normal 3 2 3 7 3 3 2" xfId="25209" xr:uid="{00000000-0005-0000-0000-00002A2C0000}"/>
    <cellStyle name="Normal 3 2 3 7 3 3 2 2" xfId="57080" xr:uid="{00000000-0005-0000-0000-00002B2C0000}"/>
    <cellStyle name="Normal 3 2 3 7 3 3 3" xfId="34976" xr:uid="{00000000-0005-0000-0000-00002C2C0000}"/>
    <cellStyle name="Normal 3 2 3 7 3 4" xfId="17331" xr:uid="{00000000-0005-0000-0000-00002D2C0000}"/>
    <cellStyle name="Normal 3 2 3 7 3 4 2" xfId="49202" xr:uid="{00000000-0005-0000-0000-00002E2C0000}"/>
    <cellStyle name="Normal 3 2 3 7 3 5" xfId="34973" xr:uid="{00000000-0005-0000-0000-00002F2C0000}"/>
    <cellStyle name="Normal 3 2 3 7 4" xfId="3098" xr:uid="{00000000-0005-0000-0000-0000302C0000}"/>
    <cellStyle name="Normal 3 2 3 7 4 2" xfId="3099" xr:uid="{00000000-0005-0000-0000-0000312C0000}"/>
    <cellStyle name="Normal 3 2 3 7 4 2 2" xfId="29145" xr:uid="{00000000-0005-0000-0000-0000322C0000}"/>
    <cellStyle name="Normal 3 2 3 7 4 2 2 2" xfId="61016" xr:uid="{00000000-0005-0000-0000-0000332C0000}"/>
    <cellStyle name="Normal 3 2 3 7 4 2 3" xfId="34978" xr:uid="{00000000-0005-0000-0000-0000342C0000}"/>
    <cellStyle name="Normal 3 2 3 7 4 3" xfId="21267" xr:uid="{00000000-0005-0000-0000-0000352C0000}"/>
    <cellStyle name="Normal 3 2 3 7 4 3 2" xfId="53138" xr:uid="{00000000-0005-0000-0000-0000362C0000}"/>
    <cellStyle name="Normal 3 2 3 7 4 4" xfId="34977" xr:uid="{00000000-0005-0000-0000-0000372C0000}"/>
    <cellStyle name="Normal 3 2 3 7 5" xfId="3100" xr:uid="{00000000-0005-0000-0000-0000382C0000}"/>
    <cellStyle name="Normal 3 2 3 7 5 2" xfId="25206" xr:uid="{00000000-0005-0000-0000-0000392C0000}"/>
    <cellStyle name="Normal 3 2 3 7 5 2 2" xfId="57077" xr:uid="{00000000-0005-0000-0000-00003A2C0000}"/>
    <cellStyle name="Normal 3 2 3 7 5 3" xfId="34979" xr:uid="{00000000-0005-0000-0000-00003B2C0000}"/>
    <cellStyle name="Normal 3 2 3 7 6" xfId="17328" xr:uid="{00000000-0005-0000-0000-00003C2C0000}"/>
    <cellStyle name="Normal 3 2 3 7 6 2" xfId="49199" xr:uid="{00000000-0005-0000-0000-00003D2C0000}"/>
    <cellStyle name="Normal 3 2 3 7 7" xfId="34964" xr:uid="{00000000-0005-0000-0000-00003E2C0000}"/>
    <cellStyle name="Normal 3 2 3 8" xfId="3101" xr:uid="{00000000-0005-0000-0000-00003F2C0000}"/>
    <cellStyle name="Normal 3 2 3 8 2" xfId="3102" xr:uid="{00000000-0005-0000-0000-0000402C0000}"/>
    <cellStyle name="Normal 3 2 3 8 2 2" xfId="3103" xr:uid="{00000000-0005-0000-0000-0000412C0000}"/>
    <cellStyle name="Normal 3 2 3 8 2 2 2" xfId="3104" xr:uid="{00000000-0005-0000-0000-0000422C0000}"/>
    <cellStyle name="Normal 3 2 3 8 2 2 2 2" xfId="29150" xr:uid="{00000000-0005-0000-0000-0000432C0000}"/>
    <cellStyle name="Normal 3 2 3 8 2 2 2 2 2" xfId="61021" xr:uid="{00000000-0005-0000-0000-0000442C0000}"/>
    <cellStyle name="Normal 3 2 3 8 2 2 2 3" xfId="34983" xr:uid="{00000000-0005-0000-0000-0000452C0000}"/>
    <cellStyle name="Normal 3 2 3 8 2 2 3" xfId="21272" xr:uid="{00000000-0005-0000-0000-0000462C0000}"/>
    <cellStyle name="Normal 3 2 3 8 2 2 3 2" xfId="53143" xr:uid="{00000000-0005-0000-0000-0000472C0000}"/>
    <cellStyle name="Normal 3 2 3 8 2 2 4" xfId="34982" xr:uid="{00000000-0005-0000-0000-0000482C0000}"/>
    <cellStyle name="Normal 3 2 3 8 2 3" xfId="3105" xr:uid="{00000000-0005-0000-0000-0000492C0000}"/>
    <cellStyle name="Normal 3 2 3 8 2 3 2" xfId="25211" xr:uid="{00000000-0005-0000-0000-00004A2C0000}"/>
    <cellStyle name="Normal 3 2 3 8 2 3 2 2" xfId="57082" xr:uid="{00000000-0005-0000-0000-00004B2C0000}"/>
    <cellStyle name="Normal 3 2 3 8 2 3 3" xfId="34984" xr:uid="{00000000-0005-0000-0000-00004C2C0000}"/>
    <cellStyle name="Normal 3 2 3 8 2 4" xfId="17333" xr:uid="{00000000-0005-0000-0000-00004D2C0000}"/>
    <cellStyle name="Normal 3 2 3 8 2 4 2" xfId="49204" xr:uid="{00000000-0005-0000-0000-00004E2C0000}"/>
    <cellStyle name="Normal 3 2 3 8 2 5" xfId="34981" xr:uid="{00000000-0005-0000-0000-00004F2C0000}"/>
    <cellStyle name="Normal 3 2 3 8 3" xfId="3106" xr:uid="{00000000-0005-0000-0000-0000502C0000}"/>
    <cellStyle name="Normal 3 2 3 8 3 2" xfId="3107" xr:uid="{00000000-0005-0000-0000-0000512C0000}"/>
    <cellStyle name="Normal 3 2 3 8 3 2 2" xfId="29149" xr:uid="{00000000-0005-0000-0000-0000522C0000}"/>
    <cellStyle name="Normal 3 2 3 8 3 2 2 2" xfId="61020" xr:uid="{00000000-0005-0000-0000-0000532C0000}"/>
    <cellStyle name="Normal 3 2 3 8 3 2 3" xfId="34986" xr:uid="{00000000-0005-0000-0000-0000542C0000}"/>
    <cellStyle name="Normal 3 2 3 8 3 3" xfId="21271" xr:uid="{00000000-0005-0000-0000-0000552C0000}"/>
    <cellStyle name="Normal 3 2 3 8 3 3 2" xfId="53142" xr:uid="{00000000-0005-0000-0000-0000562C0000}"/>
    <cellStyle name="Normal 3 2 3 8 3 4" xfId="34985" xr:uid="{00000000-0005-0000-0000-0000572C0000}"/>
    <cellStyle name="Normal 3 2 3 8 4" xfId="3108" xr:uid="{00000000-0005-0000-0000-0000582C0000}"/>
    <cellStyle name="Normal 3 2 3 8 4 2" xfId="25210" xr:uid="{00000000-0005-0000-0000-0000592C0000}"/>
    <cellStyle name="Normal 3 2 3 8 4 2 2" xfId="57081" xr:uid="{00000000-0005-0000-0000-00005A2C0000}"/>
    <cellStyle name="Normal 3 2 3 8 4 3" xfId="34987" xr:uid="{00000000-0005-0000-0000-00005B2C0000}"/>
    <cellStyle name="Normal 3 2 3 8 5" xfId="17332" xr:uid="{00000000-0005-0000-0000-00005C2C0000}"/>
    <cellStyle name="Normal 3 2 3 8 5 2" xfId="49203" xr:uid="{00000000-0005-0000-0000-00005D2C0000}"/>
    <cellStyle name="Normal 3 2 3 8 6" xfId="34980" xr:uid="{00000000-0005-0000-0000-00005E2C0000}"/>
    <cellStyle name="Normal 3 2 3 9" xfId="3109" xr:uid="{00000000-0005-0000-0000-00005F2C0000}"/>
    <cellStyle name="Normal 3 2 3 9 2" xfId="3110" xr:uid="{00000000-0005-0000-0000-0000602C0000}"/>
    <cellStyle name="Normal 3 2 3 9 2 2" xfId="3111" xr:uid="{00000000-0005-0000-0000-0000612C0000}"/>
    <cellStyle name="Normal 3 2 3 9 2 2 2" xfId="29151" xr:uid="{00000000-0005-0000-0000-0000622C0000}"/>
    <cellStyle name="Normal 3 2 3 9 2 2 2 2" xfId="61022" xr:uid="{00000000-0005-0000-0000-0000632C0000}"/>
    <cellStyle name="Normal 3 2 3 9 2 2 3" xfId="34990" xr:uid="{00000000-0005-0000-0000-0000642C0000}"/>
    <cellStyle name="Normal 3 2 3 9 2 3" xfId="21273" xr:uid="{00000000-0005-0000-0000-0000652C0000}"/>
    <cellStyle name="Normal 3 2 3 9 2 3 2" xfId="53144" xr:uid="{00000000-0005-0000-0000-0000662C0000}"/>
    <cellStyle name="Normal 3 2 3 9 2 4" xfId="34989" xr:uid="{00000000-0005-0000-0000-0000672C0000}"/>
    <cellStyle name="Normal 3 2 3 9 3" xfId="3112" xr:uid="{00000000-0005-0000-0000-0000682C0000}"/>
    <cellStyle name="Normal 3 2 3 9 3 2" xfId="25212" xr:uid="{00000000-0005-0000-0000-0000692C0000}"/>
    <cellStyle name="Normal 3 2 3 9 3 2 2" xfId="57083" xr:uid="{00000000-0005-0000-0000-00006A2C0000}"/>
    <cellStyle name="Normal 3 2 3 9 3 3" xfId="34991" xr:uid="{00000000-0005-0000-0000-00006B2C0000}"/>
    <cellStyle name="Normal 3 2 3 9 4" xfId="17334" xr:uid="{00000000-0005-0000-0000-00006C2C0000}"/>
    <cellStyle name="Normal 3 2 3 9 4 2" xfId="49205" xr:uid="{00000000-0005-0000-0000-00006D2C0000}"/>
    <cellStyle name="Normal 3 2 3 9 5" xfId="34988" xr:uid="{00000000-0005-0000-0000-00006E2C0000}"/>
    <cellStyle name="Normal 3 2 4" xfId="3113" xr:uid="{00000000-0005-0000-0000-00006F2C0000}"/>
    <cellStyle name="Normal 3 2 4 10" xfId="3114" xr:uid="{00000000-0005-0000-0000-0000702C0000}"/>
    <cellStyle name="Normal 3 2 4 10 2" xfId="24312" xr:uid="{00000000-0005-0000-0000-0000712C0000}"/>
    <cellStyle name="Normal 3 2 4 10 2 2" xfId="56183" xr:uid="{00000000-0005-0000-0000-0000722C0000}"/>
    <cellStyle name="Normal 3 2 4 10 3" xfId="34993" xr:uid="{00000000-0005-0000-0000-0000732C0000}"/>
    <cellStyle name="Normal 3 2 4 11" xfId="16434" xr:uid="{00000000-0005-0000-0000-0000742C0000}"/>
    <cellStyle name="Normal 3 2 4 11 2" xfId="48305" xr:uid="{00000000-0005-0000-0000-0000752C0000}"/>
    <cellStyle name="Normal 3 2 4 12" xfId="34992" xr:uid="{00000000-0005-0000-0000-0000762C0000}"/>
    <cellStyle name="Normal 3 2 4 2" xfId="3115" xr:uid="{00000000-0005-0000-0000-0000772C0000}"/>
    <cellStyle name="Normal 3 2 4 2 10" xfId="34994" xr:uid="{00000000-0005-0000-0000-0000782C0000}"/>
    <cellStyle name="Normal 3 2 4 2 2" xfId="3116" xr:uid="{00000000-0005-0000-0000-0000792C0000}"/>
    <cellStyle name="Normal 3 2 4 2 2 2" xfId="3117" xr:uid="{00000000-0005-0000-0000-00007A2C0000}"/>
    <cellStyle name="Normal 3 2 4 2 2 2 2" xfId="3118" xr:uid="{00000000-0005-0000-0000-00007B2C0000}"/>
    <cellStyle name="Normal 3 2 4 2 2 2 2 2" xfId="3119" xr:uid="{00000000-0005-0000-0000-00007C2C0000}"/>
    <cellStyle name="Normal 3 2 4 2 2 2 2 2 2" xfId="3120" xr:uid="{00000000-0005-0000-0000-00007D2C0000}"/>
    <cellStyle name="Normal 3 2 4 2 2 2 2 2 2 2" xfId="3121" xr:uid="{00000000-0005-0000-0000-00007E2C0000}"/>
    <cellStyle name="Normal 3 2 4 2 2 2 2 2 2 2 2" xfId="3122" xr:uid="{00000000-0005-0000-0000-00007F2C0000}"/>
    <cellStyle name="Normal 3 2 4 2 2 2 2 2 2 2 2 2" xfId="29155" xr:uid="{00000000-0005-0000-0000-0000802C0000}"/>
    <cellStyle name="Normal 3 2 4 2 2 2 2 2 2 2 2 2 2" xfId="61026" xr:uid="{00000000-0005-0000-0000-0000812C0000}"/>
    <cellStyle name="Normal 3 2 4 2 2 2 2 2 2 2 2 3" xfId="35001" xr:uid="{00000000-0005-0000-0000-0000822C0000}"/>
    <cellStyle name="Normal 3 2 4 2 2 2 2 2 2 2 3" xfId="21277" xr:uid="{00000000-0005-0000-0000-0000832C0000}"/>
    <cellStyle name="Normal 3 2 4 2 2 2 2 2 2 2 3 2" xfId="53148" xr:uid="{00000000-0005-0000-0000-0000842C0000}"/>
    <cellStyle name="Normal 3 2 4 2 2 2 2 2 2 2 4" xfId="35000" xr:uid="{00000000-0005-0000-0000-0000852C0000}"/>
    <cellStyle name="Normal 3 2 4 2 2 2 2 2 2 3" xfId="3123" xr:uid="{00000000-0005-0000-0000-0000862C0000}"/>
    <cellStyle name="Normal 3 2 4 2 2 2 2 2 2 3 2" xfId="25216" xr:uid="{00000000-0005-0000-0000-0000872C0000}"/>
    <cellStyle name="Normal 3 2 4 2 2 2 2 2 2 3 2 2" xfId="57087" xr:uid="{00000000-0005-0000-0000-0000882C0000}"/>
    <cellStyle name="Normal 3 2 4 2 2 2 2 2 2 3 3" xfId="35002" xr:uid="{00000000-0005-0000-0000-0000892C0000}"/>
    <cellStyle name="Normal 3 2 4 2 2 2 2 2 2 4" xfId="17338" xr:uid="{00000000-0005-0000-0000-00008A2C0000}"/>
    <cellStyle name="Normal 3 2 4 2 2 2 2 2 2 4 2" xfId="49209" xr:uid="{00000000-0005-0000-0000-00008B2C0000}"/>
    <cellStyle name="Normal 3 2 4 2 2 2 2 2 2 5" xfId="34999" xr:uid="{00000000-0005-0000-0000-00008C2C0000}"/>
    <cellStyle name="Normal 3 2 4 2 2 2 2 2 3" xfId="3124" xr:uid="{00000000-0005-0000-0000-00008D2C0000}"/>
    <cellStyle name="Normal 3 2 4 2 2 2 2 2 3 2" xfId="3125" xr:uid="{00000000-0005-0000-0000-00008E2C0000}"/>
    <cellStyle name="Normal 3 2 4 2 2 2 2 2 3 2 2" xfId="29154" xr:uid="{00000000-0005-0000-0000-00008F2C0000}"/>
    <cellStyle name="Normal 3 2 4 2 2 2 2 2 3 2 2 2" xfId="61025" xr:uid="{00000000-0005-0000-0000-0000902C0000}"/>
    <cellStyle name="Normal 3 2 4 2 2 2 2 2 3 2 3" xfId="35004" xr:uid="{00000000-0005-0000-0000-0000912C0000}"/>
    <cellStyle name="Normal 3 2 4 2 2 2 2 2 3 3" xfId="21276" xr:uid="{00000000-0005-0000-0000-0000922C0000}"/>
    <cellStyle name="Normal 3 2 4 2 2 2 2 2 3 3 2" xfId="53147" xr:uid="{00000000-0005-0000-0000-0000932C0000}"/>
    <cellStyle name="Normal 3 2 4 2 2 2 2 2 3 4" xfId="35003" xr:uid="{00000000-0005-0000-0000-0000942C0000}"/>
    <cellStyle name="Normal 3 2 4 2 2 2 2 2 4" xfId="3126" xr:uid="{00000000-0005-0000-0000-0000952C0000}"/>
    <cellStyle name="Normal 3 2 4 2 2 2 2 2 4 2" xfId="25215" xr:uid="{00000000-0005-0000-0000-0000962C0000}"/>
    <cellStyle name="Normal 3 2 4 2 2 2 2 2 4 2 2" xfId="57086" xr:uid="{00000000-0005-0000-0000-0000972C0000}"/>
    <cellStyle name="Normal 3 2 4 2 2 2 2 2 4 3" xfId="35005" xr:uid="{00000000-0005-0000-0000-0000982C0000}"/>
    <cellStyle name="Normal 3 2 4 2 2 2 2 2 5" xfId="17337" xr:uid="{00000000-0005-0000-0000-0000992C0000}"/>
    <cellStyle name="Normal 3 2 4 2 2 2 2 2 5 2" xfId="49208" xr:uid="{00000000-0005-0000-0000-00009A2C0000}"/>
    <cellStyle name="Normal 3 2 4 2 2 2 2 2 6" xfId="34998" xr:uid="{00000000-0005-0000-0000-00009B2C0000}"/>
    <cellStyle name="Normal 3 2 4 2 2 2 2 3" xfId="3127" xr:uid="{00000000-0005-0000-0000-00009C2C0000}"/>
    <cellStyle name="Normal 3 2 4 2 2 2 2 3 2" xfId="3128" xr:uid="{00000000-0005-0000-0000-00009D2C0000}"/>
    <cellStyle name="Normal 3 2 4 2 2 2 2 3 2 2" xfId="3129" xr:uid="{00000000-0005-0000-0000-00009E2C0000}"/>
    <cellStyle name="Normal 3 2 4 2 2 2 2 3 2 2 2" xfId="29156" xr:uid="{00000000-0005-0000-0000-00009F2C0000}"/>
    <cellStyle name="Normal 3 2 4 2 2 2 2 3 2 2 2 2" xfId="61027" xr:uid="{00000000-0005-0000-0000-0000A02C0000}"/>
    <cellStyle name="Normal 3 2 4 2 2 2 2 3 2 2 3" xfId="35008" xr:uid="{00000000-0005-0000-0000-0000A12C0000}"/>
    <cellStyle name="Normal 3 2 4 2 2 2 2 3 2 3" xfId="21278" xr:uid="{00000000-0005-0000-0000-0000A22C0000}"/>
    <cellStyle name="Normal 3 2 4 2 2 2 2 3 2 3 2" xfId="53149" xr:uid="{00000000-0005-0000-0000-0000A32C0000}"/>
    <cellStyle name="Normal 3 2 4 2 2 2 2 3 2 4" xfId="35007" xr:uid="{00000000-0005-0000-0000-0000A42C0000}"/>
    <cellStyle name="Normal 3 2 4 2 2 2 2 3 3" xfId="3130" xr:uid="{00000000-0005-0000-0000-0000A52C0000}"/>
    <cellStyle name="Normal 3 2 4 2 2 2 2 3 3 2" xfId="25217" xr:uid="{00000000-0005-0000-0000-0000A62C0000}"/>
    <cellStyle name="Normal 3 2 4 2 2 2 2 3 3 2 2" xfId="57088" xr:uid="{00000000-0005-0000-0000-0000A72C0000}"/>
    <cellStyle name="Normal 3 2 4 2 2 2 2 3 3 3" xfId="35009" xr:uid="{00000000-0005-0000-0000-0000A82C0000}"/>
    <cellStyle name="Normal 3 2 4 2 2 2 2 3 4" xfId="17339" xr:uid="{00000000-0005-0000-0000-0000A92C0000}"/>
    <cellStyle name="Normal 3 2 4 2 2 2 2 3 4 2" xfId="49210" xr:uid="{00000000-0005-0000-0000-0000AA2C0000}"/>
    <cellStyle name="Normal 3 2 4 2 2 2 2 3 5" xfId="35006" xr:uid="{00000000-0005-0000-0000-0000AB2C0000}"/>
    <cellStyle name="Normal 3 2 4 2 2 2 2 4" xfId="3131" xr:uid="{00000000-0005-0000-0000-0000AC2C0000}"/>
    <cellStyle name="Normal 3 2 4 2 2 2 2 4 2" xfId="3132" xr:uid="{00000000-0005-0000-0000-0000AD2C0000}"/>
    <cellStyle name="Normal 3 2 4 2 2 2 2 4 2 2" xfId="29153" xr:uid="{00000000-0005-0000-0000-0000AE2C0000}"/>
    <cellStyle name="Normal 3 2 4 2 2 2 2 4 2 2 2" xfId="61024" xr:uid="{00000000-0005-0000-0000-0000AF2C0000}"/>
    <cellStyle name="Normal 3 2 4 2 2 2 2 4 2 3" xfId="35011" xr:uid="{00000000-0005-0000-0000-0000B02C0000}"/>
    <cellStyle name="Normal 3 2 4 2 2 2 2 4 3" xfId="21275" xr:uid="{00000000-0005-0000-0000-0000B12C0000}"/>
    <cellStyle name="Normal 3 2 4 2 2 2 2 4 3 2" xfId="53146" xr:uid="{00000000-0005-0000-0000-0000B22C0000}"/>
    <cellStyle name="Normal 3 2 4 2 2 2 2 4 4" xfId="35010" xr:uid="{00000000-0005-0000-0000-0000B32C0000}"/>
    <cellStyle name="Normal 3 2 4 2 2 2 2 5" xfId="3133" xr:uid="{00000000-0005-0000-0000-0000B42C0000}"/>
    <cellStyle name="Normal 3 2 4 2 2 2 2 5 2" xfId="25214" xr:uid="{00000000-0005-0000-0000-0000B52C0000}"/>
    <cellStyle name="Normal 3 2 4 2 2 2 2 5 2 2" xfId="57085" xr:uid="{00000000-0005-0000-0000-0000B62C0000}"/>
    <cellStyle name="Normal 3 2 4 2 2 2 2 5 3" xfId="35012" xr:uid="{00000000-0005-0000-0000-0000B72C0000}"/>
    <cellStyle name="Normal 3 2 4 2 2 2 2 6" xfId="17336" xr:uid="{00000000-0005-0000-0000-0000B82C0000}"/>
    <cellStyle name="Normal 3 2 4 2 2 2 2 6 2" xfId="49207" xr:uid="{00000000-0005-0000-0000-0000B92C0000}"/>
    <cellStyle name="Normal 3 2 4 2 2 2 2 7" xfId="34997" xr:uid="{00000000-0005-0000-0000-0000BA2C0000}"/>
    <cellStyle name="Normal 3 2 4 2 2 2 3" xfId="3134" xr:uid="{00000000-0005-0000-0000-0000BB2C0000}"/>
    <cellStyle name="Normal 3 2 4 2 2 2 3 2" xfId="3135" xr:uid="{00000000-0005-0000-0000-0000BC2C0000}"/>
    <cellStyle name="Normal 3 2 4 2 2 2 3 2 2" xfId="3136" xr:uid="{00000000-0005-0000-0000-0000BD2C0000}"/>
    <cellStyle name="Normal 3 2 4 2 2 2 3 2 2 2" xfId="3137" xr:uid="{00000000-0005-0000-0000-0000BE2C0000}"/>
    <cellStyle name="Normal 3 2 4 2 2 2 3 2 2 2 2" xfId="29158" xr:uid="{00000000-0005-0000-0000-0000BF2C0000}"/>
    <cellStyle name="Normal 3 2 4 2 2 2 3 2 2 2 2 2" xfId="61029" xr:uid="{00000000-0005-0000-0000-0000C02C0000}"/>
    <cellStyle name="Normal 3 2 4 2 2 2 3 2 2 2 3" xfId="35016" xr:uid="{00000000-0005-0000-0000-0000C12C0000}"/>
    <cellStyle name="Normal 3 2 4 2 2 2 3 2 2 3" xfId="21280" xr:uid="{00000000-0005-0000-0000-0000C22C0000}"/>
    <cellStyle name="Normal 3 2 4 2 2 2 3 2 2 3 2" xfId="53151" xr:uid="{00000000-0005-0000-0000-0000C32C0000}"/>
    <cellStyle name="Normal 3 2 4 2 2 2 3 2 2 4" xfId="35015" xr:uid="{00000000-0005-0000-0000-0000C42C0000}"/>
    <cellStyle name="Normal 3 2 4 2 2 2 3 2 3" xfId="3138" xr:uid="{00000000-0005-0000-0000-0000C52C0000}"/>
    <cellStyle name="Normal 3 2 4 2 2 2 3 2 3 2" xfId="25219" xr:uid="{00000000-0005-0000-0000-0000C62C0000}"/>
    <cellStyle name="Normal 3 2 4 2 2 2 3 2 3 2 2" xfId="57090" xr:uid="{00000000-0005-0000-0000-0000C72C0000}"/>
    <cellStyle name="Normal 3 2 4 2 2 2 3 2 3 3" xfId="35017" xr:uid="{00000000-0005-0000-0000-0000C82C0000}"/>
    <cellStyle name="Normal 3 2 4 2 2 2 3 2 4" xfId="17341" xr:uid="{00000000-0005-0000-0000-0000C92C0000}"/>
    <cellStyle name="Normal 3 2 4 2 2 2 3 2 4 2" xfId="49212" xr:uid="{00000000-0005-0000-0000-0000CA2C0000}"/>
    <cellStyle name="Normal 3 2 4 2 2 2 3 2 5" xfId="35014" xr:uid="{00000000-0005-0000-0000-0000CB2C0000}"/>
    <cellStyle name="Normal 3 2 4 2 2 2 3 3" xfId="3139" xr:uid="{00000000-0005-0000-0000-0000CC2C0000}"/>
    <cellStyle name="Normal 3 2 4 2 2 2 3 3 2" xfId="3140" xr:uid="{00000000-0005-0000-0000-0000CD2C0000}"/>
    <cellStyle name="Normal 3 2 4 2 2 2 3 3 2 2" xfId="29157" xr:uid="{00000000-0005-0000-0000-0000CE2C0000}"/>
    <cellStyle name="Normal 3 2 4 2 2 2 3 3 2 2 2" xfId="61028" xr:uid="{00000000-0005-0000-0000-0000CF2C0000}"/>
    <cellStyle name="Normal 3 2 4 2 2 2 3 3 2 3" xfId="35019" xr:uid="{00000000-0005-0000-0000-0000D02C0000}"/>
    <cellStyle name="Normal 3 2 4 2 2 2 3 3 3" xfId="21279" xr:uid="{00000000-0005-0000-0000-0000D12C0000}"/>
    <cellStyle name="Normal 3 2 4 2 2 2 3 3 3 2" xfId="53150" xr:uid="{00000000-0005-0000-0000-0000D22C0000}"/>
    <cellStyle name="Normal 3 2 4 2 2 2 3 3 4" xfId="35018" xr:uid="{00000000-0005-0000-0000-0000D32C0000}"/>
    <cellStyle name="Normal 3 2 4 2 2 2 3 4" xfId="3141" xr:uid="{00000000-0005-0000-0000-0000D42C0000}"/>
    <cellStyle name="Normal 3 2 4 2 2 2 3 4 2" xfId="25218" xr:uid="{00000000-0005-0000-0000-0000D52C0000}"/>
    <cellStyle name="Normal 3 2 4 2 2 2 3 4 2 2" xfId="57089" xr:uid="{00000000-0005-0000-0000-0000D62C0000}"/>
    <cellStyle name="Normal 3 2 4 2 2 2 3 4 3" xfId="35020" xr:uid="{00000000-0005-0000-0000-0000D72C0000}"/>
    <cellStyle name="Normal 3 2 4 2 2 2 3 5" xfId="17340" xr:uid="{00000000-0005-0000-0000-0000D82C0000}"/>
    <cellStyle name="Normal 3 2 4 2 2 2 3 5 2" xfId="49211" xr:uid="{00000000-0005-0000-0000-0000D92C0000}"/>
    <cellStyle name="Normal 3 2 4 2 2 2 3 6" xfId="35013" xr:uid="{00000000-0005-0000-0000-0000DA2C0000}"/>
    <cellStyle name="Normal 3 2 4 2 2 2 4" xfId="3142" xr:uid="{00000000-0005-0000-0000-0000DB2C0000}"/>
    <cellStyle name="Normal 3 2 4 2 2 2 4 2" xfId="3143" xr:uid="{00000000-0005-0000-0000-0000DC2C0000}"/>
    <cellStyle name="Normal 3 2 4 2 2 2 4 2 2" xfId="3144" xr:uid="{00000000-0005-0000-0000-0000DD2C0000}"/>
    <cellStyle name="Normal 3 2 4 2 2 2 4 2 2 2" xfId="29159" xr:uid="{00000000-0005-0000-0000-0000DE2C0000}"/>
    <cellStyle name="Normal 3 2 4 2 2 2 4 2 2 2 2" xfId="61030" xr:uid="{00000000-0005-0000-0000-0000DF2C0000}"/>
    <cellStyle name="Normal 3 2 4 2 2 2 4 2 2 3" xfId="35023" xr:uid="{00000000-0005-0000-0000-0000E02C0000}"/>
    <cellStyle name="Normal 3 2 4 2 2 2 4 2 3" xfId="21281" xr:uid="{00000000-0005-0000-0000-0000E12C0000}"/>
    <cellStyle name="Normal 3 2 4 2 2 2 4 2 3 2" xfId="53152" xr:uid="{00000000-0005-0000-0000-0000E22C0000}"/>
    <cellStyle name="Normal 3 2 4 2 2 2 4 2 4" xfId="35022" xr:uid="{00000000-0005-0000-0000-0000E32C0000}"/>
    <cellStyle name="Normal 3 2 4 2 2 2 4 3" xfId="3145" xr:uid="{00000000-0005-0000-0000-0000E42C0000}"/>
    <cellStyle name="Normal 3 2 4 2 2 2 4 3 2" xfId="25220" xr:uid="{00000000-0005-0000-0000-0000E52C0000}"/>
    <cellStyle name="Normal 3 2 4 2 2 2 4 3 2 2" xfId="57091" xr:uid="{00000000-0005-0000-0000-0000E62C0000}"/>
    <cellStyle name="Normal 3 2 4 2 2 2 4 3 3" xfId="35024" xr:uid="{00000000-0005-0000-0000-0000E72C0000}"/>
    <cellStyle name="Normal 3 2 4 2 2 2 4 4" xfId="17342" xr:uid="{00000000-0005-0000-0000-0000E82C0000}"/>
    <cellStyle name="Normal 3 2 4 2 2 2 4 4 2" xfId="49213" xr:uid="{00000000-0005-0000-0000-0000E92C0000}"/>
    <cellStyle name="Normal 3 2 4 2 2 2 4 5" xfId="35021" xr:uid="{00000000-0005-0000-0000-0000EA2C0000}"/>
    <cellStyle name="Normal 3 2 4 2 2 2 5" xfId="3146" xr:uid="{00000000-0005-0000-0000-0000EB2C0000}"/>
    <cellStyle name="Normal 3 2 4 2 2 2 5 2" xfId="3147" xr:uid="{00000000-0005-0000-0000-0000EC2C0000}"/>
    <cellStyle name="Normal 3 2 4 2 2 2 5 2 2" xfId="29152" xr:uid="{00000000-0005-0000-0000-0000ED2C0000}"/>
    <cellStyle name="Normal 3 2 4 2 2 2 5 2 2 2" xfId="61023" xr:uid="{00000000-0005-0000-0000-0000EE2C0000}"/>
    <cellStyle name="Normal 3 2 4 2 2 2 5 2 3" xfId="35026" xr:uid="{00000000-0005-0000-0000-0000EF2C0000}"/>
    <cellStyle name="Normal 3 2 4 2 2 2 5 3" xfId="21274" xr:uid="{00000000-0005-0000-0000-0000F02C0000}"/>
    <cellStyle name="Normal 3 2 4 2 2 2 5 3 2" xfId="53145" xr:uid="{00000000-0005-0000-0000-0000F12C0000}"/>
    <cellStyle name="Normal 3 2 4 2 2 2 5 4" xfId="35025" xr:uid="{00000000-0005-0000-0000-0000F22C0000}"/>
    <cellStyle name="Normal 3 2 4 2 2 2 6" xfId="3148" xr:uid="{00000000-0005-0000-0000-0000F32C0000}"/>
    <cellStyle name="Normal 3 2 4 2 2 2 6 2" xfId="25213" xr:uid="{00000000-0005-0000-0000-0000F42C0000}"/>
    <cellStyle name="Normal 3 2 4 2 2 2 6 2 2" xfId="57084" xr:uid="{00000000-0005-0000-0000-0000F52C0000}"/>
    <cellStyle name="Normal 3 2 4 2 2 2 6 3" xfId="35027" xr:uid="{00000000-0005-0000-0000-0000F62C0000}"/>
    <cellStyle name="Normal 3 2 4 2 2 2 7" xfId="17335" xr:uid="{00000000-0005-0000-0000-0000F72C0000}"/>
    <cellStyle name="Normal 3 2 4 2 2 2 7 2" xfId="49206" xr:uid="{00000000-0005-0000-0000-0000F82C0000}"/>
    <cellStyle name="Normal 3 2 4 2 2 2 8" xfId="34996" xr:uid="{00000000-0005-0000-0000-0000F92C0000}"/>
    <cellStyle name="Normal 3 2 4 2 2 3" xfId="3149" xr:uid="{00000000-0005-0000-0000-0000FA2C0000}"/>
    <cellStyle name="Normal 3 2 4 2 2 3 2" xfId="3150" xr:uid="{00000000-0005-0000-0000-0000FB2C0000}"/>
    <cellStyle name="Normal 3 2 4 2 2 3 2 2" xfId="3151" xr:uid="{00000000-0005-0000-0000-0000FC2C0000}"/>
    <cellStyle name="Normal 3 2 4 2 2 3 2 2 2" xfId="3152" xr:uid="{00000000-0005-0000-0000-0000FD2C0000}"/>
    <cellStyle name="Normal 3 2 4 2 2 3 2 2 2 2" xfId="3153" xr:uid="{00000000-0005-0000-0000-0000FE2C0000}"/>
    <cellStyle name="Normal 3 2 4 2 2 3 2 2 2 2 2" xfId="29162" xr:uid="{00000000-0005-0000-0000-0000FF2C0000}"/>
    <cellStyle name="Normal 3 2 4 2 2 3 2 2 2 2 2 2" xfId="61033" xr:uid="{00000000-0005-0000-0000-0000002D0000}"/>
    <cellStyle name="Normal 3 2 4 2 2 3 2 2 2 2 3" xfId="35032" xr:uid="{00000000-0005-0000-0000-0000012D0000}"/>
    <cellStyle name="Normal 3 2 4 2 2 3 2 2 2 3" xfId="21284" xr:uid="{00000000-0005-0000-0000-0000022D0000}"/>
    <cellStyle name="Normal 3 2 4 2 2 3 2 2 2 3 2" xfId="53155" xr:uid="{00000000-0005-0000-0000-0000032D0000}"/>
    <cellStyle name="Normal 3 2 4 2 2 3 2 2 2 4" xfId="35031" xr:uid="{00000000-0005-0000-0000-0000042D0000}"/>
    <cellStyle name="Normal 3 2 4 2 2 3 2 2 3" xfId="3154" xr:uid="{00000000-0005-0000-0000-0000052D0000}"/>
    <cellStyle name="Normal 3 2 4 2 2 3 2 2 3 2" xfId="25223" xr:uid="{00000000-0005-0000-0000-0000062D0000}"/>
    <cellStyle name="Normal 3 2 4 2 2 3 2 2 3 2 2" xfId="57094" xr:uid="{00000000-0005-0000-0000-0000072D0000}"/>
    <cellStyle name="Normal 3 2 4 2 2 3 2 2 3 3" xfId="35033" xr:uid="{00000000-0005-0000-0000-0000082D0000}"/>
    <cellStyle name="Normal 3 2 4 2 2 3 2 2 4" xfId="17345" xr:uid="{00000000-0005-0000-0000-0000092D0000}"/>
    <cellStyle name="Normal 3 2 4 2 2 3 2 2 4 2" xfId="49216" xr:uid="{00000000-0005-0000-0000-00000A2D0000}"/>
    <cellStyle name="Normal 3 2 4 2 2 3 2 2 5" xfId="35030" xr:uid="{00000000-0005-0000-0000-00000B2D0000}"/>
    <cellStyle name="Normal 3 2 4 2 2 3 2 3" xfId="3155" xr:uid="{00000000-0005-0000-0000-00000C2D0000}"/>
    <cellStyle name="Normal 3 2 4 2 2 3 2 3 2" xfId="3156" xr:uid="{00000000-0005-0000-0000-00000D2D0000}"/>
    <cellStyle name="Normal 3 2 4 2 2 3 2 3 2 2" xfId="29161" xr:uid="{00000000-0005-0000-0000-00000E2D0000}"/>
    <cellStyle name="Normal 3 2 4 2 2 3 2 3 2 2 2" xfId="61032" xr:uid="{00000000-0005-0000-0000-00000F2D0000}"/>
    <cellStyle name="Normal 3 2 4 2 2 3 2 3 2 3" xfId="35035" xr:uid="{00000000-0005-0000-0000-0000102D0000}"/>
    <cellStyle name="Normal 3 2 4 2 2 3 2 3 3" xfId="21283" xr:uid="{00000000-0005-0000-0000-0000112D0000}"/>
    <cellStyle name="Normal 3 2 4 2 2 3 2 3 3 2" xfId="53154" xr:uid="{00000000-0005-0000-0000-0000122D0000}"/>
    <cellStyle name="Normal 3 2 4 2 2 3 2 3 4" xfId="35034" xr:uid="{00000000-0005-0000-0000-0000132D0000}"/>
    <cellStyle name="Normal 3 2 4 2 2 3 2 4" xfId="3157" xr:uid="{00000000-0005-0000-0000-0000142D0000}"/>
    <cellStyle name="Normal 3 2 4 2 2 3 2 4 2" xfId="25222" xr:uid="{00000000-0005-0000-0000-0000152D0000}"/>
    <cellStyle name="Normal 3 2 4 2 2 3 2 4 2 2" xfId="57093" xr:uid="{00000000-0005-0000-0000-0000162D0000}"/>
    <cellStyle name="Normal 3 2 4 2 2 3 2 4 3" xfId="35036" xr:uid="{00000000-0005-0000-0000-0000172D0000}"/>
    <cellStyle name="Normal 3 2 4 2 2 3 2 5" xfId="17344" xr:uid="{00000000-0005-0000-0000-0000182D0000}"/>
    <cellStyle name="Normal 3 2 4 2 2 3 2 5 2" xfId="49215" xr:uid="{00000000-0005-0000-0000-0000192D0000}"/>
    <cellStyle name="Normal 3 2 4 2 2 3 2 6" xfId="35029" xr:uid="{00000000-0005-0000-0000-00001A2D0000}"/>
    <cellStyle name="Normal 3 2 4 2 2 3 3" xfId="3158" xr:uid="{00000000-0005-0000-0000-00001B2D0000}"/>
    <cellStyle name="Normal 3 2 4 2 2 3 3 2" xfId="3159" xr:uid="{00000000-0005-0000-0000-00001C2D0000}"/>
    <cellStyle name="Normal 3 2 4 2 2 3 3 2 2" xfId="3160" xr:uid="{00000000-0005-0000-0000-00001D2D0000}"/>
    <cellStyle name="Normal 3 2 4 2 2 3 3 2 2 2" xfId="29163" xr:uid="{00000000-0005-0000-0000-00001E2D0000}"/>
    <cellStyle name="Normal 3 2 4 2 2 3 3 2 2 2 2" xfId="61034" xr:uid="{00000000-0005-0000-0000-00001F2D0000}"/>
    <cellStyle name="Normal 3 2 4 2 2 3 3 2 2 3" xfId="35039" xr:uid="{00000000-0005-0000-0000-0000202D0000}"/>
    <cellStyle name="Normal 3 2 4 2 2 3 3 2 3" xfId="21285" xr:uid="{00000000-0005-0000-0000-0000212D0000}"/>
    <cellStyle name="Normal 3 2 4 2 2 3 3 2 3 2" xfId="53156" xr:uid="{00000000-0005-0000-0000-0000222D0000}"/>
    <cellStyle name="Normal 3 2 4 2 2 3 3 2 4" xfId="35038" xr:uid="{00000000-0005-0000-0000-0000232D0000}"/>
    <cellStyle name="Normal 3 2 4 2 2 3 3 3" xfId="3161" xr:uid="{00000000-0005-0000-0000-0000242D0000}"/>
    <cellStyle name="Normal 3 2 4 2 2 3 3 3 2" xfId="25224" xr:uid="{00000000-0005-0000-0000-0000252D0000}"/>
    <cellStyle name="Normal 3 2 4 2 2 3 3 3 2 2" xfId="57095" xr:uid="{00000000-0005-0000-0000-0000262D0000}"/>
    <cellStyle name="Normal 3 2 4 2 2 3 3 3 3" xfId="35040" xr:uid="{00000000-0005-0000-0000-0000272D0000}"/>
    <cellStyle name="Normal 3 2 4 2 2 3 3 4" xfId="17346" xr:uid="{00000000-0005-0000-0000-0000282D0000}"/>
    <cellStyle name="Normal 3 2 4 2 2 3 3 4 2" xfId="49217" xr:uid="{00000000-0005-0000-0000-0000292D0000}"/>
    <cellStyle name="Normal 3 2 4 2 2 3 3 5" xfId="35037" xr:uid="{00000000-0005-0000-0000-00002A2D0000}"/>
    <cellStyle name="Normal 3 2 4 2 2 3 4" xfId="3162" xr:uid="{00000000-0005-0000-0000-00002B2D0000}"/>
    <cellStyle name="Normal 3 2 4 2 2 3 4 2" xfId="3163" xr:uid="{00000000-0005-0000-0000-00002C2D0000}"/>
    <cellStyle name="Normal 3 2 4 2 2 3 4 2 2" xfId="29160" xr:uid="{00000000-0005-0000-0000-00002D2D0000}"/>
    <cellStyle name="Normal 3 2 4 2 2 3 4 2 2 2" xfId="61031" xr:uid="{00000000-0005-0000-0000-00002E2D0000}"/>
    <cellStyle name="Normal 3 2 4 2 2 3 4 2 3" xfId="35042" xr:uid="{00000000-0005-0000-0000-00002F2D0000}"/>
    <cellStyle name="Normal 3 2 4 2 2 3 4 3" xfId="21282" xr:uid="{00000000-0005-0000-0000-0000302D0000}"/>
    <cellStyle name="Normal 3 2 4 2 2 3 4 3 2" xfId="53153" xr:uid="{00000000-0005-0000-0000-0000312D0000}"/>
    <cellStyle name="Normal 3 2 4 2 2 3 4 4" xfId="35041" xr:uid="{00000000-0005-0000-0000-0000322D0000}"/>
    <cellStyle name="Normal 3 2 4 2 2 3 5" xfId="3164" xr:uid="{00000000-0005-0000-0000-0000332D0000}"/>
    <cellStyle name="Normal 3 2 4 2 2 3 5 2" xfId="25221" xr:uid="{00000000-0005-0000-0000-0000342D0000}"/>
    <cellStyle name="Normal 3 2 4 2 2 3 5 2 2" xfId="57092" xr:uid="{00000000-0005-0000-0000-0000352D0000}"/>
    <cellStyle name="Normal 3 2 4 2 2 3 5 3" xfId="35043" xr:uid="{00000000-0005-0000-0000-0000362D0000}"/>
    <cellStyle name="Normal 3 2 4 2 2 3 6" xfId="17343" xr:uid="{00000000-0005-0000-0000-0000372D0000}"/>
    <cellStyle name="Normal 3 2 4 2 2 3 6 2" xfId="49214" xr:uid="{00000000-0005-0000-0000-0000382D0000}"/>
    <cellStyle name="Normal 3 2 4 2 2 3 7" xfId="35028" xr:uid="{00000000-0005-0000-0000-0000392D0000}"/>
    <cellStyle name="Normal 3 2 4 2 2 4" xfId="3165" xr:uid="{00000000-0005-0000-0000-00003A2D0000}"/>
    <cellStyle name="Normal 3 2 4 2 2 4 2" xfId="3166" xr:uid="{00000000-0005-0000-0000-00003B2D0000}"/>
    <cellStyle name="Normal 3 2 4 2 2 4 2 2" xfId="3167" xr:uid="{00000000-0005-0000-0000-00003C2D0000}"/>
    <cellStyle name="Normal 3 2 4 2 2 4 2 2 2" xfId="3168" xr:uid="{00000000-0005-0000-0000-00003D2D0000}"/>
    <cellStyle name="Normal 3 2 4 2 2 4 2 2 2 2" xfId="29165" xr:uid="{00000000-0005-0000-0000-00003E2D0000}"/>
    <cellStyle name="Normal 3 2 4 2 2 4 2 2 2 2 2" xfId="61036" xr:uid="{00000000-0005-0000-0000-00003F2D0000}"/>
    <cellStyle name="Normal 3 2 4 2 2 4 2 2 2 3" xfId="35047" xr:uid="{00000000-0005-0000-0000-0000402D0000}"/>
    <cellStyle name="Normal 3 2 4 2 2 4 2 2 3" xfId="21287" xr:uid="{00000000-0005-0000-0000-0000412D0000}"/>
    <cellStyle name="Normal 3 2 4 2 2 4 2 2 3 2" xfId="53158" xr:uid="{00000000-0005-0000-0000-0000422D0000}"/>
    <cellStyle name="Normal 3 2 4 2 2 4 2 2 4" xfId="35046" xr:uid="{00000000-0005-0000-0000-0000432D0000}"/>
    <cellStyle name="Normal 3 2 4 2 2 4 2 3" xfId="3169" xr:uid="{00000000-0005-0000-0000-0000442D0000}"/>
    <cellStyle name="Normal 3 2 4 2 2 4 2 3 2" xfId="25226" xr:uid="{00000000-0005-0000-0000-0000452D0000}"/>
    <cellStyle name="Normal 3 2 4 2 2 4 2 3 2 2" xfId="57097" xr:uid="{00000000-0005-0000-0000-0000462D0000}"/>
    <cellStyle name="Normal 3 2 4 2 2 4 2 3 3" xfId="35048" xr:uid="{00000000-0005-0000-0000-0000472D0000}"/>
    <cellStyle name="Normal 3 2 4 2 2 4 2 4" xfId="17348" xr:uid="{00000000-0005-0000-0000-0000482D0000}"/>
    <cellStyle name="Normal 3 2 4 2 2 4 2 4 2" xfId="49219" xr:uid="{00000000-0005-0000-0000-0000492D0000}"/>
    <cellStyle name="Normal 3 2 4 2 2 4 2 5" xfId="35045" xr:uid="{00000000-0005-0000-0000-00004A2D0000}"/>
    <cellStyle name="Normal 3 2 4 2 2 4 3" xfId="3170" xr:uid="{00000000-0005-0000-0000-00004B2D0000}"/>
    <cellStyle name="Normal 3 2 4 2 2 4 3 2" xfId="3171" xr:uid="{00000000-0005-0000-0000-00004C2D0000}"/>
    <cellStyle name="Normal 3 2 4 2 2 4 3 2 2" xfId="29164" xr:uid="{00000000-0005-0000-0000-00004D2D0000}"/>
    <cellStyle name="Normal 3 2 4 2 2 4 3 2 2 2" xfId="61035" xr:uid="{00000000-0005-0000-0000-00004E2D0000}"/>
    <cellStyle name="Normal 3 2 4 2 2 4 3 2 3" xfId="35050" xr:uid="{00000000-0005-0000-0000-00004F2D0000}"/>
    <cellStyle name="Normal 3 2 4 2 2 4 3 3" xfId="21286" xr:uid="{00000000-0005-0000-0000-0000502D0000}"/>
    <cellStyle name="Normal 3 2 4 2 2 4 3 3 2" xfId="53157" xr:uid="{00000000-0005-0000-0000-0000512D0000}"/>
    <cellStyle name="Normal 3 2 4 2 2 4 3 4" xfId="35049" xr:uid="{00000000-0005-0000-0000-0000522D0000}"/>
    <cellStyle name="Normal 3 2 4 2 2 4 4" xfId="3172" xr:uid="{00000000-0005-0000-0000-0000532D0000}"/>
    <cellStyle name="Normal 3 2 4 2 2 4 4 2" xfId="25225" xr:uid="{00000000-0005-0000-0000-0000542D0000}"/>
    <cellStyle name="Normal 3 2 4 2 2 4 4 2 2" xfId="57096" xr:uid="{00000000-0005-0000-0000-0000552D0000}"/>
    <cellStyle name="Normal 3 2 4 2 2 4 4 3" xfId="35051" xr:uid="{00000000-0005-0000-0000-0000562D0000}"/>
    <cellStyle name="Normal 3 2 4 2 2 4 5" xfId="17347" xr:uid="{00000000-0005-0000-0000-0000572D0000}"/>
    <cellStyle name="Normal 3 2 4 2 2 4 5 2" xfId="49218" xr:uid="{00000000-0005-0000-0000-0000582D0000}"/>
    <cellStyle name="Normal 3 2 4 2 2 4 6" xfId="35044" xr:uid="{00000000-0005-0000-0000-0000592D0000}"/>
    <cellStyle name="Normal 3 2 4 2 2 5" xfId="3173" xr:uid="{00000000-0005-0000-0000-00005A2D0000}"/>
    <cellStyle name="Normal 3 2 4 2 2 5 2" xfId="3174" xr:uid="{00000000-0005-0000-0000-00005B2D0000}"/>
    <cellStyle name="Normal 3 2 4 2 2 5 2 2" xfId="3175" xr:uid="{00000000-0005-0000-0000-00005C2D0000}"/>
    <cellStyle name="Normal 3 2 4 2 2 5 2 2 2" xfId="29166" xr:uid="{00000000-0005-0000-0000-00005D2D0000}"/>
    <cellStyle name="Normal 3 2 4 2 2 5 2 2 2 2" xfId="61037" xr:uid="{00000000-0005-0000-0000-00005E2D0000}"/>
    <cellStyle name="Normal 3 2 4 2 2 5 2 2 3" xfId="35054" xr:uid="{00000000-0005-0000-0000-00005F2D0000}"/>
    <cellStyle name="Normal 3 2 4 2 2 5 2 3" xfId="21288" xr:uid="{00000000-0005-0000-0000-0000602D0000}"/>
    <cellStyle name="Normal 3 2 4 2 2 5 2 3 2" xfId="53159" xr:uid="{00000000-0005-0000-0000-0000612D0000}"/>
    <cellStyle name="Normal 3 2 4 2 2 5 2 4" xfId="35053" xr:uid="{00000000-0005-0000-0000-0000622D0000}"/>
    <cellStyle name="Normal 3 2 4 2 2 5 3" xfId="3176" xr:uid="{00000000-0005-0000-0000-0000632D0000}"/>
    <cellStyle name="Normal 3 2 4 2 2 5 3 2" xfId="25227" xr:uid="{00000000-0005-0000-0000-0000642D0000}"/>
    <cellStyle name="Normal 3 2 4 2 2 5 3 2 2" xfId="57098" xr:uid="{00000000-0005-0000-0000-0000652D0000}"/>
    <cellStyle name="Normal 3 2 4 2 2 5 3 3" xfId="35055" xr:uid="{00000000-0005-0000-0000-0000662D0000}"/>
    <cellStyle name="Normal 3 2 4 2 2 5 4" xfId="17349" xr:uid="{00000000-0005-0000-0000-0000672D0000}"/>
    <cellStyle name="Normal 3 2 4 2 2 5 4 2" xfId="49220" xr:uid="{00000000-0005-0000-0000-0000682D0000}"/>
    <cellStyle name="Normal 3 2 4 2 2 5 5" xfId="35052" xr:uid="{00000000-0005-0000-0000-0000692D0000}"/>
    <cellStyle name="Normal 3 2 4 2 2 6" xfId="3177" xr:uid="{00000000-0005-0000-0000-00006A2D0000}"/>
    <cellStyle name="Normal 3 2 4 2 2 6 2" xfId="3178" xr:uid="{00000000-0005-0000-0000-00006B2D0000}"/>
    <cellStyle name="Normal 3 2 4 2 2 6 2 2" xfId="28456" xr:uid="{00000000-0005-0000-0000-00006C2D0000}"/>
    <cellStyle name="Normal 3 2 4 2 2 6 2 2 2" xfId="60327" xr:uid="{00000000-0005-0000-0000-00006D2D0000}"/>
    <cellStyle name="Normal 3 2 4 2 2 6 2 3" xfId="35057" xr:uid="{00000000-0005-0000-0000-00006E2D0000}"/>
    <cellStyle name="Normal 3 2 4 2 2 6 3" xfId="20578" xr:uid="{00000000-0005-0000-0000-00006F2D0000}"/>
    <cellStyle name="Normal 3 2 4 2 2 6 3 2" xfId="52449" xr:uid="{00000000-0005-0000-0000-0000702D0000}"/>
    <cellStyle name="Normal 3 2 4 2 2 6 4" xfId="35056" xr:uid="{00000000-0005-0000-0000-0000712D0000}"/>
    <cellStyle name="Normal 3 2 4 2 2 7" xfId="3179" xr:uid="{00000000-0005-0000-0000-0000722D0000}"/>
    <cellStyle name="Normal 3 2 4 2 2 7 2" xfId="24517" xr:uid="{00000000-0005-0000-0000-0000732D0000}"/>
    <cellStyle name="Normal 3 2 4 2 2 7 2 2" xfId="56388" xr:uid="{00000000-0005-0000-0000-0000742D0000}"/>
    <cellStyle name="Normal 3 2 4 2 2 7 3" xfId="35058" xr:uid="{00000000-0005-0000-0000-0000752D0000}"/>
    <cellStyle name="Normal 3 2 4 2 2 8" xfId="16639" xr:uid="{00000000-0005-0000-0000-0000762D0000}"/>
    <cellStyle name="Normal 3 2 4 2 2 8 2" xfId="48510" xr:uid="{00000000-0005-0000-0000-0000772D0000}"/>
    <cellStyle name="Normal 3 2 4 2 2 9" xfId="34995" xr:uid="{00000000-0005-0000-0000-0000782D0000}"/>
    <cellStyle name="Normal 3 2 4 2 3" xfId="3180" xr:uid="{00000000-0005-0000-0000-0000792D0000}"/>
    <cellStyle name="Normal 3 2 4 2 3 2" xfId="3181" xr:uid="{00000000-0005-0000-0000-00007A2D0000}"/>
    <cellStyle name="Normal 3 2 4 2 3 2 2" xfId="3182" xr:uid="{00000000-0005-0000-0000-00007B2D0000}"/>
    <cellStyle name="Normal 3 2 4 2 3 2 2 2" xfId="3183" xr:uid="{00000000-0005-0000-0000-00007C2D0000}"/>
    <cellStyle name="Normal 3 2 4 2 3 2 2 2 2" xfId="3184" xr:uid="{00000000-0005-0000-0000-00007D2D0000}"/>
    <cellStyle name="Normal 3 2 4 2 3 2 2 2 2 2" xfId="3185" xr:uid="{00000000-0005-0000-0000-00007E2D0000}"/>
    <cellStyle name="Normal 3 2 4 2 3 2 2 2 2 2 2" xfId="29170" xr:uid="{00000000-0005-0000-0000-00007F2D0000}"/>
    <cellStyle name="Normal 3 2 4 2 3 2 2 2 2 2 2 2" xfId="61041" xr:uid="{00000000-0005-0000-0000-0000802D0000}"/>
    <cellStyle name="Normal 3 2 4 2 3 2 2 2 2 2 3" xfId="35064" xr:uid="{00000000-0005-0000-0000-0000812D0000}"/>
    <cellStyle name="Normal 3 2 4 2 3 2 2 2 2 3" xfId="21292" xr:uid="{00000000-0005-0000-0000-0000822D0000}"/>
    <cellStyle name="Normal 3 2 4 2 3 2 2 2 2 3 2" xfId="53163" xr:uid="{00000000-0005-0000-0000-0000832D0000}"/>
    <cellStyle name="Normal 3 2 4 2 3 2 2 2 2 4" xfId="35063" xr:uid="{00000000-0005-0000-0000-0000842D0000}"/>
    <cellStyle name="Normal 3 2 4 2 3 2 2 2 3" xfId="3186" xr:uid="{00000000-0005-0000-0000-0000852D0000}"/>
    <cellStyle name="Normal 3 2 4 2 3 2 2 2 3 2" xfId="25231" xr:uid="{00000000-0005-0000-0000-0000862D0000}"/>
    <cellStyle name="Normal 3 2 4 2 3 2 2 2 3 2 2" xfId="57102" xr:uid="{00000000-0005-0000-0000-0000872D0000}"/>
    <cellStyle name="Normal 3 2 4 2 3 2 2 2 3 3" xfId="35065" xr:uid="{00000000-0005-0000-0000-0000882D0000}"/>
    <cellStyle name="Normal 3 2 4 2 3 2 2 2 4" xfId="17353" xr:uid="{00000000-0005-0000-0000-0000892D0000}"/>
    <cellStyle name="Normal 3 2 4 2 3 2 2 2 4 2" xfId="49224" xr:uid="{00000000-0005-0000-0000-00008A2D0000}"/>
    <cellStyle name="Normal 3 2 4 2 3 2 2 2 5" xfId="35062" xr:uid="{00000000-0005-0000-0000-00008B2D0000}"/>
    <cellStyle name="Normal 3 2 4 2 3 2 2 3" xfId="3187" xr:uid="{00000000-0005-0000-0000-00008C2D0000}"/>
    <cellStyle name="Normal 3 2 4 2 3 2 2 3 2" xfId="3188" xr:uid="{00000000-0005-0000-0000-00008D2D0000}"/>
    <cellStyle name="Normal 3 2 4 2 3 2 2 3 2 2" xfId="29169" xr:uid="{00000000-0005-0000-0000-00008E2D0000}"/>
    <cellStyle name="Normal 3 2 4 2 3 2 2 3 2 2 2" xfId="61040" xr:uid="{00000000-0005-0000-0000-00008F2D0000}"/>
    <cellStyle name="Normal 3 2 4 2 3 2 2 3 2 3" xfId="35067" xr:uid="{00000000-0005-0000-0000-0000902D0000}"/>
    <cellStyle name="Normal 3 2 4 2 3 2 2 3 3" xfId="21291" xr:uid="{00000000-0005-0000-0000-0000912D0000}"/>
    <cellStyle name="Normal 3 2 4 2 3 2 2 3 3 2" xfId="53162" xr:uid="{00000000-0005-0000-0000-0000922D0000}"/>
    <cellStyle name="Normal 3 2 4 2 3 2 2 3 4" xfId="35066" xr:uid="{00000000-0005-0000-0000-0000932D0000}"/>
    <cellStyle name="Normal 3 2 4 2 3 2 2 4" xfId="3189" xr:uid="{00000000-0005-0000-0000-0000942D0000}"/>
    <cellStyle name="Normal 3 2 4 2 3 2 2 4 2" xfId="25230" xr:uid="{00000000-0005-0000-0000-0000952D0000}"/>
    <cellStyle name="Normal 3 2 4 2 3 2 2 4 2 2" xfId="57101" xr:uid="{00000000-0005-0000-0000-0000962D0000}"/>
    <cellStyle name="Normal 3 2 4 2 3 2 2 4 3" xfId="35068" xr:uid="{00000000-0005-0000-0000-0000972D0000}"/>
    <cellStyle name="Normal 3 2 4 2 3 2 2 5" xfId="17352" xr:uid="{00000000-0005-0000-0000-0000982D0000}"/>
    <cellStyle name="Normal 3 2 4 2 3 2 2 5 2" xfId="49223" xr:uid="{00000000-0005-0000-0000-0000992D0000}"/>
    <cellStyle name="Normal 3 2 4 2 3 2 2 6" xfId="35061" xr:uid="{00000000-0005-0000-0000-00009A2D0000}"/>
    <cellStyle name="Normal 3 2 4 2 3 2 3" xfId="3190" xr:uid="{00000000-0005-0000-0000-00009B2D0000}"/>
    <cellStyle name="Normal 3 2 4 2 3 2 3 2" xfId="3191" xr:uid="{00000000-0005-0000-0000-00009C2D0000}"/>
    <cellStyle name="Normal 3 2 4 2 3 2 3 2 2" xfId="3192" xr:uid="{00000000-0005-0000-0000-00009D2D0000}"/>
    <cellStyle name="Normal 3 2 4 2 3 2 3 2 2 2" xfId="29171" xr:uid="{00000000-0005-0000-0000-00009E2D0000}"/>
    <cellStyle name="Normal 3 2 4 2 3 2 3 2 2 2 2" xfId="61042" xr:uid="{00000000-0005-0000-0000-00009F2D0000}"/>
    <cellStyle name="Normal 3 2 4 2 3 2 3 2 2 3" xfId="35071" xr:uid="{00000000-0005-0000-0000-0000A02D0000}"/>
    <cellStyle name="Normal 3 2 4 2 3 2 3 2 3" xfId="21293" xr:uid="{00000000-0005-0000-0000-0000A12D0000}"/>
    <cellStyle name="Normal 3 2 4 2 3 2 3 2 3 2" xfId="53164" xr:uid="{00000000-0005-0000-0000-0000A22D0000}"/>
    <cellStyle name="Normal 3 2 4 2 3 2 3 2 4" xfId="35070" xr:uid="{00000000-0005-0000-0000-0000A32D0000}"/>
    <cellStyle name="Normal 3 2 4 2 3 2 3 3" xfId="3193" xr:uid="{00000000-0005-0000-0000-0000A42D0000}"/>
    <cellStyle name="Normal 3 2 4 2 3 2 3 3 2" xfId="25232" xr:uid="{00000000-0005-0000-0000-0000A52D0000}"/>
    <cellStyle name="Normal 3 2 4 2 3 2 3 3 2 2" xfId="57103" xr:uid="{00000000-0005-0000-0000-0000A62D0000}"/>
    <cellStyle name="Normal 3 2 4 2 3 2 3 3 3" xfId="35072" xr:uid="{00000000-0005-0000-0000-0000A72D0000}"/>
    <cellStyle name="Normal 3 2 4 2 3 2 3 4" xfId="17354" xr:uid="{00000000-0005-0000-0000-0000A82D0000}"/>
    <cellStyle name="Normal 3 2 4 2 3 2 3 4 2" xfId="49225" xr:uid="{00000000-0005-0000-0000-0000A92D0000}"/>
    <cellStyle name="Normal 3 2 4 2 3 2 3 5" xfId="35069" xr:uid="{00000000-0005-0000-0000-0000AA2D0000}"/>
    <cellStyle name="Normal 3 2 4 2 3 2 4" xfId="3194" xr:uid="{00000000-0005-0000-0000-0000AB2D0000}"/>
    <cellStyle name="Normal 3 2 4 2 3 2 4 2" xfId="3195" xr:uid="{00000000-0005-0000-0000-0000AC2D0000}"/>
    <cellStyle name="Normal 3 2 4 2 3 2 4 2 2" xfId="29168" xr:uid="{00000000-0005-0000-0000-0000AD2D0000}"/>
    <cellStyle name="Normal 3 2 4 2 3 2 4 2 2 2" xfId="61039" xr:uid="{00000000-0005-0000-0000-0000AE2D0000}"/>
    <cellStyle name="Normal 3 2 4 2 3 2 4 2 3" xfId="35074" xr:uid="{00000000-0005-0000-0000-0000AF2D0000}"/>
    <cellStyle name="Normal 3 2 4 2 3 2 4 3" xfId="21290" xr:uid="{00000000-0005-0000-0000-0000B02D0000}"/>
    <cellStyle name="Normal 3 2 4 2 3 2 4 3 2" xfId="53161" xr:uid="{00000000-0005-0000-0000-0000B12D0000}"/>
    <cellStyle name="Normal 3 2 4 2 3 2 4 4" xfId="35073" xr:uid="{00000000-0005-0000-0000-0000B22D0000}"/>
    <cellStyle name="Normal 3 2 4 2 3 2 5" xfId="3196" xr:uid="{00000000-0005-0000-0000-0000B32D0000}"/>
    <cellStyle name="Normal 3 2 4 2 3 2 5 2" xfId="25229" xr:uid="{00000000-0005-0000-0000-0000B42D0000}"/>
    <cellStyle name="Normal 3 2 4 2 3 2 5 2 2" xfId="57100" xr:uid="{00000000-0005-0000-0000-0000B52D0000}"/>
    <cellStyle name="Normal 3 2 4 2 3 2 5 3" xfId="35075" xr:uid="{00000000-0005-0000-0000-0000B62D0000}"/>
    <cellStyle name="Normal 3 2 4 2 3 2 6" xfId="17351" xr:uid="{00000000-0005-0000-0000-0000B72D0000}"/>
    <cellStyle name="Normal 3 2 4 2 3 2 6 2" xfId="49222" xr:uid="{00000000-0005-0000-0000-0000B82D0000}"/>
    <cellStyle name="Normal 3 2 4 2 3 2 7" xfId="35060" xr:uid="{00000000-0005-0000-0000-0000B92D0000}"/>
    <cellStyle name="Normal 3 2 4 2 3 3" xfId="3197" xr:uid="{00000000-0005-0000-0000-0000BA2D0000}"/>
    <cellStyle name="Normal 3 2 4 2 3 3 2" xfId="3198" xr:uid="{00000000-0005-0000-0000-0000BB2D0000}"/>
    <cellStyle name="Normal 3 2 4 2 3 3 2 2" xfId="3199" xr:uid="{00000000-0005-0000-0000-0000BC2D0000}"/>
    <cellStyle name="Normal 3 2 4 2 3 3 2 2 2" xfId="3200" xr:uid="{00000000-0005-0000-0000-0000BD2D0000}"/>
    <cellStyle name="Normal 3 2 4 2 3 3 2 2 2 2" xfId="29173" xr:uid="{00000000-0005-0000-0000-0000BE2D0000}"/>
    <cellStyle name="Normal 3 2 4 2 3 3 2 2 2 2 2" xfId="61044" xr:uid="{00000000-0005-0000-0000-0000BF2D0000}"/>
    <cellStyle name="Normal 3 2 4 2 3 3 2 2 2 3" xfId="35079" xr:uid="{00000000-0005-0000-0000-0000C02D0000}"/>
    <cellStyle name="Normal 3 2 4 2 3 3 2 2 3" xfId="21295" xr:uid="{00000000-0005-0000-0000-0000C12D0000}"/>
    <cellStyle name="Normal 3 2 4 2 3 3 2 2 3 2" xfId="53166" xr:uid="{00000000-0005-0000-0000-0000C22D0000}"/>
    <cellStyle name="Normal 3 2 4 2 3 3 2 2 4" xfId="35078" xr:uid="{00000000-0005-0000-0000-0000C32D0000}"/>
    <cellStyle name="Normal 3 2 4 2 3 3 2 3" xfId="3201" xr:uid="{00000000-0005-0000-0000-0000C42D0000}"/>
    <cellStyle name="Normal 3 2 4 2 3 3 2 3 2" xfId="25234" xr:uid="{00000000-0005-0000-0000-0000C52D0000}"/>
    <cellStyle name="Normal 3 2 4 2 3 3 2 3 2 2" xfId="57105" xr:uid="{00000000-0005-0000-0000-0000C62D0000}"/>
    <cellStyle name="Normal 3 2 4 2 3 3 2 3 3" xfId="35080" xr:uid="{00000000-0005-0000-0000-0000C72D0000}"/>
    <cellStyle name="Normal 3 2 4 2 3 3 2 4" xfId="17356" xr:uid="{00000000-0005-0000-0000-0000C82D0000}"/>
    <cellStyle name="Normal 3 2 4 2 3 3 2 4 2" xfId="49227" xr:uid="{00000000-0005-0000-0000-0000C92D0000}"/>
    <cellStyle name="Normal 3 2 4 2 3 3 2 5" xfId="35077" xr:uid="{00000000-0005-0000-0000-0000CA2D0000}"/>
    <cellStyle name="Normal 3 2 4 2 3 3 3" xfId="3202" xr:uid="{00000000-0005-0000-0000-0000CB2D0000}"/>
    <cellStyle name="Normal 3 2 4 2 3 3 3 2" xfId="3203" xr:uid="{00000000-0005-0000-0000-0000CC2D0000}"/>
    <cellStyle name="Normal 3 2 4 2 3 3 3 2 2" xfId="29172" xr:uid="{00000000-0005-0000-0000-0000CD2D0000}"/>
    <cellStyle name="Normal 3 2 4 2 3 3 3 2 2 2" xfId="61043" xr:uid="{00000000-0005-0000-0000-0000CE2D0000}"/>
    <cellStyle name="Normal 3 2 4 2 3 3 3 2 3" xfId="35082" xr:uid="{00000000-0005-0000-0000-0000CF2D0000}"/>
    <cellStyle name="Normal 3 2 4 2 3 3 3 3" xfId="21294" xr:uid="{00000000-0005-0000-0000-0000D02D0000}"/>
    <cellStyle name="Normal 3 2 4 2 3 3 3 3 2" xfId="53165" xr:uid="{00000000-0005-0000-0000-0000D12D0000}"/>
    <cellStyle name="Normal 3 2 4 2 3 3 3 4" xfId="35081" xr:uid="{00000000-0005-0000-0000-0000D22D0000}"/>
    <cellStyle name="Normal 3 2 4 2 3 3 4" xfId="3204" xr:uid="{00000000-0005-0000-0000-0000D32D0000}"/>
    <cellStyle name="Normal 3 2 4 2 3 3 4 2" xfId="25233" xr:uid="{00000000-0005-0000-0000-0000D42D0000}"/>
    <cellStyle name="Normal 3 2 4 2 3 3 4 2 2" xfId="57104" xr:uid="{00000000-0005-0000-0000-0000D52D0000}"/>
    <cellStyle name="Normal 3 2 4 2 3 3 4 3" xfId="35083" xr:uid="{00000000-0005-0000-0000-0000D62D0000}"/>
    <cellStyle name="Normal 3 2 4 2 3 3 5" xfId="17355" xr:uid="{00000000-0005-0000-0000-0000D72D0000}"/>
    <cellStyle name="Normal 3 2 4 2 3 3 5 2" xfId="49226" xr:uid="{00000000-0005-0000-0000-0000D82D0000}"/>
    <cellStyle name="Normal 3 2 4 2 3 3 6" xfId="35076" xr:uid="{00000000-0005-0000-0000-0000D92D0000}"/>
    <cellStyle name="Normal 3 2 4 2 3 4" xfId="3205" xr:uid="{00000000-0005-0000-0000-0000DA2D0000}"/>
    <cellStyle name="Normal 3 2 4 2 3 4 2" xfId="3206" xr:uid="{00000000-0005-0000-0000-0000DB2D0000}"/>
    <cellStyle name="Normal 3 2 4 2 3 4 2 2" xfId="3207" xr:uid="{00000000-0005-0000-0000-0000DC2D0000}"/>
    <cellStyle name="Normal 3 2 4 2 3 4 2 2 2" xfId="29174" xr:uid="{00000000-0005-0000-0000-0000DD2D0000}"/>
    <cellStyle name="Normal 3 2 4 2 3 4 2 2 2 2" xfId="61045" xr:uid="{00000000-0005-0000-0000-0000DE2D0000}"/>
    <cellStyle name="Normal 3 2 4 2 3 4 2 2 3" xfId="35086" xr:uid="{00000000-0005-0000-0000-0000DF2D0000}"/>
    <cellStyle name="Normal 3 2 4 2 3 4 2 3" xfId="21296" xr:uid="{00000000-0005-0000-0000-0000E02D0000}"/>
    <cellStyle name="Normal 3 2 4 2 3 4 2 3 2" xfId="53167" xr:uid="{00000000-0005-0000-0000-0000E12D0000}"/>
    <cellStyle name="Normal 3 2 4 2 3 4 2 4" xfId="35085" xr:uid="{00000000-0005-0000-0000-0000E22D0000}"/>
    <cellStyle name="Normal 3 2 4 2 3 4 3" xfId="3208" xr:uid="{00000000-0005-0000-0000-0000E32D0000}"/>
    <cellStyle name="Normal 3 2 4 2 3 4 3 2" xfId="25235" xr:uid="{00000000-0005-0000-0000-0000E42D0000}"/>
    <cellStyle name="Normal 3 2 4 2 3 4 3 2 2" xfId="57106" xr:uid="{00000000-0005-0000-0000-0000E52D0000}"/>
    <cellStyle name="Normal 3 2 4 2 3 4 3 3" xfId="35087" xr:uid="{00000000-0005-0000-0000-0000E62D0000}"/>
    <cellStyle name="Normal 3 2 4 2 3 4 4" xfId="17357" xr:uid="{00000000-0005-0000-0000-0000E72D0000}"/>
    <cellStyle name="Normal 3 2 4 2 3 4 4 2" xfId="49228" xr:uid="{00000000-0005-0000-0000-0000E82D0000}"/>
    <cellStyle name="Normal 3 2 4 2 3 4 5" xfId="35084" xr:uid="{00000000-0005-0000-0000-0000E92D0000}"/>
    <cellStyle name="Normal 3 2 4 2 3 5" xfId="3209" xr:uid="{00000000-0005-0000-0000-0000EA2D0000}"/>
    <cellStyle name="Normal 3 2 4 2 3 5 2" xfId="3210" xr:uid="{00000000-0005-0000-0000-0000EB2D0000}"/>
    <cellStyle name="Normal 3 2 4 2 3 5 2 2" xfId="29167" xr:uid="{00000000-0005-0000-0000-0000EC2D0000}"/>
    <cellStyle name="Normal 3 2 4 2 3 5 2 2 2" xfId="61038" xr:uid="{00000000-0005-0000-0000-0000ED2D0000}"/>
    <cellStyle name="Normal 3 2 4 2 3 5 2 3" xfId="35089" xr:uid="{00000000-0005-0000-0000-0000EE2D0000}"/>
    <cellStyle name="Normal 3 2 4 2 3 5 3" xfId="21289" xr:uid="{00000000-0005-0000-0000-0000EF2D0000}"/>
    <cellStyle name="Normal 3 2 4 2 3 5 3 2" xfId="53160" xr:uid="{00000000-0005-0000-0000-0000F02D0000}"/>
    <cellStyle name="Normal 3 2 4 2 3 5 4" xfId="35088" xr:uid="{00000000-0005-0000-0000-0000F12D0000}"/>
    <cellStyle name="Normal 3 2 4 2 3 6" xfId="3211" xr:uid="{00000000-0005-0000-0000-0000F22D0000}"/>
    <cellStyle name="Normal 3 2 4 2 3 6 2" xfId="25228" xr:uid="{00000000-0005-0000-0000-0000F32D0000}"/>
    <cellStyle name="Normal 3 2 4 2 3 6 2 2" xfId="57099" xr:uid="{00000000-0005-0000-0000-0000F42D0000}"/>
    <cellStyle name="Normal 3 2 4 2 3 6 3" xfId="35090" xr:uid="{00000000-0005-0000-0000-0000F52D0000}"/>
    <cellStyle name="Normal 3 2 4 2 3 7" xfId="17350" xr:uid="{00000000-0005-0000-0000-0000F62D0000}"/>
    <cellStyle name="Normal 3 2 4 2 3 7 2" xfId="49221" xr:uid="{00000000-0005-0000-0000-0000F72D0000}"/>
    <cellStyle name="Normal 3 2 4 2 3 8" xfId="35059" xr:uid="{00000000-0005-0000-0000-0000F82D0000}"/>
    <cellStyle name="Normal 3 2 4 2 4" xfId="3212" xr:uid="{00000000-0005-0000-0000-0000F92D0000}"/>
    <cellStyle name="Normal 3 2 4 2 4 2" xfId="3213" xr:uid="{00000000-0005-0000-0000-0000FA2D0000}"/>
    <cellStyle name="Normal 3 2 4 2 4 2 2" xfId="3214" xr:uid="{00000000-0005-0000-0000-0000FB2D0000}"/>
    <cellStyle name="Normal 3 2 4 2 4 2 2 2" xfId="3215" xr:uid="{00000000-0005-0000-0000-0000FC2D0000}"/>
    <cellStyle name="Normal 3 2 4 2 4 2 2 2 2" xfId="3216" xr:uid="{00000000-0005-0000-0000-0000FD2D0000}"/>
    <cellStyle name="Normal 3 2 4 2 4 2 2 2 2 2" xfId="29177" xr:uid="{00000000-0005-0000-0000-0000FE2D0000}"/>
    <cellStyle name="Normal 3 2 4 2 4 2 2 2 2 2 2" xfId="61048" xr:uid="{00000000-0005-0000-0000-0000FF2D0000}"/>
    <cellStyle name="Normal 3 2 4 2 4 2 2 2 2 3" xfId="35095" xr:uid="{00000000-0005-0000-0000-0000002E0000}"/>
    <cellStyle name="Normal 3 2 4 2 4 2 2 2 3" xfId="21299" xr:uid="{00000000-0005-0000-0000-0000012E0000}"/>
    <cellStyle name="Normal 3 2 4 2 4 2 2 2 3 2" xfId="53170" xr:uid="{00000000-0005-0000-0000-0000022E0000}"/>
    <cellStyle name="Normal 3 2 4 2 4 2 2 2 4" xfId="35094" xr:uid="{00000000-0005-0000-0000-0000032E0000}"/>
    <cellStyle name="Normal 3 2 4 2 4 2 2 3" xfId="3217" xr:uid="{00000000-0005-0000-0000-0000042E0000}"/>
    <cellStyle name="Normal 3 2 4 2 4 2 2 3 2" xfId="25238" xr:uid="{00000000-0005-0000-0000-0000052E0000}"/>
    <cellStyle name="Normal 3 2 4 2 4 2 2 3 2 2" xfId="57109" xr:uid="{00000000-0005-0000-0000-0000062E0000}"/>
    <cellStyle name="Normal 3 2 4 2 4 2 2 3 3" xfId="35096" xr:uid="{00000000-0005-0000-0000-0000072E0000}"/>
    <cellStyle name="Normal 3 2 4 2 4 2 2 4" xfId="17360" xr:uid="{00000000-0005-0000-0000-0000082E0000}"/>
    <cellStyle name="Normal 3 2 4 2 4 2 2 4 2" xfId="49231" xr:uid="{00000000-0005-0000-0000-0000092E0000}"/>
    <cellStyle name="Normal 3 2 4 2 4 2 2 5" xfId="35093" xr:uid="{00000000-0005-0000-0000-00000A2E0000}"/>
    <cellStyle name="Normal 3 2 4 2 4 2 3" xfId="3218" xr:uid="{00000000-0005-0000-0000-00000B2E0000}"/>
    <cellStyle name="Normal 3 2 4 2 4 2 3 2" xfId="3219" xr:uid="{00000000-0005-0000-0000-00000C2E0000}"/>
    <cellStyle name="Normal 3 2 4 2 4 2 3 2 2" xfId="29176" xr:uid="{00000000-0005-0000-0000-00000D2E0000}"/>
    <cellStyle name="Normal 3 2 4 2 4 2 3 2 2 2" xfId="61047" xr:uid="{00000000-0005-0000-0000-00000E2E0000}"/>
    <cellStyle name="Normal 3 2 4 2 4 2 3 2 3" xfId="35098" xr:uid="{00000000-0005-0000-0000-00000F2E0000}"/>
    <cellStyle name="Normal 3 2 4 2 4 2 3 3" xfId="21298" xr:uid="{00000000-0005-0000-0000-0000102E0000}"/>
    <cellStyle name="Normal 3 2 4 2 4 2 3 3 2" xfId="53169" xr:uid="{00000000-0005-0000-0000-0000112E0000}"/>
    <cellStyle name="Normal 3 2 4 2 4 2 3 4" xfId="35097" xr:uid="{00000000-0005-0000-0000-0000122E0000}"/>
    <cellStyle name="Normal 3 2 4 2 4 2 4" xfId="3220" xr:uid="{00000000-0005-0000-0000-0000132E0000}"/>
    <cellStyle name="Normal 3 2 4 2 4 2 4 2" xfId="25237" xr:uid="{00000000-0005-0000-0000-0000142E0000}"/>
    <cellStyle name="Normal 3 2 4 2 4 2 4 2 2" xfId="57108" xr:uid="{00000000-0005-0000-0000-0000152E0000}"/>
    <cellStyle name="Normal 3 2 4 2 4 2 4 3" xfId="35099" xr:uid="{00000000-0005-0000-0000-0000162E0000}"/>
    <cellStyle name="Normal 3 2 4 2 4 2 5" xfId="17359" xr:uid="{00000000-0005-0000-0000-0000172E0000}"/>
    <cellStyle name="Normal 3 2 4 2 4 2 5 2" xfId="49230" xr:uid="{00000000-0005-0000-0000-0000182E0000}"/>
    <cellStyle name="Normal 3 2 4 2 4 2 6" xfId="35092" xr:uid="{00000000-0005-0000-0000-0000192E0000}"/>
    <cellStyle name="Normal 3 2 4 2 4 3" xfId="3221" xr:uid="{00000000-0005-0000-0000-00001A2E0000}"/>
    <cellStyle name="Normal 3 2 4 2 4 3 2" xfId="3222" xr:uid="{00000000-0005-0000-0000-00001B2E0000}"/>
    <cellStyle name="Normal 3 2 4 2 4 3 2 2" xfId="3223" xr:uid="{00000000-0005-0000-0000-00001C2E0000}"/>
    <cellStyle name="Normal 3 2 4 2 4 3 2 2 2" xfId="29178" xr:uid="{00000000-0005-0000-0000-00001D2E0000}"/>
    <cellStyle name="Normal 3 2 4 2 4 3 2 2 2 2" xfId="61049" xr:uid="{00000000-0005-0000-0000-00001E2E0000}"/>
    <cellStyle name="Normal 3 2 4 2 4 3 2 2 3" xfId="35102" xr:uid="{00000000-0005-0000-0000-00001F2E0000}"/>
    <cellStyle name="Normal 3 2 4 2 4 3 2 3" xfId="21300" xr:uid="{00000000-0005-0000-0000-0000202E0000}"/>
    <cellStyle name="Normal 3 2 4 2 4 3 2 3 2" xfId="53171" xr:uid="{00000000-0005-0000-0000-0000212E0000}"/>
    <cellStyle name="Normal 3 2 4 2 4 3 2 4" xfId="35101" xr:uid="{00000000-0005-0000-0000-0000222E0000}"/>
    <cellStyle name="Normal 3 2 4 2 4 3 3" xfId="3224" xr:uid="{00000000-0005-0000-0000-0000232E0000}"/>
    <cellStyle name="Normal 3 2 4 2 4 3 3 2" xfId="25239" xr:uid="{00000000-0005-0000-0000-0000242E0000}"/>
    <cellStyle name="Normal 3 2 4 2 4 3 3 2 2" xfId="57110" xr:uid="{00000000-0005-0000-0000-0000252E0000}"/>
    <cellStyle name="Normal 3 2 4 2 4 3 3 3" xfId="35103" xr:uid="{00000000-0005-0000-0000-0000262E0000}"/>
    <cellStyle name="Normal 3 2 4 2 4 3 4" xfId="17361" xr:uid="{00000000-0005-0000-0000-0000272E0000}"/>
    <cellStyle name="Normal 3 2 4 2 4 3 4 2" xfId="49232" xr:uid="{00000000-0005-0000-0000-0000282E0000}"/>
    <cellStyle name="Normal 3 2 4 2 4 3 5" xfId="35100" xr:uid="{00000000-0005-0000-0000-0000292E0000}"/>
    <cellStyle name="Normal 3 2 4 2 4 4" xfId="3225" xr:uid="{00000000-0005-0000-0000-00002A2E0000}"/>
    <cellStyle name="Normal 3 2 4 2 4 4 2" xfId="3226" xr:uid="{00000000-0005-0000-0000-00002B2E0000}"/>
    <cellStyle name="Normal 3 2 4 2 4 4 2 2" xfId="29175" xr:uid="{00000000-0005-0000-0000-00002C2E0000}"/>
    <cellStyle name="Normal 3 2 4 2 4 4 2 2 2" xfId="61046" xr:uid="{00000000-0005-0000-0000-00002D2E0000}"/>
    <cellStyle name="Normal 3 2 4 2 4 4 2 3" xfId="35105" xr:uid="{00000000-0005-0000-0000-00002E2E0000}"/>
    <cellStyle name="Normal 3 2 4 2 4 4 3" xfId="21297" xr:uid="{00000000-0005-0000-0000-00002F2E0000}"/>
    <cellStyle name="Normal 3 2 4 2 4 4 3 2" xfId="53168" xr:uid="{00000000-0005-0000-0000-0000302E0000}"/>
    <cellStyle name="Normal 3 2 4 2 4 4 4" xfId="35104" xr:uid="{00000000-0005-0000-0000-0000312E0000}"/>
    <cellStyle name="Normal 3 2 4 2 4 5" xfId="3227" xr:uid="{00000000-0005-0000-0000-0000322E0000}"/>
    <cellStyle name="Normal 3 2 4 2 4 5 2" xfId="25236" xr:uid="{00000000-0005-0000-0000-0000332E0000}"/>
    <cellStyle name="Normal 3 2 4 2 4 5 2 2" xfId="57107" xr:uid="{00000000-0005-0000-0000-0000342E0000}"/>
    <cellStyle name="Normal 3 2 4 2 4 5 3" xfId="35106" xr:uid="{00000000-0005-0000-0000-0000352E0000}"/>
    <cellStyle name="Normal 3 2 4 2 4 6" xfId="17358" xr:uid="{00000000-0005-0000-0000-0000362E0000}"/>
    <cellStyle name="Normal 3 2 4 2 4 6 2" xfId="49229" xr:uid="{00000000-0005-0000-0000-0000372E0000}"/>
    <cellStyle name="Normal 3 2 4 2 4 7" xfId="35091" xr:uid="{00000000-0005-0000-0000-0000382E0000}"/>
    <cellStyle name="Normal 3 2 4 2 5" xfId="3228" xr:uid="{00000000-0005-0000-0000-0000392E0000}"/>
    <cellStyle name="Normal 3 2 4 2 5 2" xfId="3229" xr:uid="{00000000-0005-0000-0000-00003A2E0000}"/>
    <cellStyle name="Normal 3 2 4 2 5 2 2" xfId="3230" xr:uid="{00000000-0005-0000-0000-00003B2E0000}"/>
    <cellStyle name="Normal 3 2 4 2 5 2 2 2" xfId="3231" xr:uid="{00000000-0005-0000-0000-00003C2E0000}"/>
    <cellStyle name="Normal 3 2 4 2 5 2 2 2 2" xfId="29180" xr:uid="{00000000-0005-0000-0000-00003D2E0000}"/>
    <cellStyle name="Normal 3 2 4 2 5 2 2 2 2 2" xfId="61051" xr:uid="{00000000-0005-0000-0000-00003E2E0000}"/>
    <cellStyle name="Normal 3 2 4 2 5 2 2 2 3" xfId="35110" xr:uid="{00000000-0005-0000-0000-00003F2E0000}"/>
    <cellStyle name="Normal 3 2 4 2 5 2 2 3" xfId="21302" xr:uid="{00000000-0005-0000-0000-0000402E0000}"/>
    <cellStyle name="Normal 3 2 4 2 5 2 2 3 2" xfId="53173" xr:uid="{00000000-0005-0000-0000-0000412E0000}"/>
    <cellStyle name="Normal 3 2 4 2 5 2 2 4" xfId="35109" xr:uid="{00000000-0005-0000-0000-0000422E0000}"/>
    <cellStyle name="Normal 3 2 4 2 5 2 3" xfId="3232" xr:uid="{00000000-0005-0000-0000-0000432E0000}"/>
    <cellStyle name="Normal 3 2 4 2 5 2 3 2" xfId="25241" xr:uid="{00000000-0005-0000-0000-0000442E0000}"/>
    <cellStyle name="Normal 3 2 4 2 5 2 3 2 2" xfId="57112" xr:uid="{00000000-0005-0000-0000-0000452E0000}"/>
    <cellStyle name="Normal 3 2 4 2 5 2 3 3" xfId="35111" xr:uid="{00000000-0005-0000-0000-0000462E0000}"/>
    <cellStyle name="Normal 3 2 4 2 5 2 4" xfId="17363" xr:uid="{00000000-0005-0000-0000-0000472E0000}"/>
    <cellStyle name="Normal 3 2 4 2 5 2 4 2" xfId="49234" xr:uid="{00000000-0005-0000-0000-0000482E0000}"/>
    <cellStyle name="Normal 3 2 4 2 5 2 5" xfId="35108" xr:uid="{00000000-0005-0000-0000-0000492E0000}"/>
    <cellStyle name="Normal 3 2 4 2 5 3" xfId="3233" xr:uid="{00000000-0005-0000-0000-00004A2E0000}"/>
    <cellStyle name="Normal 3 2 4 2 5 3 2" xfId="3234" xr:uid="{00000000-0005-0000-0000-00004B2E0000}"/>
    <cellStyle name="Normal 3 2 4 2 5 3 2 2" xfId="29179" xr:uid="{00000000-0005-0000-0000-00004C2E0000}"/>
    <cellStyle name="Normal 3 2 4 2 5 3 2 2 2" xfId="61050" xr:uid="{00000000-0005-0000-0000-00004D2E0000}"/>
    <cellStyle name="Normal 3 2 4 2 5 3 2 3" xfId="35113" xr:uid="{00000000-0005-0000-0000-00004E2E0000}"/>
    <cellStyle name="Normal 3 2 4 2 5 3 3" xfId="21301" xr:uid="{00000000-0005-0000-0000-00004F2E0000}"/>
    <cellStyle name="Normal 3 2 4 2 5 3 3 2" xfId="53172" xr:uid="{00000000-0005-0000-0000-0000502E0000}"/>
    <cellStyle name="Normal 3 2 4 2 5 3 4" xfId="35112" xr:uid="{00000000-0005-0000-0000-0000512E0000}"/>
    <cellStyle name="Normal 3 2 4 2 5 4" xfId="3235" xr:uid="{00000000-0005-0000-0000-0000522E0000}"/>
    <cellStyle name="Normal 3 2 4 2 5 4 2" xfId="25240" xr:uid="{00000000-0005-0000-0000-0000532E0000}"/>
    <cellStyle name="Normal 3 2 4 2 5 4 2 2" xfId="57111" xr:uid="{00000000-0005-0000-0000-0000542E0000}"/>
    <cellStyle name="Normal 3 2 4 2 5 4 3" xfId="35114" xr:uid="{00000000-0005-0000-0000-0000552E0000}"/>
    <cellStyle name="Normal 3 2 4 2 5 5" xfId="17362" xr:uid="{00000000-0005-0000-0000-0000562E0000}"/>
    <cellStyle name="Normal 3 2 4 2 5 5 2" xfId="49233" xr:uid="{00000000-0005-0000-0000-0000572E0000}"/>
    <cellStyle name="Normal 3 2 4 2 5 6" xfId="35107" xr:uid="{00000000-0005-0000-0000-0000582E0000}"/>
    <cellStyle name="Normal 3 2 4 2 6" xfId="3236" xr:uid="{00000000-0005-0000-0000-0000592E0000}"/>
    <cellStyle name="Normal 3 2 4 2 6 2" xfId="3237" xr:uid="{00000000-0005-0000-0000-00005A2E0000}"/>
    <cellStyle name="Normal 3 2 4 2 6 2 2" xfId="3238" xr:uid="{00000000-0005-0000-0000-00005B2E0000}"/>
    <cellStyle name="Normal 3 2 4 2 6 2 2 2" xfId="29181" xr:uid="{00000000-0005-0000-0000-00005C2E0000}"/>
    <cellStyle name="Normal 3 2 4 2 6 2 2 2 2" xfId="61052" xr:uid="{00000000-0005-0000-0000-00005D2E0000}"/>
    <cellStyle name="Normal 3 2 4 2 6 2 2 3" xfId="35117" xr:uid="{00000000-0005-0000-0000-00005E2E0000}"/>
    <cellStyle name="Normal 3 2 4 2 6 2 3" xfId="21303" xr:uid="{00000000-0005-0000-0000-00005F2E0000}"/>
    <cellStyle name="Normal 3 2 4 2 6 2 3 2" xfId="53174" xr:uid="{00000000-0005-0000-0000-0000602E0000}"/>
    <cellStyle name="Normal 3 2 4 2 6 2 4" xfId="35116" xr:uid="{00000000-0005-0000-0000-0000612E0000}"/>
    <cellStyle name="Normal 3 2 4 2 6 3" xfId="3239" xr:uid="{00000000-0005-0000-0000-0000622E0000}"/>
    <cellStyle name="Normal 3 2 4 2 6 3 2" xfId="25242" xr:uid="{00000000-0005-0000-0000-0000632E0000}"/>
    <cellStyle name="Normal 3 2 4 2 6 3 2 2" xfId="57113" xr:uid="{00000000-0005-0000-0000-0000642E0000}"/>
    <cellStyle name="Normal 3 2 4 2 6 3 3" xfId="35118" xr:uid="{00000000-0005-0000-0000-0000652E0000}"/>
    <cellStyle name="Normal 3 2 4 2 6 4" xfId="17364" xr:uid="{00000000-0005-0000-0000-0000662E0000}"/>
    <cellStyle name="Normal 3 2 4 2 6 4 2" xfId="49235" xr:uid="{00000000-0005-0000-0000-0000672E0000}"/>
    <cellStyle name="Normal 3 2 4 2 6 5" xfId="35115" xr:uid="{00000000-0005-0000-0000-0000682E0000}"/>
    <cellStyle name="Normal 3 2 4 2 7" xfId="3240" xr:uid="{00000000-0005-0000-0000-0000692E0000}"/>
    <cellStyle name="Normal 3 2 4 2 7 2" xfId="3241" xr:uid="{00000000-0005-0000-0000-00006A2E0000}"/>
    <cellStyle name="Normal 3 2 4 2 7 2 2" xfId="28333" xr:uid="{00000000-0005-0000-0000-00006B2E0000}"/>
    <cellStyle name="Normal 3 2 4 2 7 2 2 2" xfId="60204" xr:uid="{00000000-0005-0000-0000-00006C2E0000}"/>
    <cellStyle name="Normal 3 2 4 2 7 2 3" xfId="35120" xr:uid="{00000000-0005-0000-0000-00006D2E0000}"/>
    <cellStyle name="Normal 3 2 4 2 7 3" xfId="20455" xr:uid="{00000000-0005-0000-0000-00006E2E0000}"/>
    <cellStyle name="Normal 3 2 4 2 7 3 2" xfId="52326" xr:uid="{00000000-0005-0000-0000-00006F2E0000}"/>
    <cellStyle name="Normal 3 2 4 2 7 4" xfId="35119" xr:uid="{00000000-0005-0000-0000-0000702E0000}"/>
    <cellStyle name="Normal 3 2 4 2 8" xfId="3242" xr:uid="{00000000-0005-0000-0000-0000712E0000}"/>
    <cellStyle name="Normal 3 2 4 2 8 2" xfId="24394" xr:uid="{00000000-0005-0000-0000-0000722E0000}"/>
    <cellStyle name="Normal 3 2 4 2 8 2 2" xfId="56265" xr:uid="{00000000-0005-0000-0000-0000732E0000}"/>
    <cellStyle name="Normal 3 2 4 2 8 3" xfId="35121" xr:uid="{00000000-0005-0000-0000-0000742E0000}"/>
    <cellStyle name="Normal 3 2 4 2 9" xfId="16516" xr:uid="{00000000-0005-0000-0000-0000752E0000}"/>
    <cellStyle name="Normal 3 2 4 2 9 2" xfId="48387" xr:uid="{00000000-0005-0000-0000-0000762E0000}"/>
    <cellStyle name="Normal 3 2 4 3" xfId="3243" xr:uid="{00000000-0005-0000-0000-0000772E0000}"/>
    <cellStyle name="Normal 3 2 4 3 10" xfId="35122" xr:uid="{00000000-0005-0000-0000-0000782E0000}"/>
    <cellStyle name="Normal 3 2 4 3 2" xfId="3244" xr:uid="{00000000-0005-0000-0000-0000792E0000}"/>
    <cellStyle name="Normal 3 2 4 3 2 2" xfId="3245" xr:uid="{00000000-0005-0000-0000-00007A2E0000}"/>
    <cellStyle name="Normal 3 2 4 3 2 2 2" xfId="3246" xr:uid="{00000000-0005-0000-0000-00007B2E0000}"/>
    <cellStyle name="Normal 3 2 4 3 2 2 2 2" xfId="3247" xr:uid="{00000000-0005-0000-0000-00007C2E0000}"/>
    <cellStyle name="Normal 3 2 4 3 2 2 2 2 2" xfId="3248" xr:uid="{00000000-0005-0000-0000-00007D2E0000}"/>
    <cellStyle name="Normal 3 2 4 3 2 2 2 2 2 2" xfId="3249" xr:uid="{00000000-0005-0000-0000-00007E2E0000}"/>
    <cellStyle name="Normal 3 2 4 3 2 2 2 2 2 2 2" xfId="3250" xr:uid="{00000000-0005-0000-0000-00007F2E0000}"/>
    <cellStyle name="Normal 3 2 4 3 2 2 2 2 2 2 2 2" xfId="29185" xr:uid="{00000000-0005-0000-0000-0000802E0000}"/>
    <cellStyle name="Normal 3 2 4 3 2 2 2 2 2 2 2 2 2" xfId="61056" xr:uid="{00000000-0005-0000-0000-0000812E0000}"/>
    <cellStyle name="Normal 3 2 4 3 2 2 2 2 2 2 2 3" xfId="35129" xr:uid="{00000000-0005-0000-0000-0000822E0000}"/>
    <cellStyle name="Normal 3 2 4 3 2 2 2 2 2 2 3" xfId="21307" xr:uid="{00000000-0005-0000-0000-0000832E0000}"/>
    <cellStyle name="Normal 3 2 4 3 2 2 2 2 2 2 3 2" xfId="53178" xr:uid="{00000000-0005-0000-0000-0000842E0000}"/>
    <cellStyle name="Normal 3 2 4 3 2 2 2 2 2 2 4" xfId="35128" xr:uid="{00000000-0005-0000-0000-0000852E0000}"/>
    <cellStyle name="Normal 3 2 4 3 2 2 2 2 2 3" xfId="3251" xr:uid="{00000000-0005-0000-0000-0000862E0000}"/>
    <cellStyle name="Normal 3 2 4 3 2 2 2 2 2 3 2" xfId="25246" xr:uid="{00000000-0005-0000-0000-0000872E0000}"/>
    <cellStyle name="Normal 3 2 4 3 2 2 2 2 2 3 2 2" xfId="57117" xr:uid="{00000000-0005-0000-0000-0000882E0000}"/>
    <cellStyle name="Normal 3 2 4 3 2 2 2 2 2 3 3" xfId="35130" xr:uid="{00000000-0005-0000-0000-0000892E0000}"/>
    <cellStyle name="Normal 3 2 4 3 2 2 2 2 2 4" xfId="17368" xr:uid="{00000000-0005-0000-0000-00008A2E0000}"/>
    <cellStyle name="Normal 3 2 4 3 2 2 2 2 2 4 2" xfId="49239" xr:uid="{00000000-0005-0000-0000-00008B2E0000}"/>
    <cellStyle name="Normal 3 2 4 3 2 2 2 2 2 5" xfId="35127" xr:uid="{00000000-0005-0000-0000-00008C2E0000}"/>
    <cellStyle name="Normal 3 2 4 3 2 2 2 2 3" xfId="3252" xr:uid="{00000000-0005-0000-0000-00008D2E0000}"/>
    <cellStyle name="Normal 3 2 4 3 2 2 2 2 3 2" xfId="3253" xr:uid="{00000000-0005-0000-0000-00008E2E0000}"/>
    <cellStyle name="Normal 3 2 4 3 2 2 2 2 3 2 2" xfId="29184" xr:uid="{00000000-0005-0000-0000-00008F2E0000}"/>
    <cellStyle name="Normal 3 2 4 3 2 2 2 2 3 2 2 2" xfId="61055" xr:uid="{00000000-0005-0000-0000-0000902E0000}"/>
    <cellStyle name="Normal 3 2 4 3 2 2 2 2 3 2 3" xfId="35132" xr:uid="{00000000-0005-0000-0000-0000912E0000}"/>
    <cellStyle name="Normal 3 2 4 3 2 2 2 2 3 3" xfId="21306" xr:uid="{00000000-0005-0000-0000-0000922E0000}"/>
    <cellStyle name="Normal 3 2 4 3 2 2 2 2 3 3 2" xfId="53177" xr:uid="{00000000-0005-0000-0000-0000932E0000}"/>
    <cellStyle name="Normal 3 2 4 3 2 2 2 2 3 4" xfId="35131" xr:uid="{00000000-0005-0000-0000-0000942E0000}"/>
    <cellStyle name="Normal 3 2 4 3 2 2 2 2 4" xfId="3254" xr:uid="{00000000-0005-0000-0000-0000952E0000}"/>
    <cellStyle name="Normal 3 2 4 3 2 2 2 2 4 2" xfId="25245" xr:uid="{00000000-0005-0000-0000-0000962E0000}"/>
    <cellStyle name="Normal 3 2 4 3 2 2 2 2 4 2 2" xfId="57116" xr:uid="{00000000-0005-0000-0000-0000972E0000}"/>
    <cellStyle name="Normal 3 2 4 3 2 2 2 2 4 3" xfId="35133" xr:uid="{00000000-0005-0000-0000-0000982E0000}"/>
    <cellStyle name="Normal 3 2 4 3 2 2 2 2 5" xfId="17367" xr:uid="{00000000-0005-0000-0000-0000992E0000}"/>
    <cellStyle name="Normal 3 2 4 3 2 2 2 2 5 2" xfId="49238" xr:uid="{00000000-0005-0000-0000-00009A2E0000}"/>
    <cellStyle name="Normal 3 2 4 3 2 2 2 2 6" xfId="35126" xr:uid="{00000000-0005-0000-0000-00009B2E0000}"/>
    <cellStyle name="Normal 3 2 4 3 2 2 2 3" xfId="3255" xr:uid="{00000000-0005-0000-0000-00009C2E0000}"/>
    <cellStyle name="Normal 3 2 4 3 2 2 2 3 2" xfId="3256" xr:uid="{00000000-0005-0000-0000-00009D2E0000}"/>
    <cellStyle name="Normal 3 2 4 3 2 2 2 3 2 2" xfId="3257" xr:uid="{00000000-0005-0000-0000-00009E2E0000}"/>
    <cellStyle name="Normal 3 2 4 3 2 2 2 3 2 2 2" xfId="29186" xr:uid="{00000000-0005-0000-0000-00009F2E0000}"/>
    <cellStyle name="Normal 3 2 4 3 2 2 2 3 2 2 2 2" xfId="61057" xr:uid="{00000000-0005-0000-0000-0000A02E0000}"/>
    <cellStyle name="Normal 3 2 4 3 2 2 2 3 2 2 3" xfId="35136" xr:uid="{00000000-0005-0000-0000-0000A12E0000}"/>
    <cellStyle name="Normal 3 2 4 3 2 2 2 3 2 3" xfId="21308" xr:uid="{00000000-0005-0000-0000-0000A22E0000}"/>
    <cellStyle name="Normal 3 2 4 3 2 2 2 3 2 3 2" xfId="53179" xr:uid="{00000000-0005-0000-0000-0000A32E0000}"/>
    <cellStyle name="Normal 3 2 4 3 2 2 2 3 2 4" xfId="35135" xr:uid="{00000000-0005-0000-0000-0000A42E0000}"/>
    <cellStyle name="Normal 3 2 4 3 2 2 2 3 3" xfId="3258" xr:uid="{00000000-0005-0000-0000-0000A52E0000}"/>
    <cellStyle name="Normal 3 2 4 3 2 2 2 3 3 2" xfId="25247" xr:uid="{00000000-0005-0000-0000-0000A62E0000}"/>
    <cellStyle name="Normal 3 2 4 3 2 2 2 3 3 2 2" xfId="57118" xr:uid="{00000000-0005-0000-0000-0000A72E0000}"/>
    <cellStyle name="Normal 3 2 4 3 2 2 2 3 3 3" xfId="35137" xr:uid="{00000000-0005-0000-0000-0000A82E0000}"/>
    <cellStyle name="Normal 3 2 4 3 2 2 2 3 4" xfId="17369" xr:uid="{00000000-0005-0000-0000-0000A92E0000}"/>
    <cellStyle name="Normal 3 2 4 3 2 2 2 3 4 2" xfId="49240" xr:uid="{00000000-0005-0000-0000-0000AA2E0000}"/>
    <cellStyle name="Normal 3 2 4 3 2 2 2 3 5" xfId="35134" xr:uid="{00000000-0005-0000-0000-0000AB2E0000}"/>
    <cellStyle name="Normal 3 2 4 3 2 2 2 4" xfId="3259" xr:uid="{00000000-0005-0000-0000-0000AC2E0000}"/>
    <cellStyle name="Normal 3 2 4 3 2 2 2 4 2" xfId="3260" xr:uid="{00000000-0005-0000-0000-0000AD2E0000}"/>
    <cellStyle name="Normal 3 2 4 3 2 2 2 4 2 2" xfId="29183" xr:uid="{00000000-0005-0000-0000-0000AE2E0000}"/>
    <cellStyle name="Normal 3 2 4 3 2 2 2 4 2 2 2" xfId="61054" xr:uid="{00000000-0005-0000-0000-0000AF2E0000}"/>
    <cellStyle name="Normal 3 2 4 3 2 2 2 4 2 3" xfId="35139" xr:uid="{00000000-0005-0000-0000-0000B02E0000}"/>
    <cellStyle name="Normal 3 2 4 3 2 2 2 4 3" xfId="21305" xr:uid="{00000000-0005-0000-0000-0000B12E0000}"/>
    <cellStyle name="Normal 3 2 4 3 2 2 2 4 3 2" xfId="53176" xr:uid="{00000000-0005-0000-0000-0000B22E0000}"/>
    <cellStyle name="Normal 3 2 4 3 2 2 2 4 4" xfId="35138" xr:uid="{00000000-0005-0000-0000-0000B32E0000}"/>
    <cellStyle name="Normal 3 2 4 3 2 2 2 5" xfId="3261" xr:uid="{00000000-0005-0000-0000-0000B42E0000}"/>
    <cellStyle name="Normal 3 2 4 3 2 2 2 5 2" xfId="25244" xr:uid="{00000000-0005-0000-0000-0000B52E0000}"/>
    <cellStyle name="Normal 3 2 4 3 2 2 2 5 2 2" xfId="57115" xr:uid="{00000000-0005-0000-0000-0000B62E0000}"/>
    <cellStyle name="Normal 3 2 4 3 2 2 2 5 3" xfId="35140" xr:uid="{00000000-0005-0000-0000-0000B72E0000}"/>
    <cellStyle name="Normal 3 2 4 3 2 2 2 6" xfId="17366" xr:uid="{00000000-0005-0000-0000-0000B82E0000}"/>
    <cellStyle name="Normal 3 2 4 3 2 2 2 6 2" xfId="49237" xr:uid="{00000000-0005-0000-0000-0000B92E0000}"/>
    <cellStyle name="Normal 3 2 4 3 2 2 2 7" xfId="35125" xr:uid="{00000000-0005-0000-0000-0000BA2E0000}"/>
    <cellStyle name="Normal 3 2 4 3 2 2 3" xfId="3262" xr:uid="{00000000-0005-0000-0000-0000BB2E0000}"/>
    <cellStyle name="Normal 3 2 4 3 2 2 3 2" xfId="3263" xr:uid="{00000000-0005-0000-0000-0000BC2E0000}"/>
    <cellStyle name="Normal 3 2 4 3 2 2 3 2 2" xfId="3264" xr:uid="{00000000-0005-0000-0000-0000BD2E0000}"/>
    <cellStyle name="Normal 3 2 4 3 2 2 3 2 2 2" xfId="3265" xr:uid="{00000000-0005-0000-0000-0000BE2E0000}"/>
    <cellStyle name="Normal 3 2 4 3 2 2 3 2 2 2 2" xfId="29188" xr:uid="{00000000-0005-0000-0000-0000BF2E0000}"/>
    <cellStyle name="Normal 3 2 4 3 2 2 3 2 2 2 2 2" xfId="61059" xr:uid="{00000000-0005-0000-0000-0000C02E0000}"/>
    <cellStyle name="Normal 3 2 4 3 2 2 3 2 2 2 3" xfId="35144" xr:uid="{00000000-0005-0000-0000-0000C12E0000}"/>
    <cellStyle name="Normal 3 2 4 3 2 2 3 2 2 3" xfId="21310" xr:uid="{00000000-0005-0000-0000-0000C22E0000}"/>
    <cellStyle name="Normal 3 2 4 3 2 2 3 2 2 3 2" xfId="53181" xr:uid="{00000000-0005-0000-0000-0000C32E0000}"/>
    <cellStyle name="Normal 3 2 4 3 2 2 3 2 2 4" xfId="35143" xr:uid="{00000000-0005-0000-0000-0000C42E0000}"/>
    <cellStyle name="Normal 3 2 4 3 2 2 3 2 3" xfId="3266" xr:uid="{00000000-0005-0000-0000-0000C52E0000}"/>
    <cellStyle name="Normal 3 2 4 3 2 2 3 2 3 2" xfId="25249" xr:uid="{00000000-0005-0000-0000-0000C62E0000}"/>
    <cellStyle name="Normal 3 2 4 3 2 2 3 2 3 2 2" xfId="57120" xr:uid="{00000000-0005-0000-0000-0000C72E0000}"/>
    <cellStyle name="Normal 3 2 4 3 2 2 3 2 3 3" xfId="35145" xr:uid="{00000000-0005-0000-0000-0000C82E0000}"/>
    <cellStyle name="Normal 3 2 4 3 2 2 3 2 4" xfId="17371" xr:uid="{00000000-0005-0000-0000-0000C92E0000}"/>
    <cellStyle name="Normal 3 2 4 3 2 2 3 2 4 2" xfId="49242" xr:uid="{00000000-0005-0000-0000-0000CA2E0000}"/>
    <cellStyle name="Normal 3 2 4 3 2 2 3 2 5" xfId="35142" xr:uid="{00000000-0005-0000-0000-0000CB2E0000}"/>
    <cellStyle name="Normal 3 2 4 3 2 2 3 3" xfId="3267" xr:uid="{00000000-0005-0000-0000-0000CC2E0000}"/>
    <cellStyle name="Normal 3 2 4 3 2 2 3 3 2" xfId="3268" xr:uid="{00000000-0005-0000-0000-0000CD2E0000}"/>
    <cellStyle name="Normal 3 2 4 3 2 2 3 3 2 2" xfId="29187" xr:uid="{00000000-0005-0000-0000-0000CE2E0000}"/>
    <cellStyle name="Normal 3 2 4 3 2 2 3 3 2 2 2" xfId="61058" xr:uid="{00000000-0005-0000-0000-0000CF2E0000}"/>
    <cellStyle name="Normal 3 2 4 3 2 2 3 3 2 3" xfId="35147" xr:uid="{00000000-0005-0000-0000-0000D02E0000}"/>
    <cellStyle name="Normal 3 2 4 3 2 2 3 3 3" xfId="21309" xr:uid="{00000000-0005-0000-0000-0000D12E0000}"/>
    <cellStyle name="Normal 3 2 4 3 2 2 3 3 3 2" xfId="53180" xr:uid="{00000000-0005-0000-0000-0000D22E0000}"/>
    <cellStyle name="Normal 3 2 4 3 2 2 3 3 4" xfId="35146" xr:uid="{00000000-0005-0000-0000-0000D32E0000}"/>
    <cellStyle name="Normal 3 2 4 3 2 2 3 4" xfId="3269" xr:uid="{00000000-0005-0000-0000-0000D42E0000}"/>
    <cellStyle name="Normal 3 2 4 3 2 2 3 4 2" xfId="25248" xr:uid="{00000000-0005-0000-0000-0000D52E0000}"/>
    <cellStyle name="Normal 3 2 4 3 2 2 3 4 2 2" xfId="57119" xr:uid="{00000000-0005-0000-0000-0000D62E0000}"/>
    <cellStyle name="Normal 3 2 4 3 2 2 3 4 3" xfId="35148" xr:uid="{00000000-0005-0000-0000-0000D72E0000}"/>
    <cellStyle name="Normal 3 2 4 3 2 2 3 5" xfId="17370" xr:uid="{00000000-0005-0000-0000-0000D82E0000}"/>
    <cellStyle name="Normal 3 2 4 3 2 2 3 5 2" xfId="49241" xr:uid="{00000000-0005-0000-0000-0000D92E0000}"/>
    <cellStyle name="Normal 3 2 4 3 2 2 3 6" xfId="35141" xr:uid="{00000000-0005-0000-0000-0000DA2E0000}"/>
    <cellStyle name="Normal 3 2 4 3 2 2 4" xfId="3270" xr:uid="{00000000-0005-0000-0000-0000DB2E0000}"/>
    <cellStyle name="Normal 3 2 4 3 2 2 4 2" xfId="3271" xr:uid="{00000000-0005-0000-0000-0000DC2E0000}"/>
    <cellStyle name="Normal 3 2 4 3 2 2 4 2 2" xfId="3272" xr:uid="{00000000-0005-0000-0000-0000DD2E0000}"/>
    <cellStyle name="Normal 3 2 4 3 2 2 4 2 2 2" xfId="29189" xr:uid="{00000000-0005-0000-0000-0000DE2E0000}"/>
    <cellStyle name="Normal 3 2 4 3 2 2 4 2 2 2 2" xfId="61060" xr:uid="{00000000-0005-0000-0000-0000DF2E0000}"/>
    <cellStyle name="Normal 3 2 4 3 2 2 4 2 2 3" xfId="35151" xr:uid="{00000000-0005-0000-0000-0000E02E0000}"/>
    <cellStyle name="Normal 3 2 4 3 2 2 4 2 3" xfId="21311" xr:uid="{00000000-0005-0000-0000-0000E12E0000}"/>
    <cellStyle name="Normal 3 2 4 3 2 2 4 2 3 2" xfId="53182" xr:uid="{00000000-0005-0000-0000-0000E22E0000}"/>
    <cellStyle name="Normal 3 2 4 3 2 2 4 2 4" xfId="35150" xr:uid="{00000000-0005-0000-0000-0000E32E0000}"/>
    <cellStyle name="Normal 3 2 4 3 2 2 4 3" xfId="3273" xr:uid="{00000000-0005-0000-0000-0000E42E0000}"/>
    <cellStyle name="Normal 3 2 4 3 2 2 4 3 2" xfId="25250" xr:uid="{00000000-0005-0000-0000-0000E52E0000}"/>
    <cellStyle name="Normal 3 2 4 3 2 2 4 3 2 2" xfId="57121" xr:uid="{00000000-0005-0000-0000-0000E62E0000}"/>
    <cellStyle name="Normal 3 2 4 3 2 2 4 3 3" xfId="35152" xr:uid="{00000000-0005-0000-0000-0000E72E0000}"/>
    <cellStyle name="Normal 3 2 4 3 2 2 4 4" xfId="17372" xr:uid="{00000000-0005-0000-0000-0000E82E0000}"/>
    <cellStyle name="Normal 3 2 4 3 2 2 4 4 2" xfId="49243" xr:uid="{00000000-0005-0000-0000-0000E92E0000}"/>
    <cellStyle name="Normal 3 2 4 3 2 2 4 5" xfId="35149" xr:uid="{00000000-0005-0000-0000-0000EA2E0000}"/>
    <cellStyle name="Normal 3 2 4 3 2 2 5" xfId="3274" xr:uid="{00000000-0005-0000-0000-0000EB2E0000}"/>
    <cellStyle name="Normal 3 2 4 3 2 2 5 2" xfId="3275" xr:uid="{00000000-0005-0000-0000-0000EC2E0000}"/>
    <cellStyle name="Normal 3 2 4 3 2 2 5 2 2" xfId="29182" xr:uid="{00000000-0005-0000-0000-0000ED2E0000}"/>
    <cellStyle name="Normal 3 2 4 3 2 2 5 2 2 2" xfId="61053" xr:uid="{00000000-0005-0000-0000-0000EE2E0000}"/>
    <cellStyle name="Normal 3 2 4 3 2 2 5 2 3" xfId="35154" xr:uid="{00000000-0005-0000-0000-0000EF2E0000}"/>
    <cellStyle name="Normal 3 2 4 3 2 2 5 3" xfId="21304" xr:uid="{00000000-0005-0000-0000-0000F02E0000}"/>
    <cellStyle name="Normal 3 2 4 3 2 2 5 3 2" xfId="53175" xr:uid="{00000000-0005-0000-0000-0000F12E0000}"/>
    <cellStyle name="Normal 3 2 4 3 2 2 5 4" xfId="35153" xr:uid="{00000000-0005-0000-0000-0000F22E0000}"/>
    <cellStyle name="Normal 3 2 4 3 2 2 6" xfId="3276" xr:uid="{00000000-0005-0000-0000-0000F32E0000}"/>
    <cellStyle name="Normal 3 2 4 3 2 2 6 2" xfId="25243" xr:uid="{00000000-0005-0000-0000-0000F42E0000}"/>
    <cellStyle name="Normal 3 2 4 3 2 2 6 2 2" xfId="57114" xr:uid="{00000000-0005-0000-0000-0000F52E0000}"/>
    <cellStyle name="Normal 3 2 4 3 2 2 6 3" xfId="35155" xr:uid="{00000000-0005-0000-0000-0000F62E0000}"/>
    <cellStyle name="Normal 3 2 4 3 2 2 7" xfId="17365" xr:uid="{00000000-0005-0000-0000-0000F72E0000}"/>
    <cellStyle name="Normal 3 2 4 3 2 2 7 2" xfId="49236" xr:uid="{00000000-0005-0000-0000-0000F82E0000}"/>
    <cellStyle name="Normal 3 2 4 3 2 2 8" xfId="35124" xr:uid="{00000000-0005-0000-0000-0000F92E0000}"/>
    <cellStyle name="Normal 3 2 4 3 2 3" xfId="3277" xr:uid="{00000000-0005-0000-0000-0000FA2E0000}"/>
    <cellStyle name="Normal 3 2 4 3 2 3 2" xfId="3278" xr:uid="{00000000-0005-0000-0000-0000FB2E0000}"/>
    <cellStyle name="Normal 3 2 4 3 2 3 2 2" xfId="3279" xr:uid="{00000000-0005-0000-0000-0000FC2E0000}"/>
    <cellStyle name="Normal 3 2 4 3 2 3 2 2 2" xfId="3280" xr:uid="{00000000-0005-0000-0000-0000FD2E0000}"/>
    <cellStyle name="Normal 3 2 4 3 2 3 2 2 2 2" xfId="3281" xr:uid="{00000000-0005-0000-0000-0000FE2E0000}"/>
    <cellStyle name="Normal 3 2 4 3 2 3 2 2 2 2 2" xfId="29192" xr:uid="{00000000-0005-0000-0000-0000FF2E0000}"/>
    <cellStyle name="Normal 3 2 4 3 2 3 2 2 2 2 2 2" xfId="61063" xr:uid="{00000000-0005-0000-0000-0000002F0000}"/>
    <cellStyle name="Normal 3 2 4 3 2 3 2 2 2 2 3" xfId="35160" xr:uid="{00000000-0005-0000-0000-0000012F0000}"/>
    <cellStyle name="Normal 3 2 4 3 2 3 2 2 2 3" xfId="21314" xr:uid="{00000000-0005-0000-0000-0000022F0000}"/>
    <cellStyle name="Normal 3 2 4 3 2 3 2 2 2 3 2" xfId="53185" xr:uid="{00000000-0005-0000-0000-0000032F0000}"/>
    <cellStyle name="Normal 3 2 4 3 2 3 2 2 2 4" xfId="35159" xr:uid="{00000000-0005-0000-0000-0000042F0000}"/>
    <cellStyle name="Normal 3 2 4 3 2 3 2 2 3" xfId="3282" xr:uid="{00000000-0005-0000-0000-0000052F0000}"/>
    <cellStyle name="Normal 3 2 4 3 2 3 2 2 3 2" xfId="25253" xr:uid="{00000000-0005-0000-0000-0000062F0000}"/>
    <cellStyle name="Normal 3 2 4 3 2 3 2 2 3 2 2" xfId="57124" xr:uid="{00000000-0005-0000-0000-0000072F0000}"/>
    <cellStyle name="Normal 3 2 4 3 2 3 2 2 3 3" xfId="35161" xr:uid="{00000000-0005-0000-0000-0000082F0000}"/>
    <cellStyle name="Normal 3 2 4 3 2 3 2 2 4" xfId="17375" xr:uid="{00000000-0005-0000-0000-0000092F0000}"/>
    <cellStyle name="Normal 3 2 4 3 2 3 2 2 4 2" xfId="49246" xr:uid="{00000000-0005-0000-0000-00000A2F0000}"/>
    <cellStyle name="Normal 3 2 4 3 2 3 2 2 5" xfId="35158" xr:uid="{00000000-0005-0000-0000-00000B2F0000}"/>
    <cellStyle name="Normal 3 2 4 3 2 3 2 3" xfId="3283" xr:uid="{00000000-0005-0000-0000-00000C2F0000}"/>
    <cellStyle name="Normal 3 2 4 3 2 3 2 3 2" xfId="3284" xr:uid="{00000000-0005-0000-0000-00000D2F0000}"/>
    <cellStyle name="Normal 3 2 4 3 2 3 2 3 2 2" xfId="29191" xr:uid="{00000000-0005-0000-0000-00000E2F0000}"/>
    <cellStyle name="Normal 3 2 4 3 2 3 2 3 2 2 2" xfId="61062" xr:uid="{00000000-0005-0000-0000-00000F2F0000}"/>
    <cellStyle name="Normal 3 2 4 3 2 3 2 3 2 3" xfId="35163" xr:uid="{00000000-0005-0000-0000-0000102F0000}"/>
    <cellStyle name="Normal 3 2 4 3 2 3 2 3 3" xfId="21313" xr:uid="{00000000-0005-0000-0000-0000112F0000}"/>
    <cellStyle name="Normal 3 2 4 3 2 3 2 3 3 2" xfId="53184" xr:uid="{00000000-0005-0000-0000-0000122F0000}"/>
    <cellStyle name="Normal 3 2 4 3 2 3 2 3 4" xfId="35162" xr:uid="{00000000-0005-0000-0000-0000132F0000}"/>
    <cellStyle name="Normal 3 2 4 3 2 3 2 4" xfId="3285" xr:uid="{00000000-0005-0000-0000-0000142F0000}"/>
    <cellStyle name="Normal 3 2 4 3 2 3 2 4 2" xfId="25252" xr:uid="{00000000-0005-0000-0000-0000152F0000}"/>
    <cellStyle name="Normal 3 2 4 3 2 3 2 4 2 2" xfId="57123" xr:uid="{00000000-0005-0000-0000-0000162F0000}"/>
    <cellStyle name="Normal 3 2 4 3 2 3 2 4 3" xfId="35164" xr:uid="{00000000-0005-0000-0000-0000172F0000}"/>
    <cellStyle name="Normal 3 2 4 3 2 3 2 5" xfId="17374" xr:uid="{00000000-0005-0000-0000-0000182F0000}"/>
    <cellStyle name="Normal 3 2 4 3 2 3 2 5 2" xfId="49245" xr:uid="{00000000-0005-0000-0000-0000192F0000}"/>
    <cellStyle name="Normal 3 2 4 3 2 3 2 6" xfId="35157" xr:uid="{00000000-0005-0000-0000-00001A2F0000}"/>
    <cellStyle name="Normal 3 2 4 3 2 3 3" xfId="3286" xr:uid="{00000000-0005-0000-0000-00001B2F0000}"/>
    <cellStyle name="Normal 3 2 4 3 2 3 3 2" xfId="3287" xr:uid="{00000000-0005-0000-0000-00001C2F0000}"/>
    <cellStyle name="Normal 3 2 4 3 2 3 3 2 2" xfId="3288" xr:uid="{00000000-0005-0000-0000-00001D2F0000}"/>
    <cellStyle name="Normal 3 2 4 3 2 3 3 2 2 2" xfId="29193" xr:uid="{00000000-0005-0000-0000-00001E2F0000}"/>
    <cellStyle name="Normal 3 2 4 3 2 3 3 2 2 2 2" xfId="61064" xr:uid="{00000000-0005-0000-0000-00001F2F0000}"/>
    <cellStyle name="Normal 3 2 4 3 2 3 3 2 2 3" xfId="35167" xr:uid="{00000000-0005-0000-0000-0000202F0000}"/>
    <cellStyle name="Normal 3 2 4 3 2 3 3 2 3" xfId="21315" xr:uid="{00000000-0005-0000-0000-0000212F0000}"/>
    <cellStyle name="Normal 3 2 4 3 2 3 3 2 3 2" xfId="53186" xr:uid="{00000000-0005-0000-0000-0000222F0000}"/>
    <cellStyle name="Normal 3 2 4 3 2 3 3 2 4" xfId="35166" xr:uid="{00000000-0005-0000-0000-0000232F0000}"/>
    <cellStyle name="Normal 3 2 4 3 2 3 3 3" xfId="3289" xr:uid="{00000000-0005-0000-0000-0000242F0000}"/>
    <cellStyle name="Normal 3 2 4 3 2 3 3 3 2" xfId="25254" xr:uid="{00000000-0005-0000-0000-0000252F0000}"/>
    <cellStyle name="Normal 3 2 4 3 2 3 3 3 2 2" xfId="57125" xr:uid="{00000000-0005-0000-0000-0000262F0000}"/>
    <cellStyle name="Normal 3 2 4 3 2 3 3 3 3" xfId="35168" xr:uid="{00000000-0005-0000-0000-0000272F0000}"/>
    <cellStyle name="Normal 3 2 4 3 2 3 3 4" xfId="17376" xr:uid="{00000000-0005-0000-0000-0000282F0000}"/>
    <cellStyle name="Normal 3 2 4 3 2 3 3 4 2" xfId="49247" xr:uid="{00000000-0005-0000-0000-0000292F0000}"/>
    <cellStyle name="Normal 3 2 4 3 2 3 3 5" xfId="35165" xr:uid="{00000000-0005-0000-0000-00002A2F0000}"/>
    <cellStyle name="Normal 3 2 4 3 2 3 4" xfId="3290" xr:uid="{00000000-0005-0000-0000-00002B2F0000}"/>
    <cellStyle name="Normal 3 2 4 3 2 3 4 2" xfId="3291" xr:uid="{00000000-0005-0000-0000-00002C2F0000}"/>
    <cellStyle name="Normal 3 2 4 3 2 3 4 2 2" xfId="29190" xr:uid="{00000000-0005-0000-0000-00002D2F0000}"/>
    <cellStyle name="Normal 3 2 4 3 2 3 4 2 2 2" xfId="61061" xr:uid="{00000000-0005-0000-0000-00002E2F0000}"/>
    <cellStyle name="Normal 3 2 4 3 2 3 4 2 3" xfId="35170" xr:uid="{00000000-0005-0000-0000-00002F2F0000}"/>
    <cellStyle name="Normal 3 2 4 3 2 3 4 3" xfId="21312" xr:uid="{00000000-0005-0000-0000-0000302F0000}"/>
    <cellStyle name="Normal 3 2 4 3 2 3 4 3 2" xfId="53183" xr:uid="{00000000-0005-0000-0000-0000312F0000}"/>
    <cellStyle name="Normal 3 2 4 3 2 3 4 4" xfId="35169" xr:uid="{00000000-0005-0000-0000-0000322F0000}"/>
    <cellStyle name="Normal 3 2 4 3 2 3 5" xfId="3292" xr:uid="{00000000-0005-0000-0000-0000332F0000}"/>
    <cellStyle name="Normal 3 2 4 3 2 3 5 2" xfId="25251" xr:uid="{00000000-0005-0000-0000-0000342F0000}"/>
    <cellStyle name="Normal 3 2 4 3 2 3 5 2 2" xfId="57122" xr:uid="{00000000-0005-0000-0000-0000352F0000}"/>
    <cellStyle name="Normal 3 2 4 3 2 3 5 3" xfId="35171" xr:uid="{00000000-0005-0000-0000-0000362F0000}"/>
    <cellStyle name="Normal 3 2 4 3 2 3 6" xfId="17373" xr:uid="{00000000-0005-0000-0000-0000372F0000}"/>
    <cellStyle name="Normal 3 2 4 3 2 3 6 2" xfId="49244" xr:uid="{00000000-0005-0000-0000-0000382F0000}"/>
    <cellStyle name="Normal 3 2 4 3 2 3 7" xfId="35156" xr:uid="{00000000-0005-0000-0000-0000392F0000}"/>
    <cellStyle name="Normal 3 2 4 3 2 4" xfId="3293" xr:uid="{00000000-0005-0000-0000-00003A2F0000}"/>
    <cellStyle name="Normal 3 2 4 3 2 4 2" xfId="3294" xr:uid="{00000000-0005-0000-0000-00003B2F0000}"/>
    <cellStyle name="Normal 3 2 4 3 2 4 2 2" xfId="3295" xr:uid="{00000000-0005-0000-0000-00003C2F0000}"/>
    <cellStyle name="Normal 3 2 4 3 2 4 2 2 2" xfId="3296" xr:uid="{00000000-0005-0000-0000-00003D2F0000}"/>
    <cellStyle name="Normal 3 2 4 3 2 4 2 2 2 2" xfId="29195" xr:uid="{00000000-0005-0000-0000-00003E2F0000}"/>
    <cellStyle name="Normal 3 2 4 3 2 4 2 2 2 2 2" xfId="61066" xr:uid="{00000000-0005-0000-0000-00003F2F0000}"/>
    <cellStyle name="Normal 3 2 4 3 2 4 2 2 2 3" xfId="35175" xr:uid="{00000000-0005-0000-0000-0000402F0000}"/>
    <cellStyle name="Normal 3 2 4 3 2 4 2 2 3" xfId="21317" xr:uid="{00000000-0005-0000-0000-0000412F0000}"/>
    <cellStyle name="Normal 3 2 4 3 2 4 2 2 3 2" xfId="53188" xr:uid="{00000000-0005-0000-0000-0000422F0000}"/>
    <cellStyle name="Normal 3 2 4 3 2 4 2 2 4" xfId="35174" xr:uid="{00000000-0005-0000-0000-0000432F0000}"/>
    <cellStyle name="Normal 3 2 4 3 2 4 2 3" xfId="3297" xr:uid="{00000000-0005-0000-0000-0000442F0000}"/>
    <cellStyle name="Normal 3 2 4 3 2 4 2 3 2" xfId="25256" xr:uid="{00000000-0005-0000-0000-0000452F0000}"/>
    <cellStyle name="Normal 3 2 4 3 2 4 2 3 2 2" xfId="57127" xr:uid="{00000000-0005-0000-0000-0000462F0000}"/>
    <cellStyle name="Normal 3 2 4 3 2 4 2 3 3" xfId="35176" xr:uid="{00000000-0005-0000-0000-0000472F0000}"/>
    <cellStyle name="Normal 3 2 4 3 2 4 2 4" xfId="17378" xr:uid="{00000000-0005-0000-0000-0000482F0000}"/>
    <cellStyle name="Normal 3 2 4 3 2 4 2 4 2" xfId="49249" xr:uid="{00000000-0005-0000-0000-0000492F0000}"/>
    <cellStyle name="Normal 3 2 4 3 2 4 2 5" xfId="35173" xr:uid="{00000000-0005-0000-0000-00004A2F0000}"/>
    <cellStyle name="Normal 3 2 4 3 2 4 3" xfId="3298" xr:uid="{00000000-0005-0000-0000-00004B2F0000}"/>
    <cellStyle name="Normal 3 2 4 3 2 4 3 2" xfId="3299" xr:uid="{00000000-0005-0000-0000-00004C2F0000}"/>
    <cellStyle name="Normal 3 2 4 3 2 4 3 2 2" xfId="29194" xr:uid="{00000000-0005-0000-0000-00004D2F0000}"/>
    <cellStyle name="Normal 3 2 4 3 2 4 3 2 2 2" xfId="61065" xr:uid="{00000000-0005-0000-0000-00004E2F0000}"/>
    <cellStyle name="Normal 3 2 4 3 2 4 3 2 3" xfId="35178" xr:uid="{00000000-0005-0000-0000-00004F2F0000}"/>
    <cellStyle name="Normal 3 2 4 3 2 4 3 3" xfId="21316" xr:uid="{00000000-0005-0000-0000-0000502F0000}"/>
    <cellStyle name="Normal 3 2 4 3 2 4 3 3 2" xfId="53187" xr:uid="{00000000-0005-0000-0000-0000512F0000}"/>
    <cellStyle name="Normal 3 2 4 3 2 4 3 4" xfId="35177" xr:uid="{00000000-0005-0000-0000-0000522F0000}"/>
    <cellStyle name="Normal 3 2 4 3 2 4 4" xfId="3300" xr:uid="{00000000-0005-0000-0000-0000532F0000}"/>
    <cellStyle name="Normal 3 2 4 3 2 4 4 2" xfId="25255" xr:uid="{00000000-0005-0000-0000-0000542F0000}"/>
    <cellStyle name="Normal 3 2 4 3 2 4 4 2 2" xfId="57126" xr:uid="{00000000-0005-0000-0000-0000552F0000}"/>
    <cellStyle name="Normal 3 2 4 3 2 4 4 3" xfId="35179" xr:uid="{00000000-0005-0000-0000-0000562F0000}"/>
    <cellStyle name="Normal 3 2 4 3 2 4 5" xfId="17377" xr:uid="{00000000-0005-0000-0000-0000572F0000}"/>
    <cellStyle name="Normal 3 2 4 3 2 4 5 2" xfId="49248" xr:uid="{00000000-0005-0000-0000-0000582F0000}"/>
    <cellStyle name="Normal 3 2 4 3 2 4 6" xfId="35172" xr:uid="{00000000-0005-0000-0000-0000592F0000}"/>
    <cellStyle name="Normal 3 2 4 3 2 5" xfId="3301" xr:uid="{00000000-0005-0000-0000-00005A2F0000}"/>
    <cellStyle name="Normal 3 2 4 3 2 5 2" xfId="3302" xr:uid="{00000000-0005-0000-0000-00005B2F0000}"/>
    <cellStyle name="Normal 3 2 4 3 2 5 2 2" xfId="3303" xr:uid="{00000000-0005-0000-0000-00005C2F0000}"/>
    <cellStyle name="Normal 3 2 4 3 2 5 2 2 2" xfId="29196" xr:uid="{00000000-0005-0000-0000-00005D2F0000}"/>
    <cellStyle name="Normal 3 2 4 3 2 5 2 2 2 2" xfId="61067" xr:uid="{00000000-0005-0000-0000-00005E2F0000}"/>
    <cellStyle name="Normal 3 2 4 3 2 5 2 2 3" xfId="35182" xr:uid="{00000000-0005-0000-0000-00005F2F0000}"/>
    <cellStyle name="Normal 3 2 4 3 2 5 2 3" xfId="21318" xr:uid="{00000000-0005-0000-0000-0000602F0000}"/>
    <cellStyle name="Normal 3 2 4 3 2 5 2 3 2" xfId="53189" xr:uid="{00000000-0005-0000-0000-0000612F0000}"/>
    <cellStyle name="Normal 3 2 4 3 2 5 2 4" xfId="35181" xr:uid="{00000000-0005-0000-0000-0000622F0000}"/>
    <cellStyle name="Normal 3 2 4 3 2 5 3" xfId="3304" xr:uid="{00000000-0005-0000-0000-0000632F0000}"/>
    <cellStyle name="Normal 3 2 4 3 2 5 3 2" xfId="25257" xr:uid="{00000000-0005-0000-0000-0000642F0000}"/>
    <cellStyle name="Normal 3 2 4 3 2 5 3 2 2" xfId="57128" xr:uid="{00000000-0005-0000-0000-0000652F0000}"/>
    <cellStyle name="Normal 3 2 4 3 2 5 3 3" xfId="35183" xr:uid="{00000000-0005-0000-0000-0000662F0000}"/>
    <cellStyle name="Normal 3 2 4 3 2 5 4" xfId="17379" xr:uid="{00000000-0005-0000-0000-0000672F0000}"/>
    <cellStyle name="Normal 3 2 4 3 2 5 4 2" xfId="49250" xr:uid="{00000000-0005-0000-0000-0000682F0000}"/>
    <cellStyle name="Normal 3 2 4 3 2 5 5" xfId="35180" xr:uid="{00000000-0005-0000-0000-0000692F0000}"/>
    <cellStyle name="Normal 3 2 4 3 2 6" xfId="3305" xr:uid="{00000000-0005-0000-0000-00006A2F0000}"/>
    <cellStyle name="Normal 3 2 4 3 2 6 2" xfId="3306" xr:uid="{00000000-0005-0000-0000-00006B2F0000}"/>
    <cellStyle name="Normal 3 2 4 3 2 6 2 2" xfId="28497" xr:uid="{00000000-0005-0000-0000-00006C2F0000}"/>
    <cellStyle name="Normal 3 2 4 3 2 6 2 2 2" xfId="60368" xr:uid="{00000000-0005-0000-0000-00006D2F0000}"/>
    <cellStyle name="Normal 3 2 4 3 2 6 2 3" xfId="35185" xr:uid="{00000000-0005-0000-0000-00006E2F0000}"/>
    <cellStyle name="Normal 3 2 4 3 2 6 3" xfId="20619" xr:uid="{00000000-0005-0000-0000-00006F2F0000}"/>
    <cellStyle name="Normal 3 2 4 3 2 6 3 2" xfId="52490" xr:uid="{00000000-0005-0000-0000-0000702F0000}"/>
    <cellStyle name="Normal 3 2 4 3 2 6 4" xfId="35184" xr:uid="{00000000-0005-0000-0000-0000712F0000}"/>
    <cellStyle name="Normal 3 2 4 3 2 7" xfId="3307" xr:uid="{00000000-0005-0000-0000-0000722F0000}"/>
    <cellStyle name="Normal 3 2 4 3 2 7 2" xfId="24558" xr:uid="{00000000-0005-0000-0000-0000732F0000}"/>
    <cellStyle name="Normal 3 2 4 3 2 7 2 2" xfId="56429" xr:uid="{00000000-0005-0000-0000-0000742F0000}"/>
    <cellStyle name="Normal 3 2 4 3 2 7 3" xfId="35186" xr:uid="{00000000-0005-0000-0000-0000752F0000}"/>
    <cellStyle name="Normal 3 2 4 3 2 8" xfId="16680" xr:uid="{00000000-0005-0000-0000-0000762F0000}"/>
    <cellStyle name="Normal 3 2 4 3 2 8 2" xfId="48551" xr:uid="{00000000-0005-0000-0000-0000772F0000}"/>
    <cellStyle name="Normal 3 2 4 3 2 9" xfId="35123" xr:uid="{00000000-0005-0000-0000-0000782F0000}"/>
    <cellStyle name="Normal 3 2 4 3 3" xfId="3308" xr:uid="{00000000-0005-0000-0000-0000792F0000}"/>
    <cellStyle name="Normal 3 2 4 3 3 2" xfId="3309" xr:uid="{00000000-0005-0000-0000-00007A2F0000}"/>
    <cellStyle name="Normal 3 2 4 3 3 2 2" xfId="3310" xr:uid="{00000000-0005-0000-0000-00007B2F0000}"/>
    <cellStyle name="Normal 3 2 4 3 3 2 2 2" xfId="3311" xr:uid="{00000000-0005-0000-0000-00007C2F0000}"/>
    <cellStyle name="Normal 3 2 4 3 3 2 2 2 2" xfId="3312" xr:uid="{00000000-0005-0000-0000-00007D2F0000}"/>
    <cellStyle name="Normal 3 2 4 3 3 2 2 2 2 2" xfId="3313" xr:uid="{00000000-0005-0000-0000-00007E2F0000}"/>
    <cellStyle name="Normal 3 2 4 3 3 2 2 2 2 2 2" xfId="29200" xr:uid="{00000000-0005-0000-0000-00007F2F0000}"/>
    <cellStyle name="Normal 3 2 4 3 3 2 2 2 2 2 2 2" xfId="61071" xr:uid="{00000000-0005-0000-0000-0000802F0000}"/>
    <cellStyle name="Normal 3 2 4 3 3 2 2 2 2 2 3" xfId="35192" xr:uid="{00000000-0005-0000-0000-0000812F0000}"/>
    <cellStyle name="Normal 3 2 4 3 3 2 2 2 2 3" xfId="21322" xr:uid="{00000000-0005-0000-0000-0000822F0000}"/>
    <cellStyle name="Normal 3 2 4 3 3 2 2 2 2 3 2" xfId="53193" xr:uid="{00000000-0005-0000-0000-0000832F0000}"/>
    <cellStyle name="Normal 3 2 4 3 3 2 2 2 2 4" xfId="35191" xr:uid="{00000000-0005-0000-0000-0000842F0000}"/>
    <cellStyle name="Normal 3 2 4 3 3 2 2 2 3" xfId="3314" xr:uid="{00000000-0005-0000-0000-0000852F0000}"/>
    <cellStyle name="Normal 3 2 4 3 3 2 2 2 3 2" xfId="25261" xr:uid="{00000000-0005-0000-0000-0000862F0000}"/>
    <cellStyle name="Normal 3 2 4 3 3 2 2 2 3 2 2" xfId="57132" xr:uid="{00000000-0005-0000-0000-0000872F0000}"/>
    <cellStyle name="Normal 3 2 4 3 3 2 2 2 3 3" xfId="35193" xr:uid="{00000000-0005-0000-0000-0000882F0000}"/>
    <cellStyle name="Normal 3 2 4 3 3 2 2 2 4" xfId="17383" xr:uid="{00000000-0005-0000-0000-0000892F0000}"/>
    <cellStyle name="Normal 3 2 4 3 3 2 2 2 4 2" xfId="49254" xr:uid="{00000000-0005-0000-0000-00008A2F0000}"/>
    <cellStyle name="Normal 3 2 4 3 3 2 2 2 5" xfId="35190" xr:uid="{00000000-0005-0000-0000-00008B2F0000}"/>
    <cellStyle name="Normal 3 2 4 3 3 2 2 3" xfId="3315" xr:uid="{00000000-0005-0000-0000-00008C2F0000}"/>
    <cellStyle name="Normal 3 2 4 3 3 2 2 3 2" xfId="3316" xr:uid="{00000000-0005-0000-0000-00008D2F0000}"/>
    <cellStyle name="Normal 3 2 4 3 3 2 2 3 2 2" xfId="29199" xr:uid="{00000000-0005-0000-0000-00008E2F0000}"/>
    <cellStyle name="Normal 3 2 4 3 3 2 2 3 2 2 2" xfId="61070" xr:uid="{00000000-0005-0000-0000-00008F2F0000}"/>
    <cellStyle name="Normal 3 2 4 3 3 2 2 3 2 3" xfId="35195" xr:uid="{00000000-0005-0000-0000-0000902F0000}"/>
    <cellStyle name="Normal 3 2 4 3 3 2 2 3 3" xfId="21321" xr:uid="{00000000-0005-0000-0000-0000912F0000}"/>
    <cellStyle name="Normal 3 2 4 3 3 2 2 3 3 2" xfId="53192" xr:uid="{00000000-0005-0000-0000-0000922F0000}"/>
    <cellStyle name="Normal 3 2 4 3 3 2 2 3 4" xfId="35194" xr:uid="{00000000-0005-0000-0000-0000932F0000}"/>
    <cellStyle name="Normal 3 2 4 3 3 2 2 4" xfId="3317" xr:uid="{00000000-0005-0000-0000-0000942F0000}"/>
    <cellStyle name="Normal 3 2 4 3 3 2 2 4 2" xfId="25260" xr:uid="{00000000-0005-0000-0000-0000952F0000}"/>
    <cellStyle name="Normal 3 2 4 3 3 2 2 4 2 2" xfId="57131" xr:uid="{00000000-0005-0000-0000-0000962F0000}"/>
    <cellStyle name="Normal 3 2 4 3 3 2 2 4 3" xfId="35196" xr:uid="{00000000-0005-0000-0000-0000972F0000}"/>
    <cellStyle name="Normal 3 2 4 3 3 2 2 5" xfId="17382" xr:uid="{00000000-0005-0000-0000-0000982F0000}"/>
    <cellStyle name="Normal 3 2 4 3 3 2 2 5 2" xfId="49253" xr:uid="{00000000-0005-0000-0000-0000992F0000}"/>
    <cellStyle name="Normal 3 2 4 3 3 2 2 6" xfId="35189" xr:uid="{00000000-0005-0000-0000-00009A2F0000}"/>
    <cellStyle name="Normal 3 2 4 3 3 2 3" xfId="3318" xr:uid="{00000000-0005-0000-0000-00009B2F0000}"/>
    <cellStyle name="Normal 3 2 4 3 3 2 3 2" xfId="3319" xr:uid="{00000000-0005-0000-0000-00009C2F0000}"/>
    <cellStyle name="Normal 3 2 4 3 3 2 3 2 2" xfId="3320" xr:uid="{00000000-0005-0000-0000-00009D2F0000}"/>
    <cellStyle name="Normal 3 2 4 3 3 2 3 2 2 2" xfId="29201" xr:uid="{00000000-0005-0000-0000-00009E2F0000}"/>
    <cellStyle name="Normal 3 2 4 3 3 2 3 2 2 2 2" xfId="61072" xr:uid="{00000000-0005-0000-0000-00009F2F0000}"/>
    <cellStyle name="Normal 3 2 4 3 3 2 3 2 2 3" xfId="35199" xr:uid="{00000000-0005-0000-0000-0000A02F0000}"/>
    <cellStyle name="Normal 3 2 4 3 3 2 3 2 3" xfId="21323" xr:uid="{00000000-0005-0000-0000-0000A12F0000}"/>
    <cellStyle name="Normal 3 2 4 3 3 2 3 2 3 2" xfId="53194" xr:uid="{00000000-0005-0000-0000-0000A22F0000}"/>
    <cellStyle name="Normal 3 2 4 3 3 2 3 2 4" xfId="35198" xr:uid="{00000000-0005-0000-0000-0000A32F0000}"/>
    <cellStyle name="Normal 3 2 4 3 3 2 3 3" xfId="3321" xr:uid="{00000000-0005-0000-0000-0000A42F0000}"/>
    <cellStyle name="Normal 3 2 4 3 3 2 3 3 2" xfId="25262" xr:uid="{00000000-0005-0000-0000-0000A52F0000}"/>
    <cellStyle name="Normal 3 2 4 3 3 2 3 3 2 2" xfId="57133" xr:uid="{00000000-0005-0000-0000-0000A62F0000}"/>
    <cellStyle name="Normal 3 2 4 3 3 2 3 3 3" xfId="35200" xr:uid="{00000000-0005-0000-0000-0000A72F0000}"/>
    <cellStyle name="Normal 3 2 4 3 3 2 3 4" xfId="17384" xr:uid="{00000000-0005-0000-0000-0000A82F0000}"/>
    <cellStyle name="Normal 3 2 4 3 3 2 3 4 2" xfId="49255" xr:uid="{00000000-0005-0000-0000-0000A92F0000}"/>
    <cellStyle name="Normal 3 2 4 3 3 2 3 5" xfId="35197" xr:uid="{00000000-0005-0000-0000-0000AA2F0000}"/>
    <cellStyle name="Normal 3 2 4 3 3 2 4" xfId="3322" xr:uid="{00000000-0005-0000-0000-0000AB2F0000}"/>
    <cellStyle name="Normal 3 2 4 3 3 2 4 2" xfId="3323" xr:uid="{00000000-0005-0000-0000-0000AC2F0000}"/>
    <cellStyle name="Normal 3 2 4 3 3 2 4 2 2" xfId="29198" xr:uid="{00000000-0005-0000-0000-0000AD2F0000}"/>
    <cellStyle name="Normal 3 2 4 3 3 2 4 2 2 2" xfId="61069" xr:uid="{00000000-0005-0000-0000-0000AE2F0000}"/>
    <cellStyle name="Normal 3 2 4 3 3 2 4 2 3" xfId="35202" xr:uid="{00000000-0005-0000-0000-0000AF2F0000}"/>
    <cellStyle name="Normal 3 2 4 3 3 2 4 3" xfId="21320" xr:uid="{00000000-0005-0000-0000-0000B02F0000}"/>
    <cellStyle name="Normal 3 2 4 3 3 2 4 3 2" xfId="53191" xr:uid="{00000000-0005-0000-0000-0000B12F0000}"/>
    <cellStyle name="Normal 3 2 4 3 3 2 4 4" xfId="35201" xr:uid="{00000000-0005-0000-0000-0000B22F0000}"/>
    <cellStyle name="Normal 3 2 4 3 3 2 5" xfId="3324" xr:uid="{00000000-0005-0000-0000-0000B32F0000}"/>
    <cellStyle name="Normal 3 2 4 3 3 2 5 2" xfId="25259" xr:uid="{00000000-0005-0000-0000-0000B42F0000}"/>
    <cellStyle name="Normal 3 2 4 3 3 2 5 2 2" xfId="57130" xr:uid="{00000000-0005-0000-0000-0000B52F0000}"/>
    <cellStyle name="Normal 3 2 4 3 3 2 5 3" xfId="35203" xr:uid="{00000000-0005-0000-0000-0000B62F0000}"/>
    <cellStyle name="Normal 3 2 4 3 3 2 6" xfId="17381" xr:uid="{00000000-0005-0000-0000-0000B72F0000}"/>
    <cellStyle name="Normal 3 2 4 3 3 2 6 2" xfId="49252" xr:uid="{00000000-0005-0000-0000-0000B82F0000}"/>
    <cellStyle name="Normal 3 2 4 3 3 2 7" xfId="35188" xr:uid="{00000000-0005-0000-0000-0000B92F0000}"/>
    <cellStyle name="Normal 3 2 4 3 3 3" xfId="3325" xr:uid="{00000000-0005-0000-0000-0000BA2F0000}"/>
    <cellStyle name="Normal 3 2 4 3 3 3 2" xfId="3326" xr:uid="{00000000-0005-0000-0000-0000BB2F0000}"/>
    <cellStyle name="Normal 3 2 4 3 3 3 2 2" xfId="3327" xr:uid="{00000000-0005-0000-0000-0000BC2F0000}"/>
    <cellStyle name="Normal 3 2 4 3 3 3 2 2 2" xfId="3328" xr:uid="{00000000-0005-0000-0000-0000BD2F0000}"/>
    <cellStyle name="Normal 3 2 4 3 3 3 2 2 2 2" xfId="29203" xr:uid="{00000000-0005-0000-0000-0000BE2F0000}"/>
    <cellStyle name="Normal 3 2 4 3 3 3 2 2 2 2 2" xfId="61074" xr:uid="{00000000-0005-0000-0000-0000BF2F0000}"/>
    <cellStyle name="Normal 3 2 4 3 3 3 2 2 2 3" xfId="35207" xr:uid="{00000000-0005-0000-0000-0000C02F0000}"/>
    <cellStyle name="Normal 3 2 4 3 3 3 2 2 3" xfId="21325" xr:uid="{00000000-0005-0000-0000-0000C12F0000}"/>
    <cellStyle name="Normal 3 2 4 3 3 3 2 2 3 2" xfId="53196" xr:uid="{00000000-0005-0000-0000-0000C22F0000}"/>
    <cellStyle name="Normal 3 2 4 3 3 3 2 2 4" xfId="35206" xr:uid="{00000000-0005-0000-0000-0000C32F0000}"/>
    <cellStyle name="Normal 3 2 4 3 3 3 2 3" xfId="3329" xr:uid="{00000000-0005-0000-0000-0000C42F0000}"/>
    <cellStyle name="Normal 3 2 4 3 3 3 2 3 2" xfId="25264" xr:uid="{00000000-0005-0000-0000-0000C52F0000}"/>
    <cellStyle name="Normal 3 2 4 3 3 3 2 3 2 2" xfId="57135" xr:uid="{00000000-0005-0000-0000-0000C62F0000}"/>
    <cellStyle name="Normal 3 2 4 3 3 3 2 3 3" xfId="35208" xr:uid="{00000000-0005-0000-0000-0000C72F0000}"/>
    <cellStyle name="Normal 3 2 4 3 3 3 2 4" xfId="17386" xr:uid="{00000000-0005-0000-0000-0000C82F0000}"/>
    <cellStyle name="Normal 3 2 4 3 3 3 2 4 2" xfId="49257" xr:uid="{00000000-0005-0000-0000-0000C92F0000}"/>
    <cellStyle name="Normal 3 2 4 3 3 3 2 5" xfId="35205" xr:uid="{00000000-0005-0000-0000-0000CA2F0000}"/>
    <cellStyle name="Normal 3 2 4 3 3 3 3" xfId="3330" xr:uid="{00000000-0005-0000-0000-0000CB2F0000}"/>
    <cellStyle name="Normal 3 2 4 3 3 3 3 2" xfId="3331" xr:uid="{00000000-0005-0000-0000-0000CC2F0000}"/>
    <cellStyle name="Normal 3 2 4 3 3 3 3 2 2" xfId="29202" xr:uid="{00000000-0005-0000-0000-0000CD2F0000}"/>
    <cellStyle name="Normal 3 2 4 3 3 3 3 2 2 2" xfId="61073" xr:uid="{00000000-0005-0000-0000-0000CE2F0000}"/>
    <cellStyle name="Normal 3 2 4 3 3 3 3 2 3" xfId="35210" xr:uid="{00000000-0005-0000-0000-0000CF2F0000}"/>
    <cellStyle name="Normal 3 2 4 3 3 3 3 3" xfId="21324" xr:uid="{00000000-0005-0000-0000-0000D02F0000}"/>
    <cellStyle name="Normal 3 2 4 3 3 3 3 3 2" xfId="53195" xr:uid="{00000000-0005-0000-0000-0000D12F0000}"/>
    <cellStyle name="Normal 3 2 4 3 3 3 3 4" xfId="35209" xr:uid="{00000000-0005-0000-0000-0000D22F0000}"/>
    <cellStyle name="Normal 3 2 4 3 3 3 4" xfId="3332" xr:uid="{00000000-0005-0000-0000-0000D32F0000}"/>
    <cellStyle name="Normal 3 2 4 3 3 3 4 2" xfId="25263" xr:uid="{00000000-0005-0000-0000-0000D42F0000}"/>
    <cellStyle name="Normal 3 2 4 3 3 3 4 2 2" xfId="57134" xr:uid="{00000000-0005-0000-0000-0000D52F0000}"/>
    <cellStyle name="Normal 3 2 4 3 3 3 4 3" xfId="35211" xr:uid="{00000000-0005-0000-0000-0000D62F0000}"/>
    <cellStyle name="Normal 3 2 4 3 3 3 5" xfId="17385" xr:uid="{00000000-0005-0000-0000-0000D72F0000}"/>
    <cellStyle name="Normal 3 2 4 3 3 3 5 2" xfId="49256" xr:uid="{00000000-0005-0000-0000-0000D82F0000}"/>
    <cellStyle name="Normal 3 2 4 3 3 3 6" xfId="35204" xr:uid="{00000000-0005-0000-0000-0000D92F0000}"/>
    <cellStyle name="Normal 3 2 4 3 3 4" xfId="3333" xr:uid="{00000000-0005-0000-0000-0000DA2F0000}"/>
    <cellStyle name="Normal 3 2 4 3 3 4 2" xfId="3334" xr:uid="{00000000-0005-0000-0000-0000DB2F0000}"/>
    <cellStyle name="Normal 3 2 4 3 3 4 2 2" xfId="3335" xr:uid="{00000000-0005-0000-0000-0000DC2F0000}"/>
    <cellStyle name="Normal 3 2 4 3 3 4 2 2 2" xfId="29204" xr:uid="{00000000-0005-0000-0000-0000DD2F0000}"/>
    <cellStyle name="Normal 3 2 4 3 3 4 2 2 2 2" xfId="61075" xr:uid="{00000000-0005-0000-0000-0000DE2F0000}"/>
    <cellStyle name="Normal 3 2 4 3 3 4 2 2 3" xfId="35214" xr:uid="{00000000-0005-0000-0000-0000DF2F0000}"/>
    <cellStyle name="Normal 3 2 4 3 3 4 2 3" xfId="21326" xr:uid="{00000000-0005-0000-0000-0000E02F0000}"/>
    <cellStyle name="Normal 3 2 4 3 3 4 2 3 2" xfId="53197" xr:uid="{00000000-0005-0000-0000-0000E12F0000}"/>
    <cellStyle name="Normal 3 2 4 3 3 4 2 4" xfId="35213" xr:uid="{00000000-0005-0000-0000-0000E22F0000}"/>
    <cellStyle name="Normal 3 2 4 3 3 4 3" xfId="3336" xr:uid="{00000000-0005-0000-0000-0000E32F0000}"/>
    <cellStyle name="Normal 3 2 4 3 3 4 3 2" xfId="25265" xr:uid="{00000000-0005-0000-0000-0000E42F0000}"/>
    <cellStyle name="Normal 3 2 4 3 3 4 3 2 2" xfId="57136" xr:uid="{00000000-0005-0000-0000-0000E52F0000}"/>
    <cellStyle name="Normal 3 2 4 3 3 4 3 3" xfId="35215" xr:uid="{00000000-0005-0000-0000-0000E62F0000}"/>
    <cellStyle name="Normal 3 2 4 3 3 4 4" xfId="17387" xr:uid="{00000000-0005-0000-0000-0000E72F0000}"/>
    <cellStyle name="Normal 3 2 4 3 3 4 4 2" xfId="49258" xr:uid="{00000000-0005-0000-0000-0000E82F0000}"/>
    <cellStyle name="Normal 3 2 4 3 3 4 5" xfId="35212" xr:uid="{00000000-0005-0000-0000-0000E92F0000}"/>
    <cellStyle name="Normal 3 2 4 3 3 5" xfId="3337" xr:uid="{00000000-0005-0000-0000-0000EA2F0000}"/>
    <cellStyle name="Normal 3 2 4 3 3 5 2" xfId="3338" xr:uid="{00000000-0005-0000-0000-0000EB2F0000}"/>
    <cellStyle name="Normal 3 2 4 3 3 5 2 2" xfId="29197" xr:uid="{00000000-0005-0000-0000-0000EC2F0000}"/>
    <cellStyle name="Normal 3 2 4 3 3 5 2 2 2" xfId="61068" xr:uid="{00000000-0005-0000-0000-0000ED2F0000}"/>
    <cellStyle name="Normal 3 2 4 3 3 5 2 3" xfId="35217" xr:uid="{00000000-0005-0000-0000-0000EE2F0000}"/>
    <cellStyle name="Normal 3 2 4 3 3 5 3" xfId="21319" xr:uid="{00000000-0005-0000-0000-0000EF2F0000}"/>
    <cellStyle name="Normal 3 2 4 3 3 5 3 2" xfId="53190" xr:uid="{00000000-0005-0000-0000-0000F02F0000}"/>
    <cellStyle name="Normal 3 2 4 3 3 5 4" xfId="35216" xr:uid="{00000000-0005-0000-0000-0000F12F0000}"/>
    <cellStyle name="Normal 3 2 4 3 3 6" xfId="3339" xr:uid="{00000000-0005-0000-0000-0000F22F0000}"/>
    <cellStyle name="Normal 3 2 4 3 3 6 2" xfId="25258" xr:uid="{00000000-0005-0000-0000-0000F32F0000}"/>
    <cellStyle name="Normal 3 2 4 3 3 6 2 2" xfId="57129" xr:uid="{00000000-0005-0000-0000-0000F42F0000}"/>
    <cellStyle name="Normal 3 2 4 3 3 6 3" xfId="35218" xr:uid="{00000000-0005-0000-0000-0000F52F0000}"/>
    <cellStyle name="Normal 3 2 4 3 3 7" xfId="17380" xr:uid="{00000000-0005-0000-0000-0000F62F0000}"/>
    <cellStyle name="Normal 3 2 4 3 3 7 2" xfId="49251" xr:uid="{00000000-0005-0000-0000-0000F72F0000}"/>
    <cellStyle name="Normal 3 2 4 3 3 8" xfId="35187" xr:uid="{00000000-0005-0000-0000-0000F82F0000}"/>
    <cellStyle name="Normal 3 2 4 3 4" xfId="3340" xr:uid="{00000000-0005-0000-0000-0000F92F0000}"/>
    <cellStyle name="Normal 3 2 4 3 4 2" xfId="3341" xr:uid="{00000000-0005-0000-0000-0000FA2F0000}"/>
    <cellStyle name="Normal 3 2 4 3 4 2 2" xfId="3342" xr:uid="{00000000-0005-0000-0000-0000FB2F0000}"/>
    <cellStyle name="Normal 3 2 4 3 4 2 2 2" xfId="3343" xr:uid="{00000000-0005-0000-0000-0000FC2F0000}"/>
    <cellStyle name="Normal 3 2 4 3 4 2 2 2 2" xfId="3344" xr:uid="{00000000-0005-0000-0000-0000FD2F0000}"/>
    <cellStyle name="Normal 3 2 4 3 4 2 2 2 2 2" xfId="29207" xr:uid="{00000000-0005-0000-0000-0000FE2F0000}"/>
    <cellStyle name="Normal 3 2 4 3 4 2 2 2 2 2 2" xfId="61078" xr:uid="{00000000-0005-0000-0000-0000FF2F0000}"/>
    <cellStyle name="Normal 3 2 4 3 4 2 2 2 2 3" xfId="35223" xr:uid="{00000000-0005-0000-0000-000000300000}"/>
    <cellStyle name="Normal 3 2 4 3 4 2 2 2 3" xfId="21329" xr:uid="{00000000-0005-0000-0000-000001300000}"/>
    <cellStyle name="Normal 3 2 4 3 4 2 2 2 3 2" xfId="53200" xr:uid="{00000000-0005-0000-0000-000002300000}"/>
    <cellStyle name="Normal 3 2 4 3 4 2 2 2 4" xfId="35222" xr:uid="{00000000-0005-0000-0000-000003300000}"/>
    <cellStyle name="Normal 3 2 4 3 4 2 2 3" xfId="3345" xr:uid="{00000000-0005-0000-0000-000004300000}"/>
    <cellStyle name="Normal 3 2 4 3 4 2 2 3 2" xfId="25268" xr:uid="{00000000-0005-0000-0000-000005300000}"/>
    <cellStyle name="Normal 3 2 4 3 4 2 2 3 2 2" xfId="57139" xr:uid="{00000000-0005-0000-0000-000006300000}"/>
    <cellStyle name="Normal 3 2 4 3 4 2 2 3 3" xfId="35224" xr:uid="{00000000-0005-0000-0000-000007300000}"/>
    <cellStyle name="Normal 3 2 4 3 4 2 2 4" xfId="17390" xr:uid="{00000000-0005-0000-0000-000008300000}"/>
    <cellStyle name="Normal 3 2 4 3 4 2 2 4 2" xfId="49261" xr:uid="{00000000-0005-0000-0000-000009300000}"/>
    <cellStyle name="Normal 3 2 4 3 4 2 2 5" xfId="35221" xr:uid="{00000000-0005-0000-0000-00000A300000}"/>
    <cellStyle name="Normal 3 2 4 3 4 2 3" xfId="3346" xr:uid="{00000000-0005-0000-0000-00000B300000}"/>
    <cellStyle name="Normal 3 2 4 3 4 2 3 2" xfId="3347" xr:uid="{00000000-0005-0000-0000-00000C300000}"/>
    <cellStyle name="Normal 3 2 4 3 4 2 3 2 2" xfId="29206" xr:uid="{00000000-0005-0000-0000-00000D300000}"/>
    <cellStyle name="Normal 3 2 4 3 4 2 3 2 2 2" xfId="61077" xr:uid="{00000000-0005-0000-0000-00000E300000}"/>
    <cellStyle name="Normal 3 2 4 3 4 2 3 2 3" xfId="35226" xr:uid="{00000000-0005-0000-0000-00000F300000}"/>
    <cellStyle name="Normal 3 2 4 3 4 2 3 3" xfId="21328" xr:uid="{00000000-0005-0000-0000-000010300000}"/>
    <cellStyle name="Normal 3 2 4 3 4 2 3 3 2" xfId="53199" xr:uid="{00000000-0005-0000-0000-000011300000}"/>
    <cellStyle name="Normal 3 2 4 3 4 2 3 4" xfId="35225" xr:uid="{00000000-0005-0000-0000-000012300000}"/>
    <cellStyle name="Normal 3 2 4 3 4 2 4" xfId="3348" xr:uid="{00000000-0005-0000-0000-000013300000}"/>
    <cellStyle name="Normal 3 2 4 3 4 2 4 2" xfId="25267" xr:uid="{00000000-0005-0000-0000-000014300000}"/>
    <cellStyle name="Normal 3 2 4 3 4 2 4 2 2" xfId="57138" xr:uid="{00000000-0005-0000-0000-000015300000}"/>
    <cellStyle name="Normal 3 2 4 3 4 2 4 3" xfId="35227" xr:uid="{00000000-0005-0000-0000-000016300000}"/>
    <cellStyle name="Normal 3 2 4 3 4 2 5" xfId="17389" xr:uid="{00000000-0005-0000-0000-000017300000}"/>
    <cellStyle name="Normal 3 2 4 3 4 2 5 2" xfId="49260" xr:uid="{00000000-0005-0000-0000-000018300000}"/>
    <cellStyle name="Normal 3 2 4 3 4 2 6" xfId="35220" xr:uid="{00000000-0005-0000-0000-000019300000}"/>
    <cellStyle name="Normal 3 2 4 3 4 3" xfId="3349" xr:uid="{00000000-0005-0000-0000-00001A300000}"/>
    <cellStyle name="Normal 3 2 4 3 4 3 2" xfId="3350" xr:uid="{00000000-0005-0000-0000-00001B300000}"/>
    <cellStyle name="Normal 3 2 4 3 4 3 2 2" xfId="3351" xr:uid="{00000000-0005-0000-0000-00001C300000}"/>
    <cellStyle name="Normal 3 2 4 3 4 3 2 2 2" xfId="29208" xr:uid="{00000000-0005-0000-0000-00001D300000}"/>
    <cellStyle name="Normal 3 2 4 3 4 3 2 2 2 2" xfId="61079" xr:uid="{00000000-0005-0000-0000-00001E300000}"/>
    <cellStyle name="Normal 3 2 4 3 4 3 2 2 3" xfId="35230" xr:uid="{00000000-0005-0000-0000-00001F300000}"/>
    <cellStyle name="Normal 3 2 4 3 4 3 2 3" xfId="21330" xr:uid="{00000000-0005-0000-0000-000020300000}"/>
    <cellStyle name="Normal 3 2 4 3 4 3 2 3 2" xfId="53201" xr:uid="{00000000-0005-0000-0000-000021300000}"/>
    <cellStyle name="Normal 3 2 4 3 4 3 2 4" xfId="35229" xr:uid="{00000000-0005-0000-0000-000022300000}"/>
    <cellStyle name="Normal 3 2 4 3 4 3 3" xfId="3352" xr:uid="{00000000-0005-0000-0000-000023300000}"/>
    <cellStyle name="Normal 3 2 4 3 4 3 3 2" xfId="25269" xr:uid="{00000000-0005-0000-0000-000024300000}"/>
    <cellStyle name="Normal 3 2 4 3 4 3 3 2 2" xfId="57140" xr:uid="{00000000-0005-0000-0000-000025300000}"/>
    <cellStyle name="Normal 3 2 4 3 4 3 3 3" xfId="35231" xr:uid="{00000000-0005-0000-0000-000026300000}"/>
    <cellStyle name="Normal 3 2 4 3 4 3 4" xfId="17391" xr:uid="{00000000-0005-0000-0000-000027300000}"/>
    <cellStyle name="Normal 3 2 4 3 4 3 4 2" xfId="49262" xr:uid="{00000000-0005-0000-0000-000028300000}"/>
    <cellStyle name="Normal 3 2 4 3 4 3 5" xfId="35228" xr:uid="{00000000-0005-0000-0000-000029300000}"/>
    <cellStyle name="Normal 3 2 4 3 4 4" xfId="3353" xr:uid="{00000000-0005-0000-0000-00002A300000}"/>
    <cellStyle name="Normal 3 2 4 3 4 4 2" xfId="3354" xr:uid="{00000000-0005-0000-0000-00002B300000}"/>
    <cellStyle name="Normal 3 2 4 3 4 4 2 2" xfId="29205" xr:uid="{00000000-0005-0000-0000-00002C300000}"/>
    <cellStyle name="Normal 3 2 4 3 4 4 2 2 2" xfId="61076" xr:uid="{00000000-0005-0000-0000-00002D300000}"/>
    <cellStyle name="Normal 3 2 4 3 4 4 2 3" xfId="35233" xr:uid="{00000000-0005-0000-0000-00002E300000}"/>
    <cellStyle name="Normal 3 2 4 3 4 4 3" xfId="21327" xr:uid="{00000000-0005-0000-0000-00002F300000}"/>
    <cellStyle name="Normal 3 2 4 3 4 4 3 2" xfId="53198" xr:uid="{00000000-0005-0000-0000-000030300000}"/>
    <cellStyle name="Normal 3 2 4 3 4 4 4" xfId="35232" xr:uid="{00000000-0005-0000-0000-000031300000}"/>
    <cellStyle name="Normal 3 2 4 3 4 5" xfId="3355" xr:uid="{00000000-0005-0000-0000-000032300000}"/>
    <cellStyle name="Normal 3 2 4 3 4 5 2" xfId="25266" xr:uid="{00000000-0005-0000-0000-000033300000}"/>
    <cellStyle name="Normal 3 2 4 3 4 5 2 2" xfId="57137" xr:uid="{00000000-0005-0000-0000-000034300000}"/>
    <cellStyle name="Normal 3 2 4 3 4 5 3" xfId="35234" xr:uid="{00000000-0005-0000-0000-000035300000}"/>
    <cellStyle name="Normal 3 2 4 3 4 6" xfId="17388" xr:uid="{00000000-0005-0000-0000-000036300000}"/>
    <cellStyle name="Normal 3 2 4 3 4 6 2" xfId="49259" xr:uid="{00000000-0005-0000-0000-000037300000}"/>
    <cellStyle name="Normal 3 2 4 3 4 7" xfId="35219" xr:uid="{00000000-0005-0000-0000-000038300000}"/>
    <cellStyle name="Normal 3 2 4 3 5" xfId="3356" xr:uid="{00000000-0005-0000-0000-000039300000}"/>
    <cellStyle name="Normal 3 2 4 3 5 2" xfId="3357" xr:uid="{00000000-0005-0000-0000-00003A300000}"/>
    <cellStyle name="Normal 3 2 4 3 5 2 2" xfId="3358" xr:uid="{00000000-0005-0000-0000-00003B300000}"/>
    <cellStyle name="Normal 3 2 4 3 5 2 2 2" xfId="3359" xr:uid="{00000000-0005-0000-0000-00003C300000}"/>
    <cellStyle name="Normal 3 2 4 3 5 2 2 2 2" xfId="29210" xr:uid="{00000000-0005-0000-0000-00003D300000}"/>
    <cellStyle name="Normal 3 2 4 3 5 2 2 2 2 2" xfId="61081" xr:uid="{00000000-0005-0000-0000-00003E300000}"/>
    <cellStyle name="Normal 3 2 4 3 5 2 2 2 3" xfId="35238" xr:uid="{00000000-0005-0000-0000-00003F300000}"/>
    <cellStyle name="Normal 3 2 4 3 5 2 2 3" xfId="21332" xr:uid="{00000000-0005-0000-0000-000040300000}"/>
    <cellStyle name="Normal 3 2 4 3 5 2 2 3 2" xfId="53203" xr:uid="{00000000-0005-0000-0000-000041300000}"/>
    <cellStyle name="Normal 3 2 4 3 5 2 2 4" xfId="35237" xr:uid="{00000000-0005-0000-0000-000042300000}"/>
    <cellStyle name="Normal 3 2 4 3 5 2 3" xfId="3360" xr:uid="{00000000-0005-0000-0000-000043300000}"/>
    <cellStyle name="Normal 3 2 4 3 5 2 3 2" xfId="25271" xr:uid="{00000000-0005-0000-0000-000044300000}"/>
    <cellStyle name="Normal 3 2 4 3 5 2 3 2 2" xfId="57142" xr:uid="{00000000-0005-0000-0000-000045300000}"/>
    <cellStyle name="Normal 3 2 4 3 5 2 3 3" xfId="35239" xr:uid="{00000000-0005-0000-0000-000046300000}"/>
    <cellStyle name="Normal 3 2 4 3 5 2 4" xfId="17393" xr:uid="{00000000-0005-0000-0000-000047300000}"/>
    <cellStyle name="Normal 3 2 4 3 5 2 4 2" xfId="49264" xr:uid="{00000000-0005-0000-0000-000048300000}"/>
    <cellStyle name="Normal 3 2 4 3 5 2 5" xfId="35236" xr:uid="{00000000-0005-0000-0000-000049300000}"/>
    <cellStyle name="Normal 3 2 4 3 5 3" xfId="3361" xr:uid="{00000000-0005-0000-0000-00004A300000}"/>
    <cellStyle name="Normal 3 2 4 3 5 3 2" xfId="3362" xr:uid="{00000000-0005-0000-0000-00004B300000}"/>
    <cellStyle name="Normal 3 2 4 3 5 3 2 2" xfId="29209" xr:uid="{00000000-0005-0000-0000-00004C300000}"/>
    <cellStyle name="Normal 3 2 4 3 5 3 2 2 2" xfId="61080" xr:uid="{00000000-0005-0000-0000-00004D300000}"/>
    <cellStyle name="Normal 3 2 4 3 5 3 2 3" xfId="35241" xr:uid="{00000000-0005-0000-0000-00004E300000}"/>
    <cellStyle name="Normal 3 2 4 3 5 3 3" xfId="21331" xr:uid="{00000000-0005-0000-0000-00004F300000}"/>
    <cellStyle name="Normal 3 2 4 3 5 3 3 2" xfId="53202" xr:uid="{00000000-0005-0000-0000-000050300000}"/>
    <cellStyle name="Normal 3 2 4 3 5 3 4" xfId="35240" xr:uid="{00000000-0005-0000-0000-000051300000}"/>
    <cellStyle name="Normal 3 2 4 3 5 4" xfId="3363" xr:uid="{00000000-0005-0000-0000-000052300000}"/>
    <cellStyle name="Normal 3 2 4 3 5 4 2" xfId="25270" xr:uid="{00000000-0005-0000-0000-000053300000}"/>
    <cellStyle name="Normal 3 2 4 3 5 4 2 2" xfId="57141" xr:uid="{00000000-0005-0000-0000-000054300000}"/>
    <cellStyle name="Normal 3 2 4 3 5 4 3" xfId="35242" xr:uid="{00000000-0005-0000-0000-000055300000}"/>
    <cellStyle name="Normal 3 2 4 3 5 5" xfId="17392" xr:uid="{00000000-0005-0000-0000-000056300000}"/>
    <cellStyle name="Normal 3 2 4 3 5 5 2" xfId="49263" xr:uid="{00000000-0005-0000-0000-000057300000}"/>
    <cellStyle name="Normal 3 2 4 3 5 6" xfId="35235" xr:uid="{00000000-0005-0000-0000-000058300000}"/>
    <cellStyle name="Normal 3 2 4 3 6" xfId="3364" xr:uid="{00000000-0005-0000-0000-000059300000}"/>
    <cellStyle name="Normal 3 2 4 3 6 2" xfId="3365" xr:uid="{00000000-0005-0000-0000-00005A300000}"/>
    <cellStyle name="Normal 3 2 4 3 6 2 2" xfId="3366" xr:uid="{00000000-0005-0000-0000-00005B300000}"/>
    <cellStyle name="Normal 3 2 4 3 6 2 2 2" xfId="29211" xr:uid="{00000000-0005-0000-0000-00005C300000}"/>
    <cellStyle name="Normal 3 2 4 3 6 2 2 2 2" xfId="61082" xr:uid="{00000000-0005-0000-0000-00005D300000}"/>
    <cellStyle name="Normal 3 2 4 3 6 2 2 3" xfId="35245" xr:uid="{00000000-0005-0000-0000-00005E300000}"/>
    <cellStyle name="Normal 3 2 4 3 6 2 3" xfId="21333" xr:uid="{00000000-0005-0000-0000-00005F300000}"/>
    <cellStyle name="Normal 3 2 4 3 6 2 3 2" xfId="53204" xr:uid="{00000000-0005-0000-0000-000060300000}"/>
    <cellStyle name="Normal 3 2 4 3 6 2 4" xfId="35244" xr:uid="{00000000-0005-0000-0000-000061300000}"/>
    <cellStyle name="Normal 3 2 4 3 6 3" xfId="3367" xr:uid="{00000000-0005-0000-0000-000062300000}"/>
    <cellStyle name="Normal 3 2 4 3 6 3 2" xfId="25272" xr:uid="{00000000-0005-0000-0000-000063300000}"/>
    <cellStyle name="Normal 3 2 4 3 6 3 2 2" xfId="57143" xr:uid="{00000000-0005-0000-0000-000064300000}"/>
    <cellStyle name="Normal 3 2 4 3 6 3 3" xfId="35246" xr:uid="{00000000-0005-0000-0000-000065300000}"/>
    <cellStyle name="Normal 3 2 4 3 6 4" xfId="17394" xr:uid="{00000000-0005-0000-0000-000066300000}"/>
    <cellStyle name="Normal 3 2 4 3 6 4 2" xfId="49265" xr:uid="{00000000-0005-0000-0000-000067300000}"/>
    <cellStyle name="Normal 3 2 4 3 6 5" xfId="35243" xr:uid="{00000000-0005-0000-0000-000068300000}"/>
    <cellStyle name="Normal 3 2 4 3 7" xfId="3368" xr:uid="{00000000-0005-0000-0000-000069300000}"/>
    <cellStyle name="Normal 3 2 4 3 7 2" xfId="3369" xr:uid="{00000000-0005-0000-0000-00006A300000}"/>
    <cellStyle name="Normal 3 2 4 3 7 2 2" xfId="28374" xr:uid="{00000000-0005-0000-0000-00006B300000}"/>
    <cellStyle name="Normal 3 2 4 3 7 2 2 2" xfId="60245" xr:uid="{00000000-0005-0000-0000-00006C300000}"/>
    <cellStyle name="Normal 3 2 4 3 7 2 3" xfId="35248" xr:uid="{00000000-0005-0000-0000-00006D300000}"/>
    <cellStyle name="Normal 3 2 4 3 7 3" xfId="20496" xr:uid="{00000000-0005-0000-0000-00006E300000}"/>
    <cellStyle name="Normal 3 2 4 3 7 3 2" xfId="52367" xr:uid="{00000000-0005-0000-0000-00006F300000}"/>
    <cellStyle name="Normal 3 2 4 3 7 4" xfId="35247" xr:uid="{00000000-0005-0000-0000-000070300000}"/>
    <cellStyle name="Normal 3 2 4 3 8" xfId="3370" xr:uid="{00000000-0005-0000-0000-000071300000}"/>
    <cellStyle name="Normal 3 2 4 3 8 2" xfId="24435" xr:uid="{00000000-0005-0000-0000-000072300000}"/>
    <cellStyle name="Normal 3 2 4 3 8 2 2" xfId="56306" xr:uid="{00000000-0005-0000-0000-000073300000}"/>
    <cellStyle name="Normal 3 2 4 3 8 3" xfId="35249" xr:uid="{00000000-0005-0000-0000-000074300000}"/>
    <cellStyle name="Normal 3 2 4 3 9" xfId="16557" xr:uid="{00000000-0005-0000-0000-000075300000}"/>
    <cellStyle name="Normal 3 2 4 3 9 2" xfId="48428" xr:uid="{00000000-0005-0000-0000-000076300000}"/>
    <cellStyle name="Normal 3 2 4 4" xfId="3371" xr:uid="{00000000-0005-0000-0000-000077300000}"/>
    <cellStyle name="Normal 3 2 4 4 2" xfId="3372" xr:uid="{00000000-0005-0000-0000-000078300000}"/>
    <cellStyle name="Normal 3 2 4 4 2 2" xfId="3373" xr:uid="{00000000-0005-0000-0000-000079300000}"/>
    <cellStyle name="Normal 3 2 4 4 2 2 2" xfId="3374" xr:uid="{00000000-0005-0000-0000-00007A300000}"/>
    <cellStyle name="Normal 3 2 4 4 2 2 2 2" xfId="3375" xr:uid="{00000000-0005-0000-0000-00007B300000}"/>
    <cellStyle name="Normal 3 2 4 4 2 2 2 2 2" xfId="3376" xr:uid="{00000000-0005-0000-0000-00007C300000}"/>
    <cellStyle name="Normal 3 2 4 4 2 2 2 2 2 2" xfId="3377" xr:uid="{00000000-0005-0000-0000-00007D300000}"/>
    <cellStyle name="Normal 3 2 4 4 2 2 2 2 2 2 2" xfId="29215" xr:uid="{00000000-0005-0000-0000-00007E300000}"/>
    <cellStyle name="Normal 3 2 4 4 2 2 2 2 2 2 2 2" xfId="61086" xr:uid="{00000000-0005-0000-0000-00007F300000}"/>
    <cellStyle name="Normal 3 2 4 4 2 2 2 2 2 2 3" xfId="35256" xr:uid="{00000000-0005-0000-0000-000080300000}"/>
    <cellStyle name="Normal 3 2 4 4 2 2 2 2 2 3" xfId="21337" xr:uid="{00000000-0005-0000-0000-000081300000}"/>
    <cellStyle name="Normal 3 2 4 4 2 2 2 2 2 3 2" xfId="53208" xr:uid="{00000000-0005-0000-0000-000082300000}"/>
    <cellStyle name="Normal 3 2 4 4 2 2 2 2 2 4" xfId="35255" xr:uid="{00000000-0005-0000-0000-000083300000}"/>
    <cellStyle name="Normal 3 2 4 4 2 2 2 2 3" xfId="3378" xr:uid="{00000000-0005-0000-0000-000084300000}"/>
    <cellStyle name="Normal 3 2 4 4 2 2 2 2 3 2" xfId="25276" xr:uid="{00000000-0005-0000-0000-000085300000}"/>
    <cellStyle name="Normal 3 2 4 4 2 2 2 2 3 2 2" xfId="57147" xr:uid="{00000000-0005-0000-0000-000086300000}"/>
    <cellStyle name="Normal 3 2 4 4 2 2 2 2 3 3" xfId="35257" xr:uid="{00000000-0005-0000-0000-000087300000}"/>
    <cellStyle name="Normal 3 2 4 4 2 2 2 2 4" xfId="17398" xr:uid="{00000000-0005-0000-0000-000088300000}"/>
    <cellStyle name="Normal 3 2 4 4 2 2 2 2 4 2" xfId="49269" xr:uid="{00000000-0005-0000-0000-000089300000}"/>
    <cellStyle name="Normal 3 2 4 4 2 2 2 2 5" xfId="35254" xr:uid="{00000000-0005-0000-0000-00008A300000}"/>
    <cellStyle name="Normal 3 2 4 4 2 2 2 3" xfId="3379" xr:uid="{00000000-0005-0000-0000-00008B300000}"/>
    <cellStyle name="Normal 3 2 4 4 2 2 2 3 2" xfId="3380" xr:uid="{00000000-0005-0000-0000-00008C300000}"/>
    <cellStyle name="Normal 3 2 4 4 2 2 2 3 2 2" xfId="29214" xr:uid="{00000000-0005-0000-0000-00008D300000}"/>
    <cellStyle name="Normal 3 2 4 4 2 2 2 3 2 2 2" xfId="61085" xr:uid="{00000000-0005-0000-0000-00008E300000}"/>
    <cellStyle name="Normal 3 2 4 4 2 2 2 3 2 3" xfId="35259" xr:uid="{00000000-0005-0000-0000-00008F300000}"/>
    <cellStyle name="Normal 3 2 4 4 2 2 2 3 3" xfId="21336" xr:uid="{00000000-0005-0000-0000-000090300000}"/>
    <cellStyle name="Normal 3 2 4 4 2 2 2 3 3 2" xfId="53207" xr:uid="{00000000-0005-0000-0000-000091300000}"/>
    <cellStyle name="Normal 3 2 4 4 2 2 2 3 4" xfId="35258" xr:uid="{00000000-0005-0000-0000-000092300000}"/>
    <cellStyle name="Normal 3 2 4 4 2 2 2 4" xfId="3381" xr:uid="{00000000-0005-0000-0000-000093300000}"/>
    <cellStyle name="Normal 3 2 4 4 2 2 2 4 2" xfId="25275" xr:uid="{00000000-0005-0000-0000-000094300000}"/>
    <cellStyle name="Normal 3 2 4 4 2 2 2 4 2 2" xfId="57146" xr:uid="{00000000-0005-0000-0000-000095300000}"/>
    <cellStyle name="Normal 3 2 4 4 2 2 2 4 3" xfId="35260" xr:uid="{00000000-0005-0000-0000-000096300000}"/>
    <cellStyle name="Normal 3 2 4 4 2 2 2 5" xfId="17397" xr:uid="{00000000-0005-0000-0000-000097300000}"/>
    <cellStyle name="Normal 3 2 4 4 2 2 2 5 2" xfId="49268" xr:uid="{00000000-0005-0000-0000-000098300000}"/>
    <cellStyle name="Normal 3 2 4 4 2 2 2 6" xfId="35253" xr:uid="{00000000-0005-0000-0000-000099300000}"/>
    <cellStyle name="Normal 3 2 4 4 2 2 3" xfId="3382" xr:uid="{00000000-0005-0000-0000-00009A300000}"/>
    <cellStyle name="Normal 3 2 4 4 2 2 3 2" xfId="3383" xr:uid="{00000000-0005-0000-0000-00009B300000}"/>
    <cellStyle name="Normal 3 2 4 4 2 2 3 2 2" xfId="3384" xr:uid="{00000000-0005-0000-0000-00009C300000}"/>
    <cellStyle name="Normal 3 2 4 4 2 2 3 2 2 2" xfId="29216" xr:uid="{00000000-0005-0000-0000-00009D300000}"/>
    <cellStyle name="Normal 3 2 4 4 2 2 3 2 2 2 2" xfId="61087" xr:uid="{00000000-0005-0000-0000-00009E300000}"/>
    <cellStyle name="Normal 3 2 4 4 2 2 3 2 2 3" xfId="35263" xr:uid="{00000000-0005-0000-0000-00009F300000}"/>
    <cellStyle name="Normal 3 2 4 4 2 2 3 2 3" xfId="21338" xr:uid="{00000000-0005-0000-0000-0000A0300000}"/>
    <cellStyle name="Normal 3 2 4 4 2 2 3 2 3 2" xfId="53209" xr:uid="{00000000-0005-0000-0000-0000A1300000}"/>
    <cellStyle name="Normal 3 2 4 4 2 2 3 2 4" xfId="35262" xr:uid="{00000000-0005-0000-0000-0000A2300000}"/>
    <cellStyle name="Normal 3 2 4 4 2 2 3 3" xfId="3385" xr:uid="{00000000-0005-0000-0000-0000A3300000}"/>
    <cellStyle name="Normal 3 2 4 4 2 2 3 3 2" xfId="25277" xr:uid="{00000000-0005-0000-0000-0000A4300000}"/>
    <cellStyle name="Normal 3 2 4 4 2 2 3 3 2 2" xfId="57148" xr:uid="{00000000-0005-0000-0000-0000A5300000}"/>
    <cellStyle name="Normal 3 2 4 4 2 2 3 3 3" xfId="35264" xr:uid="{00000000-0005-0000-0000-0000A6300000}"/>
    <cellStyle name="Normal 3 2 4 4 2 2 3 4" xfId="17399" xr:uid="{00000000-0005-0000-0000-0000A7300000}"/>
    <cellStyle name="Normal 3 2 4 4 2 2 3 4 2" xfId="49270" xr:uid="{00000000-0005-0000-0000-0000A8300000}"/>
    <cellStyle name="Normal 3 2 4 4 2 2 3 5" xfId="35261" xr:uid="{00000000-0005-0000-0000-0000A9300000}"/>
    <cellStyle name="Normal 3 2 4 4 2 2 4" xfId="3386" xr:uid="{00000000-0005-0000-0000-0000AA300000}"/>
    <cellStyle name="Normal 3 2 4 4 2 2 4 2" xfId="3387" xr:uid="{00000000-0005-0000-0000-0000AB300000}"/>
    <cellStyle name="Normal 3 2 4 4 2 2 4 2 2" xfId="29213" xr:uid="{00000000-0005-0000-0000-0000AC300000}"/>
    <cellStyle name="Normal 3 2 4 4 2 2 4 2 2 2" xfId="61084" xr:uid="{00000000-0005-0000-0000-0000AD300000}"/>
    <cellStyle name="Normal 3 2 4 4 2 2 4 2 3" xfId="35266" xr:uid="{00000000-0005-0000-0000-0000AE300000}"/>
    <cellStyle name="Normal 3 2 4 4 2 2 4 3" xfId="21335" xr:uid="{00000000-0005-0000-0000-0000AF300000}"/>
    <cellStyle name="Normal 3 2 4 4 2 2 4 3 2" xfId="53206" xr:uid="{00000000-0005-0000-0000-0000B0300000}"/>
    <cellStyle name="Normal 3 2 4 4 2 2 4 4" xfId="35265" xr:uid="{00000000-0005-0000-0000-0000B1300000}"/>
    <cellStyle name="Normal 3 2 4 4 2 2 5" xfId="3388" xr:uid="{00000000-0005-0000-0000-0000B2300000}"/>
    <cellStyle name="Normal 3 2 4 4 2 2 5 2" xfId="25274" xr:uid="{00000000-0005-0000-0000-0000B3300000}"/>
    <cellStyle name="Normal 3 2 4 4 2 2 5 2 2" xfId="57145" xr:uid="{00000000-0005-0000-0000-0000B4300000}"/>
    <cellStyle name="Normal 3 2 4 4 2 2 5 3" xfId="35267" xr:uid="{00000000-0005-0000-0000-0000B5300000}"/>
    <cellStyle name="Normal 3 2 4 4 2 2 6" xfId="17396" xr:uid="{00000000-0005-0000-0000-0000B6300000}"/>
    <cellStyle name="Normal 3 2 4 4 2 2 6 2" xfId="49267" xr:uid="{00000000-0005-0000-0000-0000B7300000}"/>
    <cellStyle name="Normal 3 2 4 4 2 2 7" xfId="35252" xr:uid="{00000000-0005-0000-0000-0000B8300000}"/>
    <cellStyle name="Normal 3 2 4 4 2 3" xfId="3389" xr:uid="{00000000-0005-0000-0000-0000B9300000}"/>
    <cellStyle name="Normal 3 2 4 4 2 3 2" xfId="3390" xr:uid="{00000000-0005-0000-0000-0000BA300000}"/>
    <cellStyle name="Normal 3 2 4 4 2 3 2 2" xfId="3391" xr:uid="{00000000-0005-0000-0000-0000BB300000}"/>
    <cellStyle name="Normal 3 2 4 4 2 3 2 2 2" xfId="3392" xr:uid="{00000000-0005-0000-0000-0000BC300000}"/>
    <cellStyle name="Normal 3 2 4 4 2 3 2 2 2 2" xfId="29218" xr:uid="{00000000-0005-0000-0000-0000BD300000}"/>
    <cellStyle name="Normal 3 2 4 4 2 3 2 2 2 2 2" xfId="61089" xr:uid="{00000000-0005-0000-0000-0000BE300000}"/>
    <cellStyle name="Normal 3 2 4 4 2 3 2 2 2 3" xfId="35271" xr:uid="{00000000-0005-0000-0000-0000BF300000}"/>
    <cellStyle name="Normal 3 2 4 4 2 3 2 2 3" xfId="21340" xr:uid="{00000000-0005-0000-0000-0000C0300000}"/>
    <cellStyle name="Normal 3 2 4 4 2 3 2 2 3 2" xfId="53211" xr:uid="{00000000-0005-0000-0000-0000C1300000}"/>
    <cellStyle name="Normal 3 2 4 4 2 3 2 2 4" xfId="35270" xr:uid="{00000000-0005-0000-0000-0000C2300000}"/>
    <cellStyle name="Normal 3 2 4 4 2 3 2 3" xfId="3393" xr:uid="{00000000-0005-0000-0000-0000C3300000}"/>
    <cellStyle name="Normal 3 2 4 4 2 3 2 3 2" xfId="25279" xr:uid="{00000000-0005-0000-0000-0000C4300000}"/>
    <cellStyle name="Normal 3 2 4 4 2 3 2 3 2 2" xfId="57150" xr:uid="{00000000-0005-0000-0000-0000C5300000}"/>
    <cellStyle name="Normal 3 2 4 4 2 3 2 3 3" xfId="35272" xr:uid="{00000000-0005-0000-0000-0000C6300000}"/>
    <cellStyle name="Normal 3 2 4 4 2 3 2 4" xfId="17401" xr:uid="{00000000-0005-0000-0000-0000C7300000}"/>
    <cellStyle name="Normal 3 2 4 4 2 3 2 4 2" xfId="49272" xr:uid="{00000000-0005-0000-0000-0000C8300000}"/>
    <cellStyle name="Normal 3 2 4 4 2 3 2 5" xfId="35269" xr:uid="{00000000-0005-0000-0000-0000C9300000}"/>
    <cellStyle name="Normal 3 2 4 4 2 3 3" xfId="3394" xr:uid="{00000000-0005-0000-0000-0000CA300000}"/>
    <cellStyle name="Normal 3 2 4 4 2 3 3 2" xfId="3395" xr:uid="{00000000-0005-0000-0000-0000CB300000}"/>
    <cellStyle name="Normal 3 2 4 4 2 3 3 2 2" xfId="29217" xr:uid="{00000000-0005-0000-0000-0000CC300000}"/>
    <cellStyle name="Normal 3 2 4 4 2 3 3 2 2 2" xfId="61088" xr:uid="{00000000-0005-0000-0000-0000CD300000}"/>
    <cellStyle name="Normal 3 2 4 4 2 3 3 2 3" xfId="35274" xr:uid="{00000000-0005-0000-0000-0000CE300000}"/>
    <cellStyle name="Normal 3 2 4 4 2 3 3 3" xfId="21339" xr:uid="{00000000-0005-0000-0000-0000CF300000}"/>
    <cellStyle name="Normal 3 2 4 4 2 3 3 3 2" xfId="53210" xr:uid="{00000000-0005-0000-0000-0000D0300000}"/>
    <cellStyle name="Normal 3 2 4 4 2 3 3 4" xfId="35273" xr:uid="{00000000-0005-0000-0000-0000D1300000}"/>
    <cellStyle name="Normal 3 2 4 4 2 3 4" xfId="3396" xr:uid="{00000000-0005-0000-0000-0000D2300000}"/>
    <cellStyle name="Normal 3 2 4 4 2 3 4 2" xfId="25278" xr:uid="{00000000-0005-0000-0000-0000D3300000}"/>
    <cellStyle name="Normal 3 2 4 4 2 3 4 2 2" xfId="57149" xr:uid="{00000000-0005-0000-0000-0000D4300000}"/>
    <cellStyle name="Normal 3 2 4 4 2 3 4 3" xfId="35275" xr:uid="{00000000-0005-0000-0000-0000D5300000}"/>
    <cellStyle name="Normal 3 2 4 4 2 3 5" xfId="17400" xr:uid="{00000000-0005-0000-0000-0000D6300000}"/>
    <cellStyle name="Normal 3 2 4 4 2 3 5 2" xfId="49271" xr:uid="{00000000-0005-0000-0000-0000D7300000}"/>
    <cellStyle name="Normal 3 2 4 4 2 3 6" xfId="35268" xr:uid="{00000000-0005-0000-0000-0000D8300000}"/>
    <cellStyle name="Normal 3 2 4 4 2 4" xfId="3397" xr:uid="{00000000-0005-0000-0000-0000D9300000}"/>
    <cellStyle name="Normal 3 2 4 4 2 4 2" xfId="3398" xr:uid="{00000000-0005-0000-0000-0000DA300000}"/>
    <cellStyle name="Normal 3 2 4 4 2 4 2 2" xfId="3399" xr:uid="{00000000-0005-0000-0000-0000DB300000}"/>
    <cellStyle name="Normal 3 2 4 4 2 4 2 2 2" xfId="29219" xr:uid="{00000000-0005-0000-0000-0000DC300000}"/>
    <cellStyle name="Normal 3 2 4 4 2 4 2 2 2 2" xfId="61090" xr:uid="{00000000-0005-0000-0000-0000DD300000}"/>
    <cellStyle name="Normal 3 2 4 4 2 4 2 2 3" xfId="35278" xr:uid="{00000000-0005-0000-0000-0000DE300000}"/>
    <cellStyle name="Normal 3 2 4 4 2 4 2 3" xfId="21341" xr:uid="{00000000-0005-0000-0000-0000DF300000}"/>
    <cellStyle name="Normal 3 2 4 4 2 4 2 3 2" xfId="53212" xr:uid="{00000000-0005-0000-0000-0000E0300000}"/>
    <cellStyle name="Normal 3 2 4 4 2 4 2 4" xfId="35277" xr:uid="{00000000-0005-0000-0000-0000E1300000}"/>
    <cellStyle name="Normal 3 2 4 4 2 4 3" xfId="3400" xr:uid="{00000000-0005-0000-0000-0000E2300000}"/>
    <cellStyle name="Normal 3 2 4 4 2 4 3 2" xfId="25280" xr:uid="{00000000-0005-0000-0000-0000E3300000}"/>
    <cellStyle name="Normal 3 2 4 4 2 4 3 2 2" xfId="57151" xr:uid="{00000000-0005-0000-0000-0000E4300000}"/>
    <cellStyle name="Normal 3 2 4 4 2 4 3 3" xfId="35279" xr:uid="{00000000-0005-0000-0000-0000E5300000}"/>
    <cellStyle name="Normal 3 2 4 4 2 4 4" xfId="17402" xr:uid="{00000000-0005-0000-0000-0000E6300000}"/>
    <cellStyle name="Normal 3 2 4 4 2 4 4 2" xfId="49273" xr:uid="{00000000-0005-0000-0000-0000E7300000}"/>
    <cellStyle name="Normal 3 2 4 4 2 4 5" xfId="35276" xr:uid="{00000000-0005-0000-0000-0000E8300000}"/>
    <cellStyle name="Normal 3 2 4 4 2 5" xfId="3401" xr:uid="{00000000-0005-0000-0000-0000E9300000}"/>
    <cellStyle name="Normal 3 2 4 4 2 5 2" xfId="3402" xr:uid="{00000000-0005-0000-0000-0000EA300000}"/>
    <cellStyle name="Normal 3 2 4 4 2 5 2 2" xfId="29212" xr:uid="{00000000-0005-0000-0000-0000EB300000}"/>
    <cellStyle name="Normal 3 2 4 4 2 5 2 2 2" xfId="61083" xr:uid="{00000000-0005-0000-0000-0000EC300000}"/>
    <cellStyle name="Normal 3 2 4 4 2 5 2 3" xfId="35281" xr:uid="{00000000-0005-0000-0000-0000ED300000}"/>
    <cellStyle name="Normal 3 2 4 4 2 5 3" xfId="21334" xr:uid="{00000000-0005-0000-0000-0000EE300000}"/>
    <cellStyle name="Normal 3 2 4 4 2 5 3 2" xfId="53205" xr:uid="{00000000-0005-0000-0000-0000EF300000}"/>
    <cellStyle name="Normal 3 2 4 4 2 5 4" xfId="35280" xr:uid="{00000000-0005-0000-0000-0000F0300000}"/>
    <cellStyle name="Normal 3 2 4 4 2 6" xfId="3403" xr:uid="{00000000-0005-0000-0000-0000F1300000}"/>
    <cellStyle name="Normal 3 2 4 4 2 6 2" xfId="25273" xr:uid="{00000000-0005-0000-0000-0000F2300000}"/>
    <cellStyle name="Normal 3 2 4 4 2 6 2 2" xfId="57144" xr:uid="{00000000-0005-0000-0000-0000F3300000}"/>
    <cellStyle name="Normal 3 2 4 4 2 6 3" xfId="35282" xr:uid="{00000000-0005-0000-0000-0000F4300000}"/>
    <cellStyle name="Normal 3 2 4 4 2 7" xfId="17395" xr:uid="{00000000-0005-0000-0000-0000F5300000}"/>
    <cellStyle name="Normal 3 2 4 4 2 7 2" xfId="49266" xr:uid="{00000000-0005-0000-0000-0000F6300000}"/>
    <cellStyle name="Normal 3 2 4 4 2 8" xfId="35251" xr:uid="{00000000-0005-0000-0000-0000F7300000}"/>
    <cellStyle name="Normal 3 2 4 4 3" xfId="3404" xr:uid="{00000000-0005-0000-0000-0000F8300000}"/>
    <cellStyle name="Normal 3 2 4 4 3 2" xfId="3405" xr:uid="{00000000-0005-0000-0000-0000F9300000}"/>
    <cellStyle name="Normal 3 2 4 4 3 2 2" xfId="3406" xr:uid="{00000000-0005-0000-0000-0000FA300000}"/>
    <cellStyle name="Normal 3 2 4 4 3 2 2 2" xfId="3407" xr:uid="{00000000-0005-0000-0000-0000FB300000}"/>
    <cellStyle name="Normal 3 2 4 4 3 2 2 2 2" xfId="3408" xr:uid="{00000000-0005-0000-0000-0000FC300000}"/>
    <cellStyle name="Normal 3 2 4 4 3 2 2 2 2 2" xfId="29222" xr:uid="{00000000-0005-0000-0000-0000FD300000}"/>
    <cellStyle name="Normal 3 2 4 4 3 2 2 2 2 2 2" xfId="61093" xr:uid="{00000000-0005-0000-0000-0000FE300000}"/>
    <cellStyle name="Normal 3 2 4 4 3 2 2 2 2 3" xfId="35287" xr:uid="{00000000-0005-0000-0000-0000FF300000}"/>
    <cellStyle name="Normal 3 2 4 4 3 2 2 2 3" xfId="21344" xr:uid="{00000000-0005-0000-0000-000000310000}"/>
    <cellStyle name="Normal 3 2 4 4 3 2 2 2 3 2" xfId="53215" xr:uid="{00000000-0005-0000-0000-000001310000}"/>
    <cellStyle name="Normal 3 2 4 4 3 2 2 2 4" xfId="35286" xr:uid="{00000000-0005-0000-0000-000002310000}"/>
    <cellStyle name="Normal 3 2 4 4 3 2 2 3" xfId="3409" xr:uid="{00000000-0005-0000-0000-000003310000}"/>
    <cellStyle name="Normal 3 2 4 4 3 2 2 3 2" xfId="25283" xr:uid="{00000000-0005-0000-0000-000004310000}"/>
    <cellStyle name="Normal 3 2 4 4 3 2 2 3 2 2" xfId="57154" xr:uid="{00000000-0005-0000-0000-000005310000}"/>
    <cellStyle name="Normal 3 2 4 4 3 2 2 3 3" xfId="35288" xr:uid="{00000000-0005-0000-0000-000006310000}"/>
    <cellStyle name="Normal 3 2 4 4 3 2 2 4" xfId="17405" xr:uid="{00000000-0005-0000-0000-000007310000}"/>
    <cellStyle name="Normal 3 2 4 4 3 2 2 4 2" xfId="49276" xr:uid="{00000000-0005-0000-0000-000008310000}"/>
    <cellStyle name="Normal 3 2 4 4 3 2 2 5" xfId="35285" xr:uid="{00000000-0005-0000-0000-000009310000}"/>
    <cellStyle name="Normal 3 2 4 4 3 2 3" xfId="3410" xr:uid="{00000000-0005-0000-0000-00000A310000}"/>
    <cellStyle name="Normal 3 2 4 4 3 2 3 2" xfId="3411" xr:uid="{00000000-0005-0000-0000-00000B310000}"/>
    <cellStyle name="Normal 3 2 4 4 3 2 3 2 2" xfId="29221" xr:uid="{00000000-0005-0000-0000-00000C310000}"/>
    <cellStyle name="Normal 3 2 4 4 3 2 3 2 2 2" xfId="61092" xr:uid="{00000000-0005-0000-0000-00000D310000}"/>
    <cellStyle name="Normal 3 2 4 4 3 2 3 2 3" xfId="35290" xr:uid="{00000000-0005-0000-0000-00000E310000}"/>
    <cellStyle name="Normal 3 2 4 4 3 2 3 3" xfId="21343" xr:uid="{00000000-0005-0000-0000-00000F310000}"/>
    <cellStyle name="Normal 3 2 4 4 3 2 3 3 2" xfId="53214" xr:uid="{00000000-0005-0000-0000-000010310000}"/>
    <cellStyle name="Normal 3 2 4 4 3 2 3 4" xfId="35289" xr:uid="{00000000-0005-0000-0000-000011310000}"/>
    <cellStyle name="Normal 3 2 4 4 3 2 4" xfId="3412" xr:uid="{00000000-0005-0000-0000-000012310000}"/>
    <cellStyle name="Normal 3 2 4 4 3 2 4 2" xfId="25282" xr:uid="{00000000-0005-0000-0000-000013310000}"/>
    <cellStyle name="Normal 3 2 4 4 3 2 4 2 2" xfId="57153" xr:uid="{00000000-0005-0000-0000-000014310000}"/>
    <cellStyle name="Normal 3 2 4 4 3 2 4 3" xfId="35291" xr:uid="{00000000-0005-0000-0000-000015310000}"/>
    <cellStyle name="Normal 3 2 4 4 3 2 5" xfId="17404" xr:uid="{00000000-0005-0000-0000-000016310000}"/>
    <cellStyle name="Normal 3 2 4 4 3 2 5 2" xfId="49275" xr:uid="{00000000-0005-0000-0000-000017310000}"/>
    <cellStyle name="Normal 3 2 4 4 3 2 6" xfId="35284" xr:uid="{00000000-0005-0000-0000-000018310000}"/>
    <cellStyle name="Normal 3 2 4 4 3 3" xfId="3413" xr:uid="{00000000-0005-0000-0000-000019310000}"/>
    <cellStyle name="Normal 3 2 4 4 3 3 2" xfId="3414" xr:uid="{00000000-0005-0000-0000-00001A310000}"/>
    <cellStyle name="Normal 3 2 4 4 3 3 2 2" xfId="3415" xr:uid="{00000000-0005-0000-0000-00001B310000}"/>
    <cellStyle name="Normal 3 2 4 4 3 3 2 2 2" xfId="29223" xr:uid="{00000000-0005-0000-0000-00001C310000}"/>
    <cellStyle name="Normal 3 2 4 4 3 3 2 2 2 2" xfId="61094" xr:uid="{00000000-0005-0000-0000-00001D310000}"/>
    <cellStyle name="Normal 3 2 4 4 3 3 2 2 3" xfId="35294" xr:uid="{00000000-0005-0000-0000-00001E310000}"/>
    <cellStyle name="Normal 3 2 4 4 3 3 2 3" xfId="21345" xr:uid="{00000000-0005-0000-0000-00001F310000}"/>
    <cellStyle name="Normal 3 2 4 4 3 3 2 3 2" xfId="53216" xr:uid="{00000000-0005-0000-0000-000020310000}"/>
    <cellStyle name="Normal 3 2 4 4 3 3 2 4" xfId="35293" xr:uid="{00000000-0005-0000-0000-000021310000}"/>
    <cellStyle name="Normal 3 2 4 4 3 3 3" xfId="3416" xr:uid="{00000000-0005-0000-0000-000022310000}"/>
    <cellStyle name="Normal 3 2 4 4 3 3 3 2" xfId="25284" xr:uid="{00000000-0005-0000-0000-000023310000}"/>
    <cellStyle name="Normal 3 2 4 4 3 3 3 2 2" xfId="57155" xr:uid="{00000000-0005-0000-0000-000024310000}"/>
    <cellStyle name="Normal 3 2 4 4 3 3 3 3" xfId="35295" xr:uid="{00000000-0005-0000-0000-000025310000}"/>
    <cellStyle name="Normal 3 2 4 4 3 3 4" xfId="17406" xr:uid="{00000000-0005-0000-0000-000026310000}"/>
    <cellStyle name="Normal 3 2 4 4 3 3 4 2" xfId="49277" xr:uid="{00000000-0005-0000-0000-000027310000}"/>
    <cellStyle name="Normal 3 2 4 4 3 3 5" xfId="35292" xr:uid="{00000000-0005-0000-0000-000028310000}"/>
    <cellStyle name="Normal 3 2 4 4 3 4" xfId="3417" xr:uid="{00000000-0005-0000-0000-000029310000}"/>
    <cellStyle name="Normal 3 2 4 4 3 4 2" xfId="3418" xr:uid="{00000000-0005-0000-0000-00002A310000}"/>
    <cellStyle name="Normal 3 2 4 4 3 4 2 2" xfId="29220" xr:uid="{00000000-0005-0000-0000-00002B310000}"/>
    <cellStyle name="Normal 3 2 4 4 3 4 2 2 2" xfId="61091" xr:uid="{00000000-0005-0000-0000-00002C310000}"/>
    <cellStyle name="Normal 3 2 4 4 3 4 2 3" xfId="35297" xr:uid="{00000000-0005-0000-0000-00002D310000}"/>
    <cellStyle name="Normal 3 2 4 4 3 4 3" xfId="21342" xr:uid="{00000000-0005-0000-0000-00002E310000}"/>
    <cellStyle name="Normal 3 2 4 4 3 4 3 2" xfId="53213" xr:uid="{00000000-0005-0000-0000-00002F310000}"/>
    <cellStyle name="Normal 3 2 4 4 3 4 4" xfId="35296" xr:uid="{00000000-0005-0000-0000-000030310000}"/>
    <cellStyle name="Normal 3 2 4 4 3 5" xfId="3419" xr:uid="{00000000-0005-0000-0000-000031310000}"/>
    <cellStyle name="Normal 3 2 4 4 3 5 2" xfId="25281" xr:uid="{00000000-0005-0000-0000-000032310000}"/>
    <cellStyle name="Normal 3 2 4 4 3 5 2 2" xfId="57152" xr:uid="{00000000-0005-0000-0000-000033310000}"/>
    <cellStyle name="Normal 3 2 4 4 3 5 3" xfId="35298" xr:uid="{00000000-0005-0000-0000-000034310000}"/>
    <cellStyle name="Normal 3 2 4 4 3 6" xfId="17403" xr:uid="{00000000-0005-0000-0000-000035310000}"/>
    <cellStyle name="Normal 3 2 4 4 3 6 2" xfId="49274" xr:uid="{00000000-0005-0000-0000-000036310000}"/>
    <cellStyle name="Normal 3 2 4 4 3 7" xfId="35283" xr:uid="{00000000-0005-0000-0000-000037310000}"/>
    <cellStyle name="Normal 3 2 4 4 4" xfId="3420" xr:uid="{00000000-0005-0000-0000-000038310000}"/>
    <cellStyle name="Normal 3 2 4 4 4 2" xfId="3421" xr:uid="{00000000-0005-0000-0000-000039310000}"/>
    <cellStyle name="Normal 3 2 4 4 4 2 2" xfId="3422" xr:uid="{00000000-0005-0000-0000-00003A310000}"/>
    <cellStyle name="Normal 3 2 4 4 4 2 2 2" xfId="3423" xr:uid="{00000000-0005-0000-0000-00003B310000}"/>
    <cellStyle name="Normal 3 2 4 4 4 2 2 2 2" xfId="29225" xr:uid="{00000000-0005-0000-0000-00003C310000}"/>
    <cellStyle name="Normal 3 2 4 4 4 2 2 2 2 2" xfId="61096" xr:uid="{00000000-0005-0000-0000-00003D310000}"/>
    <cellStyle name="Normal 3 2 4 4 4 2 2 2 3" xfId="35302" xr:uid="{00000000-0005-0000-0000-00003E310000}"/>
    <cellStyle name="Normal 3 2 4 4 4 2 2 3" xfId="21347" xr:uid="{00000000-0005-0000-0000-00003F310000}"/>
    <cellStyle name="Normal 3 2 4 4 4 2 2 3 2" xfId="53218" xr:uid="{00000000-0005-0000-0000-000040310000}"/>
    <cellStyle name="Normal 3 2 4 4 4 2 2 4" xfId="35301" xr:uid="{00000000-0005-0000-0000-000041310000}"/>
    <cellStyle name="Normal 3 2 4 4 4 2 3" xfId="3424" xr:uid="{00000000-0005-0000-0000-000042310000}"/>
    <cellStyle name="Normal 3 2 4 4 4 2 3 2" xfId="25286" xr:uid="{00000000-0005-0000-0000-000043310000}"/>
    <cellStyle name="Normal 3 2 4 4 4 2 3 2 2" xfId="57157" xr:uid="{00000000-0005-0000-0000-000044310000}"/>
    <cellStyle name="Normal 3 2 4 4 4 2 3 3" xfId="35303" xr:uid="{00000000-0005-0000-0000-000045310000}"/>
    <cellStyle name="Normal 3 2 4 4 4 2 4" xfId="17408" xr:uid="{00000000-0005-0000-0000-000046310000}"/>
    <cellStyle name="Normal 3 2 4 4 4 2 4 2" xfId="49279" xr:uid="{00000000-0005-0000-0000-000047310000}"/>
    <cellStyle name="Normal 3 2 4 4 4 2 5" xfId="35300" xr:uid="{00000000-0005-0000-0000-000048310000}"/>
    <cellStyle name="Normal 3 2 4 4 4 3" xfId="3425" xr:uid="{00000000-0005-0000-0000-000049310000}"/>
    <cellStyle name="Normal 3 2 4 4 4 3 2" xfId="3426" xr:uid="{00000000-0005-0000-0000-00004A310000}"/>
    <cellStyle name="Normal 3 2 4 4 4 3 2 2" xfId="29224" xr:uid="{00000000-0005-0000-0000-00004B310000}"/>
    <cellStyle name="Normal 3 2 4 4 4 3 2 2 2" xfId="61095" xr:uid="{00000000-0005-0000-0000-00004C310000}"/>
    <cellStyle name="Normal 3 2 4 4 4 3 2 3" xfId="35305" xr:uid="{00000000-0005-0000-0000-00004D310000}"/>
    <cellStyle name="Normal 3 2 4 4 4 3 3" xfId="21346" xr:uid="{00000000-0005-0000-0000-00004E310000}"/>
    <cellStyle name="Normal 3 2 4 4 4 3 3 2" xfId="53217" xr:uid="{00000000-0005-0000-0000-00004F310000}"/>
    <cellStyle name="Normal 3 2 4 4 4 3 4" xfId="35304" xr:uid="{00000000-0005-0000-0000-000050310000}"/>
    <cellStyle name="Normal 3 2 4 4 4 4" xfId="3427" xr:uid="{00000000-0005-0000-0000-000051310000}"/>
    <cellStyle name="Normal 3 2 4 4 4 4 2" xfId="25285" xr:uid="{00000000-0005-0000-0000-000052310000}"/>
    <cellStyle name="Normal 3 2 4 4 4 4 2 2" xfId="57156" xr:uid="{00000000-0005-0000-0000-000053310000}"/>
    <cellStyle name="Normal 3 2 4 4 4 4 3" xfId="35306" xr:uid="{00000000-0005-0000-0000-000054310000}"/>
    <cellStyle name="Normal 3 2 4 4 4 5" xfId="17407" xr:uid="{00000000-0005-0000-0000-000055310000}"/>
    <cellStyle name="Normal 3 2 4 4 4 5 2" xfId="49278" xr:uid="{00000000-0005-0000-0000-000056310000}"/>
    <cellStyle name="Normal 3 2 4 4 4 6" xfId="35299" xr:uid="{00000000-0005-0000-0000-000057310000}"/>
    <cellStyle name="Normal 3 2 4 4 5" xfId="3428" xr:uid="{00000000-0005-0000-0000-000058310000}"/>
    <cellStyle name="Normal 3 2 4 4 5 2" xfId="3429" xr:uid="{00000000-0005-0000-0000-000059310000}"/>
    <cellStyle name="Normal 3 2 4 4 5 2 2" xfId="3430" xr:uid="{00000000-0005-0000-0000-00005A310000}"/>
    <cellStyle name="Normal 3 2 4 4 5 2 2 2" xfId="29226" xr:uid="{00000000-0005-0000-0000-00005B310000}"/>
    <cellStyle name="Normal 3 2 4 4 5 2 2 2 2" xfId="61097" xr:uid="{00000000-0005-0000-0000-00005C310000}"/>
    <cellStyle name="Normal 3 2 4 4 5 2 2 3" xfId="35309" xr:uid="{00000000-0005-0000-0000-00005D310000}"/>
    <cellStyle name="Normal 3 2 4 4 5 2 3" xfId="21348" xr:uid="{00000000-0005-0000-0000-00005E310000}"/>
    <cellStyle name="Normal 3 2 4 4 5 2 3 2" xfId="53219" xr:uid="{00000000-0005-0000-0000-00005F310000}"/>
    <cellStyle name="Normal 3 2 4 4 5 2 4" xfId="35308" xr:uid="{00000000-0005-0000-0000-000060310000}"/>
    <cellStyle name="Normal 3 2 4 4 5 3" xfId="3431" xr:uid="{00000000-0005-0000-0000-000061310000}"/>
    <cellStyle name="Normal 3 2 4 4 5 3 2" xfId="25287" xr:uid="{00000000-0005-0000-0000-000062310000}"/>
    <cellStyle name="Normal 3 2 4 4 5 3 2 2" xfId="57158" xr:uid="{00000000-0005-0000-0000-000063310000}"/>
    <cellStyle name="Normal 3 2 4 4 5 3 3" xfId="35310" xr:uid="{00000000-0005-0000-0000-000064310000}"/>
    <cellStyle name="Normal 3 2 4 4 5 4" xfId="17409" xr:uid="{00000000-0005-0000-0000-000065310000}"/>
    <cellStyle name="Normal 3 2 4 4 5 4 2" xfId="49280" xr:uid="{00000000-0005-0000-0000-000066310000}"/>
    <cellStyle name="Normal 3 2 4 4 5 5" xfId="35307" xr:uid="{00000000-0005-0000-0000-000067310000}"/>
    <cellStyle name="Normal 3 2 4 4 6" xfId="3432" xr:uid="{00000000-0005-0000-0000-000068310000}"/>
    <cellStyle name="Normal 3 2 4 4 6 2" xfId="3433" xr:uid="{00000000-0005-0000-0000-000069310000}"/>
    <cellStyle name="Normal 3 2 4 4 6 2 2" xfId="28415" xr:uid="{00000000-0005-0000-0000-00006A310000}"/>
    <cellStyle name="Normal 3 2 4 4 6 2 2 2" xfId="60286" xr:uid="{00000000-0005-0000-0000-00006B310000}"/>
    <cellStyle name="Normal 3 2 4 4 6 2 3" xfId="35312" xr:uid="{00000000-0005-0000-0000-00006C310000}"/>
    <cellStyle name="Normal 3 2 4 4 6 3" xfId="20537" xr:uid="{00000000-0005-0000-0000-00006D310000}"/>
    <cellStyle name="Normal 3 2 4 4 6 3 2" xfId="52408" xr:uid="{00000000-0005-0000-0000-00006E310000}"/>
    <cellStyle name="Normal 3 2 4 4 6 4" xfId="35311" xr:uid="{00000000-0005-0000-0000-00006F310000}"/>
    <cellStyle name="Normal 3 2 4 4 7" xfId="3434" xr:uid="{00000000-0005-0000-0000-000070310000}"/>
    <cellStyle name="Normal 3 2 4 4 7 2" xfId="24476" xr:uid="{00000000-0005-0000-0000-000071310000}"/>
    <cellStyle name="Normal 3 2 4 4 7 2 2" xfId="56347" xr:uid="{00000000-0005-0000-0000-000072310000}"/>
    <cellStyle name="Normal 3 2 4 4 7 3" xfId="35313" xr:uid="{00000000-0005-0000-0000-000073310000}"/>
    <cellStyle name="Normal 3 2 4 4 8" xfId="16598" xr:uid="{00000000-0005-0000-0000-000074310000}"/>
    <cellStyle name="Normal 3 2 4 4 8 2" xfId="48469" xr:uid="{00000000-0005-0000-0000-000075310000}"/>
    <cellStyle name="Normal 3 2 4 4 9" xfId="35250" xr:uid="{00000000-0005-0000-0000-000076310000}"/>
    <cellStyle name="Normal 3 2 4 5" xfId="3435" xr:uid="{00000000-0005-0000-0000-000077310000}"/>
    <cellStyle name="Normal 3 2 4 5 2" xfId="3436" xr:uid="{00000000-0005-0000-0000-000078310000}"/>
    <cellStyle name="Normal 3 2 4 5 2 2" xfId="3437" xr:uid="{00000000-0005-0000-0000-000079310000}"/>
    <cellStyle name="Normal 3 2 4 5 2 2 2" xfId="3438" xr:uid="{00000000-0005-0000-0000-00007A310000}"/>
    <cellStyle name="Normal 3 2 4 5 2 2 2 2" xfId="3439" xr:uid="{00000000-0005-0000-0000-00007B310000}"/>
    <cellStyle name="Normal 3 2 4 5 2 2 2 2 2" xfId="3440" xr:uid="{00000000-0005-0000-0000-00007C310000}"/>
    <cellStyle name="Normal 3 2 4 5 2 2 2 2 2 2" xfId="29229" xr:uid="{00000000-0005-0000-0000-00007D310000}"/>
    <cellStyle name="Normal 3 2 4 5 2 2 2 2 2 2 2" xfId="61100" xr:uid="{00000000-0005-0000-0000-00007E310000}"/>
    <cellStyle name="Normal 3 2 4 5 2 2 2 2 2 3" xfId="35319" xr:uid="{00000000-0005-0000-0000-00007F310000}"/>
    <cellStyle name="Normal 3 2 4 5 2 2 2 2 3" xfId="21351" xr:uid="{00000000-0005-0000-0000-000080310000}"/>
    <cellStyle name="Normal 3 2 4 5 2 2 2 2 3 2" xfId="53222" xr:uid="{00000000-0005-0000-0000-000081310000}"/>
    <cellStyle name="Normal 3 2 4 5 2 2 2 2 4" xfId="35318" xr:uid="{00000000-0005-0000-0000-000082310000}"/>
    <cellStyle name="Normal 3 2 4 5 2 2 2 3" xfId="3441" xr:uid="{00000000-0005-0000-0000-000083310000}"/>
    <cellStyle name="Normal 3 2 4 5 2 2 2 3 2" xfId="25290" xr:uid="{00000000-0005-0000-0000-000084310000}"/>
    <cellStyle name="Normal 3 2 4 5 2 2 2 3 2 2" xfId="57161" xr:uid="{00000000-0005-0000-0000-000085310000}"/>
    <cellStyle name="Normal 3 2 4 5 2 2 2 3 3" xfId="35320" xr:uid="{00000000-0005-0000-0000-000086310000}"/>
    <cellStyle name="Normal 3 2 4 5 2 2 2 4" xfId="17412" xr:uid="{00000000-0005-0000-0000-000087310000}"/>
    <cellStyle name="Normal 3 2 4 5 2 2 2 4 2" xfId="49283" xr:uid="{00000000-0005-0000-0000-000088310000}"/>
    <cellStyle name="Normal 3 2 4 5 2 2 2 5" xfId="35317" xr:uid="{00000000-0005-0000-0000-000089310000}"/>
    <cellStyle name="Normal 3 2 4 5 2 2 3" xfId="3442" xr:uid="{00000000-0005-0000-0000-00008A310000}"/>
    <cellStyle name="Normal 3 2 4 5 2 2 3 2" xfId="3443" xr:uid="{00000000-0005-0000-0000-00008B310000}"/>
    <cellStyle name="Normal 3 2 4 5 2 2 3 2 2" xfId="29228" xr:uid="{00000000-0005-0000-0000-00008C310000}"/>
    <cellStyle name="Normal 3 2 4 5 2 2 3 2 2 2" xfId="61099" xr:uid="{00000000-0005-0000-0000-00008D310000}"/>
    <cellStyle name="Normal 3 2 4 5 2 2 3 2 3" xfId="35322" xr:uid="{00000000-0005-0000-0000-00008E310000}"/>
    <cellStyle name="Normal 3 2 4 5 2 2 3 3" xfId="21350" xr:uid="{00000000-0005-0000-0000-00008F310000}"/>
    <cellStyle name="Normal 3 2 4 5 2 2 3 3 2" xfId="53221" xr:uid="{00000000-0005-0000-0000-000090310000}"/>
    <cellStyle name="Normal 3 2 4 5 2 2 3 4" xfId="35321" xr:uid="{00000000-0005-0000-0000-000091310000}"/>
    <cellStyle name="Normal 3 2 4 5 2 2 4" xfId="3444" xr:uid="{00000000-0005-0000-0000-000092310000}"/>
    <cellStyle name="Normal 3 2 4 5 2 2 4 2" xfId="25289" xr:uid="{00000000-0005-0000-0000-000093310000}"/>
    <cellStyle name="Normal 3 2 4 5 2 2 4 2 2" xfId="57160" xr:uid="{00000000-0005-0000-0000-000094310000}"/>
    <cellStyle name="Normal 3 2 4 5 2 2 4 3" xfId="35323" xr:uid="{00000000-0005-0000-0000-000095310000}"/>
    <cellStyle name="Normal 3 2 4 5 2 2 5" xfId="17411" xr:uid="{00000000-0005-0000-0000-000096310000}"/>
    <cellStyle name="Normal 3 2 4 5 2 2 5 2" xfId="49282" xr:uid="{00000000-0005-0000-0000-000097310000}"/>
    <cellStyle name="Normal 3 2 4 5 2 2 6" xfId="35316" xr:uid="{00000000-0005-0000-0000-000098310000}"/>
    <cellStyle name="Normal 3 2 4 5 2 3" xfId="3445" xr:uid="{00000000-0005-0000-0000-000099310000}"/>
    <cellStyle name="Normal 3 2 4 5 2 3 2" xfId="3446" xr:uid="{00000000-0005-0000-0000-00009A310000}"/>
    <cellStyle name="Normal 3 2 4 5 2 3 2 2" xfId="3447" xr:uid="{00000000-0005-0000-0000-00009B310000}"/>
    <cellStyle name="Normal 3 2 4 5 2 3 2 2 2" xfId="29230" xr:uid="{00000000-0005-0000-0000-00009C310000}"/>
    <cellStyle name="Normal 3 2 4 5 2 3 2 2 2 2" xfId="61101" xr:uid="{00000000-0005-0000-0000-00009D310000}"/>
    <cellStyle name="Normal 3 2 4 5 2 3 2 2 3" xfId="35326" xr:uid="{00000000-0005-0000-0000-00009E310000}"/>
    <cellStyle name="Normal 3 2 4 5 2 3 2 3" xfId="21352" xr:uid="{00000000-0005-0000-0000-00009F310000}"/>
    <cellStyle name="Normal 3 2 4 5 2 3 2 3 2" xfId="53223" xr:uid="{00000000-0005-0000-0000-0000A0310000}"/>
    <cellStyle name="Normal 3 2 4 5 2 3 2 4" xfId="35325" xr:uid="{00000000-0005-0000-0000-0000A1310000}"/>
    <cellStyle name="Normal 3 2 4 5 2 3 3" xfId="3448" xr:uid="{00000000-0005-0000-0000-0000A2310000}"/>
    <cellStyle name="Normal 3 2 4 5 2 3 3 2" xfId="25291" xr:uid="{00000000-0005-0000-0000-0000A3310000}"/>
    <cellStyle name="Normal 3 2 4 5 2 3 3 2 2" xfId="57162" xr:uid="{00000000-0005-0000-0000-0000A4310000}"/>
    <cellStyle name="Normal 3 2 4 5 2 3 3 3" xfId="35327" xr:uid="{00000000-0005-0000-0000-0000A5310000}"/>
    <cellStyle name="Normal 3 2 4 5 2 3 4" xfId="17413" xr:uid="{00000000-0005-0000-0000-0000A6310000}"/>
    <cellStyle name="Normal 3 2 4 5 2 3 4 2" xfId="49284" xr:uid="{00000000-0005-0000-0000-0000A7310000}"/>
    <cellStyle name="Normal 3 2 4 5 2 3 5" xfId="35324" xr:uid="{00000000-0005-0000-0000-0000A8310000}"/>
    <cellStyle name="Normal 3 2 4 5 2 4" xfId="3449" xr:uid="{00000000-0005-0000-0000-0000A9310000}"/>
    <cellStyle name="Normal 3 2 4 5 2 4 2" xfId="3450" xr:uid="{00000000-0005-0000-0000-0000AA310000}"/>
    <cellStyle name="Normal 3 2 4 5 2 4 2 2" xfId="29227" xr:uid="{00000000-0005-0000-0000-0000AB310000}"/>
    <cellStyle name="Normal 3 2 4 5 2 4 2 2 2" xfId="61098" xr:uid="{00000000-0005-0000-0000-0000AC310000}"/>
    <cellStyle name="Normal 3 2 4 5 2 4 2 3" xfId="35329" xr:uid="{00000000-0005-0000-0000-0000AD310000}"/>
    <cellStyle name="Normal 3 2 4 5 2 4 3" xfId="21349" xr:uid="{00000000-0005-0000-0000-0000AE310000}"/>
    <cellStyle name="Normal 3 2 4 5 2 4 3 2" xfId="53220" xr:uid="{00000000-0005-0000-0000-0000AF310000}"/>
    <cellStyle name="Normal 3 2 4 5 2 4 4" xfId="35328" xr:uid="{00000000-0005-0000-0000-0000B0310000}"/>
    <cellStyle name="Normal 3 2 4 5 2 5" xfId="3451" xr:uid="{00000000-0005-0000-0000-0000B1310000}"/>
    <cellStyle name="Normal 3 2 4 5 2 5 2" xfId="25288" xr:uid="{00000000-0005-0000-0000-0000B2310000}"/>
    <cellStyle name="Normal 3 2 4 5 2 5 2 2" xfId="57159" xr:uid="{00000000-0005-0000-0000-0000B3310000}"/>
    <cellStyle name="Normal 3 2 4 5 2 5 3" xfId="35330" xr:uid="{00000000-0005-0000-0000-0000B4310000}"/>
    <cellStyle name="Normal 3 2 4 5 2 6" xfId="17410" xr:uid="{00000000-0005-0000-0000-0000B5310000}"/>
    <cellStyle name="Normal 3 2 4 5 2 6 2" xfId="49281" xr:uid="{00000000-0005-0000-0000-0000B6310000}"/>
    <cellStyle name="Normal 3 2 4 5 2 7" xfId="35315" xr:uid="{00000000-0005-0000-0000-0000B7310000}"/>
    <cellStyle name="Normal 3 2 4 5 3" xfId="3452" xr:uid="{00000000-0005-0000-0000-0000B8310000}"/>
    <cellStyle name="Normal 3 2 4 5 3 2" xfId="3453" xr:uid="{00000000-0005-0000-0000-0000B9310000}"/>
    <cellStyle name="Normal 3 2 4 5 3 2 2" xfId="3454" xr:uid="{00000000-0005-0000-0000-0000BA310000}"/>
    <cellStyle name="Normal 3 2 4 5 3 2 2 2" xfId="3455" xr:uid="{00000000-0005-0000-0000-0000BB310000}"/>
    <cellStyle name="Normal 3 2 4 5 3 2 2 2 2" xfId="29232" xr:uid="{00000000-0005-0000-0000-0000BC310000}"/>
    <cellStyle name="Normal 3 2 4 5 3 2 2 2 2 2" xfId="61103" xr:uid="{00000000-0005-0000-0000-0000BD310000}"/>
    <cellStyle name="Normal 3 2 4 5 3 2 2 2 3" xfId="35334" xr:uid="{00000000-0005-0000-0000-0000BE310000}"/>
    <cellStyle name="Normal 3 2 4 5 3 2 2 3" xfId="21354" xr:uid="{00000000-0005-0000-0000-0000BF310000}"/>
    <cellStyle name="Normal 3 2 4 5 3 2 2 3 2" xfId="53225" xr:uid="{00000000-0005-0000-0000-0000C0310000}"/>
    <cellStyle name="Normal 3 2 4 5 3 2 2 4" xfId="35333" xr:uid="{00000000-0005-0000-0000-0000C1310000}"/>
    <cellStyle name="Normal 3 2 4 5 3 2 3" xfId="3456" xr:uid="{00000000-0005-0000-0000-0000C2310000}"/>
    <cellStyle name="Normal 3 2 4 5 3 2 3 2" xfId="25293" xr:uid="{00000000-0005-0000-0000-0000C3310000}"/>
    <cellStyle name="Normal 3 2 4 5 3 2 3 2 2" xfId="57164" xr:uid="{00000000-0005-0000-0000-0000C4310000}"/>
    <cellStyle name="Normal 3 2 4 5 3 2 3 3" xfId="35335" xr:uid="{00000000-0005-0000-0000-0000C5310000}"/>
    <cellStyle name="Normal 3 2 4 5 3 2 4" xfId="17415" xr:uid="{00000000-0005-0000-0000-0000C6310000}"/>
    <cellStyle name="Normal 3 2 4 5 3 2 4 2" xfId="49286" xr:uid="{00000000-0005-0000-0000-0000C7310000}"/>
    <cellStyle name="Normal 3 2 4 5 3 2 5" xfId="35332" xr:uid="{00000000-0005-0000-0000-0000C8310000}"/>
    <cellStyle name="Normal 3 2 4 5 3 3" xfId="3457" xr:uid="{00000000-0005-0000-0000-0000C9310000}"/>
    <cellStyle name="Normal 3 2 4 5 3 3 2" xfId="3458" xr:uid="{00000000-0005-0000-0000-0000CA310000}"/>
    <cellStyle name="Normal 3 2 4 5 3 3 2 2" xfId="29231" xr:uid="{00000000-0005-0000-0000-0000CB310000}"/>
    <cellStyle name="Normal 3 2 4 5 3 3 2 2 2" xfId="61102" xr:uid="{00000000-0005-0000-0000-0000CC310000}"/>
    <cellStyle name="Normal 3 2 4 5 3 3 2 3" xfId="35337" xr:uid="{00000000-0005-0000-0000-0000CD310000}"/>
    <cellStyle name="Normal 3 2 4 5 3 3 3" xfId="21353" xr:uid="{00000000-0005-0000-0000-0000CE310000}"/>
    <cellStyle name="Normal 3 2 4 5 3 3 3 2" xfId="53224" xr:uid="{00000000-0005-0000-0000-0000CF310000}"/>
    <cellStyle name="Normal 3 2 4 5 3 3 4" xfId="35336" xr:uid="{00000000-0005-0000-0000-0000D0310000}"/>
    <cellStyle name="Normal 3 2 4 5 3 4" xfId="3459" xr:uid="{00000000-0005-0000-0000-0000D1310000}"/>
    <cellStyle name="Normal 3 2 4 5 3 4 2" xfId="25292" xr:uid="{00000000-0005-0000-0000-0000D2310000}"/>
    <cellStyle name="Normal 3 2 4 5 3 4 2 2" xfId="57163" xr:uid="{00000000-0005-0000-0000-0000D3310000}"/>
    <cellStyle name="Normal 3 2 4 5 3 4 3" xfId="35338" xr:uid="{00000000-0005-0000-0000-0000D4310000}"/>
    <cellStyle name="Normal 3 2 4 5 3 5" xfId="17414" xr:uid="{00000000-0005-0000-0000-0000D5310000}"/>
    <cellStyle name="Normal 3 2 4 5 3 5 2" xfId="49285" xr:uid="{00000000-0005-0000-0000-0000D6310000}"/>
    <cellStyle name="Normal 3 2 4 5 3 6" xfId="35331" xr:uid="{00000000-0005-0000-0000-0000D7310000}"/>
    <cellStyle name="Normal 3 2 4 5 4" xfId="3460" xr:uid="{00000000-0005-0000-0000-0000D8310000}"/>
    <cellStyle name="Normal 3 2 4 5 4 2" xfId="3461" xr:uid="{00000000-0005-0000-0000-0000D9310000}"/>
    <cellStyle name="Normal 3 2 4 5 4 2 2" xfId="3462" xr:uid="{00000000-0005-0000-0000-0000DA310000}"/>
    <cellStyle name="Normal 3 2 4 5 4 2 2 2" xfId="29233" xr:uid="{00000000-0005-0000-0000-0000DB310000}"/>
    <cellStyle name="Normal 3 2 4 5 4 2 2 2 2" xfId="61104" xr:uid="{00000000-0005-0000-0000-0000DC310000}"/>
    <cellStyle name="Normal 3 2 4 5 4 2 2 3" xfId="35341" xr:uid="{00000000-0005-0000-0000-0000DD310000}"/>
    <cellStyle name="Normal 3 2 4 5 4 2 3" xfId="21355" xr:uid="{00000000-0005-0000-0000-0000DE310000}"/>
    <cellStyle name="Normal 3 2 4 5 4 2 3 2" xfId="53226" xr:uid="{00000000-0005-0000-0000-0000DF310000}"/>
    <cellStyle name="Normal 3 2 4 5 4 2 4" xfId="35340" xr:uid="{00000000-0005-0000-0000-0000E0310000}"/>
    <cellStyle name="Normal 3 2 4 5 4 3" xfId="3463" xr:uid="{00000000-0005-0000-0000-0000E1310000}"/>
    <cellStyle name="Normal 3 2 4 5 4 3 2" xfId="25294" xr:uid="{00000000-0005-0000-0000-0000E2310000}"/>
    <cellStyle name="Normal 3 2 4 5 4 3 2 2" xfId="57165" xr:uid="{00000000-0005-0000-0000-0000E3310000}"/>
    <cellStyle name="Normal 3 2 4 5 4 3 3" xfId="35342" xr:uid="{00000000-0005-0000-0000-0000E4310000}"/>
    <cellStyle name="Normal 3 2 4 5 4 4" xfId="17416" xr:uid="{00000000-0005-0000-0000-0000E5310000}"/>
    <cellStyle name="Normal 3 2 4 5 4 4 2" xfId="49287" xr:uid="{00000000-0005-0000-0000-0000E6310000}"/>
    <cellStyle name="Normal 3 2 4 5 4 5" xfId="35339" xr:uid="{00000000-0005-0000-0000-0000E7310000}"/>
    <cellStyle name="Normal 3 2 4 5 5" xfId="3464" xr:uid="{00000000-0005-0000-0000-0000E8310000}"/>
    <cellStyle name="Normal 3 2 4 5 5 2" xfId="3465" xr:uid="{00000000-0005-0000-0000-0000E9310000}"/>
    <cellStyle name="Normal 3 2 4 5 5 2 2" xfId="28292" xr:uid="{00000000-0005-0000-0000-0000EA310000}"/>
    <cellStyle name="Normal 3 2 4 5 5 2 2 2" xfId="60163" xr:uid="{00000000-0005-0000-0000-0000EB310000}"/>
    <cellStyle name="Normal 3 2 4 5 5 2 3" xfId="35344" xr:uid="{00000000-0005-0000-0000-0000EC310000}"/>
    <cellStyle name="Normal 3 2 4 5 5 3" xfId="20414" xr:uid="{00000000-0005-0000-0000-0000ED310000}"/>
    <cellStyle name="Normal 3 2 4 5 5 3 2" xfId="52285" xr:uid="{00000000-0005-0000-0000-0000EE310000}"/>
    <cellStyle name="Normal 3 2 4 5 5 4" xfId="35343" xr:uid="{00000000-0005-0000-0000-0000EF310000}"/>
    <cellStyle name="Normal 3 2 4 5 6" xfId="3466" xr:uid="{00000000-0005-0000-0000-0000F0310000}"/>
    <cellStyle name="Normal 3 2 4 5 6 2" xfId="24353" xr:uid="{00000000-0005-0000-0000-0000F1310000}"/>
    <cellStyle name="Normal 3 2 4 5 6 2 2" xfId="56224" xr:uid="{00000000-0005-0000-0000-0000F2310000}"/>
    <cellStyle name="Normal 3 2 4 5 6 3" xfId="35345" xr:uid="{00000000-0005-0000-0000-0000F3310000}"/>
    <cellStyle name="Normal 3 2 4 5 7" xfId="16475" xr:uid="{00000000-0005-0000-0000-0000F4310000}"/>
    <cellStyle name="Normal 3 2 4 5 7 2" xfId="48346" xr:uid="{00000000-0005-0000-0000-0000F5310000}"/>
    <cellStyle name="Normal 3 2 4 5 8" xfId="35314" xr:uid="{00000000-0005-0000-0000-0000F6310000}"/>
    <cellStyle name="Normal 3 2 4 6" xfId="3467" xr:uid="{00000000-0005-0000-0000-0000F7310000}"/>
    <cellStyle name="Normal 3 2 4 6 2" xfId="3468" xr:uid="{00000000-0005-0000-0000-0000F8310000}"/>
    <cellStyle name="Normal 3 2 4 6 2 2" xfId="3469" xr:uid="{00000000-0005-0000-0000-0000F9310000}"/>
    <cellStyle name="Normal 3 2 4 6 2 2 2" xfId="3470" xr:uid="{00000000-0005-0000-0000-0000FA310000}"/>
    <cellStyle name="Normal 3 2 4 6 2 2 2 2" xfId="3471" xr:uid="{00000000-0005-0000-0000-0000FB310000}"/>
    <cellStyle name="Normal 3 2 4 6 2 2 2 2 2" xfId="29236" xr:uid="{00000000-0005-0000-0000-0000FC310000}"/>
    <cellStyle name="Normal 3 2 4 6 2 2 2 2 2 2" xfId="61107" xr:uid="{00000000-0005-0000-0000-0000FD310000}"/>
    <cellStyle name="Normal 3 2 4 6 2 2 2 2 3" xfId="35350" xr:uid="{00000000-0005-0000-0000-0000FE310000}"/>
    <cellStyle name="Normal 3 2 4 6 2 2 2 3" xfId="21358" xr:uid="{00000000-0005-0000-0000-0000FF310000}"/>
    <cellStyle name="Normal 3 2 4 6 2 2 2 3 2" xfId="53229" xr:uid="{00000000-0005-0000-0000-000000320000}"/>
    <cellStyle name="Normal 3 2 4 6 2 2 2 4" xfId="35349" xr:uid="{00000000-0005-0000-0000-000001320000}"/>
    <cellStyle name="Normal 3 2 4 6 2 2 3" xfId="3472" xr:uid="{00000000-0005-0000-0000-000002320000}"/>
    <cellStyle name="Normal 3 2 4 6 2 2 3 2" xfId="25297" xr:uid="{00000000-0005-0000-0000-000003320000}"/>
    <cellStyle name="Normal 3 2 4 6 2 2 3 2 2" xfId="57168" xr:uid="{00000000-0005-0000-0000-000004320000}"/>
    <cellStyle name="Normal 3 2 4 6 2 2 3 3" xfId="35351" xr:uid="{00000000-0005-0000-0000-000005320000}"/>
    <cellStyle name="Normal 3 2 4 6 2 2 4" xfId="17419" xr:uid="{00000000-0005-0000-0000-000006320000}"/>
    <cellStyle name="Normal 3 2 4 6 2 2 4 2" xfId="49290" xr:uid="{00000000-0005-0000-0000-000007320000}"/>
    <cellStyle name="Normal 3 2 4 6 2 2 5" xfId="35348" xr:uid="{00000000-0005-0000-0000-000008320000}"/>
    <cellStyle name="Normal 3 2 4 6 2 3" xfId="3473" xr:uid="{00000000-0005-0000-0000-000009320000}"/>
    <cellStyle name="Normal 3 2 4 6 2 3 2" xfId="3474" xr:uid="{00000000-0005-0000-0000-00000A320000}"/>
    <cellStyle name="Normal 3 2 4 6 2 3 2 2" xfId="29235" xr:uid="{00000000-0005-0000-0000-00000B320000}"/>
    <cellStyle name="Normal 3 2 4 6 2 3 2 2 2" xfId="61106" xr:uid="{00000000-0005-0000-0000-00000C320000}"/>
    <cellStyle name="Normal 3 2 4 6 2 3 2 3" xfId="35353" xr:uid="{00000000-0005-0000-0000-00000D320000}"/>
    <cellStyle name="Normal 3 2 4 6 2 3 3" xfId="21357" xr:uid="{00000000-0005-0000-0000-00000E320000}"/>
    <cellStyle name="Normal 3 2 4 6 2 3 3 2" xfId="53228" xr:uid="{00000000-0005-0000-0000-00000F320000}"/>
    <cellStyle name="Normal 3 2 4 6 2 3 4" xfId="35352" xr:uid="{00000000-0005-0000-0000-000010320000}"/>
    <cellStyle name="Normal 3 2 4 6 2 4" xfId="3475" xr:uid="{00000000-0005-0000-0000-000011320000}"/>
    <cellStyle name="Normal 3 2 4 6 2 4 2" xfId="25296" xr:uid="{00000000-0005-0000-0000-000012320000}"/>
    <cellStyle name="Normal 3 2 4 6 2 4 2 2" xfId="57167" xr:uid="{00000000-0005-0000-0000-000013320000}"/>
    <cellStyle name="Normal 3 2 4 6 2 4 3" xfId="35354" xr:uid="{00000000-0005-0000-0000-000014320000}"/>
    <cellStyle name="Normal 3 2 4 6 2 5" xfId="17418" xr:uid="{00000000-0005-0000-0000-000015320000}"/>
    <cellStyle name="Normal 3 2 4 6 2 5 2" xfId="49289" xr:uid="{00000000-0005-0000-0000-000016320000}"/>
    <cellStyle name="Normal 3 2 4 6 2 6" xfId="35347" xr:uid="{00000000-0005-0000-0000-000017320000}"/>
    <cellStyle name="Normal 3 2 4 6 3" xfId="3476" xr:uid="{00000000-0005-0000-0000-000018320000}"/>
    <cellStyle name="Normal 3 2 4 6 3 2" xfId="3477" xr:uid="{00000000-0005-0000-0000-000019320000}"/>
    <cellStyle name="Normal 3 2 4 6 3 2 2" xfId="3478" xr:uid="{00000000-0005-0000-0000-00001A320000}"/>
    <cellStyle name="Normal 3 2 4 6 3 2 2 2" xfId="29237" xr:uid="{00000000-0005-0000-0000-00001B320000}"/>
    <cellStyle name="Normal 3 2 4 6 3 2 2 2 2" xfId="61108" xr:uid="{00000000-0005-0000-0000-00001C320000}"/>
    <cellStyle name="Normal 3 2 4 6 3 2 2 3" xfId="35357" xr:uid="{00000000-0005-0000-0000-00001D320000}"/>
    <cellStyle name="Normal 3 2 4 6 3 2 3" xfId="21359" xr:uid="{00000000-0005-0000-0000-00001E320000}"/>
    <cellStyle name="Normal 3 2 4 6 3 2 3 2" xfId="53230" xr:uid="{00000000-0005-0000-0000-00001F320000}"/>
    <cellStyle name="Normal 3 2 4 6 3 2 4" xfId="35356" xr:uid="{00000000-0005-0000-0000-000020320000}"/>
    <cellStyle name="Normal 3 2 4 6 3 3" xfId="3479" xr:uid="{00000000-0005-0000-0000-000021320000}"/>
    <cellStyle name="Normal 3 2 4 6 3 3 2" xfId="25298" xr:uid="{00000000-0005-0000-0000-000022320000}"/>
    <cellStyle name="Normal 3 2 4 6 3 3 2 2" xfId="57169" xr:uid="{00000000-0005-0000-0000-000023320000}"/>
    <cellStyle name="Normal 3 2 4 6 3 3 3" xfId="35358" xr:uid="{00000000-0005-0000-0000-000024320000}"/>
    <cellStyle name="Normal 3 2 4 6 3 4" xfId="17420" xr:uid="{00000000-0005-0000-0000-000025320000}"/>
    <cellStyle name="Normal 3 2 4 6 3 4 2" xfId="49291" xr:uid="{00000000-0005-0000-0000-000026320000}"/>
    <cellStyle name="Normal 3 2 4 6 3 5" xfId="35355" xr:uid="{00000000-0005-0000-0000-000027320000}"/>
    <cellStyle name="Normal 3 2 4 6 4" xfId="3480" xr:uid="{00000000-0005-0000-0000-000028320000}"/>
    <cellStyle name="Normal 3 2 4 6 4 2" xfId="3481" xr:uid="{00000000-0005-0000-0000-000029320000}"/>
    <cellStyle name="Normal 3 2 4 6 4 2 2" xfId="29234" xr:uid="{00000000-0005-0000-0000-00002A320000}"/>
    <cellStyle name="Normal 3 2 4 6 4 2 2 2" xfId="61105" xr:uid="{00000000-0005-0000-0000-00002B320000}"/>
    <cellStyle name="Normal 3 2 4 6 4 2 3" xfId="35360" xr:uid="{00000000-0005-0000-0000-00002C320000}"/>
    <cellStyle name="Normal 3 2 4 6 4 3" xfId="21356" xr:uid="{00000000-0005-0000-0000-00002D320000}"/>
    <cellStyle name="Normal 3 2 4 6 4 3 2" xfId="53227" xr:uid="{00000000-0005-0000-0000-00002E320000}"/>
    <cellStyle name="Normal 3 2 4 6 4 4" xfId="35359" xr:uid="{00000000-0005-0000-0000-00002F320000}"/>
    <cellStyle name="Normal 3 2 4 6 5" xfId="3482" xr:uid="{00000000-0005-0000-0000-000030320000}"/>
    <cellStyle name="Normal 3 2 4 6 5 2" xfId="25295" xr:uid="{00000000-0005-0000-0000-000031320000}"/>
    <cellStyle name="Normal 3 2 4 6 5 2 2" xfId="57166" xr:uid="{00000000-0005-0000-0000-000032320000}"/>
    <cellStyle name="Normal 3 2 4 6 5 3" xfId="35361" xr:uid="{00000000-0005-0000-0000-000033320000}"/>
    <cellStyle name="Normal 3 2 4 6 6" xfId="17417" xr:uid="{00000000-0005-0000-0000-000034320000}"/>
    <cellStyle name="Normal 3 2 4 6 6 2" xfId="49288" xr:uid="{00000000-0005-0000-0000-000035320000}"/>
    <cellStyle name="Normal 3 2 4 6 7" xfId="35346" xr:uid="{00000000-0005-0000-0000-000036320000}"/>
    <cellStyle name="Normal 3 2 4 7" xfId="3483" xr:uid="{00000000-0005-0000-0000-000037320000}"/>
    <cellStyle name="Normal 3 2 4 7 2" xfId="3484" xr:uid="{00000000-0005-0000-0000-000038320000}"/>
    <cellStyle name="Normal 3 2 4 7 2 2" xfId="3485" xr:uid="{00000000-0005-0000-0000-000039320000}"/>
    <cellStyle name="Normal 3 2 4 7 2 2 2" xfId="3486" xr:uid="{00000000-0005-0000-0000-00003A320000}"/>
    <cellStyle name="Normal 3 2 4 7 2 2 2 2" xfId="29239" xr:uid="{00000000-0005-0000-0000-00003B320000}"/>
    <cellStyle name="Normal 3 2 4 7 2 2 2 2 2" xfId="61110" xr:uid="{00000000-0005-0000-0000-00003C320000}"/>
    <cellStyle name="Normal 3 2 4 7 2 2 2 3" xfId="35365" xr:uid="{00000000-0005-0000-0000-00003D320000}"/>
    <cellStyle name="Normal 3 2 4 7 2 2 3" xfId="21361" xr:uid="{00000000-0005-0000-0000-00003E320000}"/>
    <cellStyle name="Normal 3 2 4 7 2 2 3 2" xfId="53232" xr:uid="{00000000-0005-0000-0000-00003F320000}"/>
    <cellStyle name="Normal 3 2 4 7 2 2 4" xfId="35364" xr:uid="{00000000-0005-0000-0000-000040320000}"/>
    <cellStyle name="Normal 3 2 4 7 2 3" xfId="3487" xr:uid="{00000000-0005-0000-0000-000041320000}"/>
    <cellStyle name="Normal 3 2 4 7 2 3 2" xfId="25300" xr:uid="{00000000-0005-0000-0000-000042320000}"/>
    <cellStyle name="Normal 3 2 4 7 2 3 2 2" xfId="57171" xr:uid="{00000000-0005-0000-0000-000043320000}"/>
    <cellStyle name="Normal 3 2 4 7 2 3 3" xfId="35366" xr:uid="{00000000-0005-0000-0000-000044320000}"/>
    <cellStyle name="Normal 3 2 4 7 2 4" xfId="17422" xr:uid="{00000000-0005-0000-0000-000045320000}"/>
    <cellStyle name="Normal 3 2 4 7 2 4 2" xfId="49293" xr:uid="{00000000-0005-0000-0000-000046320000}"/>
    <cellStyle name="Normal 3 2 4 7 2 5" xfId="35363" xr:uid="{00000000-0005-0000-0000-000047320000}"/>
    <cellStyle name="Normal 3 2 4 7 3" xfId="3488" xr:uid="{00000000-0005-0000-0000-000048320000}"/>
    <cellStyle name="Normal 3 2 4 7 3 2" xfId="3489" xr:uid="{00000000-0005-0000-0000-000049320000}"/>
    <cellStyle name="Normal 3 2 4 7 3 2 2" xfId="29238" xr:uid="{00000000-0005-0000-0000-00004A320000}"/>
    <cellStyle name="Normal 3 2 4 7 3 2 2 2" xfId="61109" xr:uid="{00000000-0005-0000-0000-00004B320000}"/>
    <cellStyle name="Normal 3 2 4 7 3 2 3" xfId="35368" xr:uid="{00000000-0005-0000-0000-00004C320000}"/>
    <cellStyle name="Normal 3 2 4 7 3 3" xfId="21360" xr:uid="{00000000-0005-0000-0000-00004D320000}"/>
    <cellStyle name="Normal 3 2 4 7 3 3 2" xfId="53231" xr:uid="{00000000-0005-0000-0000-00004E320000}"/>
    <cellStyle name="Normal 3 2 4 7 3 4" xfId="35367" xr:uid="{00000000-0005-0000-0000-00004F320000}"/>
    <cellStyle name="Normal 3 2 4 7 4" xfId="3490" xr:uid="{00000000-0005-0000-0000-000050320000}"/>
    <cellStyle name="Normal 3 2 4 7 4 2" xfId="25299" xr:uid="{00000000-0005-0000-0000-000051320000}"/>
    <cellStyle name="Normal 3 2 4 7 4 2 2" xfId="57170" xr:uid="{00000000-0005-0000-0000-000052320000}"/>
    <cellStyle name="Normal 3 2 4 7 4 3" xfId="35369" xr:uid="{00000000-0005-0000-0000-000053320000}"/>
    <cellStyle name="Normal 3 2 4 7 5" xfId="17421" xr:uid="{00000000-0005-0000-0000-000054320000}"/>
    <cellStyle name="Normal 3 2 4 7 5 2" xfId="49292" xr:uid="{00000000-0005-0000-0000-000055320000}"/>
    <cellStyle name="Normal 3 2 4 7 6" xfId="35362" xr:uid="{00000000-0005-0000-0000-000056320000}"/>
    <cellStyle name="Normal 3 2 4 8" xfId="3491" xr:uid="{00000000-0005-0000-0000-000057320000}"/>
    <cellStyle name="Normal 3 2 4 8 2" xfId="3492" xr:uid="{00000000-0005-0000-0000-000058320000}"/>
    <cellStyle name="Normal 3 2 4 8 2 2" xfId="3493" xr:uid="{00000000-0005-0000-0000-000059320000}"/>
    <cellStyle name="Normal 3 2 4 8 2 2 2" xfId="29240" xr:uid="{00000000-0005-0000-0000-00005A320000}"/>
    <cellStyle name="Normal 3 2 4 8 2 2 2 2" xfId="61111" xr:uid="{00000000-0005-0000-0000-00005B320000}"/>
    <cellStyle name="Normal 3 2 4 8 2 2 3" xfId="35372" xr:uid="{00000000-0005-0000-0000-00005C320000}"/>
    <cellStyle name="Normal 3 2 4 8 2 3" xfId="21362" xr:uid="{00000000-0005-0000-0000-00005D320000}"/>
    <cellStyle name="Normal 3 2 4 8 2 3 2" xfId="53233" xr:uid="{00000000-0005-0000-0000-00005E320000}"/>
    <cellStyle name="Normal 3 2 4 8 2 4" xfId="35371" xr:uid="{00000000-0005-0000-0000-00005F320000}"/>
    <cellStyle name="Normal 3 2 4 8 3" xfId="3494" xr:uid="{00000000-0005-0000-0000-000060320000}"/>
    <cellStyle name="Normal 3 2 4 8 3 2" xfId="25301" xr:uid="{00000000-0005-0000-0000-000061320000}"/>
    <cellStyle name="Normal 3 2 4 8 3 2 2" xfId="57172" xr:uid="{00000000-0005-0000-0000-000062320000}"/>
    <cellStyle name="Normal 3 2 4 8 3 3" xfId="35373" xr:uid="{00000000-0005-0000-0000-000063320000}"/>
    <cellStyle name="Normal 3 2 4 8 4" xfId="17423" xr:uid="{00000000-0005-0000-0000-000064320000}"/>
    <cellStyle name="Normal 3 2 4 8 4 2" xfId="49294" xr:uid="{00000000-0005-0000-0000-000065320000}"/>
    <cellStyle name="Normal 3 2 4 8 5" xfId="35370" xr:uid="{00000000-0005-0000-0000-000066320000}"/>
    <cellStyle name="Normal 3 2 4 9" xfId="3495" xr:uid="{00000000-0005-0000-0000-000067320000}"/>
    <cellStyle name="Normal 3 2 4 9 2" xfId="3496" xr:uid="{00000000-0005-0000-0000-000068320000}"/>
    <cellStyle name="Normal 3 2 4 9 2 2" xfId="28251" xr:uid="{00000000-0005-0000-0000-000069320000}"/>
    <cellStyle name="Normal 3 2 4 9 2 2 2" xfId="60122" xr:uid="{00000000-0005-0000-0000-00006A320000}"/>
    <cellStyle name="Normal 3 2 4 9 2 3" xfId="35375" xr:uid="{00000000-0005-0000-0000-00006B320000}"/>
    <cellStyle name="Normal 3 2 4 9 3" xfId="20373" xr:uid="{00000000-0005-0000-0000-00006C320000}"/>
    <cellStyle name="Normal 3 2 4 9 3 2" xfId="52244" xr:uid="{00000000-0005-0000-0000-00006D320000}"/>
    <cellStyle name="Normal 3 2 4 9 4" xfId="35374" xr:uid="{00000000-0005-0000-0000-00006E320000}"/>
    <cellStyle name="Normal 3 2 5" xfId="3497" xr:uid="{00000000-0005-0000-0000-00006F320000}"/>
    <cellStyle name="Normal 3 2 5 10" xfId="3498" xr:uid="{00000000-0005-0000-0000-000070320000}"/>
    <cellStyle name="Normal 3 2 5 10 2" xfId="24337" xr:uid="{00000000-0005-0000-0000-000071320000}"/>
    <cellStyle name="Normal 3 2 5 10 2 2" xfId="56208" xr:uid="{00000000-0005-0000-0000-000072320000}"/>
    <cellStyle name="Normal 3 2 5 10 3" xfId="35377" xr:uid="{00000000-0005-0000-0000-000073320000}"/>
    <cellStyle name="Normal 3 2 5 11" xfId="16459" xr:uid="{00000000-0005-0000-0000-000074320000}"/>
    <cellStyle name="Normal 3 2 5 11 2" xfId="48330" xr:uid="{00000000-0005-0000-0000-000075320000}"/>
    <cellStyle name="Normal 3 2 5 12" xfId="35376" xr:uid="{00000000-0005-0000-0000-000076320000}"/>
    <cellStyle name="Normal 3 2 5 2" xfId="3499" xr:uid="{00000000-0005-0000-0000-000077320000}"/>
    <cellStyle name="Normal 3 2 5 2 10" xfId="35378" xr:uid="{00000000-0005-0000-0000-000078320000}"/>
    <cellStyle name="Normal 3 2 5 2 2" xfId="3500" xr:uid="{00000000-0005-0000-0000-000079320000}"/>
    <cellStyle name="Normal 3 2 5 2 2 2" xfId="3501" xr:uid="{00000000-0005-0000-0000-00007A320000}"/>
    <cellStyle name="Normal 3 2 5 2 2 2 2" xfId="3502" xr:uid="{00000000-0005-0000-0000-00007B320000}"/>
    <cellStyle name="Normal 3 2 5 2 2 2 2 2" xfId="3503" xr:uid="{00000000-0005-0000-0000-00007C320000}"/>
    <cellStyle name="Normal 3 2 5 2 2 2 2 2 2" xfId="3504" xr:uid="{00000000-0005-0000-0000-00007D320000}"/>
    <cellStyle name="Normal 3 2 5 2 2 2 2 2 2 2" xfId="3505" xr:uid="{00000000-0005-0000-0000-00007E320000}"/>
    <cellStyle name="Normal 3 2 5 2 2 2 2 2 2 2 2" xfId="3506" xr:uid="{00000000-0005-0000-0000-00007F320000}"/>
    <cellStyle name="Normal 3 2 5 2 2 2 2 2 2 2 2 2" xfId="29244" xr:uid="{00000000-0005-0000-0000-000080320000}"/>
    <cellStyle name="Normal 3 2 5 2 2 2 2 2 2 2 2 2 2" xfId="61115" xr:uid="{00000000-0005-0000-0000-000081320000}"/>
    <cellStyle name="Normal 3 2 5 2 2 2 2 2 2 2 2 3" xfId="35385" xr:uid="{00000000-0005-0000-0000-000082320000}"/>
    <cellStyle name="Normal 3 2 5 2 2 2 2 2 2 2 3" xfId="21366" xr:uid="{00000000-0005-0000-0000-000083320000}"/>
    <cellStyle name="Normal 3 2 5 2 2 2 2 2 2 2 3 2" xfId="53237" xr:uid="{00000000-0005-0000-0000-000084320000}"/>
    <cellStyle name="Normal 3 2 5 2 2 2 2 2 2 2 4" xfId="35384" xr:uid="{00000000-0005-0000-0000-000085320000}"/>
    <cellStyle name="Normal 3 2 5 2 2 2 2 2 2 3" xfId="3507" xr:uid="{00000000-0005-0000-0000-000086320000}"/>
    <cellStyle name="Normal 3 2 5 2 2 2 2 2 2 3 2" xfId="25305" xr:uid="{00000000-0005-0000-0000-000087320000}"/>
    <cellStyle name="Normal 3 2 5 2 2 2 2 2 2 3 2 2" xfId="57176" xr:uid="{00000000-0005-0000-0000-000088320000}"/>
    <cellStyle name="Normal 3 2 5 2 2 2 2 2 2 3 3" xfId="35386" xr:uid="{00000000-0005-0000-0000-000089320000}"/>
    <cellStyle name="Normal 3 2 5 2 2 2 2 2 2 4" xfId="17427" xr:uid="{00000000-0005-0000-0000-00008A320000}"/>
    <cellStyle name="Normal 3 2 5 2 2 2 2 2 2 4 2" xfId="49298" xr:uid="{00000000-0005-0000-0000-00008B320000}"/>
    <cellStyle name="Normal 3 2 5 2 2 2 2 2 2 5" xfId="35383" xr:uid="{00000000-0005-0000-0000-00008C320000}"/>
    <cellStyle name="Normal 3 2 5 2 2 2 2 2 3" xfId="3508" xr:uid="{00000000-0005-0000-0000-00008D320000}"/>
    <cellStyle name="Normal 3 2 5 2 2 2 2 2 3 2" xfId="3509" xr:uid="{00000000-0005-0000-0000-00008E320000}"/>
    <cellStyle name="Normal 3 2 5 2 2 2 2 2 3 2 2" xfId="29243" xr:uid="{00000000-0005-0000-0000-00008F320000}"/>
    <cellStyle name="Normal 3 2 5 2 2 2 2 2 3 2 2 2" xfId="61114" xr:uid="{00000000-0005-0000-0000-000090320000}"/>
    <cellStyle name="Normal 3 2 5 2 2 2 2 2 3 2 3" xfId="35388" xr:uid="{00000000-0005-0000-0000-000091320000}"/>
    <cellStyle name="Normal 3 2 5 2 2 2 2 2 3 3" xfId="21365" xr:uid="{00000000-0005-0000-0000-000092320000}"/>
    <cellStyle name="Normal 3 2 5 2 2 2 2 2 3 3 2" xfId="53236" xr:uid="{00000000-0005-0000-0000-000093320000}"/>
    <cellStyle name="Normal 3 2 5 2 2 2 2 2 3 4" xfId="35387" xr:uid="{00000000-0005-0000-0000-000094320000}"/>
    <cellStyle name="Normal 3 2 5 2 2 2 2 2 4" xfId="3510" xr:uid="{00000000-0005-0000-0000-000095320000}"/>
    <cellStyle name="Normal 3 2 5 2 2 2 2 2 4 2" xfId="25304" xr:uid="{00000000-0005-0000-0000-000096320000}"/>
    <cellStyle name="Normal 3 2 5 2 2 2 2 2 4 2 2" xfId="57175" xr:uid="{00000000-0005-0000-0000-000097320000}"/>
    <cellStyle name="Normal 3 2 5 2 2 2 2 2 4 3" xfId="35389" xr:uid="{00000000-0005-0000-0000-000098320000}"/>
    <cellStyle name="Normal 3 2 5 2 2 2 2 2 5" xfId="17426" xr:uid="{00000000-0005-0000-0000-000099320000}"/>
    <cellStyle name="Normal 3 2 5 2 2 2 2 2 5 2" xfId="49297" xr:uid="{00000000-0005-0000-0000-00009A320000}"/>
    <cellStyle name="Normal 3 2 5 2 2 2 2 2 6" xfId="35382" xr:uid="{00000000-0005-0000-0000-00009B320000}"/>
    <cellStyle name="Normal 3 2 5 2 2 2 2 3" xfId="3511" xr:uid="{00000000-0005-0000-0000-00009C320000}"/>
    <cellStyle name="Normal 3 2 5 2 2 2 2 3 2" xfId="3512" xr:uid="{00000000-0005-0000-0000-00009D320000}"/>
    <cellStyle name="Normal 3 2 5 2 2 2 2 3 2 2" xfId="3513" xr:uid="{00000000-0005-0000-0000-00009E320000}"/>
    <cellStyle name="Normal 3 2 5 2 2 2 2 3 2 2 2" xfId="29245" xr:uid="{00000000-0005-0000-0000-00009F320000}"/>
    <cellStyle name="Normal 3 2 5 2 2 2 2 3 2 2 2 2" xfId="61116" xr:uid="{00000000-0005-0000-0000-0000A0320000}"/>
    <cellStyle name="Normal 3 2 5 2 2 2 2 3 2 2 3" xfId="35392" xr:uid="{00000000-0005-0000-0000-0000A1320000}"/>
    <cellStyle name="Normal 3 2 5 2 2 2 2 3 2 3" xfId="21367" xr:uid="{00000000-0005-0000-0000-0000A2320000}"/>
    <cellStyle name="Normal 3 2 5 2 2 2 2 3 2 3 2" xfId="53238" xr:uid="{00000000-0005-0000-0000-0000A3320000}"/>
    <cellStyle name="Normal 3 2 5 2 2 2 2 3 2 4" xfId="35391" xr:uid="{00000000-0005-0000-0000-0000A4320000}"/>
    <cellStyle name="Normal 3 2 5 2 2 2 2 3 3" xfId="3514" xr:uid="{00000000-0005-0000-0000-0000A5320000}"/>
    <cellStyle name="Normal 3 2 5 2 2 2 2 3 3 2" xfId="25306" xr:uid="{00000000-0005-0000-0000-0000A6320000}"/>
    <cellStyle name="Normal 3 2 5 2 2 2 2 3 3 2 2" xfId="57177" xr:uid="{00000000-0005-0000-0000-0000A7320000}"/>
    <cellStyle name="Normal 3 2 5 2 2 2 2 3 3 3" xfId="35393" xr:uid="{00000000-0005-0000-0000-0000A8320000}"/>
    <cellStyle name="Normal 3 2 5 2 2 2 2 3 4" xfId="17428" xr:uid="{00000000-0005-0000-0000-0000A9320000}"/>
    <cellStyle name="Normal 3 2 5 2 2 2 2 3 4 2" xfId="49299" xr:uid="{00000000-0005-0000-0000-0000AA320000}"/>
    <cellStyle name="Normal 3 2 5 2 2 2 2 3 5" xfId="35390" xr:uid="{00000000-0005-0000-0000-0000AB320000}"/>
    <cellStyle name="Normal 3 2 5 2 2 2 2 4" xfId="3515" xr:uid="{00000000-0005-0000-0000-0000AC320000}"/>
    <cellStyle name="Normal 3 2 5 2 2 2 2 4 2" xfId="3516" xr:uid="{00000000-0005-0000-0000-0000AD320000}"/>
    <cellStyle name="Normal 3 2 5 2 2 2 2 4 2 2" xfId="29242" xr:uid="{00000000-0005-0000-0000-0000AE320000}"/>
    <cellStyle name="Normal 3 2 5 2 2 2 2 4 2 2 2" xfId="61113" xr:uid="{00000000-0005-0000-0000-0000AF320000}"/>
    <cellStyle name="Normal 3 2 5 2 2 2 2 4 2 3" xfId="35395" xr:uid="{00000000-0005-0000-0000-0000B0320000}"/>
    <cellStyle name="Normal 3 2 5 2 2 2 2 4 3" xfId="21364" xr:uid="{00000000-0005-0000-0000-0000B1320000}"/>
    <cellStyle name="Normal 3 2 5 2 2 2 2 4 3 2" xfId="53235" xr:uid="{00000000-0005-0000-0000-0000B2320000}"/>
    <cellStyle name="Normal 3 2 5 2 2 2 2 4 4" xfId="35394" xr:uid="{00000000-0005-0000-0000-0000B3320000}"/>
    <cellStyle name="Normal 3 2 5 2 2 2 2 5" xfId="3517" xr:uid="{00000000-0005-0000-0000-0000B4320000}"/>
    <cellStyle name="Normal 3 2 5 2 2 2 2 5 2" xfId="25303" xr:uid="{00000000-0005-0000-0000-0000B5320000}"/>
    <cellStyle name="Normal 3 2 5 2 2 2 2 5 2 2" xfId="57174" xr:uid="{00000000-0005-0000-0000-0000B6320000}"/>
    <cellStyle name="Normal 3 2 5 2 2 2 2 5 3" xfId="35396" xr:uid="{00000000-0005-0000-0000-0000B7320000}"/>
    <cellStyle name="Normal 3 2 5 2 2 2 2 6" xfId="17425" xr:uid="{00000000-0005-0000-0000-0000B8320000}"/>
    <cellStyle name="Normal 3 2 5 2 2 2 2 6 2" xfId="49296" xr:uid="{00000000-0005-0000-0000-0000B9320000}"/>
    <cellStyle name="Normal 3 2 5 2 2 2 2 7" xfId="35381" xr:uid="{00000000-0005-0000-0000-0000BA320000}"/>
    <cellStyle name="Normal 3 2 5 2 2 2 3" xfId="3518" xr:uid="{00000000-0005-0000-0000-0000BB320000}"/>
    <cellStyle name="Normal 3 2 5 2 2 2 3 2" xfId="3519" xr:uid="{00000000-0005-0000-0000-0000BC320000}"/>
    <cellStyle name="Normal 3 2 5 2 2 2 3 2 2" xfId="3520" xr:uid="{00000000-0005-0000-0000-0000BD320000}"/>
    <cellStyle name="Normal 3 2 5 2 2 2 3 2 2 2" xfId="3521" xr:uid="{00000000-0005-0000-0000-0000BE320000}"/>
    <cellStyle name="Normal 3 2 5 2 2 2 3 2 2 2 2" xfId="29247" xr:uid="{00000000-0005-0000-0000-0000BF320000}"/>
    <cellStyle name="Normal 3 2 5 2 2 2 3 2 2 2 2 2" xfId="61118" xr:uid="{00000000-0005-0000-0000-0000C0320000}"/>
    <cellStyle name="Normal 3 2 5 2 2 2 3 2 2 2 3" xfId="35400" xr:uid="{00000000-0005-0000-0000-0000C1320000}"/>
    <cellStyle name="Normal 3 2 5 2 2 2 3 2 2 3" xfId="21369" xr:uid="{00000000-0005-0000-0000-0000C2320000}"/>
    <cellStyle name="Normal 3 2 5 2 2 2 3 2 2 3 2" xfId="53240" xr:uid="{00000000-0005-0000-0000-0000C3320000}"/>
    <cellStyle name="Normal 3 2 5 2 2 2 3 2 2 4" xfId="35399" xr:uid="{00000000-0005-0000-0000-0000C4320000}"/>
    <cellStyle name="Normal 3 2 5 2 2 2 3 2 3" xfId="3522" xr:uid="{00000000-0005-0000-0000-0000C5320000}"/>
    <cellStyle name="Normal 3 2 5 2 2 2 3 2 3 2" xfId="25308" xr:uid="{00000000-0005-0000-0000-0000C6320000}"/>
    <cellStyle name="Normal 3 2 5 2 2 2 3 2 3 2 2" xfId="57179" xr:uid="{00000000-0005-0000-0000-0000C7320000}"/>
    <cellStyle name="Normal 3 2 5 2 2 2 3 2 3 3" xfId="35401" xr:uid="{00000000-0005-0000-0000-0000C8320000}"/>
    <cellStyle name="Normal 3 2 5 2 2 2 3 2 4" xfId="17430" xr:uid="{00000000-0005-0000-0000-0000C9320000}"/>
    <cellStyle name="Normal 3 2 5 2 2 2 3 2 4 2" xfId="49301" xr:uid="{00000000-0005-0000-0000-0000CA320000}"/>
    <cellStyle name="Normal 3 2 5 2 2 2 3 2 5" xfId="35398" xr:uid="{00000000-0005-0000-0000-0000CB320000}"/>
    <cellStyle name="Normal 3 2 5 2 2 2 3 3" xfId="3523" xr:uid="{00000000-0005-0000-0000-0000CC320000}"/>
    <cellStyle name="Normal 3 2 5 2 2 2 3 3 2" xfId="3524" xr:uid="{00000000-0005-0000-0000-0000CD320000}"/>
    <cellStyle name="Normal 3 2 5 2 2 2 3 3 2 2" xfId="29246" xr:uid="{00000000-0005-0000-0000-0000CE320000}"/>
    <cellStyle name="Normal 3 2 5 2 2 2 3 3 2 2 2" xfId="61117" xr:uid="{00000000-0005-0000-0000-0000CF320000}"/>
    <cellStyle name="Normal 3 2 5 2 2 2 3 3 2 3" xfId="35403" xr:uid="{00000000-0005-0000-0000-0000D0320000}"/>
    <cellStyle name="Normal 3 2 5 2 2 2 3 3 3" xfId="21368" xr:uid="{00000000-0005-0000-0000-0000D1320000}"/>
    <cellStyle name="Normal 3 2 5 2 2 2 3 3 3 2" xfId="53239" xr:uid="{00000000-0005-0000-0000-0000D2320000}"/>
    <cellStyle name="Normal 3 2 5 2 2 2 3 3 4" xfId="35402" xr:uid="{00000000-0005-0000-0000-0000D3320000}"/>
    <cellStyle name="Normal 3 2 5 2 2 2 3 4" xfId="3525" xr:uid="{00000000-0005-0000-0000-0000D4320000}"/>
    <cellStyle name="Normal 3 2 5 2 2 2 3 4 2" xfId="25307" xr:uid="{00000000-0005-0000-0000-0000D5320000}"/>
    <cellStyle name="Normal 3 2 5 2 2 2 3 4 2 2" xfId="57178" xr:uid="{00000000-0005-0000-0000-0000D6320000}"/>
    <cellStyle name="Normal 3 2 5 2 2 2 3 4 3" xfId="35404" xr:uid="{00000000-0005-0000-0000-0000D7320000}"/>
    <cellStyle name="Normal 3 2 5 2 2 2 3 5" xfId="17429" xr:uid="{00000000-0005-0000-0000-0000D8320000}"/>
    <cellStyle name="Normal 3 2 5 2 2 2 3 5 2" xfId="49300" xr:uid="{00000000-0005-0000-0000-0000D9320000}"/>
    <cellStyle name="Normal 3 2 5 2 2 2 3 6" xfId="35397" xr:uid="{00000000-0005-0000-0000-0000DA320000}"/>
    <cellStyle name="Normal 3 2 5 2 2 2 4" xfId="3526" xr:uid="{00000000-0005-0000-0000-0000DB320000}"/>
    <cellStyle name="Normal 3 2 5 2 2 2 4 2" xfId="3527" xr:uid="{00000000-0005-0000-0000-0000DC320000}"/>
    <cellStyle name="Normal 3 2 5 2 2 2 4 2 2" xfId="3528" xr:uid="{00000000-0005-0000-0000-0000DD320000}"/>
    <cellStyle name="Normal 3 2 5 2 2 2 4 2 2 2" xfId="29248" xr:uid="{00000000-0005-0000-0000-0000DE320000}"/>
    <cellStyle name="Normal 3 2 5 2 2 2 4 2 2 2 2" xfId="61119" xr:uid="{00000000-0005-0000-0000-0000DF320000}"/>
    <cellStyle name="Normal 3 2 5 2 2 2 4 2 2 3" xfId="35407" xr:uid="{00000000-0005-0000-0000-0000E0320000}"/>
    <cellStyle name="Normal 3 2 5 2 2 2 4 2 3" xfId="21370" xr:uid="{00000000-0005-0000-0000-0000E1320000}"/>
    <cellStyle name="Normal 3 2 5 2 2 2 4 2 3 2" xfId="53241" xr:uid="{00000000-0005-0000-0000-0000E2320000}"/>
    <cellStyle name="Normal 3 2 5 2 2 2 4 2 4" xfId="35406" xr:uid="{00000000-0005-0000-0000-0000E3320000}"/>
    <cellStyle name="Normal 3 2 5 2 2 2 4 3" xfId="3529" xr:uid="{00000000-0005-0000-0000-0000E4320000}"/>
    <cellStyle name="Normal 3 2 5 2 2 2 4 3 2" xfId="25309" xr:uid="{00000000-0005-0000-0000-0000E5320000}"/>
    <cellStyle name="Normal 3 2 5 2 2 2 4 3 2 2" xfId="57180" xr:uid="{00000000-0005-0000-0000-0000E6320000}"/>
    <cellStyle name="Normal 3 2 5 2 2 2 4 3 3" xfId="35408" xr:uid="{00000000-0005-0000-0000-0000E7320000}"/>
    <cellStyle name="Normal 3 2 5 2 2 2 4 4" xfId="17431" xr:uid="{00000000-0005-0000-0000-0000E8320000}"/>
    <cellStyle name="Normal 3 2 5 2 2 2 4 4 2" xfId="49302" xr:uid="{00000000-0005-0000-0000-0000E9320000}"/>
    <cellStyle name="Normal 3 2 5 2 2 2 4 5" xfId="35405" xr:uid="{00000000-0005-0000-0000-0000EA320000}"/>
    <cellStyle name="Normal 3 2 5 2 2 2 5" xfId="3530" xr:uid="{00000000-0005-0000-0000-0000EB320000}"/>
    <cellStyle name="Normal 3 2 5 2 2 2 5 2" xfId="3531" xr:uid="{00000000-0005-0000-0000-0000EC320000}"/>
    <cellStyle name="Normal 3 2 5 2 2 2 5 2 2" xfId="29241" xr:uid="{00000000-0005-0000-0000-0000ED320000}"/>
    <cellStyle name="Normal 3 2 5 2 2 2 5 2 2 2" xfId="61112" xr:uid="{00000000-0005-0000-0000-0000EE320000}"/>
    <cellStyle name="Normal 3 2 5 2 2 2 5 2 3" xfId="35410" xr:uid="{00000000-0005-0000-0000-0000EF320000}"/>
    <cellStyle name="Normal 3 2 5 2 2 2 5 3" xfId="21363" xr:uid="{00000000-0005-0000-0000-0000F0320000}"/>
    <cellStyle name="Normal 3 2 5 2 2 2 5 3 2" xfId="53234" xr:uid="{00000000-0005-0000-0000-0000F1320000}"/>
    <cellStyle name="Normal 3 2 5 2 2 2 5 4" xfId="35409" xr:uid="{00000000-0005-0000-0000-0000F2320000}"/>
    <cellStyle name="Normal 3 2 5 2 2 2 6" xfId="3532" xr:uid="{00000000-0005-0000-0000-0000F3320000}"/>
    <cellStyle name="Normal 3 2 5 2 2 2 6 2" xfId="25302" xr:uid="{00000000-0005-0000-0000-0000F4320000}"/>
    <cellStyle name="Normal 3 2 5 2 2 2 6 2 2" xfId="57173" xr:uid="{00000000-0005-0000-0000-0000F5320000}"/>
    <cellStyle name="Normal 3 2 5 2 2 2 6 3" xfId="35411" xr:uid="{00000000-0005-0000-0000-0000F6320000}"/>
    <cellStyle name="Normal 3 2 5 2 2 2 7" xfId="17424" xr:uid="{00000000-0005-0000-0000-0000F7320000}"/>
    <cellStyle name="Normal 3 2 5 2 2 2 7 2" xfId="49295" xr:uid="{00000000-0005-0000-0000-0000F8320000}"/>
    <cellStyle name="Normal 3 2 5 2 2 2 8" xfId="35380" xr:uid="{00000000-0005-0000-0000-0000F9320000}"/>
    <cellStyle name="Normal 3 2 5 2 2 3" xfId="3533" xr:uid="{00000000-0005-0000-0000-0000FA320000}"/>
    <cellStyle name="Normal 3 2 5 2 2 3 2" xfId="3534" xr:uid="{00000000-0005-0000-0000-0000FB320000}"/>
    <cellStyle name="Normal 3 2 5 2 2 3 2 2" xfId="3535" xr:uid="{00000000-0005-0000-0000-0000FC320000}"/>
    <cellStyle name="Normal 3 2 5 2 2 3 2 2 2" xfId="3536" xr:uid="{00000000-0005-0000-0000-0000FD320000}"/>
    <cellStyle name="Normal 3 2 5 2 2 3 2 2 2 2" xfId="3537" xr:uid="{00000000-0005-0000-0000-0000FE320000}"/>
    <cellStyle name="Normal 3 2 5 2 2 3 2 2 2 2 2" xfId="29251" xr:uid="{00000000-0005-0000-0000-0000FF320000}"/>
    <cellStyle name="Normal 3 2 5 2 2 3 2 2 2 2 2 2" xfId="61122" xr:uid="{00000000-0005-0000-0000-000000330000}"/>
    <cellStyle name="Normal 3 2 5 2 2 3 2 2 2 2 3" xfId="35416" xr:uid="{00000000-0005-0000-0000-000001330000}"/>
    <cellStyle name="Normal 3 2 5 2 2 3 2 2 2 3" xfId="21373" xr:uid="{00000000-0005-0000-0000-000002330000}"/>
    <cellStyle name="Normal 3 2 5 2 2 3 2 2 2 3 2" xfId="53244" xr:uid="{00000000-0005-0000-0000-000003330000}"/>
    <cellStyle name="Normal 3 2 5 2 2 3 2 2 2 4" xfId="35415" xr:uid="{00000000-0005-0000-0000-000004330000}"/>
    <cellStyle name="Normal 3 2 5 2 2 3 2 2 3" xfId="3538" xr:uid="{00000000-0005-0000-0000-000005330000}"/>
    <cellStyle name="Normal 3 2 5 2 2 3 2 2 3 2" xfId="25312" xr:uid="{00000000-0005-0000-0000-000006330000}"/>
    <cellStyle name="Normal 3 2 5 2 2 3 2 2 3 2 2" xfId="57183" xr:uid="{00000000-0005-0000-0000-000007330000}"/>
    <cellStyle name="Normal 3 2 5 2 2 3 2 2 3 3" xfId="35417" xr:uid="{00000000-0005-0000-0000-000008330000}"/>
    <cellStyle name="Normal 3 2 5 2 2 3 2 2 4" xfId="17434" xr:uid="{00000000-0005-0000-0000-000009330000}"/>
    <cellStyle name="Normal 3 2 5 2 2 3 2 2 4 2" xfId="49305" xr:uid="{00000000-0005-0000-0000-00000A330000}"/>
    <cellStyle name="Normal 3 2 5 2 2 3 2 2 5" xfId="35414" xr:uid="{00000000-0005-0000-0000-00000B330000}"/>
    <cellStyle name="Normal 3 2 5 2 2 3 2 3" xfId="3539" xr:uid="{00000000-0005-0000-0000-00000C330000}"/>
    <cellStyle name="Normal 3 2 5 2 2 3 2 3 2" xfId="3540" xr:uid="{00000000-0005-0000-0000-00000D330000}"/>
    <cellStyle name="Normal 3 2 5 2 2 3 2 3 2 2" xfId="29250" xr:uid="{00000000-0005-0000-0000-00000E330000}"/>
    <cellStyle name="Normal 3 2 5 2 2 3 2 3 2 2 2" xfId="61121" xr:uid="{00000000-0005-0000-0000-00000F330000}"/>
    <cellStyle name="Normal 3 2 5 2 2 3 2 3 2 3" xfId="35419" xr:uid="{00000000-0005-0000-0000-000010330000}"/>
    <cellStyle name="Normal 3 2 5 2 2 3 2 3 3" xfId="21372" xr:uid="{00000000-0005-0000-0000-000011330000}"/>
    <cellStyle name="Normal 3 2 5 2 2 3 2 3 3 2" xfId="53243" xr:uid="{00000000-0005-0000-0000-000012330000}"/>
    <cellStyle name="Normal 3 2 5 2 2 3 2 3 4" xfId="35418" xr:uid="{00000000-0005-0000-0000-000013330000}"/>
    <cellStyle name="Normal 3 2 5 2 2 3 2 4" xfId="3541" xr:uid="{00000000-0005-0000-0000-000014330000}"/>
    <cellStyle name="Normal 3 2 5 2 2 3 2 4 2" xfId="25311" xr:uid="{00000000-0005-0000-0000-000015330000}"/>
    <cellStyle name="Normal 3 2 5 2 2 3 2 4 2 2" xfId="57182" xr:uid="{00000000-0005-0000-0000-000016330000}"/>
    <cellStyle name="Normal 3 2 5 2 2 3 2 4 3" xfId="35420" xr:uid="{00000000-0005-0000-0000-000017330000}"/>
    <cellStyle name="Normal 3 2 5 2 2 3 2 5" xfId="17433" xr:uid="{00000000-0005-0000-0000-000018330000}"/>
    <cellStyle name="Normal 3 2 5 2 2 3 2 5 2" xfId="49304" xr:uid="{00000000-0005-0000-0000-000019330000}"/>
    <cellStyle name="Normal 3 2 5 2 2 3 2 6" xfId="35413" xr:uid="{00000000-0005-0000-0000-00001A330000}"/>
    <cellStyle name="Normal 3 2 5 2 2 3 3" xfId="3542" xr:uid="{00000000-0005-0000-0000-00001B330000}"/>
    <cellStyle name="Normal 3 2 5 2 2 3 3 2" xfId="3543" xr:uid="{00000000-0005-0000-0000-00001C330000}"/>
    <cellStyle name="Normal 3 2 5 2 2 3 3 2 2" xfId="3544" xr:uid="{00000000-0005-0000-0000-00001D330000}"/>
    <cellStyle name="Normal 3 2 5 2 2 3 3 2 2 2" xfId="29252" xr:uid="{00000000-0005-0000-0000-00001E330000}"/>
    <cellStyle name="Normal 3 2 5 2 2 3 3 2 2 2 2" xfId="61123" xr:uid="{00000000-0005-0000-0000-00001F330000}"/>
    <cellStyle name="Normal 3 2 5 2 2 3 3 2 2 3" xfId="35423" xr:uid="{00000000-0005-0000-0000-000020330000}"/>
    <cellStyle name="Normal 3 2 5 2 2 3 3 2 3" xfId="21374" xr:uid="{00000000-0005-0000-0000-000021330000}"/>
    <cellStyle name="Normal 3 2 5 2 2 3 3 2 3 2" xfId="53245" xr:uid="{00000000-0005-0000-0000-000022330000}"/>
    <cellStyle name="Normal 3 2 5 2 2 3 3 2 4" xfId="35422" xr:uid="{00000000-0005-0000-0000-000023330000}"/>
    <cellStyle name="Normal 3 2 5 2 2 3 3 3" xfId="3545" xr:uid="{00000000-0005-0000-0000-000024330000}"/>
    <cellStyle name="Normal 3 2 5 2 2 3 3 3 2" xfId="25313" xr:uid="{00000000-0005-0000-0000-000025330000}"/>
    <cellStyle name="Normal 3 2 5 2 2 3 3 3 2 2" xfId="57184" xr:uid="{00000000-0005-0000-0000-000026330000}"/>
    <cellStyle name="Normal 3 2 5 2 2 3 3 3 3" xfId="35424" xr:uid="{00000000-0005-0000-0000-000027330000}"/>
    <cellStyle name="Normal 3 2 5 2 2 3 3 4" xfId="17435" xr:uid="{00000000-0005-0000-0000-000028330000}"/>
    <cellStyle name="Normal 3 2 5 2 2 3 3 4 2" xfId="49306" xr:uid="{00000000-0005-0000-0000-000029330000}"/>
    <cellStyle name="Normal 3 2 5 2 2 3 3 5" xfId="35421" xr:uid="{00000000-0005-0000-0000-00002A330000}"/>
    <cellStyle name="Normal 3 2 5 2 2 3 4" xfId="3546" xr:uid="{00000000-0005-0000-0000-00002B330000}"/>
    <cellStyle name="Normal 3 2 5 2 2 3 4 2" xfId="3547" xr:uid="{00000000-0005-0000-0000-00002C330000}"/>
    <cellStyle name="Normal 3 2 5 2 2 3 4 2 2" xfId="29249" xr:uid="{00000000-0005-0000-0000-00002D330000}"/>
    <cellStyle name="Normal 3 2 5 2 2 3 4 2 2 2" xfId="61120" xr:uid="{00000000-0005-0000-0000-00002E330000}"/>
    <cellStyle name="Normal 3 2 5 2 2 3 4 2 3" xfId="35426" xr:uid="{00000000-0005-0000-0000-00002F330000}"/>
    <cellStyle name="Normal 3 2 5 2 2 3 4 3" xfId="21371" xr:uid="{00000000-0005-0000-0000-000030330000}"/>
    <cellStyle name="Normal 3 2 5 2 2 3 4 3 2" xfId="53242" xr:uid="{00000000-0005-0000-0000-000031330000}"/>
    <cellStyle name="Normal 3 2 5 2 2 3 4 4" xfId="35425" xr:uid="{00000000-0005-0000-0000-000032330000}"/>
    <cellStyle name="Normal 3 2 5 2 2 3 5" xfId="3548" xr:uid="{00000000-0005-0000-0000-000033330000}"/>
    <cellStyle name="Normal 3 2 5 2 2 3 5 2" xfId="25310" xr:uid="{00000000-0005-0000-0000-000034330000}"/>
    <cellStyle name="Normal 3 2 5 2 2 3 5 2 2" xfId="57181" xr:uid="{00000000-0005-0000-0000-000035330000}"/>
    <cellStyle name="Normal 3 2 5 2 2 3 5 3" xfId="35427" xr:uid="{00000000-0005-0000-0000-000036330000}"/>
    <cellStyle name="Normal 3 2 5 2 2 3 6" xfId="17432" xr:uid="{00000000-0005-0000-0000-000037330000}"/>
    <cellStyle name="Normal 3 2 5 2 2 3 6 2" xfId="49303" xr:uid="{00000000-0005-0000-0000-000038330000}"/>
    <cellStyle name="Normal 3 2 5 2 2 3 7" xfId="35412" xr:uid="{00000000-0005-0000-0000-000039330000}"/>
    <cellStyle name="Normal 3 2 5 2 2 4" xfId="3549" xr:uid="{00000000-0005-0000-0000-00003A330000}"/>
    <cellStyle name="Normal 3 2 5 2 2 4 2" xfId="3550" xr:uid="{00000000-0005-0000-0000-00003B330000}"/>
    <cellStyle name="Normal 3 2 5 2 2 4 2 2" xfId="3551" xr:uid="{00000000-0005-0000-0000-00003C330000}"/>
    <cellStyle name="Normal 3 2 5 2 2 4 2 2 2" xfId="3552" xr:uid="{00000000-0005-0000-0000-00003D330000}"/>
    <cellStyle name="Normal 3 2 5 2 2 4 2 2 2 2" xfId="29254" xr:uid="{00000000-0005-0000-0000-00003E330000}"/>
    <cellStyle name="Normal 3 2 5 2 2 4 2 2 2 2 2" xfId="61125" xr:uid="{00000000-0005-0000-0000-00003F330000}"/>
    <cellStyle name="Normal 3 2 5 2 2 4 2 2 2 3" xfId="35431" xr:uid="{00000000-0005-0000-0000-000040330000}"/>
    <cellStyle name="Normal 3 2 5 2 2 4 2 2 3" xfId="21376" xr:uid="{00000000-0005-0000-0000-000041330000}"/>
    <cellStyle name="Normal 3 2 5 2 2 4 2 2 3 2" xfId="53247" xr:uid="{00000000-0005-0000-0000-000042330000}"/>
    <cellStyle name="Normal 3 2 5 2 2 4 2 2 4" xfId="35430" xr:uid="{00000000-0005-0000-0000-000043330000}"/>
    <cellStyle name="Normal 3 2 5 2 2 4 2 3" xfId="3553" xr:uid="{00000000-0005-0000-0000-000044330000}"/>
    <cellStyle name="Normal 3 2 5 2 2 4 2 3 2" xfId="25315" xr:uid="{00000000-0005-0000-0000-000045330000}"/>
    <cellStyle name="Normal 3 2 5 2 2 4 2 3 2 2" xfId="57186" xr:uid="{00000000-0005-0000-0000-000046330000}"/>
    <cellStyle name="Normal 3 2 5 2 2 4 2 3 3" xfId="35432" xr:uid="{00000000-0005-0000-0000-000047330000}"/>
    <cellStyle name="Normal 3 2 5 2 2 4 2 4" xfId="17437" xr:uid="{00000000-0005-0000-0000-000048330000}"/>
    <cellStyle name="Normal 3 2 5 2 2 4 2 4 2" xfId="49308" xr:uid="{00000000-0005-0000-0000-000049330000}"/>
    <cellStyle name="Normal 3 2 5 2 2 4 2 5" xfId="35429" xr:uid="{00000000-0005-0000-0000-00004A330000}"/>
    <cellStyle name="Normal 3 2 5 2 2 4 3" xfId="3554" xr:uid="{00000000-0005-0000-0000-00004B330000}"/>
    <cellStyle name="Normal 3 2 5 2 2 4 3 2" xfId="3555" xr:uid="{00000000-0005-0000-0000-00004C330000}"/>
    <cellStyle name="Normal 3 2 5 2 2 4 3 2 2" xfId="29253" xr:uid="{00000000-0005-0000-0000-00004D330000}"/>
    <cellStyle name="Normal 3 2 5 2 2 4 3 2 2 2" xfId="61124" xr:uid="{00000000-0005-0000-0000-00004E330000}"/>
    <cellStyle name="Normal 3 2 5 2 2 4 3 2 3" xfId="35434" xr:uid="{00000000-0005-0000-0000-00004F330000}"/>
    <cellStyle name="Normal 3 2 5 2 2 4 3 3" xfId="21375" xr:uid="{00000000-0005-0000-0000-000050330000}"/>
    <cellStyle name="Normal 3 2 5 2 2 4 3 3 2" xfId="53246" xr:uid="{00000000-0005-0000-0000-000051330000}"/>
    <cellStyle name="Normal 3 2 5 2 2 4 3 4" xfId="35433" xr:uid="{00000000-0005-0000-0000-000052330000}"/>
    <cellStyle name="Normal 3 2 5 2 2 4 4" xfId="3556" xr:uid="{00000000-0005-0000-0000-000053330000}"/>
    <cellStyle name="Normal 3 2 5 2 2 4 4 2" xfId="25314" xr:uid="{00000000-0005-0000-0000-000054330000}"/>
    <cellStyle name="Normal 3 2 5 2 2 4 4 2 2" xfId="57185" xr:uid="{00000000-0005-0000-0000-000055330000}"/>
    <cellStyle name="Normal 3 2 5 2 2 4 4 3" xfId="35435" xr:uid="{00000000-0005-0000-0000-000056330000}"/>
    <cellStyle name="Normal 3 2 5 2 2 4 5" xfId="17436" xr:uid="{00000000-0005-0000-0000-000057330000}"/>
    <cellStyle name="Normal 3 2 5 2 2 4 5 2" xfId="49307" xr:uid="{00000000-0005-0000-0000-000058330000}"/>
    <cellStyle name="Normal 3 2 5 2 2 4 6" xfId="35428" xr:uid="{00000000-0005-0000-0000-000059330000}"/>
    <cellStyle name="Normal 3 2 5 2 2 5" xfId="3557" xr:uid="{00000000-0005-0000-0000-00005A330000}"/>
    <cellStyle name="Normal 3 2 5 2 2 5 2" xfId="3558" xr:uid="{00000000-0005-0000-0000-00005B330000}"/>
    <cellStyle name="Normal 3 2 5 2 2 5 2 2" xfId="3559" xr:uid="{00000000-0005-0000-0000-00005C330000}"/>
    <cellStyle name="Normal 3 2 5 2 2 5 2 2 2" xfId="29255" xr:uid="{00000000-0005-0000-0000-00005D330000}"/>
    <cellStyle name="Normal 3 2 5 2 2 5 2 2 2 2" xfId="61126" xr:uid="{00000000-0005-0000-0000-00005E330000}"/>
    <cellStyle name="Normal 3 2 5 2 2 5 2 2 3" xfId="35438" xr:uid="{00000000-0005-0000-0000-00005F330000}"/>
    <cellStyle name="Normal 3 2 5 2 2 5 2 3" xfId="21377" xr:uid="{00000000-0005-0000-0000-000060330000}"/>
    <cellStyle name="Normal 3 2 5 2 2 5 2 3 2" xfId="53248" xr:uid="{00000000-0005-0000-0000-000061330000}"/>
    <cellStyle name="Normal 3 2 5 2 2 5 2 4" xfId="35437" xr:uid="{00000000-0005-0000-0000-000062330000}"/>
    <cellStyle name="Normal 3 2 5 2 2 5 3" xfId="3560" xr:uid="{00000000-0005-0000-0000-000063330000}"/>
    <cellStyle name="Normal 3 2 5 2 2 5 3 2" xfId="25316" xr:uid="{00000000-0005-0000-0000-000064330000}"/>
    <cellStyle name="Normal 3 2 5 2 2 5 3 2 2" xfId="57187" xr:uid="{00000000-0005-0000-0000-000065330000}"/>
    <cellStyle name="Normal 3 2 5 2 2 5 3 3" xfId="35439" xr:uid="{00000000-0005-0000-0000-000066330000}"/>
    <cellStyle name="Normal 3 2 5 2 2 5 4" xfId="17438" xr:uid="{00000000-0005-0000-0000-000067330000}"/>
    <cellStyle name="Normal 3 2 5 2 2 5 4 2" xfId="49309" xr:uid="{00000000-0005-0000-0000-000068330000}"/>
    <cellStyle name="Normal 3 2 5 2 2 5 5" xfId="35436" xr:uid="{00000000-0005-0000-0000-000069330000}"/>
    <cellStyle name="Normal 3 2 5 2 2 6" xfId="3561" xr:uid="{00000000-0005-0000-0000-00006A330000}"/>
    <cellStyle name="Normal 3 2 5 2 2 6 2" xfId="3562" xr:uid="{00000000-0005-0000-0000-00006B330000}"/>
    <cellStyle name="Normal 3 2 5 2 2 6 2 2" xfId="28440" xr:uid="{00000000-0005-0000-0000-00006C330000}"/>
    <cellStyle name="Normal 3 2 5 2 2 6 2 2 2" xfId="60311" xr:uid="{00000000-0005-0000-0000-00006D330000}"/>
    <cellStyle name="Normal 3 2 5 2 2 6 2 3" xfId="35441" xr:uid="{00000000-0005-0000-0000-00006E330000}"/>
    <cellStyle name="Normal 3 2 5 2 2 6 3" xfId="20562" xr:uid="{00000000-0005-0000-0000-00006F330000}"/>
    <cellStyle name="Normal 3 2 5 2 2 6 3 2" xfId="52433" xr:uid="{00000000-0005-0000-0000-000070330000}"/>
    <cellStyle name="Normal 3 2 5 2 2 6 4" xfId="35440" xr:uid="{00000000-0005-0000-0000-000071330000}"/>
    <cellStyle name="Normal 3 2 5 2 2 7" xfId="3563" xr:uid="{00000000-0005-0000-0000-000072330000}"/>
    <cellStyle name="Normal 3 2 5 2 2 7 2" xfId="24501" xr:uid="{00000000-0005-0000-0000-000073330000}"/>
    <cellStyle name="Normal 3 2 5 2 2 7 2 2" xfId="56372" xr:uid="{00000000-0005-0000-0000-000074330000}"/>
    <cellStyle name="Normal 3 2 5 2 2 7 3" xfId="35442" xr:uid="{00000000-0005-0000-0000-000075330000}"/>
    <cellStyle name="Normal 3 2 5 2 2 8" xfId="16623" xr:uid="{00000000-0005-0000-0000-000076330000}"/>
    <cellStyle name="Normal 3 2 5 2 2 8 2" xfId="48494" xr:uid="{00000000-0005-0000-0000-000077330000}"/>
    <cellStyle name="Normal 3 2 5 2 2 9" xfId="35379" xr:uid="{00000000-0005-0000-0000-000078330000}"/>
    <cellStyle name="Normal 3 2 5 2 3" xfId="3564" xr:uid="{00000000-0005-0000-0000-000079330000}"/>
    <cellStyle name="Normal 3 2 5 2 3 2" xfId="3565" xr:uid="{00000000-0005-0000-0000-00007A330000}"/>
    <cellStyle name="Normal 3 2 5 2 3 2 2" xfId="3566" xr:uid="{00000000-0005-0000-0000-00007B330000}"/>
    <cellStyle name="Normal 3 2 5 2 3 2 2 2" xfId="3567" xr:uid="{00000000-0005-0000-0000-00007C330000}"/>
    <cellStyle name="Normal 3 2 5 2 3 2 2 2 2" xfId="3568" xr:uid="{00000000-0005-0000-0000-00007D330000}"/>
    <cellStyle name="Normal 3 2 5 2 3 2 2 2 2 2" xfId="3569" xr:uid="{00000000-0005-0000-0000-00007E330000}"/>
    <cellStyle name="Normal 3 2 5 2 3 2 2 2 2 2 2" xfId="29259" xr:uid="{00000000-0005-0000-0000-00007F330000}"/>
    <cellStyle name="Normal 3 2 5 2 3 2 2 2 2 2 2 2" xfId="61130" xr:uid="{00000000-0005-0000-0000-000080330000}"/>
    <cellStyle name="Normal 3 2 5 2 3 2 2 2 2 2 3" xfId="35448" xr:uid="{00000000-0005-0000-0000-000081330000}"/>
    <cellStyle name="Normal 3 2 5 2 3 2 2 2 2 3" xfId="21381" xr:uid="{00000000-0005-0000-0000-000082330000}"/>
    <cellStyle name="Normal 3 2 5 2 3 2 2 2 2 3 2" xfId="53252" xr:uid="{00000000-0005-0000-0000-000083330000}"/>
    <cellStyle name="Normal 3 2 5 2 3 2 2 2 2 4" xfId="35447" xr:uid="{00000000-0005-0000-0000-000084330000}"/>
    <cellStyle name="Normal 3 2 5 2 3 2 2 2 3" xfId="3570" xr:uid="{00000000-0005-0000-0000-000085330000}"/>
    <cellStyle name="Normal 3 2 5 2 3 2 2 2 3 2" xfId="25320" xr:uid="{00000000-0005-0000-0000-000086330000}"/>
    <cellStyle name="Normal 3 2 5 2 3 2 2 2 3 2 2" xfId="57191" xr:uid="{00000000-0005-0000-0000-000087330000}"/>
    <cellStyle name="Normal 3 2 5 2 3 2 2 2 3 3" xfId="35449" xr:uid="{00000000-0005-0000-0000-000088330000}"/>
    <cellStyle name="Normal 3 2 5 2 3 2 2 2 4" xfId="17442" xr:uid="{00000000-0005-0000-0000-000089330000}"/>
    <cellStyle name="Normal 3 2 5 2 3 2 2 2 4 2" xfId="49313" xr:uid="{00000000-0005-0000-0000-00008A330000}"/>
    <cellStyle name="Normal 3 2 5 2 3 2 2 2 5" xfId="35446" xr:uid="{00000000-0005-0000-0000-00008B330000}"/>
    <cellStyle name="Normal 3 2 5 2 3 2 2 3" xfId="3571" xr:uid="{00000000-0005-0000-0000-00008C330000}"/>
    <cellStyle name="Normal 3 2 5 2 3 2 2 3 2" xfId="3572" xr:uid="{00000000-0005-0000-0000-00008D330000}"/>
    <cellStyle name="Normal 3 2 5 2 3 2 2 3 2 2" xfId="29258" xr:uid="{00000000-0005-0000-0000-00008E330000}"/>
    <cellStyle name="Normal 3 2 5 2 3 2 2 3 2 2 2" xfId="61129" xr:uid="{00000000-0005-0000-0000-00008F330000}"/>
    <cellStyle name="Normal 3 2 5 2 3 2 2 3 2 3" xfId="35451" xr:uid="{00000000-0005-0000-0000-000090330000}"/>
    <cellStyle name="Normal 3 2 5 2 3 2 2 3 3" xfId="21380" xr:uid="{00000000-0005-0000-0000-000091330000}"/>
    <cellStyle name="Normal 3 2 5 2 3 2 2 3 3 2" xfId="53251" xr:uid="{00000000-0005-0000-0000-000092330000}"/>
    <cellStyle name="Normal 3 2 5 2 3 2 2 3 4" xfId="35450" xr:uid="{00000000-0005-0000-0000-000093330000}"/>
    <cellStyle name="Normal 3 2 5 2 3 2 2 4" xfId="3573" xr:uid="{00000000-0005-0000-0000-000094330000}"/>
    <cellStyle name="Normal 3 2 5 2 3 2 2 4 2" xfId="25319" xr:uid="{00000000-0005-0000-0000-000095330000}"/>
    <cellStyle name="Normal 3 2 5 2 3 2 2 4 2 2" xfId="57190" xr:uid="{00000000-0005-0000-0000-000096330000}"/>
    <cellStyle name="Normal 3 2 5 2 3 2 2 4 3" xfId="35452" xr:uid="{00000000-0005-0000-0000-000097330000}"/>
    <cellStyle name="Normal 3 2 5 2 3 2 2 5" xfId="17441" xr:uid="{00000000-0005-0000-0000-000098330000}"/>
    <cellStyle name="Normal 3 2 5 2 3 2 2 5 2" xfId="49312" xr:uid="{00000000-0005-0000-0000-000099330000}"/>
    <cellStyle name="Normal 3 2 5 2 3 2 2 6" xfId="35445" xr:uid="{00000000-0005-0000-0000-00009A330000}"/>
    <cellStyle name="Normal 3 2 5 2 3 2 3" xfId="3574" xr:uid="{00000000-0005-0000-0000-00009B330000}"/>
    <cellStyle name="Normal 3 2 5 2 3 2 3 2" xfId="3575" xr:uid="{00000000-0005-0000-0000-00009C330000}"/>
    <cellStyle name="Normal 3 2 5 2 3 2 3 2 2" xfId="3576" xr:uid="{00000000-0005-0000-0000-00009D330000}"/>
    <cellStyle name="Normal 3 2 5 2 3 2 3 2 2 2" xfId="29260" xr:uid="{00000000-0005-0000-0000-00009E330000}"/>
    <cellStyle name="Normal 3 2 5 2 3 2 3 2 2 2 2" xfId="61131" xr:uid="{00000000-0005-0000-0000-00009F330000}"/>
    <cellStyle name="Normal 3 2 5 2 3 2 3 2 2 3" xfId="35455" xr:uid="{00000000-0005-0000-0000-0000A0330000}"/>
    <cellStyle name="Normal 3 2 5 2 3 2 3 2 3" xfId="21382" xr:uid="{00000000-0005-0000-0000-0000A1330000}"/>
    <cellStyle name="Normal 3 2 5 2 3 2 3 2 3 2" xfId="53253" xr:uid="{00000000-0005-0000-0000-0000A2330000}"/>
    <cellStyle name="Normal 3 2 5 2 3 2 3 2 4" xfId="35454" xr:uid="{00000000-0005-0000-0000-0000A3330000}"/>
    <cellStyle name="Normal 3 2 5 2 3 2 3 3" xfId="3577" xr:uid="{00000000-0005-0000-0000-0000A4330000}"/>
    <cellStyle name="Normal 3 2 5 2 3 2 3 3 2" xfId="25321" xr:uid="{00000000-0005-0000-0000-0000A5330000}"/>
    <cellStyle name="Normal 3 2 5 2 3 2 3 3 2 2" xfId="57192" xr:uid="{00000000-0005-0000-0000-0000A6330000}"/>
    <cellStyle name="Normal 3 2 5 2 3 2 3 3 3" xfId="35456" xr:uid="{00000000-0005-0000-0000-0000A7330000}"/>
    <cellStyle name="Normal 3 2 5 2 3 2 3 4" xfId="17443" xr:uid="{00000000-0005-0000-0000-0000A8330000}"/>
    <cellStyle name="Normal 3 2 5 2 3 2 3 4 2" xfId="49314" xr:uid="{00000000-0005-0000-0000-0000A9330000}"/>
    <cellStyle name="Normal 3 2 5 2 3 2 3 5" xfId="35453" xr:uid="{00000000-0005-0000-0000-0000AA330000}"/>
    <cellStyle name="Normal 3 2 5 2 3 2 4" xfId="3578" xr:uid="{00000000-0005-0000-0000-0000AB330000}"/>
    <cellStyle name="Normal 3 2 5 2 3 2 4 2" xfId="3579" xr:uid="{00000000-0005-0000-0000-0000AC330000}"/>
    <cellStyle name="Normal 3 2 5 2 3 2 4 2 2" xfId="29257" xr:uid="{00000000-0005-0000-0000-0000AD330000}"/>
    <cellStyle name="Normal 3 2 5 2 3 2 4 2 2 2" xfId="61128" xr:uid="{00000000-0005-0000-0000-0000AE330000}"/>
    <cellStyle name="Normal 3 2 5 2 3 2 4 2 3" xfId="35458" xr:uid="{00000000-0005-0000-0000-0000AF330000}"/>
    <cellStyle name="Normal 3 2 5 2 3 2 4 3" xfId="21379" xr:uid="{00000000-0005-0000-0000-0000B0330000}"/>
    <cellStyle name="Normal 3 2 5 2 3 2 4 3 2" xfId="53250" xr:uid="{00000000-0005-0000-0000-0000B1330000}"/>
    <cellStyle name="Normal 3 2 5 2 3 2 4 4" xfId="35457" xr:uid="{00000000-0005-0000-0000-0000B2330000}"/>
    <cellStyle name="Normal 3 2 5 2 3 2 5" xfId="3580" xr:uid="{00000000-0005-0000-0000-0000B3330000}"/>
    <cellStyle name="Normal 3 2 5 2 3 2 5 2" xfId="25318" xr:uid="{00000000-0005-0000-0000-0000B4330000}"/>
    <cellStyle name="Normal 3 2 5 2 3 2 5 2 2" xfId="57189" xr:uid="{00000000-0005-0000-0000-0000B5330000}"/>
    <cellStyle name="Normal 3 2 5 2 3 2 5 3" xfId="35459" xr:uid="{00000000-0005-0000-0000-0000B6330000}"/>
    <cellStyle name="Normal 3 2 5 2 3 2 6" xfId="17440" xr:uid="{00000000-0005-0000-0000-0000B7330000}"/>
    <cellStyle name="Normal 3 2 5 2 3 2 6 2" xfId="49311" xr:uid="{00000000-0005-0000-0000-0000B8330000}"/>
    <cellStyle name="Normal 3 2 5 2 3 2 7" xfId="35444" xr:uid="{00000000-0005-0000-0000-0000B9330000}"/>
    <cellStyle name="Normal 3 2 5 2 3 3" xfId="3581" xr:uid="{00000000-0005-0000-0000-0000BA330000}"/>
    <cellStyle name="Normal 3 2 5 2 3 3 2" xfId="3582" xr:uid="{00000000-0005-0000-0000-0000BB330000}"/>
    <cellStyle name="Normal 3 2 5 2 3 3 2 2" xfId="3583" xr:uid="{00000000-0005-0000-0000-0000BC330000}"/>
    <cellStyle name="Normal 3 2 5 2 3 3 2 2 2" xfId="3584" xr:uid="{00000000-0005-0000-0000-0000BD330000}"/>
    <cellStyle name="Normal 3 2 5 2 3 3 2 2 2 2" xfId="29262" xr:uid="{00000000-0005-0000-0000-0000BE330000}"/>
    <cellStyle name="Normal 3 2 5 2 3 3 2 2 2 2 2" xfId="61133" xr:uid="{00000000-0005-0000-0000-0000BF330000}"/>
    <cellStyle name="Normal 3 2 5 2 3 3 2 2 2 3" xfId="35463" xr:uid="{00000000-0005-0000-0000-0000C0330000}"/>
    <cellStyle name="Normal 3 2 5 2 3 3 2 2 3" xfId="21384" xr:uid="{00000000-0005-0000-0000-0000C1330000}"/>
    <cellStyle name="Normal 3 2 5 2 3 3 2 2 3 2" xfId="53255" xr:uid="{00000000-0005-0000-0000-0000C2330000}"/>
    <cellStyle name="Normal 3 2 5 2 3 3 2 2 4" xfId="35462" xr:uid="{00000000-0005-0000-0000-0000C3330000}"/>
    <cellStyle name="Normal 3 2 5 2 3 3 2 3" xfId="3585" xr:uid="{00000000-0005-0000-0000-0000C4330000}"/>
    <cellStyle name="Normal 3 2 5 2 3 3 2 3 2" xfId="25323" xr:uid="{00000000-0005-0000-0000-0000C5330000}"/>
    <cellStyle name="Normal 3 2 5 2 3 3 2 3 2 2" xfId="57194" xr:uid="{00000000-0005-0000-0000-0000C6330000}"/>
    <cellStyle name="Normal 3 2 5 2 3 3 2 3 3" xfId="35464" xr:uid="{00000000-0005-0000-0000-0000C7330000}"/>
    <cellStyle name="Normal 3 2 5 2 3 3 2 4" xfId="17445" xr:uid="{00000000-0005-0000-0000-0000C8330000}"/>
    <cellStyle name="Normal 3 2 5 2 3 3 2 4 2" xfId="49316" xr:uid="{00000000-0005-0000-0000-0000C9330000}"/>
    <cellStyle name="Normal 3 2 5 2 3 3 2 5" xfId="35461" xr:uid="{00000000-0005-0000-0000-0000CA330000}"/>
    <cellStyle name="Normal 3 2 5 2 3 3 3" xfId="3586" xr:uid="{00000000-0005-0000-0000-0000CB330000}"/>
    <cellStyle name="Normal 3 2 5 2 3 3 3 2" xfId="3587" xr:uid="{00000000-0005-0000-0000-0000CC330000}"/>
    <cellStyle name="Normal 3 2 5 2 3 3 3 2 2" xfId="29261" xr:uid="{00000000-0005-0000-0000-0000CD330000}"/>
    <cellStyle name="Normal 3 2 5 2 3 3 3 2 2 2" xfId="61132" xr:uid="{00000000-0005-0000-0000-0000CE330000}"/>
    <cellStyle name="Normal 3 2 5 2 3 3 3 2 3" xfId="35466" xr:uid="{00000000-0005-0000-0000-0000CF330000}"/>
    <cellStyle name="Normal 3 2 5 2 3 3 3 3" xfId="21383" xr:uid="{00000000-0005-0000-0000-0000D0330000}"/>
    <cellStyle name="Normal 3 2 5 2 3 3 3 3 2" xfId="53254" xr:uid="{00000000-0005-0000-0000-0000D1330000}"/>
    <cellStyle name="Normal 3 2 5 2 3 3 3 4" xfId="35465" xr:uid="{00000000-0005-0000-0000-0000D2330000}"/>
    <cellStyle name="Normal 3 2 5 2 3 3 4" xfId="3588" xr:uid="{00000000-0005-0000-0000-0000D3330000}"/>
    <cellStyle name="Normal 3 2 5 2 3 3 4 2" xfId="25322" xr:uid="{00000000-0005-0000-0000-0000D4330000}"/>
    <cellStyle name="Normal 3 2 5 2 3 3 4 2 2" xfId="57193" xr:uid="{00000000-0005-0000-0000-0000D5330000}"/>
    <cellStyle name="Normal 3 2 5 2 3 3 4 3" xfId="35467" xr:uid="{00000000-0005-0000-0000-0000D6330000}"/>
    <cellStyle name="Normal 3 2 5 2 3 3 5" xfId="17444" xr:uid="{00000000-0005-0000-0000-0000D7330000}"/>
    <cellStyle name="Normal 3 2 5 2 3 3 5 2" xfId="49315" xr:uid="{00000000-0005-0000-0000-0000D8330000}"/>
    <cellStyle name="Normal 3 2 5 2 3 3 6" xfId="35460" xr:uid="{00000000-0005-0000-0000-0000D9330000}"/>
    <cellStyle name="Normal 3 2 5 2 3 4" xfId="3589" xr:uid="{00000000-0005-0000-0000-0000DA330000}"/>
    <cellStyle name="Normal 3 2 5 2 3 4 2" xfId="3590" xr:uid="{00000000-0005-0000-0000-0000DB330000}"/>
    <cellStyle name="Normal 3 2 5 2 3 4 2 2" xfId="3591" xr:uid="{00000000-0005-0000-0000-0000DC330000}"/>
    <cellStyle name="Normal 3 2 5 2 3 4 2 2 2" xfId="29263" xr:uid="{00000000-0005-0000-0000-0000DD330000}"/>
    <cellStyle name="Normal 3 2 5 2 3 4 2 2 2 2" xfId="61134" xr:uid="{00000000-0005-0000-0000-0000DE330000}"/>
    <cellStyle name="Normal 3 2 5 2 3 4 2 2 3" xfId="35470" xr:uid="{00000000-0005-0000-0000-0000DF330000}"/>
    <cellStyle name="Normal 3 2 5 2 3 4 2 3" xfId="21385" xr:uid="{00000000-0005-0000-0000-0000E0330000}"/>
    <cellStyle name="Normal 3 2 5 2 3 4 2 3 2" xfId="53256" xr:uid="{00000000-0005-0000-0000-0000E1330000}"/>
    <cellStyle name="Normal 3 2 5 2 3 4 2 4" xfId="35469" xr:uid="{00000000-0005-0000-0000-0000E2330000}"/>
    <cellStyle name="Normal 3 2 5 2 3 4 3" xfId="3592" xr:uid="{00000000-0005-0000-0000-0000E3330000}"/>
    <cellStyle name="Normal 3 2 5 2 3 4 3 2" xfId="25324" xr:uid="{00000000-0005-0000-0000-0000E4330000}"/>
    <cellStyle name="Normal 3 2 5 2 3 4 3 2 2" xfId="57195" xr:uid="{00000000-0005-0000-0000-0000E5330000}"/>
    <cellStyle name="Normal 3 2 5 2 3 4 3 3" xfId="35471" xr:uid="{00000000-0005-0000-0000-0000E6330000}"/>
    <cellStyle name="Normal 3 2 5 2 3 4 4" xfId="17446" xr:uid="{00000000-0005-0000-0000-0000E7330000}"/>
    <cellStyle name="Normal 3 2 5 2 3 4 4 2" xfId="49317" xr:uid="{00000000-0005-0000-0000-0000E8330000}"/>
    <cellStyle name="Normal 3 2 5 2 3 4 5" xfId="35468" xr:uid="{00000000-0005-0000-0000-0000E9330000}"/>
    <cellStyle name="Normal 3 2 5 2 3 5" xfId="3593" xr:uid="{00000000-0005-0000-0000-0000EA330000}"/>
    <cellStyle name="Normal 3 2 5 2 3 5 2" xfId="3594" xr:uid="{00000000-0005-0000-0000-0000EB330000}"/>
    <cellStyle name="Normal 3 2 5 2 3 5 2 2" xfId="29256" xr:uid="{00000000-0005-0000-0000-0000EC330000}"/>
    <cellStyle name="Normal 3 2 5 2 3 5 2 2 2" xfId="61127" xr:uid="{00000000-0005-0000-0000-0000ED330000}"/>
    <cellStyle name="Normal 3 2 5 2 3 5 2 3" xfId="35473" xr:uid="{00000000-0005-0000-0000-0000EE330000}"/>
    <cellStyle name="Normal 3 2 5 2 3 5 3" xfId="21378" xr:uid="{00000000-0005-0000-0000-0000EF330000}"/>
    <cellStyle name="Normal 3 2 5 2 3 5 3 2" xfId="53249" xr:uid="{00000000-0005-0000-0000-0000F0330000}"/>
    <cellStyle name="Normal 3 2 5 2 3 5 4" xfId="35472" xr:uid="{00000000-0005-0000-0000-0000F1330000}"/>
    <cellStyle name="Normal 3 2 5 2 3 6" xfId="3595" xr:uid="{00000000-0005-0000-0000-0000F2330000}"/>
    <cellStyle name="Normal 3 2 5 2 3 6 2" xfId="25317" xr:uid="{00000000-0005-0000-0000-0000F3330000}"/>
    <cellStyle name="Normal 3 2 5 2 3 6 2 2" xfId="57188" xr:uid="{00000000-0005-0000-0000-0000F4330000}"/>
    <cellStyle name="Normal 3 2 5 2 3 6 3" xfId="35474" xr:uid="{00000000-0005-0000-0000-0000F5330000}"/>
    <cellStyle name="Normal 3 2 5 2 3 7" xfId="17439" xr:uid="{00000000-0005-0000-0000-0000F6330000}"/>
    <cellStyle name="Normal 3 2 5 2 3 7 2" xfId="49310" xr:uid="{00000000-0005-0000-0000-0000F7330000}"/>
    <cellStyle name="Normal 3 2 5 2 3 8" xfId="35443" xr:uid="{00000000-0005-0000-0000-0000F8330000}"/>
    <cellStyle name="Normal 3 2 5 2 4" xfId="3596" xr:uid="{00000000-0005-0000-0000-0000F9330000}"/>
    <cellStyle name="Normal 3 2 5 2 4 2" xfId="3597" xr:uid="{00000000-0005-0000-0000-0000FA330000}"/>
    <cellStyle name="Normal 3 2 5 2 4 2 2" xfId="3598" xr:uid="{00000000-0005-0000-0000-0000FB330000}"/>
    <cellStyle name="Normal 3 2 5 2 4 2 2 2" xfId="3599" xr:uid="{00000000-0005-0000-0000-0000FC330000}"/>
    <cellStyle name="Normal 3 2 5 2 4 2 2 2 2" xfId="3600" xr:uid="{00000000-0005-0000-0000-0000FD330000}"/>
    <cellStyle name="Normal 3 2 5 2 4 2 2 2 2 2" xfId="29266" xr:uid="{00000000-0005-0000-0000-0000FE330000}"/>
    <cellStyle name="Normal 3 2 5 2 4 2 2 2 2 2 2" xfId="61137" xr:uid="{00000000-0005-0000-0000-0000FF330000}"/>
    <cellStyle name="Normal 3 2 5 2 4 2 2 2 2 3" xfId="35479" xr:uid="{00000000-0005-0000-0000-000000340000}"/>
    <cellStyle name="Normal 3 2 5 2 4 2 2 2 3" xfId="21388" xr:uid="{00000000-0005-0000-0000-000001340000}"/>
    <cellStyle name="Normal 3 2 5 2 4 2 2 2 3 2" xfId="53259" xr:uid="{00000000-0005-0000-0000-000002340000}"/>
    <cellStyle name="Normal 3 2 5 2 4 2 2 2 4" xfId="35478" xr:uid="{00000000-0005-0000-0000-000003340000}"/>
    <cellStyle name="Normal 3 2 5 2 4 2 2 3" xfId="3601" xr:uid="{00000000-0005-0000-0000-000004340000}"/>
    <cellStyle name="Normal 3 2 5 2 4 2 2 3 2" xfId="25327" xr:uid="{00000000-0005-0000-0000-000005340000}"/>
    <cellStyle name="Normal 3 2 5 2 4 2 2 3 2 2" xfId="57198" xr:uid="{00000000-0005-0000-0000-000006340000}"/>
    <cellStyle name="Normal 3 2 5 2 4 2 2 3 3" xfId="35480" xr:uid="{00000000-0005-0000-0000-000007340000}"/>
    <cellStyle name="Normal 3 2 5 2 4 2 2 4" xfId="17449" xr:uid="{00000000-0005-0000-0000-000008340000}"/>
    <cellStyle name="Normal 3 2 5 2 4 2 2 4 2" xfId="49320" xr:uid="{00000000-0005-0000-0000-000009340000}"/>
    <cellStyle name="Normal 3 2 5 2 4 2 2 5" xfId="35477" xr:uid="{00000000-0005-0000-0000-00000A340000}"/>
    <cellStyle name="Normal 3 2 5 2 4 2 3" xfId="3602" xr:uid="{00000000-0005-0000-0000-00000B340000}"/>
    <cellStyle name="Normal 3 2 5 2 4 2 3 2" xfId="3603" xr:uid="{00000000-0005-0000-0000-00000C340000}"/>
    <cellStyle name="Normal 3 2 5 2 4 2 3 2 2" xfId="29265" xr:uid="{00000000-0005-0000-0000-00000D340000}"/>
    <cellStyle name="Normal 3 2 5 2 4 2 3 2 2 2" xfId="61136" xr:uid="{00000000-0005-0000-0000-00000E340000}"/>
    <cellStyle name="Normal 3 2 5 2 4 2 3 2 3" xfId="35482" xr:uid="{00000000-0005-0000-0000-00000F340000}"/>
    <cellStyle name="Normal 3 2 5 2 4 2 3 3" xfId="21387" xr:uid="{00000000-0005-0000-0000-000010340000}"/>
    <cellStyle name="Normal 3 2 5 2 4 2 3 3 2" xfId="53258" xr:uid="{00000000-0005-0000-0000-000011340000}"/>
    <cellStyle name="Normal 3 2 5 2 4 2 3 4" xfId="35481" xr:uid="{00000000-0005-0000-0000-000012340000}"/>
    <cellStyle name="Normal 3 2 5 2 4 2 4" xfId="3604" xr:uid="{00000000-0005-0000-0000-000013340000}"/>
    <cellStyle name="Normal 3 2 5 2 4 2 4 2" xfId="25326" xr:uid="{00000000-0005-0000-0000-000014340000}"/>
    <cellStyle name="Normal 3 2 5 2 4 2 4 2 2" xfId="57197" xr:uid="{00000000-0005-0000-0000-000015340000}"/>
    <cellStyle name="Normal 3 2 5 2 4 2 4 3" xfId="35483" xr:uid="{00000000-0005-0000-0000-000016340000}"/>
    <cellStyle name="Normal 3 2 5 2 4 2 5" xfId="17448" xr:uid="{00000000-0005-0000-0000-000017340000}"/>
    <cellStyle name="Normal 3 2 5 2 4 2 5 2" xfId="49319" xr:uid="{00000000-0005-0000-0000-000018340000}"/>
    <cellStyle name="Normal 3 2 5 2 4 2 6" xfId="35476" xr:uid="{00000000-0005-0000-0000-000019340000}"/>
    <cellStyle name="Normal 3 2 5 2 4 3" xfId="3605" xr:uid="{00000000-0005-0000-0000-00001A340000}"/>
    <cellStyle name="Normal 3 2 5 2 4 3 2" xfId="3606" xr:uid="{00000000-0005-0000-0000-00001B340000}"/>
    <cellStyle name="Normal 3 2 5 2 4 3 2 2" xfId="3607" xr:uid="{00000000-0005-0000-0000-00001C340000}"/>
    <cellStyle name="Normal 3 2 5 2 4 3 2 2 2" xfId="29267" xr:uid="{00000000-0005-0000-0000-00001D340000}"/>
    <cellStyle name="Normal 3 2 5 2 4 3 2 2 2 2" xfId="61138" xr:uid="{00000000-0005-0000-0000-00001E340000}"/>
    <cellStyle name="Normal 3 2 5 2 4 3 2 2 3" xfId="35486" xr:uid="{00000000-0005-0000-0000-00001F340000}"/>
    <cellStyle name="Normal 3 2 5 2 4 3 2 3" xfId="21389" xr:uid="{00000000-0005-0000-0000-000020340000}"/>
    <cellStyle name="Normal 3 2 5 2 4 3 2 3 2" xfId="53260" xr:uid="{00000000-0005-0000-0000-000021340000}"/>
    <cellStyle name="Normal 3 2 5 2 4 3 2 4" xfId="35485" xr:uid="{00000000-0005-0000-0000-000022340000}"/>
    <cellStyle name="Normal 3 2 5 2 4 3 3" xfId="3608" xr:uid="{00000000-0005-0000-0000-000023340000}"/>
    <cellStyle name="Normal 3 2 5 2 4 3 3 2" xfId="25328" xr:uid="{00000000-0005-0000-0000-000024340000}"/>
    <cellStyle name="Normal 3 2 5 2 4 3 3 2 2" xfId="57199" xr:uid="{00000000-0005-0000-0000-000025340000}"/>
    <cellStyle name="Normal 3 2 5 2 4 3 3 3" xfId="35487" xr:uid="{00000000-0005-0000-0000-000026340000}"/>
    <cellStyle name="Normal 3 2 5 2 4 3 4" xfId="17450" xr:uid="{00000000-0005-0000-0000-000027340000}"/>
    <cellStyle name="Normal 3 2 5 2 4 3 4 2" xfId="49321" xr:uid="{00000000-0005-0000-0000-000028340000}"/>
    <cellStyle name="Normal 3 2 5 2 4 3 5" xfId="35484" xr:uid="{00000000-0005-0000-0000-000029340000}"/>
    <cellStyle name="Normal 3 2 5 2 4 4" xfId="3609" xr:uid="{00000000-0005-0000-0000-00002A340000}"/>
    <cellStyle name="Normal 3 2 5 2 4 4 2" xfId="3610" xr:uid="{00000000-0005-0000-0000-00002B340000}"/>
    <cellStyle name="Normal 3 2 5 2 4 4 2 2" xfId="29264" xr:uid="{00000000-0005-0000-0000-00002C340000}"/>
    <cellStyle name="Normal 3 2 5 2 4 4 2 2 2" xfId="61135" xr:uid="{00000000-0005-0000-0000-00002D340000}"/>
    <cellStyle name="Normal 3 2 5 2 4 4 2 3" xfId="35489" xr:uid="{00000000-0005-0000-0000-00002E340000}"/>
    <cellStyle name="Normal 3 2 5 2 4 4 3" xfId="21386" xr:uid="{00000000-0005-0000-0000-00002F340000}"/>
    <cellStyle name="Normal 3 2 5 2 4 4 3 2" xfId="53257" xr:uid="{00000000-0005-0000-0000-000030340000}"/>
    <cellStyle name="Normal 3 2 5 2 4 4 4" xfId="35488" xr:uid="{00000000-0005-0000-0000-000031340000}"/>
    <cellStyle name="Normal 3 2 5 2 4 5" xfId="3611" xr:uid="{00000000-0005-0000-0000-000032340000}"/>
    <cellStyle name="Normal 3 2 5 2 4 5 2" xfId="25325" xr:uid="{00000000-0005-0000-0000-000033340000}"/>
    <cellStyle name="Normal 3 2 5 2 4 5 2 2" xfId="57196" xr:uid="{00000000-0005-0000-0000-000034340000}"/>
    <cellStyle name="Normal 3 2 5 2 4 5 3" xfId="35490" xr:uid="{00000000-0005-0000-0000-000035340000}"/>
    <cellStyle name="Normal 3 2 5 2 4 6" xfId="17447" xr:uid="{00000000-0005-0000-0000-000036340000}"/>
    <cellStyle name="Normal 3 2 5 2 4 6 2" xfId="49318" xr:uid="{00000000-0005-0000-0000-000037340000}"/>
    <cellStyle name="Normal 3 2 5 2 4 7" xfId="35475" xr:uid="{00000000-0005-0000-0000-000038340000}"/>
    <cellStyle name="Normal 3 2 5 2 5" xfId="3612" xr:uid="{00000000-0005-0000-0000-000039340000}"/>
    <cellStyle name="Normal 3 2 5 2 5 2" xfId="3613" xr:uid="{00000000-0005-0000-0000-00003A340000}"/>
    <cellStyle name="Normal 3 2 5 2 5 2 2" xfId="3614" xr:uid="{00000000-0005-0000-0000-00003B340000}"/>
    <cellStyle name="Normal 3 2 5 2 5 2 2 2" xfId="3615" xr:uid="{00000000-0005-0000-0000-00003C340000}"/>
    <cellStyle name="Normal 3 2 5 2 5 2 2 2 2" xfId="29269" xr:uid="{00000000-0005-0000-0000-00003D340000}"/>
    <cellStyle name="Normal 3 2 5 2 5 2 2 2 2 2" xfId="61140" xr:uid="{00000000-0005-0000-0000-00003E340000}"/>
    <cellStyle name="Normal 3 2 5 2 5 2 2 2 3" xfId="35494" xr:uid="{00000000-0005-0000-0000-00003F340000}"/>
    <cellStyle name="Normal 3 2 5 2 5 2 2 3" xfId="21391" xr:uid="{00000000-0005-0000-0000-000040340000}"/>
    <cellStyle name="Normal 3 2 5 2 5 2 2 3 2" xfId="53262" xr:uid="{00000000-0005-0000-0000-000041340000}"/>
    <cellStyle name="Normal 3 2 5 2 5 2 2 4" xfId="35493" xr:uid="{00000000-0005-0000-0000-000042340000}"/>
    <cellStyle name="Normal 3 2 5 2 5 2 3" xfId="3616" xr:uid="{00000000-0005-0000-0000-000043340000}"/>
    <cellStyle name="Normal 3 2 5 2 5 2 3 2" xfId="25330" xr:uid="{00000000-0005-0000-0000-000044340000}"/>
    <cellStyle name="Normal 3 2 5 2 5 2 3 2 2" xfId="57201" xr:uid="{00000000-0005-0000-0000-000045340000}"/>
    <cellStyle name="Normal 3 2 5 2 5 2 3 3" xfId="35495" xr:uid="{00000000-0005-0000-0000-000046340000}"/>
    <cellStyle name="Normal 3 2 5 2 5 2 4" xfId="17452" xr:uid="{00000000-0005-0000-0000-000047340000}"/>
    <cellStyle name="Normal 3 2 5 2 5 2 4 2" xfId="49323" xr:uid="{00000000-0005-0000-0000-000048340000}"/>
    <cellStyle name="Normal 3 2 5 2 5 2 5" xfId="35492" xr:uid="{00000000-0005-0000-0000-000049340000}"/>
    <cellStyle name="Normal 3 2 5 2 5 3" xfId="3617" xr:uid="{00000000-0005-0000-0000-00004A340000}"/>
    <cellStyle name="Normal 3 2 5 2 5 3 2" xfId="3618" xr:uid="{00000000-0005-0000-0000-00004B340000}"/>
    <cellStyle name="Normal 3 2 5 2 5 3 2 2" xfId="29268" xr:uid="{00000000-0005-0000-0000-00004C340000}"/>
    <cellStyle name="Normal 3 2 5 2 5 3 2 2 2" xfId="61139" xr:uid="{00000000-0005-0000-0000-00004D340000}"/>
    <cellStyle name="Normal 3 2 5 2 5 3 2 3" xfId="35497" xr:uid="{00000000-0005-0000-0000-00004E340000}"/>
    <cellStyle name="Normal 3 2 5 2 5 3 3" xfId="21390" xr:uid="{00000000-0005-0000-0000-00004F340000}"/>
    <cellStyle name="Normal 3 2 5 2 5 3 3 2" xfId="53261" xr:uid="{00000000-0005-0000-0000-000050340000}"/>
    <cellStyle name="Normal 3 2 5 2 5 3 4" xfId="35496" xr:uid="{00000000-0005-0000-0000-000051340000}"/>
    <cellStyle name="Normal 3 2 5 2 5 4" xfId="3619" xr:uid="{00000000-0005-0000-0000-000052340000}"/>
    <cellStyle name="Normal 3 2 5 2 5 4 2" xfId="25329" xr:uid="{00000000-0005-0000-0000-000053340000}"/>
    <cellStyle name="Normal 3 2 5 2 5 4 2 2" xfId="57200" xr:uid="{00000000-0005-0000-0000-000054340000}"/>
    <cellStyle name="Normal 3 2 5 2 5 4 3" xfId="35498" xr:uid="{00000000-0005-0000-0000-000055340000}"/>
    <cellStyle name="Normal 3 2 5 2 5 5" xfId="17451" xr:uid="{00000000-0005-0000-0000-000056340000}"/>
    <cellStyle name="Normal 3 2 5 2 5 5 2" xfId="49322" xr:uid="{00000000-0005-0000-0000-000057340000}"/>
    <cellStyle name="Normal 3 2 5 2 5 6" xfId="35491" xr:uid="{00000000-0005-0000-0000-000058340000}"/>
    <cellStyle name="Normal 3 2 5 2 6" xfId="3620" xr:uid="{00000000-0005-0000-0000-000059340000}"/>
    <cellStyle name="Normal 3 2 5 2 6 2" xfId="3621" xr:uid="{00000000-0005-0000-0000-00005A340000}"/>
    <cellStyle name="Normal 3 2 5 2 6 2 2" xfId="3622" xr:uid="{00000000-0005-0000-0000-00005B340000}"/>
    <cellStyle name="Normal 3 2 5 2 6 2 2 2" xfId="29270" xr:uid="{00000000-0005-0000-0000-00005C340000}"/>
    <cellStyle name="Normal 3 2 5 2 6 2 2 2 2" xfId="61141" xr:uid="{00000000-0005-0000-0000-00005D340000}"/>
    <cellStyle name="Normal 3 2 5 2 6 2 2 3" xfId="35501" xr:uid="{00000000-0005-0000-0000-00005E340000}"/>
    <cellStyle name="Normal 3 2 5 2 6 2 3" xfId="21392" xr:uid="{00000000-0005-0000-0000-00005F340000}"/>
    <cellStyle name="Normal 3 2 5 2 6 2 3 2" xfId="53263" xr:uid="{00000000-0005-0000-0000-000060340000}"/>
    <cellStyle name="Normal 3 2 5 2 6 2 4" xfId="35500" xr:uid="{00000000-0005-0000-0000-000061340000}"/>
    <cellStyle name="Normal 3 2 5 2 6 3" xfId="3623" xr:uid="{00000000-0005-0000-0000-000062340000}"/>
    <cellStyle name="Normal 3 2 5 2 6 3 2" xfId="25331" xr:uid="{00000000-0005-0000-0000-000063340000}"/>
    <cellStyle name="Normal 3 2 5 2 6 3 2 2" xfId="57202" xr:uid="{00000000-0005-0000-0000-000064340000}"/>
    <cellStyle name="Normal 3 2 5 2 6 3 3" xfId="35502" xr:uid="{00000000-0005-0000-0000-000065340000}"/>
    <cellStyle name="Normal 3 2 5 2 6 4" xfId="17453" xr:uid="{00000000-0005-0000-0000-000066340000}"/>
    <cellStyle name="Normal 3 2 5 2 6 4 2" xfId="49324" xr:uid="{00000000-0005-0000-0000-000067340000}"/>
    <cellStyle name="Normal 3 2 5 2 6 5" xfId="35499" xr:uid="{00000000-0005-0000-0000-000068340000}"/>
    <cellStyle name="Normal 3 2 5 2 7" xfId="3624" xr:uid="{00000000-0005-0000-0000-000069340000}"/>
    <cellStyle name="Normal 3 2 5 2 7 2" xfId="3625" xr:uid="{00000000-0005-0000-0000-00006A340000}"/>
    <cellStyle name="Normal 3 2 5 2 7 2 2" xfId="28317" xr:uid="{00000000-0005-0000-0000-00006B340000}"/>
    <cellStyle name="Normal 3 2 5 2 7 2 2 2" xfId="60188" xr:uid="{00000000-0005-0000-0000-00006C340000}"/>
    <cellStyle name="Normal 3 2 5 2 7 2 3" xfId="35504" xr:uid="{00000000-0005-0000-0000-00006D340000}"/>
    <cellStyle name="Normal 3 2 5 2 7 3" xfId="20439" xr:uid="{00000000-0005-0000-0000-00006E340000}"/>
    <cellStyle name="Normal 3 2 5 2 7 3 2" xfId="52310" xr:uid="{00000000-0005-0000-0000-00006F340000}"/>
    <cellStyle name="Normal 3 2 5 2 7 4" xfId="35503" xr:uid="{00000000-0005-0000-0000-000070340000}"/>
    <cellStyle name="Normal 3 2 5 2 8" xfId="3626" xr:uid="{00000000-0005-0000-0000-000071340000}"/>
    <cellStyle name="Normal 3 2 5 2 8 2" xfId="24378" xr:uid="{00000000-0005-0000-0000-000072340000}"/>
    <cellStyle name="Normal 3 2 5 2 8 2 2" xfId="56249" xr:uid="{00000000-0005-0000-0000-000073340000}"/>
    <cellStyle name="Normal 3 2 5 2 8 3" xfId="35505" xr:uid="{00000000-0005-0000-0000-000074340000}"/>
    <cellStyle name="Normal 3 2 5 2 9" xfId="16500" xr:uid="{00000000-0005-0000-0000-000075340000}"/>
    <cellStyle name="Normal 3 2 5 2 9 2" xfId="48371" xr:uid="{00000000-0005-0000-0000-000076340000}"/>
    <cellStyle name="Normal 3 2 5 3" xfId="3627" xr:uid="{00000000-0005-0000-0000-000077340000}"/>
    <cellStyle name="Normal 3 2 5 3 10" xfId="35506" xr:uid="{00000000-0005-0000-0000-000078340000}"/>
    <cellStyle name="Normal 3 2 5 3 2" xfId="3628" xr:uid="{00000000-0005-0000-0000-000079340000}"/>
    <cellStyle name="Normal 3 2 5 3 2 2" xfId="3629" xr:uid="{00000000-0005-0000-0000-00007A340000}"/>
    <cellStyle name="Normal 3 2 5 3 2 2 2" xfId="3630" xr:uid="{00000000-0005-0000-0000-00007B340000}"/>
    <cellStyle name="Normal 3 2 5 3 2 2 2 2" xfId="3631" xr:uid="{00000000-0005-0000-0000-00007C340000}"/>
    <cellStyle name="Normal 3 2 5 3 2 2 2 2 2" xfId="3632" xr:uid="{00000000-0005-0000-0000-00007D340000}"/>
    <cellStyle name="Normal 3 2 5 3 2 2 2 2 2 2" xfId="3633" xr:uid="{00000000-0005-0000-0000-00007E340000}"/>
    <cellStyle name="Normal 3 2 5 3 2 2 2 2 2 2 2" xfId="3634" xr:uid="{00000000-0005-0000-0000-00007F340000}"/>
    <cellStyle name="Normal 3 2 5 3 2 2 2 2 2 2 2 2" xfId="29274" xr:uid="{00000000-0005-0000-0000-000080340000}"/>
    <cellStyle name="Normal 3 2 5 3 2 2 2 2 2 2 2 2 2" xfId="61145" xr:uid="{00000000-0005-0000-0000-000081340000}"/>
    <cellStyle name="Normal 3 2 5 3 2 2 2 2 2 2 2 3" xfId="35513" xr:uid="{00000000-0005-0000-0000-000082340000}"/>
    <cellStyle name="Normal 3 2 5 3 2 2 2 2 2 2 3" xfId="21396" xr:uid="{00000000-0005-0000-0000-000083340000}"/>
    <cellStyle name="Normal 3 2 5 3 2 2 2 2 2 2 3 2" xfId="53267" xr:uid="{00000000-0005-0000-0000-000084340000}"/>
    <cellStyle name="Normal 3 2 5 3 2 2 2 2 2 2 4" xfId="35512" xr:uid="{00000000-0005-0000-0000-000085340000}"/>
    <cellStyle name="Normal 3 2 5 3 2 2 2 2 2 3" xfId="3635" xr:uid="{00000000-0005-0000-0000-000086340000}"/>
    <cellStyle name="Normal 3 2 5 3 2 2 2 2 2 3 2" xfId="25335" xr:uid="{00000000-0005-0000-0000-000087340000}"/>
    <cellStyle name="Normal 3 2 5 3 2 2 2 2 2 3 2 2" xfId="57206" xr:uid="{00000000-0005-0000-0000-000088340000}"/>
    <cellStyle name="Normal 3 2 5 3 2 2 2 2 2 3 3" xfId="35514" xr:uid="{00000000-0005-0000-0000-000089340000}"/>
    <cellStyle name="Normal 3 2 5 3 2 2 2 2 2 4" xfId="17457" xr:uid="{00000000-0005-0000-0000-00008A340000}"/>
    <cellStyle name="Normal 3 2 5 3 2 2 2 2 2 4 2" xfId="49328" xr:uid="{00000000-0005-0000-0000-00008B340000}"/>
    <cellStyle name="Normal 3 2 5 3 2 2 2 2 2 5" xfId="35511" xr:uid="{00000000-0005-0000-0000-00008C340000}"/>
    <cellStyle name="Normal 3 2 5 3 2 2 2 2 3" xfId="3636" xr:uid="{00000000-0005-0000-0000-00008D340000}"/>
    <cellStyle name="Normal 3 2 5 3 2 2 2 2 3 2" xfId="3637" xr:uid="{00000000-0005-0000-0000-00008E340000}"/>
    <cellStyle name="Normal 3 2 5 3 2 2 2 2 3 2 2" xfId="29273" xr:uid="{00000000-0005-0000-0000-00008F340000}"/>
    <cellStyle name="Normal 3 2 5 3 2 2 2 2 3 2 2 2" xfId="61144" xr:uid="{00000000-0005-0000-0000-000090340000}"/>
    <cellStyle name="Normal 3 2 5 3 2 2 2 2 3 2 3" xfId="35516" xr:uid="{00000000-0005-0000-0000-000091340000}"/>
    <cellStyle name="Normal 3 2 5 3 2 2 2 2 3 3" xfId="21395" xr:uid="{00000000-0005-0000-0000-000092340000}"/>
    <cellStyle name="Normal 3 2 5 3 2 2 2 2 3 3 2" xfId="53266" xr:uid="{00000000-0005-0000-0000-000093340000}"/>
    <cellStyle name="Normal 3 2 5 3 2 2 2 2 3 4" xfId="35515" xr:uid="{00000000-0005-0000-0000-000094340000}"/>
    <cellStyle name="Normal 3 2 5 3 2 2 2 2 4" xfId="3638" xr:uid="{00000000-0005-0000-0000-000095340000}"/>
    <cellStyle name="Normal 3 2 5 3 2 2 2 2 4 2" xfId="25334" xr:uid="{00000000-0005-0000-0000-000096340000}"/>
    <cellStyle name="Normal 3 2 5 3 2 2 2 2 4 2 2" xfId="57205" xr:uid="{00000000-0005-0000-0000-000097340000}"/>
    <cellStyle name="Normal 3 2 5 3 2 2 2 2 4 3" xfId="35517" xr:uid="{00000000-0005-0000-0000-000098340000}"/>
    <cellStyle name="Normal 3 2 5 3 2 2 2 2 5" xfId="17456" xr:uid="{00000000-0005-0000-0000-000099340000}"/>
    <cellStyle name="Normal 3 2 5 3 2 2 2 2 5 2" xfId="49327" xr:uid="{00000000-0005-0000-0000-00009A340000}"/>
    <cellStyle name="Normal 3 2 5 3 2 2 2 2 6" xfId="35510" xr:uid="{00000000-0005-0000-0000-00009B340000}"/>
    <cellStyle name="Normal 3 2 5 3 2 2 2 3" xfId="3639" xr:uid="{00000000-0005-0000-0000-00009C340000}"/>
    <cellStyle name="Normal 3 2 5 3 2 2 2 3 2" xfId="3640" xr:uid="{00000000-0005-0000-0000-00009D340000}"/>
    <cellStyle name="Normal 3 2 5 3 2 2 2 3 2 2" xfId="3641" xr:uid="{00000000-0005-0000-0000-00009E340000}"/>
    <cellStyle name="Normal 3 2 5 3 2 2 2 3 2 2 2" xfId="29275" xr:uid="{00000000-0005-0000-0000-00009F340000}"/>
    <cellStyle name="Normal 3 2 5 3 2 2 2 3 2 2 2 2" xfId="61146" xr:uid="{00000000-0005-0000-0000-0000A0340000}"/>
    <cellStyle name="Normal 3 2 5 3 2 2 2 3 2 2 3" xfId="35520" xr:uid="{00000000-0005-0000-0000-0000A1340000}"/>
    <cellStyle name="Normal 3 2 5 3 2 2 2 3 2 3" xfId="21397" xr:uid="{00000000-0005-0000-0000-0000A2340000}"/>
    <cellStyle name="Normal 3 2 5 3 2 2 2 3 2 3 2" xfId="53268" xr:uid="{00000000-0005-0000-0000-0000A3340000}"/>
    <cellStyle name="Normal 3 2 5 3 2 2 2 3 2 4" xfId="35519" xr:uid="{00000000-0005-0000-0000-0000A4340000}"/>
    <cellStyle name="Normal 3 2 5 3 2 2 2 3 3" xfId="3642" xr:uid="{00000000-0005-0000-0000-0000A5340000}"/>
    <cellStyle name="Normal 3 2 5 3 2 2 2 3 3 2" xfId="25336" xr:uid="{00000000-0005-0000-0000-0000A6340000}"/>
    <cellStyle name="Normal 3 2 5 3 2 2 2 3 3 2 2" xfId="57207" xr:uid="{00000000-0005-0000-0000-0000A7340000}"/>
    <cellStyle name="Normal 3 2 5 3 2 2 2 3 3 3" xfId="35521" xr:uid="{00000000-0005-0000-0000-0000A8340000}"/>
    <cellStyle name="Normal 3 2 5 3 2 2 2 3 4" xfId="17458" xr:uid="{00000000-0005-0000-0000-0000A9340000}"/>
    <cellStyle name="Normal 3 2 5 3 2 2 2 3 4 2" xfId="49329" xr:uid="{00000000-0005-0000-0000-0000AA340000}"/>
    <cellStyle name="Normal 3 2 5 3 2 2 2 3 5" xfId="35518" xr:uid="{00000000-0005-0000-0000-0000AB340000}"/>
    <cellStyle name="Normal 3 2 5 3 2 2 2 4" xfId="3643" xr:uid="{00000000-0005-0000-0000-0000AC340000}"/>
    <cellStyle name="Normal 3 2 5 3 2 2 2 4 2" xfId="3644" xr:uid="{00000000-0005-0000-0000-0000AD340000}"/>
    <cellStyle name="Normal 3 2 5 3 2 2 2 4 2 2" xfId="29272" xr:uid="{00000000-0005-0000-0000-0000AE340000}"/>
    <cellStyle name="Normal 3 2 5 3 2 2 2 4 2 2 2" xfId="61143" xr:uid="{00000000-0005-0000-0000-0000AF340000}"/>
    <cellStyle name="Normal 3 2 5 3 2 2 2 4 2 3" xfId="35523" xr:uid="{00000000-0005-0000-0000-0000B0340000}"/>
    <cellStyle name="Normal 3 2 5 3 2 2 2 4 3" xfId="21394" xr:uid="{00000000-0005-0000-0000-0000B1340000}"/>
    <cellStyle name="Normal 3 2 5 3 2 2 2 4 3 2" xfId="53265" xr:uid="{00000000-0005-0000-0000-0000B2340000}"/>
    <cellStyle name="Normal 3 2 5 3 2 2 2 4 4" xfId="35522" xr:uid="{00000000-0005-0000-0000-0000B3340000}"/>
    <cellStyle name="Normal 3 2 5 3 2 2 2 5" xfId="3645" xr:uid="{00000000-0005-0000-0000-0000B4340000}"/>
    <cellStyle name="Normal 3 2 5 3 2 2 2 5 2" xfId="25333" xr:uid="{00000000-0005-0000-0000-0000B5340000}"/>
    <cellStyle name="Normal 3 2 5 3 2 2 2 5 2 2" xfId="57204" xr:uid="{00000000-0005-0000-0000-0000B6340000}"/>
    <cellStyle name="Normal 3 2 5 3 2 2 2 5 3" xfId="35524" xr:uid="{00000000-0005-0000-0000-0000B7340000}"/>
    <cellStyle name="Normal 3 2 5 3 2 2 2 6" xfId="17455" xr:uid="{00000000-0005-0000-0000-0000B8340000}"/>
    <cellStyle name="Normal 3 2 5 3 2 2 2 6 2" xfId="49326" xr:uid="{00000000-0005-0000-0000-0000B9340000}"/>
    <cellStyle name="Normal 3 2 5 3 2 2 2 7" xfId="35509" xr:uid="{00000000-0005-0000-0000-0000BA340000}"/>
    <cellStyle name="Normal 3 2 5 3 2 2 3" xfId="3646" xr:uid="{00000000-0005-0000-0000-0000BB340000}"/>
    <cellStyle name="Normal 3 2 5 3 2 2 3 2" xfId="3647" xr:uid="{00000000-0005-0000-0000-0000BC340000}"/>
    <cellStyle name="Normal 3 2 5 3 2 2 3 2 2" xfId="3648" xr:uid="{00000000-0005-0000-0000-0000BD340000}"/>
    <cellStyle name="Normal 3 2 5 3 2 2 3 2 2 2" xfId="3649" xr:uid="{00000000-0005-0000-0000-0000BE340000}"/>
    <cellStyle name="Normal 3 2 5 3 2 2 3 2 2 2 2" xfId="29277" xr:uid="{00000000-0005-0000-0000-0000BF340000}"/>
    <cellStyle name="Normal 3 2 5 3 2 2 3 2 2 2 2 2" xfId="61148" xr:uid="{00000000-0005-0000-0000-0000C0340000}"/>
    <cellStyle name="Normal 3 2 5 3 2 2 3 2 2 2 3" xfId="35528" xr:uid="{00000000-0005-0000-0000-0000C1340000}"/>
    <cellStyle name="Normal 3 2 5 3 2 2 3 2 2 3" xfId="21399" xr:uid="{00000000-0005-0000-0000-0000C2340000}"/>
    <cellStyle name="Normal 3 2 5 3 2 2 3 2 2 3 2" xfId="53270" xr:uid="{00000000-0005-0000-0000-0000C3340000}"/>
    <cellStyle name="Normal 3 2 5 3 2 2 3 2 2 4" xfId="35527" xr:uid="{00000000-0005-0000-0000-0000C4340000}"/>
    <cellStyle name="Normal 3 2 5 3 2 2 3 2 3" xfId="3650" xr:uid="{00000000-0005-0000-0000-0000C5340000}"/>
    <cellStyle name="Normal 3 2 5 3 2 2 3 2 3 2" xfId="25338" xr:uid="{00000000-0005-0000-0000-0000C6340000}"/>
    <cellStyle name="Normal 3 2 5 3 2 2 3 2 3 2 2" xfId="57209" xr:uid="{00000000-0005-0000-0000-0000C7340000}"/>
    <cellStyle name="Normal 3 2 5 3 2 2 3 2 3 3" xfId="35529" xr:uid="{00000000-0005-0000-0000-0000C8340000}"/>
    <cellStyle name="Normal 3 2 5 3 2 2 3 2 4" xfId="17460" xr:uid="{00000000-0005-0000-0000-0000C9340000}"/>
    <cellStyle name="Normal 3 2 5 3 2 2 3 2 4 2" xfId="49331" xr:uid="{00000000-0005-0000-0000-0000CA340000}"/>
    <cellStyle name="Normal 3 2 5 3 2 2 3 2 5" xfId="35526" xr:uid="{00000000-0005-0000-0000-0000CB340000}"/>
    <cellStyle name="Normal 3 2 5 3 2 2 3 3" xfId="3651" xr:uid="{00000000-0005-0000-0000-0000CC340000}"/>
    <cellStyle name="Normal 3 2 5 3 2 2 3 3 2" xfId="3652" xr:uid="{00000000-0005-0000-0000-0000CD340000}"/>
    <cellStyle name="Normal 3 2 5 3 2 2 3 3 2 2" xfId="29276" xr:uid="{00000000-0005-0000-0000-0000CE340000}"/>
    <cellStyle name="Normal 3 2 5 3 2 2 3 3 2 2 2" xfId="61147" xr:uid="{00000000-0005-0000-0000-0000CF340000}"/>
    <cellStyle name="Normal 3 2 5 3 2 2 3 3 2 3" xfId="35531" xr:uid="{00000000-0005-0000-0000-0000D0340000}"/>
    <cellStyle name="Normal 3 2 5 3 2 2 3 3 3" xfId="21398" xr:uid="{00000000-0005-0000-0000-0000D1340000}"/>
    <cellStyle name="Normal 3 2 5 3 2 2 3 3 3 2" xfId="53269" xr:uid="{00000000-0005-0000-0000-0000D2340000}"/>
    <cellStyle name="Normal 3 2 5 3 2 2 3 3 4" xfId="35530" xr:uid="{00000000-0005-0000-0000-0000D3340000}"/>
    <cellStyle name="Normal 3 2 5 3 2 2 3 4" xfId="3653" xr:uid="{00000000-0005-0000-0000-0000D4340000}"/>
    <cellStyle name="Normal 3 2 5 3 2 2 3 4 2" xfId="25337" xr:uid="{00000000-0005-0000-0000-0000D5340000}"/>
    <cellStyle name="Normal 3 2 5 3 2 2 3 4 2 2" xfId="57208" xr:uid="{00000000-0005-0000-0000-0000D6340000}"/>
    <cellStyle name="Normal 3 2 5 3 2 2 3 4 3" xfId="35532" xr:uid="{00000000-0005-0000-0000-0000D7340000}"/>
    <cellStyle name="Normal 3 2 5 3 2 2 3 5" xfId="17459" xr:uid="{00000000-0005-0000-0000-0000D8340000}"/>
    <cellStyle name="Normal 3 2 5 3 2 2 3 5 2" xfId="49330" xr:uid="{00000000-0005-0000-0000-0000D9340000}"/>
    <cellStyle name="Normal 3 2 5 3 2 2 3 6" xfId="35525" xr:uid="{00000000-0005-0000-0000-0000DA340000}"/>
    <cellStyle name="Normal 3 2 5 3 2 2 4" xfId="3654" xr:uid="{00000000-0005-0000-0000-0000DB340000}"/>
    <cellStyle name="Normal 3 2 5 3 2 2 4 2" xfId="3655" xr:uid="{00000000-0005-0000-0000-0000DC340000}"/>
    <cellStyle name="Normal 3 2 5 3 2 2 4 2 2" xfId="3656" xr:uid="{00000000-0005-0000-0000-0000DD340000}"/>
    <cellStyle name="Normal 3 2 5 3 2 2 4 2 2 2" xfId="29278" xr:uid="{00000000-0005-0000-0000-0000DE340000}"/>
    <cellStyle name="Normal 3 2 5 3 2 2 4 2 2 2 2" xfId="61149" xr:uid="{00000000-0005-0000-0000-0000DF340000}"/>
    <cellStyle name="Normal 3 2 5 3 2 2 4 2 2 3" xfId="35535" xr:uid="{00000000-0005-0000-0000-0000E0340000}"/>
    <cellStyle name="Normal 3 2 5 3 2 2 4 2 3" xfId="21400" xr:uid="{00000000-0005-0000-0000-0000E1340000}"/>
    <cellStyle name="Normal 3 2 5 3 2 2 4 2 3 2" xfId="53271" xr:uid="{00000000-0005-0000-0000-0000E2340000}"/>
    <cellStyle name="Normal 3 2 5 3 2 2 4 2 4" xfId="35534" xr:uid="{00000000-0005-0000-0000-0000E3340000}"/>
    <cellStyle name="Normal 3 2 5 3 2 2 4 3" xfId="3657" xr:uid="{00000000-0005-0000-0000-0000E4340000}"/>
    <cellStyle name="Normal 3 2 5 3 2 2 4 3 2" xfId="25339" xr:uid="{00000000-0005-0000-0000-0000E5340000}"/>
    <cellStyle name="Normal 3 2 5 3 2 2 4 3 2 2" xfId="57210" xr:uid="{00000000-0005-0000-0000-0000E6340000}"/>
    <cellStyle name="Normal 3 2 5 3 2 2 4 3 3" xfId="35536" xr:uid="{00000000-0005-0000-0000-0000E7340000}"/>
    <cellStyle name="Normal 3 2 5 3 2 2 4 4" xfId="17461" xr:uid="{00000000-0005-0000-0000-0000E8340000}"/>
    <cellStyle name="Normal 3 2 5 3 2 2 4 4 2" xfId="49332" xr:uid="{00000000-0005-0000-0000-0000E9340000}"/>
    <cellStyle name="Normal 3 2 5 3 2 2 4 5" xfId="35533" xr:uid="{00000000-0005-0000-0000-0000EA340000}"/>
    <cellStyle name="Normal 3 2 5 3 2 2 5" xfId="3658" xr:uid="{00000000-0005-0000-0000-0000EB340000}"/>
    <cellStyle name="Normal 3 2 5 3 2 2 5 2" xfId="3659" xr:uid="{00000000-0005-0000-0000-0000EC340000}"/>
    <cellStyle name="Normal 3 2 5 3 2 2 5 2 2" xfId="29271" xr:uid="{00000000-0005-0000-0000-0000ED340000}"/>
    <cellStyle name="Normal 3 2 5 3 2 2 5 2 2 2" xfId="61142" xr:uid="{00000000-0005-0000-0000-0000EE340000}"/>
    <cellStyle name="Normal 3 2 5 3 2 2 5 2 3" xfId="35538" xr:uid="{00000000-0005-0000-0000-0000EF340000}"/>
    <cellStyle name="Normal 3 2 5 3 2 2 5 3" xfId="21393" xr:uid="{00000000-0005-0000-0000-0000F0340000}"/>
    <cellStyle name="Normal 3 2 5 3 2 2 5 3 2" xfId="53264" xr:uid="{00000000-0005-0000-0000-0000F1340000}"/>
    <cellStyle name="Normal 3 2 5 3 2 2 5 4" xfId="35537" xr:uid="{00000000-0005-0000-0000-0000F2340000}"/>
    <cellStyle name="Normal 3 2 5 3 2 2 6" xfId="3660" xr:uid="{00000000-0005-0000-0000-0000F3340000}"/>
    <cellStyle name="Normal 3 2 5 3 2 2 6 2" xfId="25332" xr:uid="{00000000-0005-0000-0000-0000F4340000}"/>
    <cellStyle name="Normal 3 2 5 3 2 2 6 2 2" xfId="57203" xr:uid="{00000000-0005-0000-0000-0000F5340000}"/>
    <cellStyle name="Normal 3 2 5 3 2 2 6 3" xfId="35539" xr:uid="{00000000-0005-0000-0000-0000F6340000}"/>
    <cellStyle name="Normal 3 2 5 3 2 2 7" xfId="17454" xr:uid="{00000000-0005-0000-0000-0000F7340000}"/>
    <cellStyle name="Normal 3 2 5 3 2 2 7 2" xfId="49325" xr:uid="{00000000-0005-0000-0000-0000F8340000}"/>
    <cellStyle name="Normal 3 2 5 3 2 2 8" xfId="35508" xr:uid="{00000000-0005-0000-0000-0000F9340000}"/>
    <cellStyle name="Normal 3 2 5 3 2 3" xfId="3661" xr:uid="{00000000-0005-0000-0000-0000FA340000}"/>
    <cellStyle name="Normal 3 2 5 3 2 3 2" xfId="3662" xr:uid="{00000000-0005-0000-0000-0000FB340000}"/>
    <cellStyle name="Normal 3 2 5 3 2 3 2 2" xfId="3663" xr:uid="{00000000-0005-0000-0000-0000FC340000}"/>
    <cellStyle name="Normal 3 2 5 3 2 3 2 2 2" xfId="3664" xr:uid="{00000000-0005-0000-0000-0000FD340000}"/>
    <cellStyle name="Normal 3 2 5 3 2 3 2 2 2 2" xfId="3665" xr:uid="{00000000-0005-0000-0000-0000FE340000}"/>
    <cellStyle name="Normal 3 2 5 3 2 3 2 2 2 2 2" xfId="29281" xr:uid="{00000000-0005-0000-0000-0000FF340000}"/>
    <cellStyle name="Normal 3 2 5 3 2 3 2 2 2 2 2 2" xfId="61152" xr:uid="{00000000-0005-0000-0000-000000350000}"/>
    <cellStyle name="Normal 3 2 5 3 2 3 2 2 2 2 3" xfId="35544" xr:uid="{00000000-0005-0000-0000-000001350000}"/>
    <cellStyle name="Normal 3 2 5 3 2 3 2 2 2 3" xfId="21403" xr:uid="{00000000-0005-0000-0000-000002350000}"/>
    <cellStyle name="Normal 3 2 5 3 2 3 2 2 2 3 2" xfId="53274" xr:uid="{00000000-0005-0000-0000-000003350000}"/>
    <cellStyle name="Normal 3 2 5 3 2 3 2 2 2 4" xfId="35543" xr:uid="{00000000-0005-0000-0000-000004350000}"/>
    <cellStyle name="Normal 3 2 5 3 2 3 2 2 3" xfId="3666" xr:uid="{00000000-0005-0000-0000-000005350000}"/>
    <cellStyle name="Normal 3 2 5 3 2 3 2 2 3 2" xfId="25342" xr:uid="{00000000-0005-0000-0000-000006350000}"/>
    <cellStyle name="Normal 3 2 5 3 2 3 2 2 3 2 2" xfId="57213" xr:uid="{00000000-0005-0000-0000-000007350000}"/>
    <cellStyle name="Normal 3 2 5 3 2 3 2 2 3 3" xfId="35545" xr:uid="{00000000-0005-0000-0000-000008350000}"/>
    <cellStyle name="Normal 3 2 5 3 2 3 2 2 4" xfId="17464" xr:uid="{00000000-0005-0000-0000-000009350000}"/>
    <cellStyle name="Normal 3 2 5 3 2 3 2 2 4 2" xfId="49335" xr:uid="{00000000-0005-0000-0000-00000A350000}"/>
    <cellStyle name="Normal 3 2 5 3 2 3 2 2 5" xfId="35542" xr:uid="{00000000-0005-0000-0000-00000B350000}"/>
    <cellStyle name="Normal 3 2 5 3 2 3 2 3" xfId="3667" xr:uid="{00000000-0005-0000-0000-00000C350000}"/>
    <cellStyle name="Normal 3 2 5 3 2 3 2 3 2" xfId="3668" xr:uid="{00000000-0005-0000-0000-00000D350000}"/>
    <cellStyle name="Normal 3 2 5 3 2 3 2 3 2 2" xfId="29280" xr:uid="{00000000-0005-0000-0000-00000E350000}"/>
    <cellStyle name="Normal 3 2 5 3 2 3 2 3 2 2 2" xfId="61151" xr:uid="{00000000-0005-0000-0000-00000F350000}"/>
    <cellStyle name="Normal 3 2 5 3 2 3 2 3 2 3" xfId="35547" xr:uid="{00000000-0005-0000-0000-000010350000}"/>
    <cellStyle name="Normal 3 2 5 3 2 3 2 3 3" xfId="21402" xr:uid="{00000000-0005-0000-0000-000011350000}"/>
    <cellStyle name="Normal 3 2 5 3 2 3 2 3 3 2" xfId="53273" xr:uid="{00000000-0005-0000-0000-000012350000}"/>
    <cellStyle name="Normal 3 2 5 3 2 3 2 3 4" xfId="35546" xr:uid="{00000000-0005-0000-0000-000013350000}"/>
    <cellStyle name="Normal 3 2 5 3 2 3 2 4" xfId="3669" xr:uid="{00000000-0005-0000-0000-000014350000}"/>
    <cellStyle name="Normal 3 2 5 3 2 3 2 4 2" xfId="25341" xr:uid="{00000000-0005-0000-0000-000015350000}"/>
    <cellStyle name="Normal 3 2 5 3 2 3 2 4 2 2" xfId="57212" xr:uid="{00000000-0005-0000-0000-000016350000}"/>
    <cellStyle name="Normal 3 2 5 3 2 3 2 4 3" xfId="35548" xr:uid="{00000000-0005-0000-0000-000017350000}"/>
    <cellStyle name="Normal 3 2 5 3 2 3 2 5" xfId="17463" xr:uid="{00000000-0005-0000-0000-000018350000}"/>
    <cellStyle name="Normal 3 2 5 3 2 3 2 5 2" xfId="49334" xr:uid="{00000000-0005-0000-0000-000019350000}"/>
    <cellStyle name="Normal 3 2 5 3 2 3 2 6" xfId="35541" xr:uid="{00000000-0005-0000-0000-00001A350000}"/>
    <cellStyle name="Normal 3 2 5 3 2 3 3" xfId="3670" xr:uid="{00000000-0005-0000-0000-00001B350000}"/>
    <cellStyle name="Normal 3 2 5 3 2 3 3 2" xfId="3671" xr:uid="{00000000-0005-0000-0000-00001C350000}"/>
    <cellStyle name="Normal 3 2 5 3 2 3 3 2 2" xfId="3672" xr:uid="{00000000-0005-0000-0000-00001D350000}"/>
    <cellStyle name="Normal 3 2 5 3 2 3 3 2 2 2" xfId="29282" xr:uid="{00000000-0005-0000-0000-00001E350000}"/>
    <cellStyle name="Normal 3 2 5 3 2 3 3 2 2 2 2" xfId="61153" xr:uid="{00000000-0005-0000-0000-00001F350000}"/>
    <cellStyle name="Normal 3 2 5 3 2 3 3 2 2 3" xfId="35551" xr:uid="{00000000-0005-0000-0000-000020350000}"/>
    <cellStyle name="Normal 3 2 5 3 2 3 3 2 3" xfId="21404" xr:uid="{00000000-0005-0000-0000-000021350000}"/>
    <cellStyle name="Normal 3 2 5 3 2 3 3 2 3 2" xfId="53275" xr:uid="{00000000-0005-0000-0000-000022350000}"/>
    <cellStyle name="Normal 3 2 5 3 2 3 3 2 4" xfId="35550" xr:uid="{00000000-0005-0000-0000-000023350000}"/>
    <cellStyle name="Normal 3 2 5 3 2 3 3 3" xfId="3673" xr:uid="{00000000-0005-0000-0000-000024350000}"/>
    <cellStyle name="Normal 3 2 5 3 2 3 3 3 2" xfId="25343" xr:uid="{00000000-0005-0000-0000-000025350000}"/>
    <cellStyle name="Normal 3 2 5 3 2 3 3 3 2 2" xfId="57214" xr:uid="{00000000-0005-0000-0000-000026350000}"/>
    <cellStyle name="Normal 3 2 5 3 2 3 3 3 3" xfId="35552" xr:uid="{00000000-0005-0000-0000-000027350000}"/>
    <cellStyle name="Normal 3 2 5 3 2 3 3 4" xfId="17465" xr:uid="{00000000-0005-0000-0000-000028350000}"/>
    <cellStyle name="Normal 3 2 5 3 2 3 3 4 2" xfId="49336" xr:uid="{00000000-0005-0000-0000-000029350000}"/>
    <cellStyle name="Normal 3 2 5 3 2 3 3 5" xfId="35549" xr:uid="{00000000-0005-0000-0000-00002A350000}"/>
    <cellStyle name="Normal 3 2 5 3 2 3 4" xfId="3674" xr:uid="{00000000-0005-0000-0000-00002B350000}"/>
    <cellStyle name="Normal 3 2 5 3 2 3 4 2" xfId="3675" xr:uid="{00000000-0005-0000-0000-00002C350000}"/>
    <cellStyle name="Normal 3 2 5 3 2 3 4 2 2" xfId="29279" xr:uid="{00000000-0005-0000-0000-00002D350000}"/>
    <cellStyle name="Normal 3 2 5 3 2 3 4 2 2 2" xfId="61150" xr:uid="{00000000-0005-0000-0000-00002E350000}"/>
    <cellStyle name="Normal 3 2 5 3 2 3 4 2 3" xfId="35554" xr:uid="{00000000-0005-0000-0000-00002F350000}"/>
    <cellStyle name="Normal 3 2 5 3 2 3 4 3" xfId="21401" xr:uid="{00000000-0005-0000-0000-000030350000}"/>
    <cellStyle name="Normal 3 2 5 3 2 3 4 3 2" xfId="53272" xr:uid="{00000000-0005-0000-0000-000031350000}"/>
    <cellStyle name="Normal 3 2 5 3 2 3 4 4" xfId="35553" xr:uid="{00000000-0005-0000-0000-000032350000}"/>
    <cellStyle name="Normal 3 2 5 3 2 3 5" xfId="3676" xr:uid="{00000000-0005-0000-0000-000033350000}"/>
    <cellStyle name="Normal 3 2 5 3 2 3 5 2" xfId="25340" xr:uid="{00000000-0005-0000-0000-000034350000}"/>
    <cellStyle name="Normal 3 2 5 3 2 3 5 2 2" xfId="57211" xr:uid="{00000000-0005-0000-0000-000035350000}"/>
    <cellStyle name="Normal 3 2 5 3 2 3 5 3" xfId="35555" xr:uid="{00000000-0005-0000-0000-000036350000}"/>
    <cellStyle name="Normal 3 2 5 3 2 3 6" xfId="17462" xr:uid="{00000000-0005-0000-0000-000037350000}"/>
    <cellStyle name="Normal 3 2 5 3 2 3 6 2" xfId="49333" xr:uid="{00000000-0005-0000-0000-000038350000}"/>
    <cellStyle name="Normal 3 2 5 3 2 3 7" xfId="35540" xr:uid="{00000000-0005-0000-0000-000039350000}"/>
    <cellStyle name="Normal 3 2 5 3 2 4" xfId="3677" xr:uid="{00000000-0005-0000-0000-00003A350000}"/>
    <cellStyle name="Normal 3 2 5 3 2 4 2" xfId="3678" xr:uid="{00000000-0005-0000-0000-00003B350000}"/>
    <cellStyle name="Normal 3 2 5 3 2 4 2 2" xfId="3679" xr:uid="{00000000-0005-0000-0000-00003C350000}"/>
    <cellStyle name="Normal 3 2 5 3 2 4 2 2 2" xfId="3680" xr:uid="{00000000-0005-0000-0000-00003D350000}"/>
    <cellStyle name="Normal 3 2 5 3 2 4 2 2 2 2" xfId="29284" xr:uid="{00000000-0005-0000-0000-00003E350000}"/>
    <cellStyle name="Normal 3 2 5 3 2 4 2 2 2 2 2" xfId="61155" xr:uid="{00000000-0005-0000-0000-00003F350000}"/>
    <cellStyle name="Normal 3 2 5 3 2 4 2 2 2 3" xfId="35559" xr:uid="{00000000-0005-0000-0000-000040350000}"/>
    <cellStyle name="Normal 3 2 5 3 2 4 2 2 3" xfId="21406" xr:uid="{00000000-0005-0000-0000-000041350000}"/>
    <cellStyle name="Normal 3 2 5 3 2 4 2 2 3 2" xfId="53277" xr:uid="{00000000-0005-0000-0000-000042350000}"/>
    <cellStyle name="Normal 3 2 5 3 2 4 2 2 4" xfId="35558" xr:uid="{00000000-0005-0000-0000-000043350000}"/>
    <cellStyle name="Normal 3 2 5 3 2 4 2 3" xfId="3681" xr:uid="{00000000-0005-0000-0000-000044350000}"/>
    <cellStyle name="Normal 3 2 5 3 2 4 2 3 2" xfId="25345" xr:uid="{00000000-0005-0000-0000-000045350000}"/>
    <cellStyle name="Normal 3 2 5 3 2 4 2 3 2 2" xfId="57216" xr:uid="{00000000-0005-0000-0000-000046350000}"/>
    <cellStyle name="Normal 3 2 5 3 2 4 2 3 3" xfId="35560" xr:uid="{00000000-0005-0000-0000-000047350000}"/>
    <cellStyle name="Normal 3 2 5 3 2 4 2 4" xfId="17467" xr:uid="{00000000-0005-0000-0000-000048350000}"/>
    <cellStyle name="Normal 3 2 5 3 2 4 2 4 2" xfId="49338" xr:uid="{00000000-0005-0000-0000-000049350000}"/>
    <cellStyle name="Normal 3 2 5 3 2 4 2 5" xfId="35557" xr:uid="{00000000-0005-0000-0000-00004A350000}"/>
    <cellStyle name="Normal 3 2 5 3 2 4 3" xfId="3682" xr:uid="{00000000-0005-0000-0000-00004B350000}"/>
    <cellStyle name="Normal 3 2 5 3 2 4 3 2" xfId="3683" xr:uid="{00000000-0005-0000-0000-00004C350000}"/>
    <cellStyle name="Normal 3 2 5 3 2 4 3 2 2" xfId="29283" xr:uid="{00000000-0005-0000-0000-00004D350000}"/>
    <cellStyle name="Normal 3 2 5 3 2 4 3 2 2 2" xfId="61154" xr:uid="{00000000-0005-0000-0000-00004E350000}"/>
    <cellStyle name="Normal 3 2 5 3 2 4 3 2 3" xfId="35562" xr:uid="{00000000-0005-0000-0000-00004F350000}"/>
    <cellStyle name="Normal 3 2 5 3 2 4 3 3" xfId="21405" xr:uid="{00000000-0005-0000-0000-000050350000}"/>
    <cellStyle name="Normal 3 2 5 3 2 4 3 3 2" xfId="53276" xr:uid="{00000000-0005-0000-0000-000051350000}"/>
    <cellStyle name="Normal 3 2 5 3 2 4 3 4" xfId="35561" xr:uid="{00000000-0005-0000-0000-000052350000}"/>
    <cellStyle name="Normal 3 2 5 3 2 4 4" xfId="3684" xr:uid="{00000000-0005-0000-0000-000053350000}"/>
    <cellStyle name="Normal 3 2 5 3 2 4 4 2" xfId="25344" xr:uid="{00000000-0005-0000-0000-000054350000}"/>
    <cellStyle name="Normal 3 2 5 3 2 4 4 2 2" xfId="57215" xr:uid="{00000000-0005-0000-0000-000055350000}"/>
    <cellStyle name="Normal 3 2 5 3 2 4 4 3" xfId="35563" xr:uid="{00000000-0005-0000-0000-000056350000}"/>
    <cellStyle name="Normal 3 2 5 3 2 4 5" xfId="17466" xr:uid="{00000000-0005-0000-0000-000057350000}"/>
    <cellStyle name="Normal 3 2 5 3 2 4 5 2" xfId="49337" xr:uid="{00000000-0005-0000-0000-000058350000}"/>
    <cellStyle name="Normal 3 2 5 3 2 4 6" xfId="35556" xr:uid="{00000000-0005-0000-0000-000059350000}"/>
    <cellStyle name="Normal 3 2 5 3 2 5" xfId="3685" xr:uid="{00000000-0005-0000-0000-00005A350000}"/>
    <cellStyle name="Normal 3 2 5 3 2 5 2" xfId="3686" xr:uid="{00000000-0005-0000-0000-00005B350000}"/>
    <cellStyle name="Normal 3 2 5 3 2 5 2 2" xfId="3687" xr:uid="{00000000-0005-0000-0000-00005C350000}"/>
    <cellStyle name="Normal 3 2 5 3 2 5 2 2 2" xfId="29285" xr:uid="{00000000-0005-0000-0000-00005D350000}"/>
    <cellStyle name="Normal 3 2 5 3 2 5 2 2 2 2" xfId="61156" xr:uid="{00000000-0005-0000-0000-00005E350000}"/>
    <cellStyle name="Normal 3 2 5 3 2 5 2 2 3" xfId="35566" xr:uid="{00000000-0005-0000-0000-00005F350000}"/>
    <cellStyle name="Normal 3 2 5 3 2 5 2 3" xfId="21407" xr:uid="{00000000-0005-0000-0000-000060350000}"/>
    <cellStyle name="Normal 3 2 5 3 2 5 2 3 2" xfId="53278" xr:uid="{00000000-0005-0000-0000-000061350000}"/>
    <cellStyle name="Normal 3 2 5 3 2 5 2 4" xfId="35565" xr:uid="{00000000-0005-0000-0000-000062350000}"/>
    <cellStyle name="Normal 3 2 5 3 2 5 3" xfId="3688" xr:uid="{00000000-0005-0000-0000-000063350000}"/>
    <cellStyle name="Normal 3 2 5 3 2 5 3 2" xfId="25346" xr:uid="{00000000-0005-0000-0000-000064350000}"/>
    <cellStyle name="Normal 3 2 5 3 2 5 3 2 2" xfId="57217" xr:uid="{00000000-0005-0000-0000-000065350000}"/>
    <cellStyle name="Normal 3 2 5 3 2 5 3 3" xfId="35567" xr:uid="{00000000-0005-0000-0000-000066350000}"/>
    <cellStyle name="Normal 3 2 5 3 2 5 4" xfId="17468" xr:uid="{00000000-0005-0000-0000-000067350000}"/>
    <cellStyle name="Normal 3 2 5 3 2 5 4 2" xfId="49339" xr:uid="{00000000-0005-0000-0000-000068350000}"/>
    <cellStyle name="Normal 3 2 5 3 2 5 5" xfId="35564" xr:uid="{00000000-0005-0000-0000-000069350000}"/>
    <cellStyle name="Normal 3 2 5 3 2 6" xfId="3689" xr:uid="{00000000-0005-0000-0000-00006A350000}"/>
    <cellStyle name="Normal 3 2 5 3 2 6 2" xfId="3690" xr:uid="{00000000-0005-0000-0000-00006B350000}"/>
    <cellStyle name="Normal 3 2 5 3 2 6 2 2" xfId="28481" xr:uid="{00000000-0005-0000-0000-00006C350000}"/>
    <cellStyle name="Normal 3 2 5 3 2 6 2 2 2" xfId="60352" xr:uid="{00000000-0005-0000-0000-00006D350000}"/>
    <cellStyle name="Normal 3 2 5 3 2 6 2 3" xfId="35569" xr:uid="{00000000-0005-0000-0000-00006E350000}"/>
    <cellStyle name="Normal 3 2 5 3 2 6 3" xfId="20603" xr:uid="{00000000-0005-0000-0000-00006F350000}"/>
    <cellStyle name="Normal 3 2 5 3 2 6 3 2" xfId="52474" xr:uid="{00000000-0005-0000-0000-000070350000}"/>
    <cellStyle name="Normal 3 2 5 3 2 6 4" xfId="35568" xr:uid="{00000000-0005-0000-0000-000071350000}"/>
    <cellStyle name="Normal 3 2 5 3 2 7" xfId="3691" xr:uid="{00000000-0005-0000-0000-000072350000}"/>
    <cellStyle name="Normal 3 2 5 3 2 7 2" xfId="24542" xr:uid="{00000000-0005-0000-0000-000073350000}"/>
    <cellStyle name="Normal 3 2 5 3 2 7 2 2" xfId="56413" xr:uid="{00000000-0005-0000-0000-000074350000}"/>
    <cellStyle name="Normal 3 2 5 3 2 7 3" xfId="35570" xr:uid="{00000000-0005-0000-0000-000075350000}"/>
    <cellStyle name="Normal 3 2 5 3 2 8" xfId="16664" xr:uid="{00000000-0005-0000-0000-000076350000}"/>
    <cellStyle name="Normal 3 2 5 3 2 8 2" xfId="48535" xr:uid="{00000000-0005-0000-0000-000077350000}"/>
    <cellStyle name="Normal 3 2 5 3 2 9" xfId="35507" xr:uid="{00000000-0005-0000-0000-000078350000}"/>
    <cellStyle name="Normal 3 2 5 3 3" xfId="3692" xr:uid="{00000000-0005-0000-0000-000079350000}"/>
    <cellStyle name="Normal 3 2 5 3 3 2" xfId="3693" xr:uid="{00000000-0005-0000-0000-00007A350000}"/>
    <cellStyle name="Normal 3 2 5 3 3 2 2" xfId="3694" xr:uid="{00000000-0005-0000-0000-00007B350000}"/>
    <cellStyle name="Normal 3 2 5 3 3 2 2 2" xfId="3695" xr:uid="{00000000-0005-0000-0000-00007C350000}"/>
    <cellStyle name="Normal 3 2 5 3 3 2 2 2 2" xfId="3696" xr:uid="{00000000-0005-0000-0000-00007D350000}"/>
    <cellStyle name="Normal 3 2 5 3 3 2 2 2 2 2" xfId="3697" xr:uid="{00000000-0005-0000-0000-00007E350000}"/>
    <cellStyle name="Normal 3 2 5 3 3 2 2 2 2 2 2" xfId="29289" xr:uid="{00000000-0005-0000-0000-00007F350000}"/>
    <cellStyle name="Normal 3 2 5 3 3 2 2 2 2 2 2 2" xfId="61160" xr:uid="{00000000-0005-0000-0000-000080350000}"/>
    <cellStyle name="Normal 3 2 5 3 3 2 2 2 2 2 3" xfId="35576" xr:uid="{00000000-0005-0000-0000-000081350000}"/>
    <cellStyle name="Normal 3 2 5 3 3 2 2 2 2 3" xfId="21411" xr:uid="{00000000-0005-0000-0000-000082350000}"/>
    <cellStyle name="Normal 3 2 5 3 3 2 2 2 2 3 2" xfId="53282" xr:uid="{00000000-0005-0000-0000-000083350000}"/>
    <cellStyle name="Normal 3 2 5 3 3 2 2 2 2 4" xfId="35575" xr:uid="{00000000-0005-0000-0000-000084350000}"/>
    <cellStyle name="Normal 3 2 5 3 3 2 2 2 3" xfId="3698" xr:uid="{00000000-0005-0000-0000-000085350000}"/>
    <cellStyle name="Normal 3 2 5 3 3 2 2 2 3 2" xfId="25350" xr:uid="{00000000-0005-0000-0000-000086350000}"/>
    <cellStyle name="Normal 3 2 5 3 3 2 2 2 3 2 2" xfId="57221" xr:uid="{00000000-0005-0000-0000-000087350000}"/>
    <cellStyle name="Normal 3 2 5 3 3 2 2 2 3 3" xfId="35577" xr:uid="{00000000-0005-0000-0000-000088350000}"/>
    <cellStyle name="Normal 3 2 5 3 3 2 2 2 4" xfId="17472" xr:uid="{00000000-0005-0000-0000-000089350000}"/>
    <cellStyle name="Normal 3 2 5 3 3 2 2 2 4 2" xfId="49343" xr:uid="{00000000-0005-0000-0000-00008A350000}"/>
    <cellStyle name="Normal 3 2 5 3 3 2 2 2 5" xfId="35574" xr:uid="{00000000-0005-0000-0000-00008B350000}"/>
    <cellStyle name="Normal 3 2 5 3 3 2 2 3" xfId="3699" xr:uid="{00000000-0005-0000-0000-00008C350000}"/>
    <cellStyle name="Normal 3 2 5 3 3 2 2 3 2" xfId="3700" xr:uid="{00000000-0005-0000-0000-00008D350000}"/>
    <cellStyle name="Normal 3 2 5 3 3 2 2 3 2 2" xfId="29288" xr:uid="{00000000-0005-0000-0000-00008E350000}"/>
    <cellStyle name="Normal 3 2 5 3 3 2 2 3 2 2 2" xfId="61159" xr:uid="{00000000-0005-0000-0000-00008F350000}"/>
    <cellStyle name="Normal 3 2 5 3 3 2 2 3 2 3" xfId="35579" xr:uid="{00000000-0005-0000-0000-000090350000}"/>
    <cellStyle name="Normal 3 2 5 3 3 2 2 3 3" xfId="21410" xr:uid="{00000000-0005-0000-0000-000091350000}"/>
    <cellStyle name="Normal 3 2 5 3 3 2 2 3 3 2" xfId="53281" xr:uid="{00000000-0005-0000-0000-000092350000}"/>
    <cellStyle name="Normal 3 2 5 3 3 2 2 3 4" xfId="35578" xr:uid="{00000000-0005-0000-0000-000093350000}"/>
    <cellStyle name="Normal 3 2 5 3 3 2 2 4" xfId="3701" xr:uid="{00000000-0005-0000-0000-000094350000}"/>
    <cellStyle name="Normal 3 2 5 3 3 2 2 4 2" xfId="25349" xr:uid="{00000000-0005-0000-0000-000095350000}"/>
    <cellStyle name="Normal 3 2 5 3 3 2 2 4 2 2" xfId="57220" xr:uid="{00000000-0005-0000-0000-000096350000}"/>
    <cellStyle name="Normal 3 2 5 3 3 2 2 4 3" xfId="35580" xr:uid="{00000000-0005-0000-0000-000097350000}"/>
    <cellStyle name="Normal 3 2 5 3 3 2 2 5" xfId="17471" xr:uid="{00000000-0005-0000-0000-000098350000}"/>
    <cellStyle name="Normal 3 2 5 3 3 2 2 5 2" xfId="49342" xr:uid="{00000000-0005-0000-0000-000099350000}"/>
    <cellStyle name="Normal 3 2 5 3 3 2 2 6" xfId="35573" xr:uid="{00000000-0005-0000-0000-00009A350000}"/>
    <cellStyle name="Normal 3 2 5 3 3 2 3" xfId="3702" xr:uid="{00000000-0005-0000-0000-00009B350000}"/>
    <cellStyle name="Normal 3 2 5 3 3 2 3 2" xfId="3703" xr:uid="{00000000-0005-0000-0000-00009C350000}"/>
    <cellStyle name="Normal 3 2 5 3 3 2 3 2 2" xfId="3704" xr:uid="{00000000-0005-0000-0000-00009D350000}"/>
    <cellStyle name="Normal 3 2 5 3 3 2 3 2 2 2" xfId="29290" xr:uid="{00000000-0005-0000-0000-00009E350000}"/>
    <cellStyle name="Normal 3 2 5 3 3 2 3 2 2 2 2" xfId="61161" xr:uid="{00000000-0005-0000-0000-00009F350000}"/>
    <cellStyle name="Normal 3 2 5 3 3 2 3 2 2 3" xfId="35583" xr:uid="{00000000-0005-0000-0000-0000A0350000}"/>
    <cellStyle name="Normal 3 2 5 3 3 2 3 2 3" xfId="21412" xr:uid="{00000000-0005-0000-0000-0000A1350000}"/>
    <cellStyle name="Normal 3 2 5 3 3 2 3 2 3 2" xfId="53283" xr:uid="{00000000-0005-0000-0000-0000A2350000}"/>
    <cellStyle name="Normal 3 2 5 3 3 2 3 2 4" xfId="35582" xr:uid="{00000000-0005-0000-0000-0000A3350000}"/>
    <cellStyle name="Normal 3 2 5 3 3 2 3 3" xfId="3705" xr:uid="{00000000-0005-0000-0000-0000A4350000}"/>
    <cellStyle name="Normal 3 2 5 3 3 2 3 3 2" xfId="25351" xr:uid="{00000000-0005-0000-0000-0000A5350000}"/>
    <cellStyle name="Normal 3 2 5 3 3 2 3 3 2 2" xfId="57222" xr:uid="{00000000-0005-0000-0000-0000A6350000}"/>
    <cellStyle name="Normal 3 2 5 3 3 2 3 3 3" xfId="35584" xr:uid="{00000000-0005-0000-0000-0000A7350000}"/>
    <cellStyle name="Normal 3 2 5 3 3 2 3 4" xfId="17473" xr:uid="{00000000-0005-0000-0000-0000A8350000}"/>
    <cellStyle name="Normal 3 2 5 3 3 2 3 4 2" xfId="49344" xr:uid="{00000000-0005-0000-0000-0000A9350000}"/>
    <cellStyle name="Normal 3 2 5 3 3 2 3 5" xfId="35581" xr:uid="{00000000-0005-0000-0000-0000AA350000}"/>
    <cellStyle name="Normal 3 2 5 3 3 2 4" xfId="3706" xr:uid="{00000000-0005-0000-0000-0000AB350000}"/>
    <cellStyle name="Normal 3 2 5 3 3 2 4 2" xfId="3707" xr:uid="{00000000-0005-0000-0000-0000AC350000}"/>
    <cellStyle name="Normal 3 2 5 3 3 2 4 2 2" xfId="29287" xr:uid="{00000000-0005-0000-0000-0000AD350000}"/>
    <cellStyle name="Normal 3 2 5 3 3 2 4 2 2 2" xfId="61158" xr:uid="{00000000-0005-0000-0000-0000AE350000}"/>
    <cellStyle name="Normal 3 2 5 3 3 2 4 2 3" xfId="35586" xr:uid="{00000000-0005-0000-0000-0000AF350000}"/>
    <cellStyle name="Normal 3 2 5 3 3 2 4 3" xfId="21409" xr:uid="{00000000-0005-0000-0000-0000B0350000}"/>
    <cellStyle name="Normal 3 2 5 3 3 2 4 3 2" xfId="53280" xr:uid="{00000000-0005-0000-0000-0000B1350000}"/>
    <cellStyle name="Normal 3 2 5 3 3 2 4 4" xfId="35585" xr:uid="{00000000-0005-0000-0000-0000B2350000}"/>
    <cellStyle name="Normal 3 2 5 3 3 2 5" xfId="3708" xr:uid="{00000000-0005-0000-0000-0000B3350000}"/>
    <cellStyle name="Normal 3 2 5 3 3 2 5 2" xfId="25348" xr:uid="{00000000-0005-0000-0000-0000B4350000}"/>
    <cellStyle name="Normal 3 2 5 3 3 2 5 2 2" xfId="57219" xr:uid="{00000000-0005-0000-0000-0000B5350000}"/>
    <cellStyle name="Normal 3 2 5 3 3 2 5 3" xfId="35587" xr:uid="{00000000-0005-0000-0000-0000B6350000}"/>
    <cellStyle name="Normal 3 2 5 3 3 2 6" xfId="17470" xr:uid="{00000000-0005-0000-0000-0000B7350000}"/>
    <cellStyle name="Normal 3 2 5 3 3 2 6 2" xfId="49341" xr:uid="{00000000-0005-0000-0000-0000B8350000}"/>
    <cellStyle name="Normal 3 2 5 3 3 2 7" xfId="35572" xr:uid="{00000000-0005-0000-0000-0000B9350000}"/>
    <cellStyle name="Normal 3 2 5 3 3 3" xfId="3709" xr:uid="{00000000-0005-0000-0000-0000BA350000}"/>
    <cellStyle name="Normal 3 2 5 3 3 3 2" xfId="3710" xr:uid="{00000000-0005-0000-0000-0000BB350000}"/>
    <cellStyle name="Normal 3 2 5 3 3 3 2 2" xfId="3711" xr:uid="{00000000-0005-0000-0000-0000BC350000}"/>
    <cellStyle name="Normal 3 2 5 3 3 3 2 2 2" xfId="3712" xr:uid="{00000000-0005-0000-0000-0000BD350000}"/>
    <cellStyle name="Normal 3 2 5 3 3 3 2 2 2 2" xfId="29292" xr:uid="{00000000-0005-0000-0000-0000BE350000}"/>
    <cellStyle name="Normal 3 2 5 3 3 3 2 2 2 2 2" xfId="61163" xr:uid="{00000000-0005-0000-0000-0000BF350000}"/>
    <cellStyle name="Normal 3 2 5 3 3 3 2 2 2 3" xfId="35591" xr:uid="{00000000-0005-0000-0000-0000C0350000}"/>
    <cellStyle name="Normal 3 2 5 3 3 3 2 2 3" xfId="21414" xr:uid="{00000000-0005-0000-0000-0000C1350000}"/>
    <cellStyle name="Normal 3 2 5 3 3 3 2 2 3 2" xfId="53285" xr:uid="{00000000-0005-0000-0000-0000C2350000}"/>
    <cellStyle name="Normal 3 2 5 3 3 3 2 2 4" xfId="35590" xr:uid="{00000000-0005-0000-0000-0000C3350000}"/>
    <cellStyle name="Normal 3 2 5 3 3 3 2 3" xfId="3713" xr:uid="{00000000-0005-0000-0000-0000C4350000}"/>
    <cellStyle name="Normal 3 2 5 3 3 3 2 3 2" xfId="25353" xr:uid="{00000000-0005-0000-0000-0000C5350000}"/>
    <cellStyle name="Normal 3 2 5 3 3 3 2 3 2 2" xfId="57224" xr:uid="{00000000-0005-0000-0000-0000C6350000}"/>
    <cellStyle name="Normal 3 2 5 3 3 3 2 3 3" xfId="35592" xr:uid="{00000000-0005-0000-0000-0000C7350000}"/>
    <cellStyle name="Normal 3 2 5 3 3 3 2 4" xfId="17475" xr:uid="{00000000-0005-0000-0000-0000C8350000}"/>
    <cellStyle name="Normal 3 2 5 3 3 3 2 4 2" xfId="49346" xr:uid="{00000000-0005-0000-0000-0000C9350000}"/>
    <cellStyle name="Normal 3 2 5 3 3 3 2 5" xfId="35589" xr:uid="{00000000-0005-0000-0000-0000CA350000}"/>
    <cellStyle name="Normal 3 2 5 3 3 3 3" xfId="3714" xr:uid="{00000000-0005-0000-0000-0000CB350000}"/>
    <cellStyle name="Normal 3 2 5 3 3 3 3 2" xfId="3715" xr:uid="{00000000-0005-0000-0000-0000CC350000}"/>
    <cellStyle name="Normal 3 2 5 3 3 3 3 2 2" xfId="29291" xr:uid="{00000000-0005-0000-0000-0000CD350000}"/>
    <cellStyle name="Normal 3 2 5 3 3 3 3 2 2 2" xfId="61162" xr:uid="{00000000-0005-0000-0000-0000CE350000}"/>
    <cellStyle name="Normal 3 2 5 3 3 3 3 2 3" xfId="35594" xr:uid="{00000000-0005-0000-0000-0000CF350000}"/>
    <cellStyle name="Normal 3 2 5 3 3 3 3 3" xfId="21413" xr:uid="{00000000-0005-0000-0000-0000D0350000}"/>
    <cellStyle name="Normal 3 2 5 3 3 3 3 3 2" xfId="53284" xr:uid="{00000000-0005-0000-0000-0000D1350000}"/>
    <cellStyle name="Normal 3 2 5 3 3 3 3 4" xfId="35593" xr:uid="{00000000-0005-0000-0000-0000D2350000}"/>
    <cellStyle name="Normal 3 2 5 3 3 3 4" xfId="3716" xr:uid="{00000000-0005-0000-0000-0000D3350000}"/>
    <cellStyle name="Normal 3 2 5 3 3 3 4 2" xfId="25352" xr:uid="{00000000-0005-0000-0000-0000D4350000}"/>
    <cellStyle name="Normal 3 2 5 3 3 3 4 2 2" xfId="57223" xr:uid="{00000000-0005-0000-0000-0000D5350000}"/>
    <cellStyle name="Normal 3 2 5 3 3 3 4 3" xfId="35595" xr:uid="{00000000-0005-0000-0000-0000D6350000}"/>
    <cellStyle name="Normal 3 2 5 3 3 3 5" xfId="17474" xr:uid="{00000000-0005-0000-0000-0000D7350000}"/>
    <cellStyle name="Normal 3 2 5 3 3 3 5 2" xfId="49345" xr:uid="{00000000-0005-0000-0000-0000D8350000}"/>
    <cellStyle name="Normal 3 2 5 3 3 3 6" xfId="35588" xr:uid="{00000000-0005-0000-0000-0000D9350000}"/>
    <cellStyle name="Normal 3 2 5 3 3 4" xfId="3717" xr:uid="{00000000-0005-0000-0000-0000DA350000}"/>
    <cellStyle name="Normal 3 2 5 3 3 4 2" xfId="3718" xr:uid="{00000000-0005-0000-0000-0000DB350000}"/>
    <cellStyle name="Normal 3 2 5 3 3 4 2 2" xfId="3719" xr:uid="{00000000-0005-0000-0000-0000DC350000}"/>
    <cellStyle name="Normal 3 2 5 3 3 4 2 2 2" xfId="29293" xr:uid="{00000000-0005-0000-0000-0000DD350000}"/>
    <cellStyle name="Normal 3 2 5 3 3 4 2 2 2 2" xfId="61164" xr:uid="{00000000-0005-0000-0000-0000DE350000}"/>
    <cellStyle name="Normal 3 2 5 3 3 4 2 2 3" xfId="35598" xr:uid="{00000000-0005-0000-0000-0000DF350000}"/>
    <cellStyle name="Normal 3 2 5 3 3 4 2 3" xfId="21415" xr:uid="{00000000-0005-0000-0000-0000E0350000}"/>
    <cellStyle name="Normal 3 2 5 3 3 4 2 3 2" xfId="53286" xr:uid="{00000000-0005-0000-0000-0000E1350000}"/>
    <cellStyle name="Normal 3 2 5 3 3 4 2 4" xfId="35597" xr:uid="{00000000-0005-0000-0000-0000E2350000}"/>
    <cellStyle name="Normal 3 2 5 3 3 4 3" xfId="3720" xr:uid="{00000000-0005-0000-0000-0000E3350000}"/>
    <cellStyle name="Normal 3 2 5 3 3 4 3 2" xfId="25354" xr:uid="{00000000-0005-0000-0000-0000E4350000}"/>
    <cellStyle name="Normal 3 2 5 3 3 4 3 2 2" xfId="57225" xr:uid="{00000000-0005-0000-0000-0000E5350000}"/>
    <cellStyle name="Normal 3 2 5 3 3 4 3 3" xfId="35599" xr:uid="{00000000-0005-0000-0000-0000E6350000}"/>
    <cellStyle name="Normal 3 2 5 3 3 4 4" xfId="17476" xr:uid="{00000000-0005-0000-0000-0000E7350000}"/>
    <cellStyle name="Normal 3 2 5 3 3 4 4 2" xfId="49347" xr:uid="{00000000-0005-0000-0000-0000E8350000}"/>
    <cellStyle name="Normal 3 2 5 3 3 4 5" xfId="35596" xr:uid="{00000000-0005-0000-0000-0000E9350000}"/>
    <cellStyle name="Normal 3 2 5 3 3 5" xfId="3721" xr:uid="{00000000-0005-0000-0000-0000EA350000}"/>
    <cellStyle name="Normal 3 2 5 3 3 5 2" xfId="3722" xr:uid="{00000000-0005-0000-0000-0000EB350000}"/>
    <cellStyle name="Normal 3 2 5 3 3 5 2 2" xfId="29286" xr:uid="{00000000-0005-0000-0000-0000EC350000}"/>
    <cellStyle name="Normal 3 2 5 3 3 5 2 2 2" xfId="61157" xr:uid="{00000000-0005-0000-0000-0000ED350000}"/>
    <cellStyle name="Normal 3 2 5 3 3 5 2 3" xfId="35601" xr:uid="{00000000-0005-0000-0000-0000EE350000}"/>
    <cellStyle name="Normal 3 2 5 3 3 5 3" xfId="21408" xr:uid="{00000000-0005-0000-0000-0000EF350000}"/>
    <cellStyle name="Normal 3 2 5 3 3 5 3 2" xfId="53279" xr:uid="{00000000-0005-0000-0000-0000F0350000}"/>
    <cellStyle name="Normal 3 2 5 3 3 5 4" xfId="35600" xr:uid="{00000000-0005-0000-0000-0000F1350000}"/>
    <cellStyle name="Normal 3 2 5 3 3 6" xfId="3723" xr:uid="{00000000-0005-0000-0000-0000F2350000}"/>
    <cellStyle name="Normal 3 2 5 3 3 6 2" xfId="25347" xr:uid="{00000000-0005-0000-0000-0000F3350000}"/>
    <cellStyle name="Normal 3 2 5 3 3 6 2 2" xfId="57218" xr:uid="{00000000-0005-0000-0000-0000F4350000}"/>
    <cellStyle name="Normal 3 2 5 3 3 6 3" xfId="35602" xr:uid="{00000000-0005-0000-0000-0000F5350000}"/>
    <cellStyle name="Normal 3 2 5 3 3 7" xfId="17469" xr:uid="{00000000-0005-0000-0000-0000F6350000}"/>
    <cellStyle name="Normal 3 2 5 3 3 7 2" xfId="49340" xr:uid="{00000000-0005-0000-0000-0000F7350000}"/>
    <cellStyle name="Normal 3 2 5 3 3 8" xfId="35571" xr:uid="{00000000-0005-0000-0000-0000F8350000}"/>
    <cellStyle name="Normal 3 2 5 3 4" xfId="3724" xr:uid="{00000000-0005-0000-0000-0000F9350000}"/>
    <cellStyle name="Normal 3 2 5 3 4 2" xfId="3725" xr:uid="{00000000-0005-0000-0000-0000FA350000}"/>
    <cellStyle name="Normal 3 2 5 3 4 2 2" xfId="3726" xr:uid="{00000000-0005-0000-0000-0000FB350000}"/>
    <cellStyle name="Normal 3 2 5 3 4 2 2 2" xfId="3727" xr:uid="{00000000-0005-0000-0000-0000FC350000}"/>
    <cellStyle name="Normal 3 2 5 3 4 2 2 2 2" xfId="3728" xr:uid="{00000000-0005-0000-0000-0000FD350000}"/>
    <cellStyle name="Normal 3 2 5 3 4 2 2 2 2 2" xfId="29296" xr:uid="{00000000-0005-0000-0000-0000FE350000}"/>
    <cellStyle name="Normal 3 2 5 3 4 2 2 2 2 2 2" xfId="61167" xr:uid="{00000000-0005-0000-0000-0000FF350000}"/>
    <cellStyle name="Normal 3 2 5 3 4 2 2 2 2 3" xfId="35607" xr:uid="{00000000-0005-0000-0000-000000360000}"/>
    <cellStyle name="Normal 3 2 5 3 4 2 2 2 3" xfId="21418" xr:uid="{00000000-0005-0000-0000-000001360000}"/>
    <cellStyle name="Normal 3 2 5 3 4 2 2 2 3 2" xfId="53289" xr:uid="{00000000-0005-0000-0000-000002360000}"/>
    <cellStyle name="Normal 3 2 5 3 4 2 2 2 4" xfId="35606" xr:uid="{00000000-0005-0000-0000-000003360000}"/>
    <cellStyle name="Normal 3 2 5 3 4 2 2 3" xfId="3729" xr:uid="{00000000-0005-0000-0000-000004360000}"/>
    <cellStyle name="Normal 3 2 5 3 4 2 2 3 2" xfId="25357" xr:uid="{00000000-0005-0000-0000-000005360000}"/>
    <cellStyle name="Normal 3 2 5 3 4 2 2 3 2 2" xfId="57228" xr:uid="{00000000-0005-0000-0000-000006360000}"/>
    <cellStyle name="Normal 3 2 5 3 4 2 2 3 3" xfId="35608" xr:uid="{00000000-0005-0000-0000-000007360000}"/>
    <cellStyle name="Normal 3 2 5 3 4 2 2 4" xfId="17479" xr:uid="{00000000-0005-0000-0000-000008360000}"/>
    <cellStyle name="Normal 3 2 5 3 4 2 2 4 2" xfId="49350" xr:uid="{00000000-0005-0000-0000-000009360000}"/>
    <cellStyle name="Normal 3 2 5 3 4 2 2 5" xfId="35605" xr:uid="{00000000-0005-0000-0000-00000A360000}"/>
    <cellStyle name="Normal 3 2 5 3 4 2 3" xfId="3730" xr:uid="{00000000-0005-0000-0000-00000B360000}"/>
    <cellStyle name="Normal 3 2 5 3 4 2 3 2" xfId="3731" xr:uid="{00000000-0005-0000-0000-00000C360000}"/>
    <cellStyle name="Normal 3 2 5 3 4 2 3 2 2" xfId="29295" xr:uid="{00000000-0005-0000-0000-00000D360000}"/>
    <cellStyle name="Normal 3 2 5 3 4 2 3 2 2 2" xfId="61166" xr:uid="{00000000-0005-0000-0000-00000E360000}"/>
    <cellStyle name="Normal 3 2 5 3 4 2 3 2 3" xfId="35610" xr:uid="{00000000-0005-0000-0000-00000F360000}"/>
    <cellStyle name="Normal 3 2 5 3 4 2 3 3" xfId="21417" xr:uid="{00000000-0005-0000-0000-000010360000}"/>
    <cellStyle name="Normal 3 2 5 3 4 2 3 3 2" xfId="53288" xr:uid="{00000000-0005-0000-0000-000011360000}"/>
    <cellStyle name="Normal 3 2 5 3 4 2 3 4" xfId="35609" xr:uid="{00000000-0005-0000-0000-000012360000}"/>
    <cellStyle name="Normal 3 2 5 3 4 2 4" xfId="3732" xr:uid="{00000000-0005-0000-0000-000013360000}"/>
    <cellStyle name="Normal 3 2 5 3 4 2 4 2" xfId="25356" xr:uid="{00000000-0005-0000-0000-000014360000}"/>
    <cellStyle name="Normal 3 2 5 3 4 2 4 2 2" xfId="57227" xr:uid="{00000000-0005-0000-0000-000015360000}"/>
    <cellStyle name="Normal 3 2 5 3 4 2 4 3" xfId="35611" xr:uid="{00000000-0005-0000-0000-000016360000}"/>
    <cellStyle name="Normal 3 2 5 3 4 2 5" xfId="17478" xr:uid="{00000000-0005-0000-0000-000017360000}"/>
    <cellStyle name="Normal 3 2 5 3 4 2 5 2" xfId="49349" xr:uid="{00000000-0005-0000-0000-000018360000}"/>
    <cellStyle name="Normal 3 2 5 3 4 2 6" xfId="35604" xr:uid="{00000000-0005-0000-0000-000019360000}"/>
    <cellStyle name="Normal 3 2 5 3 4 3" xfId="3733" xr:uid="{00000000-0005-0000-0000-00001A360000}"/>
    <cellStyle name="Normal 3 2 5 3 4 3 2" xfId="3734" xr:uid="{00000000-0005-0000-0000-00001B360000}"/>
    <cellStyle name="Normal 3 2 5 3 4 3 2 2" xfId="3735" xr:uid="{00000000-0005-0000-0000-00001C360000}"/>
    <cellStyle name="Normal 3 2 5 3 4 3 2 2 2" xfId="29297" xr:uid="{00000000-0005-0000-0000-00001D360000}"/>
    <cellStyle name="Normal 3 2 5 3 4 3 2 2 2 2" xfId="61168" xr:uid="{00000000-0005-0000-0000-00001E360000}"/>
    <cellStyle name="Normal 3 2 5 3 4 3 2 2 3" xfId="35614" xr:uid="{00000000-0005-0000-0000-00001F360000}"/>
    <cellStyle name="Normal 3 2 5 3 4 3 2 3" xfId="21419" xr:uid="{00000000-0005-0000-0000-000020360000}"/>
    <cellStyle name="Normal 3 2 5 3 4 3 2 3 2" xfId="53290" xr:uid="{00000000-0005-0000-0000-000021360000}"/>
    <cellStyle name="Normal 3 2 5 3 4 3 2 4" xfId="35613" xr:uid="{00000000-0005-0000-0000-000022360000}"/>
    <cellStyle name="Normal 3 2 5 3 4 3 3" xfId="3736" xr:uid="{00000000-0005-0000-0000-000023360000}"/>
    <cellStyle name="Normal 3 2 5 3 4 3 3 2" xfId="25358" xr:uid="{00000000-0005-0000-0000-000024360000}"/>
    <cellStyle name="Normal 3 2 5 3 4 3 3 2 2" xfId="57229" xr:uid="{00000000-0005-0000-0000-000025360000}"/>
    <cellStyle name="Normal 3 2 5 3 4 3 3 3" xfId="35615" xr:uid="{00000000-0005-0000-0000-000026360000}"/>
    <cellStyle name="Normal 3 2 5 3 4 3 4" xfId="17480" xr:uid="{00000000-0005-0000-0000-000027360000}"/>
    <cellStyle name="Normal 3 2 5 3 4 3 4 2" xfId="49351" xr:uid="{00000000-0005-0000-0000-000028360000}"/>
    <cellStyle name="Normal 3 2 5 3 4 3 5" xfId="35612" xr:uid="{00000000-0005-0000-0000-000029360000}"/>
    <cellStyle name="Normal 3 2 5 3 4 4" xfId="3737" xr:uid="{00000000-0005-0000-0000-00002A360000}"/>
    <cellStyle name="Normal 3 2 5 3 4 4 2" xfId="3738" xr:uid="{00000000-0005-0000-0000-00002B360000}"/>
    <cellStyle name="Normal 3 2 5 3 4 4 2 2" xfId="29294" xr:uid="{00000000-0005-0000-0000-00002C360000}"/>
    <cellStyle name="Normal 3 2 5 3 4 4 2 2 2" xfId="61165" xr:uid="{00000000-0005-0000-0000-00002D360000}"/>
    <cellStyle name="Normal 3 2 5 3 4 4 2 3" xfId="35617" xr:uid="{00000000-0005-0000-0000-00002E360000}"/>
    <cellStyle name="Normal 3 2 5 3 4 4 3" xfId="21416" xr:uid="{00000000-0005-0000-0000-00002F360000}"/>
    <cellStyle name="Normal 3 2 5 3 4 4 3 2" xfId="53287" xr:uid="{00000000-0005-0000-0000-000030360000}"/>
    <cellStyle name="Normal 3 2 5 3 4 4 4" xfId="35616" xr:uid="{00000000-0005-0000-0000-000031360000}"/>
    <cellStyle name="Normal 3 2 5 3 4 5" xfId="3739" xr:uid="{00000000-0005-0000-0000-000032360000}"/>
    <cellStyle name="Normal 3 2 5 3 4 5 2" xfId="25355" xr:uid="{00000000-0005-0000-0000-000033360000}"/>
    <cellStyle name="Normal 3 2 5 3 4 5 2 2" xfId="57226" xr:uid="{00000000-0005-0000-0000-000034360000}"/>
    <cellStyle name="Normal 3 2 5 3 4 5 3" xfId="35618" xr:uid="{00000000-0005-0000-0000-000035360000}"/>
    <cellStyle name="Normal 3 2 5 3 4 6" xfId="17477" xr:uid="{00000000-0005-0000-0000-000036360000}"/>
    <cellStyle name="Normal 3 2 5 3 4 6 2" xfId="49348" xr:uid="{00000000-0005-0000-0000-000037360000}"/>
    <cellStyle name="Normal 3 2 5 3 4 7" xfId="35603" xr:uid="{00000000-0005-0000-0000-000038360000}"/>
    <cellStyle name="Normal 3 2 5 3 5" xfId="3740" xr:uid="{00000000-0005-0000-0000-000039360000}"/>
    <cellStyle name="Normal 3 2 5 3 5 2" xfId="3741" xr:uid="{00000000-0005-0000-0000-00003A360000}"/>
    <cellStyle name="Normal 3 2 5 3 5 2 2" xfId="3742" xr:uid="{00000000-0005-0000-0000-00003B360000}"/>
    <cellStyle name="Normal 3 2 5 3 5 2 2 2" xfId="3743" xr:uid="{00000000-0005-0000-0000-00003C360000}"/>
    <cellStyle name="Normal 3 2 5 3 5 2 2 2 2" xfId="29299" xr:uid="{00000000-0005-0000-0000-00003D360000}"/>
    <cellStyle name="Normal 3 2 5 3 5 2 2 2 2 2" xfId="61170" xr:uid="{00000000-0005-0000-0000-00003E360000}"/>
    <cellStyle name="Normal 3 2 5 3 5 2 2 2 3" xfId="35622" xr:uid="{00000000-0005-0000-0000-00003F360000}"/>
    <cellStyle name="Normal 3 2 5 3 5 2 2 3" xfId="21421" xr:uid="{00000000-0005-0000-0000-000040360000}"/>
    <cellStyle name="Normal 3 2 5 3 5 2 2 3 2" xfId="53292" xr:uid="{00000000-0005-0000-0000-000041360000}"/>
    <cellStyle name="Normal 3 2 5 3 5 2 2 4" xfId="35621" xr:uid="{00000000-0005-0000-0000-000042360000}"/>
    <cellStyle name="Normal 3 2 5 3 5 2 3" xfId="3744" xr:uid="{00000000-0005-0000-0000-000043360000}"/>
    <cellStyle name="Normal 3 2 5 3 5 2 3 2" xfId="25360" xr:uid="{00000000-0005-0000-0000-000044360000}"/>
    <cellStyle name="Normal 3 2 5 3 5 2 3 2 2" xfId="57231" xr:uid="{00000000-0005-0000-0000-000045360000}"/>
    <cellStyle name="Normal 3 2 5 3 5 2 3 3" xfId="35623" xr:uid="{00000000-0005-0000-0000-000046360000}"/>
    <cellStyle name="Normal 3 2 5 3 5 2 4" xfId="17482" xr:uid="{00000000-0005-0000-0000-000047360000}"/>
    <cellStyle name="Normal 3 2 5 3 5 2 4 2" xfId="49353" xr:uid="{00000000-0005-0000-0000-000048360000}"/>
    <cellStyle name="Normal 3 2 5 3 5 2 5" xfId="35620" xr:uid="{00000000-0005-0000-0000-000049360000}"/>
    <cellStyle name="Normal 3 2 5 3 5 3" xfId="3745" xr:uid="{00000000-0005-0000-0000-00004A360000}"/>
    <cellStyle name="Normal 3 2 5 3 5 3 2" xfId="3746" xr:uid="{00000000-0005-0000-0000-00004B360000}"/>
    <cellStyle name="Normal 3 2 5 3 5 3 2 2" xfId="29298" xr:uid="{00000000-0005-0000-0000-00004C360000}"/>
    <cellStyle name="Normal 3 2 5 3 5 3 2 2 2" xfId="61169" xr:uid="{00000000-0005-0000-0000-00004D360000}"/>
    <cellStyle name="Normal 3 2 5 3 5 3 2 3" xfId="35625" xr:uid="{00000000-0005-0000-0000-00004E360000}"/>
    <cellStyle name="Normal 3 2 5 3 5 3 3" xfId="21420" xr:uid="{00000000-0005-0000-0000-00004F360000}"/>
    <cellStyle name="Normal 3 2 5 3 5 3 3 2" xfId="53291" xr:uid="{00000000-0005-0000-0000-000050360000}"/>
    <cellStyle name="Normal 3 2 5 3 5 3 4" xfId="35624" xr:uid="{00000000-0005-0000-0000-000051360000}"/>
    <cellStyle name="Normal 3 2 5 3 5 4" xfId="3747" xr:uid="{00000000-0005-0000-0000-000052360000}"/>
    <cellStyle name="Normal 3 2 5 3 5 4 2" xfId="25359" xr:uid="{00000000-0005-0000-0000-000053360000}"/>
    <cellStyle name="Normal 3 2 5 3 5 4 2 2" xfId="57230" xr:uid="{00000000-0005-0000-0000-000054360000}"/>
    <cellStyle name="Normal 3 2 5 3 5 4 3" xfId="35626" xr:uid="{00000000-0005-0000-0000-000055360000}"/>
    <cellStyle name="Normal 3 2 5 3 5 5" xfId="17481" xr:uid="{00000000-0005-0000-0000-000056360000}"/>
    <cellStyle name="Normal 3 2 5 3 5 5 2" xfId="49352" xr:uid="{00000000-0005-0000-0000-000057360000}"/>
    <cellStyle name="Normal 3 2 5 3 5 6" xfId="35619" xr:uid="{00000000-0005-0000-0000-000058360000}"/>
    <cellStyle name="Normal 3 2 5 3 6" xfId="3748" xr:uid="{00000000-0005-0000-0000-000059360000}"/>
    <cellStyle name="Normal 3 2 5 3 6 2" xfId="3749" xr:uid="{00000000-0005-0000-0000-00005A360000}"/>
    <cellStyle name="Normal 3 2 5 3 6 2 2" xfId="3750" xr:uid="{00000000-0005-0000-0000-00005B360000}"/>
    <cellStyle name="Normal 3 2 5 3 6 2 2 2" xfId="29300" xr:uid="{00000000-0005-0000-0000-00005C360000}"/>
    <cellStyle name="Normal 3 2 5 3 6 2 2 2 2" xfId="61171" xr:uid="{00000000-0005-0000-0000-00005D360000}"/>
    <cellStyle name="Normal 3 2 5 3 6 2 2 3" xfId="35629" xr:uid="{00000000-0005-0000-0000-00005E360000}"/>
    <cellStyle name="Normal 3 2 5 3 6 2 3" xfId="21422" xr:uid="{00000000-0005-0000-0000-00005F360000}"/>
    <cellStyle name="Normal 3 2 5 3 6 2 3 2" xfId="53293" xr:uid="{00000000-0005-0000-0000-000060360000}"/>
    <cellStyle name="Normal 3 2 5 3 6 2 4" xfId="35628" xr:uid="{00000000-0005-0000-0000-000061360000}"/>
    <cellStyle name="Normal 3 2 5 3 6 3" xfId="3751" xr:uid="{00000000-0005-0000-0000-000062360000}"/>
    <cellStyle name="Normal 3 2 5 3 6 3 2" xfId="25361" xr:uid="{00000000-0005-0000-0000-000063360000}"/>
    <cellStyle name="Normal 3 2 5 3 6 3 2 2" xfId="57232" xr:uid="{00000000-0005-0000-0000-000064360000}"/>
    <cellStyle name="Normal 3 2 5 3 6 3 3" xfId="35630" xr:uid="{00000000-0005-0000-0000-000065360000}"/>
    <cellStyle name="Normal 3 2 5 3 6 4" xfId="17483" xr:uid="{00000000-0005-0000-0000-000066360000}"/>
    <cellStyle name="Normal 3 2 5 3 6 4 2" xfId="49354" xr:uid="{00000000-0005-0000-0000-000067360000}"/>
    <cellStyle name="Normal 3 2 5 3 6 5" xfId="35627" xr:uid="{00000000-0005-0000-0000-000068360000}"/>
    <cellStyle name="Normal 3 2 5 3 7" xfId="3752" xr:uid="{00000000-0005-0000-0000-000069360000}"/>
    <cellStyle name="Normal 3 2 5 3 7 2" xfId="3753" xr:uid="{00000000-0005-0000-0000-00006A360000}"/>
    <cellStyle name="Normal 3 2 5 3 7 2 2" xfId="28358" xr:uid="{00000000-0005-0000-0000-00006B360000}"/>
    <cellStyle name="Normal 3 2 5 3 7 2 2 2" xfId="60229" xr:uid="{00000000-0005-0000-0000-00006C360000}"/>
    <cellStyle name="Normal 3 2 5 3 7 2 3" xfId="35632" xr:uid="{00000000-0005-0000-0000-00006D360000}"/>
    <cellStyle name="Normal 3 2 5 3 7 3" xfId="20480" xr:uid="{00000000-0005-0000-0000-00006E360000}"/>
    <cellStyle name="Normal 3 2 5 3 7 3 2" xfId="52351" xr:uid="{00000000-0005-0000-0000-00006F360000}"/>
    <cellStyle name="Normal 3 2 5 3 7 4" xfId="35631" xr:uid="{00000000-0005-0000-0000-000070360000}"/>
    <cellStyle name="Normal 3 2 5 3 8" xfId="3754" xr:uid="{00000000-0005-0000-0000-000071360000}"/>
    <cellStyle name="Normal 3 2 5 3 8 2" xfId="24419" xr:uid="{00000000-0005-0000-0000-000072360000}"/>
    <cellStyle name="Normal 3 2 5 3 8 2 2" xfId="56290" xr:uid="{00000000-0005-0000-0000-000073360000}"/>
    <cellStyle name="Normal 3 2 5 3 8 3" xfId="35633" xr:uid="{00000000-0005-0000-0000-000074360000}"/>
    <cellStyle name="Normal 3 2 5 3 9" xfId="16541" xr:uid="{00000000-0005-0000-0000-000075360000}"/>
    <cellStyle name="Normal 3 2 5 3 9 2" xfId="48412" xr:uid="{00000000-0005-0000-0000-000076360000}"/>
    <cellStyle name="Normal 3 2 5 4" xfId="3755" xr:uid="{00000000-0005-0000-0000-000077360000}"/>
    <cellStyle name="Normal 3 2 5 4 2" xfId="3756" xr:uid="{00000000-0005-0000-0000-000078360000}"/>
    <cellStyle name="Normal 3 2 5 4 2 2" xfId="3757" xr:uid="{00000000-0005-0000-0000-000079360000}"/>
    <cellStyle name="Normal 3 2 5 4 2 2 2" xfId="3758" xr:uid="{00000000-0005-0000-0000-00007A360000}"/>
    <cellStyle name="Normal 3 2 5 4 2 2 2 2" xfId="3759" xr:uid="{00000000-0005-0000-0000-00007B360000}"/>
    <cellStyle name="Normal 3 2 5 4 2 2 2 2 2" xfId="3760" xr:uid="{00000000-0005-0000-0000-00007C360000}"/>
    <cellStyle name="Normal 3 2 5 4 2 2 2 2 2 2" xfId="3761" xr:uid="{00000000-0005-0000-0000-00007D360000}"/>
    <cellStyle name="Normal 3 2 5 4 2 2 2 2 2 2 2" xfId="29304" xr:uid="{00000000-0005-0000-0000-00007E360000}"/>
    <cellStyle name="Normal 3 2 5 4 2 2 2 2 2 2 2 2" xfId="61175" xr:uid="{00000000-0005-0000-0000-00007F360000}"/>
    <cellStyle name="Normal 3 2 5 4 2 2 2 2 2 2 3" xfId="35640" xr:uid="{00000000-0005-0000-0000-000080360000}"/>
    <cellStyle name="Normal 3 2 5 4 2 2 2 2 2 3" xfId="21426" xr:uid="{00000000-0005-0000-0000-000081360000}"/>
    <cellStyle name="Normal 3 2 5 4 2 2 2 2 2 3 2" xfId="53297" xr:uid="{00000000-0005-0000-0000-000082360000}"/>
    <cellStyle name="Normal 3 2 5 4 2 2 2 2 2 4" xfId="35639" xr:uid="{00000000-0005-0000-0000-000083360000}"/>
    <cellStyle name="Normal 3 2 5 4 2 2 2 2 3" xfId="3762" xr:uid="{00000000-0005-0000-0000-000084360000}"/>
    <cellStyle name="Normal 3 2 5 4 2 2 2 2 3 2" xfId="25365" xr:uid="{00000000-0005-0000-0000-000085360000}"/>
    <cellStyle name="Normal 3 2 5 4 2 2 2 2 3 2 2" xfId="57236" xr:uid="{00000000-0005-0000-0000-000086360000}"/>
    <cellStyle name="Normal 3 2 5 4 2 2 2 2 3 3" xfId="35641" xr:uid="{00000000-0005-0000-0000-000087360000}"/>
    <cellStyle name="Normal 3 2 5 4 2 2 2 2 4" xfId="17487" xr:uid="{00000000-0005-0000-0000-000088360000}"/>
    <cellStyle name="Normal 3 2 5 4 2 2 2 2 4 2" xfId="49358" xr:uid="{00000000-0005-0000-0000-000089360000}"/>
    <cellStyle name="Normal 3 2 5 4 2 2 2 2 5" xfId="35638" xr:uid="{00000000-0005-0000-0000-00008A360000}"/>
    <cellStyle name="Normal 3 2 5 4 2 2 2 3" xfId="3763" xr:uid="{00000000-0005-0000-0000-00008B360000}"/>
    <cellStyle name="Normal 3 2 5 4 2 2 2 3 2" xfId="3764" xr:uid="{00000000-0005-0000-0000-00008C360000}"/>
    <cellStyle name="Normal 3 2 5 4 2 2 2 3 2 2" xfId="29303" xr:uid="{00000000-0005-0000-0000-00008D360000}"/>
    <cellStyle name="Normal 3 2 5 4 2 2 2 3 2 2 2" xfId="61174" xr:uid="{00000000-0005-0000-0000-00008E360000}"/>
    <cellStyle name="Normal 3 2 5 4 2 2 2 3 2 3" xfId="35643" xr:uid="{00000000-0005-0000-0000-00008F360000}"/>
    <cellStyle name="Normal 3 2 5 4 2 2 2 3 3" xfId="21425" xr:uid="{00000000-0005-0000-0000-000090360000}"/>
    <cellStyle name="Normal 3 2 5 4 2 2 2 3 3 2" xfId="53296" xr:uid="{00000000-0005-0000-0000-000091360000}"/>
    <cellStyle name="Normal 3 2 5 4 2 2 2 3 4" xfId="35642" xr:uid="{00000000-0005-0000-0000-000092360000}"/>
    <cellStyle name="Normal 3 2 5 4 2 2 2 4" xfId="3765" xr:uid="{00000000-0005-0000-0000-000093360000}"/>
    <cellStyle name="Normal 3 2 5 4 2 2 2 4 2" xfId="25364" xr:uid="{00000000-0005-0000-0000-000094360000}"/>
    <cellStyle name="Normal 3 2 5 4 2 2 2 4 2 2" xfId="57235" xr:uid="{00000000-0005-0000-0000-000095360000}"/>
    <cellStyle name="Normal 3 2 5 4 2 2 2 4 3" xfId="35644" xr:uid="{00000000-0005-0000-0000-000096360000}"/>
    <cellStyle name="Normal 3 2 5 4 2 2 2 5" xfId="17486" xr:uid="{00000000-0005-0000-0000-000097360000}"/>
    <cellStyle name="Normal 3 2 5 4 2 2 2 5 2" xfId="49357" xr:uid="{00000000-0005-0000-0000-000098360000}"/>
    <cellStyle name="Normal 3 2 5 4 2 2 2 6" xfId="35637" xr:uid="{00000000-0005-0000-0000-000099360000}"/>
    <cellStyle name="Normal 3 2 5 4 2 2 3" xfId="3766" xr:uid="{00000000-0005-0000-0000-00009A360000}"/>
    <cellStyle name="Normal 3 2 5 4 2 2 3 2" xfId="3767" xr:uid="{00000000-0005-0000-0000-00009B360000}"/>
    <cellStyle name="Normal 3 2 5 4 2 2 3 2 2" xfId="3768" xr:uid="{00000000-0005-0000-0000-00009C360000}"/>
    <cellStyle name="Normal 3 2 5 4 2 2 3 2 2 2" xfId="29305" xr:uid="{00000000-0005-0000-0000-00009D360000}"/>
    <cellStyle name="Normal 3 2 5 4 2 2 3 2 2 2 2" xfId="61176" xr:uid="{00000000-0005-0000-0000-00009E360000}"/>
    <cellStyle name="Normal 3 2 5 4 2 2 3 2 2 3" xfId="35647" xr:uid="{00000000-0005-0000-0000-00009F360000}"/>
    <cellStyle name="Normal 3 2 5 4 2 2 3 2 3" xfId="21427" xr:uid="{00000000-0005-0000-0000-0000A0360000}"/>
    <cellStyle name="Normal 3 2 5 4 2 2 3 2 3 2" xfId="53298" xr:uid="{00000000-0005-0000-0000-0000A1360000}"/>
    <cellStyle name="Normal 3 2 5 4 2 2 3 2 4" xfId="35646" xr:uid="{00000000-0005-0000-0000-0000A2360000}"/>
    <cellStyle name="Normal 3 2 5 4 2 2 3 3" xfId="3769" xr:uid="{00000000-0005-0000-0000-0000A3360000}"/>
    <cellStyle name="Normal 3 2 5 4 2 2 3 3 2" xfId="25366" xr:uid="{00000000-0005-0000-0000-0000A4360000}"/>
    <cellStyle name="Normal 3 2 5 4 2 2 3 3 2 2" xfId="57237" xr:uid="{00000000-0005-0000-0000-0000A5360000}"/>
    <cellStyle name="Normal 3 2 5 4 2 2 3 3 3" xfId="35648" xr:uid="{00000000-0005-0000-0000-0000A6360000}"/>
    <cellStyle name="Normal 3 2 5 4 2 2 3 4" xfId="17488" xr:uid="{00000000-0005-0000-0000-0000A7360000}"/>
    <cellStyle name="Normal 3 2 5 4 2 2 3 4 2" xfId="49359" xr:uid="{00000000-0005-0000-0000-0000A8360000}"/>
    <cellStyle name="Normal 3 2 5 4 2 2 3 5" xfId="35645" xr:uid="{00000000-0005-0000-0000-0000A9360000}"/>
    <cellStyle name="Normal 3 2 5 4 2 2 4" xfId="3770" xr:uid="{00000000-0005-0000-0000-0000AA360000}"/>
    <cellStyle name="Normal 3 2 5 4 2 2 4 2" xfId="3771" xr:uid="{00000000-0005-0000-0000-0000AB360000}"/>
    <cellStyle name="Normal 3 2 5 4 2 2 4 2 2" xfId="29302" xr:uid="{00000000-0005-0000-0000-0000AC360000}"/>
    <cellStyle name="Normal 3 2 5 4 2 2 4 2 2 2" xfId="61173" xr:uid="{00000000-0005-0000-0000-0000AD360000}"/>
    <cellStyle name="Normal 3 2 5 4 2 2 4 2 3" xfId="35650" xr:uid="{00000000-0005-0000-0000-0000AE360000}"/>
    <cellStyle name="Normal 3 2 5 4 2 2 4 3" xfId="21424" xr:uid="{00000000-0005-0000-0000-0000AF360000}"/>
    <cellStyle name="Normal 3 2 5 4 2 2 4 3 2" xfId="53295" xr:uid="{00000000-0005-0000-0000-0000B0360000}"/>
    <cellStyle name="Normal 3 2 5 4 2 2 4 4" xfId="35649" xr:uid="{00000000-0005-0000-0000-0000B1360000}"/>
    <cellStyle name="Normal 3 2 5 4 2 2 5" xfId="3772" xr:uid="{00000000-0005-0000-0000-0000B2360000}"/>
    <cellStyle name="Normal 3 2 5 4 2 2 5 2" xfId="25363" xr:uid="{00000000-0005-0000-0000-0000B3360000}"/>
    <cellStyle name="Normal 3 2 5 4 2 2 5 2 2" xfId="57234" xr:uid="{00000000-0005-0000-0000-0000B4360000}"/>
    <cellStyle name="Normal 3 2 5 4 2 2 5 3" xfId="35651" xr:uid="{00000000-0005-0000-0000-0000B5360000}"/>
    <cellStyle name="Normal 3 2 5 4 2 2 6" xfId="17485" xr:uid="{00000000-0005-0000-0000-0000B6360000}"/>
    <cellStyle name="Normal 3 2 5 4 2 2 6 2" xfId="49356" xr:uid="{00000000-0005-0000-0000-0000B7360000}"/>
    <cellStyle name="Normal 3 2 5 4 2 2 7" xfId="35636" xr:uid="{00000000-0005-0000-0000-0000B8360000}"/>
    <cellStyle name="Normal 3 2 5 4 2 3" xfId="3773" xr:uid="{00000000-0005-0000-0000-0000B9360000}"/>
    <cellStyle name="Normal 3 2 5 4 2 3 2" xfId="3774" xr:uid="{00000000-0005-0000-0000-0000BA360000}"/>
    <cellStyle name="Normal 3 2 5 4 2 3 2 2" xfId="3775" xr:uid="{00000000-0005-0000-0000-0000BB360000}"/>
    <cellStyle name="Normal 3 2 5 4 2 3 2 2 2" xfId="3776" xr:uid="{00000000-0005-0000-0000-0000BC360000}"/>
    <cellStyle name="Normal 3 2 5 4 2 3 2 2 2 2" xfId="29307" xr:uid="{00000000-0005-0000-0000-0000BD360000}"/>
    <cellStyle name="Normal 3 2 5 4 2 3 2 2 2 2 2" xfId="61178" xr:uid="{00000000-0005-0000-0000-0000BE360000}"/>
    <cellStyle name="Normal 3 2 5 4 2 3 2 2 2 3" xfId="35655" xr:uid="{00000000-0005-0000-0000-0000BF360000}"/>
    <cellStyle name="Normal 3 2 5 4 2 3 2 2 3" xfId="21429" xr:uid="{00000000-0005-0000-0000-0000C0360000}"/>
    <cellStyle name="Normal 3 2 5 4 2 3 2 2 3 2" xfId="53300" xr:uid="{00000000-0005-0000-0000-0000C1360000}"/>
    <cellStyle name="Normal 3 2 5 4 2 3 2 2 4" xfId="35654" xr:uid="{00000000-0005-0000-0000-0000C2360000}"/>
    <cellStyle name="Normal 3 2 5 4 2 3 2 3" xfId="3777" xr:uid="{00000000-0005-0000-0000-0000C3360000}"/>
    <cellStyle name="Normal 3 2 5 4 2 3 2 3 2" xfId="25368" xr:uid="{00000000-0005-0000-0000-0000C4360000}"/>
    <cellStyle name="Normal 3 2 5 4 2 3 2 3 2 2" xfId="57239" xr:uid="{00000000-0005-0000-0000-0000C5360000}"/>
    <cellStyle name="Normal 3 2 5 4 2 3 2 3 3" xfId="35656" xr:uid="{00000000-0005-0000-0000-0000C6360000}"/>
    <cellStyle name="Normal 3 2 5 4 2 3 2 4" xfId="17490" xr:uid="{00000000-0005-0000-0000-0000C7360000}"/>
    <cellStyle name="Normal 3 2 5 4 2 3 2 4 2" xfId="49361" xr:uid="{00000000-0005-0000-0000-0000C8360000}"/>
    <cellStyle name="Normal 3 2 5 4 2 3 2 5" xfId="35653" xr:uid="{00000000-0005-0000-0000-0000C9360000}"/>
    <cellStyle name="Normal 3 2 5 4 2 3 3" xfId="3778" xr:uid="{00000000-0005-0000-0000-0000CA360000}"/>
    <cellStyle name="Normal 3 2 5 4 2 3 3 2" xfId="3779" xr:uid="{00000000-0005-0000-0000-0000CB360000}"/>
    <cellStyle name="Normal 3 2 5 4 2 3 3 2 2" xfId="29306" xr:uid="{00000000-0005-0000-0000-0000CC360000}"/>
    <cellStyle name="Normal 3 2 5 4 2 3 3 2 2 2" xfId="61177" xr:uid="{00000000-0005-0000-0000-0000CD360000}"/>
    <cellStyle name="Normal 3 2 5 4 2 3 3 2 3" xfId="35658" xr:uid="{00000000-0005-0000-0000-0000CE360000}"/>
    <cellStyle name="Normal 3 2 5 4 2 3 3 3" xfId="21428" xr:uid="{00000000-0005-0000-0000-0000CF360000}"/>
    <cellStyle name="Normal 3 2 5 4 2 3 3 3 2" xfId="53299" xr:uid="{00000000-0005-0000-0000-0000D0360000}"/>
    <cellStyle name="Normal 3 2 5 4 2 3 3 4" xfId="35657" xr:uid="{00000000-0005-0000-0000-0000D1360000}"/>
    <cellStyle name="Normal 3 2 5 4 2 3 4" xfId="3780" xr:uid="{00000000-0005-0000-0000-0000D2360000}"/>
    <cellStyle name="Normal 3 2 5 4 2 3 4 2" xfId="25367" xr:uid="{00000000-0005-0000-0000-0000D3360000}"/>
    <cellStyle name="Normal 3 2 5 4 2 3 4 2 2" xfId="57238" xr:uid="{00000000-0005-0000-0000-0000D4360000}"/>
    <cellStyle name="Normal 3 2 5 4 2 3 4 3" xfId="35659" xr:uid="{00000000-0005-0000-0000-0000D5360000}"/>
    <cellStyle name="Normal 3 2 5 4 2 3 5" xfId="17489" xr:uid="{00000000-0005-0000-0000-0000D6360000}"/>
    <cellStyle name="Normal 3 2 5 4 2 3 5 2" xfId="49360" xr:uid="{00000000-0005-0000-0000-0000D7360000}"/>
    <cellStyle name="Normal 3 2 5 4 2 3 6" xfId="35652" xr:uid="{00000000-0005-0000-0000-0000D8360000}"/>
    <cellStyle name="Normal 3 2 5 4 2 4" xfId="3781" xr:uid="{00000000-0005-0000-0000-0000D9360000}"/>
    <cellStyle name="Normal 3 2 5 4 2 4 2" xfId="3782" xr:uid="{00000000-0005-0000-0000-0000DA360000}"/>
    <cellStyle name="Normal 3 2 5 4 2 4 2 2" xfId="3783" xr:uid="{00000000-0005-0000-0000-0000DB360000}"/>
    <cellStyle name="Normal 3 2 5 4 2 4 2 2 2" xfId="29308" xr:uid="{00000000-0005-0000-0000-0000DC360000}"/>
    <cellStyle name="Normal 3 2 5 4 2 4 2 2 2 2" xfId="61179" xr:uid="{00000000-0005-0000-0000-0000DD360000}"/>
    <cellStyle name="Normal 3 2 5 4 2 4 2 2 3" xfId="35662" xr:uid="{00000000-0005-0000-0000-0000DE360000}"/>
    <cellStyle name="Normal 3 2 5 4 2 4 2 3" xfId="21430" xr:uid="{00000000-0005-0000-0000-0000DF360000}"/>
    <cellStyle name="Normal 3 2 5 4 2 4 2 3 2" xfId="53301" xr:uid="{00000000-0005-0000-0000-0000E0360000}"/>
    <cellStyle name="Normal 3 2 5 4 2 4 2 4" xfId="35661" xr:uid="{00000000-0005-0000-0000-0000E1360000}"/>
    <cellStyle name="Normal 3 2 5 4 2 4 3" xfId="3784" xr:uid="{00000000-0005-0000-0000-0000E2360000}"/>
    <cellStyle name="Normal 3 2 5 4 2 4 3 2" xfId="25369" xr:uid="{00000000-0005-0000-0000-0000E3360000}"/>
    <cellStyle name="Normal 3 2 5 4 2 4 3 2 2" xfId="57240" xr:uid="{00000000-0005-0000-0000-0000E4360000}"/>
    <cellStyle name="Normal 3 2 5 4 2 4 3 3" xfId="35663" xr:uid="{00000000-0005-0000-0000-0000E5360000}"/>
    <cellStyle name="Normal 3 2 5 4 2 4 4" xfId="17491" xr:uid="{00000000-0005-0000-0000-0000E6360000}"/>
    <cellStyle name="Normal 3 2 5 4 2 4 4 2" xfId="49362" xr:uid="{00000000-0005-0000-0000-0000E7360000}"/>
    <cellStyle name="Normal 3 2 5 4 2 4 5" xfId="35660" xr:uid="{00000000-0005-0000-0000-0000E8360000}"/>
    <cellStyle name="Normal 3 2 5 4 2 5" xfId="3785" xr:uid="{00000000-0005-0000-0000-0000E9360000}"/>
    <cellStyle name="Normal 3 2 5 4 2 5 2" xfId="3786" xr:uid="{00000000-0005-0000-0000-0000EA360000}"/>
    <cellStyle name="Normal 3 2 5 4 2 5 2 2" xfId="29301" xr:uid="{00000000-0005-0000-0000-0000EB360000}"/>
    <cellStyle name="Normal 3 2 5 4 2 5 2 2 2" xfId="61172" xr:uid="{00000000-0005-0000-0000-0000EC360000}"/>
    <cellStyle name="Normal 3 2 5 4 2 5 2 3" xfId="35665" xr:uid="{00000000-0005-0000-0000-0000ED360000}"/>
    <cellStyle name="Normal 3 2 5 4 2 5 3" xfId="21423" xr:uid="{00000000-0005-0000-0000-0000EE360000}"/>
    <cellStyle name="Normal 3 2 5 4 2 5 3 2" xfId="53294" xr:uid="{00000000-0005-0000-0000-0000EF360000}"/>
    <cellStyle name="Normal 3 2 5 4 2 5 4" xfId="35664" xr:uid="{00000000-0005-0000-0000-0000F0360000}"/>
    <cellStyle name="Normal 3 2 5 4 2 6" xfId="3787" xr:uid="{00000000-0005-0000-0000-0000F1360000}"/>
    <cellStyle name="Normal 3 2 5 4 2 6 2" xfId="25362" xr:uid="{00000000-0005-0000-0000-0000F2360000}"/>
    <cellStyle name="Normal 3 2 5 4 2 6 2 2" xfId="57233" xr:uid="{00000000-0005-0000-0000-0000F3360000}"/>
    <cellStyle name="Normal 3 2 5 4 2 6 3" xfId="35666" xr:uid="{00000000-0005-0000-0000-0000F4360000}"/>
    <cellStyle name="Normal 3 2 5 4 2 7" xfId="17484" xr:uid="{00000000-0005-0000-0000-0000F5360000}"/>
    <cellStyle name="Normal 3 2 5 4 2 7 2" xfId="49355" xr:uid="{00000000-0005-0000-0000-0000F6360000}"/>
    <cellStyle name="Normal 3 2 5 4 2 8" xfId="35635" xr:uid="{00000000-0005-0000-0000-0000F7360000}"/>
    <cellStyle name="Normal 3 2 5 4 3" xfId="3788" xr:uid="{00000000-0005-0000-0000-0000F8360000}"/>
    <cellStyle name="Normal 3 2 5 4 3 2" xfId="3789" xr:uid="{00000000-0005-0000-0000-0000F9360000}"/>
    <cellStyle name="Normal 3 2 5 4 3 2 2" xfId="3790" xr:uid="{00000000-0005-0000-0000-0000FA360000}"/>
    <cellStyle name="Normal 3 2 5 4 3 2 2 2" xfId="3791" xr:uid="{00000000-0005-0000-0000-0000FB360000}"/>
    <cellStyle name="Normal 3 2 5 4 3 2 2 2 2" xfId="3792" xr:uid="{00000000-0005-0000-0000-0000FC360000}"/>
    <cellStyle name="Normal 3 2 5 4 3 2 2 2 2 2" xfId="29311" xr:uid="{00000000-0005-0000-0000-0000FD360000}"/>
    <cellStyle name="Normal 3 2 5 4 3 2 2 2 2 2 2" xfId="61182" xr:uid="{00000000-0005-0000-0000-0000FE360000}"/>
    <cellStyle name="Normal 3 2 5 4 3 2 2 2 2 3" xfId="35671" xr:uid="{00000000-0005-0000-0000-0000FF360000}"/>
    <cellStyle name="Normal 3 2 5 4 3 2 2 2 3" xfId="21433" xr:uid="{00000000-0005-0000-0000-000000370000}"/>
    <cellStyle name="Normal 3 2 5 4 3 2 2 2 3 2" xfId="53304" xr:uid="{00000000-0005-0000-0000-000001370000}"/>
    <cellStyle name="Normal 3 2 5 4 3 2 2 2 4" xfId="35670" xr:uid="{00000000-0005-0000-0000-000002370000}"/>
    <cellStyle name="Normal 3 2 5 4 3 2 2 3" xfId="3793" xr:uid="{00000000-0005-0000-0000-000003370000}"/>
    <cellStyle name="Normal 3 2 5 4 3 2 2 3 2" xfId="25372" xr:uid="{00000000-0005-0000-0000-000004370000}"/>
    <cellStyle name="Normal 3 2 5 4 3 2 2 3 2 2" xfId="57243" xr:uid="{00000000-0005-0000-0000-000005370000}"/>
    <cellStyle name="Normal 3 2 5 4 3 2 2 3 3" xfId="35672" xr:uid="{00000000-0005-0000-0000-000006370000}"/>
    <cellStyle name="Normal 3 2 5 4 3 2 2 4" xfId="17494" xr:uid="{00000000-0005-0000-0000-000007370000}"/>
    <cellStyle name="Normal 3 2 5 4 3 2 2 4 2" xfId="49365" xr:uid="{00000000-0005-0000-0000-000008370000}"/>
    <cellStyle name="Normal 3 2 5 4 3 2 2 5" xfId="35669" xr:uid="{00000000-0005-0000-0000-000009370000}"/>
    <cellStyle name="Normal 3 2 5 4 3 2 3" xfId="3794" xr:uid="{00000000-0005-0000-0000-00000A370000}"/>
    <cellStyle name="Normal 3 2 5 4 3 2 3 2" xfId="3795" xr:uid="{00000000-0005-0000-0000-00000B370000}"/>
    <cellStyle name="Normal 3 2 5 4 3 2 3 2 2" xfId="29310" xr:uid="{00000000-0005-0000-0000-00000C370000}"/>
    <cellStyle name="Normal 3 2 5 4 3 2 3 2 2 2" xfId="61181" xr:uid="{00000000-0005-0000-0000-00000D370000}"/>
    <cellStyle name="Normal 3 2 5 4 3 2 3 2 3" xfId="35674" xr:uid="{00000000-0005-0000-0000-00000E370000}"/>
    <cellStyle name="Normal 3 2 5 4 3 2 3 3" xfId="21432" xr:uid="{00000000-0005-0000-0000-00000F370000}"/>
    <cellStyle name="Normal 3 2 5 4 3 2 3 3 2" xfId="53303" xr:uid="{00000000-0005-0000-0000-000010370000}"/>
    <cellStyle name="Normal 3 2 5 4 3 2 3 4" xfId="35673" xr:uid="{00000000-0005-0000-0000-000011370000}"/>
    <cellStyle name="Normal 3 2 5 4 3 2 4" xfId="3796" xr:uid="{00000000-0005-0000-0000-000012370000}"/>
    <cellStyle name="Normal 3 2 5 4 3 2 4 2" xfId="25371" xr:uid="{00000000-0005-0000-0000-000013370000}"/>
    <cellStyle name="Normal 3 2 5 4 3 2 4 2 2" xfId="57242" xr:uid="{00000000-0005-0000-0000-000014370000}"/>
    <cellStyle name="Normal 3 2 5 4 3 2 4 3" xfId="35675" xr:uid="{00000000-0005-0000-0000-000015370000}"/>
    <cellStyle name="Normal 3 2 5 4 3 2 5" xfId="17493" xr:uid="{00000000-0005-0000-0000-000016370000}"/>
    <cellStyle name="Normal 3 2 5 4 3 2 5 2" xfId="49364" xr:uid="{00000000-0005-0000-0000-000017370000}"/>
    <cellStyle name="Normal 3 2 5 4 3 2 6" xfId="35668" xr:uid="{00000000-0005-0000-0000-000018370000}"/>
    <cellStyle name="Normal 3 2 5 4 3 3" xfId="3797" xr:uid="{00000000-0005-0000-0000-000019370000}"/>
    <cellStyle name="Normal 3 2 5 4 3 3 2" xfId="3798" xr:uid="{00000000-0005-0000-0000-00001A370000}"/>
    <cellStyle name="Normal 3 2 5 4 3 3 2 2" xfId="3799" xr:uid="{00000000-0005-0000-0000-00001B370000}"/>
    <cellStyle name="Normal 3 2 5 4 3 3 2 2 2" xfId="29312" xr:uid="{00000000-0005-0000-0000-00001C370000}"/>
    <cellStyle name="Normal 3 2 5 4 3 3 2 2 2 2" xfId="61183" xr:uid="{00000000-0005-0000-0000-00001D370000}"/>
    <cellStyle name="Normal 3 2 5 4 3 3 2 2 3" xfId="35678" xr:uid="{00000000-0005-0000-0000-00001E370000}"/>
    <cellStyle name="Normal 3 2 5 4 3 3 2 3" xfId="21434" xr:uid="{00000000-0005-0000-0000-00001F370000}"/>
    <cellStyle name="Normal 3 2 5 4 3 3 2 3 2" xfId="53305" xr:uid="{00000000-0005-0000-0000-000020370000}"/>
    <cellStyle name="Normal 3 2 5 4 3 3 2 4" xfId="35677" xr:uid="{00000000-0005-0000-0000-000021370000}"/>
    <cellStyle name="Normal 3 2 5 4 3 3 3" xfId="3800" xr:uid="{00000000-0005-0000-0000-000022370000}"/>
    <cellStyle name="Normal 3 2 5 4 3 3 3 2" xfId="25373" xr:uid="{00000000-0005-0000-0000-000023370000}"/>
    <cellStyle name="Normal 3 2 5 4 3 3 3 2 2" xfId="57244" xr:uid="{00000000-0005-0000-0000-000024370000}"/>
    <cellStyle name="Normal 3 2 5 4 3 3 3 3" xfId="35679" xr:uid="{00000000-0005-0000-0000-000025370000}"/>
    <cellStyle name="Normal 3 2 5 4 3 3 4" xfId="17495" xr:uid="{00000000-0005-0000-0000-000026370000}"/>
    <cellStyle name="Normal 3 2 5 4 3 3 4 2" xfId="49366" xr:uid="{00000000-0005-0000-0000-000027370000}"/>
    <cellStyle name="Normal 3 2 5 4 3 3 5" xfId="35676" xr:uid="{00000000-0005-0000-0000-000028370000}"/>
    <cellStyle name="Normal 3 2 5 4 3 4" xfId="3801" xr:uid="{00000000-0005-0000-0000-000029370000}"/>
    <cellStyle name="Normal 3 2 5 4 3 4 2" xfId="3802" xr:uid="{00000000-0005-0000-0000-00002A370000}"/>
    <cellStyle name="Normal 3 2 5 4 3 4 2 2" xfId="29309" xr:uid="{00000000-0005-0000-0000-00002B370000}"/>
    <cellStyle name="Normal 3 2 5 4 3 4 2 2 2" xfId="61180" xr:uid="{00000000-0005-0000-0000-00002C370000}"/>
    <cellStyle name="Normal 3 2 5 4 3 4 2 3" xfId="35681" xr:uid="{00000000-0005-0000-0000-00002D370000}"/>
    <cellStyle name="Normal 3 2 5 4 3 4 3" xfId="21431" xr:uid="{00000000-0005-0000-0000-00002E370000}"/>
    <cellStyle name="Normal 3 2 5 4 3 4 3 2" xfId="53302" xr:uid="{00000000-0005-0000-0000-00002F370000}"/>
    <cellStyle name="Normal 3 2 5 4 3 4 4" xfId="35680" xr:uid="{00000000-0005-0000-0000-000030370000}"/>
    <cellStyle name="Normal 3 2 5 4 3 5" xfId="3803" xr:uid="{00000000-0005-0000-0000-000031370000}"/>
    <cellStyle name="Normal 3 2 5 4 3 5 2" xfId="25370" xr:uid="{00000000-0005-0000-0000-000032370000}"/>
    <cellStyle name="Normal 3 2 5 4 3 5 2 2" xfId="57241" xr:uid="{00000000-0005-0000-0000-000033370000}"/>
    <cellStyle name="Normal 3 2 5 4 3 5 3" xfId="35682" xr:uid="{00000000-0005-0000-0000-000034370000}"/>
    <cellStyle name="Normal 3 2 5 4 3 6" xfId="17492" xr:uid="{00000000-0005-0000-0000-000035370000}"/>
    <cellStyle name="Normal 3 2 5 4 3 6 2" xfId="49363" xr:uid="{00000000-0005-0000-0000-000036370000}"/>
    <cellStyle name="Normal 3 2 5 4 3 7" xfId="35667" xr:uid="{00000000-0005-0000-0000-000037370000}"/>
    <cellStyle name="Normal 3 2 5 4 4" xfId="3804" xr:uid="{00000000-0005-0000-0000-000038370000}"/>
    <cellStyle name="Normal 3 2 5 4 4 2" xfId="3805" xr:uid="{00000000-0005-0000-0000-000039370000}"/>
    <cellStyle name="Normal 3 2 5 4 4 2 2" xfId="3806" xr:uid="{00000000-0005-0000-0000-00003A370000}"/>
    <cellStyle name="Normal 3 2 5 4 4 2 2 2" xfId="3807" xr:uid="{00000000-0005-0000-0000-00003B370000}"/>
    <cellStyle name="Normal 3 2 5 4 4 2 2 2 2" xfId="29314" xr:uid="{00000000-0005-0000-0000-00003C370000}"/>
    <cellStyle name="Normal 3 2 5 4 4 2 2 2 2 2" xfId="61185" xr:uid="{00000000-0005-0000-0000-00003D370000}"/>
    <cellStyle name="Normal 3 2 5 4 4 2 2 2 3" xfId="35686" xr:uid="{00000000-0005-0000-0000-00003E370000}"/>
    <cellStyle name="Normal 3 2 5 4 4 2 2 3" xfId="21436" xr:uid="{00000000-0005-0000-0000-00003F370000}"/>
    <cellStyle name="Normal 3 2 5 4 4 2 2 3 2" xfId="53307" xr:uid="{00000000-0005-0000-0000-000040370000}"/>
    <cellStyle name="Normal 3 2 5 4 4 2 2 4" xfId="35685" xr:uid="{00000000-0005-0000-0000-000041370000}"/>
    <cellStyle name="Normal 3 2 5 4 4 2 3" xfId="3808" xr:uid="{00000000-0005-0000-0000-000042370000}"/>
    <cellStyle name="Normal 3 2 5 4 4 2 3 2" xfId="25375" xr:uid="{00000000-0005-0000-0000-000043370000}"/>
    <cellStyle name="Normal 3 2 5 4 4 2 3 2 2" xfId="57246" xr:uid="{00000000-0005-0000-0000-000044370000}"/>
    <cellStyle name="Normal 3 2 5 4 4 2 3 3" xfId="35687" xr:uid="{00000000-0005-0000-0000-000045370000}"/>
    <cellStyle name="Normal 3 2 5 4 4 2 4" xfId="17497" xr:uid="{00000000-0005-0000-0000-000046370000}"/>
    <cellStyle name="Normal 3 2 5 4 4 2 4 2" xfId="49368" xr:uid="{00000000-0005-0000-0000-000047370000}"/>
    <cellStyle name="Normal 3 2 5 4 4 2 5" xfId="35684" xr:uid="{00000000-0005-0000-0000-000048370000}"/>
    <cellStyle name="Normal 3 2 5 4 4 3" xfId="3809" xr:uid="{00000000-0005-0000-0000-000049370000}"/>
    <cellStyle name="Normal 3 2 5 4 4 3 2" xfId="3810" xr:uid="{00000000-0005-0000-0000-00004A370000}"/>
    <cellStyle name="Normal 3 2 5 4 4 3 2 2" xfId="29313" xr:uid="{00000000-0005-0000-0000-00004B370000}"/>
    <cellStyle name="Normal 3 2 5 4 4 3 2 2 2" xfId="61184" xr:uid="{00000000-0005-0000-0000-00004C370000}"/>
    <cellStyle name="Normal 3 2 5 4 4 3 2 3" xfId="35689" xr:uid="{00000000-0005-0000-0000-00004D370000}"/>
    <cellStyle name="Normal 3 2 5 4 4 3 3" xfId="21435" xr:uid="{00000000-0005-0000-0000-00004E370000}"/>
    <cellStyle name="Normal 3 2 5 4 4 3 3 2" xfId="53306" xr:uid="{00000000-0005-0000-0000-00004F370000}"/>
    <cellStyle name="Normal 3 2 5 4 4 3 4" xfId="35688" xr:uid="{00000000-0005-0000-0000-000050370000}"/>
    <cellStyle name="Normal 3 2 5 4 4 4" xfId="3811" xr:uid="{00000000-0005-0000-0000-000051370000}"/>
    <cellStyle name="Normal 3 2 5 4 4 4 2" xfId="25374" xr:uid="{00000000-0005-0000-0000-000052370000}"/>
    <cellStyle name="Normal 3 2 5 4 4 4 2 2" xfId="57245" xr:uid="{00000000-0005-0000-0000-000053370000}"/>
    <cellStyle name="Normal 3 2 5 4 4 4 3" xfId="35690" xr:uid="{00000000-0005-0000-0000-000054370000}"/>
    <cellStyle name="Normal 3 2 5 4 4 5" xfId="17496" xr:uid="{00000000-0005-0000-0000-000055370000}"/>
    <cellStyle name="Normal 3 2 5 4 4 5 2" xfId="49367" xr:uid="{00000000-0005-0000-0000-000056370000}"/>
    <cellStyle name="Normal 3 2 5 4 4 6" xfId="35683" xr:uid="{00000000-0005-0000-0000-000057370000}"/>
    <cellStyle name="Normal 3 2 5 4 5" xfId="3812" xr:uid="{00000000-0005-0000-0000-000058370000}"/>
    <cellStyle name="Normal 3 2 5 4 5 2" xfId="3813" xr:uid="{00000000-0005-0000-0000-000059370000}"/>
    <cellStyle name="Normal 3 2 5 4 5 2 2" xfId="3814" xr:uid="{00000000-0005-0000-0000-00005A370000}"/>
    <cellStyle name="Normal 3 2 5 4 5 2 2 2" xfId="29315" xr:uid="{00000000-0005-0000-0000-00005B370000}"/>
    <cellStyle name="Normal 3 2 5 4 5 2 2 2 2" xfId="61186" xr:uid="{00000000-0005-0000-0000-00005C370000}"/>
    <cellStyle name="Normal 3 2 5 4 5 2 2 3" xfId="35693" xr:uid="{00000000-0005-0000-0000-00005D370000}"/>
    <cellStyle name="Normal 3 2 5 4 5 2 3" xfId="21437" xr:uid="{00000000-0005-0000-0000-00005E370000}"/>
    <cellStyle name="Normal 3 2 5 4 5 2 3 2" xfId="53308" xr:uid="{00000000-0005-0000-0000-00005F370000}"/>
    <cellStyle name="Normal 3 2 5 4 5 2 4" xfId="35692" xr:uid="{00000000-0005-0000-0000-000060370000}"/>
    <cellStyle name="Normal 3 2 5 4 5 3" xfId="3815" xr:uid="{00000000-0005-0000-0000-000061370000}"/>
    <cellStyle name="Normal 3 2 5 4 5 3 2" xfId="25376" xr:uid="{00000000-0005-0000-0000-000062370000}"/>
    <cellStyle name="Normal 3 2 5 4 5 3 2 2" xfId="57247" xr:uid="{00000000-0005-0000-0000-000063370000}"/>
    <cellStyle name="Normal 3 2 5 4 5 3 3" xfId="35694" xr:uid="{00000000-0005-0000-0000-000064370000}"/>
    <cellStyle name="Normal 3 2 5 4 5 4" xfId="17498" xr:uid="{00000000-0005-0000-0000-000065370000}"/>
    <cellStyle name="Normal 3 2 5 4 5 4 2" xfId="49369" xr:uid="{00000000-0005-0000-0000-000066370000}"/>
    <cellStyle name="Normal 3 2 5 4 5 5" xfId="35691" xr:uid="{00000000-0005-0000-0000-000067370000}"/>
    <cellStyle name="Normal 3 2 5 4 6" xfId="3816" xr:uid="{00000000-0005-0000-0000-000068370000}"/>
    <cellStyle name="Normal 3 2 5 4 6 2" xfId="3817" xr:uid="{00000000-0005-0000-0000-000069370000}"/>
    <cellStyle name="Normal 3 2 5 4 6 2 2" xfId="28399" xr:uid="{00000000-0005-0000-0000-00006A370000}"/>
    <cellStyle name="Normal 3 2 5 4 6 2 2 2" xfId="60270" xr:uid="{00000000-0005-0000-0000-00006B370000}"/>
    <cellStyle name="Normal 3 2 5 4 6 2 3" xfId="35696" xr:uid="{00000000-0005-0000-0000-00006C370000}"/>
    <cellStyle name="Normal 3 2 5 4 6 3" xfId="20521" xr:uid="{00000000-0005-0000-0000-00006D370000}"/>
    <cellStyle name="Normal 3 2 5 4 6 3 2" xfId="52392" xr:uid="{00000000-0005-0000-0000-00006E370000}"/>
    <cellStyle name="Normal 3 2 5 4 6 4" xfId="35695" xr:uid="{00000000-0005-0000-0000-00006F370000}"/>
    <cellStyle name="Normal 3 2 5 4 7" xfId="3818" xr:uid="{00000000-0005-0000-0000-000070370000}"/>
    <cellStyle name="Normal 3 2 5 4 7 2" xfId="24460" xr:uid="{00000000-0005-0000-0000-000071370000}"/>
    <cellStyle name="Normal 3 2 5 4 7 2 2" xfId="56331" xr:uid="{00000000-0005-0000-0000-000072370000}"/>
    <cellStyle name="Normal 3 2 5 4 7 3" xfId="35697" xr:uid="{00000000-0005-0000-0000-000073370000}"/>
    <cellStyle name="Normal 3 2 5 4 8" xfId="16582" xr:uid="{00000000-0005-0000-0000-000074370000}"/>
    <cellStyle name="Normal 3 2 5 4 8 2" xfId="48453" xr:uid="{00000000-0005-0000-0000-000075370000}"/>
    <cellStyle name="Normal 3 2 5 4 9" xfId="35634" xr:uid="{00000000-0005-0000-0000-000076370000}"/>
    <cellStyle name="Normal 3 2 5 5" xfId="3819" xr:uid="{00000000-0005-0000-0000-000077370000}"/>
    <cellStyle name="Normal 3 2 5 5 2" xfId="3820" xr:uid="{00000000-0005-0000-0000-000078370000}"/>
    <cellStyle name="Normal 3 2 5 5 2 2" xfId="3821" xr:uid="{00000000-0005-0000-0000-000079370000}"/>
    <cellStyle name="Normal 3 2 5 5 2 2 2" xfId="3822" xr:uid="{00000000-0005-0000-0000-00007A370000}"/>
    <cellStyle name="Normal 3 2 5 5 2 2 2 2" xfId="3823" xr:uid="{00000000-0005-0000-0000-00007B370000}"/>
    <cellStyle name="Normal 3 2 5 5 2 2 2 2 2" xfId="3824" xr:uid="{00000000-0005-0000-0000-00007C370000}"/>
    <cellStyle name="Normal 3 2 5 5 2 2 2 2 2 2" xfId="29319" xr:uid="{00000000-0005-0000-0000-00007D370000}"/>
    <cellStyle name="Normal 3 2 5 5 2 2 2 2 2 2 2" xfId="61190" xr:uid="{00000000-0005-0000-0000-00007E370000}"/>
    <cellStyle name="Normal 3 2 5 5 2 2 2 2 2 3" xfId="35703" xr:uid="{00000000-0005-0000-0000-00007F370000}"/>
    <cellStyle name="Normal 3 2 5 5 2 2 2 2 3" xfId="21441" xr:uid="{00000000-0005-0000-0000-000080370000}"/>
    <cellStyle name="Normal 3 2 5 5 2 2 2 2 3 2" xfId="53312" xr:uid="{00000000-0005-0000-0000-000081370000}"/>
    <cellStyle name="Normal 3 2 5 5 2 2 2 2 4" xfId="35702" xr:uid="{00000000-0005-0000-0000-000082370000}"/>
    <cellStyle name="Normal 3 2 5 5 2 2 2 3" xfId="3825" xr:uid="{00000000-0005-0000-0000-000083370000}"/>
    <cellStyle name="Normal 3 2 5 5 2 2 2 3 2" xfId="25380" xr:uid="{00000000-0005-0000-0000-000084370000}"/>
    <cellStyle name="Normal 3 2 5 5 2 2 2 3 2 2" xfId="57251" xr:uid="{00000000-0005-0000-0000-000085370000}"/>
    <cellStyle name="Normal 3 2 5 5 2 2 2 3 3" xfId="35704" xr:uid="{00000000-0005-0000-0000-000086370000}"/>
    <cellStyle name="Normal 3 2 5 5 2 2 2 4" xfId="17502" xr:uid="{00000000-0005-0000-0000-000087370000}"/>
    <cellStyle name="Normal 3 2 5 5 2 2 2 4 2" xfId="49373" xr:uid="{00000000-0005-0000-0000-000088370000}"/>
    <cellStyle name="Normal 3 2 5 5 2 2 2 5" xfId="35701" xr:uid="{00000000-0005-0000-0000-000089370000}"/>
    <cellStyle name="Normal 3 2 5 5 2 2 3" xfId="3826" xr:uid="{00000000-0005-0000-0000-00008A370000}"/>
    <cellStyle name="Normal 3 2 5 5 2 2 3 2" xfId="3827" xr:uid="{00000000-0005-0000-0000-00008B370000}"/>
    <cellStyle name="Normal 3 2 5 5 2 2 3 2 2" xfId="29318" xr:uid="{00000000-0005-0000-0000-00008C370000}"/>
    <cellStyle name="Normal 3 2 5 5 2 2 3 2 2 2" xfId="61189" xr:uid="{00000000-0005-0000-0000-00008D370000}"/>
    <cellStyle name="Normal 3 2 5 5 2 2 3 2 3" xfId="35706" xr:uid="{00000000-0005-0000-0000-00008E370000}"/>
    <cellStyle name="Normal 3 2 5 5 2 2 3 3" xfId="21440" xr:uid="{00000000-0005-0000-0000-00008F370000}"/>
    <cellStyle name="Normal 3 2 5 5 2 2 3 3 2" xfId="53311" xr:uid="{00000000-0005-0000-0000-000090370000}"/>
    <cellStyle name="Normal 3 2 5 5 2 2 3 4" xfId="35705" xr:uid="{00000000-0005-0000-0000-000091370000}"/>
    <cellStyle name="Normal 3 2 5 5 2 2 4" xfId="3828" xr:uid="{00000000-0005-0000-0000-000092370000}"/>
    <cellStyle name="Normal 3 2 5 5 2 2 4 2" xfId="25379" xr:uid="{00000000-0005-0000-0000-000093370000}"/>
    <cellStyle name="Normal 3 2 5 5 2 2 4 2 2" xfId="57250" xr:uid="{00000000-0005-0000-0000-000094370000}"/>
    <cellStyle name="Normal 3 2 5 5 2 2 4 3" xfId="35707" xr:uid="{00000000-0005-0000-0000-000095370000}"/>
    <cellStyle name="Normal 3 2 5 5 2 2 5" xfId="17501" xr:uid="{00000000-0005-0000-0000-000096370000}"/>
    <cellStyle name="Normal 3 2 5 5 2 2 5 2" xfId="49372" xr:uid="{00000000-0005-0000-0000-000097370000}"/>
    <cellStyle name="Normal 3 2 5 5 2 2 6" xfId="35700" xr:uid="{00000000-0005-0000-0000-000098370000}"/>
    <cellStyle name="Normal 3 2 5 5 2 3" xfId="3829" xr:uid="{00000000-0005-0000-0000-000099370000}"/>
    <cellStyle name="Normal 3 2 5 5 2 3 2" xfId="3830" xr:uid="{00000000-0005-0000-0000-00009A370000}"/>
    <cellStyle name="Normal 3 2 5 5 2 3 2 2" xfId="3831" xr:uid="{00000000-0005-0000-0000-00009B370000}"/>
    <cellStyle name="Normal 3 2 5 5 2 3 2 2 2" xfId="29320" xr:uid="{00000000-0005-0000-0000-00009C370000}"/>
    <cellStyle name="Normal 3 2 5 5 2 3 2 2 2 2" xfId="61191" xr:uid="{00000000-0005-0000-0000-00009D370000}"/>
    <cellStyle name="Normal 3 2 5 5 2 3 2 2 3" xfId="35710" xr:uid="{00000000-0005-0000-0000-00009E370000}"/>
    <cellStyle name="Normal 3 2 5 5 2 3 2 3" xfId="21442" xr:uid="{00000000-0005-0000-0000-00009F370000}"/>
    <cellStyle name="Normal 3 2 5 5 2 3 2 3 2" xfId="53313" xr:uid="{00000000-0005-0000-0000-0000A0370000}"/>
    <cellStyle name="Normal 3 2 5 5 2 3 2 4" xfId="35709" xr:uid="{00000000-0005-0000-0000-0000A1370000}"/>
    <cellStyle name="Normal 3 2 5 5 2 3 3" xfId="3832" xr:uid="{00000000-0005-0000-0000-0000A2370000}"/>
    <cellStyle name="Normal 3 2 5 5 2 3 3 2" xfId="25381" xr:uid="{00000000-0005-0000-0000-0000A3370000}"/>
    <cellStyle name="Normal 3 2 5 5 2 3 3 2 2" xfId="57252" xr:uid="{00000000-0005-0000-0000-0000A4370000}"/>
    <cellStyle name="Normal 3 2 5 5 2 3 3 3" xfId="35711" xr:uid="{00000000-0005-0000-0000-0000A5370000}"/>
    <cellStyle name="Normal 3 2 5 5 2 3 4" xfId="17503" xr:uid="{00000000-0005-0000-0000-0000A6370000}"/>
    <cellStyle name="Normal 3 2 5 5 2 3 4 2" xfId="49374" xr:uid="{00000000-0005-0000-0000-0000A7370000}"/>
    <cellStyle name="Normal 3 2 5 5 2 3 5" xfId="35708" xr:uid="{00000000-0005-0000-0000-0000A8370000}"/>
    <cellStyle name="Normal 3 2 5 5 2 4" xfId="3833" xr:uid="{00000000-0005-0000-0000-0000A9370000}"/>
    <cellStyle name="Normal 3 2 5 5 2 4 2" xfId="3834" xr:uid="{00000000-0005-0000-0000-0000AA370000}"/>
    <cellStyle name="Normal 3 2 5 5 2 4 2 2" xfId="29317" xr:uid="{00000000-0005-0000-0000-0000AB370000}"/>
    <cellStyle name="Normal 3 2 5 5 2 4 2 2 2" xfId="61188" xr:uid="{00000000-0005-0000-0000-0000AC370000}"/>
    <cellStyle name="Normal 3 2 5 5 2 4 2 3" xfId="35713" xr:uid="{00000000-0005-0000-0000-0000AD370000}"/>
    <cellStyle name="Normal 3 2 5 5 2 4 3" xfId="21439" xr:uid="{00000000-0005-0000-0000-0000AE370000}"/>
    <cellStyle name="Normal 3 2 5 5 2 4 3 2" xfId="53310" xr:uid="{00000000-0005-0000-0000-0000AF370000}"/>
    <cellStyle name="Normal 3 2 5 5 2 4 4" xfId="35712" xr:uid="{00000000-0005-0000-0000-0000B0370000}"/>
    <cellStyle name="Normal 3 2 5 5 2 5" xfId="3835" xr:uid="{00000000-0005-0000-0000-0000B1370000}"/>
    <cellStyle name="Normal 3 2 5 5 2 5 2" xfId="25378" xr:uid="{00000000-0005-0000-0000-0000B2370000}"/>
    <cellStyle name="Normal 3 2 5 5 2 5 2 2" xfId="57249" xr:uid="{00000000-0005-0000-0000-0000B3370000}"/>
    <cellStyle name="Normal 3 2 5 5 2 5 3" xfId="35714" xr:uid="{00000000-0005-0000-0000-0000B4370000}"/>
    <cellStyle name="Normal 3 2 5 5 2 6" xfId="17500" xr:uid="{00000000-0005-0000-0000-0000B5370000}"/>
    <cellStyle name="Normal 3 2 5 5 2 6 2" xfId="49371" xr:uid="{00000000-0005-0000-0000-0000B6370000}"/>
    <cellStyle name="Normal 3 2 5 5 2 7" xfId="35699" xr:uid="{00000000-0005-0000-0000-0000B7370000}"/>
    <cellStyle name="Normal 3 2 5 5 3" xfId="3836" xr:uid="{00000000-0005-0000-0000-0000B8370000}"/>
    <cellStyle name="Normal 3 2 5 5 3 2" xfId="3837" xr:uid="{00000000-0005-0000-0000-0000B9370000}"/>
    <cellStyle name="Normal 3 2 5 5 3 2 2" xfId="3838" xr:uid="{00000000-0005-0000-0000-0000BA370000}"/>
    <cellStyle name="Normal 3 2 5 5 3 2 2 2" xfId="3839" xr:uid="{00000000-0005-0000-0000-0000BB370000}"/>
    <cellStyle name="Normal 3 2 5 5 3 2 2 2 2" xfId="29322" xr:uid="{00000000-0005-0000-0000-0000BC370000}"/>
    <cellStyle name="Normal 3 2 5 5 3 2 2 2 2 2" xfId="61193" xr:uid="{00000000-0005-0000-0000-0000BD370000}"/>
    <cellStyle name="Normal 3 2 5 5 3 2 2 2 3" xfId="35718" xr:uid="{00000000-0005-0000-0000-0000BE370000}"/>
    <cellStyle name="Normal 3 2 5 5 3 2 2 3" xfId="21444" xr:uid="{00000000-0005-0000-0000-0000BF370000}"/>
    <cellStyle name="Normal 3 2 5 5 3 2 2 3 2" xfId="53315" xr:uid="{00000000-0005-0000-0000-0000C0370000}"/>
    <cellStyle name="Normal 3 2 5 5 3 2 2 4" xfId="35717" xr:uid="{00000000-0005-0000-0000-0000C1370000}"/>
    <cellStyle name="Normal 3 2 5 5 3 2 3" xfId="3840" xr:uid="{00000000-0005-0000-0000-0000C2370000}"/>
    <cellStyle name="Normal 3 2 5 5 3 2 3 2" xfId="25383" xr:uid="{00000000-0005-0000-0000-0000C3370000}"/>
    <cellStyle name="Normal 3 2 5 5 3 2 3 2 2" xfId="57254" xr:uid="{00000000-0005-0000-0000-0000C4370000}"/>
    <cellStyle name="Normal 3 2 5 5 3 2 3 3" xfId="35719" xr:uid="{00000000-0005-0000-0000-0000C5370000}"/>
    <cellStyle name="Normal 3 2 5 5 3 2 4" xfId="17505" xr:uid="{00000000-0005-0000-0000-0000C6370000}"/>
    <cellStyle name="Normal 3 2 5 5 3 2 4 2" xfId="49376" xr:uid="{00000000-0005-0000-0000-0000C7370000}"/>
    <cellStyle name="Normal 3 2 5 5 3 2 5" xfId="35716" xr:uid="{00000000-0005-0000-0000-0000C8370000}"/>
    <cellStyle name="Normal 3 2 5 5 3 3" xfId="3841" xr:uid="{00000000-0005-0000-0000-0000C9370000}"/>
    <cellStyle name="Normal 3 2 5 5 3 3 2" xfId="3842" xr:uid="{00000000-0005-0000-0000-0000CA370000}"/>
    <cellStyle name="Normal 3 2 5 5 3 3 2 2" xfId="29321" xr:uid="{00000000-0005-0000-0000-0000CB370000}"/>
    <cellStyle name="Normal 3 2 5 5 3 3 2 2 2" xfId="61192" xr:uid="{00000000-0005-0000-0000-0000CC370000}"/>
    <cellStyle name="Normal 3 2 5 5 3 3 2 3" xfId="35721" xr:uid="{00000000-0005-0000-0000-0000CD370000}"/>
    <cellStyle name="Normal 3 2 5 5 3 3 3" xfId="21443" xr:uid="{00000000-0005-0000-0000-0000CE370000}"/>
    <cellStyle name="Normal 3 2 5 5 3 3 3 2" xfId="53314" xr:uid="{00000000-0005-0000-0000-0000CF370000}"/>
    <cellStyle name="Normal 3 2 5 5 3 3 4" xfId="35720" xr:uid="{00000000-0005-0000-0000-0000D0370000}"/>
    <cellStyle name="Normal 3 2 5 5 3 4" xfId="3843" xr:uid="{00000000-0005-0000-0000-0000D1370000}"/>
    <cellStyle name="Normal 3 2 5 5 3 4 2" xfId="25382" xr:uid="{00000000-0005-0000-0000-0000D2370000}"/>
    <cellStyle name="Normal 3 2 5 5 3 4 2 2" xfId="57253" xr:uid="{00000000-0005-0000-0000-0000D3370000}"/>
    <cellStyle name="Normal 3 2 5 5 3 4 3" xfId="35722" xr:uid="{00000000-0005-0000-0000-0000D4370000}"/>
    <cellStyle name="Normal 3 2 5 5 3 5" xfId="17504" xr:uid="{00000000-0005-0000-0000-0000D5370000}"/>
    <cellStyle name="Normal 3 2 5 5 3 5 2" xfId="49375" xr:uid="{00000000-0005-0000-0000-0000D6370000}"/>
    <cellStyle name="Normal 3 2 5 5 3 6" xfId="35715" xr:uid="{00000000-0005-0000-0000-0000D7370000}"/>
    <cellStyle name="Normal 3 2 5 5 4" xfId="3844" xr:uid="{00000000-0005-0000-0000-0000D8370000}"/>
    <cellStyle name="Normal 3 2 5 5 4 2" xfId="3845" xr:uid="{00000000-0005-0000-0000-0000D9370000}"/>
    <cellStyle name="Normal 3 2 5 5 4 2 2" xfId="3846" xr:uid="{00000000-0005-0000-0000-0000DA370000}"/>
    <cellStyle name="Normal 3 2 5 5 4 2 2 2" xfId="29323" xr:uid="{00000000-0005-0000-0000-0000DB370000}"/>
    <cellStyle name="Normal 3 2 5 5 4 2 2 2 2" xfId="61194" xr:uid="{00000000-0005-0000-0000-0000DC370000}"/>
    <cellStyle name="Normal 3 2 5 5 4 2 2 3" xfId="35725" xr:uid="{00000000-0005-0000-0000-0000DD370000}"/>
    <cellStyle name="Normal 3 2 5 5 4 2 3" xfId="21445" xr:uid="{00000000-0005-0000-0000-0000DE370000}"/>
    <cellStyle name="Normal 3 2 5 5 4 2 3 2" xfId="53316" xr:uid="{00000000-0005-0000-0000-0000DF370000}"/>
    <cellStyle name="Normal 3 2 5 5 4 2 4" xfId="35724" xr:uid="{00000000-0005-0000-0000-0000E0370000}"/>
    <cellStyle name="Normal 3 2 5 5 4 3" xfId="3847" xr:uid="{00000000-0005-0000-0000-0000E1370000}"/>
    <cellStyle name="Normal 3 2 5 5 4 3 2" xfId="25384" xr:uid="{00000000-0005-0000-0000-0000E2370000}"/>
    <cellStyle name="Normal 3 2 5 5 4 3 2 2" xfId="57255" xr:uid="{00000000-0005-0000-0000-0000E3370000}"/>
    <cellStyle name="Normal 3 2 5 5 4 3 3" xfId="35726" xr:uid="{00000000-0005-0000-0000-0000E4370000}"/>
    <cellStyle name="Normal 3 2 5 5 4 4" xfId="17506" xr:uid="{00000000-0005-0000-0000-0000E5370000}"/>
    <cellStyle name="Normal 3 2 5 5 4 4 2" xfId="49377" xr:uid="{00000000-0005-0000-0000-0000E6370000}"/>
    <cellStyle name="Normal 3 2 5 5 4 5" xfId="35723" xr:uid="{00000000-0005-0000-0000-0000E7370000}"/>
    <cellStyle name="Normal 3 2 5 5 5" xfId="3848" xr:uid="{00000000-0005-0000-0000-0000E8370000}"/>
    <cellStyle name="Normal 3 2 5 5 5 2" xfId="3849" xr:uid="{00000000-0005-0000-0000-0000E9370000}"/>
    <cellStyle name="Normal 3 2 5 5 5 2 2" xfId="29316" xr:uid="{00000000-0005-0000-0000-0000EA370000}"/>
    <cellStyle name="Normal 3 2 5 5 5 2 2 2" xfId="61187" xr:uid="{00000000-0005-0000-0000-0000EB370000}"/>
    <cellStyle name="Normal 3 2 5 5 5 2 3" xfId="35728" xr:uid="{00000000-0005-0000-0000-0000EC370000}"/>
    <cellStyle name="Normal 3 2 5 5 5 3" xfId="21438" xr:uid="{00000000-0005-0000-0000-0000ED370000}"/>
    <cellStyle name="Normal 3 2 5 5 5 3 2" xfId="53309" xr:uid="{00000000-0005-0000-0000-0000EE370000}"/>
    <cellStyle name="Normal 3 2 5 5 5 4" xfId="35727" xr:uid="{00000000-0005-0000-0000-0000EF370000}"/>
    <cellStyle name="Normal 3 2 5 5 6" xfId="3850" xr:uid="{00000000-0005-0000-0000-0000F0370000}"/>
    <cellStyle name="Normal 3 2 5 5 6 2" xfId="25377" xr:uid="{00000000-0005-0000-0000-0000F1370000}"/>
    <cellStyle name="Normal 3 2 5 5 6 2 2" xfId="57248" xr:uid="{00000000-0005-0000-0000-0000F2370000}"/>
    <cellStyle name="Normal 3 2 5 5 6 3" xfId="35729" xr:uid="{00000000-0005-0000-0000-0000F3370000}"/>
    <cellStyle name="Normal 3 2 5 5 7" xfId="17499" xr:uid="{00000000-0005-0000-0000-0000F4370000}"/>
    <cellStyle name="Normal 3 2 5 5 7 2" xfId="49370" xr:uid="{00000000-0005-0000-0000-0000F5370000}"/>
    <cellStyle name="Normal 3 2 5 5 8" xfId="35698" xr:uid="{00000000-0005-0000-0000-0000F6370000}"/>
    <cellStyle name="Normal 3 2 5 6" xfId="3851" xr:uid="{00000000-0005-0000-0000-0000F7370000}"/>
    <cellStyle name="Normal 3 2 5 6 2" xfId="3852" xr:uid="{00000000-0005-0000-0000-0000F8370000}"/>
    <cellStyle name="Normal 3 2 5 6 2 2" xfId="3853" xr:uid="{00000000-0005-0000-0000-0000F9370000}"/>
    <cellStyle name="Normal 3 2 5 6 2 2 2" xfId="3854" xr:uid="{00000000-0005-0000-0000-0000FA370000}"/>
    <cellStyle name="Normal 3 2 5 6 2 2 2 2" xfId="3855" xr:uid="{00000000-0005-0000-0000-0000FB370000}"/>
    <cellStyle name="Normal 3 2 5 6 2 2 2 2 2" xfId="29326" xr:uid="{00000000-0005-0000-0000-0000FC370000}"/>
    <cellStyle name="Normal 3 2 5 6 2 2 2 2 2 2" xfId="61197" xr:uid="{00000000-0005-0000-0000-0000FD370000}"/>
    <cellStyle name="Normal 3 2 5 6 2 2 2 2 3" xfId="35734" xr:uid="{00000000-0005-0000-0000-0000FE370000}"/>
    <cellStyle name="Normal 3 2 5 6 2 2 2 3" xfId="21448" xr:uid="{00000000-0005-0000-0000-0000FF370000}"/>
    <cellStyle name="Normal 3 2 5 6 2 2 2 3 2" xfId="53319" xr:uid="{00000000-0005-0000-0000-000000380000}"/>
    <cellStyle name="Normal 3 2 5 6 2 2 2 4" xfId="35733" xr:uid="{00000000-0005-0000-0000-000001380000}"/>
    <cellStyle name="Normal 3 2 5 6 2 2 3" xfId="3856" xr:uid="{00000000-0005-0000-0000-000002380000}"/>
    <cellStyle name="Normal 3 2 5 6 2 2 3 2" xfId="25387" xr:uid="{00000000-0005-0000-0000-000003380000}"/>
    <cellStyle name="Normal 3 2 5 6 2 2 3 2 2" xfId="57258" xr:uid="{00000000-0005-0000-0000-000004380000}"/>
    <cellStyle name="Normal 3 2 5 6 2 2 3 3" xfId="35735" xr:uid="{00000000-0005-0000-0000-000005380000}"/>
    <cellStyle name="Normal 3 2 5 6 2 2 4" xfId="17509" xr:uid="{00000000-0005-0000-0000-000006380000}"/>
    <cellStyle name="Normal 3 2 5 6 2 2 4 2" xfId="49380" xr:uid="{00000000-0005-0000-0000-000007380000}"/>
    <cellStyle name="Normal 3 2 5 6 2 2 5" xfId="35732" xr:uid="{00000000-0005-0000-0000-000008380000}"/>
    <cellStyle name="Normal 3 2 5 6 2 3" xfId="3857" xr:uid="{00000000-0005-0000-0000-000009380000}"/>
    <cellStyle name="Normal 3 2 5 6 2 3 2" xfId="3858" xr:uid="{00000000-0005-0000-0000-00000A380000}"/>
    <cellStyle name="Normal 3 2 5 6 2 3 2 2" xfId="29325" xr:uid="{00000000-0005-0000-0000-00000B380000}"/>
    <cellStyle name="Normal 3 2 5 6 2 3 2 2 2" xfId="61196" xr:uid="{00000000-0005-0000-0000-00000C380000}"/>
    <cellStyle name="Normal 3 2 5 6 2 3 2 3" xfId="35737" xr:uid="{00000000-0005-0000-0000-00000D380000}"/>
    <cellStyle name="Normal 3 2 5 6 2 3 3" xfId="21447" xr:uid="{00000000-0005-0000-0000-00000E380000}"/>
    <cellStyle name="Normal 3 2 5 6 2 3 3 2" xfId="53318" xr:uid="{00000000-0005-0000-0000-00000F380000}"/>
    <cellStyle name="Normal 3 2 5 6 2 3 4" xfId="35736" xr:uid="{00000000-0005-0000-0000-000010380000}"/>
    <cellStyle name="Normal 3 2 5 6 2 4" xfId="3859" xr:uid="{00000000-0005-0000-0000-000011380000}"/>
    <cellStyle name="Normal 3 2 5 6 2 4 2" xfId="25386" xr:uid="{00000000-0005-0000-0000-000012380000}"/>
    <cellStyle name="Normal 3 2 5 6 2 4 2 2" xfId="57257" xr:uid="{00000000-0005-0000-0000-000013380000}"/>
    <cellStyle name="Normal 3 2 5 6 2 4 3" xfId="35738" xr:uid="{00000000-0005-0000-0000-000014380000}"/>
    <cellStyle name="Normal 3 2 5 6 2 5" xfId="17508" xr:uid="{00000000-0005-0000-0000-000015380000}"/>
    <cellStyle name="Normal 3 2 5 6 2 5 2" xfId="49379" xr:uid="{00000000-0005-0000-0000-000016380000}"/>
    <cellStyle name="Normal 3 2 5 6 2 6" xfId="35731" xr:uid="{00000000-0005-0000-0000-000017380000}"/>
    <cellStyle name="Normal 3 2 5 6 3" xfId="3860" xr:uid="{00000000-0005-0000-0000-000018380000}"/>
    <cellStyle name="Normal 3 2 5 6 3 2" xfId="3861" xr:uid="{00000000-0005-0000-0000-000019380000}"/>
    <cellStyle name="Normal 3 2 5 6 3 2 2" xfId="3862" xr:uid="{00000000-0005-0000-0000-00001A380000}"/>
    <cellStyle name="Normal 3 2 5 6 3 2 2 2" xfId="29327" xr:uid="{00000000-0005-0000-0000-00001B380000}"/>
    <cellStyle name="Normal 3 2 5 6 3 2 2 2 2" xfId="61198" xr:uid="{00000000-0005-0000-0000-00001C380000}"/>
    <cellStyle name="Normal 3 2 5 6 3 2 2 3" xfId="35741" xr:uid="{00000000-0005-0000-0000-00001D380000}"/>
    <cellStyle name="Normal 3 2 5 6 3 2 3" xfId="21449" xr:uid="{00000000-0005-0000-0000-00001E380000}"/>
    <cellStyle name="Normal 3 2 5 6 3 2 3 2" xfId="53320" xr:uid="{00000000-0005-0000-0000-00001F380000}"/>
    <cellStyle name="Normal 3 2 5 6 3 2 4" xfId="35740" xr:uid="{00000000-0005-0000-0000-000020380000}"/>
    <cellStyle name="Normal 3 2 5 6 3 3" xfId="3863" xr:uid="{00000000-0005-0000-0000-000021380000}"/>
    <cellStyle name="Normal 3 2 5 6 3 3 2" xfId="25388" xr:uid="{00000000-0005-0000-0000-000022380000}"/>
    <cellStyle name="Normal 3 2 5 6 3 3 2 2" xfId="57259" xr:uid="{00000000-0005-0000-0000-000023380000}"/>
    <cellStyle name="Normal 3 2 5 6 3 3 3" xfId="35742" xr:uid="{00000000-0005-0000-0000-000024380000}"/>
    <cellStyle name="Normal 3 2 5 6 3 4" xfId="17510" xr:uid="{00000000-0005-0000-0000-000025380000}"/>
    <cellStyle name="Normal 3 2 5 6 3 4 2" xfId="49381" xr:uid="{00000000-0005-0000-0000-000026380000}"/>
    <cellStyle name="Normal 3 2 5 6 3 5" xfId="35739" xr:uid="{00000000-0005-0000-0000-000027380000}"/>
    <cellStyle name="Normal 3 2 5 6 4" xfId="3864" xr:uid="{00000000-0005-0000-0000-000028380000}"/>
    <cellStyle name="Normal 3 2 5 6 4 2" xfId="3865" xr:uid="{00000000-0005-0000-0000-000029380000}"/>
    <cellStyle name="Normal 3 2 5 6 4 2 2" xfId="29324" xr:uid="{00000000-0005-0000-0000-00002A380000}"/>
    <cellStyle name="Normal 3 2 5 6 4 2 2 2" xfId="61195" xr:uid="{00000000-0005-0000-0000-00002B380000}"/>
    <cellStyle name="Normal 3 2 5 6 4 2 3" xfId="35744" xr:uid="{00000000-0005-0000-0000-00002C380000}"/>
    <cellStyle name="Normal 3 2 5 6 4 3" xfId="21446" xr:uid="{00000000-0005-0000-0000-00002D380000}"/>
    <cellStyle name="Normal 3 2 5 6 4 3 2" xfId="53317" xr:uid="{00000000-0005-0000-0000-00002E380000}"/>
    <cellStyle name="Normal 3 2 5 6 4 4" xfId="35743" xr:uid="{00000000-0005-0000-0000-00002F380000}"/>
    <cellStyle name="Normal 3 2 5 6 5" xfId="3866" xr:uid="{00000000-0005-0000-0000-000030380000}"/>
    <cellStyle name="Normal 3 2 5 6 5 2" xfId="25385" xr:uid="{00000000-0005-0000-0000-000031380000}"/>
    <cellStyle name="Normal 3 2 5 6 5 2 2" xfId="57256" xr:uid="{00000000-0005-0000-0000-000032380000}"/>
    <cellStyle name="Normal 3 2 5 6 5 3" xfId="35745" xr:uid="{00000000-0005-0000-0000-000033380000}"/>
    <cellStyle name="Normal 3 2 5 6 6" xfId="17507" xr:uid="{00000000-0005-0000-0000-000034380000}"/>
    <cellStyle name="Normal 3 2 5 6 6 2" xfId="49378" xr:uid="{00000000-0005-0000-0000-000035380000}"/>
    <cellStyle name="Normal 3 2 5 6 7" xfId="35730" xr:uid="{00000000-0005-0000-0000-000036380000}"/>
    <cellStyle name="Normal 3 2 5 7" xfId="3867" xr:uid="{00000000-0005-0000-0000-000037380000}"/>
    <cellStyle name="Normal 3 2 5 7 2" xfId="3868" xr:uid="{00000000-0005-0000-0000-000038380000}"/>
    <cellStyle name="Normal 3 2 5 7 2 2" xfId="3869" xr:uid="{00000000-0005-0000-0000-000039380000}"/>
    <cellStyle name="Normal 3 2 5 7 2 2 2" xfId="3870" xr:uid="{00000000-0005-0000-0000-00003A380000}"/>
    <cellStyle name="Normal 3 2 5 7 2 2 2 2" xfId="29329" xr:uid="{00000000-0005-0000-0000-00003B380000}"/>
    <cellStyle name="Normal 3 2 5 7 2 2 2 2 2" xfId="61200" xr:uid="{00000000-0005-0000-0000-00003C380000}"/>
    <cellStyle name="Normal 3 2 5 7 2 2 2 3" xfId="35749" xr:uid="{00000000-0005-0000-0000-00003D380000}"/>
    <cellStyle name="Normal 3 2 5 7 2 2 3" xfId="21451" xr:uid="{00000000-0005-0000-0000-00003E380000}"/>
    <cellStyle name="Normal 3 2 5 7 2 2 3 2" xfId="53322" xr:uid="{00000000-0005-0000-0000-00003F380000}"/>
    <cellStyle name="Normal 3 2 5 7 2 2 4" xfId="35748" xr:uid="{00000000-0005-0000-0000-000040380000}"/>
    <cellStyle name="Normal 3 2 5 7 2 3" xfId="3871" xr:uid="{00000000-0005-0000-0000-000041380000}"/>
    <cellStyle name="Normal 3 2 5 7 2 3 2" xfId="25390" xr:uid="{00000000-0005-0000-0000-000042380000}"/>
    <cellStyle name="Normal 3 2 5 7 2 3 2 2" xfId="57261" xr:uid="{00000000-0005-0000-0000-000043380000}"/>
    <cellStyle name="Normal 3 2 5 7 2 3 3" xfId="35750" xr:uid="{00000000-0005-0000-0000-000044380000}"/>
    <cellStyle name="Normal 3 2 5 7 2 4" xfId="17512" xr:uid="{00000000-0005-0000-0000-000045380000}"/>
    <cellStyle name="Normal 3 2 5 7 2 4 2" xfId="49383" xr:uid="{00000000-0005-0000-0000-000046380000}"/>
    <cellStyle name="Normal 3 2 5 7 2 5" xfId="35747" xr:uid="{00000000-0005-0000-0000-000047380000}"/>
    <cellStyle name="Normal 3 2 5 7 3" xfId="3872" xr:uid="{00000000-0005-0000-0000-000048380000}"/>
    <cellStyle name="Normal 3 2 5 7 3 2" xfId="3873" xr:uid="{00000000-0005-0000-0000-000049380000}"/>
    <cellStyle name="Normal 3 2 5 7 3 2 2" xfId="29328" xr:uid="{00000000-0005-0000-0000-00004A380000}"/>
    <cellStyle name="Normal 3 2 5 7 3 2 2 2" xfId="61199" xr:uid="{00000000-0005-0000-0000-00004B380000}"/>
    <cellStyle name="Normal 3 2 5 7 3 2 3" xfId="35752" xr:uid="{00000000-0005-0000-0000-00004C380000}"/>
    <cellStyle name="Normal 3 2 5 7 3 3" xfId="21450" xr:uid="{00000000-0005-0000-0000-00004D380000}"/>
    <cellStyle name="Normal 3 2 5 7 3 3 2" xfId="53321" xr:uid="{00000000-0005-0000-0000-00004E380000}"/>
    <cellStyle name="Normal 3 2 5 7 3 4" xfId="35751" xr:uid="{00000000-0005-0000-0000-00004F380000}"/>
    <cellStyle name="Normal 3 2 5 7 4" xfId="3874" xr:uid="{00000000-0005-0000-0000-000050380000}"/>
    <cellStyle name="Normal 3 2 5 7 4 2" xfId="25389" xr:uid="{00000000-0005-0000-0000-000051380000}"/>
    <cellStyle name="Normal 3 2 5 7 4 2 2" xfId="57260" xr:uid="{00000000-0005-0000-0000-000052380000}"/>
    <cellStyle name="Normal 3 2 5 7 4 3" xfId="35753" xr:uid="{00000000-0005-0000-0000-000053380000}"/>
    <cellStyle name="Normal 3 2 5 7 5" xfId="17511" xr:uid="{00000000-0005-0000-0000-000054380000}"/>
    <cellStyle name="Normal 3 2 5 7 5 2" xfId="49382" xr:uid="{00000000-0005-0000-0000-000055380000}"/>
    <cellStyle name="Normal 3 2 5 7 6" xfId="35746" xr:uid="{00000000-0005-0000-0000-000056380000}"/>
    <cellStyle name="Normal 3 2 5 8" xfId="3875" xr:uid="{00000000-0005-0000-0000-000057380000}"/>
    <cellStyle name="Normal 3 2 5 8 2" xfId="3876" xr:uid="{00000000-0005-0000-0000-000058380000}"/>
    <cellStyle name="Normal 3 2 5 8 2 2" xfId="3877" xr:uid="{00000000-0005-0000-0000-000059380000}"/>
    <cellStyle name="Normal 3 2 5 8 2 2 2" xfId="29330" xr:uid="{00000000-0005-0000-0000-00005A380000}"/>
    <cellStyle name="Normal 3 2 5 8 2 2 2 2" xfId="61201" xr:uid="{00000000-0005-0000-0000-00005B380000}"/>
    <cellStyle name="Normal 3 2 5 8 2 2 3" xfId="35756" xr:uid="{00000000-0005-0000-0000-00005C380000}"/>
    <cellStyle name="Normal 3 2 5 8 2 3" xfId="21452" xr:uid="{00000000-0005-0000-0000-00005D380000}"/>
    <cellStyle name="Normal 3 2 5 8 2 3 2" xfId="53323" xr:uid="{00000000-0005-0000-0000-00005E380000}"/>
    <cellStyle name="Normal 3 2 5 8 2 4" xfId="35755" xr:uid="{00000000-0005-0000-0000-00005F380000}"/>
    <cellStyle name="Normal 3 2 5 8 3" xfId="3878" xr:uid="{00000000-0005-0000-0000-000060380000}"/>
    <cellStyle name="Normal 3 2 5 8 3 2" xfId="25391" xr:uid="{00000000-0005-0000-0000-000061380000}"/>
    <cellStyle name="Normal 3 2 5 8 3 2 2" xfId="57262" xr:uid="{00000000-0005-0000-0000-000062380000}"/>
    <cellStyle name="Normal 3 2 5 8 3 3" xfId="35757" xr:uid="{00000000-0005-0000-0000-000063380000}"/>
    <cellStyle name="Normal 3 2 5 8 4" xfId="17513" xr:uid="{00000000-0005-0000-0000-000064380000}"/>
    <cellStyle name="Normal 3 2 5 8 4 2" xfId="49384" xr:uid="{00000000-0005-0000-0000-000065380000}"/>
    <cellStyle name="Normal 3 2 5 8 5" xfId="35754" xr:uid="{00000000-0005-0000-0000-000066380000}"/>
    <cellStyle name="Normal 3 2 5 9" xfId="3879" xr:uid="{00000000-0005-0000-0000-000067380000}"/>
    <cellStyle name="Normal 3 2 5 9 2" xfId="3880" xr:uid="{00000000-0005-0000-0000-000068380000}"/>
    <cellStyle name="Normal 3 2 5 9 2 2" xfId="28276" xr:uid="{00000000-0005-0000-0000-000069380000}"/>
    <cellStyle name="Normal 3 2 5 9 2 2 2" xfId="60147" xr:uid="{00000000-0005-0000-0000-00006A380000}"/>
    <cellStyle name="Normal 3 2 5 9 2 3" xfId="35759" xr:uid="{00000000-0005-0000-0000-00006B380000}"/>
    <cellStyle name="Normal 3 2 5 9 3" xfId="20398" xr:uid="{00000000-0005-0000-0000-00006C380000}"/>
    <cellStyle name="Normal 3 2 5 9 3 2" xfId="52269" xr:uid="{00000000-0005-0000-0000-00006D380000}"/>
    <cellStyle name="Normal 3 2 5 9 4" xfId="35758" xr:uid="{00000000-0005-0000-0000-00006E380000}"/>
    <cellStyle name="Normal 3 2 6" xfId="3881" xr:uid="{00000000-0005-0000-0000-00006F380000}"/>
    <cellStyle name="Normal 3 2 6 10" xfId="35760" xr:uid="{00000000-0005-0000-0000-000070380000}"/>
    <cellStyle name="Normal 3 2 6 2" xfId="3882" xr:uid="{00000000-0005-0000-0000-000071380000}"/>
    <cellStyle name="Normal 3 2 6 2 2" xfId="3883" xr:uid="{00000000-0005-0000-0000-000072380000}"/>
    <cellStyle name="Normal 3 2 6 2 2 2" xfId="3884" xr:uid="{00000000-0005-0000-0000-000073380000}"/>
    <cellStyle name="Normal 3 2 6 2 2 2 2" xfId="3885" xr:uid="{00000000-0005-0000-0000-000074380000}"/>
    <cellStyle name="Normal 3 2 6 2 2 2 2 2" xfId="3886" xr:uid="{00000000-0005-0000-0000-000075380000}"/>
    <cellStyle name="Normal 3 2 6 2 2 2 2 2 2" xfId="3887" xr:uid="{00000000-0005-0000-0000-000076380000}"/>
    <cellStyle name="Normal 3 2 6 2 2 2 2 2 2 2" xfId="3888" xr:uid="{00000000-0005-0000-0000-000077380000}"/>
    <cellStyle name="Normal 3 2 6 2 2 2 2 2 2 2 2" xfId="29334" xr:uid="{00000000-0005-0000-0000-000078380000}"/>
    <cellStyle name="Normal 3 2 6 2 2 2 2 2 2 2 2 2" xfId="61205" xr:uid="{00000000-0005-0000-0000-000079380000}"/>
    <cellStyle name="Normal 3 2 6 2 2 2 2 2 2 2 3" xfId="35767" xr:uid="{00000000-0005-0000-0000-00007A380000}"/>
    <cellStyle name="Normal 3 2 6 2 2 2 2 2 2 3" xfId="21456" xr:uid="{00000000-0005-0000-0000-00007B380000}"/>
    <cellStyle name="Normal 3 2 6 2 2 2 2 2 2 3 2" xfId="53327" xr:uid="{00000000-0005-0000-0000-00007C380000}"/>
    <cellStyle name="Normal 3 2 6 2 2 2 2 2 2 4" xfId="35766" xr:uid="{00000000-0005-0000-0000-00007D380000}"/>
    <cellStyle name="Normal 3 2 6 2 2 2 2 2 3" xfId="3889" xr:uid="{00000000-0005-0000-0000-00007E380000}"/>
    <cellStyle name="Normal 3 2 6 2 2 2 2 2 3 2" xfId="25395" xr:uid="{00000000-0005-0000-0000-00007F380000}"/>
    <cellStyle name="Normal 3 2 6 2 2 2 2 2 3 2 2" xfId="57266" xr:uid="{00000000-0005-0000-0000-000080380000}"/>
    <cellStyle name="Normal 3 2 6 2 2 2 2 2 3 3" xfId="35768" xr:uid="{00000000-0005-0000-0000-000081380000}"/>
    <cellStyle name="Normal 3 2 6 2 2 2 2 2 4" xfId="17517" xr:uid="{00000000-0005-0000-0000-000082380000}"/>
    <cellStyle name="Normal 3 2 6 2 2 2 2 2 4 2" xfId="49388" xr:uid="{00000000-0005-0000-0000-000083380000}"/>
    <cellStyle name="Normal 3 2 6 2 2 2 2 2 5" xfId="35765" xr:uid="{00000000-0005-0000-0000-000084380000}"/>
    <cellStyle name="Normal 3 2 6 2 2 2 2 3" xfId="3890" xr:uid="{00000000-0005-0000-0000-000085380000}"/>
    <cellStyle name="Normal 3 2 6 2 2 2 2 3 2" xfId="3891" xr:uid="{00000000-0005-0000-0000-000086380000}"/>
    <cellStyle name="Normal 3 2 6 2 2 2 2 3 2 2" xfId="29333" xr:uid="{00000000-0005-0000-0000-000087380000}"/>
    <cellStyle name="Normal 3 2 6 2 2 2 2 3 2 2 2" xfId="61204" xr:uid="{00000000-0005-0000-0000-000088380000}"/>
    <cellStyle name="Normal 3 2 6 2 2 2 2 3 2 3" xfId="35770" xr:uid="{00000000-0005-0000-0000-000089380000}"/>
    <cellStyle name="Normal 3 2 6 2 2 2 2 3 3" xfId="21455" xr:uid="{00000000-0005-0000-0000-00008A380000}"/>
    <cellStyle name="Normal 3 2 6 2 2 2 2 3 3 2" xfId="53326" xr:uid="{00000000-0005-0000-0000-00008B380000}"/>
    <cellStyle name="Normal 3 2 6 2 2 2 2 3 4" xfId="35769" xr:uid="{00000000-0005-0000-0000-00008C380000}"/>
    <cellStyle name="Normal 3 2 6 2 2 2 2 4" xfId="3892" xr:uid="{00000000-0005-0000-0000-00008D380000}"/>
    <cellStyle name="Normal 3 2 6 2 2 2 2 4 2" xfId="25394" xr:uid="{00000000-0005-0000-0000-00008E380000}"/>
    <cellStyle name="Normal 3 2 6 2 2 2 2 4 2 2" xfId="57265" xr:uid="{00000000-0005-0000-0000-00008F380000}"/>
    <cellStyle name="Normal 3 2 6 2 2 2 2 4 3" xfId="35771" xr:uid="{00000000-0005-0000-0000-000090380000}"/>
    <cellStyle name="Normal 3 2 6 2 2 2 2 5" xfId="17516" xr:uid="{00000000-0005-0000-0000-000091380000}"/>
    <cellStyle name="Normal 3 2 6 2 2 2 2 5 2" xfId="49387" xr:uid="{00000000-0005-0000-0000-000092380000}"/>
    <cellStyle name="Normal 3 2 6 2 2 2 2 6" xfId="35764" xr:uid="{00000000-0005-0000-0000-000093380000}"/>
    <cellStyle name="Normal 3 2 6 2 2 2 3" xfId="3893" xr:uid="{00000000-0005-0000-0000-000094380000}"/>
    <cellStyle name="Normal 3 2 6 2 2 2 3 2" xfId="3894" xr:uid="{00000000-0005-0000-0000-000095380000}"/>
    <cellStyle name="Normal 3 2 6 2 2 2 3 2 2" xfId="3895" xr:uid="{00000000-0005-0000-0000-000096380000}"/>
    <cellStyle name="Normal 3 2 6 2 2 2 3 2 2 2" xfId="29335" xr:uid="{00000000-0005-0000-0000-000097380000}"/>
    <cellStyle name="Normal 3 2 6 2 2 2 3 2 2 2 2" xfId="61206" xr:uid="{00000000-0005-0000-0000-000098380000}"/>
    <cellStyle name="Normal 3 2 6 2 2 2 3 2 2 3" xfId="35774" xr:uid="{00000000-0005-0000-0000-000099380000}"/>
    <cellStyle name="Normal 3 2 6 2 2 2 3 2 3" xfId="21457" xr:uid="{00000000-0005-0000-0000-00009A380000}"/>
    <cellStyle name="Normal 3 2 6 2 2 2 3 2 3 2" xfId="53328" xr:uid="{00000000-0005-0000-0000-00009B380000}"/>
    <cellStyle name="Normal 3 2 6 2 2 2 3 2 4" xfId="35773" xr:uid="{00000000-0005-0000-0000-00009C380000}"/>
    <cellStyle name="Normal 3 2 6 2 2 2 3 3" xfId="3896" xr:uid="{00000000-0005-0000-0000-00009D380000}"/>
    <cellStyle name="Normal 3 2 6 2 2 2 3 3 2" xfId="25396" xr:uid="{00000000-0005-0000-0000-00009E380000}"/>
    <cellStyle name="Normal 3 2 6 2 2 2 3 3 2 2" xfId="57267" xr:uid="{00000000-0005-0000-0000-00009F380000}"/>
    <cellStyle name="Normal 3 2 6 2 2 2 3 3 3" xfId="35775" xr:uid="{00000000-0005-0000-0000-0000A0380000}"/>
    <cellStyle name="Normal 3 2 6 2 2 2 3 4" xfId="17518" xr:uid="{00000000-0005-0000-0000-0000A1380000}"/>
    <cellStyle name="Normal 3 2 6 2 2 2 3 4 2" xfId="49389" xr:uid="{00000000-0005-0000-0000-0000A2380000}"/>
    <cellStyle name="Normal 3 2 6 2 2 2 3 5" xfId="35772" xr:uid="{00000000-0005-0000-0000-0000A3380000}"/>
    <cellStyle name="Normal 3 2 6 2 2 2 4" xfId="3897" xr:uid="{00000000-0005-0000-0000-0000A4380000}"/>
    <cellStyle name="Normal 3 2 6 2 2 2 4 2" xfId="3898" xr:uid="{00000000-0005-0000-0000-0000A5380000}"/>
    <cellStyle name="Normal 3 2 6 2 2 2 4 2 2" xfId="29332" xr:uid="{00000000-0005-0000-0000-0000A6380000}"/>
    <cellStyle name="Normal 3 2 6 2 2 2 4 2 2 2" xfId="61203" xr:uid="{00000000-0005-0000-0000-0000A7380000}"/>
    <cellStyle name="Normal 3 2 6 2 2 2 4 2 3" xfId="35777" xr:uid="{00000000-0005-0000-0000-0000A8380000}"/>
    <cellStyle name="Normal 3 2 6 2 2 2 4 3" xfId="21454" xr:uid="{00000000-0005-0000-0000-0000A9380000}"/>
    <cellStyle name="Normal 3 2 6 2 2 2 4 3 2" xfId="53325" xr:uid="{00000000-0005-0000-0000-0000AA380000}"/>
    <cellStyle name="Normal 3 2 6 2 2 2 4 4" xfId="35776" xr:uid="{00000000-0005-0000-0000-0000AB380000}"/>
    <cellStyle name="Normal 3 2 6 2 2 2 5" xfId="3899" xr:uid="{00000000-0005-0000-0000-0000AC380000}"/>
    <cellStyle name="Normal 3 2 6 2 2 2 5 2" xfId="25393" xr:uid="{00000000-0005-0000-0000-0000AD380000}"/>
    <cellStyle name="Normal 3 2 6 2 2 2 5 2 2" xfId="57264" xr:uid="{00000000-0005-0000-0000-0000AE380000}"/>
    <cellStyle name="Normal 3 2 6 2 2 2 5 3" xfId="35778" xr:uid="{00000000-0005-0000-0000-0000AF380000}"/>
    <cellStyle name="Normal 3 2 6 2 2 2 6" xfId="17515" xr:uid="{00000000-0005-0000-0000-0000B0380000}"/>
    <cellStyle name="Normal 3 2 6 2 2 2 6 2" xfId="49386" xr:uid="{00000000-0005-0000-0000-0000B1380000}"/>
    <cellStyle name="Normal 3 2 6 2 2 2 7" xfId="35763" xr:uid="{00000000-0005-0000-0000-0000B2380000}"/>
    <cellStyle name="Normal 3 2 6 2 2 3" xfId="3900" xr:uid="{00000000-0005-0000-0000-0000B3380000}"/>
    <cellStyle name="Normal 3 2 6 2 2 3 2" xfId="3901" xr:uid="{00000000-0005-0000-0000-0000B4380000}"/>
    <cellStyle name="Normal 3 2 6 2 2 3 2 2" xfId="3902" xr:uid="{00000000-0005-0000-0000-0000B5380000}"/>
    <cellStyle name="Normal 3 2 6 2 2 3 2 2 2" xfId="3903" xr:uid="{00000000-0005-0000-0000-0000B6380000}"/>
    <cellStyle name="Normal 3 2 6 2 2 3 2 2 2 2" xfId="29337" xr:uid="{00000000-0005-0000-0000-0000B7380000}"/>
    <cellStyle name="Normal 3 2 6 2 2 3 2 2 2 2 2" xfId="61208" xr:uid="{00000000-0005-0000-0000-0000B8380000}"/>
    <cellStyle name="Normal 3 2 6 2 2 3 2 2 2 3" xfId="35782" xr:uid="{00000000-0005-0000-0000-0000B9380000}"/>
    <cellStyle name="Normal 3 2 6 2 2 3 2 2 3" xfId="21459" xr:uid="{00000000-0005-0000-0000-0000BA380000}"/>
    <cellStyle name="Normal 3 2 6 2 2 3 2 2 3 2" xfId="53330" xr:uid="{00000000-0005-0000-0000-0000BB380000}"/>
    <cellStyle name="Normal 3 2 6 2 2 3 2 2 4" xfId="35781" xr:uid="{00000000-0005-0000-0000-0000BC380000}"/>
    <cellStyle name="Normal 3 2 6 2 2 3 2 3" xfId="3904" xr:uid="{00000000-0005-0000-0000-0000BD380000}"/>
    <cellStyle name="Normal 3 2 6 2 2 3 2 3 2" xfId="25398" xr:uid="{00000000-0005-0000-0000-0000BE380000}"/>
    <cellStyle name="Normal 3 2 6 2 2 3 2 3 2 2" xfId="57269" xr:uid="{00000000-0005-0000-0000-0000BF380000}"/>
    <cellStyle name="Normal 3 2 6 2 2 3 2 3 3" xfId="35783" xr:uid="{00000000-0005-0000-0000-0000C0380000}"/>
    <cellStyle name="Normal 3 2 6 2 2 3 2 4" xfId="17520" xr:uid="{00000000-0005-0000-0000-0000C1380000}"/>
    <cellStyle name="Normal 3 2 6 2 2 3 2 4 2" xfId="49391" xr:uid="{00000000-0005-0000-0000-0000C2380000}"/>
    <cellStyle name="Normal 3 2 6 2 2 3 2 5" xfId="35780" xr:uid="{00000000-0005-0000-0000-0000C3380000}"/>
    <cellStyle name="Normal 3 2 6 2 2 3 3" xfId="3905" xr:uid="{00000000-0005-0000-0000-0000C4380000}"/>
    <cellStyle name="Normal 3 2 6 2 2 3 3 2" xfId="3906" xr:uid="{00000000-0005-0000-0000-0000C5380000}"/>
    <cellStyle name="Normal 3 2 6 2 2 3 3 2 2" xfId="29336" xr:uid="{00000000-0005-0000-0000-0000C6380000}"/>
    <cellStyle name="Normal 3 2 6 2 2 3 3 2 2 2" xfId="61207" xr:uid="{00000000-0005-0000-0000-0000C7380000}"/>
    <cellStyle name="Normal 3 2 6 2 2 3 3 2 3" xfId="35785" xr:uid="{00000000-0005-0000-0000-0000C8380000}"/>
    <cellStyle name="Normal 3 2 6 2 2 3 3 3" xfId="21458" xr:uid="{00000000-0005-0000-0000-0000C9380000}"/>
    <cellStyle name="Normal 3 2 6 2 2 3 3 3 2" xfId="53329" xr:uid="{00000000-0005-0000-0000-0000CA380000}"/>
    <cellStyle name="Normal 3 2 6 2 2 3 3 4" xfId="35784" xr:uid="{00000000-0005-0000-0000-0000CB380000}"/>
    <cellStyle name="Normal 3 2 6 2 2 3 4" xfId="3907" xr:uid="{00000000-0005-0000-0000-0000CC380000}"/>
    <cellStyle name="Normal 3 2 6 2 2 3 4 2" xfId="25397" xr:uid="{00000000-0005-0000-0000-0000CD380000}"/>
    <cellStyle name="Normal 3 2 6 2 2 3 4 2 2" xfId="57268" xr:uid="{00000000-0005-0000-0000-0000CE380000}"/>
    <cellStyle name="Normal 3 2 6 2 2 3 4 3" xfId="35786" xr:uid="{00000000-0005-0000-0000-0000CF380000}"/>
    <cellStyle name="Normal 3 2 6 2 2 3 5" xfId="17519" xr:uid="{00000000-0005-0000-0000-0000D0380000}"/>
    <cellStyle name="Normal 3 2 6 2 2 3 5 2" xfId="49390" xr:uid="{00000000-0005-0000-0000-0000D1380000}"/>
    <cellStyle name="Normal 3 2 6 2 2 3 6" xfId="35779" xr:uid="{00000000-0005-0000-0000-0000D2380000}"/>
    <cellStyle name="Normal 3 2 6 2 2 4" xfId="3908" xr:uid="{00000000-0005-0000-0000-0000D3380000}"/>
    <cellStyle name="Normal 3 2 6 2 2 4 2" xfId="3909" xr:uid="{00000000-0005-0000-0000-0000D4380000}"/>
    <cellStyle name="Normal 3 2 6 2 2 4 2 2" xfId="3910" xr:uid="{00000000-0005-0000-0000-0000D5380000}"/>
    <cellStyle name="Normal 3 2 6 2 2 4 2 2 2" xfId="29338" xr:uid="{00000000-0005-0000-0000-0000D6380000}"/>
    <cellStyle name="Normal 3 2 6 2 2 4 2 2 2 2" xfId="61209" xr:uid="{00000000-0005-0000-0000-0000D7380000}"/>
    <cellStyle name="Normal 3 2 6 2 2 4 2 2 3" xfId="35789" xr:uid="{00000000-0005-0000-0000-0000D8380000}"/>
    <cellStyle name="Normal 3 2 6 2 2 4 2 3" xfId="21460" xr:uid="{00000000-0005-0000-0000-0000D9380000}"/>
    <cellStyle name="Normal 3 2 6 2 2 4 2 3 2" xfId="53331" xr:uid="{00000000-0005-0000-0000-0000DA380000}"/>
    <cellStyle name="Normal 3 2 6 2 2 4 2 4" xfId="35788" xr:uid="{00000000-0005-0000-0000-0000DB380000}"/>
    <cellStyle name="Normal 3 2 6 2 2 4 3" xfId="3911" xr:uid="{00000000-0005-0000-0000-0000DC380000}"/>
    <cellStyle name="Normal 3 2 6 2 2 4 3 2" xfId="25399" xr:uid="{00000000-0005-0000-0000-0000DD380000}"/>
    <cellStyle name="Normal 3 2 6 2 2 4 3 2 2" xfId="57270" xr:uid="{00000000-0005-0000-0000-0000DE380000}"/>
    <cellStyle name="Normal 3 2 6 2 2 4 3 3" xfId="35790" xr:uid="{00000000-0005-0000-0000-0000DF380000}"/>
    <cellStyle name="Normal 3 2 6 2 2 4 4" xfId="17521" xr:uid="{00000000-0005-0000-0000-0000E0380000}"/>
    <cellStyle name="Normal 3 2 6 2 2 4 4 2" xfId="49392" xr:uid="{00000000-0005-0000-0000-0000E1380000}"/>
    <cellStyle name="Normal 3 2 6 2 2 4 5" xfId="35787" xr:uid="{00000000-0005-0000-0000-0000E2380000}"/>
    <cellStyle name="Normal 3 2 6 2 2 5" xfId="3912" xr:uid="{00000000-0005-0000-0000-0000E3380000}"/>
    <cellStyle name="Normal 3 2 6 2 2 5 2" xfId="3913" xr:uid="{00000000-0005-0000-0000-0000E4380000}"/>
    <cellStyle name="Normal 3 2 6 2 2 5 2 2" xfId="29331" xr:uid="{00000000-0005-0000-0000-0000E5380000}"/>
    <cellStyle name="Normal 3 2 6 2 2 5 2 2 2" xfId="61202" xr:uid="{00000000-0005-0000-0000-0000E6380000}"/>
    <cellStyle name="Normal 3 2 6 2 2 5 2 3" xfId="35792" xr:uid="{00000000-0005-0000-0000-0000E7380000}"/>
    <cellStyle name="Normal 3 2 6 2 2 5 3" xfId="21453" xr:uid="{00000000-0005-0000-0000-0000E8380000}"/>
    <cellStyle name="Normal 3 2 6 2 2 5 3 2" xfId="53324" xr:uid="{00000000-0005-0000-0000-0000E9380000}"/>
    <cellStyle name="Normal 3 2 6 2 2 5 4" xfId="35791" xr:uid="{00000000-0005-0000-0000-0000EA380000}"/>
    <cellStyle name="Normal 3 2 6 2 2 6" xfId="3914" xr:uid="{00000000-0005-0000-0000-0000EB380000}"/>
    <cellStyle name="Normal 3 2 6 2 2 6 2" xfId="25392" xr:uid="{00000000-0005-0000-0000-0000EC380000}"/>
    <cellStyle name="Normal 3 2 6 2 2 6 2 2" xfId="57263" xr:uid="{00000000-0005-0000-0000-0000ED380000}"/>
    <cellStyle name="Normal 3 2 6 2 2 6 3" xfId="35793" xr:uid="{00000000-0005-0000-0000-0000EE380000}"/>
    <cellStyle name="Normal 3 2 6 2 2 7" xfId="17514" xr:uid="{00000000-0005-0000-0000-0000EF380000}"/>
    <cellStyle name="Normal 3 2 6 2 2 7 2" xfId="49385" xr:uid="{00000000-0005-0000-0000-0000F0380000}"/>
    <cellStyle name="Normal 3 2 6 2 2 8" xfId="35762" xr:uid="{00000000-0005-0000-0000-0000F1380000}"/>
    <cellStyle name="Normal 3 2 6 2 3" xfId="3915" xr:uid="{00000000-0005-0000-0000-0000F2380000}"/>
    <cellStyle name="Normal 3 2 6 2 3 2" xfId="3916" xr:uid="{00000000-0005-0000-0000-0000F3380000}"/>
    <cellStyle name="Normal 3 2 6 2 3 2 2" xfId="3917" xr:uid="{00000000-0005-0000-0000-0000F4380000}"/>
    <cellStyle name="Normal 3 2 6 2 3 2 2 2" xfId="3918" xr:uid="{00000000-0005-0000-0000-0000F5380000}"/>
    <cellStyle name="Normal 3 2 6 2 3 2 2 2 2" xfId="3919" xr:uid="{00000000-0005-0000-0000-0000F6380000}"/>
    <cellStyle name="Normal 3 2 6 2 3 2 2 2 2 2" xfId="29341" xr:uid="{00000000-0005-0000-0000-0000F7380000}"/>
    <cellStyle name="Normal 3 2 6 2 3 2 2 2 2 2 2" xfId="61212" xr:uid="{00000000-0005-0000-0000-0000F8380000}"/>
    <cellStyle name="Normal 3 2 6 2 3 2 2 2 2 3" xfId="35798" xr:uid="{00000000-0005-0000-0000-0000F9380000}"/>
    <cellStyle name="Normal 3 2 6 2 3 2 2 2 3" xfId="21463" xr:uid="{00000000-0005-0000-0000-0000FA380000}"/>
    <cellStyle name="Normal 3 2 6 2 3 2 2 2 3 2" xfId="53334" xr:uid="{00000000-0005-0000-0000-0000FB380000}"/>
    <cellStyle name="Normal 3 2 6 2 3 2 2 2 4" xfId="35797" xr:uid="{00000000-0005-0000-0000-0000FC380000}"/>
    <cellStyle name="Normal 3 2 6 2 3 2 2 3" xfId="3920" xr:uid="{00000000-0005-0000-0000-0000FD380000}"/>
    <cellStyle name="Normal 3 2 6 2 3 2 2 3 2" xfId="25402" xr:uid="{00000000-0005-0000-0000-0000FE380000}"/>
    <cellStyle name="Normal 3 2 6 2 3 2 2 3 2 2" xfId="57273" xr:uid="{00000000-0005-0000-0000-0000FF380000}"/>
    <cellStyle name="Normal 3 2 6 2 3 2 2 3 3" xfId="35799" xr:uid="{00000000-0005-0000-0000-000000390000}"/>
    <cellStyle name="Normal 3 2 6 2 3 2 2 4" xfId="17524" xr:uid="{00000000-0005-0000-0000-000001390000}"/>
    <cellStyle name="Normal 3 2 6 2 3 2 2 4 2" xfId="49395" xr:uid="{00000000-0005-0000-0000-000002390000}"/>
    <cellStyle name="Normal 3 2 6 2 3 2 2 5" xfId="35796" xr:uid="{00000000-0005-0000-0000-000003390000}"/>
    <cellStyle name="Normal 3 2 6 2 3 2 3" xfId="3921" xr:uid="{00000000-0005-0000-0000-000004390000}"/>
    <cellStyle name="Normal 3 2 6 2 3 2 3 2" xfId="3922" xr:uid="{00000000-0005-0000-0000-000005390000}"/>
    <cellStyle name="Normal 3 2 6 2 3 2 3 2 2" xfId="29340" xr:uid="{00000000-0005-0000-0000-000006390000}"/>
    <cellStyle name="Normal 3 2 6 2 3 2 3 2 2 2" xfId="61211" xr:uid="{00000000-0005-0000-0000-000007390000}"/>
    <cellStyle name="Normal 3 2 6 2 3 2 3 2 3" xfId="35801" xr:uid="{00000000-0005-0000-0000-000008390000}"/>
    <cellStyle name="Normal 3 2 6 2 3 2 3 3" xfId="21462" xr:uid="{00000000-0005-0000-0000-000009390000}"/>
    <cellStyle name="Normal 3 2 6 2 3 2 3 3 2" xfId="53333" xr:uid="{00000000-0005-0000-0000-00000A390000}"/>
    <cellStyle name="Normal 3 2 6 2 3 2 3 4" xfId="35800" xr:uid="{00000000-0005-0000-0000-00000B390000}"/>
    <cellStyle name="Normal 3 2 6 2 3 2 4" xfId="3923" xr:uid="{00000000-0005-0000-0000-00000C390000}"/>
    <cellStyle name="Normal 3 2 6 2 3 2 4 2" xfId="25401" xr:uid="{00000000-0005-0000-0000-00000D390000}"/>
    <cellStyle name="Normal 3 2 6 2 3 2 4 2 2" xfId="57272" xr:uid="{00000000-0005-0000-0000-00000E390000}"/>
    <cellStyle name="Normal 3 2 6 2 3 2 4 3" xfId="35802" xr:uid="{00000000-0005-0000-0000-00000F390000}"/>
    <cellStyle name="Normal 3 2 6 2 3 2 5" xfId="17523" xr:uid="{00000000-0005-0000-0000-000010390000}"/>
    <cellStyle name="Normal 3 2 6 2 3 2 5 2" xfId="49394" xr:uid="{00000000-0005-0000-0000-000011390000}"/>
    <cellStyle name="Normal 3 2 6 2 3 2 6" xfId="35795" xr:uid="{00000000-0005-0000-0000-000012390000}"/>
    <cellStyle name="Normal 3 2 6 2 3 3" xfId="3924" xr:uid="{00000000-0005-0000-0000-000013390000}"/>
    <cellStyle name="Normal 3 2 6 2 3 3 2" xfId="3925" xr:uid="{00000000-0005-0000-0000-000014390000}"/>
    <cellStyle name="Normal 3 2 6 2 3 3 2 2" xfId="3926" xr:uid="{00000000-0005-0000-0000-000015390000}"/>
    <cellStyle name="Normal 3 2 6 2 3 3 2 2 2" xfId="29342" xr:uid="{00000000-0005-0000-0000-000016390000}"/>
    <cellStyle name="Normal 3 2 6 2 3 3 2 2 2 2" xfId="61213" xr:uid="{00000000-0005-0000-0000-000017390000}"/>
    <cellStyle name="Normal 3 2 6 2 3 3 2 2 3" xfId="35805" xr:uid="{00000000-0005-0000-0000-000018390000}"/>
    <cellStyle name="Normal 3 2 6 2 3 3 2 3" xfId="21464" xr:uid="{00000000-0005-0000-0000-000019390000}"/>
    <cellStyle name="Normal 3 2 6 2 3 3 2 3 2" xfId="53335" xr:uid="{00000000-0005-0000-0000-00001A390000}"/>
    <cellStyle name="Normal 3 2 6 2 3 3 2 4" xfId="35804" xr:uid="{00000000-0005-0000-0000-00001B390000}"/>
    <cellStyle name="Normal 3 2 6 2 3 3 3" xfId="3927" xr:uid="{00000000-0005-0000-0000-00001C390000}"/>
    <cellStyle name="Normal 3 2 6 2 3 3 3 2" xfId="25403" xr:uid="{00000000-0005-0000-0000-00001D390000}"/>
    <cellStyle name="Normal 3 2 6 2 3 3 3 2 2" xfId="57274" xr:uid="{00000000-0005-0000-0000-00001E390000}"/>
    <cellStyle name="Normal 3 2 6 2 3 3 3 3" xfId="35806" xr:uid="{00000000-0005-0000-0000-00001F390000}"/>
    <cellStyle name="Normal 3 2 6 2 3 3 4" xfId="17525" xr:uid="{00000000-0005-0000-0000-000020390000}"/>
    <cellStyle name="Normal 3 2 6 2 3 3 4 2" xfId="49396" xr:uid="{00000000-0005-0000-0000-000021390000}"/>
    <cellStyle name="Normal 3 2 6 2 3 3 5" xfId="35803" xr:uid="{00000000-0005-0000-0000-000022390000}"/>
    <cellStyle name="Normal 3 2 6 2 3 4" xfId="3928" xr:uid="{00000000-0005-0000-0000-000023390000}"/>
    <cellStyle name="Normal 3 2 6 2 3 4 2" xfId="3929" xr:uid="{00000000-0005-0000-0000-000024390000}"/>
    <cellStyle name="Normal 3 2 6 2 3 4 2 2" xfId="29339" xr:uid="{00000000-0005-0000-0000-000025390000}"/>
    <cellStyle name="Normal 3 2 6 2 3 4 2 2 2" xfId="61210" xr:uid="{00000000-0005-0000-0000-000026390000}"/>
    <cellStyle name="Normal 3 2 6 2 3 4 2 3" xfId="35808" xr:uid="{00000000-0005-0000-0000-000027390000}"/>
    <cellStyle name="Normal 3 2 6 2 3 4 3" xfId="21461" xr:uid="{00000000-0005-0000-0000-000028390000}"/>
    <cellStyle name="Normal 3 2 6 2 3 4 3 2" xfId="53332" xr:uid="{00000000-0005-0000-0000-000029390000}"/>
    <cellStyle name="Normal 3 2 6 2 3 4 4" xfId="35807" xr:uid="{00000000-0005-0000-0000-00002A390000}"/>
    <cellStyle name="Normal 3 2 6 2 3 5" xfId="3930" xr:uid="{00000000-0005-0000-0000-00002B390000}"/>
    <cellStyle name="Normal 3 2 6 2 3 5 2" xfId="25400" xr:uid="{00000000-0005-0000-0000-00002C390000}"/>
    <cellStyle name="Normal 3 2 6 2 3 5 2 2" xfId="57271" xr:uid="{00000000-0005-0000-0000-00002D390000}"/>
    <cellStyle name="Normal 3 2 6 2 3 5 3" xfId="35809" xr:uid="{00000000-0005-0000-0000-00002E390000}"/>
    <cellStyle name="Normal 3 2 6 2 3 6" xfId="17522" xr:uid="{00000000-0005-0000-0000-00002F390000}"/>
    <cellStyle name="Normal 3 2 6 2 3 6 2" xfId="49393" xr:uid="{00000000-0005-0000-0000-000030390000}"/>
    <cellStyle name="Normal 3 2 6 2 3 7" xfId="35794" xr:uid="{00000000-0005-0000-0000-000031390000}"/>
    <cellStyle name="Normal 3 2 6 2 4" xfId="3931" xr:uid="{00000000-0005-0000-0000-000032390000}"/>
    <cellStyle name="Normal 3 2 6 2 4 2" xfId="3932" xr:uid="{00000000-0005-0000-0000-000033390000}"/>
    <cellStyle name="Normal 3 2 6 2 4 2 2" xfId="3933" xr:uid="{00000000-0005-0000-0000-000034390000}"/>
    <cellStyle name="Normal 3 2 6 2 4 2 2 2" xfId="3934" xr:uid="{00000000-0005-0000-0000-000035390000}"/>
    <cellStyle name="Normal 3 2 6 2 4 2 2 2 2" xfId="29344" xr:uid="{00000000-0005-0000-0000-000036390000}"/>
    <cellStyle name="Normal 3 2 6 2 4 2 2 2 2 2" xfId="61215" xr:uid="{00000000-0005-0000-0000-000037390000}"/>
    <cellStyle name="Normal 3 2 6 2 4 2 2 2 3" xfId="35813" xr:uid="{00000000-0005-0000-0000-000038390000}"/>
    <cellStyle name="Normal 3 2 6 2 4 2 2 3" xfId="21466" xr:uid="{00000000-0005-0000-0000-000039390000}"/>
    <cellStyle name="Normal 3 2 6 2 4 2 2 3 2" xfId="53337" xr:uid="{00000000-0005-0000-0000-00003A390000}"/>
    <cellStyle name="Normal 3 2 6 2 4 2 2 4" xfId="35812" xr:uid="{00000000-0005-0000-0000-00003B390000}"/>
    <cellStyle name="Normal 3 2 6 2 4 2 3" xfId="3935" xr:uid="{00000000-0005-0000-0000-00003C390000}"/>
    <cellStyle name="Normal 3 2 6 2 4 2 3 2" xfId="25405" xr:uid="{00000000-0005-0000-0000-00003D390000}"/>
    <cellStyle name="Normal 3 2 6 2 4 2 3 2 2" xfId="57276" xr:uid="{00000000-0005-0000-0000-00003E390000}"/>
    <cellStyle name="Normal 3 2 6 2 4 2 3 3" xfId="35814" xr:uid="{00000000-0005-0000-0000-00003F390000}"/>
    <cellStyle name="Normal 3 2 6 2 4 2 4" xfId="17527" xr:uid="{00000000-0005-0000-0000-000040390000}"/>
    <cellStyle name="Normal 3 2 6 2 4 2 4 2" xfId="49398" xr:uid="{00000000-0005-0000-0000-000041390000}"/>
    <cellStyle name="Normal 3 2 6 2 4 2 5" xfId="35811" xr:uid="{00000000-0005-0000-0000-000042390000}"/>
    <cellStyle name="Normal 3 2 6 2 4 3" xfId="3936" xr:uid="{00000000-0005-0000-0000-000043390000}"/>
    <cellStyle name="Normal 3 2 6 2 4 3 2" xfId="3937" xr:uid="{00000000-0005-0000-0000-000044390000}"/>
    <cellStyle name="Normal 3 2 6 2 4 3 2 2" xfId="29343" xr:uid="{00000000-0005-0000-0000-000045390000}"/>
    <cellStyle name="Normal 3 2 6 2 4 3 2 2 2" xfId="61214" xr:uid="{00000000-0005-0000-0000-000046390000}"/>
    <cellStyle name="Normal 3 2 6 2 4 3 2 3" xfId="35816" xr:uid="{00000000-0005-0000-0000-000047390000}"/>
    <cellStyle name="Normal 3 2 6 2 4 3 3" xfId="21465" xr:uid="{00000000-0005-0000-0000-000048390000}"/>
    <cellStyle name="Normal 3 2 6 2 4 3 3 2" xfId="53336" xr:uid="{00000000-0005-0000-0000-000049390000}"/>
    <cellStyle name="Normal 3 2 6 2 4 3 4" xfId="35815" xr:uid="{00000000-0005-0000-0000-00004A390000}"/>
    <cellStyle name="Normal 3 2 6 2 4 4" xfId="3938" xr:uid="{00000000-0005-0000-0000-00004B390000}"/>
    <cellStyle name="Normal 3 2 6 2 4 4 2" xfId="25404" xr:uid="{00000000-0005-0000-0000-00004C390000}"/>
    <cellStyle name="Normal 3 2 6 2 4 4 2 2" xfId="57275" xr:uid="{00000000-0005-0000-0000-00004D390000}"/>
    <cellStyle name="Normal 3 2 6 2 4 4 3" xfId="35817" xr:uid="{00000000-0005-0000-0000-00004E390000}"/>
    <cellStyle name="Normal 3 2 6 2 4 5" xfId="17526" xr:uid="{00000000-0005-0000-0000-00004F390000}"/>
    <cellStyle name="Normal 3 2 6 2 4 5 2" xfId="49397" xr:uid="{00000000-0005-0000-0000-000050390000}"/>
    <cellStyle name="Normal 3 2 6 2 4 6" xfId="35810" xr:uid="{00000000-0005-0000-0000-000051390000}"/>
    <cellStyle name="Normal 3 2 6 2 5" xfId="3939" xr:uid="{00000000-0005-0000-0000-000052390000}"/>
    <cellStyle name="Normal 3 2 6 2 5 2" xfId="3940" xr:uid="{00000000-0005-0000-0000-000053390000}"/>
    <cellStyle name="Normal 3 2 6 2 5 2 2" xfId="3941" xr:uid="{00000000-0005-0000-0000-000054390000}"/>
    <cellStyle name="Normal 3 2 6 2 5 2 2 2" xfId="29345" xr:uid="{00000000-0005-0000-0000-000055390000}"/>
    <cellStyle name="Normal 3 2 6 2 5 2 2 2 2" xfId="61216" xr:uid="{00000000-0005-0000-0000-000056390000}"/>
    <cellStyle name="Normal 3 2 6 2 5 2 2 3" xfId="35820" xr:uid="{00000000-0005-0000-0000-000057390000}"/>
    <cellStyle name="Normal 3 2 6 2 5 2 3" xfId="21467" xr:uid="{00000000-0005-0000-0000-000058390000}"/>
    <cellStyle name="Normal 3 2 6 2 5 2 3 2" xfId="53338" xr:uid="{00000000-0005-0000-0000-000059390000}"/>
    <cellStyle name="Normal 3 2 6 2 5 2 4" xfId="35819" xr:uid="{00000000-0005-0000-0000-00005A390000}"/>
    <cellStyle name="Normal 3 2 6 2 5 3" xfId="3942" xr:uid="{00000000-0005-0000-0000-00005B390000}"/>
    <cellStyle name="Normal 3 2 6 2 5 3 2" xfId="25406" xr:uid="{00000000-0005-0000-0000-00005C390000}"/>
    <cellStyle name="Normal 3 2 6 2 5 3 2 2" xfId="57277" xr:uid="{00000000-0005-0000-0000-00005D390000}"/>
    <cellStyle name="Normal 3 2 6 2 5 3 3" xfId="35821" xr:uid="{00000000-0005-0000-0000-00005E390000}"/>
    <cellStyle name="Normal 3 2 6 2 5 4" xfId="17528" xr:uid="{00000000-0005-0000-0000-00005F390000}"/>
    <cellStyle name="Normal 3 2 6 2 5 4 2" xfId="49399" xr:uid="{00000000-0005-0000-0000-000060390000}"/>
    <cellStyle name="Normal 3 2 6 2 5 5" xfId="35818" xr:uid="{00000000-0005-0000-0000-000061390000}"/>
    <cellStyle name="Normal 3 2 6 2 6" xfId="3943" xr:uid="{00000000-0005-0000-0000-000062390000}"/>
    <cellStyle name="Normal 3 2 6 2 6 2" xfId="3944" xr:uid="{00000000-0005-0000-0000-000063390000}"/>
    <cellStyle name="Normal 3 2 6 2 6 2 2" xfId="28423" xr:uid="{00000000-0005-0000-0000-000064390000}"/>
    <cellStyle name="Normal 3 2 6 2 6 2 2 2" xfId="60294" xr:uid="{00000000-0005-0000-0000-000065390000}"/>
    <cellStyle name="Normal 3 2 6 2 6 2 3" xfId="35823" xr:uid="{00000000-0005-0000-0000-000066390000}"/>
    <cellStyle name="Normal 3 2 6 2 6 3" xfId="20545" xr:uid="{00000000-0005-0000-0000-000067390000}"/>
    <cellStyle name="Normal 3 2 6 2 6 3 2" xfId="52416" xr:uid="{00000000-0005-0000-0000-000068390000}"/>
    <cellStyle name="Normal 3 2 6 2 6 4" xfId="35822" xr:uid="{00000000-0005-0000-0000-000069390000}"/>
    <cellStyle name="Normal 3 2 6 2 7" xfId="3945" xr:uid="{00000000-0005-0000-0000-00006A390000}"/>
    <cellStyle name="Normal 3 2 6 2 7 2" xfId="24484" xr:uid="{00000000-0005-0000-0000-00006B390000}"/>
    <cellStyle name="Normal 3 2 6 2 7 2 2" xfId="56355" xr:uid="{00000000-0005-0000-0000-00006C390000}"/>
    <cellStyle name="Normal 3 2 6 2 7 3" xfId="35824" xr:uid="{00000000-0005-0000-0000-00006D390000}"/>
    <cellStyle name="Normal 3 2 6 2 8" xfId="16606" xr:uid="{00000000-0005-0000-0000-00006E390000}"/>
    <cellStyle name="Normal 3 2 6 2 8 2" xfId="48477" xr:uid="{00000000-0005-0000-0000-00006F390000}"/>
    <cellStyle name="Normal 3 2 6 2 9" xfId="35761" xr:uid="{00000000-0005-0000-0000-000070390000}"/>
    <cellStyle name="Normal 3 2 6 3" xfId="3946" xr:uid="{00000000-0005-0000-0000-000071390000}"/>
    <cellStyle name="Normal 3 2 6 3 2" xfId="3947" xr:uid="{00000000-0005-0000-0000-000072390000}"/>
    <cellStyle name="Normal 3 2 6 3 2 2" xfId="3948" xr:uid="{00000000-0005-0000-0000-000073390000}"/>
    <cellStyle name="Normal 3 2 6 3 2 2 2" xfId="3949" xr:uid="{00000000-0005-0000-0000-000074390000}"/>
    <cellStyle name="Normal 3 2 6 3 2 2 2 2" xfId="3950" xr:uid="{00000000-0005-0000-0000-000075390000}"/>
    <cellStyle name="Normal 3 2 6 3 2 2 2 2 2" xfId="3951" xr:uid="{00000000-0005-0000-0000-000076390000}"/>
    <cellStyle name="Normal 3 2 6 3 2 2 2 2 2 2" xfId="29349" xr:uid="{00000000-0005-0000-0000-000077390000}"/>
    <cellStyle name="Normal 3 2 6 3 2 2 2 2 2 2 2" xfId="61220" xr:uid="{00000000-0005-0000-0000-000078390000}"/>
    <cellStyle name="Normal 3 2 6 3 2 2 2 2 2 3" xfId="35830" xr:uid="{00000000-0005-0000-0000-000079390000}"/>
    <cellStyle name="Normal 3 2 6 3 2 2 2 2 3" xfId="21471" xr:uid="{00000000-0005-0000-0000-00007A390000}"/>
    <cellStyle name="Normal 3 2 6 3 2 2 2 2 3 2" xfId="53342" xr:uid="{00000000-0005-0000-0000-00007B390000}"/>
    <cellStyle name="Normal 3 2 6 3 2 2 2 2 4" xfId="35829" xr:uid="{00000000-0005-0000-0000-00007C390000}"/>
    <cellStyle name="Normal 3 2 6 3 2 2 2 3" xfId="3952" xr:uid="{00000000-0005-0000-0000-00007D390000}"/>
    <cellStyle name="Normal 3 2 6 3 2 2 2 3 2" xfId="25410" xr:uid="{00000000-0005-0000-0000-00007E390000}"/>
    <cellStyle name="Normal 3 2 6 3 2 2 2 3 2 2" xfId="57281" xr:uid="{00000000-0005-0000-0000-00007F390000}"/>
    <cellStyle name="Normal 3 2 6 3 2 2 2 3 3" xfId="35831" xr:uid="{00000000-0005-0000-0000-000080390000}"/>
    <cellStyle name="Normal 3 2 6 3 2 2 2 4" xfId="17532" xr:uid="{00000000-0005-0000-0000-000081390000}"/>
    <cellStyle name="Normal 3 2 6 3 2 2 2 4 2" xfId="49403" xr:uid="{00000000-0005-0000-0000-000082390000}"/>
    <cellStyle name="Normal 3 2 6 3 2 2 2 5" xfId="35828" xr:uid="{00000000-0005-0000-0000-000083390000}"/>
    <cellStyle name="Normal 3 2 6 3 2 2 3" xfId="3953" xr:uid="{00000000-0005-0000-0000-000084390000}"/>
    <cellStyle name="Normal 3 2 6 3 2 2 3 2" xfId="3954" xr:uid="{00000000-0005-0000-0000-000085390000}"/>
    <cellStyle name="Normal 3 2 6 3 2 2 3 2 2" xfId="29348" xr:uid="{00000000-0005-0000-0000-000086390000}"/>
    <cellStyle name="Normal 3 2 6 3 2 2 3 2 2 2" xfId="61219" xr:uid="{00000000-0005-0000-0000-000087390000}"/>
    <cellStyle name="Normal 3 2 6 3 2 2 3 2 3" xfId="35833" xr:uid="{00000000-0005-0000-0000-000088390000}"/>
    <cellStyle name="Normal 3 2 6 3 2 2 3 3" xfId="21470" xr:uid="{00000000-0005-0000-0000-000089390000}"/>
    <cellStyle name="Normal 3 2 6 3 2 2 3 3 2" xfId="53341" xr:uid="{00000000-0005-0000-0000-00008A390000}"/>
    <cellStyle name="Normal 3 2 6 3 2 2 3 4" xfId="35832" xr:uid="{00000000-0005-0000-0000-00008B390000}"/>
    <cellStyle name="Normal 3 2 6 3 2 2 4" xfId="3955" xr:uid="{00000000-0005-0000-0000-00008C390000}"/>
    <cellStyle name="Normal 3 2 6 3 2 2 4 2" xfId="25409" xr:uid="{00000000-0005-0000-0000-00008D390000}"/>
    <cellStyle name="Normal 3 2 6 3 2 2 4 2 2" xfId="57280" xr:uid="{00000000-0005-0000-0000-00008E390000}"/>
    <cellStyle name="Normal 3 2 6 3 2 2 4 3" xfId="35834" xr:uid="{00000000-0005-0000-0000-00008F390000}"/>
    <cellStyle name="Normal 3 2 6 3 2 2 5" xfId="17531" xr:uid="{00000000-0005-0000-0000-000090390000}"/>
    <cellStyle name="Normal 3 2 6 3 2 2 5 2" xfId="49402" xr:uid="{00000000-0005-0000-0000-000091390000}"/>
    <cellStyle name="Normal 3 2 6 3 2 2 6" xfId="35827" xr:uid="{00000000-0005-0000-0000-000092390000}"/>
    <cellStyle name="Normal 3 2 6 3 2 3" xfId="3956" xr:uid="{00000000-0005-0000-0000-000093390000}"/>
    <cellStyle name="Normal 3 2 6 3 2 3 2" xfId="3957" xr:uid="{00000000-0005-0000-0000-000094390000}"/>
    <cellStyle name="Normal 3 2 6 3 2 3 2 2" xfId="3958" xr:uid="{00000000-0005-0000-0000-000095390000}"/>
    <cellStyle name="Normal 3 2 6 3 2 3 2 2 2" xfId="29350" xr:uid="{00000000-0005-0000-0000-000096390000}"/>
    <cellStyle name="Normal 3 2 6 3 2 3 2 2 2 2" xfId="61221" xr:uid="{00000000-0005-0000-0000-000097390000}"/>
    <cellStyle name="Normal 3 2 6 3 2 3 2 2 3" xfId="35837" xr:uid="{00000000-0005-0000-0000-000098390000}"/>
    <cellStyle name="Normal 3 2 6 3 2 3 2 3" xfId="21472" xr:uid="{00000000-0005-0000-0000-000099390000}"/>
    <cellStyle name="Normal 3 2 6 3 2 3 2 3 2" xfId="53343" xr:uid="{00000000-0005-0000-0000-00009A390000}"/>
    <cellStyle name="Normal 3 2 6 3 2 3 2 4" xfId="35836" xr:uid="{00000000-0005-0000-0000-00009B390000}"/>
    <cellStyle name="Normal 3 2 6 3 2 3 3" xfId="3959" xr:uid="{00000000-0005-0000-0000-00009C390000}"/>
    <cellStyle name="Normal 3 2 6 3 2 3 3 2" xfId="25411" xr:uid="{00000000-0005-0000-0000-00009D390000}"/>
    <cellStyle name="Normal 3 2 6 3 2 3 3 2 2" xfId="57282" xr:uid="{00000000-0005-0000-0000-00009E390000}"/>
    <cellStyle name="Normal 3 2 6 3 2 3 3 3" xfId="35838" xr:uid="{00000000-0005-0000-0000-00009F390000}"/>
    <cellStyle name="Normal 3 2 6 3 2 3 4" xfId="17533" xr:uid="{00000000-0005-0000-0000-0000A0390000}"/>
    <cellStyle name="Normal 3 2 6 3 2 3 4 2" xfId="49404" xr:uid="{00000000-0005-0000-0000-0000A1390000}"/>
    <cellStyle name="Normal 3 2 6 3 2 3 5" xfId="35835" xr:uid="{00000000-0005-0000-0000-0000A2390000}"/>
    <cellStyle name="Normal 3 2 6 3 2 4" xfId="3960" xr:uid="{00000000-0005-0000-0000-0000A3390000}"/>
    <cellStyle name="Normal 3 2 6 3 2 4 2" xfId="3961" xr:uid="{00000000-0005-0000-0000-0000A4390000}"/>
    <cellStyle name="Normal 3 2 6 3 2 4 2 2" xfId="29347" xr:uid="{00000000-0005-0000-0000-0000A5390000}"/>
    <cellStyle name="Normal 3 2 6 3 2 4 2 2 2" xfId="61218" xr:uid="{00000000-0005-0000-0000-0000A6390000}"/>
    <cellStyle name="Normal 3 2 6 3 2 4 2 3" xfId="35840" xr:uid="{00000000-0005-0000-0000-0000A7390000}"/>
    <cellStyle name="Normal 3 2 6 3 2 4 3" xfId="21469" xr:uid="{00000000-0005-0000-0000-0000A8390000}"/>
    <cellStyle name="Normal 3 2 6 3 2 4 3 2" xfId="53340" xr:uid="{00000000-0005-0000-0000-0000A9390000}"/>
    <cellStyle name="Normal 3 2 6 3 2 4 4" xfId="35839" xr:uid="{00000000-0005-0000-0000-0000AA390000}"/>
    <cellStyle name="Normal 3 2 6 3 2 5" xfId="3962" xr:uid="{00000000-0005-0000-0000-0000AB390000}"/>
    <cellStyle name="Normal 3 2 6 3 2 5 2" xfId="25408" xr:uid="{00000000-0005-0000-0000-0000AC390000}"/>
    <cellStyle name="Normal 3 2 6 3 2 5 2 2" xfId="57279" xr:uid="{00000000-0005-0000-0000-0000AD390000}"/>
    <cellStyle name="Normal 3 2 6 3 2 5 3" xfId="35841" xr:uid="{00000000-0005-0000-0000-0000AE390000}"/>
    <cellStyle name="Normal 3 2 6 3 2 6" xfId="17530" xr:uid="{00000000-0005-0000-0000-0000AF390000}"/>
    <cellStyle name="Normal 3 2 6 3 2 6 2" xfId="49401" xr:uid="{00000000-0005-0000-0000-0000B0390000}"/>
    <cellStyle name="Normal 3 2 6 3 2 7" xfId="35826" xr:uid="{00000000-0005-0000-0000-0000B1390000}"/>
    <cellStyle name="Normal 3 2 6 3 3" xfId="3963" xr:uid="{00000000-0005-0000-0000-0000B2390000}"/>
    <cellStyle name="Normal 3 2 6 3 3 2" xfId="3964" xr:uid="{00000000-0005-0000-0000-0000B3390000}"/>
    <cellStyle name="Normal 3 2 6 3 3 2 2" xfId="3965" xr:uid="{00000000-0005-0000-0000-0000B4390000}"/>
    <cellStyle name="Normal 3 2 6 3 3 2 2 2" xfId="3966" xr:uid="{00000000-0005-0000-0000-0000B5390000}"/>
    <cellStyle name="Normal 3 2 6 3 3 2 2 2 2" xfId="29352" xr:uid="{00000000-0005-0000-0000-0000B6390000}"/>
    <cellStyle name="Normal 3 2 6 3 3 2 2 2 2 2" xfId="61223" xr:uid="{00000000-0005-0000-0000-0000B7390000}"/>
    <cellStyle name="Normal 3 2 6 3 3 2 2 2 3" xfId="35845" xr:uid="{00000000-0005-0000-0000-0000B8390000}"/>
    <cellStyle name="Normal 3 2 6 3 3 2 2 3" xfId="21474" xr:uid="{00000000-0005-0000-0000-0000B9390000}"/>
    <cellStyle name="Normal 3 2 6 3 3 2 2 3 2" xfId="53345" xr:uid="{00000000-0005-0000-0000-0000BA390000}"/>
    <cellStyle name="Normal 3 2 6 3 3 2 2 4" xfId="35844" xr:uid="{00000000-0005-0000-0000-0000BB390000}"/>
    <cellStyle name="Normal 3 2 6 3 3 2 3" xfId="3967" xr:uid="{00000000-0005-0000-0000-0000BC390000}"/>
    <cellStyle name="Normal 3 2 6 3 3 2 3 2" xfId="25413" xr:uid="{00000000-0005-0000-0000-0000BD390000}"/>
    <cellStyle name="Normal 3 2 6 3 3 2 3 2 2" xfId="57284" xr:uid="{00000000-0005-0000-0000-0000BE390000}"/>
    <cellStyle name="Normal 3 2 6 3 3 2 3 3" xfId="35846" xr:uid="{00000000-0005-0000-0000-0000BF390000}"/>
    <cellStyle name="Normal 3 2 6 3 3 2 4" xfId="17535" xr:uid="{00000000-0005-0000-0000-0000C0390000}"/>
    <cellStyle name="Normal 3 2 6 3 3 2 4 2" xfId="49406" xr:uid="{00000000-0005-0000-0000-0000C1390000}"/>
    <cellStyle name="Normal 3 2 6 3 3 2 5" xfId="35843" xr:uid="{00000000-0005-0000-0000-0000C2390000}"/>
    <cellStyle name="Normal 3 2 6 3 3 3" xfId="3968" xr:uid="{00000000-0005-0000-0000-0000C3390000}"/>
    <cellStyle name="Normal 3 2 6 3 3 3 2" xfId="3969" xr:uid="{00000000-0005-0000-0000-0000C4390000}"/>
    <cellStyle name="Normal 3 2 6 3 3 3 2 2" xfId="29351" xr:uid="{00000000-0005-0000-0000-0000C5390000}"/>
    <cellStyle name="Normal 3 2 6 3 3 3 2 2 2" xfId="61222" xr:uid="{00000000-0005-0000-0000-0000C6390000}"/>
    <cellStyle name="Normal 3 2 6 3 3 3 2 3" xfId="35848" xr:uid="{00000000-0005-0000-0000-0000C7390000}"/>
    <cellStyle name="Normal 3 2 6 3 3 3 3" xfId="21473" xr:uid="{00000000-0005-0000-0000-0000C8390000}"/>
    <cellStyle name="Normal 3 2 6 3 3 3 3 2" xfId="53344" xr:uid="{00000000-0005-0000-0000-0000C9390000}"/>
    <cellStyle name="Normal 3 2 6 3 3 3 4" xfId="35847" xr:uid="{00000000-0005-0000-0000-0000CA390000}"/>
    <cellStyle name="Normal 3 2 6 3 3 4" xfId="3970" xr:uid="{00000000-0005-0000-0000-0000CB390000}"/>
    <cellStyle name="Normal 3 2 6 3 3 4 2" xfId="25412" xr:uid="{00000000-0005-0000-0000-0000CC390000}"/>
    <cellStyle name="Normal 3 2 6 3 3 4 2 2" xfId="57283" xr:uid="{00000000-0005-0000-0000-0000CD390000}"/>
    <cellStyle name="Normal 3 2 6 3 3 4 3" xfId="35849" xr:uid="{00000000-0005-0000-0000-0000CE390000}"/>
    <cellStyle name="Normal 3 2 6 3 3 5" xfId="17534" xr:uid="{00000000-0005-0000-0000-0000CF390000}"/>
    <cellStyle name="Normal 3 2 6 3 3 5 2" xfId="49405" xr:uid="{00000000-0005-0000-0000-0000D0390000}"/>
    <cellStyle name="Normal 3 2 6 3 3 6" xfId="35842" xr:uid="{00000000-0005-0000-0000-0000D1390000}"/>
    <cellStyle name="Normal 3 2 6 3 4" xfId="3971" xr:uid="{00000000-0005-0000-0000-0000D2390000}"/>
    <cellStyle name="Normal 3 2 6 3 4 2" xfId="3972" xr:uid="{00000000-0005-0000-0000-0000D3390000}"/>
    <cellStyle name="Normal 3 2 6 3 4 2 2" xfId="3973" xr:uid="{00000000-0005-0000-0000-0000D4390000}"/>
    <cellStyle name="Normal 3 2 6 3 4 2 2 2" xfId="29353" xr:uid="{00000000-0005-0000-0000-0000D5390000}"/>
    <cellStyle name="Normal 3 2 6 3 4 2 2 2 2" xfId="61224" xr:uid="{00000000-0005-0000-0000-0000D6390000}"/>
    <cellStyle name="Normal 3 2 6 3 4 2 2 3" xfId="35852" xr:uid="{00000000-0005-0000-0000-0000D7390000}"/>
    <cellStyle name="Normal 3 2 6 3 4 2 3" xfId="21475" xr:uid="{00000000-0005-0000-0000-0000D8390000}"/>
    <cellStyle name="Normal 3 2 6 3 4 2 3 2" xfId="53346" xr:uid="{00000000-0005-0000-0000-0000D9390000}"/>
    <cellStyle name="Normal 3 2 6 3 4 2 4" xfId="35851" xr:uid="{00000000-0005-0000-0000-0000DA390000}"/>
    <cellStyle name="Normal 3 2 6 3 4 3" xfId="3974" xr:uid="{00000000-0005-0000-0000-0000DB390000}"/>
    <cellStyle name="Normal 3 2 6 3 4 3 2" xfId="25414" xr:uid="{00000000-0005-0000-0000-0000DC390000}"/>
    <cellStyle name="Normal 3 2 6 3 4 3 2 2" xfId="57285" xr:uid="{00000000-0005-0000-0000-0000DD390000}"/>
    <cellStyle name="Normal 3 2 6 3 4 3 3" xfId="35853" xr:uid="{00000000-0005-0000-0000-0000DE390000}"/>
    <cellStyle name="Normal 3 2 6 3 4 4" xfId="17536" xr:uid="{00000000-0005-0000-0000-0000DF390000}"/>
    <cellStyle name="Normal 3 2 6 3 4 4 2" xfId="49407" xr:uid="{00000000-0005-0000-0000-0000E0390000}"/>
    <cellStyle name="Normal 3 2 6 3 4 5" xfId="35850" xr:uid="{00000000-0005-0000-0000-0000E1390000}"/>
    <cellStyle name="Normal 3 2 6 3 5" xfId="3975" xr:uid="{00000000-0005-0000-0000-0000E2390000}"/>
    <cellStyle name="Normal 3 2 6 3 5 2" xfId="3976" xr:uid="{00000000-0005-0000-0000-0000E3390000}"/>
    <cellStyle name="Normal 3 2 6 3 5 2 2" xfId="29346" xr:uid="{00000000-0005-0000-0000-0000E4390000}"/>
    <cellStyle name="Normal 3 2 6 3 5 2 2 2" xfId="61217" xr:uid="{00000000-0005-0000-0000-0000E5390000}"/>
    <cellStyle name="Normal 3 2 6 3 5 2 3" xfId="35855" xr:uid="{00000000-0005-0000-0000-0000E6390000}"/>
    <cellStyle name="Normal 3 2 6 3 5 3" xfId="21468" xr:uid="{00000000-0005-0000-0000-0000E7390000}"/>
    <cellStyle name="Normal 3 2 6 3 5 3 2" xfId="53339" xr:uid="{00000000-0005-0000-0000-0000E8390000}"/>
    <cellStyle name="Normal 3 2 6 3 5 4" xfId="35854" xr:uid="{00000000-0005-0000-0000-0000E9390000}"/>
    <cellStyle name="Normal 3 2 6 3 6" xfId="3977" xr:uid="{00000000-0005-0000-0000-0000EA390000}"/>
    <cellStyle name="Normal 3 2 6 3 6 2" xfId="25407" xr:uid="{00000000-0005-0000-0000-0000EB390000}"/>
    <cellStyle name="Normal 3 2 6 3 6 2 2" xfId="57278" xr:uid="{00000000-0005-0000-0000-0000EC390000}"/>
    <cellStyle name="Normal 3 2 6 3 6 3" xfId="35856" xr:uid="{00000000-0005-0000-0000-0000ED390000}"/>
    <cellStyle name="Normal 3 2 6 3 7" xfId="17529" xr:uid="{00000000-0005-0000-0000-0000EE390000}"/>
    <cellStyle name="Normal 3 2 6 3 7 2" xfId="49400" xr:uid="{00000000-0005-0000-0000-0000EF390000}"/>
    <cellStyle name="Normal 3 2 6 3 8" xfId="35825" xr:uid="{00000000-0005-0000-0000-0000F0390000}"/>
    <cellStyle name="Normal 3 2 6 4" xfId="3978" xr:uid="{00000000-0005-0000-0000-0000F1390000}"/>
    <cellStyle name="Normal 3 2 6 4 2" xfId="3979" xr:uid="{00000000-0005-0000-0000-0000F2390000}"/>
    <cellStyle name="Normal 3 2 6 4 2 2" xfId="3980" xr:uid="{00000000-0005-0000-0000-0000F3390000}"/>
    <cellStyle name="Normal 3 2 6 4 2 2 2" xfId="3981" xr:uid="{00000000-0005-0000-0000-0000F4390000}"/>
    <cellStyle name="Normal 3 2 6 4 2 2 2 2" xfId="3982" xr:uid="{00000000-0005-0000-0000-0000F5390000}"/>
    <cellStyle name="Normal 3 2 6 4 2 2 2 2 2" xfId="29356" xr:uid="{00000000-0005-0000-0000-0000F6390000}"/>
    <cellStyle name="Normal 3 2 6 4 2 2 2 2 2 2" xfId="61227" xr:uid="{00000000-0005-0000-0000-0000F7390000}"/>
    <cellStyle name="Normal 3 2 6 4 2 2 2 2 3" xfId="35861" xr:uid="{00000000-0005-0000-0000-0000F8390000}"/>
    <cellStyle name="Normal 3 2 6 4 2 2 2 3" xfId="21478" xr:uid="{00000000-0005-0000-0000-0000F9390000}"/>
    <cellStyle name="Normal 3 2 6 4 2 2 2 3 2" xfId="53349" xr:uid="{00000000-0005-0000-0000-0000FA390000}"/>
    <cellStyle name="Normal 3 2 6 4 2 2 2 4" xfId="35860" xr:uid="{00000000-0005-0000-0000-0000FB390000}"/>
    <cellStyle name="Normal 3 2 6 4 2 2 3" xfId="3983" xr:uid="{00000000-0005-0000-0000-0000FC390000}"/>
    <cellStyle name="Normal 3 2 6 4 2 2 3 2" xfId="25417" xr:uid="{00000000-0005-0000-0000-0000FD390000}"/>
    <cellStyle name="Normal 3 2 6 4 2 2 3 2 2" xfId="57288" xr:uid="{00000000-0005-0000-0000-0000FE390000}"/>
    <cellStyle name="Normal 3 2 6 4 2 2 3 3" xfId="35862" xr:uid="{00000000-0005-0000-0000-0000FF390000}"/>
    <cellStyle name="Normal 3 2 6 4 2 2 4" xfId="17539" xr:uid="{00000000-0005-0000-0000-0000003A0000}"/>
    <cellStyle name="Normal 3 2 6 4 2 2 4 2" xfId="49410" xr:uid="{00000000-0005-0000-0000-0000013A0000}"/>
    <cellStyle name="Normal 3 2 6 4 2 2 5" xfId="35859" xr:uid="{00000000-0005-0000-0000-0000023A0000}"/>
    <cellStyle name="Normal 3 2 6 4 2 3" xfId="3984" xr:uid="{00000000-0005-0000-0000-0000033A0000}"/>
    <cellStyle name="Normal 3 2 6 4 2 3 2" xfId="3985" xr:uid="{00000000-0005-0000-0000-0000043A0000}"/>
    <cellStyle name="Normal 3 2 6 4 2 3 2 2" xfId="29355" xr:uid="{00000000-0005-0000-0000-0000053A0000}"/>
    <cellStyle name="Normal 3 2 6 4 2 3 2 2 2" xfId="61226" xr:uid="{00000000-0005-0000-0000-0000063A0000}"/>
    <cellStyle name="Normal 3 2 6 4 2 3 2 3" xfId="35864" xr:uid="{00000000-0005-0000-0000-0000073A0000}"/>
    <cellStyle name="Normal 3 2 6 4 2 3 3" xfId="21477" xr:uid="{00000000-0005-0000-0000-0000083A0000}"/>
    <cellStyle name="Normal 3 2 6 4 2 3 3 2" xfId="53348" xr:uid="{00000000-0005-0000-0000-0000093A0000}"/>
    <cellStyle name="Normal 3 2 6 4 2 3 4" xfId="35863" xr:uid="{00000000-0005-0000-0000-00000A3A0000}"/>
    <cellStyle name="Normal 3 2 6 4 2 4" xfId="3986" xr:uid="{00000000-0005-0000-0000-00000B3A0000}"/>
    <cellStyle name="Normal 3 2 6 4 2 4 2" xfId="25416" xr:uid="{00000000-0005-0000-0000-00000C3A0000}"/>
    <cellStyle name="Normal 3 2 6 4 2 4 2 2" xfId="57287" xr:uid="{00000000-0005-0000-0000-00000D3A0000}"/>
    <cellStyle name="Normal 3 2 6 4 2 4 3" xfId="35865" xr:uid="{00000000-0005-0000-0000-00000E3A0000}"/>
    <cellStyle name="Normal 3 2 6 4 2 5" xfId="17538" xr:uid="{00000000-0005-0000-0000-00000F3A0000}"/>
    <cellStyle name="Normal 3 2 6 4 2 5 2" xfId="49409" xr:uid="{00000000-0005-0000-0000-0000103A0000}"/>
    <cellStyle name="Normal 3 2 6 4 2 6" xfId="35858" xr:uid="{00000000-0005-0000-0000-0000113A0000}"/>
    <cellStyle name="Normal 3 2 6 4 3" xfId="3987" xr:uid="{00000000-0005-0000-0000-0000123A0000}"/>
    <cellStyle name="Normal 3 2 6 4 3 2" xfId="3988" xr:uid="{00000000-0005-0000-0000-0000133A0000}"/>
    <cellStyle name="Normal 3 2 6 4 3 2 2" xfId="3989" xr:uid="{00000000-0005-0000-0000-0000143A0000}"/>
    <cellStyle name="Normal 3 2 6 4 3 2 2 2" xfId="29357" xr:uid="{00000000-0005-0000-0000-0000153A0000}"/>
    <cellStyle name="Normal 3 2 6 4 3 2 2 2 2" xfId="61228" xr:uid="{00000000-0005-0000-0000-0000163A0000}"/>
    <cellStyle name="Normal 3 2 6 4 3 2 2 3" xfId="35868" xr:uid="{00000000-0005-0000-0000-0000173A0000}"/>
    <cellStyle name="Normal 3 2 6 4 3 2 3" xfId="21479" xr:uid="{00000000-0005-0000-0000-0000183A0000}"/>
    <cellStyle name="Normal 3 2 6 4 3 2 3 2" xfId="53350" xr:uid="{00000000-0005-0000-0000-0000193A0000}"/>
    <cellStyle name="Normal 3 2 6 4 3 2 4" xfId="35867" xr:uid="{00000000-0005-0000-0000-00001A3A0000}"/>
    <cellStyle name="Normal 3 2 6 4 3 3" xfId="3990" xr:uid="{00000000-0005-0000-0000-00001B3A0000}"/>
    <cellStyle name="Normal 3 2 6 4 3 3 2" xfId="25418" xr:uid="{00000000-0005-0000-0000-00001C3A0000}"/>
    <cellStyle name="Normal 3 2 6 4 3 3 2 2" xfId="57289" xr:uid="{00000000-0005-0000-0000-00001D3A0000}"/>
    <cellStyle name="Normal 3 2 6 4 3 3 3" xfId="35869" xr:uid="{00000000-0005-0000-0000-00001E3A0000}"/>
    <cellStyle name="Normal 3 2 6 4 3 4" xfId="17540" xr:uid="{00000000-0005-0000-0000-00001F3A0000}"/>
    <cellStyle name="Normal 3 2 6 4 3 4 2" xfId="49411" xr:uid="{00000000-0005-0000-0000-0000203A0000}"/>
    <cellStyle name="Normal 3 2 6 4 3 5" xfId="35866" xr:uid="{00000000-0005-0000-0000-0000213A0000}"/>
    <cellStyle name="Normal 3 2 6 4 4" xfId="3991" xr:uid="{00000000-0005-0000-0000-0000223A0000}"/>
    <cellStyle name="Normal 3 2 6 4 4 2" xfId="3992" xr:uid="{00000000-0005-0000-0000-0000233A0000}"/>
    <cellStyle name="Normal 3 2 6 4 4 2 2" xfId="29354" xr:uid="{00000000-0005-0000-0000-0000243A0000}"/>
    <cellStyle name="Normal 3 2 6 4 4 2 2 2" xfId="61225" xr:uid="{00000000-0005-0000-0000-0000253A0000}"/>
    <cellStyle name="Normal 3 2 6 4 4 2 3" xfId="35871" xr:uid="{00000000-0005-0000-0000-0000263A0000}"/>
    <cellStyle name="Normal 3 2 6 4 4 3" xfId="21476" xr:uid="{00000000-0005-0000-0000-0000273A0000}"/>
    <cellStyle name="Normal 3 2 6 4 4 3 2" xfId="53347" xr:uid="{00000000-0005-0000-0000-0000283A0000}"/>
    <cellStyle name="Normal 3 2 6 4 4 4" xfId="35870" xr:uid="{00000000-0005-0000-0000-0000293A0000}"/>
    <cellStyle name="Normal 3 2 6 4 5" xfId="3993" xr:uid="{00000000-0005-0000-0000-00002A3A0000}"/>
    <cellStyle name="Normal 3 2 6 4 5 2" xfId="25415" xr:uid="{00000000-0005-0000-0000-00002B3A0000}"/>
    <cellStyle name="Normal 3 2 6 4 5 2 2" xfId="57286" xr:uid="{00000000-0005-0000-0000-00002C3A0000}"/>
    <cellStyle name="Normal 3 2 6 4 5 3" xfId="35872" xr:uid="{00000000-0005-0000-0000-00002D3A0000}"/>
    <cellStyle name="Normal 3 2 6 4 6" xfId="17537" xr:uid="{00000000-0005-0000-0000-00002E3A0000}"/>
    <cellStyle name="Normal 3 2 6 4 6 2" xfId="49408" xr:uid="{00000000-0005-0000-0000-00002F3A0000}"/>
    <cellStyle name="Normal 3 2 6 4 7" xfId="35857" xr:uid="{00000000-0005-0000-0000-0000303A0000}"/>
    <cellStyle name="Normal 3 2 6 5" xfId="3994" xr:uid="{00000000-0005-0000-0000-0000313A0000}"/>
    <cellStyle name="Normal 3 2 6 5 2" xfId="3995" xr:uid="{00000000-0005-0000-0000-0000323A0000}"/>
    <cellStyle name="Normal 3 2 6 5 2 2" xfId="3996" xr:uid="{00000000-0005-0000-0000-0000333A0000}"/>
    <cellStyle name="Normal 3 2 6 5 2 2 2" xfId="3997" xr:uid="{00000000-0005-0000-0000-0000343A0000}"/>
    <cellStyle name="Normal 3 2 6 5 2 2 2 2" xfId="29359" xr:uid="{00000000-0005-0000-0000-0000353A0000}"/>
    <cellStyle name="Normal 3 2 6 5 2 2 2 2 2" xfId="61230" xr:uid="{00000000-0005-0000-0000-0000363A0000}"/>
    <cellStyle name="Normal 3 2 6 5 2 2 2 3" xfId="35876" xr:uid="{00000000-0005-0000-0000-0000373A0000}"/>
    <cellStyle name="Normal 3 2 6 5 2 2 3" xfId="21481" xr:uid="{00000000-0005-0000-0000-0000383A0000}"/>
    <cellStyle name="Normal 3 2 6 5 2 2 3 2" xfId="53352" xr:uid="{00000000-0005-0000-0000-0000393A0000}"/>
    <cellStyle name="Normal 3 2 6 5 2 2 4" xfId="35875" xr:uid="{00000000-0005-0000-0000-00003A3A0000}"/>
    <cellStyle name="Normal 3 2 6 5 2 3" xfId="3998" xr:uid="{00000000-0005-0000-0000-00003B3A0000}"/>
    <cellStyle name="Normal 3 2 6 5 2 3 2" xfId="25420" xr:uid="{00000000-0005-0000-0000-00003C3A0000}"/>
    <cellStyle name="Normal 3 2 6 5 2 3 2 2" xfId="57291" xr:uid="{00000000-0005-0000-0000-00003D3A0000}"/>
    <cellStyle name="Normal 3 2 6 5 2 3 3" xfId="35877" xr:uid="{00000000-0005-0000-0000-00003E3A0000}"/>
    <cellStyle name="Normal 3 2 6 5 2 4" xfId="17542" xr:uid="{00000000-0005-0000-0000-00003F3A0000}"/>
    <cellStyle name="Normal 3 2 6 5 2 4 2" xfId="49413" xr:uid="{00000000-0005-0000-0000-0000403A0000}"/>
    <cellStyle name="Normal 3 2 6 5 2 5" xfId="35874" xr:uid="{00000000-0005-0000-0000-0000413A0000}"/>
    <cellStyle name="Normal 3 2 6 5 3" xfId="3999" xr:uid="{00000000-0005-0000-0000-0000423A0000}"/>
    <cellStyle name="Normal 3 2 6 5 3 2" xfId="4000" xr:uid="{00000000-0005-0000-0000-0000433A0000}"/>
    <cellStyle name="Normal 3 2 6 5 3 2 2" xfId="29358" xr:uid="{00000000-0005-0000-0000-0000443A0000}"/>
    <cellStyle name="Normal 3 2 6 5 3 2 2 2" xfId="61229" xr:uid="{00000000-0005-0000-0000-0000453A0000}"/>
    <cellStyle name="Normal 3 2 6 5 3 2 3" xfId="35879" xr:uid="{00000000-0005-0000-0000-0000463A0000}"/>
    <cellStyle name="Normal 3 2 6 5 3 3" xfId="21480" xr:uid="{00000000-0005-0000-0000-0000473A0000}"/>
    <cellStyle name="Normal 3 2 6 5 3 3 2" xfId="53351" xr:uid="{00000000-0005-0000-0000-0000483A0000}"/>
    <cellStyle name="Normal 3 2 6 5 3 4" xfId="35878" xr:uid="{00000000-0005-0000-0000-0000493A0000}"/>
    <cellStyle name="Normal 3 2 6 5 4" xfId="4001" xr:uid="{00000000-0005-0000-0000-00004A3A0000}"/>
    <cellStyle name="Normal 3 2 6 5 4 2" xfId="25419" xr:uid="{00000000-0005-0000-0000-00004B3A0000}"/>
    <cellStyle name="Normal 3 2 6 5 4 2 2" xfId="57290" xr:uid="{00000000-0005-0000-0000-00004C3A0000}"/>
    <cellStyle name="Normal 3 2 6 5 4 3" xfId="35880" xr:uid="{00000000-0005-0000-0000-00004D3A0000}"/>
    <cellStyle name="Normal 3 2 6 5 5" xfId="17541" xr:uid="{00000000-0005-0000-0000-00004E3A0000}"/>
    <cellStyle name="Normal 3 2 6 5 5 2" xfId="49412" xr:uid="{00000000-0005-0000-0000-00004F3A0000}"/>
    <cellStyle name="Normal 3 2 6 5 6" xfId="35873" xr:uid="{00000000-0005-0000-0000-0000503A0000}"/>
    <cellStyle name="Normal 3 2 6 6" xfId="4002" xr:uid="{00000000-0005-0000-0000-0000513A0000}"/>
    <cellStyle name="Normal 3 2 6 6 2" xfId="4003" xr:uid="{00000000-0005-0000-0000-0000523A0000}"/>
    <cellStyle name="Normal 3 2 6 6 2 2" xfId="4004" xr:uid="{00000000-0005-0000-0000-0000533A0000}"/>
    <cellStyle name="Normal 3 2 6 6 2 2 2" xfId="29360" xr:uid="{00000000-0005-0000-0000-0000543A0000}"/>
    <cellStyle name="Normal 3 2 6 6 2 2 2 2" xfId="61231" xr:uid="{00000000-0005-0000-0000-0000553A0000}"/>
    <cellStyle name="Normal 3 2 6 6 2 2 3" xfId="35883" xr:uid="{00000000-0005-0000-0000-0000563A0000}"/>
    <cellStyle name="Normal 3 2 6 6 2 3" xfId="21482" xr:uid="{00000000-0005-0000-0000-0000573A0000}"/>
    <cellStyle name="Normal 3 2 6 6 2 3 2" xfId="53353" xr:uid="{00000000-0005-0000-0000-0000583A0000}"/>
    <cellStyle name="Normal 3 2 6 6 2 4" xfId="35882" xr:uid="{00000000-0005-0000-0000-0000593A0000}"/>
    <cellStyle name="Normal 3 2 6 6 3" xfId="4005" xr:uid="{00000000-0005-0000-0000-00005A3A0000}"/>
    <cellStyle name="Normal 3 2 6 6 3 2" xfId="25421" xr:uid="{00000000-0005-0000-0000-00005B3A0000}"/>
    <cellStyle name="Normal 3 2 6 6 3 2 2" xfId="57292" xr:uid="{00000000-0005-0000-0000-00005C3A0000}"/>
    <cellStyle name="Normal 3 2 6 6 3 3" xfId="35884" xr:uid="{00000000-0005-0000-0000-00005D3A0000}"/>
    <cellStyle name="Normal 3 2 6 6 4" xfId="17543" xr:uid="{00000000-0005-0000-0000-00005E3A0000}"/>
    <cellStyle name="Normal 3 2 6 6 4 2" xfId="49414" xr:uid="{00000000-0005-0000-0000-00005F3A0000}"/>
    <cellStyle name="Normal 3 2 6 6 5" xfId="35881" xr:uid="{00000000-0005-0000-0000-0000603A0000}"/>
    <cellStyle name="Normal 3 2 6 7" xfId="4006" xr:uid="{00000000-0005-0000-0000-0000613A0000}"/>
    <cellStyle name="Normal 3 2 6 7 2" xfId="4007" xr:uid="{00000000-0005-0000-0000-0000623A0000}"/>
    <cellStyle name="Normal 3 2 6 7 2 2" xfId="28300" xr:uid="{00000000-0005-0000-0000-0000633A0000}"/>
    <cellStyle name="Normal 3 2 6 7 2 2 2" xfId="60171" xr:uid="{00000000-0005-0000-0000-0000643A0000}"/>
    <cellStyle name="Normal 3 2 6 7 2 3" xfId="35886" xr:uid="{00000000-0005-0000-0000-0000653A0000}"/>
    <cellStyle name="Normal 3 2 6 7 3" xfId="20422" xr:uid="{00000000-0005-0000-0000-0000663A0000}"/>
    <cellStyle name="Normal 3 2 6 7 3 2" xfId="52293" xr:uid="{00000000-0005-0000-0000-0000673A0000}"/>
    <cellStyle name="Normal 3 2 6 7 4" xfId="35885" xr:uid="{00000000-0005-0000-0000-0000683A0000}"/>
    <cellStyle name="Normal 3 2 6 8" xfId="4008" xr:uid="{00000000-0005-0000-0000-0000693A0000}"/>
    <cellStyle name="Normal 3 2 6 8 2" xfId="24361" xr:uid="{00000000-0005-0000-0000-00006A3A0000}"/>
    <cellStyle name="Normal 3 2 6 8 2 2" xfId="56232" xr:uid="{00000000-0005-0000-0000-00006B3A0000}"/>
    <cellStyle name="Normal 3 2 6 8 3" xfId="35887" xr:uid="{00000000-0005-0000-0000-00006C3A0000}"/>
    <cellStyle name="Normal 3 2 6 9" xfId="16483" xr:uid="{00000000-0005-0000-0000-00006D3A0000}"/>
    <cellStyle name="Normal 3 2 6 9 2" xfId="48354" xr:uid="{00000000-0005-0000-0000-00006E3A0000}"/>
    <cellStyle name="Normal 3 2 7" xfId="4009" xr:uid="{00000000-0005-0000-0000-00006F3A0000}"/>
    <cellStyle name="Normal 3 2 7 10" xfId="35888" xr:uid="{00000000-0005-0000-0000-0000703A0000}"/>
    <cellStyle name="Normal 3 2 7 2" xfId="4010" xr:uid="{00000000-0005-0000-0000-0000713A0000}"/>
    <cellStyle name="Normal 3 2 7 2 2" xfId="4011" xr:uid="{00000000-0005-0000-0000-0000723A0000}"/>
    <cellStyle name="Normal 3 2 7 2 2 2" xfId="4012" xr:uid="{00000000-0005-0000-0000-0000733A0000}"/>
    <cellStyle name="Normal 3 2 7 2 2 2 2" xfId="4013" xr:uid="{00000000-0005-0000-0000-0000743A0000}"/>
    <cellStyle name="Normal 3 2 7 2 2 2 2 2" xfId="4014" xr:uid="{00000000-0005-0000-0000-0000753A0000}"/>
    <cellStyle name="Normal 3 2 7 2 2 2 2 2 2" xfId="4015" xr:uid="{00000000-0005-0000-0000-0000763A0000}"/>
    <cellStyle name="Normal 3 2 7 2 2 2 2 2 2 2" xfId="4016" xr:uid="{00000000-0005-0000-0000-0000773A0000}"/>
    <cellStyle name="Normal 3 2 7 2 2 2 2 2 2 2 2" xfId="29364" xr:uid="{00000000-0005-0000-0000-0000783A0000}"/>
    <cellStyle name="Normal 3 2 7 2 2 2 2 2 2 2 2 2" xfId="61235" xr:uid="{00000000-0005-0000-0000-0000793A0000}"/>
    <cellStyle name="Normal 3 2 7 2 2 2 2 2 2 2 3" xfId="35895" xr:uid="{00000000-0005-0000-0000-00007A3A0000}"/>
    <cellStyle name="Normal 3 2 7 2 2 2 2 2 2 3" xfId="21486" xr:uid="{00000000-0005-0000-0000-00007B3A0000}"/>
    <cellStyle name="Normal 3 2 7 2 2 2 2 2 2 3 2" xfId="53357" xr:uid="{00000000-0005-0000-0000-00007C3A0000}"/>
    <cellStyle name="Normal 3 2 7 2 2 2 2 2 2 4" xfId="35894" xr:uid="{00000000-0005-0000-0000-00007D3A0000}"/>
    <cellStyle name="Normal 3 2 7 2 2 2 2 2 3" xfId="4017" xr:uid="{00000000-0005-0000-0000-00007E3A0000}"/>
    <cellStyle name="Normal 3 2 7 2 2 2 2 2 3 2" xfId="25425" xr:uid="{00000000-0005-0000-0000-00007F3A0000}"/>
    <cellStyle name="Normal 3 2 7 2 2 2 2 2 3 2 2" xfId="57296" xr:uid="{00000000-0005-0000-0000-0000803A0000}"/>
    <cellStyle name="Normal 3 2 7 2 2 2 2 2 3 3" xfId="35896" xr:uid="{00000000-0005-0000-0000-0000813A0000}"/>
    <cellStyle name="Normal 3 2 7 2 2 2 2 2 4" xfId="17547" xr:uid="{00000000-0005-0000-0000-0000823A0000}"/>
    <cellStyle name="Normal 3 2 7 2 2 2 2 2 4 2" xfId="49418" xr:uid="{00000000-0005-0000-0000-0000833A0000}"/>
    <cellStyle name="Normal 3 2 7 2 2 2 2 2 5" xfId="35893" xr:uid="{00000000-0005-0000-0000-0000843A0000}"/>
    <cellStyle name="Normal 3 2 7 2 2 2 2 3" xfId="4018" xr:uid="{00000000-0005-0000-0000-0000853A0000}"/>
    <cellStyle name="Normal 3 2 7 2 2 2 2 3 2" xfId="4019" xr:uid="{00000000-0005-0000-0000-0000863A0000}"/>
    <cellStyle name="Normal 3 2 7 2 2 2 2 3 2 2" xfId="29363" xr:uid="{00000000-0005-0000-0000-0000873A0000}"/>
    <cellStyle name="Normal 3 2 7 2 2 2 2 3 2 2 2" xfId="61234" xr:uid="{00000000-0005-0000-0000-0000883A0000}"/>
    <cellStyle name="Normal 3 2 7 2 2 2 2 3 2 3" xfId="35898" xr:uid="{00000000-0005-0000-0000-0000893A0000}"/>
    <cellStyle name="Normal 3 2 7 2 2 2 2 3 3" xfId="21485" xr:uid="{00000000-0005-0000-0000-00008A3A0000}"/>
    <cellStyle name="Normal 3 2 7 2 2 2 2 3 3 2" xfId="53356" xr:uid="{00000000-0005-0000-0000-00008B3A0000}"/>
    <cellStyle name="Normal 3 2 7 2 2 2 2 3 4" xfId="35897" xr:uid="{00000000-0005-0000-0000-00008C3A0000}"/>
    <cellStyle name="Normal 3 2 7 2 2 2 2 4" xfId="4020" xr:uid="{00000000-0005-0000-0000-00008D3A0000}"/>
    <cellStyle name="Normal 3 2 7 2 2 2 2 4 2" xfId="25424" xr:uid="{00000000-0005-0000-0000-00008E3A0000}"/>
    <cellStyle name="Normal 3 2 7 2 2 2 2 4 2 2" xfId="57295" xr:uid="{00000000-0005-0000-0000-00008F3A0000}"/>
    <cellStyle name="Normal 3 2 7 2 2 2 2 4 3" xfId="35899" xr:uid="{00000000-0005-0000-0000-0000903A0000}"/>
    <cellStyle name="Normal 3 2 7 2 2 2 2 5" xfId="17546" xr:uid="{00000000-0005-0000-0000-0000913A0000}"/>
    <cellStyle name="Normal 3 2 7 2 2 2 2 5 2" xfId="49417" xr:uid="{00000000-0005-0000-0000-0000923A0000}"/>
    <cellStyle name="Normal 3 2 7 2 2 2 2 6" xfId="35892" xr:uid="{00000000-0005-0000-0000-0000933A0000}"/>
    <cellStyle name="Normal 3 2 7 2 2 2 3" xfId="4021" xr:uid="{00000000-0005-0000-0000-0000943A0000}"/>
    <cellStyle name="Normal 3 2 7 2 2 2 3 2" xfId="4022" xr:uid="{00000000-0005-0000-0000-0000953A0000}"/>
    <cellStyle name="Normal 3 2 7 2 2 2 3 2 2" xfId="4023" xr:uid="{00000000-0005-0000-0000-0000963A0000}"/>
    <cellStyle name="Normal 3 2 7 2 2 2 3 2 2 2" xfId="29365" xr:uid="{00000000-0005-0000-0000-0000973A0000}"/>
    <cellStyle name="Normal 3 2 7 2 2 2 3 2 2 2 2" xfId="61236" xr:uid="{00000000-0005-0000-0000-0000983A0000}"/>
    <cellStyle name="Normal 3 2 7 2 2 2 3 2 2 3" xfId="35902" xr:uid="{00000000-0005-0000-0000-0000993A0000}"/>
    <cellStyle name="Normal 3 2 7 2 2 2 3 2 3" xfId="21487" xr:uid="{00000000-0005-0000-0000-00009A3A0000}"/>
    <cellStyle name="Normal 3 2 7 2 2 2 3 2 3 2" xfId="53358" xr:uid="{00000000-0005-0000-0000-00009B3A0000}"/>
    <cellStyle name="Normal 3 2 7 2 2 2 3 2 4" xfId="35901" xr:uid="{00000000-0005-0000-0000-00009C3A0000}"/>
    <cellStyle name="Normal 3 2 7 2 2 2 3 3" xfId="4024" xr:uid="{00000000-0005-0000-0000-00009D3A0000}"/>
    <cellStyle name="Normal 3 2 7 2 2 2 3 3 2" xfId="25426" xr:uid="{00000000-0005-0000-0000-00009E3A0000}"/>
    <cellStyle name="Normal 3 2 7 2 2 2 3 3 2 2" xfId="57297" xr:uid="{00000000-0005-0000-0000-00009F3A0000}"/>
    <cellStyle name="Normal 3 2 7 2 2 2 3 3 3" xfId="35903" xr:uid="{00000000-0005-0000-0000-0000A03A0000}"/>
    <cellStyle name="Normal 3 2 7 2 2 2 3 4" xfId="17548" xr:uid="{00000000-0005-0000-0000-0000A13A0000}"/>
    <cellStyle name="Normal 3 2 7 2 2 2 3 4 2" xfId="49419" xr:uid="{00000000-0005-0000-0000-0000A23A0000}"/>
    <cellStyle name="Normal 3 2 7 2 2 2 3 5" xfId="35900" xr:uid="{00000000-0005-0000-0000-0000A33A0000}"/>
    <cellStyle name="Normal 3 2 7 2 2 2 4" xfId="4025" xr:uid="{00000000-0005-0000-0000-0000A43A0000}"/>
    <cellStyle name="Normal 3 2 7 2 2 2 4 2" xfId="4026" xr:uid="{00000000-0005-0000-0000-0000A53A0000}"/>
    <cellStyle name="Normal 3 2 7 2 2 2 4 2 2" xfId="29362" xr:uid="{00000000-0005-0000-0000-0000A63A0000}"/>
    <cellStyle name="Normal 3 2 7 2 2 2 4 2 2 2" xfId="61233" xr:uid="{00000000-0005-0000-0000-0000A73A0000}"/>
    <cellStyle name="Normal 3 2 7 2 2 2 4 2 3" xfId="35905" xr:uid="{00000000-0005-0000-0000-0000A83A0000}"/>
    <cellStyle name="Normal 3 2 7 2 2 2 4 3" xfId="21484" xr:uid="{00000000-0005-0000-0000-0000A93A0000}"/>
    <cellStyle name="Normal 3 2 7 2 2 2 4 3 2" xfId="53355" xr:uid="{00000000-0005-0000-0000-0000AA3A0000}"/>
    <cellStyle name="Normal 3 2 7 2 2 2 4 4" xfId="35904" xr:uid="{00000000-0005-0000-0000-0000AB3A0000}"/>
    <cellStyle name="Normal 3 2 7 2 2 2 5" xfId="4027" xr:uid="{00000000-0005-0000-0000-0000AC3A0000}"/>
    <cellStyle name="Normal 3 2 7 2 2 2 5 2" xfId="25423" xr:uid="{00000000-0005-0000-0000-0000AD3A0000}"/>
    <cellStyle name="Normal 3 2 7 2 2 2 5 2 2" xfId="57294" xr:uid="{00000000-0005-0000-0000-0000AE3A0000}"/>
    <cellStyle name="Normal 3 2 7 2 2 2 5 3" xfId="35906" xr:uid="{00000000-0005-0000-0000-0000AF3A0000}"/>
    <cellStyle name="Normal 3 2 7 2 2 2 6" xfId="17545" xr:uid="{00000000-0005-0000-0000-0000B03A0000}"/>
    <cellStyle name="Normal 3 2 7 2 2 2 6 2" xfId="49416" xr:uid="{00000000-0005-0000-0000-0000B13A0000}"/>
    <cellStyle name="Normal 3 2 7 2 2 2 7" xfId="35891" xr:uid="{00000000-0005-0000-0000-0000B23A0000}"/>
    <cellStyle name="Normal 3 2 7 2 2 3" xfId="4028" xr:uid="{00000000-0005-0000-0000-0000B33A0000}"/>
    <cellStyle name="Normal 3 2 7 2 2 3 2" xfId="4029" xr:uid="{00000000-0005-0000-0000-0000B43A0000}"/>
    <cellStyle name="Normal 3 2 7 2 2 3 2 2" xfId="4030" xr:uid="{00000000-0005-0000-0000-0000B53A0000}"/>
    <cellStyle name="Normal 3 2 7 2 2 3 2 2 2" xfId="4031" xr:uid="{00000000-0005-0000-0000-0000B63A0000}"/>
    <cellStyle name="Normal 3 2 7 2 2 3 2 2 2 2" xfId="29367" xr:uid="{00000000-0005-0000-0000-0000B73A0000}"/>
    <cellStyle name="Normal 3 2 7 2 2 3 2 2 2 2 2" xfId="61238" xr:uid="{00000000-0005-0000-0000-0000B83A0000}"/>
    <cellStyle name="Normal 3 2 7 2 2 3 2 2 2 3" xfId="35910" xr:uid="{00000000-0005-0000-0000-0000B93A0000}"/>
    <cellStyle name="Normal 3 2 7 2 2 3 2 2 3" xfId="21489" xr:uid="{00000000-0005-0000-0000-0000BA3A0000}"/>
    <cellStyle name="Normal 3 2 7 2 2 3 2 2 3 2" xfId="53360" xr:uid="{00000000-0005-0000-0000-0000BB3A0000}"/>
    <cellStyle name="Normal 3 2 7 2 2 3 2 2 4" xfId="35909" xr:uid="{00000000-0005-0000-0000-0000BC3A0000}"/>
    <cellStyle name="Normal 3 2 7 2 2 3 2 3" xfId="4032" xr:uid="{00000000-0005-0000-0000-0000BD3A0000}"/>
    <cellStyle name="Normal 3 2 7 2 2 3 2 3 2" xfId="25428" xr:uid="{00000000-0005-0000-0000-0000BE3A0000}"/>
    <cellStyle name="Normal 3 2 7 2 2 3 2 3 2 2" xfId="57299" xr:uid="{00000000-0005-0000-0000-0000BF3A0000}"/>
    <cellStyle name="Normal 3 2 7 2 2 3 2 3 3" xfId="35911" xr:uid="{00000000-0005-0000-0000-0000C03A0000}"/>
    <cellStyle name="Normal 3 2 7 2 2 3 2 4" xfId="17550" xr:uid="{00000000-0005-0000-0000-0000C13A0000}"/>
    <cellStyle name="Normal 3 2 7 2 2 3 2 4 2" xfId="49421" xr:uid="{00000000-0005-0000-0000-0000C23A0000}"/>
    <cellStyle name="Normal 3 2 7 2 2 3 2 5" xfId="35908" xr:uid="{00000000-0005-0000-0000-0000C33A0000}"/>
    <cellStyle name="Normal 3 2 7 2 2 3 3" xfId="4033" xr:uid="{00000000-0005-0000-0000-0000C43A0000}"/>
    <cellStyle name="Normal 3 2 7 2 2 3 3 2" xfId="4034" xr:uid="{00000000-0005-0000-0000-0000C53A0000}"/>
    <cellStyle name="Normal 3 2 7 2 2 3 3 2 2" xfId="29366" xr:uid="{00000000-0005-0000-0000-0000C63A0000}"/>
    <cellStyle name="Normal 3 2 7 2 2 3 3 2 2 2" xfId="61237" xr:uid="{00000000-0005-0000-0000-0000C73A0000}"/>
    <cellStyle name="Normal 3 2 7 2 2 3 3 2 3" xfId="35913" xr:uid="{00000000-0005-0000-0000-0000C83A0000}"/>
    <cellStyle name="Normal 3 2 7 2 2 3 3 3" xfId="21488" xr:uid="{00000000-0005-0000-0000-0000C93A0000}"/>
    <cellStyle name="Normal 3 2 7 2 2 3 3 3 2" xfId="53359" xr:uid="{00000000-0005-0000-0000-0000CA3A0000}"/>
    <cellStyle name="Normal 3 2 7 2 2 3 3 4" xfId="35912" xr:uid="{00000000-0005-0000-0000-0000CB3A0000}"/>
    <cellStyle name="Normal 3 2 7 2 2 3 4" xfId="4035" xr:uid="{00000000-0005-0000-0000-0000CC3A0000}"/>
    <cellStyle name="Normal 3 2 7 2 2 3 4 2" xfId="25427" xr:uid="{00000000-0005-0000-0000-0000CD3A0000}"/>
    <cellStyle name="Normal 3 2 7 2 2 3 4 2 2" xfId="57298" xr:uid="{00000000-0005-0000-0000-0000CE3A0000}"/>
    <cellStyle name="Normal 3 2 7 2 2 3 4 3" xfId="35914" xr:uid="{00000000-0005-0000-0000-0000CF3A0000}"/>
    <cellStyle name="Normal 3 2 7 2 2 3 5" xfId="17549" xr:uid="{00000000-0005-0000-0000-0000D03A0000}"/>
    <cellStyle name="Normal 3 2 7 2 2 3 5 2" xfId="49420" xr:uid="{00000000-0005-0000-0000-0000D13A0000}"/>
    <cellStyle name="Normal 3 2 7 2 2 3 6" xfId="35907" xr:uid="{00000000-0005-0000-0000-0000D23A0000}"/>
    <cellStyle name="Normal 3 2 7 2 2 4" xfId="4036" xr:uid="{00000000-0005-0000-0000-0000D33A0000}"/>
    <cellStyle name="Normal 3 2 7 2 2 4 2" xfId="4037" xr:uid="{00000000-0005-0000-0000-0000D43A0000}"/>
    <cellStyle name="Normal 3 2 7 2 2 4 2 2" xfId="4038" xr:uid="{00000000-0005-0000-0000-0000D53A0000}"/>
    <cellStyle name="Normal 3 2 7 2 2 4 2 2 2" xfId="29368" xr:uid="{00000000-0005-0000-0000-0000D63A0000}"/>
    <cellStyle name="Normal 3 2 7 2 2 4 2 2 2 2" xfId="61239" xr:uid="{00000000-0005-0000-0000-0000D73A0000}"/>
    <cellStyle name="Normal 3 2 7 2 2 4 2 2 3" xfId="35917" xr:uid="{00000000-0005-0000-0000-0000D83A0000}"/>
    <cellStyle name="Normal 3 2 7 2 2 4 2 3" xfId="21490" xr:uid="{00000000-0005-0000-0000-0000D93A0000}"/>
    <cellStyle name="Normal 3 2 7 2 2 4 2 3 2" xfId="53361" xr:uid="{00000000-0005-0000-0000-0000DA3A0000}"/>
    <cellStyle name="Normal 3 2 7 2 2 4 2 4" xfId="35916" xr:uid="{00000000-0005-0000-0000-0000DB3A0000}"/>
    <cellStyle name="Normal 3 2 7 2 2 4 3" xfId="4039" xr:uid="{00000000-0005-0000-0000-0000DC3A0000}"/>
    <cellStyle name="Normal 3 2 7 2 2 4 3 2" xfId="25429" xr:uid="{00000000-0005-0000-0000-0000DD3A0000}"/>
    <cellStyle name="Normal 3 2 7 2 2 4 3 2 2" xfId="57300" xr:uid="{00000000-0005-0000-0000-0000DE3A0000}"/>
    <cellStyle name="Normal 3 2 7 2 2 4 3 3" xfId="35918" xr:uid="{00000000-0005-0000-0000-0000DF3A0000}"/>
    <cellStyle name="Normal 3 2 7 2 2 4 4" xfId="17551" xr:uid="{00000000-0005-0000-0000-0000E03A0000}"/>
    <cellStyle name="Normal 3 2 7 2 2 4 4 2" xfId="49422" xr:uid="{00000000-0005-0000-0000-0000E13A0000}"/>
    <cellStyle name="Normal 3 2 7 2 2 4 5" xfId="35915" xr:uid="{00000000-0005-0000-0000-0000E23A0000}"/>
    <cellStyle name="Normal 3 2 7 2 2 5" xfId="4040" xr:uid="{00000000-0005-0000-0000-0000E33A0000}"/>
    <cellStyle name="Normal 3 2 7 2 2 5 2" xfId="4041" xr:uid="{00000000-0005-0000-0000-0000E43A0000}"/>
    <cellStyle name="Normal 3 2 7 2 2 5 2 2" xfId="29361" xr:uid="{00000000-0005-0000-0000-0000E53A0000}"/>
    <cellStyle name="Normal 3 2 7 2 2 5 2 2 2" xfId="61232" xr:uid="{00000000-0005-0000-0000-0000E63A0000}"/>
    <cellStyle name="Normal 3 2 7 2 2 5 2 3" xfId="35920" xr:uid="{00000000-0005-0000-0000-0000E73A0000}"/>
    <cellStyle name="Normal 3 2 7 2 2 5 3" xfId="21483" xr:uid="{00000000-0005-0000-0000-0000E83A0000}"/>
    <cellStyle name="Normal 3 2 7 2 2 5 3 2" xfId="53354" xr:uid="{00000000-0005-0000-0000-0000E93A0000}"/>
    <cellStyle name="Normal 3 2 7 2 2 5 4" xfId="35919" xr:uid="{00000000-0005-0000-0000-0000EA3A0000}"/>
    <cellStyle name="Normal 3 2 7 2 2 6" xfId="4042" xr:uid="{00000000-0005-0000-0000-0000EB3A0000}"/>
    <cellStyle name="Normal 3 2 7 2 2 6 2" xfId="25422" xr:uid="{00000000-0005-0000-0000-0000EC3A0000}"/>
    <cellStyle name="Normal 3 2 7 2 2 6 2 2" xfId="57293" xr:uid="{00000000-0005-0000-0000-0000ED3A0000}"/>
    <cellStyle name="Normal 3 2 7 2 2 6 3" xfId="35921" xr:uid="{00000000-0005-0000-0000-0000EE3A0000}"/>
    <cellStyle name="Normal 3 2 7 2 2 7" xfId="17544" xr:uid="{00000000-0005-0000-0000-0000EF3A0000}"/>
    <cellStyle name="Normal 3 2 7 2 2 7 2" xfId="49415" xr:uid="{00000000-0005-0000-0000-0000F03A0000}"/>
    <cellStyle name="Normal 3 2 7 2 2 8" xfId="35890" xr:uid="{00000000-0005-0000-0000-0000F13A0000}"/>
    <cellStyle name="Normal 3 2 7 2 3" xfId="4043" xr:uid="{00000000-0005-0000-0000-0000F23A0000}"/>
    <cellStyle name="Normal 3 2 7 2 3 2" xfId="4044" xr:uid="{00000000-0005-0000-0000-0000F33A0000}"/>
    <cellStyle name="Normal 3 2 7 2 3 2 2" xfId="4045" xr:uid="{00000000-0005-0000-0000-0000F43A0000}"/>
    <cellStyle name="Normal 3 2 7 2 3 2 2 2" xfId="4046" xr:uid="{00000000-0005-0000-0000-0000F53A0000}"/>
    <cellStyle name="Normal 3 2 7 2 3 2 2 2 2" xfId="4047" xr:uid="{00000000-0005-0000-0000-0000F63A0000}"/>
    <cellStyle name="Normal 3 2 7 2 3 2 2 2 2 2" xfId="29371" xr:uid="{00000000-0005-0000-0000-0000F73A0000}"/>
    <cellStyle name="Normal 3 2 7 2 3 2 2 2 2 2 2" xfId="61242" xr:uid="{00000000-0005-0000-0000-0000F83A0000}"/>
    <cellStyle name="Normal 3 2 7 2 3 2 2 2 2 3" xfId="35926" xr:uid="{00000000-0005-0000-0000-0000F93A0000}"/>
    <cellStyle name="Normal 3 2 7 2 3 2 2 2 3" xfId="21493" xr:uid="{00000000-0005-0000-0000-0000FA3A0000}"/>
    <cellStyle name="Normal 3 2 7 2 3 2 2 2 3 2" xfId="53364" xr:uid="{00000000-0005-0000-0000-0000FB3A0000}"/>
    <cellStyle name="Normal 3 2 7 2 3 2 2 2 4" xfId="35925" xr:uid="{00000000-0005-0000-0000-0000FC3A0000}"/>
    <cellStyle name="Normal 3 2 7 2 3 2 2 3" xfId="4048" xr:uid="{00000000-0005-0000-0000-0000FD3A0000}"/>
    <cellStyle name="Normal 3 2 7 2 3 2 2 3 2" xfId="25432" xr:uid="{00000000-0005-0000-0000-0000FE3A0000}"/>
    <cellStyle name="Normal 3 2 7 2 3 2 2 3 2 2" xfId="57303" xr:uid="{00000000-0005-0000-0000-0000FF3A0000}"/>
    <cellStyle name="Normal 3 2 7 2 3 2 2 3 3" xfId="35927" xr:uid="{00000000-0005-0000-0000-0000003B0000}"/>
    <cellStyle name="Normal 3 2 7 2 3 2 2 4" xfId="17554" xr:uid="{00000000-0005-0000-0000-0000013B0000}"/>
    <cellStyle name="Normal 3 2 7 2 3 2 2 4 2" xfId="49425" xr:uid="{00000000-0005-0000-0000-0000023B0000}"/>
    <cellStyle name="Normal 3 2 7 2 3 2 2 5" xfId="35924" xr:uid="{00000000-0005-0000-0000-0000033B0000}"/>
    <cellStyle name="Normal 3 2 7 2 3 2 3" xfId="4049" xr:uid="{00000000-0005-0000-0000-0000043B0000}"/>
    <cellStyle name="Normal 3 2 7 2 3 2 3 2" xfId="4050" xr:uid="{00000000-0005-0000-0000-0000053B0000}"/>
    <cellStyle name="Normal 3 2 7 2 3 2 3 2 2" xfId="29370" xr:uid="{00000000-0005-0000-0000-0000063B0000}"/>
    <cellStyle name="Normal 3 2 7 2 3 2 3 2 2 2" xfId="61241" xr:uid="{00000000-0005-0000-0000-0000073B0000}"/>
    <cellStyle name="Normal 3 2 7 2 3 2 3 2 3" xfId="35929" xr:uid="{00000000-0005-0000-0000-0000083B0000}"/>
    <cellStyle name="Normal 3 2 7 2 3 2 3 3" xfId="21492" xr:uid="{00000000-0005-0000-0000-0000093B0000}"/>
    <cellStyle name="Normal 3 2 7 2 3 2 3 3 2" xfId="53363" xr:uid="{00000000-0005-0000-0000-00000A3B0000}"/>
    <cellStyle name="Normal 3 2 7 2 3 2 3 4" xfId="35928" xr:uid="{00000000-0005-0000-0000-00000B3B0000}"/>
    <cellStyle name="Normal 3 2 7 2 3 2 4" xfId="4051" xr:uid="{00000000-0005-0000-0000-00000C3B0000}"/>
    <cellStyle name="Normal 3 2 7 2 3 2 4 2" xfId="25431" xr:uid="{00000000-0005-0000-0000-00000D3B0000}"/>
    <cellStyle name="Normal 3 2 7 2 3 2 4 2 2" xfId="57302" xr:uid="{00000000-0005-0000-0000-00000E3B0000}"/>
    <cellStyle name="Normal 3 2 7 2 3 2 4 3" xfId="35930" xr:uid="{00000000-0005-0000-0000-00000F3B0000}"/>
    <cellStyle name="Normal 3 2 7 2 3 2 5" xfId="17553" xr:uid="{00000000-0005-0000-0000-0000103B0000}"/>
    <cellStyle name="Normal 3 2 7 2 3 2 5 2" xfId="49424" xr:uid="{00000000-0005-0000-0000-0000113B0000}"/>
    <cellStyle name="Normal 3 2 7 2 3 2 6" xfId="35923" xr:uid="{00000000-0005-0000-0000-0000123B0000}"/>
    <cellStyle name="Normal 3 2 7 2 3 3" xfId="4052" xr:uid="{00000000-0005-0000-0000-0000133B0000}"/>
    <cellStyle name="Normal 3 2 7 2 3 3 2" xfId="4053" xr:uid="{00000000-0005-0000-0000-0000143B0000}"/>
    <cellStyle name="Normal 3 2 7 2 3 3 2 2" xfId="4054" xr:uid="{00000000-0005-0000-0000-0000153B0000}"/>
    <cellStyle name="Normal 3 2 7 2 3 3 2 2 2" xfId="29372" xr:uid="{00000000-0005-0000-0000-0000163B0000}"/>
    <cellStyle name="Normal 3 2 7 2 3 3 2 2 2 2" xfId="61243" xr:uid="{00000000-0005-0000-0000-0000173B0000}"/>
    <cellStyle name="Normal 3 2 7 2 3 3 2 2 3" xfId="35933" xr:uid="{00000000-0005-0000-0000-0000183B0000}"/>
    <cellStyle name="Normal 3 2 7 2 3 3 2 3" xfId="21494" xr:uid="{00000000-0005-0000-0000-0000193B0000}"/>
    <cellStyle name="Normal 3 2 7 2 3 3 2 3 2" xfId="53365" xr:uid="{00000000-0005-0000-0000-00001A3B0000}"/>
    <cellStyle name="Normal 3 2 7 2 3 3 2 4" xfId="35932" xr:uid="{00000000-0005-0000-0000-00001B3B0000}"/>
    <cellStyle name="Normal 3 2 7 2 3 3 3" xfId="4055" xr:uid="{00000000-0005-0000-0000-00001C3B0000}"/>
    <cellStyle name="Normal 3 2 7 2 3 3 3 2" xfId="25433" xr:uid="{00000000-0005-0000-0000-00001D3B0000}"/>
    <cellStyle name="Normal 3 2 7 2 3 3 3 2 2" xfId="57304" xr:uid="{00000000-0005-0000-0000-00001E3B0000}"/>
    <cellStyle name="Normal 3 2 7 2 3 3 3 3" xfId="35934" xr:uid="{00000000-0005-0000-0000-00001F3B0000}"/>
    <cellStyle name="Normal 3 2 7 2 3 3 4" xfId="17555" xr:uid="{00000000-0005-0000-0000-0000203B0000}"/>
    <cellStyle name="Normal 3 2 7 2 3 3 4 2" xfId="49426" xr:uid="{00000000-0005-0000-0000-0000213B0000}"/>
    <cellStyle name="Normal 3 2 7 2 3 3 5" xfId="35931" xr:uid="{00000000-0005-0000-0000-0000223B0000}"/>
    <cellStyle name="Normal 3 2 7 2 3 4" xfId="4056" xr:uid="{00000000-0005-0000-0000-0000233B0000}"/>
    <cellStyle name="Normal 3 2 7 2 3 4 2" xfId="4057" xr:uid="{00000000-0005-0000-0000-0000243B0000}"/>
    <cellStyle name="Normal 3 2 7 2 3 4 2 2" xfId="29369" xr:uid="{00000000-0005-0000-0000-0000253B0000}"/>
    <cellStyle name="Normal 3 2 7 2 3 4 2 2 2" xfId="61240" xr:uid="{00000000-0005-0000-0000-0000263B0000}"/>
    <cellStyle name="Normal 3 2 7 2 3 4 2 3" xfId="35936" xr:uid="{00000000-0005-0000-0000-0000273B0000}"/>
    <cellStyle name="Normal 3 2 7 2 3 4 3" xfId="21491" xr:uid="{00000000-0005-0000-0000-0000283B0000}"/>
    <cellStyle name="Normal 3 2 7 2 3 4 3 2" xfId="53362" xr:uid="{00000000-0005-0000-0000-0000293B0000}"/>
    <cellStyle name="Normal 3 2 7 2 3 4 4" xfId="35935" xr:uid="{00000000-0005-0000-0000-00002A3B0000}"/>
    <cellStyle name="Normal 3 2 7 2 3 5" xfId="4058" xr:uid="{00000000-0005-0000-0000-00002B3B0000}"/>
    <cellStyle name="Normal 3 2 7 2 3 5 2" xfId="25430" xr:uid="{00000000-0005-0000-0000-00002C3B0000}"/>
    <cellStyle name="Normal 3 2 7 2 3 5 2 2" xfId="57301" xr:uid="{00000000-0005-0000-0000-00002D3B0000}"/>
    <cellStyle name="Normal 3 2 7 2 3 5 3" xfId="35937" xr:uid="{00000000-0005-0000-0000-00002E3B0000}"/>
    <cellStyle name="Normal 3 2 7 2 3 6" xfId="17552" xr:uid="{00000000-0005-0000-0000-00002F3B0000}"/>
    <cellStyle name="Normal 3 2 7 2 3 6 2" xfId="49423" xr:uid="{00000000-0005-0000-0000-0000303B0000}"/>
    <cellStyle name="Normal 3 2 7 2 3 7" xfId="35922" xr:uid="{00000000-0005-0000-0000-0000313B0000}"/>
    <cellStyle name="Normal 3 2 7 2 4" xfId="4059" xr:uid="{00000000-0005-0000-0000-0000323B0000}"/>
    <cellStyle name="Normal 3 2 7 2 4 2" xfId="4060" xr:uid="{00000000-0005-0000-0000-0000333B0000}"/>
    <cellStyle name="Normal 3 2 7 2 4 2 2" xfId="4061" xr:uid="{00000000-0005-0000-0000-0000343B0000}"/>
    <cellStyle name="Normal 3 2 7 2 4 2 2 2" xfId="4062" xr:uid="{00000000-0005-0000-0000-0000353B0000}"/>
    <cellStyle name="Normal 3 2 7 2 4 2 2 2 2" xfId="29374" xr:uid="{00000000-0005-0000-0000-0000363B0000}"/>
    <cellStyle name="Normal 3 2 7 2 4 2 2 2 2 2" xfId="61245" xr:uid="{00000000-0005-0000-0000-0000373B0000}"/>
    <cellStyle name="Normal 3 2 7 2 4 2 2 2 3" xfId="35941" xr:uid="{00000000-0005-0000-0000-0000383B0000}"/>
    <cellStyle name="Normal 3 2 7 2 4 2 2 3" xfId="21496" xr:uid="{00000000-0005-0000-0000-0000393B0000}"/>
    <cellStyle name="Normal 3 2 7 2 4 2 2 3 2" xfId="53367" xr:uid="{00000000-0005-0000-0000-00003A3B0000}"/>
    <cellStyle name="Normal 3 2 7 2 4 2 2 4" xfId="35940" xr:uid="{00000000-0005-0000-0000-00003B3B0000}"/>
    <cellStyle name="Normal 3 2 7 2 4 2 3" xfId="4063" xr:uid="{00000000-0005-0000-0000-00003C3B0000}"/>
    <cellStyle name="Normal 3 2 7 2 4 2 3 2" xfId="25435" xr:uid="{00000000-0005-0000-0000-00003D3B0000}"/>
    <cellStyle name="Normal 3 2 7 2 4 2 3 2 2" xfId="57306" xr:uid="{00000000-0005-0000-0000-00003E3B0000}"/>
    <cellStyle name="Normal 3 2 7 2 4 2 3 3" xfId="35942" xr:uid="{00000000-0005-0000-0000-00003F3B0000}"/>
    <cellStyle name="Normal 3 2 7 2 4 2 4" xfId="17557" xr:uid="{00000000-0005-0000-0000-0000403B0000}"/>
    <cellStyle name="Normal 3 2 7 2 4 2 4 2" xfId="49428" xr:uid="{00000000-0005-0000-0000-0000413B0000}"/>
    <cellStyle name="Normal 3 2 7 2 4 2 5" xfId="35939" xr:uid="{00000000-0005-0000-0000-0000423B0000}"/>
    <cellStyle name="Normal 3 2 7 2 4 3" xfId="4064" xr:uid="{00000000-0005-0000-0000-0000433B0000}"/>
    <cellStyle name="Normal 3 2 7 2 4 3 2" xfId="4065" xr:uid="{00000000-0005-0000-0000-0000443B0000}"/>
    <cellStyle name="Normal 3 2 7 2 4 3 2 2" xfId="29373" xr:uid="{00000000-0005-0000-0000-0000453B0000}"/>
    <cellStyle name="Normal 3 2 7 2 4 3 2 2 2" xfId="61244" xr:uid="{00000000-0005-0000-0000-0000463B0000}"/>
    <cellStyle name="Normal 3 2 7 2 4 3 2 3" xfId="35944" xr:uid="{00000000-0005-0000-0000-0000473B0000}"/>
    <cellStyle name="Normal 3 2 7 2 4 3 3" xfId="21495" xr:uid="{00000000-0005-0000-0000-0000483B0000}"/>
    <cellStyle name="Normal 3 2 7 2 4 3 3 2" xfId="53366" xr:uid="{00000000-0005-0000-0000-0000493B0000}"/>
    <cellStyle name="Normal 3 2 7 2 4 3 4" xfId="35943" xr:uid="{00000000-0005-0000-0000-00004A3B0000}"/>
    <cellStyle name="Normal 3 2 7 2 4 4" xfId="4066" xr:uid="{00000000-0005-0000-0000-00004B3B0000}"/>
    <cellStyle name="Normal 3 2 7 2 4 4 2" xfId="25434" xr:uid="{00000000-0005-0000-0000-00004C3B0000}"/>
    <cellStyle name="Normal 3 2 7 2 4 4 2 2" xfId="57305" xr:uid="{00000000-0005-0000-0000-00004D3B0000}"/>
    <cellStyle name="Normal 3 2 7 2 4 4 3" xfId="35945" xr:uid="{00000000-0005-0000-0000-00004E3B0000}"/>
    <cellStyle name="Normal 3 2 7 2 4 5" xfId="17556" xr:uid="{00000000-0005-0000-0000-00004F3B0000}"/>
    <cellStyle name="Normal 3 2 7 2 4 5 2" xfId="49427" xr:uid="{00000000-0005-0000-0000-0000503B0000}"/>
    <cellStyle name="Normal 3 2 7 2 4 6" xfId="35938" xr:uid="{00000000-0005-0000-0000-0000513B0000}"/>
    <cellStyle name="Normal 3 2 7 2 5" xfId="4067" xr:uid="{00000000-0005-0000-0000-0000523B0000}"/>
    <cellStyle name="Normal 3 2 7 2 5 2" xfId="4068" xr:uid="{00000000-0005-0000-0000-0000533B0000}"/>
    <cellStyle name="Normal 3 2 7 2 5 2 2" xfId="4069" xr:uid="{00000000-0005-0000-0000-0000543B0000}"/>
    <cellStyle name="Normal 3 2 7 2 5 2 2 2" xfId="29375" xr:uid="{00000000-0005-0000-0000-0000553B0000}"/>
    <cellStyle name="Normal 3 2 7 2 5 2 2 2 2" xfId="61246" xr:uid="{00000000-0005-0000-0000-0000563B0000}"/>
    <cellStyle name="Normal 3 2 7 2 5 2 2 3" xfId="35948" xr:uid="{00000000-0005-0000-0000-0000573B0000}"/>
    <cellStyle name="Normal 3 2 7 2 5 2 3" xfId="21497" xr:uid="{00000000-0005-0000-0000-0000583B0000}"/>
    <cellStyle name="Normal 3 2 7 2 5 2 3 2" xfId="53368" xr:uid="{00000000-0005-0000-0000-0000593B0000}"/>
    <cellStyle name="Normal 3 2 7 2 5 2 4" xfId="35947" xr:uid="{00000000-0005-0000-0000-00005A3B0000}"/>
    <cellStyle name="Normal 3 2 7 2 5 3" xfId="4070" xr:uid="{00000000-0005-0000-0000-00005B3B0000}"/>
    <cellStyle name="Normal 3 2 7 2 5 3 2" xfId="25436" xr:uid="{00000000-0005-0000-0000-00005C3B0000}"/>
    <cellStyle name="Normal 3 2 7 2 5 3 2 2" xfId="57307" xr:uid="{00000000-0005-0000-0000-00005D3B0000}"/>
    <cellStyle name="Normal 3 2 7 2 5 3 3" xfId="35949" xr:uid="{00000000-0005-0000-0000-00005E3B0000}"/>
    <cellStyle name="Normal 3 2 7 2 5 4" xfId="17558" xr:uid="{00000000-0005-0000-0000-00005F3B0000}"/>
    <cellStyle name="Normal 3 2 7 2 5 4 2" xfId="49429" xr:uid="{00000000-0005-0000-0000-0000603B0000}"/>
    <cellStyle name="Normal 3 2 7 2 5 5" xfId="35946" xr:uid="{00000000-0005-0000-0000-0000613B0000}"/>
    <cellStyle name="Normal 3 2 7 2 6" xfId="4071" xr:uid="{00000000-0005-0000-0000-0000623B0000}"/>
    <cellStyle name="Normal 3 2 7 2 6 2" xfId="4072" xr:uid="{00000000-0005-0000-0000-0000633B0000}"/>
    <cellStyle name="Normal 3 2 7 2 6 2 2" xfId="28464" xr:uid="{00000000-0005-0000-0000-0000643B0000}"/>
    <cellStyle name="Normal 3 2 7 2 6 2 2 2" xfId="60335" xr:uid="{00000000-0005-0000-0000-0000653B0000}"/>
    <cellStyle name="Normal 3 2 7 2 6 2 3" xfId="35951" xr:uid="{00000000-0005-0000-0000-0000663B0000}"/>
    <cellStyle name="Normal 3 2 7 2 6 3" xfId="20586" xr:uid="{00000000-0005-0000-0000-0000673B0000}"/>
    <cellStyle name="Normal 3 2 7 2 6 3 2" xfId="52457" xr:uid="{00000000-0005-0000-0000-0000683B0000}"/>
    <cellStyle name="Normal 3 2 7 2 6 4" xfId="35950" xr:uid="{00000000-0005-0000-0000-0000693B0000}"/>
    <cellStyle name="Normal 3 2 7 2 7" xfId="4073" xr:uid="{00000000-0005-0000-0000-00006A3B0000}"/>
    <cellStyle name="Normal 3 2 7 2 7 2" xfId="24525" xr:uid="{00000000-0005-0000-0000-00006B3B0000}"/>
    <cellStyle name="Normal 3 2 7 2 7 2 2" xfId="56396" xr:uid="{00000000-0005-0000-0000-00006C3B0000}"/>
    <cellStyle name="Normal 3 2 7 2 7 3" xfId="35952" xr:uid="{00000000-0005-0000-0000-00006D3B0000}"/>
    <cellStyle name="Normal 3 2 7 2 8" xfId="16647" xr:uid="{00000000-0005-0000-0000-00006E3B0000}"/>
    <cellStyle name="Normal 3 2 7 2 8 2" xfId="48518" xr:uid="{00000000-0005-0000-0000-00006F3B0000}"/>
    <cellStyle name="Normal 3 2 7 2 9" xfId="35889" xr:uid="{00000000-0005-0000-0000-0000703B0000}"/>
    <cellStyle name="Normal 3 2 7 3" xfId="4074" xr:uid="{00000000-0005-0000-0000-0000713B0000}"/>
    <cellStyle name="Normal 3 2 7 3 2" xfId="4075" xr:uid="{00000000-0005-0000-0000-0000723B0000}"/>
    <cellStyle name="Normal 3 2 7 3 2 2" xfId="4076" xr:uid="{00000000-0005-0000-0000-0000733B0000}"/>
    <cellStyle name="Normal 3 2 7 3 2 2 2" xfId="4077" xr:uid="{00000000-0005-0000-0000-0000743B0000}"/>
    <cellStyle name="Normal 3 2 7 3 2 2 2 2" xfId="4078" xr:uid="{00000000-0005-0000-0000-0000753B0000}"/>
    <cellStyle name="Normal 3 2 7 3 2 2 2 2 2" xfId="4079" xr:uid="{00000000-0005-0000-0000-0000763B0000}"/>
    <cellStyle name="Normal 3 2 7 3 2 2 2 2 2 2" xfId="29379" xr:uid="{00000000-0005-0000-0000-0000773B0000}"/>
    <cellStyle name="Normal 3 2 7 3 2 2 2 2 2 2 2" xfId="61250" xr:uid="{00000000-0005-0000-0000-0000783B0000}"/>
    <cellStyle name="Normal 3 2 7 3 2 2 2 2 2 3" xfId="35958" xr:uid="{00000000-0005-0000-0000-0000793B0000}"/>
    <cellStyle name="Normal 3 2 7 3 2 2 2 2 3" xfId="21501" xr:uid="{00000000-0005-0000-0000-00007A3B0000}"/>
    <cellStyle name="Normal 3 2 7 3 2 2 2 2 3 2" xfId="53372" xr:uid="{00000000-0005-0000-0000-00007B3B0000}"/>
    <cellStyle name="Normal 3 2 7 3 2 2 2 2 4" xfId="35957" xr:uid="{00000000-0005-0000-0000-00007C3B0000}"/>
    <cellStyle name="Normal 3 2 7 3 2 2 2 3" xfId="4080" xr:uid="{00000000-0005-0000-0000-00007D3B0000}"/>
    <cellStyle name="Normal 3 2 7 3 2 2 2 3 2" xfId="25440" xr:uid="{00000000-0005-0000-0000-00007E3B0000}"/>
    <cellStyle name="Normal 3 2 7 3 2 2 2 3 2 2" xfId="57311" xr:uid="{00000000-0005-0000-0000-00007F3B0000}"/>
    <cellStyle name="Normal 3 2 7 3 2 2 2 3 3" xfId="35959" xr:uid="{00000000-0005-0000-0000-0000803B0000}"/>
    <cellStyle name="Normal 3 2 7 3 2 2 2 4" xfId="17562" xr:uid="{00000000-0005-0000-0000-0000813B0000}"/>
    <cellStyle name="Normal 3 2 7 3 2 2 2 4 2" xfId="49433" xr:uid="{00000000-0005-0000-0000-0000823B0000}"/>
    <cellStyle name="Normal 3 2 7 3 2 2 2 5" xfId="35956" xr:uid="{00000000-0005-0000-0000-0000833B0000}"/>
    <cellStyle name="Normal 3 2 7 3 2 2 3" xfId="4081" xr:uid="{00000000-0005-0000-0000-0000843B0000}"/>
    <cellStyle name="Normal 3 2 7 3 2 2 3 2" xfId="4082" xr:uid="{00000000-0005-0000-0000-0000853B0000}"/>
    <cellStyle name="Normal 3 2 7 3 2 2 3 2 2" xfId="29378" xr:uid="{00000000-0005-0000-0000-0000863B0000}"/>
    <cellStyle name="Normal 3 2 7 3 2 2 3 2 2 2" xfId="61249" xr:uid="{00000000-0005-0000-0000-0000873B0000}"/>
    <cellStyle name="Normal 3 2 7 3 2 2 3 2 3" xfId="35961" xr:uid="{00000000-0005-0000-0000-0000883B0000}"/>
    <cellStyle name="Normal 3 2 7 3 2 2 3 3" xfId="21500" xr:uid="{00000000-0005-0000-0000-0000893B0000}"/>
    <cellStyle name="Normal 3 2 7 3 2 2 3 3 2" xfId="53371" xr:uid="{00000000-0005-0000-0000-00008A3B0000}"/>
    <cellStyle name="Normal 3 2 7 3 2 2 3 4" xfId="35960" xr:uid="{00000000-0005-0000-0000-00008B3B0000}"/>
    <cellStyle name="Normal 3 2 7 3 2 2 4" xfId="4083" xr:uid="{00000000-0005-0000-0000-00008C3B0000}"/>
    <cellStyle name="Normal 3 2 7 3 2 2 4 2" xfId="25439" xr:uid="{00000000-0005-0000-0000-00008D3B0000}"/>
    <cellStyle name="Normal 3 2 7 3 2 2 4 2 2" xfId="57310" xr:uid="{00000000-0005-0000-0000-00008E3B0000}"/>
    <cellStyle name="Normal 3 2 7 3 2 2 4 3" xfId="35962" xr:uid="{00000000-0005-0000-0000-00008F3B0000}"/>
    <cellStyle name="Normal 3 2 7 3 2 2 5" xfId="17561" xr:uid="{00000000-0005-0000-0000-0000903B0000}"/>
    <cellStyle name="Normal 3 2 7 3 2 2 5 2" xfId="49432" xr:uid="{00000000-0005-0000-0000-0000913B0000}"/>
    <cellStyle name="Normal 3 2 7 3 2 2 6" xfId="35955" xr:uid="{00000000-0005-0000-0000-0000923B0000}"/>
    <cellStyle name="Normal 3 2 7 3 2 3" xfId="4084" xr:uid="{00000000-0005-0000-0000-0000933B0000}"/>
    <cellStyle name="Normal 3 2 7 3 2 3 2" xfId="4085" xr:uid="{00000000-0005-0000-0000-0000943B0000}"/>
    <cellStyle name="Normal 3 2 7 3 2 3 2 2" xfId="4086" xr:uid="{00000000-0005-0000-0000-0000953B0000}"/>
    <cellStyle name="Normal 3 2 7 3 2 3 2 2 2" xfId="29380" xr:uid="{00000000-0005-0000-0000-0000963B0000}"/>
    <cellStyle name="Normal 3 2 7 3 2 3 2 2 2 2" xfId="61251" xr:uid="{00000000-0005-0000-0000-0000973B0000}"/>
    <cellStyle name="Normal 3 2 7 3 2 3 2 2 3" xfId="35965" xr:uid="{00000000-0005-0000-0000-0000983B0000}"/>
    <cellStyle name="Normal 3 2 7 3 2 3 2 3" xfId="21502" xr:uid="{00000000-0005-0000-0000-0000993B0000}"/>
    <cellStyle name="Normal 3 2 7 3 2 3 2 3 2" xfId="53373" xr:uid="{00000000-0005-0000-0000-00009A3B0000}"/>
    <cellStyle name="Normal 3 2 7 3 2 3 2 4" xfId="35964" xr:uid="{00000000-0005-0000-0000-00009B3B0000}"/>
    <cellStyle name="Normal 3 2 7 3 2 3 3" xfId="4087" xr:uid="{00000000-0005-0000-0000-00009C3B0000}"/>
    <cellStyle name="Normal 3 2 7 3 2 3 3 2" xfId="25441" xr:uid="{00000000-0005-0000-0000-00009D3B0000}"/>
    <cellStyle name="Normal 3 2 7 3 2 3 3 2 2" xfId="57312" xr:uid="{00000000-0005-0000-0000-00009E3B0000}"/>
    <cellStyle name="Normal 3 2 7 3 2 3 3 3" xfId="35966" xr:uid="{00000000-0005-0000-0000-00009F3B0000}"/>
    <cellStyle name="Normal 3 2 7 3 2 3 4" xfId="17563" xr:uid="{00000000-0005-0000-0000-0000A03B0000}"/>
    <cellStyle name="Normal 3 2 7 3 2 3 4 2" xfId="49434" xr:uid="{00000000-0005-0000-0000-0000A13B0000}"/>
    <cellStyle name="Normal 3 2 7 3 2 3 5" xfId="35963" xr:uid="{00000000-0005-0000-0000-0000A23B0000}"/>
    <cellStyle name="Normal 3 2 7 3 2 4" xfId="4088" xr:uid="{00000000-0005-0000-0000-0000A33B0000}"/>
    <cellStyle name="Normal 3 2 7 3 2 4 2" xfId="4089" xr:uid="{00000000-0005-0000-0000-0000A43B0000}"/>
    <cellStyle name="Normal 3 2 7 3 2 4 2 2" xfId="29377" xr:uid="{00000000-0005-0000-0000-0000A53B0000}"/>
    <cellStyle name="Normal 3 2 7 3 2 4 2 2 2" xfId="61248" xr:uid="{00000000-0005-0000-0000-0000A63B0000}"/>
    <cellStyle name="Normal 3 2 7 3 2 4 2 3" xfId="35968" xr:uid="{00000000-0005-0000-0000-0000A73B0000}"/>
    <cellStyle name="Normal 3 2 7 3 2 4 3" xfId="21499" xr:uid="{00000000-0005-0000-0000-0000A83B0000}"/>
    <cellStyle name="Normal 3 2 7 3 2 4 3 2" xfId="53370" xr:uid="{00000000-0005-0000-0000-0000A93B0000}"/>
    <cellStyle name="Normal 3 2 7 3 2 4 4" xfId="35967" xr:uid="{00000000-0005-0000-0000-0000AA3B0000}"/>
    <cellStyle name="Normal 3 2 7 3 2 5" xfId="4090" xr:uid="{00000000-0005-0000-0000-0000AB3B0000}"/>
    <cellStyle name="Normal 3 2 7 3 2 5 2" xfId="25438" xr:uid="{00000000-0005-0000-0000-0000AC3B0000}"/>
    <cellStyle name="Normal 3 2 7 3 2 5 2 2" xfId="57309" xr:uid="{00000000-0005-0000-0000-0000AD3B0000}"/>
    <cellStyle name="Normal 3 2 7 3 2 5 3" xfId="35969" xr:uid="{00000000-0005-0000-0000-0000AE3B0000}"/>
    <cellStyle name="Normal 3 2 7 3 2 6" xfId="17560" xr:uid="{00000000-0005-0000-0000-0000AF3B0000}"/>
    <cellStyle name="Normal 3 2 7 3 2 6 2" xfId="49431" xr:uid="{00000000-0005-0000-0000-0000B03B0000}"/>
    <cellStyle name="Normal 3 2 7 3 2 7" xfId="35954" xr:uid="{00000000-0005-0000-0000-0000B13B0000}"/>
    <cellStyle name="Normal 3 2 7 3 3" xfId="4091" xr:uid="{00000000-0005-0000-0000-0000B23B0000}"/>
    <cellStyle name="Normal 3 2 7 3 3 2" xfId="4092" xr:uid="{00000000-0005-0000-0000-0000B33B0000}"/>
    <cellStyle name="Normal 3 2 7 3 3 2 2" xfId="4093" xr:uid="{00000000-0005-0000-0000-0000B43B0000}"/>
    <cellStyle name="Normal 3 2 7 3 3 2 2 2" xfId="4094" xr:uid="{00000000-0005-0000-0000-0000B53B0000}"/>
    <cellStyle name="Normal 3 2 7 3 3 2 2 2 2" xfId="29382" xr:uid="{00000000-0005-0000-0000-0000B63B0000}"/>
    <cellStyle name="Normal 3 2 7 3 3 2 2 2 2 2" xfId="61253" xr:uid="{00000000-0005-0000-0000-0000B73B0000}"/>
    <cellStyle name="Normal 3 2 7 3 3 2 2 2 3" xfId="35973" xr:uid="{00000000-0005-0000-0000-0000B83B0000}"/>
    <cellStyle name="Normal 3 2 7 3 3 2 2 3" xfId="21504" xr:uid="{00000000-0005-0000-0000-0000B93B0000}"/>
    <cellStyle name="Normal 3 2 7 3 3 2 2 3 2" xfId="53375" xr:uid="{00000000-0005-0000-0000-0000BA3B0000}"/>
    <cellStyle name="Normal 3 2 7 3 3 2 2 4" xfId="35972" xr:uid="{00000000-0005-0000-0000-0000BB3B0000}"/>
    <cellStyle name="Normal 3 2 7 3 3 2 3" xfId="4095" xr:uid="{00000000-0005-0000-0000-0000BC3B0000}"/>
    <cellStyle name="Normal 3 2 7 3 3 2 3 2" xfId="25443" xr:uid="{00000000-0005-0000-0000-0000BD3B0000}"/>
    <cellStyle name="Normal 3 2 7 3 3 2 3 2 2" xfId="57314" xr:uid="{00000000-0005-0000-0000-0000BE3B0000}"/>
    <cellStyle name="Normal 3 2 7 3 3 2 3 3" xfId="35974" xr:uid="{00000000-0005-0000-0000-0000BF3B0000}"/>
    <cellStyle name="Normal 3 2 7 3 3 2 4" xfId="17565" xr:uid="{00000000-0005-0000-0000-0000C03B0000}"/>
    <cellStyle name="Normal 3 2 7 3 3 2 4 2" xfId="49436" xr:uid="{00000000-0005-0000-0000-0000C13B0000}"/>
    <cellStyle name="Normal 3 2 7 3 3 2 5" xfId="35971" xr:uid="{00000000-0005-0000-0000-0000C23B0000}"/>
    <cellStyle name="Normal 3 2 7 3 3 3" xfId="4096" xr:uid="{00000000-0005-0000-0000-0000C33B0000}"/>
    <cellStyle name="Normal 3 2 7 3 3 3 2" xfId="4097" xr:uid="{00000000-0005-0000-0000-0000C43B0000}"/>
    <cellStyle name="Normal 3 2 7 3 3 3 2 2" xfId="29381" xr:uid="{00000000-0005-0000-0000-0000C53B0000}"/>
    <cellStyle name="Normal 3 2 7 3 3 3 2 2 2" xfId="61252" xr:uid="{00000000-0005-0000-0000-0000C63B0000}"/>
    <cellStyle name="Normal 3 2 7 3 3 3 2 3" xfId="35976" xr:uid="{00000000-0005-0000-0000-0000C73B0000}"/>
    <cellStyle name="Normal 3 2 7 3 3 3 3" xfId="21503" xr:uid="{00000000-0005-0000-0000-0000C83B0000}"/>
    <cellStyle name="Normal 3 2 7 3 3 3 3 2" xfId="53374" xr:uid="{00000000-0005-0000-0000-0000C93B0000}"/>
    <cellStyle name="Normal 3 2 7 3 3 3 4" xfId="35975" xr:uid="{00000000-0005-0000-0000-0000CA3B0000}"/>
    <cellStyle name="Normal 3 2 7 3 3 4" xfId="4098" xr:uid="{00000000-0005-0000-0000-0000CB3B0000}"/>
    <cellStyle name="Normal 3 2 7 3 3 4 2" xfId="25442" xr:uid="{00000000-0005-0000-0000-0000CC3B0000}"/>
    <cellStyle name="Normal 3 2 7 3 3 4 2 2" xfId="57313" xr:uid="{00000000-0005-0000-0000-0000CD3B0000}"/>
    <cellStyle name="Normal 3 2 7 3 3 4 3" xfId="35977" xr:uid="{00000000-0005-0000-0000-0000CE3B0000}"/>
    <cellStyle name="Normal 3 2 7 3 3 5" xfId="17564" xr:uid="{00000000-0005-0000-0000-0000CF3B0000}"/>
    <cellStyle name="Normal 3 2 7 3 3 5 2" xfId="49435" xr:uid="{00000000-0005-0000-0000-0000D03B0000}"/>
    <cellStyle name="Normal 3 2 7 3 3 6" xfId="35970" xr:uid="{00000000-0005-0000-0000-0000D13B0000}"/>
    <cellStyle name="Normal 3 2 7 3 4" xfId="4099" xr:uid="{00000000-0005-0000-0000-0000D23B0000}"/>
    <cellStyle name="Normal 3 2 7 3 4 2" xfId="4100" xr:uid="{00000000-0005-0000-0000-0000D33B0000}"/>
    <cellStyle name="Normal 3 2 7 3 4 2 2" xfId="4101" xr:uid="{00000000-0005-0000-0000-0000D43B0000}"/>
    <cellStyle name="Normal 3 2 7 3 4 2 2 2" xfId="29383" xr:uid="{00000000-0005-0000-0000-0000D53B0000}"/>
    <cellStyle name="Normal 3 2 7 3 4 2 2 2 2" xfId="61254" xr:uid="{00000000-0005-0000-0000-0000D63B0000}"/>
    <cellStyle name="Normal 3 2 7 3 4 2 2 3" xfId="35980" xr:uid="{00000000-0005-0000-0000-0000D73B0000}"/>
    <cellStyle name="Normal 3 2 7 3 4 2 3" xfId="21505" xr:uid="{00000000-0005-0000-0000-0000D83B0000}"/>
    <cellStyle name="Normal 3 2 7 3 4 2 3 2" xfId="53376" xr:uid="{00000000-0005-0000-0000-0000D93B0000}"/>
    <cellStyle name="Normal 3 2 7 3 4 2 4" xfId="35979" xr:uid="{00000000-0005-0000-0000-0000DA3B0000}"/>
    <cellStyle name="Normal 3 2 7 3 4 3" xfId="4102" xr:uid="{00000000-0005-0000-0000-0000DB3B0000}"/>
    <cellStyle name="Normal 3 2 7 3 4 3 2" xfId="25444" xr:uid="{00000000-0005-0000-0000-0000DC3B0000}"/>
    <cellStyle name="Normal 3 2 7 3 4 3 2 2" xfId="57315" xr:uid="{00000000-0005-0000-0000-0000DD3B0000}"/>
    <cellStyle name="Normal 3 2 7 3 4 3 3" xfId="35981" xr:uid="{00000000-0005-0000-0000-0000DE3B0000}"/>
    <cellStyle name="Normal 3 2 7 3 4 4" xfId="17566" xr:uid="{00000000-0005-0000-0000-0000DF3B0000}"/>
    <cellStyle name="Normal 3 2 7 3 4 4 2" xfId="49437" xr:uid="{00000000-0005-0000-0000-0000E03B0000}"/>
    <cellStyle name="Normal 3 2 7 3 4 5" xfId="35978" xr:uid="{00000000-0005-0000-0000-0000E13B0000}"/>
    <cellStyle name="Normal 3 2 7 3 5" xfId="4103" xr:uid="{00000000-0005-0000-0000-0000E23B0000}"/>
    <cellStyle name="Normal 3 2 7 3 5 2" xfId="4104" xr:uid="{00000000-0005-0000-0000-0000E33B0000}"/>
    <cellStyle name="Normal 3 2 7 3 5 2 2" xfId="29376" xr:uid="{00000000-0005-0000-0000-0000E43B0000}"/>
    <cellStyle name="Normal 3 2 7 3 5 2 2 2" xfId="61247" xr:uid="{00000000-0005-0000-0000-0000E53B0000}"/>
    <cellStyle name="Normal 3 2 7 3 5 2 3" xfId="35983" xr:uid="{00000000-0005-0000-0000-0000E63B0000}"/>
    <cellStyle name="Normal 3 2 7 3 5 3" xfId="21498" xr:uid="{00000000-0005-0000-0000-0000E73B0000}"/>
    <cellStyle name="Normal 3 2 7 3 5 3 2" xfId="53369" xr:uid="{00000000-0005-0000-0000-0000E83B0000}"/>
    <cellStyle name="Normal 3 2 7 3 5 4" xfId="35982" xr:uid="{00000000-0005-0000-0000-0000E93B0000}"/>
    <cellStyle name="Normal 3 2 7 3 6" xfId="4105" xr:uid="{00000000-0005-0000-0000-0000EA3B0000}"/>
    <cellStyle name="Normal 3 2 7 3 6 2" xfId="25437" xr:uid="{00000000-0005-0000-0000-0000EB3B0000}"/>
    <cellStyle name="Normal 3 2 7 3 6 2 2" xfId="57308" xr:uid="{00000000-0005-0000-0000-0000EC3B0000}"/>
    <cellStyle name="Normal 3 2 7 3 6 3" xfId="35984" xr:uid="{00000000-0005-0000-0000-0000ED3B0000}"/>
    <cellStyle name="Normal 3 2 7 3 7" xfId="17559" xr:uid="{00000000-0005-0000-0000-0000EE3B0000}"/>
    <cellStyle name="Normal 3 2 7 3 7 2" xfId="49430" xr:uid="{00000000-0005-0000-0000-0000EF3B0000}"/>
    <cellStyle name="Normal 3 2 7 3 8" xfId="35953" xr:uid="{00000000-0005-0000-0000-0000F03B0000}"/>
    <cellStyle name="Normal 3 2 7 4" xfId="4106" xr:uid="{00000000-0005-0000-0000-0000F13B0000}"/>
    <cellStyle name="Normal 3 2 7 4 2" xfId="4107" xr:uid="{00000000-0005-0000-0000-0000F23B0000}"/>
    <cellStyle name="Normal 3 2 7 4 2 2" xfId="4108" xr:uid="{00000000-0005-0000-0000-0000F33B0000}"/>
    <cellStyle name="Normal 3 2 7 4 2 2 2" xfId="4109" xr:uid="{00000000-0005-0000-0000-0000F43B0000}"/>
    <cellStyle name="Normal 3 2 7 4 2 2 2 2" xfId="4110" xr:uid="{00000000-0005-0000-0000-0000F53B0000}"/>
    <cellStyle name="Normal 3 2 7 4 2 2 2 2 2" xfId="29386" xr:uid="{00000000-0005-0000-0000-0000F63B0000}"/>
    <cellStyle name="Normal 3 2 7 4 2 2 2 2 2 2" xfId="61257" xr:uid="{00000000-0005-0000-0000-0000F73B0000}"/>
    <cellStyle name="Normal 3 2 7 4 2 2 2 2 3" xfId="35989" xr:uid="{00000000-0005-0000-0000-0000F83B0000}"/>
    <cellStyle name="Normal 3 2 7 4 2 2 2 3" xfId="21508" xr:uid="{00000000-0005-0000-0000-0000F93B0000}"/>
    <cellStyle name="Normal 3 2 7 4 2 2 2 3 2" xfId="53379" xr:uid="{00000000-0005-0000-0000-0000FA3B0000}"/>
    <cellStyle name="Normal 3 2 7 4 2 2 2 4" xfId="35988" xr:uid="{00000000-0005-0000-0000-0000FB3B0000}"/>
    <cellStyle name="Normal 3 2 7 4 2 2 3" xfId="4111" xr:uid="{00000000-0005-0000-0000-0000FC3B0000}"/>
    <cellStyle name="Normal 3 2 7 4 2 2 3 2" xfId="25447" xr:uid="{00000000-0005-0000-0000-0000FD3B0000}"/>
    <cellStyle name="Normal 3 2 7 4 2 2 3 2 2" xfId="57318" xr:uid="{00000000-0005-0000-0000-0000FE3B0000}"/>
    <cellStyle name="Normal 3 2 7 4 2 2 3 3" xfId="35990" xr:uid="{00000000-0005-0000-0000-0000FF3B0000}"/>
    <cellStyle name="Normal 3 2 7 4 2 2 4" xfId="17569" xr:uid="{00000000-0005-0000-0000-0000003C0000}"/>
    <cellStyle name="Normal 3 2 7 4 2 2 4 2" xfId="49440" xr:uid="{00000000-0005-0000-0000-0000013C0000}"/>
    <cellStyle name="Normal 3 2 7 4 2 2 5" xfId="35987" xr:uid="{00000000-0005-0000-0000-0000023C0000}"/>
    <cellStyle name="Normal 3 2 7 4 2 3" xfId="4112" xr:uid="{00000000-0005-0000-0000-0000033C0000}"/>
    <cellStyle name="Normal 3 2 7 4 2 3 2" xfId="4113" xr:uid="{00000000-0005-0000-0000-0000043C0000}"/>
    <cellStyle name="Normal 3 2 7 4 2 3 2 2" xfId="29385" xr:uid="{00000000-0005-0000-0000-0000053C0000}"/>
    <cellStyle name="Normal 3 2 7 4 2 3 2 2 2" xfId="61256" xr:uid="{00000000-0005-0000-0000-0000063C0000}"/>
    <cellStyle name="Normal 3 2 7 4 2 3 2 3" xfId="35992" xr:uid="{00000000-0005-0000-0000-0000073C0000}"/>
    <cellStyle name="Normal 3 2 7 4 2 3 3" xfId="21507" xr:uid="{00000000-0005-0000-0000-0000083C0000}"/>
    <cellStyle name="Normal 3 2 7 4 2 3 3 2" xfId="53378" xr:uid="{00000000-0005-0000-0000-0000093C0000}"/>
    <cellStyle name="Normal 3 2 7 4 2 3 4" xfId="35991" xr:uid="{00000000-0005-0000-0000-00000A3C0000}"/>
    <cellStyle name="Normal 3 2 7 4 2 4" xfId="4114" xr:uid="{00000000-0005-0000-0000-00000B3C0000}"/>
    <cellStyle name="Normal 3 2 7 4 2 4 2" xfId="25446" xr:uid="{00000000-0005-0000-0000-00000C3C0000}"/>
    <cellStyle name="Normal 3 2 7 4 2 4 2 2" xfId="57317" xr:uid="{00000000-0005-0000-0000-00000D3C0000}"/>
    <cellStyle name="Normal 3 2 7 4 2 4 3" xfId="35993" xr:uid="{00000000-0005-0000-0000-00000E3C0000}"/>
    <cellStyle name="Normal 3 2 7 4 2 5" xfId="17568" xr:uid="{00000000-0005-0000-0000-00000F3C0000}"/>
    <cellStyle name="Normal 3 2 7 4 2 5 2" xfId="49439" xr:uid="{00000000-0005-0000-0000-0000103C0000}"/>
    <cellStyle name="Normal 3 2 7 4 2 6" xfId="35986" xr:uid="{00000000-0005-0000-0000-0000113C0000}"/>
    <cellStyle name="Normal 3 2 7 4 3" xfId="4115" xr:uid="{00000000-0005-0000-0000-0000123C0000}"/>
    <cellStyle name="Normal 3 2 7 4 3 2" xfId="4116" xr:uid="{00000000-0005-0000-0000-0000133C0000}"/>
    <cellStyle name="Normal 3 2 7 4 3 2 2" xfId="4117" xr:uid="{00000000-0005-0000-0000-0000143C0000}"/>
    <cellStyle name="Normal 3 2 7 4 3 2 2 2" xfId="29387" xr:uid="{00000000-0005-0000-0000-0000153C0000}"/>
    <cellStyle name="Normal 3 2 7 4 3 2 2 2 2" xfId="61258" xr:uid="{00000000-0005-0000-0000-0000163C0000}"/>
    <cellStyle name="Normal 3 2 7 4 3 2 2 3" xfId="35996" xr:uid="{00000000-0005-0000-0000-0000173C0000}"/>
    <cellStyle name="Normal 3 2 7 4 3 2 3" xfId="21509" xr:uid="{00000000-0005-0000-0000-0000183C0000}"/>
    <cellStyle name="Normal 3 2 7 4 3 2 3 2" xfId="53380" xr:uid="{00000000-0005-0000-0000-0000193C0000}"/>
    <cellStyle name="Normal 3 2 7 4 3 2 4" xfId="35995" xr:uid="{00000000-0005-0000-0000-00001A3C0000}"/>
    <cellStyle name="Normal 3 2 7 4 3 3" xfId="4118" xr:uid="{00000000-0005-0000-0000-00001B3C0000}"/>
    <cellStyle name="Normal 3 2 7 4 3 3 2" xfId="25448" xr:uid="{00000000-0005-0000-0000-00001C3C0000}"/>
    <cellStyle name="Normal 3 2 7 4 3 3 2 2" xfId="57319" xr:uid="{00000000-0005-0000-0000-00001D3C0000}"/>
    <cellStyle name="Normal 3 2 7 4 3 3 3" xfId="35997" xr:uid="{00000000-0005-0000-0000-00001E3C0000}"/>
    <cellStyle name="Normal 3 2 7 4 3 4" xfId="17570" xr:uid="{00000000-0005-0000-0000-00001F3C0000}"/>
    <cellStyle name="Normal 3 2 7 4 3 4 2" xfId="49441" xr:uid="{00000000-0005-0000-0000-0000203C0000}"/>
    <cellStyle name="Normal 3 2 7 4 3 5" xfId="35994" xr:uid="{00000000-0005-0000-0000-0000213C0000}"/>
    <cellStyle name="Normal 3 2 7 4 4" xfId="4119" xr:uid="{00000000-0005-0000-0000-0000223C0000}"/>
    <cellStyle name="Normal 3 2 7 4 4 2" xfId="4120" xr:uid="{00000000-0005-0000-0000-0000233C0000}"/>
    <cellStyle name="Normal 3 2 7 4 4 2 2" xfId="29384" xr:uid="{00000000-0005-0000-0000-0000243C0000}"/>
    <cellStyle name="Normal 3 2 7 4 4 2 2 2" xfId="61255" xr:uid="{00000000-0005-0000-0000-0000253C0000}"/>
    <cellStyle name="Normal 3 2 7 4 4 2 3" xfId="35999" xr:uid="{00000000-0005-0000-0000-0000263C0000}"/>
    <cellStyle name="Normal 3 2 7 4 4 3" xfId="21506" xr:uid="{00000000-0005-0000-0000-0000273C0000}"/>
    <cellStyle name="Normal 3 2 7 4 4 3 2" xfId="53377" xr:uid="{00000000-0005-0000-0000-0000283C0000}"/>
    <cellStyle name="Normal 3 2 7 4 4 4" xfId="35998" xr:uid="{00000000-0005-0000-0000-0000293C0000}"/>
    <cellStyle name="Normal 3 2 7 4 5" xfId="4121" xr:uid="{00000000-0005-0000-0000-00002A3C0000}"/>
    <cellStyle name="Normal 3 2 7 4 5 2" xfId="25445" xr:uid="{00000000-0005-0000-0000-00002B3C0000}"/>
    <cellStyle name="Normal 3 2 7 4 5 2 2" xfId="57316" xr:uid="{00000000-0005-0000-0000-00002C3C0000}"/>
    <cellStyle name="Normal 3 2 7 4 5 3" xfId="36000" xr:uid="{00000000-0005-0000-0000-00002D3C0000}"/>
    <cellStyle name="Normal 3 2 7 4 6" xfId="17567" xr:uid="{00000000-0005-0000-0000-00002E3C0000}"/>
    <cellStyle name="Normal 3 2 7 4 6 2" xfId="49438" xr:uid="{00000000-0005-0000-0000-00002F3C0000}"/>
    <cellStyle name="Normal 3 2 7 4 7" xfId="35985" xr:uid="{00000000-0005-0000-0000-0000303C0000}"/>
    <cellStyle name="Normal 3 2 7 5" xfId="4122" xr:uid="{00000000-0005-0000-0000-0000313C0000}"/>
    <cellStyle name="Normal 3 2 7 5 2" xfId="4123" xr:uid="{00000000-0005-0000-0000-0000323C0000}"/>
    <cellStyle name="Normal 3 2 7 5 2 2" xfId="4124" xr:uid="{00000000-0005-0000-0000-0000333C0000}"/>
    <cellStyle name="Normal 3 2 7 5 2 2 2" xfId="4125" xr:uid="{00000000-0005-0000-0000-0000343C0000}"/>
    <cellStyle name="Normal 3 2 7 5 2 2 2 2" xfId="29389" xr:uid="{00000000-0005-0000-0000-0000353C0000}"/>
    <cellStyle name="Normal 3 2 7 5 2 2 2 2 2" xfId="61260" xr:uid="{00000000-0005-0000-0000-0000363C0000}"/>
    <cellStyle name="Normal 3 2 7 5 2 2 2 3" xfId="36004" xr:uid="{00000000-0005-0000-0000-0000373C0000}"/>
    <cellStyle name="Normal 3 2 7 5 2 2 3" xfId="21511" xr:uid="{00000000-0005-0000-0000-0000383C0000}"/>
    <cellStyle name="Normal 3 2 7 5 2 2 3 2" xfId="53382" xr:uid="{00000000-0005-0000-0000-0000393C0000}"/>
    <cellStyle name="Normal 3 2 7 5 2 2 4" xfId="36003" xr:uid="{00000000-0005-0000-0000-00003A3C0000}"/>
    <cellStyle name="Normal 3 2 7 5 2 3" xfId="4126" xr:uid="{00000000-0005-0000-0000-00003B3C0000}"/>
    <cellStyle name="Normal 3 2 7 5 2 3 2" xfId="25450" xr:uid="{00000000-0005-0000-0000-00003C3C0000}"/>
    <cellStyle name="Normal 3 2 7 5 2 3 2 2" xfId="57321" xr:uid="{00000000-0005-0000-0000-00003D3C0000}"/>
    <cellStyle name="Normal 3 2 7 5 2 3 3" xfId="36005" xr:uid="{00000000-0005-0000-0000-00003E3C0000}"/>
    <cellStyle name="Normal 3 2 7 5 2 4" xfId="17572" xr:uid="{00000000-0005-0000-0000-00003F3C0000}"/>
    <cellStyle name="Normal 3 2 7 5 2 4 2" xfId="49443" xr:uid="{00000000-0005-0000-0000-0000403C0000}"/>
    <cellStyle name="Normal 3 2 7 5 2 5" xfId="36002" xr:uid="{00000000-0005-0000-0000-0000413C0000}"/>
    <cellStyle name="Normal 3 2 7 5 3" xfId="4127" xr:uid="{00000000-0005-0000-0000-0000423C0000}"/>
    <cellStyle name="Normal 3 2 7 5 3 2" xfId="4128" xr:uid="{00000000-0005-0000-0000-0000433C0000}"/>
    <cellStyle name="Normal 3 2 7 5 3 2 2" xfId="29388" xr:uid="{00000000-0005-0000-0000-0000443C0000}"/>
    <cellStyle name="Normal 3 2 7 5 3 2 2 2" xfId="61259" xr:uid="{00000000-0005-0000-0000-0000453C0000}"/>
    <cellStyle name="Normal 3 2 7 5 3 2 3" xfId="36007" xr:uid="{00000000-0005-0000-0000-0000463C0000}"/>
    <cellStyle name="Normal 3 2 7 5 3 3" xfId="21510" xr:uid="{00000000-0005-0000-0000-0000473C0000}"/>
    <cellStyle name="Normal 3 2 7 5 3 3 2" xfId="53381" xr:uid="{00000000-0005-0000-0000-0000483C0000}"/>
    <cellStyle name="Normal 3 2 7 5 3 4" xfId="36006" xr:uid="{00000000-0005-0000-0000-0000493C0000}"/>
    <cellStyle name="Normal 3 2 7 5 4" xfId="4129" xr:uid="{00000000-0005-0000-0000-00004A3C0000}"/>
    <cellStyle name="Normal 3 2 7 5 4 2" xfId="25449" xr:uid="{00000000-0005-0000-0000-00004B3C0000}"/>
    <cellStyle name="Normal 3 2 7 5 4 2 2" xfId="57320" xr:uid="{00000000-0005-0000-0000-00004C3C0000}"/>
    <cellStyle name="Normal 3 2 7 5 4 3" xfId="36008" xr:uid="{00000000-0005-0000-0000-00004D3C0000}"/>
    <cellStyle name="Normal 3 2 7 5 5" xfId="17571" xr:uid="{00000000-0005-0000-0000-00004E3C0000}"/>
    <cellStyle name="Normal 3 2 7 5 5 2" xfId="49442" xr:uid="{00000000-0005-0000-0000-00004F3C0000}"/>
    <cellStyle name="Normal 3 2 7 5 6" xfId="36001" xr:uid="{00000000-0005-0000-0000-0000503C0000}"/>
    <cellStyle name="Normal 3 2 7 6" xfId="4130" xr:uid="{00000000-0005-0000-0000-0000513C0000}"/>
    <cellStyle name="Normal 3 2 7 6 2" xfId="4131" xr:uid="{00000000-0005-0000-0000-0000523C0000}"/>
    <cellStyle name="Normal 3 2 7 6 2 2" xfId="4132" xr:uid="{00000000-0005-0000-0000-0000533C0000}"/>
    <cellStyle name="Normal 3 2 7 6 2 2 2" xfId="29390" xr:uid="{00000000-0005-0000-0000-0000543C0000}"/>
    <cellStyle name="Normal 3 2 7 6 2 2 2 2" xfId="61261" xr:uid="{00000000-0005-0000-0000-0000553C0000}"/>
    <cellStyle name="Normal 3 2 7 6 2 2 3" xfId="36011" xr:uid="{00000000-0005-0000-0000-0000563C0000}"/>
    <cellStyle name="Normal 3 2 7 6 2 3" xfId="21512" xr:uid="{00000000-0005-0000-0000-0000573C0000}"/>
    <cellStyle name="Normal 3 2 7 6 2 3 2" xfId="53383" xr:uid="{00000000-0005-0000-0000-0000583C0000}"/>
    <cellStyle name="Normal 3 2 7 6 2 4" xfId="36010" xr:uid="{00000000-0005-0000-0000-0000593C0000}"/>
    <cellStyle name="Normal 3 2 7 6 3" xfId="4133" xr:uid="{00000000-0005-0000-0000-00005A3C0000}"/>
    <cellStyle name="Normal 3 2 7 6 3 2" xfId="25451" xr:uid="{00000000-0005-0000-0000-00005B3C0000}"/>
    <cellStyle name="Normal 3 2 7 6 3 2 2" xfId="57322" xr:uid="{00000000-0005-0000-0000-00005C3C0000}"/>
    <cellStyle name="Normal 3 2 7 6 3 3" xfId="36012" xr:uid="{00000000-0005-0000-0000-00005D3C0000}"/>
    <cellStyle name="Normal 3 2 7 6 4" xfId="17573" xr:uid="{00000000-0005-0000-0000-00005E3C0000}"/>
    <cellStyle name="Normal 3 2 7 6 4 2" xfId="49444" xr:uid="{00000000-0005-0000-0000-00005F3C0000}"/>
    <cellStyle name="Normal 3 2 7 6 5" xfId="36009" xr:uid="{00000000-0005-0000-0000-0000603C0000}"/>
    <cellStyle name="Normal 3 2 7 7" xfId="4134" xr:uid="{00000000-0005-0000-0000-0000613C0000}"/>
    <cellStyle name="Normal 3 2 7 7 2" xfId="4135" xr:uid="{00000000-0005-0000-0000-0000623C0000}"/>
    <cellStyle name="Normal 3 2 7 7 2 2" xfId="28341" xr:uid="{00000000-0005-0000-0000-0000633C0000}"/>
    <cellStyle name="Normal 3 2 7 7 2 2 2" xfId="60212" xr:uid="{00000000-0005-0000-0000-0000643C0000}"/>
    <cellStyle name="Normal 3 2 7 7 2 3" xfId="36014" xr:uid="{00000000-0005-0000-0000-0000653C0000}"/>
    <cellStyle name="Normal 3 2 7 7 3" xfId="20463" xr:uid="{00000000-0005-0000-0000-0000663C0000}"/>
    <cellStyle name="Normal 3 2 7 7 3 2" xfId="52334" xr:uid="{00000000-0005-0000-0000-0000673C0000}"/>
    <cellStyle name="Normal 3 2 7 7 4" xfId="36013" xr:uid="{00000000-0005-0000-0000-0000683C0000}"/>
    <cellStyle name="Normal 3 2 7 8" xfId="4136" xr:uid="{00000000-0005-0000-0000-0000693C0000}"/>
    <cellStyle name="Normal 3 2 7 8 2" xfId="24402" xr:uid="{00000000-0005-0000-0000-00006A3C0000}"/>
    <cellStyle name="Normal 3 2 7 8 2 2" xfId="56273" xr:uid="{00000000-0005-0000-0000-00006B3C0000}"/>
    <cellStyle name="Normal 3 2 7 8 3" xfId="36015" xr:uid="{00000000-0005-0000-0000-00006C3C0000}"/>
    <cellStyle name="Normal 3 2 7 9" xfId="16524" xr:uid="{00000000-0005-0000-0000-00006D3C0000}"/>
    <cellStyle name="Normal 3 2 7 9 2" xfId="48395" xr:uid="{00000000-0005-0000-0000-00006E3C0000}"/>
    <cellStyle name="Normal 3 2 8" xfId="4137" xr:uid="{00000000-0005-0000-0000-00006F3C0000}"/>
    <cellStyle name="Normal 3 2 8 2" xfId="4138" xr:uid="{00000000-0005-0000-0000-0000703C0000}"/>
    <cellStyle name="Normal 3 2 8 2 2" xfId="4139" xr:uid="{00000000-0005-0000-0000-0000713C0000}"/>
    <cellStyle name="Normal 3 2 8 2 2 2" xfId="4140" xr:uid="{00000000-0005-0000-0000-0000723C0000}"/>
    <cellStyle name="Normal 3 2 8 2 2 2 2" xfId="4141" xr:uid="{00000000-0005-0000-0000-0000733C0000}"/>
    <cellStyle name="Normal 3 2 8 2 2 2 2 2" xfId="4142" xr:uid="{00000000-0005-0000-0000-0000743C0000}"/>
    <cellStyle name="Normal 3 2 8 2 2 2 2 2 2" xfId="4143" xr:uid="{00000000-0005-0000-0000-0000753C0000}"/>
    <cellStyle name="Normal 3 2 8 2 2 2 2 2 2 2" xfId="29394" xr:uid="{00000000-0005-0000-0000-0000763C0000}"/>
    <cellStyle name="Normal 3 2 8 2 2 2 2 2 2 2 2" xfId="61265" xr:uid="{00000000-0005-0000-0000-0000773C0000}"/>
    <cellStyle name="Normal 3 2 8 2 2 2 2 2 2 3" xfId="36022" xr:uid="{00000000-0005-0000-0000-0000783C0000}"/>
    <cellStyle name="Normal 3 2 8 2 2 2 2 2 3" xfId="21516" xr:uid="{00000000-0005-0000-0000-0000793C0000}"/>
    <cellStyle name="Normal 3 2 8 2 2 2 2 2 3 2" xfId="53387" xr:uid="{00000000-0005-0000-0000-00007A3C0000}"/>
    <cellStyle name="Normal 3 2 8 2 2 2 2 2 4" xfId="36021" xr:uid="{00000000-0005-0000-0000-00007B3C0000}"/>
    <cellStyle name="Normal 3 2 8 2 2 2 2 3" xfId="4144" xr:uid="{00000000-0005-0000-0000-00007C3C0000}"/>
    <cellStyle name="Normal 3 2 8 2 2 2 2 3 2" xfId="25455" xr:uid="{00000000-0005-0000-0000-00007D3C0000}"/>
    <cellStyle name="Normal 3 2 8 2 2 2 2 3 2 2" xfId="57326" xr:uid="{00000000-0005-0000-0000-00007E3C0000}"/>
    <cellStyle name="Normal 3 2 8 2 2 2 2 3 3" xfId="36023" xr:uid="{00000000-0005-0000-0000-00007F3C0000}"/>
    <cellStyle name="Normal 3 2 8 2 2 2 2 4" xfId="17577" xr:uid="{00000000-0005-0000-0000-0000803C0000}"/>
    <cellStyle name="Normal 3 2 8 2 2 2 2 4 2" xfId="49448" xr:uid="{00000000-0005-0000-0000-0000813C0000}"/>
    <cellStyle name="Normal 3 2 8 2 2 2 2 5" xfId="36020" xr:uid="{00000000-0005-0000-0000-0000823C0000}"/>
    <cellStyle name="Normal 3 2 8 2 2 2 3" xfId="4145" xr:uid="{00000000-0005-0000-0000-0000833C0000}"/>
    <cellStyle name="Normal 3 2 8 2 2 2 3 2" xfId="4146" xr:uid="{00000000-0005-0000-0000-0000843C0000}"/>
    <cellStyle name="Normal 3 2 8 2 2 2 3 2 2" xfId="29393" xr:uid="{00000000-0005-0000-0000-0000853C0000}"/>
    <cellStyle name="Normal 3 2 8 2 2 2 3 2 2 2" xfId="61264" xr:uid="{00000000-0005-0000-0000-0000863C0000}"/>
    <cellStyle name="Normal 3 2 8 2 2 2 3 2 3" xfId="36025" xr:uid="{00000000-0005-0000-0000-0000873C0000}"/>
    <cellStyle name="Normal 3 2 8 2 2 2 3 3" xfId="21515" xr:uid="{00000000-0005-0000-0000-0000883C0000}"/>
    <cellStyle name="Normal 3 2 8 2 2 2 3 3 2" xfId="53386" xr:uid="{00000000-0005-0000-0000-0000893C0000}"/>
    <cellStyle name="Normal 3 2 8 2 2 2 3 4" xfId="36024" xr:uid="{00000000-0005-0000-0000-00008A3C0000}"/>
    <cellStyle name="Normal 3 2 8 2 2 2 4" xfId="4147" xr:uid="{00000000-0005-0000-0000-00008B3C0000}"/>
    <cellStyle name="Normal 3 2 8 2 2 2 4 2" xfId="25454" xr:uid="{00000000-0005-0000-0000-00008C3C0000}"/>
    <cellStyle name="Normal 3 2 8 2 2 2 4 2 2" xfId="57325" xr:uid="{00000000-0005-0000-0000-00008D3C0000}"/>
    <cellStyle name="Normal 3 2 8 2 2 2 4 3" xfId="36026" xr:uid="{00000000-0005-0000-0000-00008E3C0000}"/>
    <cellStyle name="Normal 3 2 8 2 2 2 5" xfId="17576" xr:uid="{00000000-0005-0000-0000-00008F3C0000}"/>
    <cellStyle name="Normal 3 2 8 2 2 2 5 2" xfId="49447" xr:uid="{00000000-0005-0000-0000-0000903C0000}"/>
    <cellStyle name="Normal 3 2 8 2 2 2 6" xfId="36019" xr:uid="{00000000-0005-0000-0000-0000913C0000}"/>
    <cellStyle name="Normal 3 2 8 2 2 3" xfId="4148" xr:uid="{00000000-0005-0000-0000-0000923C0000}"/>
    <cellStyle name="Normal 3 2 8 2 2 3 2" xfId="4149" xr:uid="{00000000-0005-0000-0000-0000933C0000}"/>
    <cellStyle name="Normal 3 2 8 2 2 3 2 2" xfId="4150" xr:uid="{00000000-0005-0000-0000-0000943C0000}"/>
    <cellStyle name="Normal 3 2 8 2 2 3 2 2 2" xfId="29395" xr:uid="{00000000-0005-0000-0000-0000953C0000}"/>
    <cellStyle name="Normal 3 2 8 2 2 3 2 2 2 2" xfId="61266" xr:uid="{00000000-0005-0000-0000-0000963C0000}"/>
    <cellStyle name="Normal 3 2 8 2 2 3 2 2 3" xfId="36029" xr:uid="{00000000-0005-0000-0000-0000973C0000}"/>
    <cellStyle name="Normal 3 2 8 2 2 3 2 3" xfId="21517" xr:uid="{00000000-0005-0000-0000-0000983C0000}"/>
    <cellStyle name="Normal 3 2 8 2 2 3 2 3 2" xfId="53388" xr:uid="{00000000-0005-0000-0000-0000993C0000}"/>
    <cellStyle name="Normal 3 2 8 2 2 3 2 4" xfId="36028" xr:uid="{00000000-0005-0000-0000-00009A3C0000}"/>
    <cellStyle name="Normal 3 2 8 2 2 3 3" xfId="4151" xr:uid="{00000000-0005-0000-0000-00009B3C0000}"/>
    <cellStyle name="Normal 3 2 8 2 2 3 3 2" xfId="25456" xr:uid="{00000000-0005-0000-0000-00009C3C0000}"/>
    <cellStyle name="Normal 3 2 8 2 2 3 3 2 2" xfId="57327" xr:uid="{00000000-0005-0000-0000-00009D3C0000}"/>
    <cellStyle name="Normal 3 2 8 2 2 3 3 3" xfId="36030" xr:uid="{00000000-0005-0000-0000-00009E3C0000}"/>
    <cellStyle name="Normal 3 2 8 2 2 3 4" xfId="17578" xr:uid="{00000000-0005-0000-0000-00009F3C0000}"/>
    <cellStyle name="Normal 3 2 8 2 2 3 4 2" xfId="49449" xr:uid="{00000000-0005-0000-0000-0000A03C0000}"/>
    <cellStyle name="Normal 3 2 8 2 2 3 5" xfId="36027" xr:uid="{00000000-0005-0000-0000-0000A13C0000}"/>
    <cellStyle name="Normal 3 2 8 2 2 4" xfId="4152" xr:uid="{00000000-0005-0000-0000-0000A23C0000}"/>
    <cellStyle name="Normal 3 2 8 2 2 4 2" xfId="4153" xr:uid="{00000000-0005-0000-0000-0000A33C0000}"/>
    <cellStyle name="Normal 3 2 8 2 2 4 2 2" xfId="29392" xr:uid="{00000000-0005-0000-0000-0000A43C0000}"/>
    <cellStyle name="Normal 3 2 8 2 2 4 2 2 2" xfId="61263" xr:uid="{00000000-0005-0000-0000-0000A53C0000}"/>
    <cellStyle name="Normal 3 2 8 2 2 4 2 3" xfId="36032" xr:uid="{00000000-0005-0000-0000-0000A63C0000}"/>
    <cellStyle name="Normal 3 2 8 2 2 4 3" xfId="21514" xr:uid="{00000000-0005-0000-0000-0000A73C0000}"/>
    <cellStyle name="Normal 3 2 8 2 2 4 3 2" xfId="53385" xr:uid="{00000000-0005-0000-0000-0000A83C0000}"/>
    <cellStyle name="Normal 3 2 8 2 2 4 4" xfId="36031" xr:uid="{00000000-0005-0000-0000-0000A93C0000}"/>
    <cellStyle name="Normal 3 2 8 2 2 5" xfId="4154" xr:uid="{00000000-0005-0000-0000-0000AA3C0000}"/>
    <cellStyle name="Normal 3 2 8 2 2 5 2" xfId="25453" xr:uid="{00000000-0005-0000-0000-0000AB3C0000}"/>
    <cellStyle name="Normal 3 2 8 2 2 5 2 2" xfId="57324" xr:uid="{00000000-0005-0000-0000-0000AC3C0000}"/>
    <cellStyle name="Normal 3 2 8 2 2 5 3" xfId="36033" xr:uid="{00000000-0005-0000-0000-0000AD3C0000}"/>
    <cellStyle name="Normal 3 2 8 2 2 6" xfId="17575" xr:uid="{00000000-0005-0000-0000-0000AE3C0000}"/>
    <cellStyle name="Normal 3 2 8 2 2 6 2" xfId="49446" xr:uid="{00000000-0005-0000-0000-0000AF3C0000}"/>
    <cellStyle name="Normal 3 2 8 2 2 7" xfId="36018" xr:uid="{00000000-0005-0000-0000-0000B03C0000}"/>
    <cellStyle name="Normal 3 2 8 2 3" xfId="4155" xr:uid="{00000000-0005-0000-0000-0000B13C0000}"/>
    <cellStyle name="Normal 3 2 8 2 3 2" xfId="4156" xr:uid="{00000000-0005-0000-0000-0000B23C0000}"/>
    <cellStyle name="Normal 3 2 8 2 3 2 2" xfId="4157" xr:uid="{00000000-0005-0000-0000-0000B33C0000}"/>
    <cellStyle name="Normal 3 2 8 2 3 2 2 2" xfId="4158" xr:uid="{00000000-0005-0000-0000-0000B43C0000}"/>
    <cellStyle name="Normal 3 2 8 2 3 2 2 2 2" xfId="29397" xr:uid="{00000000-0005-0000-0000-0000B53C0000}"/>
    <cellStyle name="Normal 3 2 8 2 3 2 2 2 2 2" xfId="61268" xr:uid="{00000000-0005-0000-0000-0000B63C0000}"/>
    <cellStyle name="Normal 3 2 8 2 3 2 2 2 3" xfId="36037" xr:uid="{00000000-0005-0000-0000-0000B73C0000}"/>
    <cellStyle name="Normal 3 2 8 2 3 2 2 3" xfId="21519" xr:uid="{00000000-0005-0000-0000-0000B83C0000}"/>
    <cellStyle name="Normal 3 2 8 2 3 2 2 3 2" xfId="53390" xr:uid="{00000000-0005-0000-0000-0000B93C0000}"/>
    <cellStyle name="Normal 3 2 8 2 3 2 2 4" xfId="36036" xr:uid="{00000000-0005-0000-0000-0000BA3C0000}"/>
    <cellStyle name="Normal 3 2 8 2 3 2 3" xfId="4159" xr:uid="{00000000-0005-0000-0000-0000BB3C0000}"/>
    <cellStyle name="Normal 3 2 8 2 3 2 3 2" xfId="25458" xr:uid="{00000000-0005-0000-0000-0000BC3C0000}"/>
    <cellStyle name="Normal 3 2 8 2 3 2 3 2 2" xfId="57329" xr:uid="{00000000-0005-0000-0000-0000BD3C0000}"/>
    <cellStyle name="Normal 3 2 8 2 3 2 3 3" xfId="36038" xr:uid="{00000000-0005-0000-0000-0000BE3C0000}"/>
    <cellStyle name="Normal 3 2 8 2 3 2 4" xfId="17580" xr:uid="{00000000-0005-0000-0000-0000BF3C0000}"/>
    <cellStyle name="Normal 3 2 8 2 3 2 4 2" xfId="49451" xr:uid="{00000000-0005-0000-0000-0000C03C0000}"/>
    <cellStyle name="Normal 3 2 8 2 3 2 5" xfId="36035" xr:uid="{00000000-0005-0000-0000-0000C13C0000}"/>
    <cellStyle name="Normal 3 2 8 2 3 3" xfId="4160" xr:uid="{00000000-0005-0000-0000-0000C23C0000}"/>
    <cellStyle name="Normal 3 2 8 2 3 3 2" xfId="4161" xr:uid="{00000000-0005-0000-0000-0000C33C0000}"/>
    <cellStyle name="Normal 3 2 8 2 3 3 2 2" xfId="29396" xr:uid="{00000000-0005-0000-0000-0000C43C0000}"/>
    <cellStyle name="Normal 3 2 8 2 3 3 2 2 2" xfId="61267" xr:uid="{00000000-0005-0000-0000-0000C53C0000}"/>
    <cellStyle name="Normal 3 2 8 2 3 3 2 3" xfId="36040" xr:uid="{00000000-0005-0000-0000-0000C63C0000}"/>
    <cellStyle name="Normal 3 2 8 2 3 3 3" xfId="21518" xr:uid="{00000000-0005-0000-0000-0000C73C0000}"/>
    <cellStyle name="Normal 3 2 8 2 3 3 3 2" xfId="53389" xr:uid="{00000000-0005-0000-0000-0000C83C0000}"/>
    <cellStyle name="Normal 3 2 8 2 3 3 4" xfId="36039" xr:uid="{00000000-0005-0000-0000-0000C93C0000}"/>
    <cellStyle name="Normal 3 2 8 2 3 4" xfId="4162" xr:uid="{00000000-0005-0000-0000-0000CA3C0000}"/>
    <cellStyle name="Normal 3 2 8 2 3 4 2" xfId="25457" xr:uid="{00000000-0005-0000-0000-0000CB3C0000}"/>
    <cellStyle name="Normal 3 2 8 2 3 4 2 2" xfId="57328" xr:uid="{00000000-0005-0000-0000-0000CC3C0000}"/>
    <cellStyle name="Normal 3 2 8 2 3 4 3" xfId="36041" xr:uid="{00000000-0005-0000-0000-0000CD3C0000}"/>
    <cellStyle name="Normal 3 2 8 2 3 5" xfId="17579" xr:uid="{00000000-0005-0000-0000-0000CE3C0000}"/>
    <cellStyle name="Normal 3 2 8 2 3 5 2" xfId="49450" xr:uid="{00000000-0005-0000-0000-0000CF3C0000}"/>
    <cellStyle name="Normal 3 2 8 2 3 6" xfId="36034" xr:uid="{00000000-0005-0000-0000-0000D03C0000}"/>
    <cellStyle name="Normal 3 2 8 2 4" xfId="4163" xr:uid="{00000000-0005-0000-0000-0000D13C0000}"/>
    <cellStyle name="Normal 3 2 8 2 4 2" xfId="4164" xr:uid="{00000000-0005-0000-0000-0000D23C0000}"/>
    <cellStyle name="Normal 3 2 8 2 4 2 2" xfId="4165" xr:uid="{00000000-0005-0000-0000-0000D33C0000}"/>
    <cellStyle name="Normal 3 2 8 2 4 2 2 2" xfId="29398" xr:uid="{00000000-0005-0000-0000-0000D43C0000}"/>
    <cellStyle name="Normal 3 2 8 2 4 2 2 2 2" xfId="61269" xr:uid="{00000000-0005-0000-0000-0000D53C0000}"/>
    <cellStyle name="Normal 3 2 8 2 4 2 2 3" xfId="36044" xr:uid="{00000000-0005-0000-0000-0000D63C0000}"/>
    <cellStyle name="Normal 3 2 8 2 4 2 3" xfId="21520" xr:uid="{00000000-0005-0000-0000-0000D73C0000}"/>
    <cellStyle name="Normal 3 2 8 2 4 2 3 2" xfId="53391" xr:uid="{00000000-0005-0000-0000-0000D83C0000}"/>
    <cellStyle name="Normal 3 2 8 2 4 2 4" xfId="36043" xr:uid="{00000000-0005-0000-0000-0000D93C0000}"/>
    <cellStyle name="Normal 3 2 8 2 4 3" xfId="4166" xr:uid="{00000000-0005-0000-0000-0000DA3C0000}"/>
    <cellStyle name="Normal 3 2 8 2 4 3 2" xfId="25459" xr:uid="{00000000-0005-0000-0000-0000DB3C0000}"/>
    <cellStyle name="Normal 3 2 8 2 4 3 2 2" xfId="57330" xr:uid="{00000000-0005-0000-0000-0000DC3C0000}"/>
    <cellStyle name="Normal 3 2 8 2 4 3 3" xfId="36045" xr:uid="{00000000-0005-0000-0000-0000DD3C0000}"/>
    <cellStyle name="Normal 3 2 8 2 4 4" xfId="17581" xr:uid="{00000000-0005-0000-0000-0000DE3C0000}"/>
    <cellStyle name="Normal 3 2 8 2 4 4 2" xfId="49452" xr:uid="{00000000-0005-0000-0000-0000DF3C0000}"/>
    <cellStyle name="Normal 3 2 8 2 4 5" xfId="36042" xr:uid="{00000000-0005-0000-0000-0000E03C0000}"/>
    <cellStyle name="Normal 3 2 8 2 5" xfId="4167" xr:uid="{00000000-0005-0000-0000-0000E13C0000}"/>
    <cellStyle name="Normal 3 2 8 2 5 2" xfId="4168" xr:uid="{00000000-0005-0000-0000-0000E23C0000}"/>
    <cellStyle name="Normal 3 2 8 2 5 2 2" xfId="29391" xr:uid="{00000000-0005-0000-0000-0000E33C0000}"/>
    <cellStyle name="Normal 3 2 8 2 5 2 2 2" xfId="61262" xr:uid="{00000000-0005-0000-0000-0000E43C0000}"/>
    <cellStyle name="Normal 3 2 8 2 5 2 3" xfId="36047" xr:uid="{00000000-0005-0000-0000-0000E53C0000}"/>
    <cellStyle name="Normal 3 2 8 2 5 3" xfId="21513" xr:uid="{00000000-0005-0000-0000-0000E63C0000}"/>
    <cellStyle name="Normal 3 2 8 2 5 3 2" xfId="53384" xr:uid="{00000000-0005-0000-0000-0000E73C0000}"/>
    <cellStyle name="Normal 3 2 8 2 5 4" xfId="36046" xr:uid="{00000000-0005-0000-0000-0000E83C0000}"/>
    <cellStyle name="Normal 3 2 8 2 6" xfId="4169" xr:uid="{00000000-0005-0000-0000-0000E93C0000}"/>
    <cellStyle name="Normal 3 2 8 2 6 2" xfId="25452" xr:uid="{00000000-0005-0000-0000-0000EA3C0000}"/>
    <cellStyle name="Normal 3 2 8 2 6 2 2" xfId="57323" xr:uid="{00000000-0005-0000-0000-0000EB3C0000}"/>
    <cellStyle name="Normal 3 2 8 2 6 3" xfId="36048" xr:uid="{00000000-0005-0000-0000-0000EC3C0000}"/>
    <cellStyle name="Normal 3 2 8 2 7" xfId="17574" xr:uid="{00000000-0005-0000-0000-0000ED3C0000}"/>
    <cellStyle name="Normal 3 2 8 2 7 2" xfId="49445" xr:uid="{00000000-0005-0000-0000-0000EE3C0000}"/>
    <cellStyle name="Normal 3 2 8 2 8" xfId="36017" xr:uid="{00000000-0005-0000-0000-0000EF3C0000}"/>
    <cellStyle name="Normal 3 2 8 3" xfId="4170" xr:uid="{00000000-0005-0000-0000-0000F03C0000}"/>
    <cellStyle name="Normal 3 2 8 3 2" xfId="4171" xr:uid="{00000000-0005-0000-0000-0000F13C0000}"/>
    <cellStyle name="Normal 3 2 8 3 2 2" xfId="4172" xr:uid="{00000000-0005-0000-0000-0000F23C0000}"/>
    <cellStyle name="Normal 3 2 8 3 2 2 2" xfId="4173" xr:uid="{00000000-0005-0000-0000-0000F33C0000}"/>
    <cellStyle name="Normal 3 2 8 3 2 2 2 2" xfId="4174" xr:uid="{00000000-0005-0000-0000-0000F43C0000}"/>
    <cellStyle name="Normal 3 2 8 3 2 2 2 2 2" xfId="29401" xr:uid="{00000000-0005-0000-0000-0000F53C0000}"/>
    <cellStyle name="Normal 3 2 8 3 2 2 2 2 2 2" xfId="61272" xr:uid="{00000000-0005-0000-0000-0000F63C0000}"/>
    <cellStyle name="Normal 3 2 8 3 2 2 2 2 3" xfId="36053" xr:uid="{00000000-0005-0000-0000-0000F73C0000}"/>
    <cellStyle name="Normal 3 2 8 3 2 2 2 3" xfId="21523" xr:uid="{00000000-0005-0000-0000-0000F83C0000}"/>
    <cellStyle name="Normal 3 2 8 3 2 2 2 3 2" xfId="53394" xr:uid="{00000000-0005-0000-0000-0000F93C0000}"/>
    <cellStyle name="Normal 3 2 8 3 2 2 2 4" xfId="36052" xr:uid="{00000000-0005-0000-0000-0000FA3C0000}"/>
    <cellStyle name="Normal 3 2 8 3 2 2 3" xfId="4175" xr:uid="{00000000-0005-0000-0000-0000FB3C0000}"/>
    <cellStyle name="Normal 3 2 8 3 2 2 3 2" xfId="25462" xr:uid="{00000000-0005-0000-0000-0000FC3C0000}"/>
    <cellStyle name="Normal 3 2 8 3 2 2 3 2 2" xfId="57333" xr:uid="{00000000-0005-0000-0000-0000FD3C0000}"/>
    <cellStyle name="Normal 3 2 8 3 2 2 3 3" xfId="36054" xr:uid="{00000000-0005-0000-0000-0000FE3C0000}"/>
    <cellStyle name="Normal 3 2 8 3 2 2 4" xfId="17584" xr:uid="{00000000-0005-0000-0000-0000FF3C0000}"/>
    <cellStyle name="Normal 3 2 8 3 2 2 4 2" xfId="49455" xr:uid="{00000000-0005-0000-0000-0000003D0000}"/>
    <cellStyle name="Normal 3 2 8 3 2 2 5" xfId="36051" xr:uid="{00000000-0005-0000-0000-0000013D0000}"/>
    <cellStyle name="Normal 3 2 8 3 2 3" xfId="4176" xr:uid="{00000000-0005-0000-0000-0000023D0000}"/>
    <cellStyle name="Normal 3 2 8 3 2 3 2" xfId="4177" xr:uid="{00000000-0005-0000-0000-0000033D0000}"/>
    <cellStyle name="Normal 3 2 8 3 2 3 2 2" xfId="29400" xr:uid="{00000000-0005-0000-0000-0000043D0000}"/>
    <cellStyle name="Normal 3 2 8 3 2 3 2 2 2" xfId="61271" xr:uid="{00000000-0005-0000-0000-0000053D0000}"/>
    <cellStyle name="Normal 3 2 8 3 2 3 2 3" xfId="36056" xr:uid="{00000000-0005-0000-0000-0000063D0000}"/>
    <cellStyle name="Normal 3 2 8 3 2 3 3" xfId="21522" xr:uid="{00000000-0005-0000-0000-0000073D0000}"/>
    <cellStyle name="Normal 3 2 8 3 2 3 3 2" xfId="53393" xr:uid="{00000000-0005-0000-0000-0000083D0000}"/>
    <cellStyle name="Normal 3 2 8 3 2 3 4" xfId="36055" xr:uid="{00000000-0005-0000-0000-0000093D0000}"/>
    <cellStyle name="Normal 3 2 8 3 2 4" xfId="4178" xr:uid="{00000000-0005-0000-0000-00000A3D0000}"/>
    <cellStyle name="Normal 3 2 8 3 2 4 2" xfId="25461" xr:uid="{00000000-0005-0000-0000-00000B3D0000}"/>
    <cellStyle name="Normal 3 2 8 3 2 4 2 2" xfId="57332" xr:uid="{00000000-0005-0000-0000-00000C3D0000}"/>
    <cellStyle name="Normal 3 2 8 3 2 4 3" xfId="36057" xr:uid="{00000000-0005-0000-0000-00000D3D0000}"/>
    <cellStyle name="Normal 3 2 8 3 2 5" xfId="17583" xr:uid="{00000000-0005-0000-0000-00000E3D0000}"/>
    <cellStyle name="Normal 3 2 8 3 2 5 2" xfId="49454" xr:uid="{00000000-0005-0000-0000-00000F3D0000}"/>
    <cellStyle name="Normal 3 2 8 3 2 6" xfId="36050" xr:uid="{00000000-0005-0000-0000-0000103D0000}"/>
    <cellStyle name="Normal 3 2 8 3 3" xfId="4179" xr:uid="{00000000-0005-0000-0000-0000113D0000}"/>
    <cellStyle name="Normal 3 2 8 3 3 2" xfId="4180" xr:uid="{00000000-0005-0000-0000-0000123D0000}"/>
    <cellStyle name="Normal 3 2 8 3 3 2 2" xfId="4181" xr:uid="{00000000-0005-0000-0000-0000133D0000}"/>
    <cellStyle name="Normal 3 2 8 3 3 2 2 2" xfId="29402" xr:uid="{00000000-0005-0000-0000-0000143D0000}"/>
    <cellStyle name="Normal 3 2 8 3 3 2 2 2 2" xfId="61273" xr:uid="{00000000-0005-0000-0000-0000153D0000}"/>
    <cellStyle name="Normal 3 2 8 3 3 2 2 3" xfId="36060" xr:uid="{00000000-0005-0000-0000-0000163D0000}"/>
    <cellStyle name="Normal 3 2 8 3 3 2 3" xfId="21524" xr:uid="{00000000-0005-0000-0000-0000173D0000}"/>
    <cellStyle name="Normal 3 2 8 3 3 2 3 2" xfId="53395" xr:uid="{00000000-0005-0000-0000-0000183D0000}"/>
    <cellStyle name="Normal 3 2 8 3 3 2 4" xfId="36059" xr:uid="{00000000-0005-0000-0000-0000193D0000}"/>
    <cellStyle name="Normal 3 2 8 3 3 3" xfId="4182" xr:uid="{00000000-0005-0000-0000-00001A3D0000}"/>
    <cellStyle name="Normal 3 2 8 3 3 3 2" xfId="25463" xr:uid="{00000000-0005-0000-0000-00001B3D0000}"/>
    <cellStyle name="Normal 3 2 8 3 3 3 2 2" xfId="57334" xr:uid="{00000000-0005-0000-0000-00001C3D0000}"/>
    <cellStyle name="Normal 3 2 8 3 3 3 3" xfId="36061" xr:uid="{00000000-0005-0000-0000-00001D3D0000}"/>
    <cellStyle name="Normal 3 2 8 3 3 4" xfId="17585" xr:uid="{00000000-0005-0000-0000-00001E3D0000}"/>
    <cellStyle name="Normal 3 2 8 3 3 4 2" xfId="49456" xr:uid="{00000000-0005-0000-0000-00001F3D0000}"/>
    <cellStyle name="Normal 3 2 8 3 3 5" xfId="36058" xr:uid="{00000000-0005-0000-0000-0000203D0000}"/>
    <cellStyle name="Normal 3 2 8 3 4" xfId="4183" xr:uid="{00000000-0005-0000-0000-0000213D0000}"/>
    <cellStyle name="Normal 3 2 8 3 4 2" xfId="4184" xr:uid="{00000000-0005-0000-0000-0000223D0000}"/>
    <cellStyle name="Normal 3 2 8 3 4 2 2" xfId="29399" xr:uid="{00000000-0005-0000-0000-0000233D0000}"/>
    <cellStyle name="Normal 3 2 8 3 4 2 2 2" xfId="61270" xr:uid="{00000000-0005-0000-0000-0000243D0000}"/>
    <cellStyle name="Normal 3 2 8 3 4 2 3" xfId="36063" xr:uid="{00000000-0005-0000-0000-0000253D0000}"/>
    <cellStyle name="Normal 3 2 8 3 4 3" xfId="21521" xr:uid="{00000000-0005-0000-0000-0000263D0000}"/>
    <cellStyle name="Normal 3 2 8 3 4 3 2" xfId="53392" xr:uid="{00000000-0005-0000-0000-0000273D0000}"/>
    <cellStyle name="Normal 3 2 8 3 4 4" xfId="36062" xr:uid="{00000000-0005-0000-0000-0000283D0000}"/>
    <cellStyle name="Normal 3 2 8 3 5" xfId="4185" xr:uid="{00000000-0005-0000-0000-0000293D0000}"/>
    <cellStyle name="Normal 3 2 8 3 5 2" xfId="25460" xr:uid="{00000000-0005-0000-0000-00002A3D0000}"/>
    <cellStyle name="Normal 3 2 8 3 5 2 2" xfId="57331" xr:uid="{00000000-0005-0000-0000-00002B3D0000}"/>
    <cellStyle name="Normal 3 2 8 3 5 3" xfId="36064" xr:uid="{00000000-0005-0000-0000-00002C3D0000}"/>
    <cellStyle name="Normal 3 2 8 3 6" xfId="17582" xr:uid="{00000000-0005-0000-0000-00002D3D0000}"/>
    <cellStyle name="Normal 3 2 8 3 6 2" xfId="49453" xr:uid="{00000000-0005-0000-0000-00002E3D0000}"/>
    <cellStyle name="Normal 3 2 8 3 7" xfId="36049" xr:uid="{00000000-0005-0000-0000-00002F3D0000}"/>
    <cellStyle name="Normal 3 2 8 4" xfId="4186" xr:uid="{00000000-0005-0000-0000-0000303D0000}"/>
    <cellStyle name="Normal 3 2 8 4 2" xfId="4187" xr:uid="{00000000-0005-0000-0000-0000313D0000}"/>
    <cellStyle name="Normal 3 2 8 4 2 2" xfId="4188" xr:uid="{00000000-0005-0000-0000-0000323D0000}"/>
    <cellStyle name="Normal 3 2 8 4 2 2 2" xfId="4189" xr:uid="{00000000-0005-0000-0000-0000333D0000}"/>
    <cellStyle name="Normal 3 2 8 4 2 2 2 2" xfId="29404" xr:uid="{00000000-0005-0000-0000-0000343D0000}"/>
    <cellStyle name="Normal 3 2 8 4 2 2 2 2 2" xfId="61275" xr:uid="{00000000-0005-0000-0000-0000353D0000}"/>
    <cellStyle name="Normal 3 2 8 4 2 2 2 3" xfId="36068" xr:uid="{00000000-0005-0000-0000-0000363D0000}"/>
    <cellStyle name="Normal 3 2 8 4 2 2 3" xfId="21526" xr:uid="{00000000-0005-0000-0000-0000373D0000}"/>
    <cellStyle name="Normal 3 2 8 4 2 2 3 2" xfId="53397" xr:uid="{00000000-0005-0000-0000-0000383D0000}"/>
    <cellStyle name="Normal 3 2 8 4 2 2 4" xfId="36067" xr:uid="{00000000-0005-0000-0000-0000393D0000}"/>
    <cellStyle name="Normal 3 2 8 4 2 3" xfId="4190" xr:uid="{00000000-0005-0000-0000-00003A3D0000}"/>
    <cellStyle name="Normal 3 2 8 4 2 3 2" xfId="25465" xr:uid="{00000000-0005-0000-0000-00003B3D0000}"/>
    <cellStyle name="Normal 3 2 8 4 2 3 2 2" xfId="57336" xr:uid="{00000000-0005-0000-0000-00003C3D0000}"/>
    <cellStyle name="Normal 3 2 8 4 2 3 3" xfId="36069" xr:uid="{00000000-0005-0000-0000-00003D3D0000}"/>
    <cellStyle name="Normal 3 2 8 4 2 4" xfId="17587" xr:uid="{00000000-0005-0000-0000-00003E3D0000}"/>
    <cellStyle name="Normal 3 2 8 4 2 4 2" xfId="49458" xr:uid="{00000000-0005-0000-0000-00003F3D0000}"/>
    <cellStyle name="Normal 3 2 8 4 2 5" xfId="36066" xr:uid="{00000000-0005-0000-0000-0000403D0000}"/>
    <cellStyle name="Normal 3 2 8 4 3" xfId="4191" xr:uid="{00000000-0005-0000-0000-0000413D0000}"/>
    <cellStyle name="Normal 3 2 8 4 3 2" xfId="4192" xr:uid="{00000000-0005-0000-0000-0000423D0000}"/>
    <cellStyle name="Normal 3 2 8 4 3 2 2" xfId="29403" xr:uid="{00000000-0005-0000-0000-0000433D0000}"/>
    <cellStyle name="Normal 3 2 8 4 3 2 2 2" xfId="61274" xr:uid="{00000000-0005-0000-0000-0000443D0000}"/>
    <cellStyle name="Normal 3 2 8 4 3 2 3" xfId="36071" xr:uid="{00000000-0005-0000-0000-0000453D0000}"/>
    <cellStyle name="Normal 3 2 8 4 3 3" xfId="21525" xr:uid="{00000000-0005-0000-0000-0000463D0000}"/>
    <cellStyle name="Normal 3 2 8 4 3 3 2" xfId="53396" xr:uid="{00000000-0005-0000-0000-0000473D0000}"/>
    <cellStyle name="Normal 3 2 8 4 3 4" xfId="36070" xr:uid="{00000000-0005-0000-0000-0000483D0000}"/>
    <cellStyle name="Normal 3 2 8 4 4" xfId="4193" xr:uid="{00000000-0005-0000-0000-0000493D0000}"/>
    <cellStyle name="Normal 3 2 8 4 4 2" xfId="25464" xr:uid="{00000000-0005-0000-0000-00004A3D0000}"/>
    <cellStyle name="Normal 3 2 8 4 4 2 2" xfId="57335" xr:uid="{00000000-0005-0000-0000-00004B3D0000}"/>
    <cellStyle name="Normal 3 2 8 4 4 3" xfId="36072" xr:uid="{00000000-0005-0000-0000-00004C3D0000}"/>
    <cellStyle name="Normal 3 2 8 4 5" xfId="17586" xr:uid="{00000000-0005-0000-0000-00004D3D0000}"/>
    <cellStyle name="Normal 3 2 8 4 5 2" xfId="49457" xr:uid="{00000000-0005-0000-0000-00004E3D0000}"/>
    <cellStyle name="Normal 3 2 8 4 6" xfId="36065" xr:uid="{00000000-0005-0000-0000-00004F3D0000}"/>
    <cellStyle name="Normal 3 2 8 5" xfId="4194" xr:uid="{00000000-0005-0000-0000-0000503D0000}"/>
    <cellStyle name="Normal 3 2 8 5 2" xfId="4195" xr:uid="{00000000-0005-0000-0000-0000513D0000}"/>
    <cellStyle name="Normal 3 2 8 5 2 2" xfId="4196" xr:uid="{00000000-0005-0000-0000-0000523D0000}"/>
    <cellStyle name="Normal 3 2 8 5 2 2 2" xfId="29405" xr:uid="{00000000-0005-0000-0000-0000533D0000}"/>
    <cellStyle name="Normal 3 2 8 5 2 2 2 2" xfId="61276" xr:uid="{00000000-0005-0000-0000-0000543D0000}"/>
    <cellStyle name="Normal 3 2 8 5 2 2 3" xfId="36075" xr:uid="{00000000-0005-0000-0000-0000553D0000}"/>
    <cellStyle name="Normal 3 2 8 5 2 3" xfId="21527" xr:uid="{00000000-0005-0000-0000-0000563D0000}"/>
    <cellStyle name="Normal 3 2 8 5 2 3 2" xfId="53398" xr:uid="{00000000-0005-0000-0000-0000573D0000}"/>
    <cellStyle name="Normal 3 2 8 5 2 4" xfId="36074" xr:uid="{00000000-0005-0000-0000-0000583D0000}"/>
    <cellStyle name="Normal 3 2 8 5 3" xfId="4197" xr:uid="{00000000-0005-0000-0000-0000593D0000}"/>
    <cellStyle name="Normal 3 2 8 5 3 2" xfId="25466" xr:uid="{00000000-0005-0000-0000-00005A3D0000}"/>
    <cellStyle name="Normal 3 2 8 5 3 2 2" xfId="57337" xr:uid="{00000000-0005-0000-0000-00005B3D0000}"/>
    <cellStyle name="Normal 3 2 8 5 3 3" xfId="36076" xr:uid="{00000000-0005-0000-0000-00005C3D0000}"/>
    <cellStyle name="Normal 3 2 8 5 4" xfId="17588" xr:uid="{00000000-0005-0000-0000-00005D3D0000}"/>
    <cellStyle name="Normal 3 2 8 5 4 2" xfId="49459" xr:uid="{00000000-0005-0000-0000-00005E3D0000}"/>
    <cellStyle name="Normal 3 2 8 5 5" xfId="36073" xr:uid="{00000000-0005-0000-0000-00005F3D0000}"/>
    <cellStyle name="Normal 3 2 8 6" xfId="4198" xr:uid="{00000000-0005-0000-0000-0000603D0000}"/>
    <cellStyle name="Normal 3 2 8 6 2" xfId="4199" xr:uid="{00000000-0005-0000-0000-0000613D0000}"/>
    <cellStyle name="Normal 3 2 8 6 2 2" xfId="28382" xr:uid="{00000000-0005-0000-0000-0000623D0000}"/>
    <cellStyle name="Normal 3 2 8 6 2 2 2" xfId="60253" xr:uid="{00000000-0005-0000-0000-0000633D0000}"/>
    <cellStyle name="Normal 3 2 8 6 2 3" xfId="36078" xr:uid="{00000000-0005-0000-0000-0000643D0000}"/>
    <cellStyle name="Normal 3 2 8 6 3" xfId="20504" xr:uid="{00000000-0005-0000-0000-0000653D0000}"/>
    <cellStyle name="Normal 3 2 8 6 3 2" xfId="52375" xr:uid="{00000000-0005-0000-0000-0000663D0000}"/>
    <cellStyle name="Normal 3 2 8 6 4" xfId="36077" xr:uid="{00000000-0005-0000-0000-0000673D0000}"/>
    <cellStyle name="Normal 3 2 8 7" xfId="4200" xr:uid="{00000000-0005-0000-0000-0000683D0000}"/>
    <cellStyle name="Normal 3 2 8 7 2" xfId="24443" xr:uid="{00000000-0005-0000-0000-0000693D0000}"/>
    <cellStyle name="Normal 3 2 8 7 2 2" xfId="56314" xr:uid="{00000000-0005-0000-0000-00006A3D0000}"/>
    <cellStyle name="Normal 3 2 8 7 3" xfId="36079" xr:uid="{00000000-0005-0000-0000-00006B3D0000}"/>
    <cellStyle name="Normal 3 2 8 8" xfId="16565" xr:uid="{00000000-0005-0000-0000-00006C3D0000}"/>
    <cellStyle name="Normal 3 2 8 8 2" xfId="48436" xr:uid="{00000000-0005-0000-0000-00006D3D0000}"/>
    <cellStyle name="Normal 3 2 8 9" xfId="36016" xr:uid="{00000000-0005-0000-0000-00006E3D0000}"/>
    <cellStyle name="Normal 3 2 9" xfId="4201" xr:uid="{00000000-0005-0000-0000-00006F3D0000}"/>
    <cellStyle name="Normal 3 2 9 2" xfId="4202" xr:uid="{00000000-0005-0000-0000-0000703D0000}"/>
    <cellStyle name="Normal 3 2 9 2 2" xfId="4203" xr:uid="{00000000-0005-0000-0000-0000713D0000}"/>
    <cellStyle name="Normal 3 2 9 2 2 2" xfId="4204" xr:uid="{00000000-0005-0000-0000-0000723D0000}"/>
    <cellStyle name="Normal 3 2 9 2 2 2 2" xfId="4205" xr:uid="{00000000-0005-0000-0000-0000733D0000}"/>
    <cellStyle name="Normal 3 2 9 2 2 2 2 2" xfId="4206" xr:uid="{00000000-0005-0000-0000-0000743D0000}"/>
    <cellStyle name="Normal 3 2 9 2 2 2 2 2 2" xfId="29408" xr:uid="{00000000-0005-0000-0000-0000753D0000}"/>
    <cellStyle name="Normal 3 2 9 2 2 2 2 2 2 2" xfId="61279" xr:uid="{00000000-0005-0000-0000-0000763D0000}"/>
    <cellStyle name="Normal 3 2 9 2 2 2 2 2 3" xfId="36085" xr:uid="{00000000-0005-0000-0000-0000773D0000}"/>
    <cellStyle name="Normal 3 2 9 2 2 2 2 3" xfId="21530" xr:uid="{00000000-0005-0000-0000-0000783D0000}"/>
    <cellStyle name="Normal 3 2 9 2 2 2 2 3 2" xfId="53401" xr:uid="{00000000-0005-0000-0000-0000793D0000}"/>
    <cellStyle name="Normal 3 2 9 2 2 2 2 4" xfId="36084" xr:uid="{00000000-0005-0000-0000-00007A3D0000}"/>
    <cellStyle name="Normal 3 2 9 2 2 2 3" xfId="4207" xr:uid="{00000000-0005-0000-0000-00007B3D0000}"/>
    <cellStyle name="Normal 3 2 9 2 2 2 3 2" xfId="25469" xr:uid="{00000000-0005-0000-0000-00007C3D0000}"/>
    <cellStyle name="Normal 3 2 9 2 2 2 3 2 2" xfId="57340" xr:uid="{00000000-0005-0000-0000-00007D3D0000}"/>
    <cellStyle name="Normal 3 2 9 2 2 2 3 3" xfId="36086" xr:uid="{00000000-0005-0000-0000-00007E3D0000}"/>
    <cellStyle name="Normal 3 2 9 2 2 2 4" xfId="17591" xr:uid="{00000000-0005-0000-0000-00007F3D0000}"/>
    <cellStyle name="Normal 3 2 9 2 2 2 4 2" xfId="49462" xr:uid="{00000000-0005-0000-0000-0000803D0000}"/>
    <cellStyle name="Normal 3 2 9 2 2 2 5" xfId="36083" xr:uid="{00000000-0005-0000-0000-0000813D0000}"/>
    <cellStyle name="Normal 3 2 9 2 2 3" xfId="4208" xr:uid="{00000000-0005-0000-0000-0000823D0000}"/>
    <cellStyle name="Normal 3 2 9 2 2 3 2" xfId="4209" xr:uid="{00000000-0005-0000-0000-0000833D0000}"/>
    <cellStyle name="Normal 3 2 9 2 2 3 2 2" xfId="29407" xr:uid="{00000000-0005-0000-0000-0000843D0000}"/>
    <cellStyle name="Normal 3 2 9 2 2 3 2 2 2" xfId="61278" xr:uid="{00000000-0005-0000-0000-0000853D0000}"/>
    <cellStyle name="Normal 3 2 9 2 2 3 2 3" xfId="36088" xr:uid="{00000000-0005-0000-0000-0000863D0000}"/>
    <cellStyle name="Normal 3 2 9 2 2 3 3" xfId="21529" xr:uid="{00000000-0005-0000-0000-0000873D0000}"/>
    <cellStyle name="Normal 3 2 9 2 2 3 3 2" xfId="53400" xr:uid="{00000000-0005-0000-0000-0000883D0000}"/>
    <cellStyle name="Normal 3 2 9 2 2 3 4" xfId="36087" xr:uid="{00000000-0005-0000-0000-0000893D0000}"/>
    <cellStyle name="Normal 3 2 9 2 2 4" xfId="4210" xr:uid="{00000000-0005-0000-0000-00008A3D0000}"/>
    <cellStyle name="Normal 3 2 9 2 2 4 2" xfId="25468" xr:uid="{00000000-0005-0000-0000-00008B3D0000}"/>
    <cellStyle name="Normal 3 2 9 2 2 4 2 2" xfId="57339" xr:uid="{00000000-0005-0000-0000-00008C3D0000}"/>
    <cellStyle name="Normal 3 2 9 2 2 4 3" xfId="36089" xr:uid="{00000000-0005-0000-0000-00008D3D0000}"/>
    <cellStyle name="Normal 3 2 9 2 2 5" xfId="17590" xr:uid="{00000000-0005-0000-0000-00008E3D0000}"/>
    <cellStyle name="Normal 3 2 9 2 2 5 2" xfId="49461" xr:uid="{00000000-0005-0000-0000-00008F3D0000}"/>
    <cellStyle name="Normal 3 2 9 2 2 6" xfId="36082" xr:uid="{00000000-0005-0000-0000-0000903D0000}"/>
    <cellStyle name="Normal 3 2 9 2 3" xfId="4211" xr:uid="{00000000-0005-0000-0000-0000913D0000}"/>
    <cellStyle name="Normal 3 2 9 2 3 2" xfId="4212" xr:uid="{00000000-0005-0000-0000-0000923D0000}"/>
    <cellStyle name="Normal 3 2 9 2 3 2 2" xfId="4213" xr:uid="{00000000-0005-0000-0000-0000933D0000}"/>
    <cellStyle name="Normal 3 2 9 2 3 2 2 2" xfId="29409" xr:uid="{00000000-0005-0000-0000-0000943D0000}"/>
    <cellStyle name="Normal 3 2 9 2 3 2 2 2 2" xfId="61280" xr:uid="{00000000-0005-0000-0000-0000953D0000}"/>
    <cellStyle name="Normal 3 2 9 2 3 2 2 3" xfId="36092" xr:uid="{00000000-0005-0000-0000-0000963D0000}"/>
    <cellStyle name="Normal 3 2 9 2 3 2 3" xfId="21531" xr:uid="{00000000-0005-0000-0000-0000973D0000}"/>
    <cellStyle name="Normal 3 2 9 2 3 2 3 2" xfId="53402" xr:uid="{00000000-0005-0000-0000-0000983D0000}"/>
    <cellStyle name="Normal 3 2 9 2 3 2 4" xfId="36091" xr:uid="{00000000-0005-0000-0000-0000993D0000}"/>
    <cellStyle name="Normal 3 2 9 2 3 3" xfId="4214" xr:uid="{00000000-0005-0000-0000-00009A3D0000}"/>
    <cellStyle name="Normal 3 2 9 2 3 3 2" xfId="25470" xr:uid="{00000000-0005-0000-0000-00009B3D0000}"/>
    <cellStyle name="Normal 3 2 9 2 3 3 2 2" xfId="57341" xr:uid="{00000000-0005-0000-0000-00009C3D0000}"/>
    <cellStyle name="Normal 3 2 9 2 3 3 3" xfId="36093" xr:uid="{00000000-0005-0000-0000-00009D3D0000}"/>
    <cellStyle name="Normal 3 2 9 2 3 4" xfId="17592" xr:uid="{00000000-0005-0000-0000-00009E3D0000}"/>
    <cellStyle name="Normal 3 2 9 2 3 4 2" xfId="49463" xr:uid="{00000000-0005-0000-0000-00009F3D0000}"/>
    <cellStyle name="Normal 3 2 9 2 3 5" xfId="36090" xr:uid="{00000000-0005-0000-0000-0000A03D0000}"/>
    <cellStyle name="Normal 3 2 9 2 4" xfId="4215" xr:uid="{00000000-0005-0000-0000-0000A13D0000}"/>
    <cellStyle name="Normal 3 2 9 2 4 2" xfId="4216" xr:uid="{00000000-0005-0000-0000-0000A23D0000}"/>
    <cellStyle name="Normal 3 2 9 2 4 2 2" xfId="29406" xr:uid="{00000000-0005-0000-0000-0000A33D0000}"/>
    <cellStyle name="Normal 3 2 9 2 4 2 2 2" xfId="61277" xr:uid="{00000000-0005-0000-0000-0000A43D0000}"/>
    <cellStyle name="Normal 3 2 9 2 4 2 3" xfId="36095" xr:uid="{00000000-0005-0000-0000-0000A53D0000}"/>
    <cellStyle name="Normal 3 2 9 2 4 3" xfId="21528" xr:uid="{00000000-0005-0000-0000-0000A63D0000}"/>
    <cellStyle name="Normal 3 2 9 2 4 3 2" xfId="53399" xr:uid="{00000000-0005-0000-0000-0000A73D0000}"/>
    <cellStyle name="Normal 3 2 9 2 4 4" xfId="36094" xr:uid="{00000000-0005-0000-0000-0000A83D0000}"/>
    <cellStyle name="Normal 3 2 9 2 5" xfId="4217" xr:uid="{00000000-0005-0000-0000-0000A93D0000}"/>
    <cellStyle name="Normal 3 2 9 2 5 2" xfId="25467" xr:uid="{00000000-0005-0000-0000-0000AA3D0000}"/>
    <cellStyle name="Normal 3 2 9 2 5 2 2" xfId="57338" xr:uid="{00000000-0005-0000-0000-0000AB3D0000}"/>
    <cellStyle name="Normal 3 2 9 2 5 3" xfId="36096" xr:uid="{00000000-0005-0000-0000-0000AC3D0000}"/>
    <cellStyle name="Normal 3 2 9 2 6" xfId="17589" xr:uid="{00000000-0005-0000-0000-0000AD3D0000}"/>
    <cellStyle name="Normal 3 2 9 2 6 2" xfId="49460" xr:uid="{00000000-0005-0000-0000-0000AE3D0000}"/>
    <cellStyle name="Normal 3 2 9 2 7" xfId="36081" xr:uid="{00000000-0005-0000-0000-0000AF3D0000}"/>
    <cellStyle name="Normal 3 2 9 3" xfId="4218" xr:uid="{00000000-0005-0000-0000-0000B03D0000}"/>
    <cellStyle name="Normal 3 2 9 3 2" xfId="4219" xr:uid="{00000000-0005-0000-0000-0000B13D0000}"/>
    <cellStyle name="Normal 3 2 9 3 2 2" xfId="4220" xr:uid="{00000000-0005-0000-0000-0000B23D0000}"/>
    <cellStyle name="Normal 3 2 9 3 2 2 2" xfId="4221" xr:uid="{00000000-0005-0000-0000-0000B33D0000}"/>
    <cellStyle name="Normal 3 2 9 3 2 2 2 2" xfId="29411" xr:uid="{00000000-0005-0000-0000-0000B43D0000}"/>
    <cellStyle name="Normal 3 2 9 3 2 2 2 2 2" xfId="61282" xr:uid="{00000000-0005-0000-0000-0000B53D0000}"/>
    <cellStyle name="Normal 3 2 9 3 2 2 2 3" xfId="36100" xr:uid="{00000000-0005-0000-0000-0000B63D0000}"/>
    <cellStyle name="Normal 3 2 9 3 2 2 3" xfId="21533" xr:uid="{00000000-0005-0000-0000-0000B73D0000}"/>
    <cellStyle name="Normal 3 2 9 3 2 2 3 2" xfId="53404" xr:uid="{00000000-0005-0000-0000-0000B83D0000}"/>
    <cellStyle name="Normal 3 2 9 3 2 2 4" xfId="36099" xr:uid="{00000000-0005-0000-0000-0000B93D0000}"/>
    <cellStyle name="Normal 3 2 9 3 2 3" xfId="4222" xr:uid="{00000000-0005-0000-0000-0000BA3D0000}"/>
    <cellStyle name="Normal 3 2 9 3 2 3 2" xfId="25472" xr:uid="{00000000-0005-0000-0000-0000BB3D0000}"/>
    <cellStyle name="Normal 3 2 9 3 2 3 2 2" xfId="57343" xr:uid="{00000000-0005-0000-0000-0000BC3D0000}"/>
    <cellStyle name="Normal 3 2 9 3 2 3 3" xfId="36101" xr:uid="{00000000-0005-0000-0000-0000BD3D0000}"/>
    <cellStyle name="Normal 3 2 9 3 2 4" xfId="17594" xr:uid="{00000000-0005-0000-0000-0000BE3D0000}"/>
    <cellStyle name="Normal 3 2 9 3 2 4 2" xfId="49465" xr:uid="{00000000-0005-0000-0000-0000BF3D0000}"/>
    <cellStyle name="Normal 3 2 9 3 2 5" xfId="36098" xr:uid="{00000000-0005-0000-0000-0000C03D0000}"/>
    <cellStyle name="Normal 3 2 9 3 3" xfId="4223" xr:uid="{00000000-0005-0000-0000-0000C13D0000}"/>
    <cellStyle name="Normal 3 2 9 3 3 2" xfId="4224" xr:uid="{00000000-0005-0000-0000-0000C23D0000}"/>
    <cellStyle name="Normal 3 2 9 3 3 2 2" xfId="29410" xr:uid="{00000000-0005-0000-0000-0000C33D0000}"/>
    <cellStyle name="Normal 3 2 9 3 3 2 2 2" xfId="61281" xr:uid="{00000000-0005-0000-0000-0000C43D0000}"/>
    <cellStyle name="Normal 3 2 9 3 3 2 3" xfId="36103" xr:uid="{00000000-0005-0000-0000-0000C53D0000}"/>
    <cellStyle name="Normal 3 2 9 3 3 3" xfId="21532" xr:uid="{00000000-0005-0000-0000-0000C63D0000}"/>
    <cellStyle name="Normal 3 2 9 3 3 3 2" xfId="53403" xr:uid="{00000000-0005-0000-0000-0000C73D0000}"/>
    <cellStyle name="Normal 3 2 9 3 3 4" xfId="36102" xr:uid="{00000000-0005-0000-0000-0000C83D0000}"/>
    <cellStyle name="Normal 3 2 9 3 4" xfId="4225" xr:uid="{00000000-0005-0000-0000-0000C93D0000}"/>
    <cellStyle name="Normal 3 2 9 3 4 2" xfId="25471" xr:uid="{00000000-0005-0000-0000-0000CA3D0000}"/>
    <cellStyle name="Normal 3 2 9 3 4 2 2" xfId="57342" xr:uid="{00000000-0005-0000-0000-0000CB3D0000}"/>
    <cellStyle name="Normal 3 2 9 3 4 3" xfId="36104" xr:uid="{00000000-0005-0000-0000-0000CC3D0000}"/>
    <cellStyle name="Normal 3 2 9 3 5" xfId="17593" xr:uid="{00000000-0005-0000-0000-0000CD3D0000}"/>
    <cellStyle name="Normal 3 2 9 3 5 2" xfId="49464" xr:uid="{00000000-0005-0000-0000-0000CE3D0000}"/>
    <cellStyle name="Normal 3 2 9 3 6" xfId="36097" xr:uid="{00000000-0005-0000-0000-0000CF3D0000}"/>
    <cellStyle name="Normal 3 2 9 4" xfId="4226" xr:uid="{00000000-0005-0000-0000-0000D03D0000}"/>
    <cellStyle name="Normal 3 2 9 4 2" xfId="4227" xr:uid="{00000000-0005-0000-0000-0000D13D0000}"/>
    <cellStyle name="Normal 3 2 9 4 2 2" xfId="4228" xr:uid="{00000000-0005-0000-0000-0000D23D0000}"/>
    <cellStyle name="Normal 3 2 9 4 2 2 2" xfId="29412" xr:uid="{00000000-0005-0000-0000-0000D33D0000}"/>
    <cellStyle name="Normal 3 2 9 4 2 2 2 2" xfId="61283" xr:uid="{00000000-0005-0000-0000-0000D43D0000}"/>
    <cellStyle name="Normal 3 2 9 4 2 2 3" xfId="36107" xr:uid="{00000000-0005-0000-0000-0000D53D0000}"/>
    <cellStyle name="Normal 3 2 9 4 2 3" xfId="21534" xr:uid="{00000000-0005-0000-0000-0000D63D0000}"/>
    <cellStyle name="Normal 3 2 9 4 2 3 2" xfId="53405" xr:uid="{00000000-0005-0000-0000-0000D73D0000}"/>
    <cellStyle name="Normal 3 2 9 4 2 4" xfId="36106" xr:uid="{00000000-0005-0000-0000-0000D83D0000}"/>
    <cellStyle name="Normal 3 2 9 4 3" xfId="4229" xr:uid="{00000000-0005-0000-0000-0000D93D0000}"/>
    <cellStyle name="Normal 3 2 9 4 3 2" xfId="25473" xr:uid="{00000000-0005-0000-0000-0000DA3D0000}"/>
    <cellStyle name="Normal 3 2 9 4 3 2 2" xfId="57344" xr:uid="{00000000-0005-0000-0000-0000DB3D0000}"/>
    <cellStyle name="Normal 3 2 9 4 3 3" xfId="36108" xr:uid="{00000000-0005-0000-0000-0000DC3D0000}"/>
    <cellStyle name="Normal 3 2 9 4 4" xfId="17595" xr:uid="{00000000-0005-0000-0000-0000DD3D0000}"/>
    <cellStyle name="Normal 3 2 9 4 4 2" xfId="49466" xr:uid="{00000000-0005-0000-0000-0000DE3D0000}"/>
    <cellStyle name="Normal 3 2 9 4 5" xfId="36105" xr:uid="{00000000-0005-0000-0000-0000DF3D0000}"/>
    <cellStyle name="Normal 3 2 9 5" xfId="4230" xr:uid="{00000000-0005-0000-0000-0000E03D0000}"/>
    <cellStyle name="Normal 3 2 9 5 2" xfId="4231" xr:uid="{00000000-0005-0000-0000-0000E13D0000}"/>
    <cellStyle name="Normal 3 2 9 5 2 2" xfId="28259" xr:uid="{00000000-0005-0000-0000-0000E23D0000}"/>
    <cellStyle name="Normal 3 2 9 5 2 2 2" xfId="60130" xr:uid="{00000000-0005-0000-0000-0000E33D0000}"/>
    <cellStyle name="Normal 3 2 9 5 2 3" xfId="36110" xr:uid="{00000000-0005-0000-0000-0000E43D0000}"/>
    <cellStyle name="Normal 3 2 9 5 3" xfId="20381" xr:uid="{00000000-0005-0000-0000-0000E53D0000}"/>
    <cellStyle name="Normal 3 2 9 5 3 2" xfId="52252" xr:uid="{00000000-0005-0000-0000-0000E63D0000}"/>
    <cellStyle name="Normal 3 2 9 5 4" xfId="36109" xr:uid="{00000000-0005-0000-0000-0000E73D0000}"/>
    <cellStyle name="Normal 3 2 9 6" xfId="4232" xr:uid="{00000000-0005-0000-0000-0000E83D0000}"/>
    <cellStyle name="Normal 3 2 9 6 2" xfId="24320" xr:uid="{00000000-0005-0000-0000-0000E93D0000}"/>
    <cellStyle name="Normal 3 2 9 6 2 2" xfId="56191" xr:uid="{00000000-0005-0000-0000-0000EA3D0000}"/>
    <cellStyle name="Normal 3 2 9 6 3" xfId="36111" xr:uid="{00000000-0005-0000-0000-0000EB3D0000}"/>
    <cellStyle name="Normal 3 2 9 7" xfId="16442" xr:uid="{00000000-0005-0000-0000-0000EC3D0000}"/>
    <cellStyle name="Normal 3 2 9 7 2" xfId="48313" xr:uid="{00000000-0005-0000-0000-0000ED3D0000}"/>
    <cellStyle name="Normal 3 2 9 8" xfId="36080" xr:uid="{00000000-0005-0000-0000-0000EE3D0000}"/>
    <cellStyle name="Normal 3 3" xfId="142" xr:uid="{00000000-0005-0000-0000-0000EF3D0000}"/>
    <cellStyle name="Normal 3 3 10" xfId="4234" xr:uid="{00000000-0005-0000-0000-0000F03D0000}"/>
    <cellStyle name="Normal 3 3 10 2" xfId="4235" xr:uid="{00000000-0005-0000-0000-0000F13D0000}"/>
    <cellStyle name="Normal 3 3 10 2 2" xfId="4236" xr:uid="{00000000-0005-0000-0000-0000F23D0000}"/>
    <cellStyle name="Normal 3 3 10 2 2 2" xfId="4237" xr:uid="{00000000-0005-0000-0000-0000F33D0000}"/>
    <cellStyle name="Normal 3 3 10 2 2 2 2" xfId="29414" xr:uid="{00000000-0005-0000-0000-0000F43D0000}"/>
    <cellStyle name="Normal 3 3 10 2 2 2 2 2" xfId="61285" xr:uid="{00000000-0005-0000-0000-0000F53D0000}"/>
    <cellStyle name="Normal 3 3 10 2 2 2 3" xfId="36116" xr:uid="{00000000-0005-0000-0000-0000F63D0000}"/>
    <cellStyle name="Normal 3 3 10 2 2 3" xfId="21536" xr:uid="{00000000-0005-0000-0000-0000F73D0000}"/>
    <cellStyle name="Normal 3 3 10 2 2 3 2" xfId="53407" xr:uid="{00000000-0005-0000-0000-0000F83D0000}"/>
    <cellStyle name="Normal 3 3 10 2 2 4" xfId="36115" xr:uid="{00000000-0005-0000-0000-0000F93D0000}"/>
    <cellStyle name="Normal 3 3 10 2 3" xfId="4238" xr:uid="{00000000-0005-0000-0000-0000FA3D0000}"/>
    <cellStyle name="Normal 3 3 10 2 3 2" xfId="25475" xr:uid="{00000000-0005-0000-0000-0000FB3D0000}"/>
    <cellStyle name="Normal 3 3 10 2 3 2 2" xfId="57346" xr:uid="{00000000-0005-0000-0000-0000FC3D0000}"/>
    <cellStyle name="Normal 3 3 10 2 3 3" xfId="36117" xr:uid="{00000000-0005-0000-0000-0000FD3D0000}"/>
    <cellStyle name="Normal 3 3 10 2 4" xfId="17597" xr:uid="{00000000-0005-0000-0000-0000FE3D0000}"/>
    <cellStyle name="Normal 3 3 10 2 4 2" xfId="49468" xr:uid="{00000000-0005-0000-0000-0000FF3D0000}"/>
    <cellStyle name="Normal 3 3 10 2 5" xfId="36114" xr:uid="{00000000-0005-0000-0000-0000003E0000}"/>
    <cellStyle name="Normal 3 3 10 3" xfId="4239" xr:uid="{00000000-0005-0000-0000-0000013E0000}"/>
    <cellStyle name="Normal 3 3 10 3 2" xfId="4240" xr:uid="{00000000-0005-0000-0000-0000023E0000}"/>
    <cellStyle name="Normal 3 3 10 3 2 2" xfId="29413" xr:uid="{00000000-0005-0000-0000-0000033E0000}"/>
    <cellStyle name="Normal 3 3 10 3 2 2 2" xfId="61284" xr:uid="{00000000-0005-0000-0000-0000043E0000}"/>
    <cellStyle name="Normal 3 3 10 3 2 3" xfId="36119" xr:uid="{00000000-0005-0000-0000-0000053E0000}"/>
    <cellStyle name="Normal 3 3 10 3 3" xfId="21535" xr:uid="{00000000-0005-0000-0000-0000063E0000}"/>
    <cellStyle name="Normal 3 3 10 3 3 2" xfId="53406" xr:uid="{00000000-0005-0000-0000-0000073E0000}"/>
    <cellStyle name="Normal 3 3 10 3 4" xfId="36118" xr:uid="{00000000-0005-0000-0000-0000083E0000}"/>
    <cellStyle name="Normal 3 3 10 4" xfId="4241" xr:uid="{00000000-0005-0000-0000-0000093E0000}"/>
    <cellStyle name="Normal 3 3 10 4 2" xfId="25474" xr:uid="{00000000-0005-0000-0000-00000A3E0000}"/>
    <cellStyle name="Normal 3 3 10 4 2 2" xfId="57345" xr:uid="{00000000-0005-0000-0000-00000B3E0000}"/>
    <cellStyle name="Normal 3 3 10 4 3" xfId="36120" xr:uid="{00000000-0005-0000-0000-00000C3E0000}"/>
    <cellStyle name="Normal 3 3 10 5" xfId="17596" xr:uid="{00000000-0005-0000-0000-00000D3E0000}"/>
    <cellStyle name="Normal 3 3 10 5 2" xfId="49467" xr:uid="{00000000-0005-0000-0000-00000E3E0000}"/>
    <cellStyle name="Normal 3 3 10 6" xfId="36113" xr:uid="{00000000-0005-0000-0000-00000F3E0000}"/>
    <cellStyle name="Normal 3 3 11" xfId="4242" xr:uid="{00000000-0005-0000-0000-0000103E0000}"/>
    <cellStyle name="Normal 3 3 11 2" xfId="4243" xr:uid="{00000000-0005-0000-0000-0000113E0000}"/>
    <cellStyle name="Normal 3 3 11 2 2" xfId="4244" xr:uid="{00000000-0005-0000-0000-0000123E0000}"/>
    <cellStyle name="Normal 3 3 11 2 2 2" xfId="29415" xr:uid="{00000000-0005-0000-0000-0000133E0000}"/>
    <cellStyle name="Normal 3 3 11 2 2 2 2" xfId="61286" xr:uid="{00000000-0005-0000-0000-0000143E0000}"/>
    <cellStyle name="Normal 3 3 11 2 2 3" xfId="36123" xr:uid="{00000000-0005-0000-0000-0000153E0000}"/>
    <cellStyle name="Normal 3 3 11 2 3" xfId="21537" xr:uid="{00000000-0005-0000-0000-0000163E0000}"/>
    <cellStyle name="Normal 3 3 11 2 3 2" xfId="53408" xr:uid="{00000000-0005-0000-0000-0000173E0000}"/>
    <cellStyle name="Normal 3 3 11 2 4" xfId="36122" xr:uid="{00000000-0005-0000-0000-0000183E0000}"/>
    <cellStyle name="Normal 3 3 11 3" xfId="4245" xr:uid="{00000000-0005-0000-0000-0000193E0000}"/>
    <cellStyle name="Normal 3 3 11 3 2" xfId="25476" xr:uid="{00000000-0005-0000-0000-00001A3E0000}"/>
    <cellStyle name="Normal 3 3 11 3 2 2" xfId="57347" xr:uid="{00000000-0005-0000-0000-00001B3E0000}"/>
    <cellStyle name="Normal 3 3 11 3 3" xfId="36124" xr:uid="{00000000-0005-0000-0000-00001C3E0000}"/>
    <cellStyle name="Normal 3 3 11 4" xfId="17598" xr:uid="{00000000-0005-0000-0000-00001D3E0000}"/>
    <cellStyle name="Normal 3 3 11 4 2" xfId="49469" xr:uid="{00000000-0005-0000-0000-00001E3E0000}"/>
    <cellStyle name="Normal 3 3 11 5" xfId="36121" xr:uid="{00000000-0005-0000-0000-00001F3E0000}"/>
    <cellStyle name="Normal 3 3 12" xfId="4246" xr:uid="{00000000-0005-0000-0000-0000203E0000}"/>
    <cellStyle name="Normal 3 3 12 2" xfId="4247" xr:uid="{00000000-0005-0000-0000-0000213E0000}"/>
    <cellStyle name="Normal 3 3 12 2 2" xfId="28238" xr:uid="{00000000-0005-0000-0000-0000223E0000}"/>
    <cellStyle name="Normal 3 3 12 2 2 2" xfId="60109" xr:uid="{00000000-0005-0000-0000-0000233E0000}"/>
    <cellStyle name="Normal 3 3 12 2 3" xfId="36126" xr:uid="{00000000-0005-0000-0000-0000243E0000}"/>
    <cellStyle name="Normal 3 3 12 3" xfId="20360" xr:uid="{00000000-0005-0000-0000-0000253E0000}"/>
    <cellStyle name="Normal 3 3 12 3 2" xfId="52231" xr:uid="{00000000-0005-0000-0000-0000263E0000}"/>
    <cellStyle name="Normal 3 3 12 4" xfId="36125" xr:uid="{00000000-0005-0000-0000-0000273E0000}"/>
    <cellStyle name="Normal 3 3 13" xfId="4248" xr:uid="{00000000-0005-0000-0000-0000283E0000}"/>
    <cellStyle name="Normal 3 3 13 2" xfId="24299" xr:uid="{00000000-0005-0000-0000-0000293E0000}"/>
    <cellStyle name="Normal 3 3 13 2 2" xfId="56170" xr:uid="{00000000-0005-0000-0000-00002A3E0000}"/>
    <cellStyle name="Normal 3 3 13 3" xfId="36127" xr:uid="{00000000-0005-0000-0000-00002B3E0000}"/>
    <cellStyle name="Normal 3 3 14" xfId="16421" xr:uid="{00000000-0005-0000-0000-00002C3E0000}"/>
    <cellStyle name="Normal 3 3 14 2" xfId="48292" xr:uid="{00000000-0005-0000-0000-00002D3E0000}"/>
    <cellStyle name="Normal 3 3 15" xfId="4233" xr:uid="{00000000-0005-0000-0000-00002E3E0000}"/>
    <cellStyle name="Normal 3 3 15 2" xfId="36112" xr:uid="{00000000-0005-0000-0000-00002F3E0000}"/>
    <cellStyle name="Normal 3 3 2" xfId="268" xr:uid="{00000000-0005-0000-0000-0000303E0000}"/>
    <cellStyle name="Normal 3 3 2 10" xfId="4250" xr:uid="{00000000-0005-0000-0000-0000313E0000}"/>
    <cellStyle name="Normal 3 3 2 10 2" xfId="4251" xr:uid="{00000000-0005-0000-0000-0000323E0000}"/>
    <cellStyle name="Normal 3 3 2 10 2 2" xfId="28246" xr:uid="{00000000-0005-0000-0000-0000333E0000}"/>
    <cellStyle name="Normal 3 3 2 10 2 2 2" xfId="60117" xr:uid="{00000000-0005-0000-0000-0000343E0000}"/>
    <cellStyle name="Normal 3 3 2 10 2 3" xfId="36130" xr:uid="{00000000-0005-0000-0000-0000353E0000}"/>
    <cellStyle name="Normal 3 3 2 10 3" xfId="20368" xr:uid="{00000000-0005-0000-0000-0000363E0000}"/>
    <cellStyle name="Normal 3 3 2 10 3 2" xfId="52239" xr:uid="{00000000-0005-0000-0000-0000373E0000}"/>
    <cellStyle name="Normal 3 3 2 10 4" xfId="36129" xr:uid="{00000000-0005-0000-0000-0000383E0000}"/>
    <cellStyle name="Normal 3 3 2 11" xfId="4252" xr:uid="{00000000-0005-0000-0000-0000393E0000}"/>
    <cellStyle name="Normal 3 3 2 11 2" xfId="24307" xr:uid="{00000000-0005-0000-0000-00003A3E0000}"/>
    <cellStyle name="Normal 3 3 2 11 2 2" xfId="56178" xr:uid="{00000000-0005-0000-0000-00003B3E0000}"/>
    <cellStyle name="Normal 3 3 2 11 3" xfId="36131" xr:uid="{00000000-0005-0000-0000-00003C3E0000}"/>
    <cellStyle name="Normal 3 3 2 12" xfId="16429" xr:uid="{00000000-0005-0000-0000-00003D3E0000}"/>
    <cellStyle name="Normal 3 3 2 12 2" xfId="48300" xr:uid="{00000000-0005-0000-0000-00003E3E0000}"/>
    <cellStyle name="Normal 3 3 2 13" xfId="4249" xr:uid="{00000000-0005-0000-0000-00003F3E0000}"/>
    <cellStyle name="Normal 3 3 2 13 2" xfId="36128" xr:uid="{00000000-0005-0000-0000-0000403E0000}"/>
    <cellStyle name="Normal 3 3 2 2" xfId="4253" xr:uid="{00000000-0005-0000-0000-0000413E0000}"/>
    <cellStyle name="Normal 3 3 2 2 10" xfId="4254" xr:uid="{00000000-0005-0000-0000-0000423E0000}"/>
    <cellStyle name="Normal 3 3 2 2 10 2" xfId="24348" xr:uid="{00000000-0005-0000-0000-0000433E0000}"/>
    <cellStyle name="Normal 3 3 2 2 10 2 2" xfId="56219" xr:uid="{00000000-0005-0000-0000-0000443E0000}"/>
    <cellStyle name="Normal 3 3 2 2 10 3" xfId="36133" xr:uid="{00000000-0005-0000-0000-0000453E0000}"/>
    <cellStyle name="Normal 3 3 2 2 11" xfId="16470" xr:uid="{00000000-0005-0000-0000-0000463E0000}"/>
    <cellStyle name="Normal 3 3 2 2 11 2" xfId="48341" xr:uid="{00000000-0005-0000-0000-0000473E0000}"/>
    <cellStyle name="Normal 3 3 2 2 12" xfId="36132" xr:uid="{00000000-0005-0000-0000-0000483E0000}"/>
    <cellStyle name="Normal 3 3 2 2 2" xfId="4255" xr:uid="{00000000-0005-0000-0000-0000493E0000}"/>
    <cellStyle name="Normal 3 3 2 2 2 10" xfId="36134" xr:uid="{00000000-0005-0000-0000-00004A3E0000}"/>
    <cellStyle name="Normal 3 3 2 2 2 2" xfId="4256" xr:uid="{00000000-0005-0000-0000-00004B3E0000}"/>
    <cellStyle name="Normal 3 3 2 2 2 2 2" xfId="4257" xr:uid="{00000000-0005-0000-0000-00004C3E0000}"/>
    <cellStyle name="Normal 3 3 2 2 2 2 2 2" xfId="4258" xr:uid="{00000000-0005-0000-0000-00004D3E0000}"/>
    <cellStyle name="Normal 3 3 2 2 2 2 2 2 2" xfId="4259" xr:uid="{00000000-0005-0000-0000-00004E3E0000}"/>
    <cellStyle name="Normal 3 3 2 2 2 2 2 2 2 2" xfId="4260" xr:uid="{00000000-0005-0000-0000-00004F3E0000}"/>
    <cellStyle name="Normal 3 3 2 2 2 2 2 2 2 2 2" xfId="4261" xr:uid="{00000000-0005-0000-0000-0000503E0000}"/>
    <cellStyle name="Normal 3 3 2 2 2 2 2 2 2 2 2 2" xfId="4262" xr:uid="{00000000-0005-0000-0000-0000513E0000}"/>
    <cellStyle name="Normal 3 3 2 2 2 2 2 2 2 2 2 2 2" xfId="29419" xr:uid="{00000000-0005-0000-0000-0000523E0000}"/>
    <cellStyle name="Normal 3 3 2 2 2 2 2 2 2 2 2 2 2 2" xfId="61290" xr:uid="{00000000-0005-0000-0000-0000533E0000}"/>
    <cellStyle name="Normal 3 3 2 2 2 2 2 2 2 2 2 2 3" xfId="36141" xr:uid="{00000000-0005-0000-0000-0000543E0000}"/>
    <cellStyle name="Normal 3 3 2 2 2 2 2 2 2 2 2 3" xfId="21541" xr:uid="{00000000-0005-0000-0000-0000553E0000}"/>
    <cellStyle name="Normal 3 3 2 2 2 2 2 2 2 2 2 3 2" xfId="53412" xr:uid="{00000000-0005-0000-0000-0000563E0000}"/>
    <cellStyle name="Normal 3 3 2 2 2 2 2 2 2 2 2 4" xfId="36140" xr:uid="{00000000-0005-0000-0000-0000573E0000}"/>
    <cellStyle name="Normal 3 3 2 2 2 2 2 2 2 2 3" xfId="4263" xr:uid="{00000000-0005-0000-0000-0000583E0000}"/>
    <cellStyle name="Normal 3 3 2 2 2 2 2 2 2 2 3 2" xfId="25480" xr:uid="{00000000-0005-0000-0000-0000593E0000}"/>
    <cellStyle name="Normal 3 3 2 2 2 2 2 2 2 2 3 2 2" xfId="57351" xr:uid="{00000000-0005-0000-0000-00005A3E0000}"/>
    <cellStyle name="Normal 3 3 2 2 2 2 2 2 2 2 3 3" xfId="36142" xr:uid="{00000000-0005-0000-0000-00005B3E0000}"/>
    <cellStyle name="Normal 3 3 2 2 2 2 2 2 2 2 4" xfId="17602" xr:uid="{00000000-0005-0000-0000-00005C3E0000}"/>
    <cellStyle name="Normal 3 3 2 2 2 2 2 2 2 2 4 2" xfId="49473" xr:uid="{00000000-0005-0000-0000-00005D3E0000}"/>
    <cellStyle name="Normal 3 3 2 2 2 2 2 2 2 2 5" xfId="36139" xr:uid="{00000000-0005-0000-0000-00005E3E0000}"/>
    <cellStyle name="Normal 3 3 2 2 2 2 2 2 2 3" xfId="4264" xr:uid="{00000000-0005-0000-0000-00005F3E0000}"/>
    <cellStyle name="Normal 3 3 2 2 2 2 2 2 2 3 2" xfId="4265" xr:uid="{00000000-0005-0000-0000-0000603E0000}"/>
    <cellStyle name="Normal 3 3 2 2 2 2 2 2 2 3 2 2" xfId="29418" xr:uid="{00000000-0005-0000-0000-0000613E0000}"/>
    <cellStyle name="Normal 3 3 2 2 2 2 2 2 2 3 2 2 2" xfId="61289" xr:uid="{00000000-0005-0000-0000-0000623E0000}"/>
    <cellStyle name="Normal 3 3 2 2 2 2 2 2 2 3 2 3" xfId="36144" xr:uid="{00000000-0005-0000-0000-0000633E0000}"/>
    <cellStyle name="Normal 3 3 2 2 2 2 2 2 2 3 3" xfId="21540" xr:uid="{00000000-0005-0000-0000-0000643E0000}"/>
    <cellStyle name="Normal 3 3 2 2 2 2 2 2 2 3 3 2" xfId="53411" xr:uid="{00000000-0005-0000-0000-0000653E0000}"/>
    <cellStyle name="Normal 3 3 2 2 2 2 2 2 2 3 4" xfId="36143" xr:uid="{00000000-0005-0000-0000-0000663E0000}"/>
    <cellStyle name="Normal 3 3 2 2 2 2 2 2 2 4" xfId="4266" xr:uid="{00000000-0005-0000-0000-0000673E0000}"/>
    <cellStyle name="Normal 3 3 2 2 2 2 2 2 2 4 2" xfId="25479" xr:uid="{00000000-0005-0000-0000-0000683E0000}"/>
    <cellStyle name="Normal 3 3 2 2 2 2 2 2 2 4 2 2" xfId="57350" xr:uid="{00000000-0005-0000-0000-0000693E0000}"/>
    <cellStyle name="Normal 3 3 2 2 2 2 2 2 2 4 3" xfId="36145" xr:uid="{00000000-0005-0000-0000-00006A3E0000}"/>
    <cellStyle name="Normal 3 3 2 2 2 2 2 2 2 5" xfId="17601" xr:uid="{00000000-0005-0000-0000-00006B3E0000}"/>
    <cellStyle name="Normal 3 3 2 2 2 2 2 2 2 5 2" xfId="49472" xr:uid="{00000000-0005-0000-0000-00006C3E0000}"/>
    <cellStyle name="Normal 3 3 2 2 2 2 2 2 2 6" xfId="36138" xr:uid="{00000000-0005-0000-0000-00006D3E0000}"/>
    <cellStyle name="Normal 3 3 2 2 2 2 2 2 3" xfId="4267" xr:uid="{00000000-0005-0000-0000-00006E3E0000}"/>
    <cellStyle name="Normal 3 3 2 2 2 2 2 2 3 2" xfId="4268" xr:uid="{00000000-0005-0000-0000-00006F3E0000}"/>
    <cellStyle name="Normal 3 3 2 2 2 2 2 2 3 2 2" xfId="4269" xr:uid="{00000000-0005-0000-0000-0000703E0000}"/>
    <cellStyle name="Normal 3 3 2 2 2 2 2 2 3 2 2 2" xfId="29420" xr:uid="{00000000-0005-0000-0000-0000713E0000}"/>
    <cellStyle name="Normal 3 3 2 2 2 2 2 2 3 2 2 2 2" xfId="61291" xr:uid="{00000000-0005-0000-0000-0000723E0000}"/>
    <cellStyle name="Normal 3 3 2 2 2 2 2 2 3 2 2 3" xfId="36148" xr:uid="{00000000-0005-0000-0000-0000733E0000}"/>
    <cellStyle name="Normal 3 3 2 2 2 2 2 2 3 2 3" xfId="21542" xr:uid="{00000000-0005-0000-0000-0000743E0000}"/>
    <cellStyle name="Normal 3 3 2 2 2 2 2 2 3 2 3 2" xfId="53413" xr:uid="{00000000-0005-0000-0000-0000753E0000}"/>
    <cellStyle name="Normal 3 3 2 2 2 2 2 2 3 2 4" xfId="36147" xr:uid="{00000000-0005-0000-0000-0000763E0000}"/>
    <cellStyle name="Normal 3 3 2 2 2 2 2 2 3 3" xfId="4270" xr:uid="{00000000-0005-0000-0000-0000773E0000}"/>
    <cellStyle name="Normal 3 3 2 2 2 2 2 2 3 3 2" xfId="25481" xr:uid="{00000000-0005-0000-0000-0000783E0000}"/>
    <cellStyle name="Normal 3 3 2 2 2 2 2 2 3 3 2 2" xfId="57352" xr:uid="{00000000-0005-0000-0000-0000793E0000}"/>
    <cellStyle name="Normal 3 3 2 2 2 2 2 2 3 3 3" xfId="36149" xr:uid="{00000000-0005-0000-0000-00007A3E0000}"/>
    <cellStyle name="Normal 3 3 2 2 2 2 2 2 3 4" xfId="17603" xr:uid="{00000000-0005-0000-0000-00007B3E0000}"/>
    <cellStyle name="Normal 3 3 2 2 2 2 2 2 3 4 2" xfId="49474" xr:uid="{00000000-0005-0000-0000-00007C3E0000}"/>
    <cellStyle name="Normal 3 3 2 2 2 2 2 2 3 5" xfId="36146" xr:uid="{00000000-0005-0000-0000-00007D3E0000}"/>
    <cellStyle name="Normal 3 3 2 2 2 2 2 2 4" xfId="4271" xr:uid="{00000000-0005-0000-0000-00007E3E0000}"/>
    <cellStyle name="Normal 3 3 2 2 2 2 2 2 4 2" xfId="4272" xr:uid="{00000000-0005-0000-0000-00007F3E0000}"/>
    <cellStyle name="Normal 3 3 2 2 2 2 2 2 4 2 2" xfId="29417" xr:uid="{00000000-0005-0000-0000-0000803E0000}"/>
    <cellStyle name="Normal 3 3 2 2 2 2 2 2 4 2 2 2" xfId="61288" xr:uid="{00000000-0005-0000-0000-0000813E0000}"/>
    <cellStyle name="Normal 3 3 2 2 2 2 2 2 4 2 3" xfId="36151" xr:uid="{00000000-0005-0000-0000-0000823E0000}"/>
    <cellStyle name="Normal 3 3 2 2 2 2 2 2 4 3" xfId="21539" xr:uid="{00000000-0005-0000-0000-0000833E0000}"/>
    <cellStyle name="Normal 3 3 2 2 2 2 2 2 4 3 2" xfId="53410" xr:uid="{00000000-0005-0000-0000-0000843E0000}"/>
    <cellStyle name="Normal 3 3 2 2 2 2 2 2 4 4" xfId="36150" xr:uid="{00000000-0005-0000-0000-0000853E0000}"/>
    <cellStyle name="Normal 3 3 2 2 2 2 2 2 5" xfId="4273" xr:uid="{00000000-0005-0000-0000-0000863E0000}"/>
    <cellStyle name="Normal 3 3 2 2 2 2 2 2 5 2" xfId="25478" xr:uid="{00000000-0005-0000-0000-0000873E0000}"/>
    <cellStyle name="Normal 3 3 2 2 2 2 2 2 5 2 2" xfId="57349" xr:uid="{00000000-0005-0000-0000-0000883E0000}"/>
    <cellStyle name="Normal 3 3 2 2 2 2 2 2 5 3" xfId="36152" xr:uid="{00000000-0005-0000-0000-0000893E0000}"/>
    <cellStyle name="Normal 3 3 2 2 2 2 2 2 6" xfId="17600" xr:uid="{00000000-0005-0000-0000-00008A3E0000}"/>
    <cellStyle name="Normal 3 3 2 2 2 2 2 2 6 2" xfId="49471" xr:uid="{00000000-0005-0000-0000-00008B3E0000}"/>
    <cellStyle name="Normal 3 3 2 2 2 2 2 2 7" xfId="36137" xr:uid="{00000000-0005-0000-0000-00008C3E0000}"/>
    <cellStyle name="Normal 3 3 2 2 2 2 2 3" xfId="4274" xr:uid="{00000000-0005-0000-0000-00008D3E0000}"/>
    <cellStyle name="Normal 3 3 2 2 2 2 2 3 2" xfId="4275" xr:uid="{00000000-0005-0000-0000-00008E3E0000}"/>
    <cellStyle name="Normal 3 3 2 2 2 2 2 3 2 2" xfId="4276" xr:uid="{00000000-0005-0000-0000-00008F3E0000}"/>
    <cellStyle name="Normal 3 3 2 2 2 2 2 3 2 2 2" xfId="4277" xr:uid="{00000000-0005-0000-0000-0000903E0000}"/>
    <cellStyle name="Normal 3 3 2 2 2 2 2 3 2 2 2 2" xfId="29422" xr:uid="{00000000-0005-0000-0000-0000913E0000}"/>
    <cellStyle name="Normal 3 3 2 2 2 2 2 3 2 2 2 2 2" xfId="61293" xr:uid="{00000000-0005-0000-0000-0000923E0000}"/>
    <cellStyle name="Normal 3 3 2 2 2 2 2 3 2 2 2 3" xfId="36156" xr:uid="{00000000-0005-0000-0000-0000933E0000}"/>
    <cellStyle name="Normal 3 3 2 2 2 2 2 3 2 2 3" xfId="21544" xr:uid="{00000000-0005-0000-0000-0000943E0000}"/>
    <cellStyle name="Normal 3 3 2 2 2 2 2 3 2 2 3 2" xfId="53415" xr:uid="{00000000-0005-0000-0000-0000953E0000}"/>
    <cellStyle name="Normal 3 3 2 2 2 2 2 3 2 2 4" xfId="36155" xr:uid="{00000000-0005-0000-0000-0000963E0000}"/>
    <cellStyle name="Normal 3 3 2 2 2 2 2 3 2 3" xfId="4278" xr:uid="{00000000-0005-0000-0000-0000973E0000}"/>
    <cellStyle name="Normal 3 3 2 2 2 2 2 3 2 3 2" xfId="25483" xr:uid="{00000000-0005-0000-0000-0000983E0000}"/>
    <cellStyle name="Normal 3 3 2 2 2 2 2 3 2 3 2 2" xfId="57354" xr:uid="{00000000-0005-0000-0000-0000993E0000}"/>
    <cellStyle name="Normal 3 3 2 2 2 2 2 3 2 3 3" xfId="36157" xr:uid="{00000000-0005-0000-0000-00009A3E0000}"/>
    <cellStyle name="Normal 3 3 2 2 2 2 2 3 2 4" xfId="17605" xr:uid="{00000000-0005-0000-0000-00009B3E0000}"/>
    <cellStyle name="Normal 3 3 2 2 2 2 2 3 2 4 2" xfId="49476" xr:uid="{00000000-0005-0000-0000-00009C3E0000}"/>
    <cellStyle name="Normal 3 3 2 2 2 2 2 3 2 5" xfId="36154" xr:uid="{00000000-0005-0000-0000-00009D3E0000}"/>
    <cellStyle name="Normal 3 3 2 2 2 2 2 3 3" xfId="4279" xr:uid="{00000000-0005-0000-0000-00009E3E0000}"/>
    <cellStyle name="Normal 3 3 2 2 2 2 2 3 3 2" xfId="4280" xr:uid="{00000000-0005-0000-0000-00009F3E0000}"/>
    <cellStyle name="Normal 3 3 2 2 2 2 2 3 3 2 2" xfId="29421" xr:uid="{00000000-0005-0000-0000-0000A03E0000}"/>
    <cellStyle name="Normal 3 3 2 2 2 2 2 3 3 2 2 2" xfId="61292" xr:uid="{00000000-0005-0000-0000-0000A13E0000}"/>
    <cellStyle name="Normal 3 3 2 2 2 2 2 3 3 2 3" xfId="36159" xr:uid="{00000000-0005-0000-0000-0000A23E0000}"/>
    <cellStyle name="Normal 3 3 2 2 2 2 2 3 3 3" xfId="21543" xr:uid="{00000000-0005-0000-0000-0000A33E0000}"/>
    <cellStyle name="Normal 3 3 2 2 2 2 2 3 3 3 2" xfId="53414" xr:uid="{00000000-0005-0000-0000-0000A43E0000}"/>
    <cellStyle name="Normal 3 3 2 2 2 2 2 3 3 4" xfId="36158" xr:uid="{00000000-0005-0000-0000-0000A53E0000}"/>
    <cellStyle name="Normal 3 3 2 2 2 2 2 3 4" xfId="4281" xr:uid="{00000000-0005-0000-0000-0000A63E0000}"/>
    <cellStyle name="Normal 3 3 2 2 2 2 2 3 4 2" xfId="25482" xr:uid="{00000000-0005-0000-0000-0000A73E0000}"/>
    <cellStyle name="Normal 3 3 2 2 2 2 2 3 4 2 2" xfId="57353" xr:uid="{00000000-0005-0000-0000-0000A83E0000}"/>
    <cellStyle name="Normal 3 3 2 2 2 2 2 3 4 3" xfId="36160" xr:uid="{00000000-0005-0000-0000-0000A93E0000}"/>
    <cellStyle name="Normal 3 3 2 2 2 2 2 3 5" xfId="17604" xr:uid="{00000000-0005-0000-0000-0000AA3E0000}"/>
    <cellStyle name="Normal 3 3 2 2 2 2 2 3 5 2" xfId="49475" xr:uid="{00000000-0005-0000-0000-0000AB3E0000}"/>
    <cellStyle name="Normal 3 3 2 2 2 2 2 3 6" xfId="36153" xr:uid="{00000000-0005-0000-0000-0000AC3E0000}"/>
    <cellStyle name="Normal 3 3 2 2 2 2 2 4" xfId="4282" xr:uid="{00000000-0005-0000-0000-0000AD3E0000}"/>
    <cellStyle name="Normal 3 3 2 2 2 2 2 4 2" xfId="4283" xr:uid="{00000000-0005-0000-0000-0000AE3E0000}"/>
    <cellStyle name="Normal 3 3 2 2 2 2 2 4 2 2" xfId="4284" xr:uid="{00000000-0005-0000-0000-0000AF3E0000}"/>
    <cellStyle name="Normal 3 3 2 2 2 2 2 4 2 2 2" xfId="29423" xr:uid="{00000000-0005-0000-0000-0000B03E0000}"/>
    <cellStyle name="Normal 3 3 2 2 2 2 2 4 2 2 2 2" xfId="61294" xr:uid="{00000000-0005-0000-0000-0000B13E0000}"/>
    <cellStyle name="Normal 3 3 2 2 2 2 2 4 2 2 3" xfId="36163" xr:uid="{00000000-0005-0000-0000-0000B23E0000}"/>
    <cellStyle name="Normal 3 3 2 2 2 2 2 4 2 3" xfId="21545" xr:uid="{00000000-0005-0000-0000-0000B33E0000}"/>
    <cellStyle name="Normal 3 3 2 2 2 2 2 4 2 3 2" xfId="53416" xr:uid="{00000000-0005-0000-0000-0000B43E0000}"/>
    <cellStyle name="Normal 3 3 2 2 2 2 2 4 2 4" xfId="36162" xr:uid="{00000000-0005-0000-0000-0000B53E0000}"/>
    <cellStyle name="Normal 3 3 2 2 2 2 2 4 3" xfId="4285" xr:uid="{00000000-0005-0000-0000-0000B63E0000}"/>
    <cellStyle name="Normal 3 3 2 2 2 2 2 4 3 2" xfId="25484" xr:uid="{00000000-0005-0000-0000-0000B73E0000}"/>
    <cellStyle name="Normal 3 3 2 2 2 2 2 4 3 2 2" xfId="57355" xr:uid="{00000000-0005-0000-0000-0000B83E0000}"/>
    <cellStyle name="Normal 3 3 2 2 2 2 2 4 3 3" xfId="36164" xr:uid="{00000000-0005-0000-0000-0000B93E0000}"/>
    <cellStyle name="Normal 3 3 2 2 2 2 2 4 4" xfId="17606" xr:uid="{00000000-0005-0000-0000-0000BA3E0000}"/>
    <cellStyle name="Normal 3 3 2 2 2 2 2 4 4 2" xfId="49477" xr:uid="{00000000-0005-0000-0000-0000BB3E0000}"/>
    <cellStyle name="Normal 3 3 2 2 2 2 2 4 5" xfId="36161" xr:uid="{00000000-0005-0000-0000-0000BC3E0000}"/>
    <cellStyle name="Normal 3 3 2 2 2 2 2 5" xfId="4286" xr:uid="{00000000-0005-0000-0000-0000BD3E0000}"/>
    <cellStyle name="Normal 3 3 2 2 2 2 2 5 2" xfId="4287" xr:uid="{00000000-0005-0000-0000-0000BE3E0000}"/>
    <cellStyle name="Normal 3 3 2 2 2 2 2 5 2 2" xfId="29416" xr:uid="{00000000-0005-0000-0000-0000BF3E0000}"/>
    <cellStyle name="Normal 3 3 2 2 2 2 2 5 2 2 2" xfId="61287" xr:uid="{00000000-0005-0000-0000-0000C03E0000}"/>
    <cellStyle name="Normal 3 3 2 2 2 2 2 5 2 3" xfId="36166" xr:uid="{00000000-0005-0000-0000-0000C13E0000}"/>
    <cellStyle name="Normal 3 3 2 2 2 2 2 5 3" xfId="21538" xr:uid="{00000000-0005-0000-0000-0000C23E0000}"/>
    <cellStyle name="Normal 3 3 2 2 2 2 2 5 3 2" xfId="53409" xr:uid="{00000000-0005-0000-0000-0000C33E0000}"/>
    <cellStyle name="Normal 3 3 2 2 2 2 2 5 4" xfId="36165" xr:uid="{00000000-0005-0000-0000-0000C43E0000}"/>
    <cellStyle name="Normal 3 3 2 2 2 2 2 6" xfId="4288" xr:uid="{00000000-0005-0000-0000-0000C53E0000}"/>
    <cellStyle name="Normal 3 3 2 2 2 2 2 6 2" xfId="25477" xr:uid="{00000000-0005-0000-0000-0000C63E0000}"/>
    <cellStyle name="Normal 3 3 2 2 2 2 2 6 2 2" xfId="57348" xr:uid="{00000000-0005-0000-0000-0000C73E0000}"/>
    <cellStyle name="Normal 3 3 2 2 2 2 2 6 3" xfId="36167" xr:uid="{00000000-0005-0000-0000-0000C83E0000}"/>
    <cellStyle name="Normal 3 3 2 2 2 2 2 7" xfId="17599" xr:uid="{00000000-0005-0000-0000-0000C93E0000}"/>
    <cellStyle name="Normal 3 3 2 2 2 2 2 7 2" xfId="49470" xr:uid="{00000000-0005-0000-0000-0000CA3E0000}"/>
    <cellStyle name="Normal 3 3 2 2 2 2 2 8" xfId="36136" xr:uid="{00000000-0005-0000-0000-0000CB3E0000}"/>
    <cellStyle name="Normal 3 3 2 2 2 2 3" xfId="4289" xr:uid="{00000000-0005-0000-0000-0000CC3E0000}"/>
    <cellStyle name="Normal 3 3 2 2 2 2 3 2" xfId="4290" xr:uid="{00000000-0005-0000-0000-0000CD3E0000}"/>
    <cellStyle name="Normal 3 3 2 2 2 2 3 2 2" xfId="4291" xr:uid="{00000000-0005-0000-0000-0000CE3E0000}"/>
    <cellStyle name="Normal 3 3 2 2 2 2 3 2 2 2" xfId="4292" xr:uid="{00000000-0005-0000-0000-0000CF3E0000}"/>
    <cellStyle name="Normal 3 3 2 2 2 2 3 2 2 2 2" xfId="4293" xr:uid="{00000000-0005-0000-0000-0000D03E0000}"/>
    <cellStyle name="Normal 3 3 2 2 2 2 3 2 2 2 2 2" xfId="29426" xr:uid="{00000000-0005-0000-0000-0000D13E0000}"/>
    <cellStyle name="Normal 3 3 2 2 2 2 3 2 2 2 2 2 2" xfId="61297" xr:uid="{00000000-0005-0000-0000-0000D23E0000}"/>
    <cellStyle name="Normal 3 3 2 2 2 2 3 2 2 2 2 3" xfId="36172" xr:uid="{00000000-0005-0000-0000-0000D33E0000}"/>
    <cellStyle name="Normal 3 3 2 2 2 2 3 2 2 2 3" xfId="21548" xr:uid="{00000000-0005-0000-0000-0000D43E0000}"/>
    <cellStyle name="Normal 3 3 2 2 2 2 3 2 2 2 3 2" xfId="53419" xr:uid="{00000000-0005-0000-0000-0000D53E0000}"/>
    <cellStyle name="Normal 3 3 2 2 2 2 3 2 2 2 4" xfId="36171" xr:uid="{00000000-0005-0000-0000-0000D63E0000}"/>
    <cellStyle name="Normal 3 3 2 2 2 2 3 2 2 3" xfId="4294" xr:uid="{00000000-0005-0000-0000-0000D73E0000}"/>
    <cellStyle name="Normal 3 3 2 2 2 2 3 2 2 3 2" xfId="25487" xr:uid="{00000000-0005-0000-0000-0000D83E0000}"/>
    <cellStyle name="Normal 3 3 2 2 2 2 3 2 2 3 2 2" xfId="57358" xr:uid="{00000000-0005-0000-0000-0000D93E0000}"/>
    <cellStyle name="Normal 3 3 2 2 2 2 3 2 2 3 3" xfId="36173" xr:uid="{00000000-0005-0000-0000-0000DA3E0000}"/>
    <cellStyle name="Normal 3 3 2 2 2 2 3 2 2 4" xfId="17609" xr:uid="{00000000-0005-0000-0000-0000DB3E0000}"/>
    <cellStyle name="Normal 3 3 2 2 2 2 3 2 2 4 2" xfId="49480" xr:uid="{00000000-0005-0000-0000-0000DC3E0000}"/>
    <cellStyle name="Normal 3 3 2 2 2 2 3 2 2 5" xfId="36170" xr:uid="{00000000-0005-0000-0000-0000DD3E0000}"/>
    <cellStyle name="Normal 3 3 2 2 2 2 3 2 3" xfId="4295" xr:uid="{00000000-0005-0000-0000-0000DE3E0000}"/>
    <cellStyle name="Normal 3 3 2 2 2 2 3 2 3 2" xfId="4296" xr:uid="{00000000-0005-0000-0000-0000DF3E0000}"/>
    <cellStyle name="Normal 3 3 2 2 2 2 3 2 3 2 2" xfId="29425" xr:uid="{00000000-0005-0000-0000-0000E03E0000}"/>
    <cellStyle name="Normal 3 3 2 2 2 2 3 2 3 2 2 2" xfId="61296" xr:uid="{00000000-0005-0000-0000-0000E13E0000}"/>
    <cellStyle name="Normal 3 3 2 2 2 2 3 2 3 2 3" xfId="36175" xr:uid="{00000000-0005-0000-0000-0000E23E0000}"/>
    <cellStyle name="Normal 3 3 2 2 2 2 3 2 3 3" xfId="21547" xr:uid="{00000000-0005-0000-0000-0000E33E0000}"/>
    <cellStyle name="Normal 3 3 2 2 2 2 3 2 3 3 2" xfId="53418" xr:uid="{00000000-0005-0000-0000-0000E43E0000}"/>
    <cellStyle name="Normal 3 3 2 2 2 2 3 2 3 4" xfId="36174" xr:uid="{00000000-0005-0000-0000-0000E53E0000}"/>
    <cellStyle name="Normal 3 3 2 2 2 2 3 2 4" xfId="4297" xr:uid="{00000000-0005-0000-0000-0000E63E0000}"/>
    <cellStyle name="Normal 3 3 2 2 2 2 3 2 4 2" xfId="25486" xr:uid="{00000000-0005-0000-0000-0000E73E0000}"/>
    <cellStyle name="Normal 3 3 2 2 2 2 3 2 4 2 2" xfId="57357" xr:uid="{00000000-0005-0000-0000-0000E83E0000}"/>
    <cellStyle name="Normal 3 3 2 2 2 2 3 2 4 3" xfId="36176" xr:uid="{00000000-0005-0000-0000-0000E93E0000}"/>
    <cellStyle name="Normal 3 3 2 2 2 2 3 2 5" xfId="17608" xr:uid="{00000000-0005-0000-0000-0000EA3E0000}"/>
    <cellStyle name="Normal 3 3 2 2 2 2 3 2 5 2" xfId="49479" xr:uid="{00000000-0005-0000-0000-0000EB3E0000}"/>
    <cellStyle name="Normal 3 3 2 2 2 2 3 2 6" xfId="36169" xr:uid="{00000000-0005-0000-0000-0000EC3E0000}"/>
    <cellStyle name="Normal 3 3 2 2 2 2 3 3" xfId="4298" xr:uid="{00000000-0005-0000-0000-0000ED3E0000}"/>
    <cellStyle name="Normal 3 3 2 2 2 2 3 3 2" xfId="4299" xr:uid="{00000000-0005-0000-0000-0000EE3E0000}"/>
    <cellStyle name="Normal 3 3 2 2 2 2 3 3 2 2" xfId="4300" xr:uid="{00000000-0005-0000-0000-0000EF3E0000}"/>
    <cellStyle name="Normal 3 3 2 2 2 2 3 3 2 2 2" xfId="29427" xr:uid="{00000000-0005-0000-0000-0000F03E0000}"/>
    <cellStyle name="Normal 3 3 2 2 2 2 3 3 2 2 2 2" xfId="61298" xr:uid="{00000000-0005-0000-0000-0000F13E0000}"/>
    <cellStyle name="Normal 3 3 2 2 2 2 3 3 2 2 3" xfId="36179" xr:uid="{00000000-0005-0000-0000-0000F23E0000}"/>
    <cellStyle name="Normal 3 3 2 2 2 2 3 3 2 3" xfId="21549" xr:uid="{00000000-0005-0000-0000-0000F33E0000}"/>
    <cellStyle name="Normal 3 3 2 2 2 2 3 3 2 3 2" xfId="53420" xr:uid="{00000000-0005-0000-0000-0000F43E0000}"/>
    <cellStyle name="Normal 3 3 2 2 2 2 3 3 2 4" xfId="36178" xr:uid="{00000000-0005-0000-0000-0000F53E0000}"/>
    <cellStyle name="Normal 3 3 2 2 2 2 3 3 3" xfId="4301" xr:uid="{00000000-0005-0000-0000-0000F63E0000}"/>
    <cellStyle name="Normal 3 3 2 2 2 2 3 3 3 2" xfId="25488" xr:uid="{00000000-0005-0000-0000-0000F73E0000}"/>
    <cellStyle name="Normal 3 3 2 2 2 2 3 3 3 2 2" xfId="57359" xr:uid="{00000000-0005-0000-0000-0000F83E0000}"/>
    <cellStyle name="Normal 3 3 2 2 2 2 3 3 3 3" xfId="36180" xr:uid="{00000000-0005-0000-0000-0000F93E0000}"/>
    <cellStyle name="Normal 3 3 2 2 2 2 3 3 4" xfId="17610" xr:uid="{00000000-0005-0000-0000-0000FA3E0000}"/>
    <cellStyle name="Normal 3 3 2 2 2 2 3 3 4 2" xfId="49481" xr:uid="{00000000-0005-0000-0000-0000FB3E0000}"/>
    <cellStyle name="Normal 3 3 2 2 2 2 3 3 5" xfId="36177" xr:uid="{00000000-0005-0000-0000-0000FC3E0000}"/>
    <cellStyle name="Normal 3 3 2 2 2 2 3 4" xfId="4302" xr:uid="{00000000-0005-0000-0000-0000FD3E0000}"/>
    <cellStyle name="Normal 3 3 2 2 2 2 3 4 2" xfId="4303" xr:uid="{00000000-0005-0000-0000-0000FE3E0000}"/>
    <cellStyle name="Normal 3 3 2 2 2 2 3 4 2 2" xfId="29424" xr:uid="{00000000-0005-0000-0000-0000FF3E0000}"/>
    <cellStyle name="Normal 3 3 2 2 2 2 3 4 2 2 2" xfId="61295" xr:uid="{00000000-0005-0000-0000-0000003F0000}"/>
    <cellStyle name="Normal 3 3 2 2 2 2 3 4 2 3" xfId="36182" xr:uid="{00000000-0005-0000-0000-0000013F0000}"/>
    <cellStyle name="Normal 3 3 2 2 2 2 3 4 3" xfId="21546" xr:uid="{00000000-0005-0000-0000-0000023F0000}"/>
    <cellStyle name="Normal 3 3 2 2 2 2 3 4 3 2" xfId="53417" xr:uid="{00000000-0005-0000-0000-0000033F0000}"/>
    <cellStyle name="Normal 3 3 2 2 2 2 3 4 4" xfId="36181" xr:uid="{00000000-0005-0000-0000-0000043F0000}"/>
    <cellStyle name="Normal 3 3 2 2 2 2 3 5" xfId="4304" xr:uid="{00000000-0005-0000-0000-0000053F0000}"/>
    <cellStyle name="Normal 3 3 2 2 2 2 3 5 2" xfId="25485" xr:uid="{00000000-0005-0000-0000-0000063F0000}"/>
    <cellStyle name="Normal 3 3 2 2 2 2 3 5 2 2" xfId="57356" xr:uid="{00000000-0005-0000-0000-0000073F0000}"/>
    <cellStyle name="Normal 3 3 2 2 2 2 3 5 3" xfId="36183" xr:uid="{00000000-0005-0000-0000-0000083F0000}"/>
    <cellStyle name="Normal 3 3 2 2 2 2 3 6" xfId="17607" xr:uid="{00000000-0005-0000-0000-0000093F0000}"/>
    <cellStyle name="Normal 3 3 2 2 2 2 3 6 2" xfId="49478" xr:uid="{00000000-0005-0000-0000-00000A3F0000}"/>
    <cellStyle name="Normal 3 3 2 2 2 2 3 7" xfId="36168" xr:uid="{00000000-0005-0000-0000-00000B3F0000}"/>
    <cellStyle name="Normal 3 3 2 2 2 2 4" xfId="4305" xr:uid="{00000000-0005-0000-0000-00000C3F0000}"/>
    <cellStyle name="Normal 3 3 2 2 2 2 4 2" xfId="4306" xr:uid="{00000000-0005-0000-0000-00000D3F0000}"/>
    <cellStyle name="Normal 3 3 2 2 2 2 4 2 2" xfId="4307" xr:uid="{00000000-0005-0000-0000-00000E3F0000}"/>
    <cellStyle name="Normal 3 3 2 2 2 2 4 2 2 2" xfId="4308" xr:uid="{00000000-0005-0000-0000-00000F3F0000}"/>
    <cellStyle name="Normal 3 3 2 2 2 2 4 2 2 2 2" xfId="29429" xr:uid="{00000000-0005-0000-0000-0000103F0000}"/>
    <cellStyle name="Normal 3 3 2 2 2 2 4 2 2 2 2 2" xfId="61300" xr:uid="{00000000-0005-0000-0000-0000113F0000}"/>
    <cellStyle name="Normal 3 3 2 2 2 2 4 2 2 2 3" xfId="36187" xr:uid="{00000000-0005-0000-0000-0000123F0000}"/>
    <cellStyle name="Normal 3 3 2 2 2 2 4 2 2 3" xfId="21551" xr:uid="{00000000-0005-0000-0000-0000133F0000}"/>
    <cellStyle name="Normal 3 3 2 2 2 2 4 2 2 3 2" xfId="53422" xr:uid="{00000000-0005-0000-0000-0000143F0000}"/>
    <cellStyle name="Normal 3 3 2 2 2 2 4 2 2 4" xfId="36186" xr:uid="{00000000-0005-0000-0000-0000153F0000}"/>
    <cellStyle name="Normal 3 3 2 2 2 2 4 2 3" xfId="4309" xr:uid="{00000000-0005-0000-0000-0000163F0000}"/>
    <cellStyle name="Normal 3 3 2 2 2 2 4 2 3 2" xfId="25490" xr:uid="{00000000-0005-0000-0000-0000173F0000}"/>
    <cellStyle name="Normal 3 3 2 2 2 2 4 2 3 2 2" xfId="57361" xr:uid="{00000000-0005-0000-0000-0000183F0000}"/>
    <cellStyle name="Normal 3 3 2 2 2 2 4 2 3 3" xfId="36188" xr:uid="{00000000-0005-0000-0000-0000193F0000}"/>
    <cellStyle name="Normal 3 3 2 2 2 2 4 2 4" xfId="17612" xr:uid="{00000000-0005-0000-0000-00001A3F0000}"/>
    <cellStyle name="Normal 3 3 2 2 2 2 4 2 4 2" xfId="49483" xr:uid="{00000000-0005-0000-0000-00001B3F0000}"/>
    <cellStyle name="Normal 3 3 2 2 2 2 4 2 5" xfId="36185" xr:uid="{00000000-0005-0000-0000-00001C3F0000}"/>
    <cellStyle name="Normal 3 3 2 2 2 2 4 3" xfId="4310" xr:uid="{00000000-0005-0000-0000-00001D3F0000}"/>
    <cellStyle name="Normal 3 3 2 2 2 2 4 3 2" xfId="4311" xr:uid="{00000000-0005-0000-0000-00001E3F0000}"/>
    <cellStyle name="Normal 3 3 2 2 2 2 4 3 2 2" xfId="29428" xr:uid="{00000000-0005-0000-0000-00001F3F0000}"/>
    <cellStyle name="Normal 3 3 2 2 2 2 4 3 2 2 2" xfId="61299" xr:uid="{00000000-0005-0000-0000-0000203F0000}"/>
    <cellStyle name="Normal 3 3 2 2 2 2 4 3 2 3" xfId="36190" xr:uid="{00000000-0005-0000-0000-0000213F0000}"/>
    <cellStyle name="Normal 3 3 2 2 2 2 4 3 3" xfId="21550" xr:uid="{00000000-0005-0000-0000-0000223F0000}"/>
    <cellStyle name="Normal 3 3 2 2 2 2 4 3 3 2" xfId="53421" xr:uid="{00000000-0005-0000-0000-0000233F0000}"/>
    <cellStyle name="Normal 3 3 2 2 2 2 4 3 4" xfId="36189" xr:uid="{00000000-0005-0000-0000-0000243F0000}"/>
    <cellStyle name="Normal 3 3 2 2 2 2 4 4" xfId="4312" xr:uid="{00000000-0005-0000-0000-0000253F0000}"/>
    <cellStyle name="Normal 3 3 2 2 2 2 4 4 2" xfId="25489" xr:uid="{00000000-0005-0000-0000-0000263F0000}"/>
    <cellStyle name="Normal 3 3 2 2 2 2 4 4 2 2" xfId="57360" xr:uid="{00000000-0005-0000-0000-0000273F0000}"/>
    <cellStyle name="Normal 3 3 2 2 2 2 4 4 3" xfId="36191" xr:uid="{00000000-0005-0000-0000-0000283F0000}"/>
    <cellStyle name="Normal 3 3 2 2 2 2 4 5" xfId="17611" xr:uid="{00000000-0005-0000-0000-0000293F0000}"/>
    <cellStyle name="Normal 3 3 2 2 2 2 4 5 2" xfId="49482" xr:uid="{00000000-0005-0000-0000-00002A3F0000}"/>
    <cellStyle name="Normal 3 3 2 2 2 2 4 6" xfId="36184" xr:uid="{00000000-0005-0000-0000-00002B3F0000}"/>
    <cellStyle name="Normal 3 3 2 2 2 2 5" xfId="4313" xr:uid="{00000000-0005-0000-0000-00002C3F0000}"/>
    <cellStyle name="Normal 3 3 2 2 2 2 5 2" xfId="4314" xr:uid="{00000000-0005-0000-0000-00002D3F0000}"/>
    <cellStyle name="Normal 3 3 2 2 2 2 5 2 2" xfId="4315" xr:uid="{00000000-0005-0000-0000-00002E3F0000}"/>
    <cellStyle name="Normal 3 3 2 2 2 2 5 2 2 2" xfId="29430" xr:uid="{00000000-0005-0000-0000-00002F3F0000}"/>
    <cellStyle name="Normal 3 3 2 2 2 2 5 2 2 2 2" xfId="61301" xr:uid="{00000000-0005-0000-0000-0000303F0000}"/>
    <cellStyle name="Normal 3 3 2 2 2 2 5 2 2 3" xfId="36194" xr:uid="{00000000-0005-0000-0000-0000313F0000}"/>
    <cellStyle name="Normal 3 3 2 2 2 2 5 2 3" xfId="21552" xr:uid="{00000000-0005-0000-0000-0000323F0000}"/>
    <cellStyle name="Normal 3 3 2 2 2 2 5 2 3 2" xfId="53423" xr:uid="{00000000-0005-0000-0000-0000333F0000}"/>
    <cellStyle name="Normal 3 3 2 2 2 2 5 2 4" xfId="36193" xr:uid="{00000000-0005-0000-0000-0000343F0000}"/>
    <cellStyle name="Normal 3 3 2 2 2 2 5 3" xfId="4316" xr:uid="{00000000-0005-0000-0000-0000353F0000}"/>
    <cellStyle name="Normal 3 3 2 2 2 2 5 3 2" xfId="25491" xr:uid="{00000000-0005-0000-0000-0000363F0000}"/>
    <cellStyle name="Normal 3 3 2 2 2 2 5 3 2 2" xfId="57362" xr:uid="{00000000-0005-0000-0000-0000373F0000}"/>
    <cellStyle name="Normal 3 3 2 2 2 2 5 3 3" xfId="36195" xr:uid="{00000000-0005-0000-0000-0000383F0000}"/>
    <cellStyle name="Normal 3 3 2 2 2 2 5 4" xfId="17613" xr:uid="{00000000-0005-0000-0000-0000393F0000}"/>
    <cellStyle name="Normal 3 3 2 2 2 2 5 4 2" xfId="49484" xr:uid="{00000000-0005-0000-0000-00003A3F0000}"/>
    <cellStyle name="Normal 3 3 2 2 2 2 5 5" xfId="36192" xr:uid="{00000000-0005-0000-0000-00003B3F0000}"/>
    <cellStyle name="Normal 3 3 2 2 2 2 6" xfId="4317" xr:uid="{00000000-0005-0000-0000-00003C3F0000}"/>
    <cellStyle name="Normal 3 3 2 2 2 2 6 2" xfId="4318" xr:uid="{00000000-0005-0000-0000-00003D3F0000}"/>
    <cellStyle name="Normal 3 3 2 2 2 2 6 2 2" xfId="28451" xr:uid="{00000000-0005-0000-0000-00003E3F0000}"/>
    <cellStyle name="Normal 3 3 2 2 2 2 6 2 2 2" xfId="60322" xr:uid="{00000000-0005-0000-0000-00003F3F0000}"/>
    <cellStyle name="Normal 3 3 2 2 2 2 6 2 3" xfId="36197" xr:uid="{00000000-0005-0000-0000-0000403F0000}"/>
    <cellStyle name="Normal 3 3 2 2 2 2 6 3" xfId="20573" xr:uid="{00000000-0005-0000-0000-0000413F0000}"/>
    <cellStyle name="Normal 3 3 2 2 2 2 6 3 2" xfId="52444" xr:uid="{00000000-0005-0000-0000-0000423F0000}"/>
    <cellStyle name="Normal 3 3 2 2 2 2 6 4" xfId="36196" xr:uid="{00000000-0005-0000-0000-0000433F0000}"/>
    <cellStyle name="Normal 3 3 2 2 2 2 7" xfId="4319" xr:uid="{00000000-0005-0000-0000-0000443F0000}"/>
    <cellStyle name="Normal 3 3 2 2 2 2 7 2" xfId="24512" xr:uid="{00000000-0005-0000-0000-0000453F0000}"/>
    <cellStyle name="Normal 3 3 2 2 2 2 7 2 2" xfId="56383" xr:uid="{00000000-0005-0000-0000-0000463F0000}"/>
    <cellStyle name="Normal 3 3 2 2 2 2 7 3" xfId="36198" xr:uid="{00000000-0005-0000-0000-0000473F0000}"/>
    <cellStyle name="Normal 3 3 2 2 2 2 8" xfId="16634" xr:uid="{00000000-0005-0000-0000-0000483F0000}"/>
    <cellStyle name="Normal 3 3 2 2 2 2 8 2" xfId="48505" xr:uid="{00000000-0005-0000-0000-0000493F0000}"/>
    <cellStyle name="Normal 3 3 2 2 2 2 9" xfId="36135" xr:uid="{00000000-0005-0000-0000-00004A3F0000}"/>
    <cellStyle name="Normal 3 3 2 2 2 3" xfId="4320" xr:uid="{00000000-0005-0000-0000-00004B3F0000}"/>
    <cellStyle name="Normal 3 3 2 2 2 3 2" xfId="4321" xr:uid="{00000000-0005-0000-0000-00004C3F0000}"/>
    <cellStyle name="Normal 3 3 2 2 2 3 2 2" xfId="4322" xr:uid="{00000000-0005-0000-0000-00004D3F0000}"/>
    <cellStyle name="Normal 3 3 2 2 2 3 2 2 2" xfId="4323" xr:uid="{00000000-0005-0000-0000-00004E3F0000}"/>
    <cellStyle name="Normal 3 3 2 2 2 3 2 2 2 2" xfId="4324" xr:uid="{00000000-0005-0000-0000-00004F3F0000}"/>
    <cellStyle name="Normal 3 3 2 2 2 3 2 2 2 2 2" xfId="4325" xr:uid="{00000000-0005-0000-0000-0000503F0000}"/>
    <cellStyle name="Normal 3 3 2 2 2 3 2 2 2 2 2 2" xfId="29434" xr:uid="{00000000-0005-0000-0000-0000513F0000}"/>
    <cellStyle name="Normal 3 3 2 2 2 3 2 2 2 2 2 2 2" xfId="61305" xr:uid="{00000000-0005-0000-0000-0000523F0000}"/>
    <cellStyle name="Normal 3 3 2 2 2 3 2 2 2 2 2 3" xfId="36204" xr:uid="{00000000-0005-0000-0000-0000533F0000}"/>
    <cellStyle name="Normal 3 3 2 2 2 3 2 2 2 2 3" xfId="21556" xr:uid="{00000000-0005-0000-0000-0000543F0000}"/>
    <cellStyle name="Normal 3 3 2 2 2 3 2 2 2 2 3 2" xfId="53427" xr:uid="{00000000-0005-0000-0000-0000553F0000}"/>
    <cellStyle name="Normal 3 3 2 2 2 3 2 2 2 2 4" xfId="36203" xr:uid="{00000000-0005-0000-0000-0000563F0000}"/>
    <cellStyle name="Normal 3 3 2 2 2 3 2 2 2 3" xfId="4326" xr:uid="{00000000-0005-0000-0000-0000573F0000}"/>
    <cellStyle name="Normal 3 3 2 2 2 3 2 2 2 3 2" xfId="25495" xr:uid="{00000000-0005-0000-0000-0000583F0000}"/>
    <cellStyle name="Normal 3 3 2 2 2 3 2 2 2 3 2 2" xfId="57366" xr:uid="{00000000-0005-0000-0000-0000593F0000}"/>
    <cellStyle name="Normal 3 3 2 2 2 3 2 2 2 3 3" xfId="36205" xr:uid="{00000000-0005-0000-0000-00005A3F0000}"/>
    <cellStyle name="Normal 3 3 2 2 2 3 2 2 2 4" xfId="17617" xr:uid="{00000000-0005-0000-0000-00005B3F0000}"/>
    <cellStyle name="Normal 3 3 2 2 2 3 2 2 2 4 2" xfId="49488" xr:uid="{00000000-0005-0000-0000-00005C3F0000}"/>
    <cellStyle name="Normal 3 3 2 2 2 3 2 2 2 5" xfId="36202" xr:uid="{00000000-0005-0000-0000-00005D3F0000}"/>
    <cellStyle name="Normal 3 3 2 2 2 3 2 2 3" xfId="4327" xr:uid="{00000000-0005-0000-0000-00005E3F0000}"/>
    <cellStyle name="Normal 3 3 2 2 2 3 2 2 3 2" xfId="4328" xr:uid="{00000000-0005-0000-0000-00005F3F0000}"/>
    <cellStyle name="Normal 3 3 2 2 2 3 2 2 3 2 2" xfId="29433" xr:uid="{00000000-0005-0000-0000-0000603F0000}"/>
    <cellStyle name="Normal 3 3 2 2 2 3 2 2 3 2 2 2" xfId="61304" xr:uid="{00000000-0005-0000-0000-0000613F0000}"/>
    <cellStyle name="Normal 3 3 2 2 2 3 2 2 3 2 3" xfId="36207" xr:uid="{00000000-0005-0000-0000-0000623F0000}"/>
    <cellStyle name="Normal 3 3 2 2 2 3 2 2 3 3" xfId="21555" xr:uid="{00000000-0005-0000-0000-0000633F0000}"/>
    <cellStyle name="Normal 3 3 2 2 2 3 2 2 3 3 2" xfId="53426" xr:uid="{00000000-0005-0000-0000-0000643F0000}"/>
    <cellStyle name="Normal 3 3 2 2 2 3 2 2 3 4" xfId="36206" xr:uid="{00000000-0005-0000-0000-0000653F0000}"/>
    <cellStyle name="Normal 3 3 2 2 2 3 2 2 4" xfId="4329" xr:uid="{00000000-0005-0000-0000-0000663F0000}"/>
    <cellStyle name="Normal 3 3 2 2 2 3 2 2 4 2" xfId="25494" xr:uid="{00000000-0005-0000-0000-0000673F0000}"/>
    <cellStyle name="Normal 3 3 2 2 2 3 2 2 4 2 2" xfId="57365" xr:uid="{00000000-0005-0000-0000-0000683F0000}"/>
    <cellStyle name="Normal 3 3 2 2 2 3 2 2 4 3" xfId="36208" xr:uid="{00000000-0005-0000-0000-0000693F0000}"/>
    <cellStyle name="Normal 3 3 2 2 2 3 2 2 5" xfId="17616" xr:uid="{00000000-0005-0000-0000-00006A3F0000}"/>
    <cellStyle name="Normal 3 3 2 2 2 3 2 2 5 2" xfId="49487" xr:uid="{00000000-0005-0000-0000-00006B3F0000}"/>
    <cellStyle name="Normal 3 3 2 2 2 3 2 2 6" xfId="36201" xr:uid="{00000000-0005-0000-0000-00006C3F0000}"/>
    <cellStyle name="Normal 3 3 2 2 2 3 2 3" xfId="4330" xr:uid="{00000000-0005-0000-0000-00006D3F0000}"/>
    <cellStyle name="Normal 3 3 2 2 2 3 2 3 2" xfId="4331" xr:uid="{00000000-0005-0000-0000-00006E3F0000}"/>
    <cellStyle name="Normal 3 3 2 2 2 3 2 3 2 2" xfId="4332" xr:uid="{00000000-0005-0000-0000-00006F3F0000}"/>
    <cellStyle name="Normal 3 3 2 2 2 3 2 3 2 2 2" xfId="29435" xr:uid="{00000000-0005-0000-0000-0000703F0000}"/>
    <cellStyle name="Normal 3 3 2 2 2 3 2 3 2 2 2 2" xfId="61306" xr:uid="{00000000-0005-0000-0000-0000713F0000}"/>
    <cellStyle name="Normal 3 3 2 2 2 3 2 3 2 2 3" xfId="36211" xr:uid="{00000000-0005-0000-0000-0000723F0000}"/>
    <cellStyle name="Normal 3 3 2 2 2 3 2 3 2 3" xfId="21557" xr:uid="{00000000-0005-0000-0000-0000733F0000}"/>
    <cellStyle name="Normal 3 3 2 2 2 3 2 3 2 3 2" xfId="53428" xr:uid="{00000000-0005-0000-0000-0000743F0000}"/>
    <cellStyle name="Normal 3 3 2 2 2 3 2 3 2 4" xfId="36210" xr:uid="{00000000-0005-0000-0000-0000753F0000}"/>
    <cellStyle name="Normal 3 3 2 2 2 3 2 3 3" xfId="4333" xr:uid="{00000000-0005-0000-0000-0000763F0000}"/>
    <cellStyle name="Normal 3 3 2 2 2 3 2 3 3 2" xfId="25496" xr:uid="{00000000-0005-0000-0000-0000773F0000}"/>
    <cellStyle name="Normal 3 3 2 2 2 3 2 3 3 2 2" xfId="57367" xr:uid="{00000000-0005-0000-0000-0000783F0000}"/>
    <cellStyle name="Normal 3 3 2 2 2 3 2 3 3 3" xfId="36212" xr:uid="{00000000-0005-0000-0000-0000793F0000}"/>
    <cellStyle name="Normal 3 3 2 2 2 3 2 3 4" xfId="17618" xr:uid="{00000000-0005-0000-0000-00007A3F0000}"/>
    <cellStyle name="Normal 3 3 2 2 2 3 2 3 4 2" xfId="49489" xr:uid="{00000000-0005-0000-0000-00007B3F0000}"/>
    <cellStyle name="Normal 3 3 2 2 2 3 2 3 5" xfId="36209" xr:uid="{00000000-0005-0000-0000-00007C3F0000}"/>
    <cellStyle name="Normal 3 3 2 2 2 3 2 4" xfId="4334" xr:uid="{00000000-0005-0000-0000-00007D3F0000}"/>
    <cellStyle name="Normal 3 3 2 2 2 3 2 4 2" xfId="4335" xr:uid="{00000000-0005-0000-0000-00007E3F0000}"/>
    <cellStyle name="Normal 3 3 2 2 2 3 2 4 2 2" xfId="29432" xr:uid="{00000000-0005-0000-0000-00007F3F0000}"/>
    <cellStyle name="Normal 3 3 2 2 2 3 2 4 2 2 2" xfId="61303" xr:uid="{00000000-0005-0000-0000-0000803F0000}"/>
    <cellStyle name="Normal 3 3 2 2 2 3 2 4 2 3" xfId="36214" xr:uid="{00000000-0005-0000-0000-0000813F0000}"/>
    <cellStyle name="Normal 3 3 2 2 2 3 2 4 3" xfId="21554" xr:uid="{00000000-0005-0000-0000-0000823F0000}"/>
    <cellStyle name="Normal 3 3 2 2 2 3 2 4 3 2" xfId="53425" xr:uid="{00000000-0005-0000-0000-0000833F0000}"/>
    <cellStyle name="Normal 3 3 2 2 2 3 2 4 4" xfId="36213" xr:uid="{00000000-0005-0000-0000-0000843F0000}"/>
    <cellStyle name="Normal 3 3 2 2 2 3 2 5" xfId="4336" xr:uid="{00000000-0005-0000-0000-0000853F0000}"/>
    <cellStyle name="Normal 3 3 2 2 2 3 2 5 2" xfId="25493" xr:uid="{00000000-0005-0000-0000-0000863F0000}"/>
    <cellStyle name="Normal 3 3 2 2 2 3 2 5 2 2" xfId="57364" xr:uid="{00000000-0005-0000-0000-0000873F0000}"/>
    <cellStyle name="Normal 3 3 2 2 2 3 2 5 3" xfId="36215" xr:uid="{00000000-0005-0000-0000-0000883F0000}"/>
    <cellStyle name="Normal 3 3 2 2 2 3 2 6" xfId="17615" xr:uid="{00000000-0005-0000-0000-0000893F0000}"/>
    <cellStyle name="Normal 3 3 2 2 2 3 2 6 2" xfId="49486" xr:uid="{00000000-0005-0000-0000-00008A3F0000}"/>
    <cellStyle name="Normal 3 3 2 2 2 3 2 7" xfId="36200" xr:uid="{00000000-0005-0000-0000-00008B3F0000}"/>
    <cellStyle name="Normal 3 3 2 2 2 3 3" xfId="4337" xr:uid="{00000000-0005-0000-0000-00008C3F0000}"/>
    <cellStyle name="Normal 3 3 2 2 2 3 3 2" xfId="4338" xr:uid="{00000000-0005-0000-0000-00008D3F0000}"/>
    <cellStyle name="Normal 3 3 2 2 2 3 3 2 2" xfId="4339" xr:uid="{00000000-0005-0000-0000-00008E3F0000}"/>
    <cellStyle name="Normal 3 3 2 2 2 3 3 2 2 2" xfId="4340" xr:uid="{00000000-0005-0000-0000-00008F3F0000}"/>
    <cellStyle name="Normal 3 3 2 2 2 3 3 2 2 2 2" xfId="29437" xr:uid="{00000000-0005-0000-0000-0000903F0000}"/>
    <cellStyle name="Normal 3 3 2 2 2 3 3 2 2 2 2 2" xfId="61308" xr:uid="{00000000-0005-0000-0000-0000913F0000}"/>
    <cellStyle name="Normal 3 3 2 2 2 3 3 2 2 2 3" xfId="36219" xr:uid="{00000000-0005-0000-0000-0000923F0000}"/>
    <cellStyle name="Normal 3 3 2 2 2 3 3 2 2 3" xfId="21559" xr:uid="{00000000-0005-0000-0000-0000933F0000}"/>
    <cellStyle name="Normal 3 3 2 2 2 3 3 2 2 3 2" xfId="53430" xr:uid="{00000000-0005-0000-0000-0000943F0000}"/>
    <cellStyle name="Normal 3 3 2 2 2 3 3 2 2 4" xfId="36218" xr:uid="{00000000-0005-0000-0000-0000953F0000}"/>
    <cellStyle name="Normal 3 3 2 2 2 3 3 2 3" xfId="4341" xr:uid="{00000000-0005-0000-0000-0000963F0000}"/>
    <cellStyle name="Normal 3 3 2 2 2 3 3 2 3 2" xfId="25498" xr:uid="{00000000-0005-0000-0000-0000973F0000}"/>
    <cellStyle name="Normal 3 3 2 2 2 3 3 2 3 2 2" xfId="57369" xr:uid="{00000000-0005-0000-0000-0000983F0000}"/>
    <cellStyle name="Normal 3 3 2 2 2 3 3 2 3 3" xfId="36220" xr:uid="{00000000-0005-0000-0000-0000993F0000}"/>
    <cellStyle name="Normal 3 3 2 2 2 3 3 2 4" xfId="17620" xr:uid="{00000000-0005-0000-0000-00009A3F0000}"/>
    <cellStyle name="Normal 3 3 2 2 2 3 3 2 4 2" xfId="49491" xr:uid="{00000000-0005-0000-0000-00009B3F0000}"/>
    <cellStyle name="Normal 3 3 2 2 2 3 3 2 5" xfId="36217" xr:uid="{00000000-0005-0000-0000-00009C3F0000}"/>
    <cellStyle name="Normal 3 3 2 2 2 3 3 3" xfId="4342" xr:uid="{00000000-0005-0000-0000-00009D3F0000}"/>
    <cellStyle name="Normal 3 3 2 2 2 3 3 3 2" xfId="4343" xr:uid="{00000000-0005-0000-0000-00009E3F0000}"/>
    <cellStyle name="Normal 3 3 2 2 2 3 3 3 2 2" xfId="29436" xr:uid="{00000000-0005-0000-0000-00009F3F0000}"/>
    <cellStyle name="Normal 3 3 2 2 2 3 3 3 2 2 2" xfId="61307" xr:uid="{00000000-0005-0000-0000-0000A03F0000}"/>
    <cellStyle name="Normal 3 3 2 2 2 3 3 3 2 3" xfId="36222" xr:uid="{00000000-0005-0000-0000-0000A13F0000}"/>
    <cellStyle name="Normal 3 3 2 2 2 3 3 3 3" xfId="21558" xr:uid="{00000000-0005-0000-0000-0000A23F0000}"/>
    <cellStyle name="Normal 3 3 2 2 2 3 3 3 3 2" xfId="53429" xr:uid="{00000000-0005-0000-0000-0000A33F0000}"/>
    <cellStyle name="Normal 3 3 2 2 2 3 3 3 4" xfId="36221" xr:uid="{00000000-0005-0000-0000-0000A43F0000}"/>
    <cellStyle name="Normal 3 3 2 2 2 3 3 4" xfId="4344" xr:uid="{00000000-0005-0000-0000-0000A53F0000}"/>
    <cellStyle name="Normal 3 3 2 2 2 3 3 4 2" xfId="25497" xr:uid="{00000000-0005-0000-0000-0000A63F0000}"/>
    <cellStyle name="Normal 3 3 2 2 2 3 3 4 2 2" xfId="57368" xr:uid="{00000000-0005-0000-0000-0000A73F0000}"/>
    <cellStyle name="Normal 3 3 2 2 2 3 3 4 3" xfId="36223" xr:uid="{00000000-0005-0000-0000-0000A83F0000}"/>
    <cellStyle name="Normal 3 3 2 2 2 3 3 5" xfId="17619" xr:uid="{00000000-0005-0000-0000-0000A93F0000}"/>
    <cellStyle name="Normal 3 3 2 2 2 3 3 5 2" xfId="49490" xr:uid="{00000000-0005-0000-0000-0000AA3F0000}"/>
    <cellStyle name="Normal 3 3 2 2 2 3 3 6" xfId="36216" xr:uid="{00000000-0005-0000-0000-0000AB3F0000}"/>
    <cellStyle name="Normal 3 3 2 2 2 3 4" xfId="4345" xr:uid="{00000000-0005-0000-0000-0000AC3F0000}"/>
    <cellStyle name="Normal 3 3 2 2 2 3 4 2" xfId="4346" xr:uid="{00000000-0005-0000-0000-0000AD3F0000}"/>
    <cellStyle name="Normal 3 3 2 2 2 3 4 2 2" xfId="4347" xr:uid="{00000000-0005-0000-0000-0000AE3F0000}"/>
    <cellStyle name="Normal 3 3 2 2 2 3 4 2 2 2" xfId="29438" xr:uid="{00000000-0005-0000-0000-0000AF3F0000}"/>
    <cellStyle name="Normal 3 3 2 2 2 3 4 2 2 2 2" xfId="61309" xr:uid="{00000000-0005-0000-0000-0000B03F0000}"/>
    <cellStyle name="Normal 3 3 2 2 2 3 4 2 2 3" xfId="36226" xr:uid="{00000000-0005-0000-0000-0000B13F0000}"/>
    <cellStyle name="Normal 3 3 2 2 2 3 4 2 3" xfId="21560" xr:uid="{00000000-0005-0000-0000-0000B23F0000}"/>
    <cellStyle name="Normal 3 3 2 2 2 3 4 2 3 2" xfId="53431" xr:uid="{00000000-0005-0000-0000-0000B33F0000}"/>
    <cellStyle name="Normal 3 3 2 2 2 3 4 2 4" xfId="36225" xr:uid="{00000000-0005-0000-0000-0000B43F0000}"/>
    <cellStyle name="Normal 3 3 2 2 2 3 4 3" xfId="4348" xr:uid="{00000000-0005-0000-0000-0000B53F0000}"/>
    <cellStyle name="Normal 3 3 2 2 2 3 4 3 2" xfId="25499" xr:uid="{00000000-0005-0000-0000-0000B63F0000}"/>
    <cellStyle name="Normal 3 3 2 2 2 3 4 3 2 2" xfId="57370" xr:uid="{00000000-0005-0000-0000-0000B73F0000}"/>
    <cellStyle name="Normal 3 3 2 2 2 3 4 3 3" xfId="36227" xr:uid="{00000000-0005-0000-0000-0000B83F0000}"/>
    <cellStyle name="Normal 3 3 2 2 2 3 4 4" xfId="17621" xr:uid="{00000000-0005-0000-0000-0000B93F0000}"/>
    <cellStyle name="Normal 3 3 2 2 2 3 4 4 2" xfId="49492" xr:uid="{00000000-0005-0000-0000-0000BA3F0000}"/>
    <cellStyle name="Normal 3 3 2 2 2 3 4 5" xfId="36224" xr:uid="{00000000-0005-0000-0000-0000BB3F0000}"/>
    <cellStyle name="Normal 3 3 2 2 2 3 5" xfId="4349" xr:uid="{00000000-0005-0000-0000-0000BC3F0000}"/>
    <cellStyle name="Normal 3 3 2 2 2 3 5 2" xfId="4350" xr:uid="{00000000-0005-0000-0000-0000BD3F0000}"/>
    <cellStyle name="Normal 3 3 2 2 2 3 5 2 2" xfId="29431" xr:uid="{00000000-0005-0000-0000-0000BE3F0000}"/>
    <cellStyle name="Normal 3 3 2 2 2 3 5 2 2 2" xfId="61302" xr:uid="{00000000-0005-0000-0000-0000BF3F0000}"/>
    <cellStyle name="Normal 3 3 2 2 2 3 5 2 3" xfId="36229" xr:uid="{00000000-0005-0000-0000-0000C03F0000}"/>
    <cellStyle name="Normal 3 3 2 2 2 3 5 3" xfId="21553" xr:uid="{00000000-0005-0000-0000-0000C13F0000}"/>
    <cellStyle name="Normal 3 3 2 2 2 3 5 3 2" xfId="53424" xr:uid="{00000000-0005-0000-0000-0000C23F0000}"/>
    <cellStyle name="Normal 3 3 2 2 2 3 5 4" xfId="36228" xr:uid="{00000000-0005-0000-0000-0000C33F0000}"/>
    <cellStyle name="Normal 3 3 2 2 2 3 6" xfId="4351" xr:uid="{00000000-0005-0000-0000-0000C43F0000}"/>
    <cellStyle name="Normal 3 3 2 2 2 3 6 2" xfId="25492" xr:uid="{00000000-0005-0000-0000-0000C53F0000}"/>
    <cellStyle name="Normal 3 3 2 2 2 3 6 2 2" xfId="57363" xr:uid="{00000000-0005-0000-0000-0000C63F0000}"/>
    <cellStyle name="Normal 3 3 2 2 2 3 6 3" xfId="36230" xr:uid="{00000000-0005-0000-0000-0000C73F0000}"/>
    <cellStyle name="Normal 3 3 2 2 2 3 7" xfId="17614" xr:uid="{00000000-0005-0000-0000-0000C83F0000}"/>
    <cellStyle name="Normal 3 3 2 2 2 3 7 2" xfId="49485" xr:uid="{00000000-0005-0000-0000-0000C93F0000}"/>
    <cellStyle name="Normal 3 3 2 2 2 3 8" xfId="36199" xr:uid="{00000000-0005-0000-0000-0000CA3F0000}"/>
    <cellStyle name="Normal 3 3 2 2 2 4" xfId="4352" xr:uid="{00000000-0005-0000-0000-0000CB3F0000}"/>
    <cellStyle name="Normal 3 3 2 2 2 4 2" xfId="4353" xr:uid="{00000000-0005-0000-0000-0000CC3F0000}"/>
    <cellStyle name="Normal 3 3 2 2 2 4 2 2" xfId="4354" xr:uid="{00000000-0005-0000-0000-0000CD3F0000}"/>
    <cellStyle name="Normal 3 3 2 2 2 4 2 2 2" xfId="4355" xr:uid="{00000000-0005-0000-0000-0000CE3F0000}"/>
    <cellStyle name="Normal 3 3 2 2 2 4 2 2 2 2" xfId="4356" xr:uid="{00000000-0005-0000-0000-0000CF3F0000}"/>
    <cellStyle name="Normal 3 3 2 2 2 4 2 2 2 2 2" xfId="29441" xr:uid="{00000000-0005-0000-0000-0000D03F0000}"/>
    <cellStyle name="Normal 3 3 2 2 2 4 2 2 2 2 2 2" xfId="61312" xr:uid="{00000000-0005-0000-0000-0000D13F0000}"/>
    <cellStyle name="Normal 3 3 2 2 2 4 2 2 2 2 3" xfId="36235" xr:uid="{00000000-0005-0000-0000-0000D23F0000}"/>
    <cellStyle name="Normal 3 3 2 2 2 4 2 2 2 3" xfId="21563" xr:uid="{00000000-0005-0000-0000-0000D33F0000}"/>
    <cellStyle name="Normal 3 3 2 2 2 4 2 2 2 3 2" xfId="53434" xr:uid="{00000000-0005-0000-0000-0000D43F0000}"/>
    <cellStyle name="Normal 3 3 2 2 2 4 2 2 2 4" xfId="36234" xr:uid="{00000000-0005-0000-0000-0000D53F0000}"/>
    <cellStyle name="Normal 3 3 2 2 2 4 2 2 3" xfId="4357" xr:uid="{00000000-0005-0000-0000-0000D63F0000}"/>
    <cellStyle name="Normal 3 3 2 2 2 4 2 2 3 2" xfId="25502" xr:uid="{00000000-0005-0000-0000-0000D73F0000}"/>
    <cellStyle name="Normal 3 3 2 2 2 4 2 2 3 2 2" xfId="57373" xr:uid="{00000000-0005-0000-0000-0000D83F0000}"/>
    <cellStyle name="Normal 3 3 2 2 2 4 2 2 3 3" xfId="36236" xr:uid="{00000000-0005-0000-0000-0000D93F0000}"/>
    <cellStyle name="Normal 3 3 2 2 2 4 2 2 4" xfId="17624" xr:uid="{00000000-0005-0000-0000-0000DA3F0000}"/>
    <cellStyle name="Normal 3 3 2 2 2 4 2 2 4 2" xfId="49495" xr:uid="{00000000-0005-0000-0000-0000DB3F0000}"/>
    <cellStyle name="Normal 3 3 2 2 2 4 2 2 5" xfId="36233" xr:uid="{00000000-0005-0000-0000-0000DC3F0000}"/>
    <cellStyle name="Normal 3 3 2 2 2 4 2 3" xfId="4358" xr:uid="{00000000-0005-0000-0000-0000DD3F0000}"/>
    <cellStyle name="Normal 3 3 2 2 2 4 2 3 2" xfId="4359" xr:uid="{00000000-0005-0000-0000-0000DE3F0000}"/>
    <cellStyle name="Normal 3 3 2 2 2 4 2 3 2 2" xfId="29440" xr:uid="{00000000-0005-0000-0000-0000DF3F0000}"/>
    <cellStyle name="Normal 3 3 2 2 2 4 2 3 2 2 2" xfId="61311" xr:uid="{00000000-0005-0000-0000-0000E03F0000}"/>
    <cellStyle name="Normal 3 3 2 2 2 4 2 3 2 3" xfId="36238" xr:uid="{00000000-0005-0000-0000-0000E13F0000}"/>
    <cellStyle name="Normal 3 3 2 2 2 4 2 3 3" xfId="21562" xr:uid="{00000000-0005-0000-0000-0000E23F0000}"/>
    <cellStyle name="Normal 3 3 2 2 2 4 2 3 3 2" xfId="53433" xr:uid="{00000000-0005-0000-0000-0000E33F0000}"/>
    <cellStyle name="Normal 3 3 2 2 2 4 2 3 4" xfId="36237" xr:uid="{00000000-0005-0000-0000-0000E43F0000}"/>
    <cellStyle name="Normal 3 3 2 2 2 4 2 4" xfId="4360" xr:uid="{00000000-0005-0000-0000-0000E53F0000}"/>
    <cellStyle name="Normal 3 3 2 2 2 4 2 4 2" xfId="25501" xr:uid="{00000000-0005-0000-0000-0000E63F0000}"/>
    <cellStyle name="Normal 3 3 2 2 2 4 2 4 2 2" xfId="57372" xr:uid="{00000000-0005-0000-0000-0000E73F0000}"/>
    <cellStyle name="Normal 3 3 2 2 2 4 2 4 3" xfId="36239" xr:uid="{00000000-0005-0000-0000-0000E83F0000}"/>
    <cellStyle name="Normal 3 3 2 2 2 4 2 5" xfId="17623" xr:uid="{00000000-0005-0000-0000-0000E93F0000}"/>
    <cellStyle name="Normal 3 3 2 2 2 4 2 5 2" xfId="49494" xr:uid="{00000000-0005-0000-0000-0000EA3F0000}"/>
    <cellStyle name="Normal 3 3 2 2 2 4 2 6" xfId="36232" xr:uid="{00000000-0005-0000-0000-0000EB3F0000}"/>
    <cellStyle name="Normal 3 3 2 2 2 4 3" xfId="4361" xr:uid="{00000000-0005-0000-0000-0000EC3F0000}"/>
    <cellStyle name="Normal 3 3 2 2 2 4 3 2" xfId="4362" xr:uid="{00000000-0005-0000-0000-0000ED3F0000}"/>
    <cellStyle name="Normal 3 3 2 2 2 4 3 2 2" xfId="4363" xr:uid="{00000000-0005-0000-0000-0000EE3F0000}"/>
    <cellStyle name="Normal 3 3 2 2 2 4 3 2 2 2" xfId="29442" xr:uid="{00000000-0005-0000-0000-0000EF3F0000}"/>
    <cellStyle name="Normal 3 3 2 2 2 4 3 2 2 2 2" xfId="61313" xr:uid="{00000000-0005-0000-0000-0000F03F0000}"/>
    <cellStyle name="Normal 3 3 2 2 2 4 3 2 2 3" xfId="36242" xr:uid="{00000000-0005-0000-0000-0000F13F0000}"/>
    <cellStyle name="Normal 3 3 2 2 2 4 3 2 3" xfId="21564" xr:uid="{00000000-0005-0000-0000-0000F23F0000}"/>
    <cellStyle name="Normal 3 3 2 2 2 4 3 2 3 2" xfId="53435" xr:uid="{00000000-0005-0000-0000-0000F33F0000}"/>
    <cellStyle name="Normal 3 3 2 2 2 4 3 2 4" xfId="36241" xr:uid="{00000000-0005-0000-0000-0000F43F0000}"/>
    <cellStyle name="Normal 3 3 2 2 2 4 3 3" xfId="4364" xr:uid="{00000000-0005-0000-0000-0000F53F0000}"/>
    <cellStyle name="Normal 3 3 2 2 2 4 3 3 2" xfId="25503" xr:uid="{00000000-0005-0000-0000-0000F63F0000}"/>
    <cellStyle name="Normal 3 3 2 2 2 4 3 3 2 2" xfId="57374" xr:uid="{00000000-0005-0000-0000-0000F73F0000}"/>
    <cellStyle name="Normal 3 3 2 2 2 4 3 3 3" xfId="36243" xr:uid="{00000000-0005-0000-0000-0000F83F0000}"/>
    <cellStyle name="Normal 3 3 2 2 2 4 3 4" xfId="17625" xr:uid="{00000000-0005-0000-0000-0000F93F0000}"/>
    <cellStyle name="Normal 3 3 2 2 2 4 3 4 2" xfId="49496" xr:uid="{00000000-0005-0000-0000-0000FA3F0000}"/>
    <cellStyle name="Normal 3 3 2 2 2 4 3 5" xfId="36240" xr:uid="{00000000-0005-0000-0000-0000FB3F0000}"/>
    <cellStyle name="Normal 3 3 2 2 2 4 4" xfId="4365" xr:uid="{00000000-0005-0000-0000-0000FC3F0000}"/>
    <cellStyle name="Normal 3 3 2 2 2 4 4 2" xfId="4366" xr:uid="{00000000-0005-0000-0000-0000FD3F0000}"/>
    <cellStyle name="Normal 3 3 2 2 2 4 4 2 2" xfId="29439" xr:uid="{00000000-0005-0000-0000-0000FE3F0000}"/>
    <cellStyle name="Normal 3 3 2 2 2 4 4 2 2 2" xfId="61310" xr:uid="{00000000-0005-0000-0000-0000FF3F0000}"/>
    <cellStyle name="Normal 3 3 2 2 2 4 4 2 3" xfId="36245" xr:uid="{00000000-0005-0000-0000-000000400000}"/>
    <cellStyle name="Normal 3 3 2 2 2 4 4 3" xfId="21561" xr:uid="{00000000-0005-0000-0000-000001400000}"/>
    <cellStyle name="Normal 3 3 2 2 2 4 4 3 2" xfId="53432" xr:uid="{00000000-0005-0000-0000-000002400000}"/>
    <cellStyle name="Normal 3 3 2 2 2 4 4 4" xfId="36244" xr:uid="{00000000-0005-0000-0000-000003400000}"/>
    <cellStyle name="Normal 3 3 2 2 2 4 5" xfId="4367" xr:uid="{00000000-0005-0000-0000-000004400000}"/>
    <cellStyle name="Normal 3 3 2 2 2 4 5 2" xfId="25500" xr:uid="{00000000-0005-0000-0000-000005400000}"/>
    <cellStyle name="Normal 3 3 2 2 2 4 5 2 2" xfId="57371" xr:uid="{00000000-0005-0000-0000-000006400000}"/>
    <cellStyle name="Normal 3 3 2 2 2 4 5 3" xfId="36246" xr:uid="{00000000-0005-0000-0000-000007400000}"/>
    <cellStyle name="Normal 3 3 2 2 2 4 6" xfId="17622" xr:uid="{00000000-0005-0000-0000-000008400000}"/>
    <cellStyle name="Normal 3 3 2 2 2 4 6 2" xfId="49493" xr:uid="{00000000-0005-0000-0000-000009400000}"/>
    <cellStyle name="Normal 3 3 2 2 2 4 7" xfId="36231" xr:uid="{00000000-0005-0000-0000-00000A400000}"/>
    <cellStyle name="Normal 3 3 2 2 2 5" xfId="4368" xr:uid="{00000000-0005-0000-0000-00000B400000}"/>
    <cellStyle name="Normal 3 3 2 2 2 5 2" xfId="4369" xr:uid="{00000000-0005-0000-0000-00000C400000}"/>
    <cellStyle name="Normal 3 3 2 2 2 5 2 2" xfId="4370" xr:uid="{00000000-0005-0000-0000-00000D400000}"/>
    <cellStyle name="Normal 3 3 2 2 2 5 2 2 2" xfId="4371" xr:uid="{00000000-0005-0000-0000-00000E400000}"/>
    <cellStyle name="Normal 3 3 2 2 2 5 2 2 2 2" xfId="29444" xr:uid="{00000000-0005-0000-0000-00000F400000}"/>
    <cellStyle name="Normal 3 3 2 2 2 5 2 2 2 2 2" xfId="61315" xr:uid="{00000000-0005-0000-0000-000010400000}"/>
    <cellStyle name="Normal 3 3 2 2 2 5 2 2 2 3" xfId="36250" xr:uid="{00000000-0005-0000-0000-000011400000}"/>
    <cellStyle name="Normal 3 3 2 2 2 5 2 2 3" xfId="21566" xr:uid="{00000000-0005-0000-0000-000012400000}"/>
    <cellStyle name="Normal 3 3 2 2 2 5 2 2 3 2" xfId="53437" xr:uid="{00000000-0005-0000-0000-000013400000}"/>
    <cellStyle name="Normal 3 3 2 2 2 5 2 2 4" xfId="36249" xr:uid="{00000000-0005-0000-0000-000014400000}"/>
    <cellStyle name="Normal 3 3 2 2 2 5 2 3" xfId="4372" xr:uid="{00000000-0005-0000-0000-000015400000}"/>
    <cellStyle name="Normal 3 3 2 2 2 5 2 3 2" xfId="25505" xr:uid="{00000000-0005-0000-0000-000016400000}"/>
    <cellStyle name="Normal 3 3 2 2 2 5 2 3 2 2" xfId="57376" xr:uid="{00000000-0005-0000-0000-000017400000}"/>
    <cellStyle name="Normal 3 3 2 2 2 5 2 3 3" xfId="36251" xr:uid="{00000000-0005-0000-0000-000018400000}"/>
    <cellStyle name="Normal 3 3 2 2 2 5 2 4" xfId="17627" xr:uid="{00000000-0005-0000-0000-000019400000}"/>
    <cellStyle name="Normal 3 3 2 2 2 5 2 4 2" xfId="49498" xr:uid="{00000000-0005-0000-0000-00001A400000}"/>
    <cellStyle name="Normal 3 3 2 2 2 5 2 5" xfId="36248" xr:uid="{00000000-0005-0000-0000-00001B400000}"/>
    <cellStyle name="Normal 3 3 2 2 2 5 3" xfId="4373" xr:uid="{00000000-0005-0000-0000-00001C400000}"/>
    <cellStyle name="Normal 3 3 2 2 2 5 3 2" xfId="4374" xr:uid="{00000000-0005-0000-0000-00001D400000}"/>
    <cellStyle name="Normal 3 3 2 2 2 5 3 2 2" xfId="29443" xr:uid="{00000000-0005-0000-0000-00001E400000}"/>
    <cellStyle name="Normal 3 3 2 2 2 5 3 2 2 2" xfId="61314" xr:uid="{00000000-0005-0000-0000-00001F400000}"/>
    <cellStyle name="Normal 3 3 2 2 2 5 3 2 3" xfId="36253" xr:uid="{00000000-0005-0000-0000-000020400000}"/>
    <cellStyle name="Normal 3 3 2 2 2 5 3 3" xfId="21565" xr:uid="{00000000-0005-0000-0000-000021400000}"/>
    <cellStyle name="Normal 3 3 2 2 2 5 3 3 2" xfId="53436" xr:uid="{00000000-0005-0000-0000-000022400000}"/>
    <cellStyle name="Normal 3 3 2 2 2 5 3 4" xfId="36252" xr:uid="{00000000-0005-0000-0000-000023400000}"/>
    <cellStyle name="Normal 3 3 2 2 2 5 4" xfId="4375" xr:uid="{00000000-0005-0000-0000-000024400000}"/>
    <cellStyle name="Normal 3 3 2 2 2 5 4 2" xfId="25504" xr:uid="{00000000-0005-0000-0000-000025400000}"/>
    <cellStyle name="Normal 3 3 2 2 2 5 4 2 2" xfId="57375" xr:uid="{00000000-0005-0000-0000-000026400000}"/>
    <cellStyle name="Normal 3 3 2 2 2 5 4 3" xfId="36254" xr:uid="{00000000-0005-0000-0000-000027400000}"/>
    <cellStyle name="Normal 3 3 2 2 2 5 5" xfId="17626" xr:uid="{00000000-0005-0000-0000-000028400000}"/>
    <cellStyle name="Normal 3 3 2 2 2 5 5 2" xfId="49497" xr:uid="{00000000-0005-0000-0000-000029400000}"/>
    <cellStyle name="Normal 3 3 2 2 2 5 6" xfId="36247" xr:uid="{00000000-0005-0000-0000-00002A400000}"/>
    <cellStyle name="Normal 3 3 2 2 2 6" xfId="4376" xr:uid="{00000000-0005-0000-0000-00002B400000}"/>
    <cellStyle name="Normal 3 3 2 2 2 6 2" xfId="4377" xr:uid="{00000000-0005-0000-0000-00002C400000}"/>
    <cellStyle name="Normal 3 3 2 2 2 6 2 2" xfId="4378" xr:uid="{00000000-0005-0000-0000-00002D400000}"/>
    <cellStyle name="Normal 3 3 2 2 2 6 2 2 2" xfId="29445" xr:uid="{00000000-0005-0000-0000-00002E400000}"/>
    <cellStyle name="Normal 3 3 2 2 2 6 2 2 2 2" xfId="61316" xr:uid="{00000000-0005-0000-0000-00002F400000}"/>
    <cellStyle name="Normal 3 3 2 2 2 6 2 2 3" xfId="36257" xr:uid="{00000000-0005-0000-0000-000030400000}"/>
    <cellStyle name="Normal 3 3 2 2 2 6 2 3" xfId="21567" xr:uid="{00000000-0005-0000-0000-000031400000}"/>
    <cellStyle name="Normal 3 3 2 2 2 6 2 3 2" xfId="53438" xr:uid="{00000000-0005-0000-0000-000032400000}"/>
    <cellStyle name="Normal 3 3 2 2 2 6 2 4" xfId="36256" xr:uid="{00000000-0005-0000-0000-000033400000}"/>
    <cellStyle name="Normal 3 3 2 2 2 6 3" xfId="4379" xr:uid="{00000000-0005-0000-0000-000034400000}"/>
    <cellStyle name="Normal 3 3 2 2 2 6 3 2" xfId="25506" xr:uid="{00000000-0005-0000-0000-000035400000}"/>
    <cellStyle name="Normal 3 3 2 2 2 6 3 2 2" xfId="57377" xr:uid="{00000000-0005-0000-0000-000036400000}"/>
    <cellStyle name="Normal 3 3 2 2 2 6 3 3" xfId="36258" xr:uid="{00000000-0005-0000-0000-000037400000}"/>
    <cellStyle name="Normal 3 3 2 2 2 6 4" xfId="17628" xr:uid="{00000000-0005-0000-0000-000038400000}"/>
    <cellStyle name="Normal 3 3 2 2 2 6 4 2" xfId="49499" xr:uid="{00000000-0005-0000-0000-000039400000}"/>
    <cellStyle name="Normal 3 3 2 2 2 6 5" xfId="36255" xr:uid="{00000000-0005-0000-0000-00003A400000}"/>
    <cellStyle name="Normal 3 3 2 2 2 7" xfId="4380" xr:uid="{00000000-0005-0000-0000-00003B400000}"/>
    <cellStyle name="Normal 3 3 2 2 2 7 2" xfId="4381" xr:uid="{00000000-0005-0000-0000-00003C400000}"/>
    <cellStyle name="Normal 3 3 2 2 2 7 2 2" xfId="28328" xr:uid="{00000000-0005-0000-0000-00003D400000}"/>
    <cellStyle name="Normal 3 3 2 2 2 7 2 2 2" xfId="60199" xr:uid="{00000000-0005-0000-0000-00003E400000}"/>
    <cellStyle name="Normal 3 3 2 2 2 7 2 3" xfId="36260" xr:uid="{00000000-0005-0000-0000-00003F400000}"/>
    <cellStyle name="Normal 3 3 2 2 2 7 3" xfId="20450" xr:uid="{00000000-0005-0000-0000-000040400000}"/>
    <cellStyle name="Normal 3 3 2 2 2 7 3 2" xfId="52321" xr:uid="{00000000-0005-0000-0000-000041400000}"/>
    <cellStyle name="Normal 3 3 2 2 2 7 4" xfId="36259" xr:uid="{00000000-0005-0000-0000-000042400000}"/>
    <cellStyle name="Normal 3 3 2 2 2 8" xfId="4382" xr:uid="{00000000-0005-0000-0000-000043400000}"/>
    <cellStyle name="Normal 3 3 2 2 2 8 2" xfId="24389" xr:uid="{00000000-0005-0000-0000-000044400000}"/>
    <cellStyle name="Normal 3 3 2 2 2 8 2 2" xfId="56260" xr:uid="{00000000-0005-0000-0000-000045400000}"/>
    <cellStyle name="Normal 3 3 2 2 2 8 3" xfId="36261" xr:uid="{00000000-0005-0000-0000-000046400000}"/>
    <cellStyle name="Normal 3 3 2 2 2 9" xfId="16511" xr:uid="{00000000-0005-0000-0000-000047400000}"/>
    <cellStyle name="Normal 3 3 2 2 2 9 2" xfId="48382" xr:uid="{00000000-0005-0000-0000-000048400000}"/>
    <cellStyle name="Normal 3 3 2 2 3" xfId="4383" xr:uid="{00000000-0005-0000-0000-000049400000}"/>
    <cellStyle name="Normal 3 3 2 2 3 10" xfId="36262" xr:uid="{00000000-0005-0000-0000-00004A400000}"/>
    <cellStyle name="Normal 3 3 2 2 3 2" xfId="4384" xr:uid="{00000000-0005-0000-0000-00004B400000}"/>
    <cellStyle name="Normal 3 3 2 2 3 2 2" xfId="4385" xr:uid="{00000000-0005-0000-0000-00004C400000}"/>
    <cellStyle name="Normal 3 3 2 2 3 2 2 2" xfId="4386" xr:uid="{00000000-0005-0000-0000-00004D400000}"/>
    <cellStyle name="Normal 3 3 2 2 3 2 2 2 2" xfId="4387" xr:uid="{00000000-0005-0000-0000-00004E400000}"/>
    <cellStyle name="Normal 3 3 2 2 3 2 2 2 2 2" xfId="4388" xr:uid="{00000000-0005-0000-0000-00004F400000}"/>
    <cellStyle name="Normal 3 3 2 2 3 2 2 2 2 2 2" xfId="4389" xr:uid="{00000000-0005-0000-0000-000050400000}"/>
    <cellStyle name="Normal 3 3 2 2 3 2 2 2 2 2 2 2" xfId="4390" xr:uid="{00000000-0005-0000-0000-000051400000}"/>
    <cellStyle name="Normal 3 3 2 2 3 2 2 2 2 2 2 2 2" xfId="29449" xr:uid="{00000000-0005-0000-0000-000052400000}"/>
    <cellStyle name="Normal 3 3 2 2 3 2 2 2 2 2 2 2 2 2" xfId="61320" xr:uid="{00000000-0005-0000-0000-000053400000}"/>
    <cellStyle name="Normal 3 3 2 2 3 2 2 2 2 2 2 2 3" xfId="36269" xr:uid="{00000000-0005-0000-0000-000054400000}"/>
    <cellStyle name="Normal 3 3 2 2 3 2 2 2 2 2 2 3" xfId="21571" xr:uid="{00000000-0005-0000-0000-000055400000}"/>
    <cellStyle name="Normal 3 3 2 2 3 2 2 2 2 2 2 3 2" xfId="53442" xr:uid="{00000000-0005-0000-0000-000056400000}"/>
    <cellStyle name="Normal 3 3 2 2 3 2 2 2 2 2 2 4" xfId="36268" xr:uid="{00000000-0005-0000-0000-000057400000}"/>
    <cellStyle name="Normal 3 3 2 2 3 2 2 2 2 2 3" xfId="4391" xr:uid="{00000000-0005-0000-0000-000058400000}"/>
    <cellStyle name="Normal 3 3 2 2 3 2 2 2 2 2 3 2" xfId="25510" xr:uid="{00000000-0005-0000-0000-000059400000}"/>
    <cellStyle name="Normal 3 3 2 2 3 2 2 2 2 2 3 2 2" xfId="57381" xr:uid="{00000000-0005-0000-0000-00005A400000}"/>
    <cellStyle name="Normal 3 3 2 2 3 2 2 2 2 2 3 3" xfId="36270" xr:uid="{00000000-0005-0000-0000-00005B400000}"/>
    <cellStyle name="Normal 3 3 2 2 3 2 2 2 2 2 4" xfId="17632" xr:uid="{00000000-0005-0000-0000-00005C400000}"/>
    <cellStyle name="Normal 3 3 2 2 3 2 2 2 2 2 4 2" xfId="49503" xr:uid="{00000000-0005-0000-0000-00005D400000}"/>
    <cellStyle name="Normal 3 3 2 2 3 2 2 2 2 2 5" xfId="36267" xr:uid="{00000000-0005-0000-0000-00005E400000}"/>
    <cellStyle name="Normal 3 3 2 2 3 2 2 2 2 3" xfId="4392" xr:uid="{00000000-0005-0000-0000-00005F400000}"/>
    <cellStyle name="Normal 3 3 2 2 3 2 2 2 2 3 2" xfId="4393" xr:uid="{00000000-0005-0000-0000-000060400000}"/>
    <cellStyle name="Normal 3 3 2 2 3 2 2 2 2 3 2 2" xfId="29448" xr:uid="{00000000-0005-0000-0000-000061400000}"/>
    <cellStyle name="Normal 3 3 2 2 3 2 2 2 2 3 2 2 2" xfId="61319" xr:uid="{00000000-0005-0000-0000-000062400000}"/>
    <cellStyle name="Normal 3 3 2 2 3 2 2 2 2 3 2 3" xfId="36272" xr:uid="{00000000-0005-0000-0000-000063400000}"/>
    <cellStyle name="Normal 3 3 2 2 3 2 2 2 2 3 3" xfId="21570" xr:uid="{00000000-0005-0000-0000-000064400000}"/>
    <cellStyle name="Normal 3 3 2 2 3 2 2 2 2 3 3 2" xfId="53441" xr:uid="{00000000-0005-0000-0000-000065400000}"/>
    <cellStyle name="Normal 3 3 2 2 3 2 2 2 2 3 4" xfId="36271" xr:uid="{00000000-0005-0000-0000-000066400000}"/>
    <cellStyle name="Normal 3 3 2 2 3 2 2 2 2 4" xfId="4394" xr:uid="{00000000-0005-0000-0000-000067400000}"/>
    <cellStyle name="Normal 3 3 2 2 3 2 2 2 2 4 2" xfId="25509" xr:uid="{00000000-0005-0000-0000-000068400000}"/>
    <cellStyle name="Normal 3 3 2 2 3 2 2 2 2 4 2 2" xfId="57380" xr:uid="{00000000-0005-0000-0000-000069400000}"/>
    <cellStyle name="Normal 3 3 2 2 3 2 2 2 2 4 3" xfId="36273" xr:uid="{00000000-0005-0000-0000-00006A400000}"/>
    <cellStyle name="Normal 3 3 2 2 3 2 2 2 2 5" xfId="17631" xr:uid="{00000000-0005-0000-0000-00006B400000}"/>
    <cellStyle name="Normal 3 3 2 2 3 2 2 2 2 5 2" xfId="49502" xr:uid="{00000000-0005-0000-0000-00006C400000}"/>
    <cellStyle name="Normal 3 3 2 2 3 2 2 2 2 6" xfId="36266" xr:uid="{00000000-0005-0000-0000-00006D400000}"/>
    <cellStyle name="Normal 3 3 2 2 3 2 2 2 3" xfId="4395" xr:uid="{00000000-0005-0000-0000-00006E400000}"/>
    <cellStyle name="Normal 3 3 2 2 3 2 2 2 3 2" xfId="4396" xr:uid="{00000000-0005-0000-0000-00006F400000}"/>
    <cellStyle name="Normal 3 3 2 2 3 2 2 2 3 2 2" xfId="4397" xr:uid="{00000000-0005-0000-0000-000070400000}"/>
    <cellStyle name="Normal 3 3 2 2 3 2 2 2 3 2 2 2" xfId="29450" xr:uid="{00000000-0005-0000-0000-000071400000}"/>
    <cellStyle name="Normal 3 3 2 2 3 2 2 2 3 2 2 2 2" xfId="61321" xr:uid="{00000000-0005-0000-0000-000072400000}"/>
    <cellStyle name="Normal 3 3 2 2 3 2 2 2 3 2 2 3" xfId="36276" xr:uid="{00000000-0005-0000-0000-000073400000}"/>
    <cellStyle name="Normal 3 3 2 2 3 2 2 2 3 2 3" xfId="21572" xr:uid="{00000000-0005-0000-0000-000074400000}"/>
    <cellStyle name="Normal 3 3 2 2 3 2 2 2 3 2 3 2" xfId="53443" xr:uid="{00000000-0005-0000-0000-000075400000}"/>
    <cellStyle name="Normal 3 3 2 2 3 2 2 2 3 2 4" xfId="36275" xr:uid="{00000000-0005-0000-0000-000076400000}"/>
    <cellStyle name="Normal 3 3 2 2 3 2 2 2 3 3" xfId="4398" xr:uid="{00000000-0005-0000-0000-000077400000}"/>
    <cellStyle name="Normal 3 3 2 2 3 2 2 2 3 3 2" xfId="25511" xr:uid="{00000000-0005-0000-0000-000078400000}"/>
    <cellStyle name="Normal 3 3 2 2 3 2 2 2 3 3 2 2" xfId="57382" xr:uid="{00000000-0005-0000-0000-000079400000}"/>
    <cellStyle name="Normal 3 3 2 2 3 2 2 2 3 3 3" xfId="36277" xr:uid="{00000000-0005-0000-0000-00007A400000}"/>
    <cellStyle name="Normal 3 3 2 2 3 2 2 2 3 4" xfId="17633" xr:uid="{00000000-0005-0000-0000-00007B400000}"/>
    <cellStyle name="Normal 3 3 2 2 3 2 2 2 3 4 2" xfId="49504" xr:uid="{00000000-0005-0000-0000-00007C400000}"/>
    <cellStyle name="Normal 3 3 2 2 3 2 2 2 3 5" xfId="36274" xr:uid="{00000000-0005-0000-0000-00007D400000}"/>
    <cellStyle name="Normal 3 3 2 2 3 2 2 2 4" xfId="4399" xr:uid="{00000000-0005-0000-0000-00007E400000}"/>
    <cellStyle name="Normal 3 3 2 2 3 2 2 2 4 2" xfId="4400" xr:uid="{00000000-0005-0000-0000-00007F400000}"/>
    <cellStyle name="Normal 3 3 2 2 3 2 2 2 4 2 2" xfId="29447" xr:uid="{00000000-0005-0000-0000-000080400000}"/>
    <cellStyle name="Normal 3 3 2 2 3 2 2 2 4 2 2 2" xfId="61318" xr:uid="{00000000-0005-0000-0000-000081400000}"/>
    <cellStyle name="Normal 3 3 2 2 3 2 2 2 4 2 3" xfId="36279" xr:uid="{00000000-0005-0000-0000-000082400000}"/>
    <cellStyle name="Normal 3 3 2 2 3 2 2 2 4 3" xfId="21569" xr:uid="{00000000-0005-0000-0000-000083400000}"/>
    <cellStyle name="Normal 3 3 2 2 3 2 2 2 4 3 2" xfId="53440" xr:uid="{00000000-0005-0000-0000-000084400000}"/>
    <cellStyle name="Normal 3 3 2 2 3 2 2 2 4 4" xfId="36278" xr:uid="{00000000-0005-0000-0000-000085400000}"/>
    <cellStyle name="Normal 3 3 2 2 3 2 2 2 5" xfId="4401" xr:uid="{00000000-0005-0000-0000-000086400000}"/>
    <cellStyle name="Normal 3 3 2 2 3 2 2 2 5 2" xfId="25508" xr:uid="{00000000-0005-0000-0000-000087400000}"/>
    <cellStyle name="Normal 3 3 2 2 3 2 2 2 5 2 2" xfId="57379" xr:uid="{00000000-0005-0000-0000-000088400000}"/>
    <cellStyle name="Normal 3 3 2 2 3 2 2 2 5 3" xfId="36280" xr:uid="{00000000-0005-0000-0000-000089400000}"/>
    <cellStyle name="Normal 3 3 2 2 3 2 2 2 6" xfId="17630" xr:uid="{00000000-0005-0000-0000-00008A400000}"/>
    <cellStyle name="Normal 3 3 2 2 3 2 2 2 6 2" xfId="49501" xr:uid="{00000000-0005-0000-0000-00008B400000}"/>
    <cellStyle name="Normal 3 3 2 2 3 2 2 2 7" xfId="36265" xr:uid="{00000000-0005-0000-0000-00008C400000}"/>
    <cellStyle name="Normal 3 3 2 2 3 2 2 3" xfId="4402" xr:uid="{00000000-0005-0000-0000-00008D400000}"/>
    <cellStyle name="Normal 3 3 2 2 3 2 2 3 2" xfId="4403" xr:uid="{00000000-0005-0000-0000-00008E400000}"/>
    <cellStyle name="Normal 3 3 2 2 3 2 2 3 2 2" xfId="4404" xr:uid="{00000000-0005-0000-0000-00008F400000}"/>
    <cellStyle name="Normal 3 3 2 2 3 2 2 3 2 2 2" xfId="4405" xr:uid="{00000000-0005-0000-0000-000090400000}"/>
    <cellStyle name="Normal 3 3 2 2 3 2 2 3 2 2 2 2" xfId="29452" xr:uid="{00000000-0005-0000-0000-000091400000}"/>
    <cellStyle name="Normal 3 3 2 2 3 2 2 3 2 2 2 2 2" xfId="61323" xr:uid="{00000000-0005-0000-0000-000092400000}"/>
    <cellStyle name="Normal 3 3 2 2 3 2 2 3 2 2 2 3" xfId="36284" xr:uid="{00000000-0005-0000-0000-000093400000}"/>
    <cellStyle name="Normal 3 3 2 2 3 2 2 3 2 2 3" xfId="21574" xr:uid="{00000000-0005-0000-0000-000094400000}"/>
    <cellStyle name="Normal 3 3 2 2 3 2 2 3 2 2 3 2" xfId="53445" xr:uid="{00000000-0005-0000-0000-000095400000}"/>
    <cellStyle name="Normal 3 3 2 2 3 2 2 3 2 2 4" xfId="36283" xr:uid="{00000000-0005-0000-0000-000096400000}"/>
    <cellStyle name="Normal 3 3 2 2 3 2 2 3 2 3" xfId="4406" xr:uid="{00000000-0005-0000-0000-000097400000}"/>
    <cellStyle name="Normal 3 3 2 2 3 2 2 3 2 3 2" xfId="25513" xr:uid="{00000000-0005-0000-0000-000098400000}"/>
    <cellStyle name="Normal 3 3 2 2 3 2 2 3 2 3 2 2" xfId="57384" xr:uid="{00000000-0005-0000-0000-000099400000}"/>
    <cellStyle name="Normal 3 3 2 2 3 2 2 3 2 3 3" xfId="36285" xr:uid="{00000000-0005-0000-0000-00009A400000}"/>
    <cellStyle name="Normal 3 3 2 2 3 2 2 3 2 4" xfId="17635" xr:uid="{00000000-0005-0000-0000-00009B400000}"/>
    <cellStyle name="Normal 3 3 2 2 3 2 2 3 2 4 2" xfId="49506" xr:uid="{00000000-0005-0000-0000-00009C400000}"/>
    <cellStyle name="Normal 3 3 2 2 3 2 2 3 2 5" xfId="36282" xr:uid="{00000000-0005-0000-0000-00009D400000}"/>
    <cellStyle name="Normal 3 3 2 2 3 2 2 3 3" xfId="4407" xr:uid="{00000000-0005-0000-0000-00009E400000}"/>
    <cellStyle name="Normal 3 3 2 2 3 2 2 3 3 2" xfId="4408" xr:uid="{00000000-0005-0000-0000-00009F400000}"/>
    <cellStyle name="Normal 3 3 2 2 3 2 2 3 3 2 2" xfId="29451" xr:uid="{00000000-0005-0000-0000-0000A0400000}"/>
    <cellStyle name="Normal 3 3 2 2 3 2 2 3 3 2 2 2" xfId="61322" xr:uid="{00000000-0005-0000-0000-0000A1400000}"/>
    <cellStyle name="Normal 3 3 2 2 3 2 2 3 3 2 3" xfId="36287" xr:uid="{00000000-0005-0000-0000-0000A2400000}"/>
    <cellStyle name="Normal 3 3 2 2 3 2 2 3 3 3" xfId="21573" xr:uid="{00000000-0005-0000-0000-0000A3400000}"/>
    <cellStyle name="Normal 3 3 2 2 3 2 2 3 3 3 2" xfId="53444" xr:uid="{00000000-0005-0000-0000-0000A4400000}"/>
    <cellStyle name="Normal 3 3 2 2 3 2 2 3 3 4" xfId="36286" xr:uid="{00000000-0005-0000-0000-0000A5400000}"/>
    <cellStyle name="Normal 3 3 2 2 3 2 2 3 4" xfId="4409" xr:uid="{00000000-0005-0000-0000-0000A6400000}"/>
    <cellStyle name="Normal 3 3 2 2 3 2 2 3 4 2" xfId="25512" xr:uid="{00000000-0005-0000-0000-0000A7400000}"/>
    <cellStyle name="Normal 3 3 2 2 3 2 2 3 4 2 2" xfId="57383" xr:uid="{00000000-0005-0000-0000-0000A8400000}"/>
    <cellStyle name="Normal 3 3 2 2 3 2 2 3 4 3" xfId="36288" xr:uid="{00000000-0005-0000-0000-0000A9400000}"/>
    <cellStyle name="Normal 3 3 2 2 3 2 2 3 5" xfId="17634" xr:uid="{00000000-0005-0000-0000-0000AA400000}"/>
    <cellStyle name="Normal 3 3 2 2 3 2 2 3 5 2" xfId="49505" xr:uid="{00000000-0005-0000-0000-0000AB400000}"/>
    <cellStyle name="Normal 3 3 2 2 3 2 2 3 6" xfId="36281" xr:uid="{00000000-0005-0000-0000-0000AC400000}"/>
    <cellStyle name="Normal 3 3 2 2 3 2 2 4" xfId="4410" xr:uid="{00000000-0005-0000-0000-0000AD400000}"/>
    <cellStyle name="Normal 3 3 2 2 3 2 2 4 2" xfId="4411" xr:uid="{00000000-0005-0000-0000-0000AE400000}"/>
    <cellStyle name="Normal 3 3 2 2 3 2 2 4 2 2" xfId="4412" xr:uid="{00000000-0005-0000-0000-0000AF400000}"/>
    <cellStyle name="Normal 3 3 2 2 3 2 2 4 2 2 2" xfId="29453" xr:uid="{00000000-0005-0000-0000-0000B0400000}"/>
    <cellStyle name="Normal 3 3 2 2 3 2 2 4 2 2 2 2" xfId="61324" xr:uid="{00000000-0005-0000-0000-0000B1400000}"/>
    <cellStyle name="Normal 3 3 2 2 3 2 2 4 2 2 3" xfId="36291" xr:uid="{00000000-0005-0000-0000-0000B2400000}"/>
    <cellStyle name="Normal 3 3 2 2 3 2 2 4 2 3" xfId="21575" xr:uid="{00000000-0005-0000-0000-0000B3400000}"/>
    <cellStyle name="Normal 3 3 2 2 3 2 2 4 2 3 2" xfId="53446" xr:uid="{00000000-0005-0000-0000-0000B4400000}"/>
    <cellStyle name="Normal 3 3 2 2 3 2 2 4 2 4" xfId="36290" xr:uid="{00000000-0005-0000-0000-0000B5400000}"/>
    <cellStyle name="Normal 3 3 2 2 3 2 2 4 3" xfId="4413" xr:uid="{00000000-0005-0000-0000-0000B6400000}"/>
    <cellStyle name="Normal 3 3 2 2 3 2 2 4 3 2" xfId="25514" xr:uid="{00000000-0005-0000-0000-0000B7400000}"/>
    <cellStyle name="Normal 3 3 2 2 3 2 2 4 3 2 2" xfId="57385" xr:uid="{00000000-0005-0000-0000-0000B8400000}"/>
    <cellStyle name="Normal 3 3 2 2 3 2 2 4 3 3" xfId="36292" xr:uid="{00000000-0005-0000-0000-0000B9400000}"/>
    <cellStyle name="Normal 3 3 2 2 3 2 2 4 4" xfId="17636" xr:uid="{00000000-0005-0000-0000-0000BA400000}"/>
    <cellStyle name="Normal 3 3 2 2 3 2 2 4 4 2" xfId="49507" xr:uid="{00000000-0005-0000-0000-0000BB400000}"/>
    <cellStyle name="Normal 3 3 2 2 3 2 2 4 5" xfId="36289" xr:uid="{00000000-0005-0000-0000-0000BC400000}"/>
    <cellStyle name="Normal 3 3 2 2 3 2 2 5" xfId="4414" xr:uid="{00000000-0005-0000-0000-0000BD400000}"/>
    <cellStyle name="Normal 3 3 2 2 3 2 2 5 2" xfId="4415" xr:uid="{00000000-0005-0000-0000-0000BE400000}"/>
    <cellStyle name="Normal 3 3 2 2 3 2 2 5 2 2" xfId="29446" xr:uid="{00000000-0005-0000-0000-0000BF400000}"/>
    <cellStyle name="Normal 3 3 2 2 3 2 2 5 2 2 2" xfId="61317" xr:uid="{00000000-0005-0000-0000-0000C0400000}"/>
    <cellStyle name="Normal 3 3 2 2 3 2 2 5 2 3" xfId="36294" xr:uid="{00000000-0005-0000-0000-0000C1400000}"/>
    <cellStyle name="Normal 3 3 2 2 3 2 2 5 3" xfId="21568" xr:uid="{00000000-0005-0000-0000-0000C2400000}"/>
    <cellStyle name="Normal 3 3 2 2 3 2 2 5 3 2" xfId="53439" xr:uid="{00000000-0005-0000-0000-0000C3400000}"/>
    <cellStyle name="Normal 3 3 2 2 3 2 2 5 4" xfId="36293" xr:uid="{00000000-0005-0000-0000-0000C4400000}"/>
    <cellStyle name="Normal 3 3 2 2 3 2 2 6" xfId="4416" xr:uid="{00000000-0005-0000-0000-0000C5400000}"/>
    <cellStyle name="Normal 3 3 2 2 3 2 2 6 2" xfId="25507" xr:uid="{00000000-0005-0000-0000-0000C6400000}"/>
    <cellStyle name="Normal 3 3 2 2 3 2 2 6 2 2" xfId="57378" xr:uid="{00000000-0005-0000-0000-0000C7400000}"/>
    <cellStyle name="Normal 3 3 2 2 3 2 2 6 3" xfId="36295" xr:uid="{00000000-0005-0000-0000-0000C8400000}"/>
    <cellStyle name="Normal 3 3 2 2 3 2 2 7" xfId="17629" xr:uid="{00000000-0005-0000-0000-0000C9400000}"/>
    <cellStyle name="Normal 3 3 2 2 3 2 2 7 2" xfId="49500" xr:uid="{00000000-0005-0000-0000-0000CA400000}"/>
    <cellStyle name="Normal 3 3 2 2 3 2 2 8" xfId="36264" xr:uid="{00000000-0005-0000-0000-0000CB400000}"/>
    <cellStyle name="Normal 3 3 2 2 3 2 3" xfId="4417" xr:uid="{00000000-0005-0000-0000-0000CC400000}"/>
    <cellStyle name="Normal 3 3 2 2 3 2 3 2" xfId="4418" xr:uid="{00000000-0005-0000-0000-0000CD400000}"/>
    <cellStyle name="Normal 3 3 2 2 3 2 3 2 2" xfId="4419" xr:uid="{00000000-0005-0000-0000-0000CE400000}"/>
    <cellStyle name="Normal 3 3 2 2 3 2 3 2 2 2" xfId="4420" xr:uid="{00000000-0005-0000-0000-0000CF400000}"/>
    <cellStyle name="Normal 3 3 2 2 3 2 3 2 2 2 2" xfId="4421" xr:uid="{00000000-0005-0000-0000-0000D0400000}"/>
    <cellStyle name="Normal 3 3 2 2 3 2 3 2 2 2 2 2" xfId="29456" xr:uid="{00000000-0005-0000-0000-0000D1400000}"/>
    <cellStyle name="Normal 3 3 2 2 3 2 3 2 2 2 2 2 2" xfId="61327" xr:uid="{00000000-0005-0000-0000-0000D2400000}"/>
    <cellStyle name="Normal 3 3 2 2 3 2 3 2 2 2 2 3" xfId="36300" xr:uid="{00000000-0005-0000-0000-0000D3400000}"/>
    <cellStyle name="Normal 3 3 2 2 3 2 3 2 2 2 3" xfId="21578" xr:uid="{00000000-0005-0000-0000-0000D4400000}"/>
    <cellStyle name="Normal 3 3 2 2 3 2 3 2 2 2 3 2" xfId="53449" xr:uid="{00000000-0005-0000-0000-0000D5400000}"/>
    <cellStyle name="Normal 3 3 2 2 3 2 3 2 2 2 4" xfId="36299" xr:uid="{00000000-0005-0000-0000-0000D6400000}"/>
    <cellStyle name="Normal 3 3 2 2 3 2 3 2 2 3" xfId="4422" xr:uid="{00000000-0005-0000-0000-0000D7400000}"/>
    <cellStyle name="Normal 3 3 2 2 3 2 3 2 2 3 2" xfId="25517" xr:uid="{00000000-0005-0000-0000-0000D8400000}"/>
    <cellStyle name="Normal 3 3 2 2 3 2 3 2 2 3 2 2" xfId="57388" xr:uid="{00000000-0005-0000-0000-0000D9400000}"/>
    <cellStyle name="Normal 3 3 2 2 3 2 3 2 2 3 3" xfId="36301" xr:uid="{00000000-0005-0000-0000-0000DA400000}"/>
    <cellStyle name="Normal 3 3 2 2 3 2 3 2 2 4" xfId="17639" xr:uid="{00000000-0005-0000-0000-0000DB400000}"/>
    <cellStyle name="Normal 3 3 2 2 3 2 3 2 2 4 2" xfId="49510" xr:uid="{00000000-0005-0000-0000-0000DC400000}"/>
    <cellStyle name="Normal 3 3 2 2 3 2 3 2 2 5" xfId="36298" xr:uid="{00000000-0005-0000-0000-0000DD400000}"/>
    <cellStyle name="Normal 3 3 2 2 3 2 3 2 3" xfId="4423" xr:uid="{00000000-0005-0000-0000-0000DE400000}"/>
    <cellStyle name="Normal 3 3 2 2 3 2 3 2 3 2" xfId="4424" xr:uid="{00000000-0005-0000-0000-0000DF400000}"/>
    <cellStyle name="Normal 3 3 2 2 3 2 3 2 3 2 2" xfId="29455" xr:uid="{00000000-0005-0000-0000-0000E0400000}"/>
    <cellStyle name="Normal 3 3 2 2 3 2 3 2 3 2 2 2" xfId="61326" xr:uid="{00000000-0005-0000-0000-0000E1400000}"/>
    <cellStyle name="Normal 3 3 2 2 3 2 3 2 3 2 3" xfId="36303" xr:uid="{00000000-0005-0000-0000-0000E2400000}"/>
    <cellStyle name="Normal 3 3 2 2 3 2 3 2 3 3" xfId="21577" xr:uid="{00000000-0005-0000-0000-0000E3400000}"/>
    <cellStyle name="Normal 3 3 2 2 3 2 3 2 3 3 2" xfId="53448" xr:uid="{00000000-0005-0000-0000-0000E4400000}"/>
    <cellStyle name="Normal 3 3 2 2 3 2 3 2 3 4" xfId="36302" xr:uid="{00000000-0005-0000-0000-0000E5400000}"/>
    <cellStyle name="Normal 3 3 2 2 3 2 3 2 4" xfId="4425" xr:uid="{00000000-0005-0000-0000-0000E6400000}"/>
    <cellStyle name="Normal 3 3 2 2 3 2 3 2 4 2" xfId="25516" xr:uid="{00000000-0005-0000-0000-0000E7400000}"/>
    <cellStyle name="Normal 3 3 2 2 3 2 3 2 4 2 2" xfId="57387" xr:uid="{00000000-0005-0000-0000-0000E8400000}"/>
    <cellStyle name="Normal 3 3 2 2 3 2 3 2 4 3" xfId="36304" xr:uid="{00000000-0005-0000-0000-0000E9400000}"/>
    <cellStyle name="Normal 3 3 2 2 3 2 3 2 5" xfId="17638" xr:uid="{00000000-0005-0000-0000-0000EA400000}"/>
    <cellStyle name="Normal 3 3 2 2 3 2 3 2 5 2" xfId="49509" xr:uid="{00000000-0005-0000-0000-0000EB400000}"/>
    <cellStyle name="Normal 3 3 2 2 3 2 3 2 6" xfId="36297" xr:uid="{00000000-0005-0000-0000-0000EC400000}"/>
    <cellStyle name="Normal 3 3 2 2 3 2 3 3" xfId="4426" xr:uid="{00000000-0005-0000-0000-0000ED400000}"/>
    <cellStyle name="Normal 3 3 2 2 3 2 3 3 2" xfId="4427" xr:uid="{00000000-0005-0000-0000-0000EE400000}"/>
    <cellStyle name="Normal 3 3 2 2 3 2 3 3 2 2" xfId="4428" xr:uid="{00000000-0005-0000-0000-0000EF400000}"/>
    <cellStyle name="Normal 3 3 2 2 3 2 3 3 2 2 2" xfId="29457" xr:uid="{00000000-0005-0000-0000-0000F0400000}"/>
    <cellStyle name="Normal 3 3 2 2 3 2 3 3 2 2 2 2" xfId="61328" xr:uid="{00000000-0005-0000-0000-0000F1400000}"/>
    <cellStyle name="Normal 3 3 2 2 3 2 3 3 2 2 3" xfId="36307" xr:uid="{00000000-0005-0000-0000-0000F2400000}"/>
    <cellStyle name="Normal 3 3 2 2 3 2 3 3 2 3" xfId="21579" xr:uid="{00000000-0005-0000-0000-0000F3400000}"/>
    <cellStyle name="Normal 3 3 2 2 3 2 3 3 2 3 2" xfId="53450" xr:uid="{00000000-0005-0000-0000-0000F4400000}"/>
    <cellStyle name="Normal 3 3 2 2 3 2 3 3 2 4" xfId="36306" xr:uid="{00000000-0005-0000-0000-0000F5400000}"/>
    <cellStyle name="Normal 3 3 2 2 3 2 3 3 3" xfId="4429" xr:uid="{00000000-0005-0000-0000-0000F6400000}"/>
    <cellStyle name="Normal 3 3 2 2 3 2 3 3 3 2" xfId="25518" xr:uid="{00000000-0005-0000-0000-0000F7400000}"/>
    <cellStyle name="Normal 3 3 2 2 3 2 3 3 3 2 2" xfId="57389" xr:uid="{00000000-0005-0000-0000-0000F8400000}"/>
    <cellStyle name="Normal 3 3 2 2 3 2 3 3 3 3" xfId="36308" xr:uid="{00000000-0005-0000-0000-0000F9400000}"/>
    <cellStyle name="Normal 3 3 2 2 3 2 3 3 4" xfId="17640" xr:uid="{00000000-0005-0000-0000-0000FA400000}"/>
    <cellStyle name="Normal 3 3 2 2 3 2 3 3 4 2" xfId="49511" xr:uid="{00000000-0005-0000-0000-0000FB400000}"/>
    <cellStyle name="Normal 3 3 2 2 3 2 3 3 5" xfId="36305" xr:uid="{00000000-0005-0000-0000-0000FC400000}"/>
    <cellStyle name="Normal 3 3 2 2 3 2 3 4" xfId="4430" xr:uid="{00000000-0005-0000-0000-0000FD400000}"/>
    <cellStyle name="Normal 3 3 2 2 3 2 3 4 2" xfId="4431" xr:uid="{00000000-0005-0000-0000-0000FE400000}"/>
    <cellStyle name="Normal 3 3 2 2 3 2 3 4 2 2" xfId="29454" xr:uid="{00000000-0005-0000-0000-0000FF400000}"/>
    <cellStyle name="Normal 3 3 2 2 3 2 3 4 2 2 2" xfId="61325" xr:uid="{00000000-0005-0000-0000-000000410000}"/>
    <cellStyle name="Normal 3 3 2 2 3 2 3 4 2 3" xfId="36310" xr:uid="{00000000-0005-0000-0000-000001410000}"/>
    <cellStyle name="Normal 3 3 2 2 3 2 3 4 3" xfId="21576" xr:uid="{00000000-0005-0000-0000-000002410000}"/>
    <cellStyle name="Normal 3 3 2 2 3 2 3 4 3 2" xfId="53447" xr:uid="{00000000-0005-0000-0000-000003410000}"/>
    <cellStyle name="Normal 3 3 2 2 3 2 3 4 4" xfId="36309" xr:uid="{00000000-0005-0000-0000-000004410000}"/>
    <cellStyle name="Normal 3 3 2 2 3 2 3 5" xfId="4432" xr:uid="{00000000-0005-0000-0000-000005410000}"/>
    <cellStyle name="Normal 3 3 2 2 3 2 3 5 2" xfId="25515" xr:uid="{00000000-0005-0000-0000-000006410000}"/>
    <cellStyle name="Normal 3 3 2 2 3 2 3 5 2 2" xfId="57386" xr:uid="{00000000-0005-0000-0000-000007410000}"/>
    <cellStyle name="Normal 3 3 2 2 3 2 3 5 3" xfId="36311" xr:uid="{00000000-0005-0000-0000-000008410000}"/>
    <cellStyle name="Normal 3 3 2 2 3 2 3 6" xfId="17637" xr:uid="{00000000-0005-0000-0000-000009410000}"/>
    <cellStyle name="Normal 3 3 2 2 3 2 3 6 2" xfId="49508" xr:uid="{00000000-0005-0000-0000-00000A410000}"/>
    <cellStyle name="Normal 3 3 2 2 3 2 3 7" xfId="36296" xr:uid="{00000000-0005-0000-0000-00000B410000}"/>
    <cellStyle name="Normal 3 3 2 2 3 2 4" xfId="4433" xr:uid="{00000000-0005-0000-0000-00000C410000}"/>
    <cellStyle name="Normal 3 3 2 2 3 2 4 2" xfId="4434" xr:uid="{00000000-0005-0000-0000-00000D410000}"/>
    <cellStyle name="Normal 3 3 2 2 3 2 4 2 2" xfId="4435" xr:uid="{00000000-0005-0000-0000-00000E410000}"/>
    <cellStyle name="Normal 3 3 2 2 3 2 4 2 2 2" xfId="4436" xr:uid="{00000000-0005-0000-0000-00000F410000}"/>
    <cellStyle name="Normal 3 3 2 2 3 2 4 2 2 2 2" xfId="29459" xr:uid="{00000000-0005-0000-0000-000010410000}"/>
    <cellStyle name="Normal 3 3 2 2 3 2 4 2 2 2 2 2" xfId="61330" xr:uid="{00000000-0005-0000-0000-000011410000}"/>
    <cellStyle name="Normal 3 3 2 2 3 2 4 2 2 2 3" xfId="36315" xr:uid="{00000000-0005-0000-0000-000012410000}"/>
    <cellStyle name="Normal 3 3 2 2 3 2 4 2 2 3" xfId="21581" xr:uid="{00000000-0005-0000-0000-000013410000}"/>
    <cellStyle name="Normal 3 3 2 2 3 2 4 2 2 3 2" xfId="53452" xr:uid="{00000000-0005-0000-0000-000014410000}"/>
    <cellStyle name="Normal 3 3 2 2 3 2 4 2 2 4" xfId="36314" xr:uid="{00000000-0005-0000-0000-000015410000}"/>
    <cellStyle name="Normal 3 3 2 2 3 2 4 2 3" xfId="4437" xr:uid="{00000000-0005-0000-0000-000016410000}"/>
    <cellStyle name="Normal 3 3 2 2 3 2 4 2 3 2" xfId="25520" xr:uid="{00000000-0005-0000-0000-000017410000}"/>
    <cellStyle name="Normal 3 3 2 2 3 2 4 2 3 2 2" xfId="57391" xr:uid="{00000000-0005-0000-0000-000018410000}"/>
    <cellStyle name="Normal 3 3 2 2 3 2 4 2 3 3" xfId="36316" xr:uid="{00000000-0005-0000-0000-000019410000}"/>
    <cellStyle name="Normal 3 3 2 2 3 2 4 2 4" xfId="17642" xr:uid="{00000000-0005-0000-0000-00001A410000}"/>
    <cellStyle name="Normal 3 3 2 2 3 2 4 2 4 2" xfId="49513" xr:uid="{00000000-0005-0000-0000-00001B410000}"/>
    <cellStyle name="Normal 3 3 2 2 3 2 4 2 5" xfId="36313" xr:uid="{00000000-0005-0000-0000-00001C410000}"/>
    <cellStyle name="Normal 3 3 2 2 3 2 4 3" xfId="4438" xr:uid="{00000000-0005-0000-0000-00001D410000}"/>
    <cellStyle name="Normal 3 3 2 2 3 2 4 3 2" xfId="4439" xr:uid="{00000000-0005-0000-0000-00001E410000}"/>
    <cellStyle name="Normal 3 3 2 2 3 2 4 3 2 2" xfId="29458" xr:uid="{00000000-0005-0000-0000-00001F410000}"/>
    <cellStyle name="Normal 3 3 2 2 3 2 4 3 2 2 2" xfId="61329" xr:uid="{00000000-0005-0000-0000-000020410000}"/>
    <cellStyle name="Normal 3 3 2 2 3 2 4 3 2 3" xfId="36318" xr:uid="{00000000-0005-0000-0000-000021410000}"/>
    <cellStyle name="Normal 3 3 2 2 3 2 4 3 3" xfId="21580" xr:uid="{00000000-0005-0000-0000-000022410000}"/>
    <cellStyle name="Normal 3 3 2 2 3 2 4 3 3 2" xfId="53451" xr:uid="{00000000-0005-0000-0000-000023410000}"/>
    <cellStyle name="Normal 3 3 2 2 3 2 4 3 4" xfId="36317" xr:uid="{00000000-0005-0000-0000-000024410000}"/>
    <cellStyle name="Normal 3 3 2 2 3 2 4 4" xfId="4440" xr:uid="{00000000-0005-0000-0000-000025410000}"/>
    <cellStyle name="Normal 3 3 2 2 3 2 4 4 2" xfId="25519" xr:uid="{00000000-0005-0000-0000-000026410000}"/>
    <cellStyle name="Normal 3 3 2 2 3 2 4 4 2 2" xfId="57390" xr:uid="{00000000-0005-0000-0000-000027410000}"/>
    <cellStyle name="Normal 3 3 2 2 3 2 4 4 3" xfId="36319" xr:uid="{00000000-0005-0000-0000-000028410000}"/>
    <cellStyle name="Normal 3 3 2 2 3 2 4 5" xfId="17641" xr:uid="{00000000-0005-0000-0000-000029410000}"/>
    <cellStyle name="Normal 3 3 2 2 3 2 4 5 2" xfId="49512" xr:uid="{00000000-0005-0000-0000-00002A410000}"/>
    <cellStyle name="Normal 3 3 2 2 3 2 4 6" xfId="36312" xr:uid="{00000000-0005-0000-0000-00002B410000}"/>
    <cellStyle name="Normal 3 3 2 2 3 2 5" xfId="4441" xr:uid="{00000000-0005-0000-0000-00002C410000}"/>
    <cellStyle name="Normal 3 3 2 2 3 2 5 2" xfId="4442" xr:uid="{00000000-0005-0000-0000-00002D410000}"/>
    <cellStyle name="Normal 3 3 2 2 3 2 5 2 2" xfId="4443" xr:uid="{00000000-0005-0000-0000-00002E410000}"/>
    <cellStyle name="Normal 3 3 2 2 3 2 5 2 2 2" xfId="29460" xr:uid="{00000000-0005-0000-0000-00002F410000}"/>
    <cellStyle name="Normal 3 3 2 2 3 2 5 2 2 2 2" xfId="61331" xr:uid="{00000000-0005-0000-0000-000030410000}"/>
    <cellStyle name="Normal 3 3 2 2 3 2 5 2 2 3" xfId="36322" xr:uid="{00000000-0005-0000-0000-000031410000}"/>
    <cellStyle name="Normal 3 3 2 2 3 2 5 2 3" xfId="21582" xr:uid="{00000000-0005-0000-0000-000032410000}"/>
    <cellStyle name="Normal 3 3 2 2 3 2 5 2 3 2" xfId="53453" xr:uid="{00000000-0005-0000-0000-000033410000}"/>
    <cellStyle name="Normal 3 3 2 2 3 2 5 2 4" xfId="36321" xr:uid="{00000000-0005-0000-0000-000034410000}"/>
    <cellStyle name="Normal 3 3 2 2 3 2 5 3" xfId="4444" xr:uid="{00000000-0005-0000-0000-000035410000}"/>
    <cellStyle name="Normal 3 3 2 2 3 2 5 3 2" xfId="25521" xr:uid="{00000000-0005-0000-0000-000036410000}"/>
    <cellStyle name="Normal 3 3 2 2 3 2 5 3 2 2" xfId="57392" xr:uid="{00000000-0005-0000-0000-000037410000}"/>
    <cellStyle name="Normal 3 3 2 2 3 2 5 3 3" xfId="36323" xr:uid="{00000000-0005-0000-0000-000038410000}"/>
    <cellStyle name="Normal 3 3 2 2 3 2 5 4" xfId="17643" xr:uid="{00000000-0005-0000-0000-000039410000}"/>
    <cellStyle name="Normal 3 3 2 2 3 2 5 4 2" xfId="49514" xr:uid="{00000000-0005-0000-0000-00003A410000}"/>
    <cellStyle name="Normal 3 3 2 2 3 2 5 5" xfId="36320" xr:uid="{00000000-0005-0000-0000-00003B410000}"/>
    <cellStyle name="Normal 3 3 2 2 3 2 6" xfId="4445" xr:uid="{00000000-0005-0000-0000-00003C410000}"/>
    <cellStyle name="Normal 3 3 2 2 3 2 6 2" xfId="4446" xr:uid="{00000000-0005-0000-0000-00003D410000}"/>
    <cellStyle name="Normal 3 3 2 2 3 2 6 2 2" xfId="28492" xr:uid="{00000000-0005-0000-0000-00003E410000}"/>
    <cellStyle name="Normal 3 3 2 2 3 2 6 2 2 2" xfId="60363" xr:uid="{00000000-0005-0000-0000-00003F410000}"/>
    <cellStyle name="Normal 3 3 2 2 3 2 6 2 3" xfId="36325" xr:uid="{00000000-0005-0000-0000-000040410000}"/>
    <cellStyle name="Normal 3 3 2 2 3 2 6 3" xfId="20614" xr:uid="{00000000-0005-0000-0000-000041410000}"/>
    <cellStyle name="Normal 3 3 2 2 3 2 6 3 2" xfId="52485" xr:uid="{00000000-0005-0000-0000-000042410000}"/>
    <cellStyle name="Normal 3 3 2 2 3 2 6 4" xfId="36324" xr:uid="{00000000-0005-0000-0000-000043410000}"/>
    <cellStyle name="Normal 3 3 2 2 3 2 7" xfId="4447" xr:uid="{00000000-0005-0000-0000-000044410000}"/>
    <cellStyle name="Normal 3 3 2 2 3 2 7 2" xfId="24553" xr:uid="{00000000-0005-0000-0000-000045410000}"/>
    <cellStyle name="Normal 3 3 2 2 3 2 7 2 2" xfId="56424" xr:uid="{00000000-0005-0000-0000-000046410000}"/>
    <cellStyle name="Normal 3 3 2 2 3 2 7 3" xfId="36326" xr:uid="{00000000-0005-0000-0000-000047410000}"/>
    <cellStyle name="Normal 3 3 2 2 3 2 8" xfId="16675" xr:uid="{00000000-0005-0000-0000-000048410000}"/>
    <cellStyle name="Normal 3 3 2 2 3 2 8 2" xfId="48546" xr:uid="{00000000-0005-0000-0000-000049410000}"/>
    <cellStyle name="Normal 3 3 2 2 3 2 9" xfId="36263" xr:uid="{00000000-0005-0000-0000-00004A410000}"/>
    <cellStyle name="Normal 3 3 2 2 3 3" xfId="4448" xr:uid="{00000000-0005-0000-0000-00004B410000}"/>
    <cellStyle name="Normal 3 3 2 2 3 3 2" xfId="4449" xr:uid="{00000000-0005-0000-0000-00004C410000}"/>
    <cellStyle name="Normal 3 3 2 2 3 3 2 2" xfId="4450" xr:uid="{00000000-0005-0000-0000-00004D410000}"/>
    <cellStyle name="Normal 3 3 2 2 3 3 2 2 2" xfId="4451" xr:uid="{00000000-0005-0000-0000-00004E410000}"/>
    <cellStyle name="Normal 3 3 2 2 3 3 2 2 2 2" xfId="4452" xr:uid="{00000000-0005-0000-0000-00004F410000}"/>
    <cellStyle name="Normal 3 3 2 2 3 3 2 2 2 2 2" xfId="4453" xr:uid="{00000000-0005-0000-0000-000050410000}"/>
    <cellStyle name="Normal 3 3 2 2 3 3 2 2 2 2 2 2" xfId="29464" xr:uid="{00000000-0005-0000-0000-000051410000}"/>
    <cellStyle name="Normal 3 3 2 2 3 3 2 2 2 2 2 2 2" xfId="61335" xr:uid="{00000000-0005-0000-0000-000052410000}"/>
    <cellStyle name="Normal 3 3 2 2 3 3 2 2 2 2 2 3" xfId="36332" xr:uid="{00000000-0005-0000-0000-000053410000}"/>
    <cellStyle name="Normal 3 3 2 2 3 3 2 2 2 2 3" xfId="21586" xr:uid="{00000000-0005-0000-0000-000054410000}"/>
    <cellStyle name="Normal 3 3 2 2 3 3 2 2 2 2 3 2" xfId="53457" xr:uid="{00000000-0005-0000-0000-000055410000}"/>
    <cellStyle name="Normal 3 3 2 2 3 3 2 2 2 2 4" xfId="36331" xr:uid="{00000000-0005-0000-0000-000056410000}"/>
    <cellStyle name="Normal 3 3 2 2 3 3 2 2 2 3" xfId="4454" xr:uid="{00000000-0005-0000-0000-000057410000}"/>
    <cellStyle name="Normal 3 3 2 2 3 3 2 2 2 3 2" xfId="25525" xr:uid="{00000000-0005-0000-0000-000058410000}"/>
    <cellStyle name="Normal 3 3 2 2 3 3 2 2 2 3 2 2" xfId="57396" xr:uid="{00000000-0005-0000-0000-000059410000}"/>
    <cellStyle name="Normal 3 3 2 2 3 3 2 2 2 3 3" xfId="36333" xr:uid="{00000000-0005-0000-0000-00005A410000}"/>
    <cellStyle name="Normal 3 3 2 2 3 3 2 2 2 4" xfId="17647" xr:uid="{00000000-0005-0000-0000-00005B410000}"/>
    <cellStyle name="Normal 3 3 2 2 3 3 2 2 2 4 2" xfId="49518" xr:uid="{00000000-0005-0000-0000-00005C410000}"/>
    <cellStyle name="Normal 3 3 2 2 3 3 2 2 2 5" xfId="36330" xr:uid="{00000000-0005-0000-0000-00005D410000}"/>
    <cellStyle name="Normal 3 3 2 2 3 3 2 2 3" xfId="4455" xr:uid="{00000000-0005-0000-0000-00005E410000}"/>
    <cellStyle name="Normal 3 3 2 2 3 3 2 2 3 2" xfId="4456" xr:uid="{00000000-0005-0000-0000-00005F410000}"/>
    <cellStyle name="Normal 3 3 2 2 3 3 2 2 3 2 2" xfId="29463" xr:uid="{00000000-0005-0000-0000-000060410000}"/>
    <cellStyle name="Normal 3 3 2 2 3 3 2 2 3 2 2 2" xfId="61334" xr:uid="{00000000-0005-0000-0000-000061410000}"/>
    <cellStyle name="Normal 3 3 2 2 3 3 2 2 3 2 3" xfId="36335" xr:uid="{00000000-0005-0000-0000-000062410000}"/>
    <cellStyle name="Normal 3 3 2 2 3 3 2 2 3 3" xfId="21585" xr:uid="{00000000-0005-0000-0000-000063410000}"/>
    <cellStyle name="Normal 3 3 2 2 3 3 2 2 3 3 2" xfId="53456" xr:uid="{00000000-0005-0000-0000-000064410000}"/>
    <cellStyle name="Normal 3 3 2 2 3 3 2 2 3 4" xfId="36334" xr:uid="{00000000-0005-0000-0000-000065410000}"/>
    <cellStyle name="Normal 3 3 2 2 3 3 2 2 4" xfId="4457" xr:uid="{00000000-0005-0000-0000-000066410000}"/>
    <cellStyle name="Normal 3 3 2 2 3 3 2 2 4 2" xfId="25524" xr:uid="{00000000-0005-0000-0000-000067410000}"/>
    <cellStyle name="Normal 3 3 2 2 3 3 2 2 4 2 2" xfId="57395" xr:uid="{00000000-0005-0000-0000-000068410000}"/>
    <cellStyle name="Normal 3 3 2 2 3 3 2 2 4 3" xfId="36336" xr:uid="{00000000-0005-0000-0000-000069410000}"/>
    <cellStyle name="Normal 3 3 2 2 3 3 2 2 5" xfId="17646" xr:uid="{00000000-0005-0000-0000-00006A410000}"/>
    <cellStyle name="Normal 3 3 2 2 3 3 2 2 5 2" xfId="49517" xr:uid="{00000000-0005-0000-0000-00006B410000}"/>
    <cellStyle name="Normal 3 3 2 2 3 3 2 2 6" xfId="36329" xr:uid="{00000000-0005-0000-0000-00006C410000}"/>
    <cellStyle name="Normal 3 3 2 2 3 3 2 3" xfId="4458" xr:uid="{00000000-0005-0000-0000-00006D410000}"/>
    <cellStyle name="Normal 3 3 2 2 3 3 2 3 2" xfId="4459" xr:uid="{00000000-0005-0000-0000-00006E410000}"/>
    <cellStyle name="Normal 3 3 2 2 3 3 2 3 2 2" xfId="4460" xr:uid="{00000000-0005-0000-0000-00006F410000}"/>
    <cellStyle name="Normal 3 3 2 2 3 3 2 3 2 2 2" xfId="29465" xr:uid="{00000000-0005-0000-0000-000070410000}"/>
    <cellStyle name="Normal 3 3 2 2 3 3 2 3 2 2 2 2" xfId="61336" xr:uid="{00000000-0005-0000-0000-000071410000}"/>
    <cellStyle name="Normal 3 3 2 2 3 3 2 3 2 2 3" xfId="36339" xr:uid="{00000000-0005-0000-0000-000072410000}"/>
    <cellStyle name="Normal 3 3 2 2 3 3 2 3 2 3" xfId="21587" xr:uid="{00000000-0005-0000-0000-000073410000}"/>
    <cellStyle name="Normal 3 3 2 2 3 3 2 3 2 3 2" xfId="53458" xr:uid="{00000000-0005-0000-0000-000074410000}"/>
    <cellStyle name="Normal 3 3 2 2 3 3 2 3 2 4" xfId="36338" xr:uid="{00000000-0005-0000-0000-000075410000}"/>
    <cellStyle name="Normal 3 3 2 2 3 3 2 3 3" xfId="4461" xr:uid="{00000000-0005-0000-0000-000076410000}"/>
    <cellStyle name="Normal 3 3 2 2 3 3 2 3 3 2" xfId="25526" xr:uid="{00000000-0005-0000-0000-000077410000}"/>
    <cellStyle name="Normal 3 3 2 2 3 3 2 3 3 2 2" xfId="57397" xr:uid="{00000000-0005-0000-0000-000078410000}"/>
    <cellStyle name="Normal 3 3 2 2 3 3 2 3 3 3" xfId="36340" xr:uid="{00000000-0005-0000-0000-000079410000}"/>
    <cellStyle name="Normal 3 3 2 2 3 3 2 3 4" xfId="17648" xr:uid="{00000000-0005-0000-0000-00007A410000}"/>
    <cellStyle name="Normal 3 3 2 2 3 3 2 3 4 2" xfId="49519" xr:uid="{00000000-0005-0000-0000-00007B410000}"/>
    <cellStyle name="Normal 3 3 2 2 3 3 2 3 5" xfId="36337" xr:uid="{00000000-0005-0000-0000-00007C410000}"/>
    <cellStyle name="Normal 3 3 2 2 3 3 2 4" xfId="4462" xr:uid="{00000000-0005-0000-0000-00007D410000}"/>
    <cellStyle name="Normal 3 3 2 2 3 3 2 4 2" xfId="4463" xr:uid="{00000000-0005-0000-0000-00007E410000}"/>
    <cellStyle name="Normal 3 3 2 2 3 3 2 4 2 2" xfId="29462" xr:uid="{00000000-0005-0000-0000-00007F410000}"/>
    <cellStyle name="Normal 3 3 2 2 3 3 2 4 2 2 2" xfId="61333" xr:uid="{00000000-0005-0000-0000-000080410000}"/>
    <cellStyle name="Normal 3 3 2 2 3 3 2 4 2 3" xfId="36342" xr:uid="{00000000-0005-0000-0000-000081410000}"/>
    <cellStyle name="Normal 3 3 2 2 3 3 2 4 3" xfId="21584" xr:uid="{00000000-0005-0000-0000-000082410000}"/>
    <cellStyle name="Normal 3 3 2 2 3 3 2 4 3 2" xfId="53455" xr:uid="{00000000-0005-0000-0000-000083410000}"/>
    <cellStyle name="Normal 3 3 2 2 3 3 2 4 4" xfId="36341" xr:uid="{00000000-0005-0000-0000-000084410000}"/>
    <cellStyle name="Normal 3 3 2 2 3 3 2 5" xfId="4464" xr:uid="{00000000-0005-0000-0000-000085410000}"/>
    <cellStyle name="Normal 3 3 2 2 3 3 2 5 2" xfId="25523" xr:uid="{00000000-0005-0000-0000-000086410000}"/>
    <cellStyle name="Normal 3 3 2 2 3 3 2 5 2 2" xfId="57394" xr:uid="{00000000-0005-0000-0000-000087410000}"/>
    <cellStyle name="Normal 3 3 2 2 3 3 2 5 3" xfId="36343" xr:uid="{00000000-0005-0000-0000-000088410000}"/>
    <cellStyle name="Normal 3 3 2 2 3 3 2 6" xfId="17645" xr:uid="{00000000-0005-0000-0000-000089410000}"/>
    <cellStyle name="Normal 3 3 2 2 3 3 2 6 2" xfId="49516" xr:uid="{00000000-0005-0000-0000-00008A410000}"/>
    <cellStyle name="Normal 3 3 2 2 3 3 2 7" xfId="36328" xr:uid="{00000000-0005-0000-0000-00008B410000}"/>
    <cellStyle name="Normal 3 3 2 2 3 3 3" xfId="4465" xr:uid="{00000000-0005-0000-0000-00008C410000}"/>
    <cellStyle name="Normal 3 3 2 2 3 3 3 2" xfId="4466" xr:uid="{00000000-0005-0000-0000-00008D410000}"/>
    <cellStyle name="Normal 3 3 2 2 3 3 3 2 2" xfId="4467" xr:uid="{00000000-0005-0000-0000-00008E410000}"/>
    <cellStyle name="Normal 3 3 2 2 3 3 3 2 2 2" xfId="4468" xr:uid="{00000000-0005-0000-0000-00008F410000}"/>
    <cellStyle name="Normal 3 3 2 2 3 3 3 2 2 2 2" xfId="29467" xr:uid="{00000000-0005-0000-0000-000090410000}"/>
    <cellStyle name="Normal 3 3 2 2 3 3 3 2 2 2 2 2" xfId="61338" xr:uid="{00000000-0005-0000-0000-000091410000}"/>
    <cellStyle name="Normal 3 3 2 2 3 3 3 2 2 2 3" xfId="36347" xr:uid="{00000000-0005-0000-0000-000092410000}"/>
    <cellStyle name="Normal 3 3 2 2 3 3 3 2 2 3" xfId="21589" xr:uid="{00000000-0005-0000-0000-000093410000}"/>
    <cellStyle name="Normal 3 3 2 2 3 3 3 2 2 3 2" xfId="53460" xr:uid="{00000000-0005-0000-0000-000094410000}"/>
    <cellStyle name="Normal 3 3 2 2 3 3 3 2 2 4" xfId="36346" xr:uid="{00000000-0005-0000-0000-000095410000}"/>
    <cellStyle name="Normal 3 3 2 2 3 3 3 2 3" xfId="4469" xr:uid="{00000000-0005-0000-0000-000096410000}"/>
    <cellStyle name="Normal 3 3 2 2 3 3 3 2 3 2" xfId="25528" xr:uid="{00000000-0005-0000-0000-000097410000}"/>
    <cellStyle name="Normal 3 3 2 2 3 3 3 2 3 2 2" xfId="57399" xr:uid="{00000000-0005-0000-0000-000098410000}"/>
    <cellStyle name="Normal 3 3 2 2 3 3 3 2 3 3" xfId="36348" xr:uid="{00000000-0005-0000-0000-000099410000}"/>
    <cellStyle name="Normal 3 3 2 2 3 3 3 2 4" xfId="17650" xr:uid="{00000000-0005-0000-0000-00009A410000}"/>
    <cellStyle name="Normal 3 3 2 2 3 3 3 2 4 2" xfId="49521" xr:uid="{00000000-0005-0000-0000-00009B410000}"/>
    <cellStyle name="Normal 3 3 2 2 3 3 3 2 5" xfId="36345" xr:uid="{00000000-0005-0000-0000-00009C410000}"/>
    <cellStyle name="Normal 3 3 2 2 3 3 3 3" xfId="4470" xr:uid="{00000000-0005-0000-0000-00009D410000}"/>
    <cellStyle name="Normal 3 3 2 2 3 3 3 3 2" xfId="4471" xr:uid="{00000000-0005-0000-0000-00009E410000}"/>
    <cellStyle name="Normal 3 3 2 2 3 3 3 3 2 2" xfId="29466" xr:uid="{00000000-0005-0000-0000-00009F410000}"/>
    <cellStyle name="Normal 3 3 2 2 3 3 3 3 2 2 2" xfId="61337" xr:uid="{00000000-0005-0000-0000-0000A0410000}"/>
    <cellStyle name="Normal 3 3 2 2 3 3 3 3 2 3" xfId="36350" xr:uid="{00000000-0005-0000-0000-0000A1410000}"/>
    <cellStyle name="Normal 3 3 2 2 3 3 3 3 3" xfId="21588" xr:uid="{00000000-0005-0000-0000-0000A2410000}"/>
    <cellStyle name="Normal 3 3 2 2 3 3 3 3 3 2" xfId="53459" xr:uid="{00000000-0005-0000-0000-0000A3410000}"/>
    <cellStyle name="Normal 3 3 2 2 3 3 3 3 4" xfId="36349" xr:uid="{00000000-0005-0000-0000-0000A4410000}"/>
    <cellStyle name="Normal 3 3 2 2 3 3 3 4" xfId="4472" xr:uid="{00000000-0005-0000-0000-0000A5410000}"/>
    <cellStyle name="Normal 3 3 2 2 3 3 3 4 2" xfId="25527" xr:uid="{00000000-0005-0000-0000-0000A6410000}"/>
    <cellStyle name="Normal 3 3 2 2 3 3 3 4 2 2" xfId="57398" xr:uid="{00000000-0005-0000-0000-0000A7410000}"/>
    <cellStyle name="Normal 3 3 2 2 3 3 3 4 3" xfId="36351" xr:uid="{00000000-0005-0000-0000-0000A8410000}"/>
    <cellStyle name="Normal 3 3 2 2 3 3 3 5" xfId="17649" xr:uid="{00000000-0005-0000-0000-0000A9410000}"/>
    <cellStyle name="Normal 3 3 2 2 3 3 3 5 2" xfId="49520" xr:uid="{00000000-0005-0000-0000-0000AA410000}"/>
    <cellStyle name="Normal 3 3 2 2 3 3 3 6" xfId="36344" xr:uid="{00000000-0005-0000-0000-0000AB410000}"/>
    <cellStyle name="Normal 3 3 2 2 3 3 4" xfId="4473" xr:uid="{00000000-0005-0000-0000-0000AC410000}"/>
    <cellStyle name="Normal 3 3 2 2 3 3 4 2" xfId="4474" xr:uid="{00000000-0005-0000-0000-0000AD410000}"/>
    <cellStyle name="Normal 3 3 2 2 3 3 4 2 2" xfId="4475" xr:uid="{00000000-0005-0000-0000-0000AE410000}"/>
    <cellStyle name="Normal 3 3 2 2 3 3 4 2 2 2" xfId="29468" xr:uid="{00000000-0005-0000-0000-0000AF410000}"/>
    <cellStyle name="Normal 3 3 2 2 3 3 4 2 2 2 2" xfId="61339" xr:uid="{00000000-0005-0000-0000-0000B0410000}"/>
    <cellStyle name="Normal 3 3 2 2 3 3 4 2 2 3" xfId="36354" xr:uid="{00000000-0005-0000-0000-0000B1410000}"/>
    <cellStyle name="Normal 3 3 2 2 3 3 4 2 3" xfId="21590" xr:uid="{00000000-0005-0000-0000-0000B2410000}"/>
    <cellStyle name="Normal 3 3 2 2 3 3 4 2 3 2" xfId="53461" xr:uid="{00000000-0005-0000-0000-0000B3410000}"/>
    <cellStyle name="Normal 3 3 2 2 3 3 4 2 4" xfId="36353" xr:uid="{00000000-0005-0000-0000-0000B4410000}"/>
    <cellStyle name="Normal 3 3 2 2 3 3 4 3" xfId="4476" xr:uid="{00000000-0005-0000-0000-0000B5410000}"/>
    <cellStyle name="Normal 3 3 2 2 3 3 4 3 2" xfId="25529" xr:uid="{00000000-0005-0000-0000-0000B6410000}"/>
    <cellStyle name="Normal 3 3 2 2 3 3 4 3 2 2" xfId="57400" xr:uid="{00000000-0005-0000-0000-0000B7410000}"/>
    <cellStyle name="Normal 3 3 2 2 3 3 4 3 3" xfId="36355" xr:uid="{00000000-0005-0000-0000-0000B8410000}"/>
    <cellStyle name="Normal 3 3 2 2 3 3 4 4" xfId="17651" xr:uid="{00000000-0005-0000-0000-0000B9410000}"/>
    <cellStyle name="Normal 3 3 2 2 3 3 4 4 2" xfId="49522" xr:uid="{00000000-0005-0000-0000-0000BA410000}"/>
    <cellStyle name="Normal 3 3 2 2 3 3 4 5" xfId="36352" xr:uid="{00000000-0005-0000-0000-0000BB410000}"/>
    <cellStyle name="Normal 3 3 2 2 3 3 5" xfId="4477" xr:uid="{00000000-0005-0000-0000-0000BC410000}"/>
    <cellStyle name="Normal 3 3 2 2 3 3 5 2" xfId="4478" xr:uid="{00000000-0005-0000-0000-0000BD410000}"/>
    <cellStyle name="Normal 3 3 2 2 3 3 5 2 2" xfId="29461" xr:uid="{00000000-0005-0000-0000-0000BE410000}"/>
    <cellStyle name="Normal 3 3 2 2 3 3 5 2 2 2" xfId="61332" xr:uid="{00000000-0005-0000-0000-0000BF410000}"/>
    <cellStyle name="Normal 3 3 2 2 3 3 5 2 3" xfId="36357" xr:uid="{00000000-0005-0000-0000-0000C0410000}"/>
    <cellStyle name="Normal 3 3 2 2 3 3 5 3" xfId="21583" xr:uid="{00000000-0005-0000-0000-0000C1410000}"/>
    <cellStyle name="Normal 3 3 2 2 3 3 5 3 2" xfId="53454" xr:uid="{00000000-0005-0000-0000-0000C2410000}"/>
    <cellStyle name="Normal 3 3 2 2 3 3 5 4" xfId="36356" xr:uid="{00000000-0005-0000-0000-0000C3410000}"/>
    <cellStyle name="Normal 3 3 2 2 3 3 6" xfId="4479" xr:uid="{00000000-0005-0000-0000-0000C4410000}"/>
    <cellStyle name="Normal 3 3 2 2 3 3 6 2" xfId="25522" xr:uid="{00000000-0005-0000-0000-0000C5410000}"/>
    <cellStyle name="Normal 3 3 2 2 3 3 6 2 2" xfId="57393" xr:uid="{00000000-0005-0000-0000-0000C6410000}"/>
    <cellStyle name="Normal 3 3 2 2 3 3 6 3" xfId="36358" xr:uid="{00000000-0005-0000-0000-0000C7410000}"/>
    <cellStyle name="Normal 3 3 2 2 3 3 7" xfId="17644" xr:uid="{00000000-0005-0000-0000-0000C8410000}"/>
    <cellStyle name="Normal 3 3 2 2 3 3 7 2" xfId="49515" xr:uid="{00000000-0005-0000-0000-0000C9410000}"/>
    <cellStyle name="Normal 3 3 2 2 3 3 8" xfId="36327" xr:uid="{00000000-0005-0000-0000-0000CA410000}"/>
    <cellStyle name="Normal 3 3 2 2 3 4" xfId="4480" xr:uid="{00000000-0005-0000-0000-0000CB410000}"/>
    <cellStyle name="Normal 3 3 2 2 3 4 2" xfId="4481" xr:uid="{00000000-0005-0000-0000-0000CC410000}"/>
    <cellStyle name="Normal 3 3 2 2 3 4 2 2" xfId="4482" xr:uid="{00000000-0005-0000-0000-0000CD410000}"/>
    <cellStyle name="Normal 3 3 2 2 3 4 2 2 2" xfId="4483" xr:uid="{00000000-0005-0000-0000-0000CE410000}"/>
    <cellStyle name="Normal 3 3 2 2 3 4 2 2 2 2" xfId="4484" xr:uid="{00000000-0005-0000-0000-0000CF410000}"/>
    <cellStyle name="Normal 3 3 2 2 3 4 2 2 2 2 2" xfId="29471" xr:uid="{00000000-0005-0000-0000-0000D0410000}"/>
    <cellStyle name="Normal 3 3 2 2 3 4 2 2 2 2 2 2" xfId="61342" xr:uid="{00000000-0005-0000-0000-0000D1410000}"/>
    <cellStyle name="Normal 3 3 2 2 3 4 2 2 2 2 3" xfId="36363" xr:uid="{00000000-0005-0000-0000-0000D2410000}"/>
    <cellStyle name="Normal 3 3 2 2 3 4 2 2 2 3" xfId="21593" xr:uid="{00000000-0005-0000-0000-0000D3410000}"/>
    <cellStyle name="Normal 3 3 2 2 3 4 2 2 2 3 2" xfId="53464" xr:uid="{00000000-0005-0000-0000-0000D4410000}"/>
    <cellStyle name="Normal 3 3 2 2 3 4 2 2 2 4" xfId="36362" xr:uid="{00000000-0005-0000-0000-0000D5410000}"/>
    <cellStyle name="Normal 3 3 2 2 3 4 2 2 3" xfId="4485" xr:uid="{00000000-0005-0000-0000-0000D6410000}"/>
    <cellStyle name="Normal 3 3 2 2 3 4 2 2 3 2" xfId="25532" xr:uid="{00000000-0005-0000-0000-0000D7410000}"/>
    <cellStyle name="Normal 3 3 2 2 3 4 2 2 3 2 2" xfId="57403" xr:uid="{00000000-0005-0000-0000-0000D8410000}"/>
    <cellStyle name="Normal 3 3 2 2 3 4 2 2 3 3" xfId="36364" xr:uid="{00000000-0005-0000-0000-0000D9410000}"/>
    <cellStyle name="Normal 3 3 2 2 3 4 2 2 4" xfId="17654" xr:uid="{00000000-0005-0000-0000-0000DA410000}"/>
    <cellStyle name="Normal 3 3 2 2 3 4 2 2 4 2" xfId="49525" xr:uid="{00000000-0005-0000-0000-0000DB410000}"/>
    <cellStyle name="Normal 3 3 2 2 3 4 2 2 5" xfId="36361" xr:uid="{00000000-0005-0000-0000-0000DC410000}"/>
    <cellStyle name="Normal 3 3 2 2 3 4 2 3" xfId="4486" xr:uid="{00000000-0005-0000-0000-0000DD410000}"/>
    <cellStyle name="Normal 3 3 2 2 3 4 2 3 2" xfId="4487" xr:uid="{00000000-0005-0000-0000-0000DE410000}"/>
    <cellStyle name="Normal 3 3 2 2 3 4 2 3 2 2" xfId="29470" xr:uid="{00000000-0005-0000-0000-0000DF410000}"/>
    <cellStyle name="Normal 3 3 2 2 3 4 2 3 2 2 2" xfId="61341" xr:uid="{00000000-0005-0000-0000-0000E0410000}"/>
    <cellStyle name="Normal 3 3 2 2 3 4 2 3 2 3" xfId="36366" xr:uid="{00000000-0005-0000-0000-0000E1410000}"/>
    <cellStyle name="Normal 3 3 2 2 3 4 2 3 3" xfId="21592" xr:uid="{00000000-0005-0000-0000-0000E2410000}"/>
    <cellStyle name="Normal 3 3 2 2 3 4 2 3 3 2" xfId="53463" xr:uid="{00000000-0005-0000-0000-0000E3410000}"/>
    <cellStyle name="Normal 3 3 2 2 3 4 2 3 4" xfId="36365" xr:uid="{00000000-0005-0000-0000-0000E4410000}"/>
    <cellStyle name="Normal 3 3 2 2 3 4 2 4" xfId="4488" xr:uid="{00000000-0005-0000-0000-0000E5410000}"/>
    <cellStyle name="Normal 3 3 2 2 3 4 2 4 2" xfId="25531" xr:uid="{00000000-0005-0000-0000-0000E6410000}"/>
    <cellStyle name="Normal 3 3 2 2 3 4 2 4 2 2" xfId="57402" xr:uid="{00000000-0005-0000-0000-0000E7410000}"/>
    <cellStyle name="Normal 3 3 2 2 3 4 2 4 3" xfId="36367" xr:uid="{00000000-0005-0000-0000-0000E8410000}"/>
    <cellStyle name="Normal 3 3 2 2 3 4 2 5" xfId="17653" xr:uid="{00000000-0005-0000-0000-0000E9410000}"/>
    <cellStyle name="Normal 3 3 2 2 3 4 2 5 2" xfId="49524" xr:uid="{00000000-0005-0000-0000-0000EA410000}"/>
    <cellStyle name="Normal 3 3 2 2 3 4 2 6" xfId="36360" xr:uid="{00000000-0005-0000-0000-0000EB410000}"/>
    <cellStyle name="Normal 3 3 2 2 3 4 3" xfId="4489" xr:uid="{00000000-0005-0000-0000-0000EC410000}"/>
    <cellStyle name="Normal 3 3 2 2 3 4 3 2" xfId="4490" xr:uid="{00000000-0005-0000-0000-0000ED410000}"/>
    <cellStyle name="Normal 3 3 2 2 3 4 3 2 2" xfId="4491" xr:uid="{00000000-0005-0000-0000-0000EE410000}"/>
    <cellStyle name="Normal 3 3 2 2 3 4 3 2 2 2" xfId="29472" xr:uid="{00000000-0005-0000-0000-0000EF410000}"/>
    <cellStyle name="Normal 3 3 2 2 3 4 3 2 2 2 2" xfId="61343" xr:uid="{00000000-0005-0000-0000-0000F0410000}"/>
    <cellStyle name="Normal 3 3 2 2 3 4 3 2 2 3" xfId="36370" xr:uid="{00000000-0005-0000-0000-0000F1410000}"/>
    <cellStyle name="Normal 3 3 2 2 3 4 3 2 3" xfId="21594" xr:uid="{00000000-0005-0000-0000-0000F2410000}"/>
    <cellStyle name="Normal 3 3 2 2 3 4 3 2 3 2" xfId="53465" xr:uid="{00000000-0005-0000-0000-0000F3410000}"/>
    <cellStyle name="Normal 3 3 2 2 3 4 3 2 4" xfId="36369" xr:uid="{00000000-0005-0000-0000-0000F4410000}"/>
    <cellStyle name="Normal 3 3 2 2 3 4 3 3" xfId="4492" xr:uid="{00000000-0005-0000-0000-0000F5410000}"/>
    <cellStyle name="Normal 3 3 2 2 3 4 3 3 2" xfId="25533" xr:uid="{00000000-0005-0000-0000-0000F6410000}"/>
    <cellStyle name="Normal 3 3 2 2 3 4 3 3 2 2" xfId="57404" xr:uid="{00000000-0005-0000-0000-0000F7410000}"/>
    <cellStyle name="Normal 3 3 2 2 3 4 3 3 3" xfId="36371" xr:uid="{00000000-0005-0000-0000-0000F8410000}"/>
    <cellStyle name="Normal 3 3 2 2 3 4 3 4" xfId="17655" xr:uid="{00000000-0005-0000-0000-0000F9410000}"/>
    <cellStyle name="Normal 3 3 2 2 3 4 3 4 2" xfId="49526" xr:uid="{00000000-0005-0000-0000-0000FA410000}"/>
    <cellStyle name="Normal 3 3 2 2 3 4 3 5" xfId="36368" xr:uid="{00000000-0005-0000-0000-0000FB410000}"/>
    <cellStyle name="Normal 3 3 2 2 3 4 4" xfId="4493" xr:uid="{00000000-0005-0000-0000-0000FC410000}"/>
    <cellStyle name="Normal 3 3 2 2 3 4 4 2" xfId="4494" xr:uid="{00000000-0005-0000-0000-0000FD410000}"/>
    <cellStyle name="Normal 3 3 2 2 3 4 4 2 2" xfId="29469" xr:uid="{00000000-0005-0000-0000-0000FE410000}"/>
    <cellStyle name="Normal 3 3 2 2 3 4 4 2 2 2" xfId="61340" xr:uid="{00000000-0005-0000-0000-0000FF410000}"/>
    <cellStyle name="Normal 3 3 2 2 3 4 4 2 3" xfId="36373" xr:uid="{00000000-0005-0000-0000-000000420000}"/>
    <cellStyle name="Normal 3 3 2 2 3 4 4 3" xfId="21591" xr:uid="{00000000-0005-0000-0000-000001420000}"/>
    <cellStyle name="Normal 3 3 2 2 3 4 4 3 2" xfId="53462" xr:uid="{00000000-0005-0000-0000-000002420000}"/>
    <cellStyle name="Normal 3 3 2 2 3 4 4 4" xfId="36372" xr:uid="{00000000-0005-0000-0000-000003420000}"/>
    <cellStyle name="Normal 3 3 2 2 3 4 5" xfId="4495" xr:uid="{00000000-0005-0000-0000-000004420000}"/>
    <cellStyle name="Normal 3 3 2 2 3 4 5 2" xfId="25530" xr:uid="{00000000-0005-0000-0000-000005420000}"/>
    <cellStyle name="Normal 3 3 2 2 3 4 5 2 2" xfId="57401" xr:uid="{00000000-0005-0000-0000-000006420000}"/>
    <cellStyle name="Normal 3 3 2 2 3 4 5 3" xfId="36374" xr:uid="{00000000-0005-0000-0000-000007420000}"/>
    <cellStyle name="Normal 3 3 2 2 3 4 6" xfId="17652" xr:uid="{00000000-0005-0000-0000-000008420000}"/>
    <cellStyle name="Normal 3 3 2 2 3 4 6 2" xfId="49523" xr:uid="{00000000-0005-0000-0000-000009420000}"/>
    <cellStyle name="Normal 3 3 2 2 3 4 7" xfId="36359" xr:uid="{00000000-0005-0000-0000-00000A420000}"/>
    <cellStyle name="Normal 3 3 2 2 3 5" xfId="4496" xr:uid="{00000000-0005-0000-0000-00000B420000}"/>
    <cellStyle name="Normal 3 3 2 2 3 5 2" xfId="4497" xr:uid="{00000000-0005-0000-0000-00000C420000}"/>
    <cellStyle name="Normal 3 3 2 2 3 5 2 2" xfId="4498" xr:uid="{00000000-0005-0000-0000-00000D420000}"/>
    <cellStyle name="Normal 3 3 2 2 3 5 2 2 2" xfId="4499" xr:uid="{00000000-0005-0000-0000-00000E420000}"/>
    <cellStyle name="Normal 3 3 2 2 3 5 2 2 2 2" xfId="29474" xr:uid="{00000000-0005-0000-0000-00000F420000}"/>
    <cellStyle name="Normal 3 3 2 2 3 5 2 2 2 2 2" xfId="61345" xr:uid="{00000000-0005-0000-0000-000010420000}"/>
    <cellStyle name="Normal 3 3 2 2 3 5 2 2 2 3" xfId="36378" xr:uid="{00000000-0005-0000-0000-000011420000}"/>
    <cellStyle name="Normal 3 3 2 2 3 5 2 2 3" xfId="21596" xr:uid="{00000000-0005-0000-0000-000012420000}"/>
    <cellStyle name="Normal 3 3 2 2 3 5 2 2 3 2" xfId="53467" xr:uid="{00000000-0005-0000-0000-000013420000}"/>
    <cellStyle name="Normal 3 3 2 2 3 5 2 2 4" xfId="36377" xr:uid="{00000000-0005-0000-0000-000014420000}"/>
    <cellStyle name="Normal 3 3 2 2 3 5 2 3" xfId="4500" xr:uid="{00000000-0005-0000-0000-000015420000}"/>
    <cellStyle name="Normal 3 3 2 2 3 5 2 3 2" xfId="25535" xr:uid="{00000000-0005-0000-0000-000016420000}"/>
    <cellStyle name="Normal 3 3 2 2 3 5 2 3 2 2" xfId="57406" xr:uid="{00000000-0005-0000-0000-000017420000}"/>
    <cellStyle name="Normal 3 3 2 2 3 5 2 3 3" xfId="36379" xr:uid="{00000000-0005-0000-0000-000018420000}"/>
    <cellStyle name="Normal 3 3 2 2 3 5 2 4" xfId="17657" xr:uid="{00000000-0005-0000-0000-000019420000}"/>
    <cellStyle name="Normal 3 3 2 2 3 5 2 4 2" xfId="49528" xr:uid="{00000000-0005-0000-0000-00001A420000}"/>
    <cellStyle name="Normal 3 3 2 2 3 5 2 5" xfId="36376" xr:uid="{00000000-0005-0000-0000-00001B420000}"/>
    <cellStyle name="Normal 3 3 2 2 3 5 3" xfId="4501" xr:uid="{00000000-0005-0000-0000-00001C420000}"/>
    <cellStyle name="Normal 3 3 2 2 3 5 3 2" xfId="4502" xr:uid="{00000000-0005-0000-0000-00001D420000}"/>
    <cellStyle name="Normal 3 3 2 2 3 5 3 2 2" xfId="29473" xr:uid="{00000000-0005-0000-0000-00001E420000}"/>
    <cellStyle name="Normal 3 3 2 2 3 5 3 2 2 2" xfId="61344" xr:uid="{00000000-0005-0000-0000-00001F420000}"/>
    <cellStyle name="Normal 3 3 2 2 3 5 3 2 3" xfId="36381" xr:uid="{00000000-0005-0000-0000-000020420000}"/>
    <cellStyle name="Normal 3 3 2 2 3 5 3 3" xfId="21595" xr:uid="{00000000-0005-0000-0000-000021420000}"/>
    <cellStyle name="Normal 3 3 2 2 3 5 3 3 2" xfId="53466" xr:uid="{00000000-0005-0000-0000-000022420000}"/>
    <cellStyle name="Normal 3 3 2 2 3 5 3 4" xfId="36380" xr:uid="{00000000-0005-0000-0000-000023420000}"/>
    <cellStyle name="Normal 3 3 2 2 3 5 4" xfId="4503" xr:uid="{00000000-0005-0000-0000-000024420000}"/>
    <cellStyle name="Normal 3 3 2 2 3 5 4 2" xfId="25534" xr:uid="{00000000-0005-0000-0000-000025420000}"/>
    <cellStyle name="Normal 3 3 2 2 3 5 4 2 2" xfId="57405" xr:uid="{00000000-0005-0000-0000-000026420000}"/>
    <cellStyle name="Normal 3 3 2 2 3 5 4 3" xfId="36382" xr:uid="{00000000-0005-0000-0000-000027420000}"/>
    <cellStyle name="Normal 3 3 2 2 3 5 5" xfId="17656" xr:uid="{00000000-0005-0000-0000-000028420000}"/>
    <cellStyle name="Normal 3 3 2 2 3 5 5 2" xfId="49527" xr:uid="{00000000-0005-0000-0000-000029420000}"/>
    <cellStyle name="Normal 3 3 2 2 3 5 6" xfId="36375" xr:uid="{00000000-0005-0000-0000-00002A420000}"/>
    <cellStyle name="Normal 3 3 2 2 3 6" xfId="4504" xr:uid="{00000000-0005-0000-0000-00002B420000}"/>
    <cellStyle name="Normal 3 3 2 2 3 6 2" xfId="4505" xr:uid="{00000000-0005-0000-0000-00002C420000}"/>
    <cellStyle name="Normal 3 3 2 2 3 6 2 2" xfId="4506" xr:uid="{00000000-0005-0000-0000-00002D420000}"/>
    <cellStyle name="Normal 3 3 2 2 3 6 2 2 2" xfId="29475" xr:uid="{00000000-0005-0000-0000-00002E420000}"/>
    <cellStyle name="Normal 3 3 2 2 3 6 2 2 2 2" xfId="61346" xr:uid="{00000000-0005-0000-0000-00002F420000}"/>
    <cellStyle name="Normal 3 3 2 2 3 6 2 2 3" xfId="36385" xr:uid="{00000000-0005-0000-0000-000030420000}"/>
    <cellStyle name="Normal 3 3 2 2 3 6 2 3" xfId="21597" xr:uid="{00000000-0005-0000-0000-000031420000}"/>
    <cellStyle name="Normal 3 3 2 2 3 6 2 3 2" xfId="53468" xr:uid="{00000000-0005-0000-0000-000032420000}"/>
    <cellStyle name="Normal 3 3 2 2 3 6 2 4" xfId="36384" xr:uid="{00000000-0005-0000-0000-000033420000}"/>
    <cellStyle name="Normal 3 3 2 2 3 6 3" xfId="4507" xr:uid="{00000000-0005-0000-0000-000034420000}"/>
    <cellStyle name="Normal 3 3 2 2 3 6 3 2" xfId="25536" xr:uid="{00000000-0005-0000-0000-000035420000}"/>
    <cellStyle name="Normal 3 3 2 2 3 6 3 2 2" xfId="57407" xr:uid="{00000000-0005-0000-0000-000036420000}"/>
    <cellStyle name="Normal 3 3 2 2 3 6 3 3" xfId="36386" xr:uid="{00000000-0005-0000-0000-000037420000}"/>
    <cellStyle name="Normal 3 3 2 2 3 6 4" xfId="17658" xr:uid="{00000000-0005-0000-0000-000038420000}"/>
    <cellStyle name="Normal 3 3 2 2 3 6 4 2" xfId="49529" xr:uid="{00000000-0005-0000-0000-000039420000}"/>
    <cellStyle name="Normal 3 3 2 2 3 6 5" xfId="36383" xr:uid="{00000000-0005-0000-0000-00003A420000}"/>
    <cellStyle name="Normal 3 3 2 2 3 7" xfId="4508" xr:uid="{00000000-0005-0000-0000-00003B420000}"/>
    <cellStyle name="Normal 3 3 2 2 3 7 2" xfId="4509" xr:uid="{00000000-0005-0000-0000-00003C420000}"/>
    <cellStyle name="Normal 3 3 2 2 3 7 2 2" xfId="28369" xr:uid="{00000000-0005-0000-0000-00003D420000}"/>
    <cellStyle name="Normal 3 3 2 2 3 7 2 2 2" xfId="60240" xr:uid="{00000000-0005-0000-0000-00003E420000}"/>
    <cellStyle name="Normal 3 3 2 2 3 7 2 3" xfId="36388" xr:uid="{00000000-0005-0000-0000-00003F420000}"/>
    <cellStyle name="Normal 3 3 2 2 3 7 3" xfId="20491" xr:uid="{00000000-0005-0000-0000-000040420000}"/>
    <cellStyle name="Normal 3 3 2 2 3 7 3 2" xfId="52362" xr:uid="{00000000-0005-0000-0000-000041420000}"/>
    <cellStyle name="Normal 3 3 2 2 3 7 4" xfId="36387" xr:uid="{00000000-0005-0000-0000-000042420000}"/>
    <cellStyle name="Normal 3 3 2 2 3 8" xfId="4510" xr:uid="{00000000-0005-0000-0000-000043420000}"/>
    <cellStyle name="Normal 3 3 2 2 3 8 2" xfId="24430" xr:uid="{00000000-0005-0000-0000-000044420000}"/>
    <cellStyle name="Normal 3 3 2 2 3 8 2 2" xfId="56301" xr:uid="{00000000-0005-0000-0000-000045420000}"/>
    <cellStyle name="Normal 3 3 2 2 3 8 3" xfId="36389" xr:uid="{00000000-0005-0000-0000-000046420000}"/>
    <cellStyle name="Normal 3 3 2 2 3 9" xfId="16552" xr:uid="{00000000-0005-0000-0000-000047420000}"/>
    <cellStyle name="Normal 3 3 2 2 3 9 2" xfId="48423" xr:uid="{00000000-0005-0000-0000-000048420000}"/>
    <cellStyle name="Normal 3 3 2 2 4" xfId="4511" xr:uid="{00000000-0005-0000-0000-000049420000}"/>
    <cellStyle name="Normal 3 3 2 2 4 2" xfId="4512" xr:uid="{00000000-0005-0000-0000-00004A420000}"/>
    <cellStyle name="Normal 3 3 2 2 4 2 2" xfId="4513" xr:uid="{00000000-0005-0000-0000-00004B420000}"/>
    <cellStyle name="Normal 3 3 2 2 4 2 2 2" xfId="4514" xr:uid="{00000000-0005-0000-0000-00004C420000}"/>
    <cellStyle name="Normal 3 3 2 2 4 2 2 2 2" xfId="4515" xr:uid="{00000000-0005-0000-0000-00004D420000}"/>
    <cellStyle name="Normal 3 3 2 2 4 2 2 2 2 2" xfId="4516" xr:uid="{00000000-0005-0000-0000-00004E420000}"/>
    <cellStyle name="Normal 3 3 2 2 4 2 2 2 2 2 2" xfId="4517" xr:uid="{00000000-0005-0000-0000-00004F420000}"/>
    <cellStyle name="Normal 3 3 2 2 4 2 2 2 2 2 2 2" xfId="29479" xr:uid="{00000000-0005-0000-0000-000050420000}"/>
    <cellStyle name="Normal 3 3 2 2 4 2 2 2 2 2 2 2 2" xfId="61350" xr:uid="{00000000-0005-0000-0000-000051420000}"/>
    <cellStyle name="Normal 3 3 2 2 4 2 2 2 2 2 2 3" xfId="36396" xr:uid="{00000000-0005-0000-0000-000052420000}"/>
    <cellStyle name="Normal 3 3 2 2 4 2 2 2 2 2 3" xfId="21601" xr:uid="{00000000-0005-0000-0000-000053420000}"/>
    <cellStyle name="Normal 3 3 2 2 4 2 2 2 2 2 3 2" xfId="53472" xr:uid="{00000000-0005-0000-0000-000054420000}"/>
    <cellStyle name="Normal 3 3 2 2 4 2 2 2 2 2 4" xfId="36395" xr:uid="{00000000-0005-0000-0000-000055420000}"/>
    <cellStyle name="Normal 3 3 2 2 4 2 2 2 2 3" xfId="4518" xr:uid="{00000000-0005-0000-0000-000056420000}"/>
    <cellStyle name="Normal 3 3 2 2 4 2 2 2 2 3 2" xfId="25540" xr:uid="{00000000-0005-0000-0000-000057420000}"/>
    <cellStyle name="Normal 3 3 2 2 4 2 2 2 2 3 2 2" xfId="57411" xr:uid="{00000000-0005-0000-0000-000058420000}"/>
    <cellStyle name="Normal 3 3 2 2 4 2 2 2 2 3 3" xfId="36397" xr:uid="{00000000-0005-0000-0000-000059420000}"/>
    <cellStyle name="Normal 3 3 2 2 4 2 2 2 2 4" xfId="17662" xr:uid="{00000000-0005-0000-0000-00005A420000}"/>
    <cellStyle name="Normal 3 3 2 2 4 2 2 2 2 4 2" xfId="49533" xr:uid="{00000000-0005-0000-0000-00005B420000}"/>
    <cellStyle name="Normal 3 3 2 2 4 2 2 2 2 5" xfId="36394" xr:uid="{00000000-0005-0000-0000-00005C420000}"/>
    <cellStyle name="Normal 3 3 2 2 4 2 2 2 3" xfId="4519" xr:uid="{00000000-0005-0000-0000-00005D420000}"/>
    <cellStyle name="Normal 3 3 2 2 4 2 2 2 3 2" xfId="4520" xr:uid="{00000000-0005-0000-0000-00005E420000}"/>
    <cellStyle name="Normal 3 3 2 2 4 2 2 2 3 2 2" xfId="29478" xr:uid="{00000000-0005-0000-0000-00005F420000}"/>
    <cellStyle name="Normal 3 3 2 2 4 2 2 2 3 2 2 2" xfId="61349" xr:uid="{00000000-0005-0000-0000-000060420000}"/>
    <cellStyle name="Normal 3 3 2 2 4 2 2 2 3 2 3" xfId="36399" xr:uid="{00000000-0005-0000-0000-000061420000}"/>
    <cellStyle name="Normal 3 3 2 2 4 2 2 2 3 3" xfId="21600" xr:uid="{00000000-0005-0000-0000-000062420000}"/>
    <cellStyle name="Normal 3 3 2 2 4 2 2 2 3 3 2" xfId="53471" xr:uid="{00000000-0005-0000-0000-000063420000}"/>
    <cellStyle name="Normal 3 3 2 2 4 2 2 2 3 4" xfId="36398" xr:uid="{00000000-0005-0000-0000-000064420000}"/>
    <cellStyle name="Normal 3 3 2 2 4 2 2 2 4" xfId="4521" xr:uid="{00000000-0005-0000-0000-000065420000}"/>
    <cellStyle name="Normal 3 3 2 2 4 2 2 2 4 2" xfId="25539" xr:uid="{00000000-0005-0000-0000-000066420000}"/>
    <cellStyle name="Normal 3 3 2 2 4 2 2 2 4 2 2" xfId="57410" xr:uid="{00000000-0005-0000-0000-000067420000}"/>
    <cellStyle name="Normal 3 3 2 2 4 2 2 2 4 3" xfId="36400" xr:uid="{00000000-0005-0000-0000-000068420000}"/>
    <cellStyle name="Normal 3 3 2 2 4 2 2 2 5" xfId="17661" xr:uid="{00000000-0005-0000-0000-000069420000}"/>
    <cellStyle name="Normal 3 3 2 2 4 2 2 2 5 2" xfId="49532" xr:uid="{00000000-0005-0000-0000-00006A420000}"/>
    <cellStyle name="Normal 3 3 2 2 4 2 2 2 6" xfId="36393" xr:uid="{00000000-0005-0000-0000-00006B420000}"/>
    <cellStyle name="Normal 3 3 2 2 4 2 2 3" xfId="4522" xr:uid="{00000000-0005-0000-0000-00006C420000}"/>
    <cellStyle name="Normal 3 3 2 2 4 2 2 3 2" xfId="4523" xr:uid="{00000000-0005-0000-0000-00006D420000}"/>
    <cellStyle name="Normal 3 3 2 2 4 2 2 3 2 2" xfId="4524" xr:uid="{00000000-0005-0000-0000-00006E420000}"/>
    <cellStyle name="Normal 3 3 2 2 4 2 2 3 2 2 2" xfId="29480" xr:uid="{00000000-0005-0000-0000-00006F420000}"/>
    <cellStyle name="Normal 3 3 2 2 4 2 2 3 2 2 2 2" xfId="61351" xr:uid="{00000000-0005-0000-0000-000070420000}"/>
    <cellStyle name="Normal 3 3 2 2 4 2 2 3 2 2 3" xfId="36403" xr:uid="{00000000-0005-0000-0000-000071420000}"/>
    <cellStyle name="Normal 3 3 2 2 4 2 2 3 2 3" xfId="21602" xr:uid="{00000000-0005-0000-0000-000072420000}"/>
    <cellStyle name="Normal 3 3 2 2 4 2 2 3 2 3 2" xfId="53473" xr:uid="{00000000-0005-0000-0000-000073420000}"/>
    <cellStyle name="Normal 3 3 2 2 4 2 2 3 2 4" xfId="36402" xr:uid="{00000000-0005-0000-0000-000074420000}"/>
    <cellStyle name="Normal 3 3 2 2 4 2 2 3 3" xfId="4525" xr:uid="{00000000-0005-0000-0000-000075420000}"/>
    <cellStyle name="Normal 3 3 2 2 4 2 2 3 3 2" xfId="25541" xr:uid="{00000000-0005-0000-0000-000076420000}"/>
    <cellStyle name="Normal 3 3 2 2 4 2 2 3 3 2 2" xfId="57412" xr:uid="{00000000-0005-0000-0000-000077420000}"/>
    <cellStyle name="Normal 3 3 2 2 4 2 2 3 3 3" xfId="36404" xr:uid="{00000000-0005-0000-0000-000078420000}"/>
    <cellStyle name="Normal 3 3 2 2 4 2 2 3 4" xfId="17663" xr:uid="{00000000-0005-0000-0000-000079420000}"/>
    <cellStyle name="Normal 3 3 2 2 4 2 2 3 4 2" xfId="49534" xr:uid="{00000000-0005-0000-0000-00007A420000}"/>
    <cellStyle name="Normal 3 3 2 2 4 2 2 3 5" xfId="36401" xr:uid="{00000000-0005-0000-0000-00007B420000}"/>
    <cellStyle name="Normal 3 3 2 2 4 2 2 4" xfId="4526" xr:uid="{00000000-0005-0000-0000-00007C420000}"/>
    <cellStyle name="Normal 3 3 2 2 4 2 2 4 2" xfId="4527" xr:uid="{00000000-0005-0000-0000-00007D420000}"/>
    <cellStyle name="Normal 3 3 2 2 4 2 2 4 2 2" xfId="29477" xr:uid="{00000000-0005-0000-0000-00007E420000}"/>
    <cellStyle name="Normal 3 3 2 2 4 2 2 4 2 2 2" xfId="61348" xr:uid="{00000000-0005-0000-0000-00007F420000}"/>
    <cellStyle name="Normal 3 3 2 2 4 2 2 4 2 3" xfId="36406" xr:uid="{00000000-0005-0000-0000-000080420000}"/>
    <cellStyle name="Normal 3 3 2 2 4 2 2 4 3" xfId="21599" xr:uid="{00000000-0005-0000-0000-000081420000}"/>
    <cellStyle name="Normal 3 3 2 2 4 2 2 4 3 2" xfId="53470" xr:uid="{00000000-0005-0000-0000-000082420000}"/>
    <cellStyle name="Normal 3 3 2 2 4 2 2 4 4" xfId="36405" xr:uid="{00000000-0005-0000-0000-000083420000}"/>
    <cellStyle name="Normal 3 3 2 2 4 2 2 5" xfId="4528" xr:uid="{00000000-0005-0000-0000-000084420000}"/>
    <cellStyle name="Normal 3 3 2 2 4 2 2 5 2" xfId="25538" xr:uid="{00000000-0005-0000-0000-000085420000}"/>
    <cellStyle name="Normal 3 3 2 2 4 2 2 5 2 2" xfId="57409" xr:uid="{00000000-0005-0000-0000-000086420000}"/>
    <cellStyle name="Normal 3 3 2 2 4 2 2 5 3" xfId="36407" xr:uid="{00000000-0005-0000-0000-000087420000}"/>
    <cellStyle name="Normal 3 3 2 2 4 2 2 6" xfId="17660" xr:uid="{00000000-0005-0000-0000-000088420000}"/>
    <cellStyle name="Normal 3 3 2 2 4 2 2 6 2" xfId="49531" xr:uid="{00000000-0005-0000-0000-000089420000}"/>
    <cellStyle name="Normal 3 3 2 2 4 2 2 7" xfId="36392" xr:uid="{00000000-0005-0000-0000-00008A420000}"/>
    <cellStyle name="Normal 3 3 2 2 4 2 3" xfId="4529" xr:uid="{00000000-0005-0000-0000-00008B420000}"/>
    <cellStyle name="Normal 3 3 2 2 4 2 3 2" xfId="4530" xr:uid="{00000000-0005-0000-0000-00008C420000}"/>
    <cellStyle name="Normal 3 3 2 2 4 2 3 2 2" xfId="4531" xr:uid="{00000000-0005-0000-0000-00008D420000}"/>
    <cellStyle name="Normal 3 3 2 2 4 2 3 2 2 2" xfId="4532" xr:uid="{00000000-0005-0000-0000-00008E420000}"/>
    <cellStyle name="Normal 3 3 2 2 4 2 3 2 2 2 2" xfId="29482" xr:uid="{00000000-0005-0000-0000-00008F420000}"/>
    <cellStyle name="Normal 3 3 2 2 4 2 3 2 2 2 2 2" xfId="61353" xr:uid="{00000000-0005-0000-0000-000090420000}"/>
    <cellStyle name="Normal 3 3 2 2 4 2 3 2 2 2 3" xfId="36411" xr:uid="{00000000-0005-0000-0000-000091420000}"/>
    <cellStyle name="Normal 3 3 2 2 4 2 3 2 2 3" xfId="21604" xr:uid="{00000000-0005-0000-0000-000092420000}"/>
    <cellStyle name="Normal 3 3 2 2 4 2 3 2 2 3 2" xfId="53475" xr:uid="{00000000-0005-0000-0000-000093420000}"/>
    <cellStyle name="Normal 3 3 2 2 4 2 3 2 2 4" xfId="36410" xr:uid="{00000000-0005-0000-0000-000094420000}"/>
    <cellStyle name="Normal 3 3 2 2 4 2 3 2 3" xfId="4533" xr:uid="{00000000-0005-0000-0000-000095420000}"/>
    <cellStyle name="Normal 3 3 2 2 4 2 3 2 3 2" xfId="25543" xr:uid="{00000000-0005-0000-0000-000096420000}"/>
    <cellStyle name="Normal 3 3 2 2 4 2 3 2 3 2 2" xfId="57414" xr:uid="{00000000-0005-0000-0000-000097420000}"/>
    <cellStyle name="Normal 3 3 2 2 4 2 3 2 3 3" xfId="36412" xr:uid="{00000000-0005-0000-0000-000098420000}"/>
    <cellStyle name="Normal 3 3 2 2 4 2 3 2 4" xfId="17665" xr:uid="{00000000-0005-0000-0000-000099420000}"/>
    <cellStyle name="Normal 3 3 2 2 4 2 3 2 4 2" xfId="49536" xr:uid="{00000000-0005-0000-0000-00009A420000}"/>
    <cellStyle name="Normal 3 3 2 2 4 2 3 2 5" xfId="36409" xr:uid="{00000000-0005-0000-0000-00009B420000}"/>
    <cellStyle name="Normal 3 3 2 2 4 2 3 3" xfId="4534" xr:uid="{00000000-0005-0000-0000-00009C420000}"/>
    <cellStyle name="Normal 3 3 2 2 4 2 3 3 2" xfId="4535" xr:uid="{00000000-0005-0000-0000-00009D420000}"/>
    <cellStyle name="Normal 3 3 2 2 4 2 3 3 2 2" xfId="29481" xr:uid="{00000000-0005-0000-0000-00009E420000}"/>
    <cellStyle name="Normal 3 3 2 2 4 2 3 3 2 2 2" xfId="61352" xr:uid="{00000000-0005-0000-0000-00009F420000}"/>
    <cellStyle name="Normal 3 3 2 2 4 2 3 3 2 3" xfId="36414" xr:uid="{00000000-0005-0000-0000-0000A0420000}"/>
    <cellStyle name="Normal 3 3 2 2 4 2 3 3 3" xfId="21603" xr:uid="{00000000-0005-0000-0000-0000A1420000}"/>
    <cellStyle name="Normal 3 3 2 2 4 2 3 3 3 2" xfId="53474" xr:uid="{00000000-0005-0000-0000-0000A2420000}"/>
    <cellStyle name="Normal 3 3 2 2 4 2 3 3 4" xfId="36413" xr:uid="{00000000-0005-0000-0000-0000A3420000}"/>
    <cellStyle name="Normal 3 3 2 2 4 2 3 4" xfId="4536" xr:uid="{00000000-0005-0000-0000-0000A4420000}"/>
    <cellStyle name="Normal 3 3 2 2 4 2 3 4 2" xfId="25542" xr:uid="{00000000-0005-0000-0000-0000A5420000}"/>
    <cellStyle name="Normal 3 3 2 2 4 2 3 4 2 2" xfId="57413" xr:uid="{00000000-0005-0000-0000-0000A6420000}"/>
    <cellStyle name="Normal 3 3 2 2 4 2 3 4 3" xfId="36415" xr:uid="{00000000-0005-0000-0000-0000A7420000}"/>
    <cellStyle name="Normal 3 3 2 2 4 2 3 5" xfId="17664" xr:uid="{00000000-0005-0000-0000-0000A8420000}"/>
    <cellStyle name="Normal 3 3 2 2 4 2 3 5 2" xfId="49535" xr:uid="{00000000-0005-0000-0000-0000A9420000}"/>
    <cellStyle name="Normal 3 3 2 2 4 2 3 6" xfId="36408" xr:uid="{00000000-0005-0000-0000-0000AA420000}"/>
    <cellStyle name="Normal 3 3 2 2 4 2 4" xfId="4537" xr:uid="{00000000-0005-0000-0000-0000AB420000}"/>
    <cellStyle name="Normal 3 3 2 2 4 2 4 2" xfId="4538" xr:uid="{00000000-0005-0000-0000-0000AC420000}"/>
    <cellStyle name="Normal 3 3 2 2 4 2 4 2 2" xfId="4539" xr:uid="{00000000-0005-0000-0000-0000AD420000}"/>
    <cellStyle name="Normal 3 3 2 2 4 2 4 2 2 2" xfId="29483" xr:uid="{00000000-0005-0000-0000-0000AE420000}"/>
    <cellStyle name="Normal 3 3 2 2 4 2 4 2 2 2 2" xfId="61354" xr:uid="{00000000-0005-0000-0000-0000AF420000}"/>
    <cellStyle name="Normal 3 3 2 2 4 2 4 2 2 3" xfId="36418" xr:uid="{00000000-0005-0000-0000-0000B0420000}"/>
    <cellStyle name="Normal 3 3 2 2 4 2 4 2 3" xfId="21605" xr:uid="{00000000-0005-0000-0000-0000B1420000}"/>
    <cellStyle name="Normal 3 3 2 2 4 2 4 2 3 2" xfId="53476" xr:uid="{00000000-0005-0000-0000-0000B2420000}"/>
    <cellStyle name="Normal 3 3 2 2 4 2 4 2 4" xfId="36417" xr:uid="{00000000-0005-0000-0000-0000B3420000}"/>
    <cellStyle name="Normal 3 3 2 2 4 2 4 3" xfId="4540" xr:uid="{00000000-0005-0000-0000-0000B4420000}"/>
    <cellStyle name="Normal 3 3 2 2 4 2 4 3 2" xfId="25544" xr:uid="{00000000-0005-0000-0000-0000B5420000}"/>
    <cellStyle name="Normal 3 3 2 2 4 2 4 3 2 2" xfId="57415" xr:uid="{00000000-0005-0000-0000-0000B6420000}"/>
    <cellStyle name="Normal 3 3 2 2 4 2 4 3 3" xfId="36419" xr:uid="{00000000-0005-0000-0000-0000B7420000}"/>
    <cellStyle name="Normal 3 3 2 2 4 2 4 4" xfId="17666" xr:uid="{00000000-0005-0000-0000-0000B8420000}"/>
    <cellStyle name="Normal 3 3 2 2 4 2 4 4 2" xfId="49537" xr:uid="{00000000-0005-0000-0000-0000B9420000}"/>
    <cellStyle name="Normal 3 3 2 2 4 2 4 5" xfId="36416" xr:uid="{00000000-0005-0000-0000-0000BA420000}"/>
    <cellStyle name="Normal 3 3 2 2 4 2 5" xfId="4541" xr:uid="{00000000-0005-0000-0000-0000BB420000}"/>
    <cellStyle name="Normal 3 3 2 2 4 2 5 2" xfId="4542" xr:uid="{00000000-0005-0000-0000-0000BC420000}"/>
    <cellStyle name="Normal 3 3 2 2 4 2 5 2 2" xfId="29476" xr:uid="{00000000-0005-0000-0000-0000BD420000}"/>
    <cellStyle name="Normal 3 3 2 2 4 2 5 2 2 2" xfId="61347" xr:uid="{00000000-0005-0000-0000-0000BE420000}"/>
    <cellStyle name="Normal 3 3 2 2 4 2 5 2 3" xfId="36421" xr:uid="{00000000-0005-0000-0000-0000BF420000}"/>
    <cellStyle name="Normal 3 3 2 2 4 2 5 3" xfId="21598" xr:uid="{00000000-0005-0000-0000-0000C0420000}"/>
    <cellStyle name="Normal 3 3 2 2 4 2 5 3 2" xfId="53469" xr:uid="{00000000-0005-0000-0000-0000C1420000}"/>
    <cellStyle name="Normal 3 3 2 2 4 2 5 4" xfId="36420" xr:uid="{00000000-0005-0000-0000-0000C2420000}"/>
    <cellStyle name="Normal 3 3 2 2 4 2 6" xfId="4543" xr:uid="{00000000-0005-0000-0000-0000C3420000}"/>
    <cellStyle name="Normal 3 3 2 2 4 2 6 2" xfId="25537" xr:uid="{00000000-0005-0000-0000-0000C4420000}"/>
    <cellStyle name="Normal 3 3 2 2 4 2 6 2 2" xfId="57408" xr:uid="{00000000-0005-0000-0000-0000C5420000}"/>
    <cellStyle name="Normal 3 3 2 2 4 2 6 3" xfId="36422" xr:uid="{00000000-0005-0000-0000-0000C6420000}"/>
    <cellStyle name="Normal 3 3 2 2 4 2 7" xfId="17659" xr:uid="{00000000-0005-0000-0000-0000C7420000}"/>
    <cellStyle name="Normal 3 3 2 2 4 2 7 2" xfId="49530" xr:uid="{00000000-0005-0000-0000-0000C8420000}"/>
    <cellStyle name="Normal 3 3 2 2 4 2 8" xfId="36391" xr:uid="{00000000-0005-0000-0000-0000C9420000}"/>
    <cellStyle name="Normal 3 3 2 2 4 3" xfId="4544" xr:uid="{00000000-0005-0000-0000-0000CA420000}"/>
    <cellStyle name="Normal 3 3 2 2 4 3 2" xfId="4545" xr:uid="{00000000-0005-0000-0000-0000CB420000}"/>
    <cellStyle name="Normal 3 3 2 2 4 3 2 2" xfId="4546" xr:uid="{00000000-0005-0000-0000-0000CC420000}"/>
    <cellStyle name="Normal 3 3 2 2 4 3 2 2 2" xfId="4547" xr:uid="{00000000-0005-0000-0000-0000CD420000}"/>
    <cellStyle name="Normal 3 3 2 2 4 3 2 2 2 2" xfId="4548" xr:uid="{00000000-0005-0000-0000-0000CE420000}"/>
    <cellStyle name="Normal 3 3 2 2 4 3 2 2 2 2 2" xfId="29486" xr:uid="{00000000-0005-0000-0000-0000CF420000}"/>
    <cellStyle name="Normal 3 3 2 2 4 3 2 2 2 2 2 2" xfId="61357" xr:uid="{00000000-0005-0000-0000-0000D0420000}"/>
    <cellStyle name="Normal 3 3 2 2 4 3 2 2 2 2 3" xfId="36427" xr:uid="{00000000-0005-0000-0000-0000D1420000}"/>
    <cellStyle name="Normal 3 3 2 2 4 3 2 2 2 3" xfId="21608" xr:uid="{00000000-0005-0000-0000-0000D2420000}"/>
    <cellStyle name="Normal 3 3 2 2 4 3 2 2 2 3 2" xfId="53479" xr:uid="{00000000-0005-0000-0000-0000D3420000}"/>
    <cellStyle name="Normal 3 3 2 2 4 3 2 2 2 4" xfId="36426" xr:uid="{00000000-0005-0000-0000-0000D4420000}"/>
    <cellStyle name="Normal 3 3 2 2 4 3 2 2 3" xfId="4549" xr:uid="{00000000-0005-0000-0000-0000D5420000}"/>
    <cellStyle name="Normal 3 3 2 2 4 3 2 2 3 2" xfId="25547" xr:uid="{00000000-0005-0000-0000-0000D6420000}"/>
    <cellStyle name="Normal 3 3 2 2 4 3 2 2 3 2 2" xfId="57418" xr:uid="{00000000-0005-0000-0000-0000D7420000}"/>
    <cellStyle name="Normal 3 3 2 2 4 3 2 2 3 3" xfId="36428" xr:uid="{00000000-0005-0000-0000-0000D8420000}"/>
    <cellStyle name="Normal 3 3 2 2 4 3 2 2 4" xfId="17669" xr:uid="{00000000-0005-0000-0000-0000D9420000}"/>
    <cellStyle name="Normal 3 3 2 2 4 3 2 2 4 2" xfId="49540" xr:uid="{00000000-0005-0000-0000-0000DA420000}"/>
    <cellStyle name="Normal 3 3 2 2 4 3 2 2 5" xfId="36425" xr:uid="{00000000-0005-0000-0000-0000DB420000}"/>
    <cellStyle name="Normal 3 3 2 2 4 3 2 3" xfId="4550" xr:uid="{00000000-0005-0000-0000-0000DC420000}"/>
    <cellStyle name="Normal 3 3 2 2 4 3 2 3 2" xfId="4551" xr:uid="{00000000-0005-0000-0000-0000DD420000}"/>
    <cellStyle name="Normal 3 3 2 2 4 3 2 3 2 2" xfId="29485" xr:uid="{00000000-0005-0000-0000-0000DE420000}"/>
    <cellStyle name="Normal 3 3 2 2 4 3 2 3 2 2 2" xfId="61356" xr:uid="{00000000-0005-0000-0000-0000DF420000}"/>
    <cellStyle name="Normal 3 3 2 2 4 3 2 3 2 3" xfId="36430" xr:uid="{00000000-0005-0000-0000-0000E0420000}"/>
    <cellStyle name="Normal 3 3 2 2 4 3 2 3 3" xfId="21607" xr:uid="{00000000-0005-0000-0000-0000E1420000}"/>
    <cellStyle name="Normal 3 3 2 2 4 3 2 3 3 2" xfId="53478" xr:uid="{00000000-0005-0000-0000-0000E2420000}"/>
    <cellStyle name="Normal 3 3 2 2 4 3 2 3 4" xfId="36429" xr:uid="{00000000-0005-0000-0000-0000E3420000}"/>
    <cellStyle name="Normal 3 3 2 2 4 3 2 4" xfId="4552" xr:uid="{00000000-0005-0000-0000-0000E4420000}"/>
    <cellStyle name="Normal 3 3 2 2 4 3 2 4 2" xfId="25546" xr:uid="{00000000-0005-0000-0000-0000E5420000}"/>
    <cellStyle name="Normal 3 3 2 2 4 3 2 4 2 2" xfId="57417" xr:uid="{00000000-0005-0000-0000-0000E6420000}"/>
    <cellStyle name="Normal 3 3 2 2 4 3 2 4 3" xfId="36431" xr:uid="{00000000-0005-0000-0000-0000E7420000}"/>
    <cellStyle name="Normal 3 3 2 2 4 3 2 5" xfId="17668" xr:uid="{00000000-0005-0000-0000-0000E8420000}"/>
    <cellStyle name="Normal 3 3 2 2 4 3 2 5 2" xfId="49539" xr:uid="{00000000-0005-0000-0000-0000E9420000}"/>
    <cellStyle name="Normal 3 3 2 2 4 3 2 6" xfId="36424" xr:uid="{00000000-0005-0000-0000-0000EA420000}"/>
    <cellStyle name="Normal 3 3 2 2 4 3 3" xfId="4553" xr:uid="{00000000-0005-0000-0000-0000EB420000}"/>
    <cellStyle name="Normal 3 3 2 2 4 3 3 2" xfId="4554" xr:uid="{00000000-0005-0000-0000-0000EC420000}"/>
    <cellStyle name="Normal 3 3 2 2 4 3 3 2 2" xfId="4555" xr:uid="{00000000-0005-0000-0000-0000ED420000}"/>
    <cellStyle name="Normal 3 3 2 2 4 3 3 2 2 2" xfId="29487" xr:uid="{00000000-0005-0000-0000-0000EE420000}"/>
    <cellStyle name="Normal 3 3 2 2 4 3 3 2 2 2 2" xfId="61358" xr:uid="{00000000-0005-0000-0000-0000EF420000}"/>
    <cellStyle name="Normal 3 3 2 2 4 3 3 2 2 3" xfId="36434" xr:uid="{00000000-0005-0000-0000-0000F0420000}"/>
    <cellStyle name="Normal 3 3 2 2 4 3 3 2 3" xfId="21609" xr:uid="{00000000-0005-0000-0000-0000F1420000}"/>
    <cellStyle name="Normal 3 3 2 2 4 3 3 2 3 2" xfId="53480" xr:uid="{00000000-0005-0000-0000-0000F2420000}"/>
    <cellStyle name="Normal 3 3 2 2 4 3 3 2 4" xfId="36433" xr:uid="{00000000-0005-0000-0000-0000F3420000}"/>
    <cellStyle name="Normal 3 3 2 2 4 3 3 3" xfId="4556" xr:uid="{00000000-0005-0000-0000-0000F4420000}"/>
    <cellStyle name="Normal 3 3 2 2 4 3 3 3 2" xfId="25548" xr:uid="{00000000-0005-0000-0000-0000F5420000}"/>
    <cellStyle name="Normal 3 3 2 2 4 3 3 3 2 2" xfId="57419" xr:uid="{00000000-0005-0000-0000-0000F6420000}"/>
    <cellStyle name="Normal 3 3 2 2 4 3 3 3 3" xfId="36435" xr:uid="{00000000-0005-0000-0000-0000F7420000}"/>
    <cellStyle name="Normal 3 3 2 2 4 3 3 4" xfId="17670" xr:uid="{00000000-0005-0000-0000-0000F8420000}"/>
    <cellStyle name="Normal 3 3 2 2 4 3 3 4 2" xfId="49541" xr:uid="{00000000-0005-0000-0000-0000F9420000}"/>
    <cellStyle name="Normal 3 3 2 2 4 3 3 5" xfId="36432" xr:uid="{00000000-0005-0000-0000-0000FA420000}"/>
    <cellStyle name="Normal 3 3 2 2 4 3 4" xfId="4557" xr:uid="{00000000-0005-0000-0000-0000FB420000}"/>
    <cellStyle name="Normal 3 3 2 2 4 3 4 2" xfId="4558" xr:uid="{00000000-0005-0000-0000-0000FC420000}"/>
    <cellStyle name="Normal 3 3 2 2 4 3 4 2 2" xfId="29484" xr:uid="{00000000-0005-0000-0000-0000FD420000}"/>
    <cellStyle name="Normal 3 3 2 2 4 3 4 2 2 2" xfId="61355" xr:uid="{00000000-0005-0000-0000-0000FE420000}"/>
    <cellStyle name="Normal 3 3 2 2 4 3 4 2 3" xfId="36437" xr:uid="{00000000-0005-0000-0000-0000FF420000}"/>
    <cellStyle name="Normal 3 3 2 2 4 3 4 3" xfId="21606" xr:uid="{00000000-0005-0000-0000-000000430000}"/>
    <cellStyle name="Normal 3 3 2 2 4 3 4 3 2" xfId="53477" xr:uid="{00000000-0005-0000-0000-000001430000}"/>
    <cellStyle name="Normal 3 3 2 2 4 3 4 4" xfId="36436" xr:uid="{00000000-0005-0000-0000-000002430000}"/>
    <cellStyle name="Normal 3 3 2 2 4 3 5" xfId="4559" xr:uid="{00000000-0005-0000-0000-000003430000}"/>
    <cellStyle name="Normal 3 3 2 2 4 3 5 2" xfId="25545" xr:uid="{00000000-0005-0000-0000-000004430000}"/>
    <cellStyle name="Normal 3 3 2 2 4 3 5 2 2" xfId="57416" xr:uid="{00000000-0005-0000-0000-000005430000}"/>
    <cellStyle name="Normal 3 3 2 2 4 3 5 3" xfId="36438" xr:uid="{00000000-0005-0000-0000-000006430000}"/>
    <cellStyle name="Normal 3 3 2 2 4 3 6" xfId="17667" xr:uid="{00000000-0005-0000-0000-000007430000}"/>
    <cellStyle name="Normal 3 3 2 2 4 3 6 2" xfId="49538" xr:uid="{00000000-0005-0000-0000-000008430000}"/>
    <cellStyle name="Normal 3 3 2 2 4 3 7" xfId="36423" xr:uid="{00000000-0005-0000-0000-000009430000}"/>
    <cellStyle name="Normal 3 3 2 2 4 4" xfId="4560" xr:uid="{00000000-0005-0000-0000-00000A430000}"/>
    <cellStyle name="Normal 3 3 2 2 4 4 2" xfId="4561" xr:uid="{00000000-0005-0000-0000-00000B430000}"/>
    <cellStyle name="Normal 3 3 2 2 4 4 2 2" xfId="4562" xr:uid="{00000000-0005-0000-0000-00000C430000}"/>
    <cellStyle name="Normal 3 3 2 2 4 4 2 2 2" xfId="4563" xr:uid="{00000000-0005-0000-0000-00000D430000}"/>
    <cellStyle name="Normal 3 3 2 2 4 4 2 2 2 2" xfId="29489" xr:uid="{00000000-0005-0000-0000-00000E430000}"/>
    <cellStyle name="Normal 3 3 2 2 4 4 2 2 2 2 2" xfId="61360" xr:uid="{00000000-0005-0000-0000-00000F430000}"/>
    <cellStyle name="Normal 3 3 2 2 4 4 2 2 2 3" xfId="36442" xr:uid="{00000000-0005-0000-0000-000010430000}"/>
    <cellStyle name="Normal 3 3 2 2 4 4 2 2 3" xfId="21611" xr:uid="{00000000-0005-0000-0000-000011430000}"/>
    <cellStyle name="Normal 3 3 2 2 4 4 2 2 3 2" xfId="53482" xr:uid="{00000000-0005-0000-0000-000012430000}"/>
    <cellStyle name="Normal 3 3 2 2 4 4 2 2 4" xfId="36441" xr:uid="{00000000-0005-0000-0000-000013430000}"/>
    <cellStyle name="Normal 3 3 2 2 4 4 2 3" xfId="4564" xr:uid="{00000000-0005-0000-0000-000014430000}"/>
    <cellStyle name="Normal 3 3 2 2 4 4 2 3 2" xfId="25550" xr:uid="{00000000-0005-0000-0000-000015430000}"/>
    <cellStyle name="Normal 3 3 2 2 4 4 2 3 2 2" xfId="57421" xr:uid="{00000000-0005-0000-0000-000016430000}"/>
    <cellStyle name="Normal 3 3 2 2 4 4 2 3 3" xfId="36443" xr:uid="{00000000-0005-0000-0000-000017430000}"/>
    <cellStyle name="Normal 3 3 2 2 4 4 2 4" xfId="17672" xr:uid="{00000000-0005-0000-0000-000018430000}"/>
    <cellStyle name="Normal 3 3 2 2 4 4 2 4 2" xfId="49543" xr:uid="{00000000-0005-0000-0000-000019430000}"/>
    <cellStyle name="Normal 3 3 2 2 4 4 2 5" xfId="36440" xr:uid="{00000000-0005-0000-0000-00001A430000}"/>
    <cellStyle name="Normal 3 3 2 2 4 4 3" xfId="4565" xr:uid="{00000000-0005-0000-0000-00001B430000}"/>
    <cellStyle name="Normal 3 3 2 2 4 4 3 2" xfId="4566" xr:uid="{00000000-0005-0000-0000-00001C430000}"/>
    <cellStyle name="Normal 3 3 2 2 4 4 3 2 2" xfId="29488" xr:uid="{00000000-0005-0000-0000-00001D430000}"/>
    <cellStyle name="Normal 3 3 2 2 4 4 3 2 2 2" xfId="61359" xr:uid="{00000000-0005-0000-0000-00001E430000}"/>
    <cellStyle name="Normal 3 3 2 2 4 4 3 2 3" xfId="36445" xr:uid="{00000000-0005-0000-0000-00001F430000}"/>
    <cellStyle name="Normal 3 3 2 2 4 4 3 3" xfId="21610" xr:uid="{00000000-0005-0000-0000-000020430000}"/>
    <cellStyle name="Normal 3 3 2 2 4 4 3 3 2" xfId="53481" xr:uid="{00000000-0005-0000-0000-000021430000}"/>
    <cellStyle name="Normal 3 3 2 2 4 4 3 4" xfId="36444" xr:uid="{00000000-0005-0000-0000-000022430000}"/>
    <cellStyle name="Normal 3 3 2 2 4 4 4" xfId="4567" xr:uid="{00000000-0005-0000-0000-000023430000}"/>
    <cellStyle name="Normal 3 3 2 2 4 4 4 2" xfId="25549" xr:uid="{00000000-0005-0000-0000-000024430000}"/>
    <cellStyle name="Normal 3 3 2 2 4 4 4 2 2" xfId="57420" xr:uid="{00000000-0005-0000-0000-000025430000}"/>
    <cellStyle name="Normal 3 3 2 2 4 4 4 3" xfId="36446" xr:uid="{00000000-0005-0000-0000-000026430000}"/>
    <cellStyle name="Normal 3 3 2 2 4 4 5" xfId="17671" xr:uid="{00000000-0005-0000-0000-000027430000}"/>
    <cellStyle name="Normal 3 3 2 2 4 4 5 2" xfId="49542" xr:uid="{00000000-0005-0000-0000-000028430000}"/>
    <cellStyle name="Normal 3 3 2 2 4 4 6" xfId="36439" xr:uid="{00000000-0005-0000-0000-000029430000}"/>
    <cellStyle name="Normal 3 3 2 2 4 5" xfId="4568" xr:uid="{00000000-0005-0000-0000-00002A430000}"/>
    <cellStyle name="Normal 3 3 2 2 4 5 2" xfId="4569" xr:uid="{00000000-0005-0000-0000-00002B430000}"/>
    <cellStyle name="Normal 3 3 2 2 4 5 2 2" xfId="4570" xr:uid="{00000000-0005-0000-0000-00002C430000}"/>
    <cellStyle name="Normal 3 3 2 2 4 5 2 2 2" xfId="29490" xr:uid="{00000000-0005-0000-0000-00002D430000}"/>
    <cellStyle name="Normal 3 3 2 2 4 5 2 2 2 2" xfId="61361" xr:uid="{00000000-0005-0000-0000-00002E430000}"/>
    <cellStyle name="Normal 3 3 2 2 4 5 2 2 3" xfId="36449" xr:uid="{00000000-0005-0000-0000-00002F430000}"/>
    <cellStyle name="Normal 3 3 2 2 4 5 2 3" xfId="21612" xr:uid="{00000000-0005-0000-0000-000030430000}"/>
    <cellStyle name="Normal 3 3 2 2 4 5 2 3 2" xfId="53483" xr:uid="{00000000-0005-0000-0000-000031430000}"/>
    <cellStyle name="Normal 3 3 2 2 4 5 2 4" xfId="36448" xr:uid="{00000000-0005-0000-0000-000032430000}"/>
    <cellStyle name="Normal 3 3 2 2 4 5 3" xfId="4571" xr:uid="{00000000-0005-0000-0000-000033430000}"/>
    <cellStyle name="Normal 3 3 2 2 4 5 3 2" xfId="25551" xr:uid="{00000000-0005-0000-0000-000034430000}"/>
    <cellStyle name="Normal 3 3 2 2 4 5 3 2 2" xfId="57422" xr:uid="{00000000-0005-0000-0000-000035430000}"/>
    <cellStyle name="Normal 3 3 2 2 4 5 3 3" xfId="36450" xr:uid="{00000000-0005-0000-0000-000036430000}"/>
    <cellStyle name="Normal 3 3 2 2 4 5 4" xfId="17673" xr:uid="{00000000-0005-0000-0000-000037430000}"/>
    <cellStyle name="Normal 3 3 2 2 4 5 4 2" xfId="49544" xr:uid="{00000000-0005-0000-0000-000038430000}"/>
    <cellStyle name="Normal 3 3 2 2 4 5 5" xfId="36447" xr:uid="{00000000-0005-0000-0000-000039430000}"/>
    <cellStyle name="Normal 3 3 2 2 4 6" xfId="4572" xr:uid="{00000000-0005-0000-0000-00003A430000}"/>
    <cellStyle name="Normal 3 3 2 2 4 6 2" xfId="4573" xr:uid="{00000000-0005-0000-0000-00003B430000}"/>
    <cellStyle name="Normal 3 3 2 2 4 6 2 2" xfId="28410" xr:uid="{00000000-0005-0000-0000-00003C430000}"/>
    <cellStyle name="Normal 3 3 2 2 4 6 2 2 2" xfId="60281" xr:uid="{00000000-0005-0000-0000-00003D430000}"/>
    <cellStyle name="Normal 3 3 2 2 4 6 2 3" xfId="36452" xr:uid="{00000000-0005-0000-0000-00003E430000}"/>
    <cellStyle name="Normal 3 3 2 2 4 6 3" xfId="20532" xr:uid="{00000000-0005-0000-0000-00003F430000}"/>
    <cellStyle name="Normal 3 3 2 2 4 6 3 2" xfId="52403" xr:uid="{00000000-0005-0000-0000-000040430000}"/>
    <cellStyle name="Normal 3 3 2 2 4 6 4" xfId="36451" xr:uid="{00000000-0005-0000-0000-000041430000}"/>
    <cellStyle name="Normal 3 3 2 2 4 7" xfId="4574" xr:uid="{00000000-0005-0000-0000-000042430000}"/>
    <cellStyle name="Normal 3 3 2 2 4 7 2" xfId="24471" xr:uid="{00000000-0005-0000-0000-000043430000}"/>
    <cellStyle name="Normal 3 3 2 2 4 7 2 2" xfId="56342" xr:uid="{00000000-0005-0000-0000-000044430000}"/>
    <cellStyle name="Normal 3 3 2 2 4 7 3" xfId="36453" xr:uid="{00000000-0005-0000-0000-000045430000}"/>
    <cellStyle name="Normal 3 3 2 2 4 8" xfId="16593" xr:uid="{00000000-0005-0000-0000-000046430000}"/>
    <cellStyle name="Normal 3 3 2 2 4 8 2" xfId="48464" xr:uid="{00000000-0005-0000-0000-000047430000}"/>
    <cellStyle name="Normal 3 3 2 2 4 9" xfId="36390" xr:uid="{00000000-0005-0000-0000-000048430000}"/>
    <cellStyle name="Normal 3 3 2 2 5" xfId="4575" xr:uid="{00000000-0005-0000-0000-000049430000}"/>
    <cellStyle name="Normal 3 3 2 2 5 2" xfId="4576" xr:uid="{00000000-0005-0000-0000-00004A430000}"/>
    <cellStyle name="Normal 3 3 2 2 5 2 2" xfId="4577" xr:uid="{00000000-0005-0000-0000-00004B430000}"/>
    <cellStyle name="Normal 3 3 2 2 5 2 2 2" xfId="4578" xr:uid="{00000000-0005-0000-0000-00004C430000}"/>
    <cellStyle name="Normal 3 3 2 2 5 2 2 2 2" xfId="4579" xr:uid="{00000000-0005-0000-0000-00004D430000}"/>
    <cellStyle name="Normal 3 3 2 2 5 2 2 2 2 2" xfId="4580" xr:uid="{00000000-0005-0000-0000-00004E430000}"/>
    <cellStyle name="Normal 3 3 2 2 5 2 2 2 2 2 2" xfId="29494" xr:uid="{00000000-0005-0000-0000-00004F430000}"/>
    <cellStyle name="Normal 3 3 2 2 5 2 2 2 2 2 2 2" xfId="61365" xr:uid="{00000000-0005-0000-0000-000050430000}"/>
    <cellStyle name="Normal 3 3 2 2 5 2 2 2 2 2 3" xfId="36459" xr:uid="{00000000-0005-0000-0000-000051430000}"/>
    <cellStyle name="Normal 3 3 2 2 5 2 2 2 2 3" xfId="21616" xr:uid="{00000000-0005-0000-0000-000052430000}"/>
    <cellStyle name="Normal 3 3 2 2 5 2 2 2 2 3 2" xfId="53487" xr:uid="{00000000-0005-0000-0000-000053430000}"/>
    <cellStyle name="Normal 3 3 2 2 5 2 2 2 2 4" xfId="36458" xr:uid="{00000000-0005-0000-0000-000054430000}"/>
    <cellStyle name="Normal 3 3 2 2 5 2 2 2 3" xfId="4581" xr:uid="{00000000-0005-0000-0000-000055430000}"/>
    <cellStyle name="Normal 3 3 2 2 5 2 2 2 3 2" xfId="25555" xr:uid="{00000000-0005-0000-0000-000056430000}"/>
    <cellStyle name="Normal 3 3 2 2 5 2 2 2 3 2 2" xfId="57426" xr:uid="{00000000-0005-0000-0000-000057430000}"/>
    <cellStyle name="Normal 3 3 2 2 5 2 2 2 3 3" xfId="36460" xr:uid="{00000000-0005-0000-0000-000058430000}"/>
    <cellStyle name="Normal 3 3 2 2 5 2 2 2 4" xfId="17677" xr:uid="{00000000-0005-0000-0000-000059430000}"/>
    <cellStyle name="Normal 3 3 2 2 5 2 2 2 4 2" xfId="49548" xr:uid="{00000000-0005-0000-0000-00005A430000}"/>
    <cellStyle name="Normal 3 3 2 2 5 2 2 2 5" xfId="36457" xr:uid="{00000000-0005-0000-0000-00005B430000}"/>
    <cellStyle name="Normal 3 3 2 2 5 2 2 3" xfId="4582" xr:uid="{00000000-0005-0000-0000-00005C430000}"/>
    <cellStyle name="Normal 3 3 2 2 5 2 2 3 2" xfId="4583" xr:uid="{00000000-0005-0000-0000-00005D430000}"/>
    <cellStyle name="Normal 3 3 2 2 5 2 2 3 2 2" xfId="29493" xr:uid="{00000000-0005-0000-0000-00005E430000}"/>
    <cellStyle name="Normal 3 3 2 2 5 2 2 3 2 2 2" xfId="61364" xr:uid="{00000000-0005-0000-0000-00005F430000}"/>
    <cellStyle name="Normal 3 3 2 2 5 2 2 3 2 3" xfId="36462" xr:uid="{00000000-0005-0000-0000-000060430000}"/>
    <cellStyle name="Normal 3 3 2 2 5 2 2 3 3" xfId="21615" xr:uid="{00000000-0005-0000-0000-000061430000}"/>
    <cellStyle name="Normal 3 3 2 2 5 2 2 3 3 2" xfId="53486" xr:uid="{00000000-0005-0000-0000-000062430000}"/>
    <cellStyle name="Normal 3 3 2 2 5 2 2 3 4" xfId="36461" xr:uid="{00000000-0005-0000-0000-000063430000}"/>
    <cellStyle name="Normal 3 3 2 2 5 2 2 4" xfId="4584" xr:uid="{00000000-0005-0000-0000-000064430000}"/>
    <cellStyle name="Normal 3 3 2 2 5 2 2 4 2" xfId="25554" xr:uid="{00000000-0005-0000-0000-000065430000}"/>
    <cellStyle name="Normal 3 3 2 2 5 2 2 4 2 2" xfId="57425" xr:uid="{00000000-0005-0000-0000-000066430000}"/>
    <cellStyle name="Normal 3 3 2 2 5 2 2 4 3" xfId="36463" xr:uid="{00000000-0005-0000-0000-000067430000}"/>
    <cellStyle name="Normal 3 3 2 2 5 2 2 5" xfId="17676" xr:uid="{00000000-0005-0000-0000-000068430000}"/>
    <cellStyle name="Normal 3 3 2 2 5 2 2 5 2" xfId="49547" xr:uid="{00000000-0005-0000-0000-000069430000}"/>
    <cellStyle name="Normal 3 3 2 2 5 2 2 6" xfId="36456" xr:uid="{00000000-0005-0000-0000-00006A430000}"/>
    <cellStyle name="Normal 3 3 2 2 5 2 3" xfId="4585" xr:uid="{00000000-0005-0000-0000-00006B430000}"/>
    <cellStyle name="Normal 3 3 2 2 5 2 3 2" xfId="4586" xr:uid="{00000000-0005-0000-0000-00006C430000}"/>
    <cellStyle name="Normal 3 3 2 2 5 2 3 2 2" xfId="4587" xr:uid="{00000000-0005-0000-0000-00006D430000}"/>
    <cellStyle name="Normal 3 3 2 2 5 2 3 2 2 2" xfId="29495" xr:uid="{00000000-0005-0000-0000-00006E430000}"/>
    <cellStyle name="Normal 3 3 2 2 5 2 3 2 2 2 2" xfId="61366" xr:uid="{00000000-0005-0000-0000-00006F430000}"/>
    <cellStyle name="Normal 3 3 2 2 5 2 3 2 2 3" xfId="36466" xr:uid="{00000000-0005-0000-0000-000070430000}"/>
    <cellStyle name="Normal 3 3 2 2 5 2 3 2 3" xfId="21617" xr:uid="{00000000-0005-0000-0000-000071430000}"/>
    <cellStyle name="Normal 3 3 2 2 5 2 3 2 3 2" xfId="53488" xr:uid="{00000000-0005-0000-0000-000072430000}"/>
    <cellStyle name="Normal 3 3 2 2 5 2 3 2 4" xfId="36465" xr:uid="{00000000-0005-0000-0000-000073430000}"/>
    <cellStyle name="Normal 3 3 2 2 5 2 3 3" xfId="4588" xr:uid="{00000000-0005-0000-0000-000074430000}"/>
    <cellStyle name="Normal 3 3 2 2 5 2 3 3 2" xfId="25556" xr:uid="{00000000-0005-0000-0000-000075430000}"/>
    <cellStyle name="Normal 3 3 2 2 5 2 3 3 2 2" xfId="57427" xr:uid="{00000000-0005-0000-0000-000076430000}"/>
    <cellStyle name="Normal 3 3 2 2 5 2 3 3 3" xfId="36467" xr:uid="{00000000-0005-0000-0000-000077430000}"/>
    <cellStyle name="Normal 3 3 2 2 5 2 3 4" xfId="17678" xr:uid="{00000000-0005-0000-0000-000078430000}"/>
    <cellStyle name="Normal 3 3 2 2 5 2 3 4 2" xfId="49549" xr:uid="{00000000-0005-0000-0000-000079430000}"/>
    <cellStyle name="Normal 3 3 2 2 5 2 3 5" xfId="36464" xr:uid="{00000000-0005-0000-0000-00007A430000}"/>
    <cellStyle name="Normal 3 3 2 2 5 2 4" xfId="4589" xr:uid="{00000000-0005-0000-0000-00007B430000}"/>
    <cellStyle name="Normal 3 3 2 2 5 2 4 2" xfId="4590" xr:uid="{00000000-0005-0000-0000-00007C430000}"/>
    <cellStyle name="Normal 3 3 2 2 5 2 4 2 2" xfId="29492" xr:uid="{00000000-0005-0000-0000-00007D430000}"/>
    <cellStyle name="Normal 3 3 2 2 5 2 4 2 2 2" xfId="61363" xr:uid="{00000000-0005-0000-0000-00007E430000}"/>
    <cellStyle name="Normal 3 3 2 2 5 2 4 2 3" xfId="36469" xr:uid="{00000000-0005-0000-0000-00007F430000}"/>
    <cellStyle name="Normal 3 3 2 2 5 2 4 3" xfId="21614" xr:uid="{00000000-0005-0000-0000-000080430000}"/>
    <cellStyle name="Normal 3 3 2 2 5 2 4 3 2" xfId="53485" xr:uid="{00000000-0005-0000-0000-000081430000}"/>
    <cellStyle name="Normal 3 3 2 2 5 2 4 4" xfId="36468" xr:uid="{00000000-0005-0000-0000-000082430000}"/>
    <cellStyle name="Normal 3 3 2 2 5 2 5" xfId="4591" xr:uid="{00000000-0005-0000-0000-000083430000}"/>
    <cellStyle name="Normal 3 3 2 2 5 2 5 2" xfId="25553" xr:uid="{00000000-0005-0000-0000-000084430000}"/>
    <cellStyle name="Normal 3 3 2 2 5 2 5 2 2" xfId="57424" xr:uid="{00000000-0005-0000-0000-000085430000}"/>
    <cellStyle name="Normal 3 3 2 2 5 2 5 3" xfId="36470" xr:uid="{00000000-0005-0000-0000-000086430000}"/>
    <cellStyle name="Normal 3 3 2 2 5 2 6" xfId="17675" xr:uid="{00000000-0005-0000-0000-000087430000}"/>
    <cellStyle name="Normal 3 3 2 2 5 2 6 2" xfId="49546" xr:uid="{00000000-0005-0000-0000-000088430000}"/>
    <cellStyle name="Normal 3 3 2 2 5 2 7" xfId="36455" xr:uid="{00000000-0005-0000-0000-000089430000}"/>
    <cellStyle name="Normal 3 3 2 2 5 3" xfId="4592" xr:uid="{00000000-0005-0000-0000-00008A430000}"/>
    <cellStyle name="Normal 3 3 2 2 5 3 2" xfId="4593" xr:uid="{00000000-0005-0000-0000-00008B430000}"/>
    <cellStyle name="Normal 3 3 2 2 5 3 2 2" xfId="4594" xr:uid="{00000000-0005-0000-0000-00008C430000}"/>
    <cellStyle name="Normal 3 3 2 2 5 3 2 2 2" xfId="4595" xr:uid="{00000000-0005-0000-0000-00008D430000}"/>
    <cellStyle name="Normal 3 3 2 2 5 3 2 2 2 2" xfId="29497" xr:uid="{00000000-0005-0000-0000-00008E430000}"/>
    <cellStyle name="Normal 3 3 2 2 5 3 2 2 2 2 2" xfId="61368" xr:uid="{00000000-0005-0000-0000-00008F430000}"/>
    <cellStyle name="Normal 3 3 2 2 5 3 2 2 2 3" xfId="36474" xr:uid="{00000000-0005-0000-0000-000090430000}"/>
    <cellStyle name="Normal 3 3 2 2 5 3 2 2 3" xfId="21619" xr:uid="{00000000-0005-0000-0000-000091430000}"/>
    <cellStyle name="Normal 3 3 2 2 5 3 2 2 3 2" xfId="53490" xr:uid="{00000000-0005-0000-0000-000092430000}"/>
    <cellStyle name="Normal 3 3 2 2 5 3 2 2 4" xfId="36473" xr:uid="{00000000-0005-0000-0000-000093430000}"/>
    <cellStyle name="Normal 3 3 2 2 5 3 2 3" xfId="4596" xr:uid="{00000000-0005-0000-0000-000094430000}"/>
    <cellStyle name="Normal 3 3 2 2 5 3 2 3 2" xfId="25558" xr:uid="{00000000-0005-0000-0000-000095430000}"/>
    <cellStyle name="Normal 3 3 2 2 5 3 2 3 2 2" xfId="57429" xr:uid="{00000000-0005-0000-0000-000096430000}"/>
    <cellStyle name="Normal 3 3 2 2 5 3 2 3 3" xfId="36475" xr:uid="{00000000-0005-0000-0000-000097430000}"/>
    <cellStyle name="Normal 3 3 2 2 5 3 2 4" xfId="17680" xr:uid="{00000000-0005-0000-0000-000098430000}"/>
    <cellStyle name="Normal 3 3 2 2 5 3 2 4 2" xfId="49551" xr:uid="{00000000-0005-0000-0000-000099430000}"/>
    <cellStyle name="Normal 3 3 2 2 5 3 2 5" xfId="36472" xr:uid="{00000000-0005-0000-0000-00009A430000}"/>
    <cellStyle name="Normal 3 3 2 2 5 3 3" xfId="4597" xr:uid="{00000000-0005-0000-0000-00009B430000}"/>
    <cellStyle name="Normal 3 3 2 2 5 3 3 2" xfId="4598" xr:uid="{00000000-0005-0000-0000-00009C430000}"/>
    <cellStyle name="Normal 3 3 2 2 5 3 3 2 2" xfId="29496" xr:uid="{00000000-0005-0000-0000-00009D430000}"/>
    <cellStyle name="Normal 3 3 2 2 5 3 3 2 2 2" xfId="61367" xr:uid="{00000000-0005-0000-0000-00009E430000}"/>
    <cellStyle name="Normal 3 3 2 2 5 3 3 2 3" xfId="36477" xr:uid="{00000000-0005-0000-0000-00009F430000}"/>
    <cellStyle name="Normal 3 3 2 2 5 3 3 3" xfId="21618" xr:uid="{00000000-0005-0000-0000-0000A0430000}"/>
    <cellStyle name="Normal 3 3 2 2 5 3 3 3 2" xfId="53489" xr:uid="{00000000-0005-0000-0000-0000A1430000}"/>
    <cellStyle name="Normal 3 3 2 2 5 3 3 4" xfId="36476" xr:uid="{00000000-0005-0000-0000-0000A2430000}"/>
    <cellStyle name="Normal 3 3 2 2 5 3 4" xfId="4599" xr:uid="{00000000-0005-0000-0000-0000A3430000}"/>
    <cellStyle name="Normal 3 3 2 2 5 3 4 2" xfId="25557" xr:uid="{00000000-0005-0000-0000-0000A4430000}"/>
    <cellStyle name="Normal 3 3 2 2 5 3 4 2 2" xfId="57428" xr:uid="{00000000-0005-0000-0000-0000A5430000}"/>
    <cellStyle name="Normal 3 3 2 2 5 3 4 3" xfId="36478" xr:uid="{00000000-0005-0000-0000-0000A6430000}"/>
    <cellStyle name="Normal 3 3 2 2 5 3 5" xfId="17679" xr:uid="{00000000-0005-0000-0000-0000A7430000}"/>
    <cellStyle name="Normal 3 3 2 2 5 3 5 2" xfId="49550" xr:uid="{00000000-0005-0000-0000-0000A8430000}"/>
    <cellStyle name="Normal 3 3 2 2 5 3 6" xfId="36471" xr:uid="{00000000-0005-0000-0000-0000A9430000}"/>
    <cellStyle name="Normal 3 3 2 2 5 4" xfId="4600" xr:uid="{00000000-0005-0000-0000-0000AA430000}"/>
    <cellStyle name="Normal 3 3 2 2 5 4 2" xfId="4601" xr:uid="{00000000-0005-0000-0000-0000AB430000}"/>
    <cellStyle name="Normal 3 3 2 2 5 4 2 2" xfId="4602" xr:uid="{00000000-0005-0000-0000-0000AC430000}"/>
    <cellStyle name="Normal 3 3 2 2 5 4 2 2 2" xfId="29498" xr:uid="{00000000-0005-0000-0000-0000AD430000}"/>
    <cellStyle name="Normal 3 3 2 2 5 4 2 2 2 2" xfId="61369" xr:uid="{00000000-0005-0000-0000-0000AE430000}"/>
    <cellStyle name="Normal 3 3 2 2 5 4 2 2 3" xfId="36481" xr:uid="{00000000-0005-0000-0000-0000AF430000}"/>
    <cellStyle name="Normal 3 3 2 2 5 4 2 3" xfId="21620" xr:uid="{00000000-0005-0000-0000-0000B0430000}"/>
    <cellStyle name="Normal 3 3 2 2 5 4 2 3 2" xfId="53491" xr:uid="{00000000-0005-0000-0000-0000B1430000}"/>
    <cellStyle name="Normal 3 3 2 2 5 4 2 4" xfId="36480" xr:uid="{00000000-0005-0000-0000-0000B2430000}"/>
    <cellStyle name="Normal 3 3 2 2 5 4 3" xfId="4603" xr:uid="{00000000-0005-0000-0000-0000B3430000}"/>
    <cellStyle name="Normal 3 3 2 2 5 4 3 2" xfId="25559" xr:uid="{00000000-0005-0000-0000-0000B4430000}"/>
    <cellStyle name="Normal 3 3 2 2 5 4 3 2 2" xfId="57430" xr:uid="{00000000-0005-0000-0000-0000B5430000}"/>
    <cellStyle name="Normal 3 3 2 2 5 4 3 3" xfId="36482" xr:uid="{00000000-0005-0000-0000-0000B6430000}"/>
    <cellStyle name="Normal 3 3 2 2 5 4 4" xfId="17681" xr:uid="{00000000-0005-0000-0000-0000B7430000}"/>
    <cellStyle name="Normal 3 3 2 2 5 4 4 2" xfId="49552" xr:uid="{00000000-0005-0000-0000-0000B8430000}"/>
    <cellStyle name="Normal 3 3 2 2 5 4 5" xfId="36479" xr:uid="{00000000-0005-0000-0000-0000B9430000}"/>
    <cellStyle name="Normal 3 3 2 2 5 5" xfId="4604" xr:uid="{00000000-0005-0000-0000-0000BA430000}"/>
    <cellStyle name="Normal 3 3 2 2 5 5 2" xfId="4605" xr:uid="{00000000-0005-0000-0000-0000BB430000}"/>
    <cellStyle name="Normal 3 3 2 2 5 5 2 2" xfId="29491" xr:uid="{00000000-0005-0000-0000-0000BC430000}"/>
    <cellStyle name="Normal 3 3 2 2 5 5 2 2 2" xfId="61362" xr:uid="{00000000-0005-0000-0000-0000BD430000}"/>
    <cellStyle name="Normal 3 3 2 2 5 5 2 3" xfId="36484" xr:uid="{00000000-0005-0000-0000-0000BE430000}"/>
    <cellStyle name="Normal 3 3 2 2 5 5 3" xfId="21613" xr:uid="{00000000-0005-0000-0000-0000BF430000}"/>
    <cellStyle name="Normal 3 3 2 2 5 5 3 2" xfId="53484" xr:uid="{00000000-0005-0000-0000-0000C0430000}"/>
    <cellStyle name="Normal 3 3 2 2 5 5 4" xfId="36483" xr:uid="{00000000-0005-0000-0000-0000C1430000}"/>
    <cellStyle name="Normal 3 3 2 2 5 6" xfId="4606" xr:uid="{00000000-0005-0000-0000-0000C2430000}"/>
    <cellStyle name="Normal 3 3 2 2 5 6 2" xfId="25552" xr:uid="{00000000-0005-0000-0000-0000C3430000}"/>
    <cellStyle name="Normal 3 3 2 2 5 6 2 2" xfId="57423" xr:uid="{00000000-0005-0000-0000-0000C4430000}"/>
    <cellStyle name="Normal 3 3 2 2 5 6 3" xfId="36485" xr:uid="{00000000-0005-0000-0000-0000C5430000}"/>
    <cellStyle name="Normal 3 3 2 2 5 7" xfId="17674" xr:uid="{00000000-0005-0000-0000-0000C6430000}"/>
    <cellStyle name="Normal 3 3 2 2 5 7 2" xfId="49545" xr:uid="{00000000-0005-0000-0000-0000C7430000}"/>
    <cellStyle name="Normal 3 3 2 2 5 8" xfId="36454" xr:uid="{00000000-0005-0000-0000-0000C8430000}"/>
    <cellStyle name="Normal 3 3 2 2 6" xfId="4607" xr:uid="{00000000-0005-0000-0000-0000C9430000}"/>
    <cellStyle name="Normal 3 3 2 2 6 2" xfId="4608" xr:uid="{00000000-0005-0000-0000-0000CA430000}"/>
    <cellStyle name="Normal 3 3 2 2 6 2 2" xfId="4609" xr:uid="{00000000-0005-0000-0000-0000CB430000}"/>
    <cellStyle name="Normal 3 3 2 2 6 2 2 2" xfId="4610" xr:uid="{00000000-0005-0000-0000-0000CC430000}"/>
    <cellStyle name="Normal 3 3 2 2 6 2 2 2 2" xfId="4611" xr:uid="{00000000-0005-0000-0000-0000CD430000}"/>
    <cellStyle name="Normal 3 3 2 2 6 2 2 2 2 2" xfId="29501" xr:uid="{00000000-0005-0000-0000-0000CE430000}"/>
    <cellStyle name="Normal 3 3 2 2 6 2 2 2 2 2 2" xfId="61372" xr:uid="{00000000-0005-0000-0000-0000CF430000}"/>
    <cellStyle name="Normal 3 3 2 2 6 2 2 2 2 3" xfId="36490" xr:uid="{00000000-0005-0000-0000-0000D0430000}"/>
    <cellStyle name="Normal 3 3 2 2 6 2 2 2 3" xfId="21623" xr:uid="{00000000-0005-0000-0000-0000D1430000}"/>
    <cellStyle name="Normal 3 3 2 2 6 2 2 2 3 2" xfId="53494" xr:uid="{00000000-0005-0000-0000-0000D2430000}"/>
    <cellStyle name="Normal 3 3 2 2 6 2 2 2 4" xfId="36489" xr:uid="{00000000-0005-0000-0000-0000D3430000}"/>
    <cellStyle name="Normal 3 3 2 2 6 2 2 3" xfId="4612" xr:uid="{00000000-0005-0000-0000-0000D4430000}"/>
    <cellStyle name="Normal 3 3 2 2 6 2 2 3 2" xfId="25562" xr:uid="{00000000-0005-0000-0000-0000D5430000}"/>
    <cellStyle name="Normal 3 3 2 2 6 2 2 3 2 2" xfId="57433" xr:uid="{00000000-0005-0000-0000-0000D6430000}"/>
    <cellStyle name="Normal 3 3 2 2 6 2 2 3 3" xfId="36491" xr:uid="{00000000-0005-0000-0000-0000D7430000}"/>
    <cellStyle name="Normal 3 3 2 2 6 2 2 4" xfId="17684" xr:uid="{00000000-0005-0000-0000-0000D8430000}"/>
    <cellStyle name="Normal 3 3 2 2 6 2 2 4 2" xfId="49555" xr:uid="{00000000-0005-0000-0000-0000D9430000}"/>
    <cellStyle name="Normal 3 3 2 2 6 2 2 5" xfId="36488" xr:uid="{00000000-0005-0000-0000-0000DA430000}"/>
    <cellStyle name="Normal 3 3 2 2 6 2 3" xfId="4613" xr:uid="{00000000-0005-0000-0000-0000DB430000}"/>
    <cellStyle name="Normal 3 3 2 2 6 2 3 2" xfId="4614" xr:uid="{00000000-0005-0000-0000-0000DC430000}"/>
    <cellStyle name="Normal 3 3 2 2 6 2 3 2 2" xfId="29500" xr:uid="{00000000-0005-0000-0000-0000DD430000}"/>
    <cellStyle name="Normal 3 3 2 2 6 2 3 2 2 2" xfId="61371" xr:uid="{00000000-0005-0000-0000-0000DE430000}"/>
    <cellStyle name="Normal 3 3 2 2 6 2 3 2 3" xfId="36493" xr:uid="{00000000-0005-0000-0000-0000DF430000}"/>
    <cellStyle name="Normal 3 3 2 2 6 2 3 3" xfId="21622" xr:uid="{00000000-0005-0000-0000-0000E0430000}"/>
    <cellStyle name="Normal 3 3 2 2 6 2 3 3 2" xfId="53493" xr:uid="{00000000-0005-0000-0000-0000E1430000}"/>
    <cellStyle name="Normal 3 3 2 2 6 2 3 4" xfId="36492" xr:uid="{00000000-0005-0000-0000-0000E2430000}"/>
    <cellStyle name="Normal 3 3 2 2 6 2 4" xfId="4615" xr:uid="{00000000-0005-0000-0000-0000E3430000}"/>
    <cellStyle name="Normal 3 3 2 2 6 2 4 2" xfId="25561" xr:uid="{00000000-0005-0000-0000-0000E4430000}"/>
    <cellStyle name="Normal 3 3 2 2 6 2 4 2 2" xfId="57432" xr:uid="{00000000-0005-0000-0000-0000E5430000}"/>
    <cellStyle name="Normal 3 3 2 2 6 2 4 3" xfId="36494" xr:uid="{00000000-0005-0000-0000-0000E6430000}"/>
    <cellStyle name="Normal 3 3 2 2 6 2 5" xfId="17683" xr:uid="{00000000-0005-0000-0000-0000E7430000}"/>
    <cellStyle name="Normal 3 3 2 2 6 2 5 2" xfId="49554" xr:uid="{00000000-0005-0000-0000-0000E8430000}"/>
    <cellStyle name="Normal 3 3 2 2 6 2 6" xfId="36487" xr:uid="{00000000-0005-0000-0000-0000E9430000}"/>
    <cellStyle name="Normal 3 3 2 2 6 3" xfId="4616" xr:uid="{00000000-0005-0000-0000-0000EA430000}"/>
    <cellStyle name="Normal 3 3 2 2 6 3 2" xfId="4617" xr:uid="{00000000-0005-0000-0000-0000EB430000}"/>
    <cellStyle name="Normal 3 3 2 2 6 3 2 2" xfId="4618" xr:uid="{00000000-0005-0000-0000-0000EC430000}"/>
    <cellStyle name="Normal 3 3 2 2 6 3 2 2 2" xfId="29502" xr:uid="{00000000-0005-0000-0000-0000ED430000}"/>
    <cellStyle name="Normal 3 3 2 2 6 3 2 2 2 2" xfId="61373" xr:uid="{00000000-0005-0000-0000-0000EE430000}"/>
    <cellStyle name="Normal 3 3 2 2 6 3 2 2 3" xfId="36497" xr:uid="{00000000-0005-0000-0000-0000EF430000}"/>
    <cellStyle name="Normal 3 3 2 2 6 3 2 3" xfId="21624" xr:uid="{00000000-0005-0000-0000-0000F0430000}"/>
    <cellStyle name="Normal 3 3 2 2 6 3 2 3 2" xfId="53495" xr:uid="{00000000-0005-0000-0000-0000F1430000}"/>
    <cellStyle name="Normal 3 3 2 2 6 3 2 4" xfId="36496" xr:uid="{00000000-0005-0000-0000-0000F2430000}"/>
    <cellStyle name="Normal 3 3 2 2 6 3 3" xfId="4619" xr:uid="{00000000-0005-0000-0000-0000F3430000}"/>
    <cellStyle name="Normal 3 3 2 2 6 3 3 2" xfId="25563" xr:uid="{00000000-0005-0000-0000-0000F4430000}"/>
    <cellStyle name="Normal 3 3 2 2 6 3 3 2 2" xfId="57434" xr:uid="{00000000-0005-0000-0000-0000F5430000}"/>
    <cellStyle name="Normal 3 3 2 2 6 3 3 3" xfId="36498" xr:uid="{00000000-0005-0000-0000-0000F6430000}"/>
    <cellStyle name="Normal 3 3 2 2 6 3 4" xfId="17685" xr:uid="{00000000-0005-0000-0000-0000F7430000}"/>
    <cellStyle name="Normal 3 3 2 2 6 3 4 2" xfId="49556" xr:uid="{00000000-0005-0000-0000-0000F8430000}"/>
    <cellStyle name="Normal 3 3 2 2 6 3 5" xfId="36495" xr:uid="{00000000-0005-0000-0000-0000F9430000}"/>
    <cellStyle name="Normal 3 3 2 2 6 4" xfId="4620" xr:uid="{00000000-0005-0000-0000-0000FA430000}"/>
    <cellStyle name="Normal 3 3 2 2 6 4 2" xfId="4621" xr:uid="{00000000-0005-0000-0000-0000FB430000}"/>
    <cellStyle name="Normal 3 3 2 2 6 4 2 2" xfId="29499" xr:uid="{00000000-0005-0000-0000-0000FC430000}"/>
    <cellStyle name="Normal 3 3 2 2 6 4 2 2 2" xfId="61370" xr:uid="{00000000-0005-0000-0000-0000FD430000}"/>
    <cellStyle name="Normal 3 3 2 2 6 4 2 3" xfId="36500" xr:uid="{00000000-0005-0000-0000-0000FE430000}"/>
    <cellStyle name="Normal 3 3 2 2 6 4 3" xfId="21621" xr:uid="{00000000-0005-0000-0000-0000FF430000}"/>
    <cellStyle name="Normal 3 3 2 2 6 4 3 2" xfId="53492" xr:uid="{00000000-0005-0000-0000-000000440000}"/>
    <cellStyle name="Normal 3 3 2 2 6 4 4" xfId="36499" xr:uid="{00000000-0005-0000-0000-000001440000}"/>
    <cellStyle name="Normal 3 3 2 2 6 5" xfId="4622" xr:uid="{00000000-0005-0000-0000-000002440000}"/>
    <cellStyle name="Normal 3 3 2 2 6 5 2" xfId="25560" xr:uid="{00000000-0005-0000-0000-000003440000}"/>
    <cellStyle name="Normal 3 3 2 2 6 5 2 2" xfId="57431" xr:uid="{00000000-0005-0000-0000-000004440000}"/>
    <cellStyle name="Normal 3 3 2 2 6 5 3" xfId="36501" xr:uid="{00000000-0005-0000-0000-000005440000}"/>
    <cellStyle name="Normal 3 3 2 2 6 6" xfId="17682" xr:uid="{00000000-0005-0000-0000-000006440000}"/>
    <cellStyle name="Normal 3 3 2 2 6 6 2" xfId="49553" xr:uid="{00000000-0005-0000-0000-000007440000}"/>
    <cellStyle name="Normal 3 3 2 2 6 7" xfId="36486" xr:uid="{00000000-0005-0000-0000-000008440000}"/>
    <cellStyle name="Normal 3 3 2 2 7" xfId="4623" xr:uid="{00000000-0005-0000-0000-000009440000}"/>
    <cellStyle name="Normal 3 3 2 2 7 2" xfId="4624" xr:uid="{00000000-0005-0000-0000-00000A440000}"/>
    <cellStyle name="Normal 3 3 2 2 7 2 2" xfId="4625" xr:uid="{00000000-0005-0000-0000-00000B440000}"/>
    <cellStyle name="Normal 3 3 2 2 7 2 2 2" xfId="4626" xr:uid="{00000000-0005-0000-0000-00000C440000}"/>
    <cellStyle name="Normal 3 3 2 2 7 2 2 2 2" xfId="29504" xr:uid="{00000000-0005-0000-0000-00000D440000}"/>
    <cellStyle name="Normal 3 3 2 2 7 2 2 2 2 2" xfId="61375" xr:uid="{00000000-0005-0000-0000-00000E440000}"/>
    <cellStyle name="Normal 3 3 2 2 7 2 2 2 3" xfId="36505" xr:uid="{00000000-0005-0000-0000-00000F440000}"/>
    <cellStyle name="Normal 3 3 2 2 7 2 2 3" xfId="21626" xr:uid="{00000000-0005-0000-0000-000010440000}"/>
    <cellStyle name="Normal 3 3 2 2 7 2 2 3 2" xfId="53497" xr:uid="{00000000-0005-0000-0000-000011440000}"/>
    <cellStyle name="Normal 3 3 2 2 7 2 2 4" xfId="36504" xr:uid="{00000000-0005-0000-0000-000012440000}"/>
    <cellStyle name="Normal 3 3 2 2 7 2 3" xfId="4627" xr:uid="{00000000-0005-0000-0000-000013440000}"/>
    <cellStyle name="Normal 3 3 2 2 7 2 3 2" xfId="25565" xr:uid="{00000000-0005-0000-0000-000014440000}"/>
    <cellStyle name="Normal 3 3 2 2 7 2 3 2 2" xfId="57436" xr:uid="{00000000-0005-0000-0000-000015440000}"/>
    <cellStyle name="Normal 3 3 2 2 7 2 3 3" xfId="36506" xr:uid="{00000000-0005-0000-0000-000016440000}"/>
    <cellStyle name="Normal 3 3 2 2 7 2 4" xfId="17687" xr:uid="{00000000-0005-0000-0000-000017440000}"/>
    <cellStyle name="Normal 3 3 2 2 7 2 4 2" xfId="49558" xr:uid="{00000000-0005-0000-0000-000018440000}"/>
    <cellStyle name="Normal 3 3 2 2 7 2 5" xfId="36503" xr:uid="{00000000-0005-0000-0000-000019440000}"/>
    <cellStyle name="Normal 3 3 2 2 7 3" xfId="4628" xr:uid="{00000000-0005-0000-0000-00001A440000}"/>
    <cellStyle name="Normal 3 3 2 2 7 3 2" xfId="4629" xr:uid="{00000000-0005-0000-0000-00001B440000}"/>
    <cellStyle name="Normal 3 3 2 2 7 3 2 2" xfId="29503" xr:uid="{00000000-0005-0000-0000-00001C440000}"/>
    <cellStyle name="Normal 3 3 2 2 7 3 2 2 2" xfId="61374" xr:uid="{00000000-0005-0000-0000-00001D440000}"/>
    <cellStyle name="Normal 3 3 2 2 7 3 2 3" xfId="36508" xr:uid="{00000000-0005-0000-0000-00001E440000}"/>
    <cellStyle name="Normal 3 3 2 2 7 3 3" xfId="21625" xr:uid="{00000000-0005-0000-0000-00001F440000}"/>
    <cellStyle name="Normal 3 3 2 2 7 3 3 2" xfId="53496" xr:uid="{00000000-0005-0000-0000-000020440000}"/>
    <cellStyle name="Normal 3 3 2 2 7 3 4" xfId="36507" xr:uid="{00000000-0005-0000-0000-000021440000}"/>
    <cellStyle name="Normal 3 3 2 2 7 4" xfId="4630" xr:uid="{00000000-0005-0000-0000-000022440000}"/>
    <cellStyle name="Normal 3 3 2 2 7 4 2" xfId="25564" xr:uid="{00000000-0005-0000-0000-000023440000}"/>
    <cellStyle name="Normal 3 3 2 2 7 4 2 2" xfId="57435" xr:uid="{00000000-0005-0000-0000-000024440000}"/>
    <cellStyle name="Normal 3 3 2 2 7 4 3" xfId="36509" xr:uid="{00000000-0005-0000-0000-000025440000}"/>
    <cellStyle name="Normal 3 3 2 2 7 5" xfId="17686" xr:uid="{00000000-0005-0000-0000-000026440000}"/>
    <cellStyle name="Normal 3 3 2 2 7 5 2" xfId="49557" xr:uid="{00000000-0005-0000-0000-000027440000}"/>
    <cellStyle name="Normal 3 3 2 2 7 6" xfId="36502" xr:uid="{00000000-0005-0000-0000-000028440000}"/>
    <cellStyle name="Normal 3 3 2 2 8" xfId="4631" xr:uid="{00000000-0005-0000-0000-000029440000}"/>
    <cellStyle name="Normal 3 3 2 2 8 2" xfId="4632" xr:uid="{00000000-0005-0000-0000-00002A440000}"/>
    <cellStyle name="Normal 3 3 2 2 8 2 2" xfId="4633" xr:uid="{00000000-0005-0000-0000-00002B440000}"/>
    <cellStyle name="Normal 3 3 2 2 8 2 2 2" xfId="29505" xr:uid="{00000000-0005-0000-0000-00002C440000}"/>
    <cellStyle name="Normal 3 3 2 2 8 2 2 2 2" xfId="61376" xr:uid="{00000000-0005-0000-0000-00002D440000}"/>
    <cellStyle name="Normal 3 3 2 2 8 2 2 3" xfId="36512" xr:uid="{00000000-0005-0000-0000-00002E440000}"/>
    <cellStyle name="Normal 3 3 2 2 8 2 3" xfId="21627" xr:uid="{00000000-0005-0000-0000-00002F440000}"/>
    <cellStyle name="Normal 3 3 2 2 8 2 3 2" xfId="53498" xr:uid="{00000000-0005-0000-0000-000030440000}"/>
    <cellStyle name="Normal 3 3 2 2 8 2 4" xfId="36511" xr:uid="{00000000-0005-0000-0000-000031440000}"/>
    <cellStyle name="Normal 3 3 2 2 8 3" xfId="4634" xr:uid="{00000000-0005-0000-0000-000032440000}"/>
    <cellStyle name="Normal 3 3 2 2 8 3 2" xfId="25566" xr:uid="{00000000-0005-0000-0000-000033440000}"/>
    <cellStyle name="Normal 3 3 2 2 8 3 2 2" xfId="57437" xr:uid="{00000000-0005-0000-0000-000034440000}"/>
    <cellStyle name="Normal 3 3 2 2 8 3 3" xfId="36513" xr:uid="{00000000-0005-0000-0000-000035440000}"/>
    <cellStyle name="Normal 3 3 2 2 8 4" xfId="17688" xr:uid="{00000000-0005-0000-0000-000036440000}"/>
    <cellStyle name="Normal 3 3 2 2 8 4 2" xfId="49559" xr:uid="{00000000-0005-0000-0000-000037440000}"/>
    <cellStyle name="Normal 3 3 2 2 8 5" xfId="36510" xr:uid="{00000000-0005-0000-0000-000038440000}"/>
    <cellStyle name="Normal 3 3 2 2 9" xfId="4635" xr:uid="{00000000-0005-0000-0000-000039440000}"/>
    <cellStyle name="Normal 3 3 2 2 9 2" xfId="4636" xr:uid="{00000000-0005-0000-0000-00003A440000}"/>
    <cellStyle name="Normal 3 3 2 2 9 2 2" xfId="28287" xr:uid="{00000000-0005-0000-0000-00003B440000}"/>
    <cellStyle name="Normal 3 3 2 2 9 2 2 2" xfId="60158" xr:uid="{00000000-0005-0000-0000-00003C440000}"/>
    <cellStyle name="Normal 3 3 2 2 9 2 3" xfId="36515" xr:uid="{00000000-0005-0000-0000-00003D440000}"/>
    <cellStyle name="Normal 3 3 2 2 9 3" xfId="20409" xr:uid="{00000000-0005-0000-0000-00003E440000}"/>
    <cellStyle name="Normal 3 3 2 2 9 3 2" xfId="52280" xr:uid="{00000000-0005-0000-0000-00003F440000}"/>
    <cellStyle name="Normal 3 3 2 2 9 4" xfId="36514" xr:uid="{00000000-0005-0000-0000-000040440000}"/>
    <cellStyle name="Normal 3 3 2 3" xfId="4637" xr:uid="{00000000-0005-0000-0000-000041440000}"/>
    <cellStyle name="Normal 3 3 2 3 10" xfId="36516" xr:uid="{00000000-0005-0000-0000-000042440000}"/>
    <cellStyle name="Normal 3 3 2 3 2" xfId="4638" xr:uid="{00000000-0005-0000-0000-000043440000}"/>
    <cellStyle name="Normal 3 3 2 3 2 2" xfId="4639" xr:uid="{00000000-0005-0000-0000-000044440000}"/>
    <cellStyle name="Normal 3 3 2 3 2 2 2" xfId="4640" xr:uid="{00000000-0005-0000-0000-000045440000}"/>
    <cellStyle name="Normal 3 3 2 3 2 2 2 2" xfId="4641" xr:uid="{00000000-0005-0000-0000-000046440000}"/>
    <cellStyle name="Normal 3 3 2 3 2 2 2 2 2" xfId="4642" xr:uid="{00000000-0005-0000-0000-000047440000}"/>
    <cellStyle name="Normal 3 3 2 3 2 2 2 2 2 2" xfId="4643" xr:uid="{00000000-0005-0000-0000-000048440000}"/>
    <cellStyle name="Normal 3 3 2 3 2 2 2 2 2 2 2" xfId="4644" xr:uid="{00000000-0005-0000-0000-000049440000}"/>
    <cellStyle name="Normal 3 3 2 3 2 2 2 2 2 2 2 2" xfId="29509" xr:uid="{00000000-0005-0000-0000-00004A440000}"/>
    <cellStyle name="Normal 3 3 2 3 2 2 2 2 2 2 2 2 2" xfId="61380" xr:uid="{00000000-0005-0000-0000-00004B440000}"/>
    <cellStyle name="Normal 3 3 2 3 2 2 2 2 2 2 2 3" xfId="36523" xr:uid="{00000000-0005-0000-0000-00004C440000}"/>
    <cellStyle name="Normal 3 3 2 3 2 2 2 2 2 2 3" xfId="21631" xr:uid="{00000000-0005-0000-0000-00004D440000}"/>
    <cellStyle name="Normal 3 3 2 3 2 2 2 2 2 2 3 2" xfId="53502" xr:uid="{00000000-0005-0000-0000-00004E440000}"/>
    <cellStyle name="Normal 3 3 2 3 2 2 2 2 2 2 4" xfId="36522" xr:uid="{00000000-0005-0000-0000-00004F440000}"/>
    <cellStyle name="Normal 3 3 2 3 2 2 2 2 2 3" xfId="4645" xr:uid="{00000000-0005-0000-0000-000050440000}"/>
    <cellStyle name="Normal 3 3 2 3 2 2 2 2 2 3 2" xfId="25570" xr:uid="{00000000-0005-0000-0000-000051440000}"/>
    <cellStyle name="Normal 3 3 2 3 2 2 2 2 2 3 2 2" xfId="57441" xr:uid="{00000000-0005-0000-0000-000052440000}"/>
    <cellStyle name="Normal 3 3 2 3 2 2 2 2 2 3 3" xfId="36524" xr:uid="{00000000-0005-0000-0000-000053440000}"/>
    <cellStyle name="Normal 3 3 2 3 2 2 2 2 2 4" xfId="17692" xr:uid="{00000000-0005-0000-0000-000054440000}"/>
    <cellStyle name="Normal 3 3 2 3 2 2 2 2 2 4 2" xfId="49563" xr:uid="{00000000-0005-0000-0000-000055440000}"/>
    <cellStyle name="Normal 3 3 2 3 2 2 2 2 2 5" xfId="36521" xr:uid="{00000000-0005-0000-0000-000056440000}"/>
    <cellStyle name="Normal 3 3 2 3 2 2 2 2 3" xfId="4646" xr:uid="{00000000-0005-0000-0000-000057440000}"/>
    <cellStyle name="Normal 3 3 2 3 2 2 2 2 3 2" xfId="4647" xr:uid="{00000000-0005-0000-0000-000058440000}"/>
    <cellStyle name="Normal 3 3 2 3 2 2 2 2 3 2 2" xfId="29508" xr:uid="{00000000-0005-0000-0000-000059440000}"/>
    <cellStyle name="Normal 3 3 2 3 2 2 2 2 3 2 2 2" xfId="61379" xr:uid="{00000000-0005-0000-0000-00005A440000}"/>
    <cellStyle name="Normal 3 3 2 3 2 2 2 2 3 2 3" xfId="36526" xr:uid="{00000000-0005-0000-0000-00005B440000}"/>
    <cellStyle name="Normal 3 3 2 3 2 2 2 2 3 3" xfId="21630" xr:uid="{00000000-0005-0000-0000-00005C440000}"/>
    <cellStyle name="Normal 3 3 2 3 2 2 2 2 3 3 2" xfId="53501" xr:uid="{00000000-0005-0000-0000-00005D440000}"/>
    <cellStyle name="Normal 3 3 2 3 2 2 2 2 3 4" xfId="36525" xr:uid="{00000000-0005-0000-0000-00005E440000}"/>
    <cellStyle name="Normal 3 3 2 3 2 2 2 2 4" xfId="4648" xr:uid="{00000000-0005-0000-0000-00005F440000}"/>
    <cellStyle name="Normal 3 3 2 3 2 2 2 2 4 2" xfId="25569" xr:uid="{00000000-0005-0000-0000-000060440000}"/>
    <cellStyle name="Normal 3 3 2 3 2 2 2 2 4 2 2" xfId="57440" xr:uid="{00000000-0005-0000-0000-000061440000}"/>
    <cellStyle name="Normal 3 3 2 3 2 2 2 2 4 3" xfId="36527" xr:uid="{00000000-0005-0000-0000-000062440000}"/>
    <cellStyle name="Normal 3 3 2 3 2 2 2 2 5" xfId="17691" xr:uid="{00000000-0005-0000-0000-000063440000}"/>
    <cellStyle name="Normal 3 3 2 3 2 2 2 2 5 2" xfId="49562" xr:uid="{00000000-0005-0000-0000-000064440000}"/>
    <cellStyle name="Normal 3 3 2 3 2 2 2 2 6" xfId="36520" xr:uid="{00000000-0005-0000-0000-000065440000}"/>
    <cellStyle name="Normal 3 3 2 3 2 2 2 3" xfId="4649" xr:uid="{00000000-0005-0000-0000-000066440000}"/>
    <cellStyle name="Normal 3 3 2 3 2 2 2 3 2" xfId="4650" xr:uid="{00000000-0005-0000-0000-000067440000}"/>
    <cellStyle name="Normal 3 3 2 3 2 2 2 3 2 2" xfId="4651" xr:uid="{00000000-0005-0000-0000-000068440000}"/>
    <cellStyle name="Normal 3 3 2 3 2 2 2 3 2 2 2" xfId="29510" xr:uid="{00000000-0005-0000-0000-000069440000}"/>
    <cellStyle name="Normal 3 3 2 3 2 2 2 3 2 2 2 2" xfId="61381" xr:uid="{00000000-0005-0000-0000-00006A440000}"/>
    <cellStyle name="Normal 3 3 2 3 2 2 2 3 2 2 3" xfId="36530" xr:uid="{00000000-0005-0000-0000-00006B440000}"/>
    <cellStyle name="Normal 3 3 2 3 2 2 2 3 2 3" xfId="21632" xr:uid="{00000000-0005-0000-0000-00006C440000}"/>
    <cellStyle name="Normal 3 3 2 3 2 2 2 3 2 3 2" xfId="53503" xr:uid="{00000000-0005-0000-0000-00006D440000}"/>
    <cellStyle name="Normal 3 3 2 3 2 2 2 3 2 4" xfId="36529" xr:uid="{00000000-0005-0000-0000-00006E440000}"/>
    <cellStyle name="Normal 3 3 2 3 2 2 2 3 3" xfId="4652" xr:uid="{00000000-0005-0000-0000-00006F440000}"/>
    <cellStyle name="Normal 3 3 2 3 2 2 2 3 3 2" xfId="25571" xr:uid="{00000000-0005-0000-0000-000070440000}"/>
    <cellStyle name="Normal 3 3 2 3 2 2 2 3 3 2 2" xfId="57442" xr:uid="{00000000-0005-0000-0000-000071440000}"/>
    <cellStyle name="Normal 3 3 2 3 2 2 2 3 3 3" xfId="36531" xr:uid="{00000000-0005-0000-0000-000072440000}"/>
    <cellStyle name="Normal 3 3 2 3 2 2 2 3 4" xfId="17693" xr:uid="{00000000-0005-0000-0000-000073440000}"/>
    <cellStyle name="Normal 3 3 2 3 2 2 2 3 4 2" xfId="49564" xr:uid="{00000000-0005-0000-0000-000074440000}"/>
    <cellStyle name="Normal 3 3 2 3 2 2 2 3 5" xfId="36528" xr:uid="{00000000-0005-0000-0000-000075440000}"/>
    <cellStyle name="Normal 3 3 2 3 2 2 2 4" xfId="4653" xr:uid="{00000000-0005-0000-0000-000076440000}"/>
    <cellStyle name="Normal 3 3 2 3 2 2 2 4 2" xfId="4654" xr:uid="{00000000-0005-0000-0000-000077440000}"/>
    <cellStyle name="Normal 3 3 2 3 2 2 2 4 2 2" xfId="29507" xr:uid="{00000000-0005-0000-0000-000078440000}"/>
    <cellStyle name="Normal 3 3 2 3 2 2 2 4 2 2 2" xfId="61378" xr:uid="{00000000-0005-0000-0000-000079440000}"/>
    <cellStyle name="Normal 3 3 2 3 2 2 2 4 2 3" xfId="36533" xr:uid="{00000000-0005-0000-0000-00007A440000}"/>
    <cellStyle name="Normal 3 3 2 3 2 2 2 4 3" xfId="21629" xr:uid="{00000000-0005-0000-0000-00007B440000}"/>
    <cellStyle name="Normal 3 3 2 3 2 2 2 4 3 2" xfId="53500" xr:uid="{00000000-0005-0000-0000-00007C440000}"/>
    <cellStyle name="Normal 3 3 2 3 2 2 2 4 4" xfId="36532" xr:uid="{00000000-0005-0000-0000-00007D440000}"/>
    <cellStyle name="Normal 3 3 2 3 2 2 2 5" xfId="4655" xr:uid="{00000000-0005-0000-0000-00007E440000}"/>
    <cellStyle name="Normal 3 3 2 3 2 2 2 5 2" xfId="25568" xr:uid="{00000000-0005-0000-0000-00007F440000}"/>
    <cellStyle name="Normal 3 3 2 3 2 2 2 5 2 2" xfId="57439" xr:uid="{00000000-0005-0000-0000-000080440000}"/>
    <cellStyle name="Normal 3 3 2 3 2 2 2 5 3" xfId="36534" xr:uid="{00000000-0005-0000-0000-000081440000}"/>
    <cellStyle name="Normal 3 3 2 3 2 2 2 6" xfId="17690" xr:uid="{00000000-0005-0000-0000-000082440000}"/>
    <cellStyle name="Normal 3 3 2 3 2 2 2 6 2" xfId="49561" xr:uid="{00000000-0005-0000-0000-000083440000}"/>
    <cellStyle name="Normal 3 3 2 3 2 2 2 7" xfId="36519" xr:uid="{00000000-0005-0000-0000-000084440000}"/>
    <cellStyle name="Normal 3 3 2 3 2 2 3" xfId="4656" xr:uid="{00000000-0005-0000-0000-000085440000}"/>
    <cellStyle name="Normal 3 3 2 3 2 2 3 2" xfId="4657" xr:uid="{00000000-0005-0000-0000-000086440000}"/>
    <cellStyle name="Normal 3 3 2 3 2 2 3 2 2" xfId="4658" xr:uid="{00000000-0005-0000-0000-000087440000}"/>
    <cellStyle name="Normal 3 3 2 3 2 2 3 2 2 2" xfId="4659" xr:uid="{00000000-0005-0000-0000-000088440000}"/>
    <cellStyle name="Normal 3 3 2 3 2 2 3 2 2 2 2" xfId="29512" xr:uid="{00000000-0005-0000-0000-000089440000}"/>
    <cellStyle name="Normal 3 3 2 3 2 2 3 2 2 2 2 2" xfId="61383" xr:uid="{00000000-0005-0000-0000-00008A440000}"/>
    <cellStyle name="Normal 3 3 2 3 2 2 3 2 2 2 3" xfId="36538" xr:uid="{00000000-0005-0000-0000-00008B440000}"/>
    <cellStyle name="Normal 3 3 2 3 2 2 3 2 2 3" xfId="21634" xr:uid="{00000000-0005-0000-0000-00008C440000}"/>
    <cellStyle name="Normal 3 3 2 3 2 2 3 2 2 3 2" xfId="53505" xr:uid="{00000000-0005-0000-0000-00008D440000}"/>
    <cellStyle name="Normal 3 3 2 3 2 2 3 2 2 4" xfId="36537" xr:uid="{00000000-0005-0000-0000-00008E440000}"/>
    <cellStyle name="Normal 3 3 2 3 2 2 3 2 3" xfId="4660" xr:uid="{00000000-0005-0000-0000-00008F440000}"/>
    <cellStyle name="Normal 3 3 2 3 2 2 3 2 3 2" xfId="25573" xr:uid="{00000000-0005-0000-0000-000090440000}"/>
    <cellStyle name="Normal 3 3 2 3 2 2 3 2 3 2 2" xfId="57444" xr:uid="{00000000-0005-0000-0000-000091440000}"/>
    <cellStyle name="Normal 3 3 2 3 2 2 3 2 3 3" xfId="36539" xr:uid="{00000000-0005-0000-0000-000092440000}"/>
    <cellStyle name="Normal 3 3 2 3 2 2 3 2 4" xfId="17695" xr:uid="{00000000-0005-0000-0000-000093440000}"/>
    <cellStyle name="Normal 3 3 2 3 2 2 3 2 4 2" xfId="49566" xr:uid="{00000000-0005-0000-0000-000094440000}"/>
    <cellStyle name="Normal 3 3 2 3 2 2 3 2 5" xfId="36536" xr:uid="{00000000-0005-0000-0000-000095440000}"/>
    <cellStyle name="Normal 3 3 2 3 2 2 3 3" xfId="4661" xr:uid="{00000000-0005-0000-0000-000096440000}"/>
    <cellStyle name="Normal 3 3 2 3 2 2 3 3 2" xfId="4662" xr:uid="{00000000-0005-0000-0000-000097440000}"/>
    <cellStyle name="Normal 3 3 2 3 2 2 3 3 2 2" xfId="29511" xr:uid="{00000000-0005-0000-0000-000098440000}"/>
    <cellStyle name="Normal 3 3 2 3 2 2 3 3 2 2 2" xfId="61382" xr:uid="{00000000-0005-0000-0000-000099440000}"/>
    <cellStyle name="Normal 3 3 2 3 2 2 3 3 2 3" xfId="36541" xr:uid="{00000000-0005-0000-0000-00009A440000}"/>
    <cellStyle name="Normal 3 3 2 3 2 2 3 3 3" xfId="21633" xr:uid="{00000000-0005-0000-0000-00009B440000}"/>
    <cellStyle name="Normal 3 3 2 3 2 2 3 3 3 2" xfId="53504" xr:uid="{00000000-0005-0000-0000-00009C440000}"/>
    <cellStyle name="Normal 3 3 2 3 2 2 3 3 4" xfId="36540" xr:uid="{00000000-0005-0000-0000-00009D440000}"/>
    <cellStyle name="Normal 3 3 2 3 2 2 3 4" xfId="4663" xr:uid="{00000000-0005-0000-0000-00009E440000}"/>
    <cellStyle name="Normal 3 3 2 3 2 2 3 4 2" xfId="25572" xr:uid="{00000000-0005-0000-0000-00009F440000}"/>
    <cellStyle name="Normal 3 3 2 3 2 2 3 4 2 2" xfId="57443" xr:uid="{00000000-0005-0000-0000-0000A0440000}"/>
    <cellStyle name="Normal 3 3 2 3 2 2 3 4 3" xfId="36542" xr:uid="{00000000-0005-0000-0000-0000A1440000}"/>
    <cellStyle name="Normal 3 3 2 3 2 2 3 5" xfId="17694" xr:uid="{00000000-0005-0000-0000-0000A2440000}"/>
    <cellStyle name="Normal 3 3 2 3 2 2 3 5 2" xfId="49565" xr:uid="{00000000-0005-0000-0000-0000A3440000}"/>
    <cellStyle name="Normal 3 3 2 3 2 2 3 6" xfId="36535" xr:uid="{00000000-0005-0000-0000-0000A4440000}"/>
    <cellStyle name="Normal 3 3 2 3 2 2 4" xfId="4664" xr:uid="{00000000-0005-0000-0000-0000A5440000}"/>
    <cellStyle name="Normal 3 3 2 3 2 2 4 2" xfId="4665" xr:uid="{00000000-0005-0000-0000-0000A6440000}"/>
    <cellStyle name="Normal 3 3 2 3 2 2 4 2 2" xfId="4666" xr:uid="{00000000-0005-0000-0000-0000A7440000}"/>
    <cellStyle name="Normal 3 3 2 3 2 2 4 2 2 2" xfId="29513" xr:uid="{00000000-0005-0000-0000-0000A8440000}"/>
    <cellStyle name="Normal 3 3 2 3 2 2 4 2 2 2 2" xfId="61384" xr:uid="{00000000-0005-0000-0000-0000A9440000}"/>
    <cellStyle name="Normal 3 3 2 3 2 2 4 2 2 3" xfId="36545" xr:uid="{00000000-0005-0000-0000-0000AA440000}"/>
    <cellStyle name="Normal 3 3 2 3 2 2 4 2 3" xfId="21635" xr:uid="{00000000-0005-0000-0000-0000AB440000}"/>
    <cellStyle name="Normal 3 3 2 3 2 2 4 2 3 2" xfId="53506" xr:uid="{00000000-0005-0000-0000-0000AC440000}"/>
    <cellStyle name="Normal 3 3 2 3 2 2 4 2 4" xfId="36544" xr:uid="{00000000-0005-0000-0000-0000AD440000}"/>
    <cellStyle name="Normal 3 3 2 3 2 2 4 3" xfId="4667" xr:uid="{00000000-0005-0000-0000-0000AE440000}"/>
    <cellStyle name="Normal 3 3 2 3 2 2 4 3 2" xfId="25574" xr:uid="{00000000-0005-0000-0000-0000AF440000}"/>
    <cellStyle name="Normal 3 3 2 3 2 2 4 3 2 2" xfId="57445" xr:uid="{00000000-0005-0000-0000-0000B0440000}"/>
    <cellStyle name="Normal 3 3 2 3 2 2 4 3 3" xfId="36546" xr:uid="{00000000-0005-0000-0000-0000B1440000}"/>
    <cellStyle name="Normal 3 3 2 3 2 2 4 4" xfId="17696" xr:uid="{00000000-0005-0000-0000-0000B2440000}"/>
    <cellStyle name="Normal 3 3 2 3 2 2 4 4 2" xfId="49567" xr:uid="{00000000-0005-0000-0000-0000B3440000}"/>
    <cellStyle name="Normal 3 3 2 3 2 2 4 5" xfId="36543" xr:uid="{00000000-0005-0000-0000-0000B4440000}"/>
    <cellStyle name="Normal 3 3 2 3 2 2 5" xfId="4668" xr:uid="{00000000-0005-0000-0000-0000B5440000}"/>
    <cellStyle name="Normal 3 3 2 3 2 2 5 2" xfId="4669" xr:uid="{00000000-0005-0000-0000-0000B6440000}"/>
    <cellStyle name="Normal 3 3 2 3 2 2 5 2 2" xfId="29506" xr:uid="{00000000-0005-0000-0000-0000B7440000}"/>
    <cellStyle name="Normal 3 3 2 3 2 2 5 2 2 2" xfId="61377" xr:uid="{00000000-0005-0000-0000-0000B8440000}"/>
    <cellStyle name="Normal 3 3 2 3 2 2 5 2 3" xfId="36548" xr:uid="{00000000-0005-0000-0000-0000B9440000}"/>
    <cellStyle name="Normal 3 3 2 3 2 2 5 3" xfId="21628" xr:uid="{00000000-0005-0000-0000-0000BA440000}"/>
    <cellStyle name="Normal 3 3 2 3 2 2 5 3 2" xfId="53499" xr:uid="{00000000-0005-0000-0000-0000BB440000}"/>
    <cellStyle name="Normal 3 3 2 3 2 2 5 4" xfId="36547" xr:uid="{00000000-0005-0000-0000-0000BC440000}"/>
    <cellStyle name="Normal 3 3 2 3 2 2 6" xfId="4670" xr:uid="{00000000-0005-0000-0000-0000BD440000}"/>
    <cellStyle name="Normal 3 3 2 3 2 2 6 2" xfId="25567" xr:uid="{00000000-0005-0000-0000-0000BE440000}"/>
    <cellStyle name="Normal 3 3 2 3 2 2 6 2 2" xfId="57438" xr:uid="{00000000-0005-0000-0000-0000BF440000}"/>
    <cellStyle name="Normal 3 3 2 3 2 2 6 3" xfId="36549" xr:uid="{00000000-0005-0000-0000-0000C0440000}"/>
    <cellStyle name="Normal 3 3 2 3 2 2 7" xfId="17689" xr:uid="{00000000-0005-0000-0000-0000C1440000}"/>
    <cellStyle name="Normal 3 3 2 3 2 2 7 2" xfId="49560" xr:uid="{00000000-0005-0000-0000-0000C2440000}"/>
    <cellStyle name="Normal 3 3 2 3 2 2 8" xfId="36518" xr:uid="{00000000-0005-0000-0000-0000C3440000}"/>
    <cellStyle name="Normal 3 3 2 3 2 3" xfId="4671" xr:uid="{00000000-0005-0000-0000-0000C4440000}"/>
    <cellStyle name="Normal 3 3 2 3 2 3 2" xfId="4672" xr:uid="{00000000-0005-0000-0000-0000C5440000}"/>
    <cellStyle name="Normal 3 3 2 3 2 3 2 2" xfId="4673" xr:uid="{00000000-0005-0000-0000-0000C6440000}"/>
    <cellStyle name="Normal 3 3 2 3 2 3 2 2 2" xfId="4674" xr:uid="{00000000-0005-0000-0000-0000C7440000}"/>
    <cellStyle name="Normal 3 3 2 3 2 3 2 2 2 2" xfId="4675" xr:uid="{00000000-0005-0000-0000-0000C8440000}"/>
    <cellStyle name="Normal 3 3 2 3 2 3 2 2 2 2 2" xfId="29516" xr:uid="{00000000-0005-0000-0000-0000C9440000}"/>
    <cellStyle name="Normal 3 3 2 3 2 3 2 2 2 2 2 2" xfId="61387" xr:uid="{00000000-0005-0000-0000-0000CA440000}"/>
    <cellStyle name="Normal 3 3 2 3 2 3 2 2 2 2 3" xfId="36554" xr:uid="{00000000-0005-0000-0000-0000CB440000}"/>
    <cellStyle name="Normal 3 3 2 3 2 3 2 2 2 3" xfId="21638" xr:uid="{00000000-0005-0000-0000-0000CC440000}"/>
    <cellStyle name="Normal 3 3 2 3 2 3 2 2 2 3 2" xfId="53509" xr:uid="{00000000-0005-0000-0000-0000CD440000}"/>
    <cellStyle name="Normal 3 3 2 3 2 3 2 2 2 4" xfId="36553" xr:uid="{00000000-0005-0000-0000-0000CE440000}"/>
    <cellStyle name="Normal 3 3 2 3 2 3 2 2 3" xfId="4676" xr:uid="{00000000-0005-0000-0000-0000CF440000}"/>
    <cellStyle name="Normal 3 3 2 3 2 3 2 2 3 2" xfId="25577" xr:uid="{00000000-0005-0000-0000-0000D0440000}"/>
    <cellStyle name="Normal 3 3 2 3 2 3 2 2 3 2 2" xfId="57448" xr:uid="{00000000-0005-0000-0000-0000D1440000}"/>
    <cellStyle name="Normal 3 3 2 3 2 3 2 2 3 3" xfId="36555" xr:uid="{00000000-0005-0000-0000-0000D2440000}"/>
    <cellStyle name="Normal 3 3 2 3 2 3 2 2 4" xfId="17699" xr:uid="{00000000-0005-0000-0000-0000D3440000}"/>
    <cellStyle name="Normal 3 3 2 3 2 3 2 2 4 2" xfId="49570" xr:uid="{00000000-0005-0000-0000-0000D4440000}"/>
    <cellStyle name="Normal 3 3 2 3 2 3 2 2 5" xfId="36552" xr:uid="{00000000-0005-0000-0000-0000D5440000}"/>
    <cellStyle name="Normal 3 3 2 3 2 3 2 3" xfId="4677" xr:uid="{00000000-0005-0000-0000-0000D6440000}"/>
    <cellStyle name="Normal 3 3 2 3 2 3 2 3 2" xfId="4678" xr:uid="{00000000-0005-0000-0000-0000D7440000}"/>
    <cellStyle name="Normal 3 3 2 3 2 3 2 3 2 2" xfId="29515" xr:uid="{00000000-0005-0000-0000-0000D8440000}"/>
    <cellStyle name="Normal 3 3 2 3 2 3 2 3 2 2 2" xfId="61386" xr:uid="{00000000-0005-0000-0000-0000D9440000}"/>
    <cellStyle name="Normal 3 3 2 3 2 3 2 3 2 3" xfId="36557" xr:uid="{00000000-0005-0000-0000-0000DA440000}"/>
    <cellStyle name="Normal 3 3 2 3 2 3 2 3 3" xfId="21637" xr:uid="{00000000-0005-0000-0000-0000DB440000}"/>
    <cellStyle name="Normal 3 3 2 3 2 3 2 3 3 2" xfId="53508" xr:uid="{00000000-0005-0000-0000-0000DC440000}"/>
    <cellStyle name="Normal 3 3 2 3 2 3 2 3 4" xfId="36556" xr:uid="{00000000-0005-0000-0000-0000DD440000}"/>
    <cellStyle name="Normal 3 3 2 3 2 3 2 4" xfId="4679" xr:uid="{00000000-0005-0000-0000-0000DE440000}"/>
    <cellStyle name="Normal 3 3 2 3 2 3 2 4 2" xfId="25576" xr:uid="{00000000-0005-0000-0000-0000DF440000}"/>
    <cellStyle name="Normal 3 3 2 3 2 3 2 4 2 2" xfId="57447" xr:uid="{00000000-0005-0000-0000-0000E0440000}"/>
    <cellStyle name="Normal 3 3 2 3 2 3 2 4 3" xfId="36558" xr:uid="{00000000-0005-0000-0000-0000E1440000}"/>
    <cellStyle name="Normal 3 3 2 3 2 3 2 5" xfId="17698" xr:uid="{00000000-0005-0000-0000-0000E2440000}"/>
    <cellStyle name="Normal 3 3 2 3 2 3 2 5 2" xfId="49569" xr:uid="{00000000-0005-0000-0000-0000E3440000}"/>
    <cellStyle name="Normal 3 3 2 3 2 3 2 6" xfId="36551" xr:uid="{00000000-0005-0000-0000-0000E4440000}"/>
    <cellStyle name="Normal 3 3 2 3 2 3 3" xfId="4680" xr:uid="{00000000-0005-0000-0000-0000E5440000}"/>
    <cellStyle name="Normal 3 3 2 3 2 3 3 2" xfId="4681" xr:uid="{00000000-0005-0000-0000-0000E6440000}"/>
    <cellStyle name="Normal 3 3 2 3 2 3 3 2 2" xfId="4682" xr:uid="{00000000-0005-0000-0000-0000E7440000}"/>
    <cellStyle name="Normal 3 3 2 3 2 3 3 2 2 2" xfId="29517" xr:uid="{00000000-0005-0000-0000-0000E8440000}"/>
    <cellStyle name="Normal 3 3 2 3 2 3 3 2 2 2 2" xfId="61388" xr:uid="{00000000-0005-0000-0000-0000E9440000}"/>
    <cellStyle name="Normal 3 3 2 3 2 3 3 2 2 3" xfId="36561" xr:uid="{00000000-0005-0000-0000-0000EA440000}"/>
    <cellStyle name="Normal 3 3 2 3 2 3 3 2 3" xfId="21639" xr:uid="{00000000-0005-0000-0000-0000EB440000}"/>
    <cellStyle name="Normal 3 3 2 3 2 3 3 2 3 2" xfId="53510" xr:uid="{00000000-0005-0000-0000-0000EC440000}"/>
    <cellStyle name="Normal 3 3 2 3 2 3 3 2 4" xfId="36560" xr:uid="{00000000-0005-0000-0000-0000ED440000}"/>
    <cellStyle name="Normal 3 3 2 3 2 3 3 3" xfId="4683" xr:uid="{00000000-0005-0000-0000-0000EE440000}"/>
    <cellStyle name="Normal 3 3 2 3 2 3 3 3 2" xfId="25578" xr:uid="{00000000-0005-0000-0000-0000EF440000}"/>
    <cellStyle name="Normal 3 3 2 3 2 3 3 3 2 2" xfId="57449" xr:uid="{00000000-0005-0000-0000-0000F0440000}"/>
    <cellStyle name="Normal 3 3 2 3 2 3 3 3 3" xfId="36562" xr:uid="{00000000-0005-0000-0000-0000F1440000}"/>
    <cellStyle name="Normal 3 3 2 3 2 3 3 4" xfId="17700" xr:uid="{00000000-0005-0000-0000-0000F2440000}"/>
    <cellStyle name="Normal 3 3 2 3 2 3 3 4 2" xfId="49571" xr:uid="{00000000-0005-0000-0000-0000F3440000}"/>
    <cellStyle name="Normal 3 3 2 3 2 3 3 5" xfId="36559" xr:uid="{00000000-0005-0000-0000-0000F4440000}"/>
    <cellStyle name="Normal 3 3 2 3 2 3 4" xfId="4684" xr:uid="{00000000-0005-0000-0000-0000F5440000}"/>
    <cellStyle name="Normal 3 3 2 3 2 3 4 2" xfId="4685" xr:uid="{00000000-0005-0000-0000-0000F6440000}"/>
    <cellStyle name="Normal 3 3 2 3 2 3 4 2 2" xfId="29514" xr:uid="{00000000-0005-0000-0000-0000F7440000}"/>
    <cellStyle name="Normal 3 3 2 3 2 3 4 2 2 2" xfId="61385" xr:uid="{00000000-0005-0000-0000-0000F8440000}"/>
    <cellStyle name="Normal 3 3 2 3 2 3 4 2 3" xfId="36564" xr:uid="{00000000-0005-0000-0000-0000F9440000}"/>
    <cellStyle name="Normal 3 3 2 3 2 3 4 3" xfId="21636" xr:uid="{00000000-0005-0000-0000-0000FA440000}"/>
    <cellStyle name="Normal 3 3 2 3 2 3 4 3 2" xfId="53507" xr:uid="{00000000-0005-0000-0000-0000FB440000}"/>
    <cellStyle name="Normal 3 3 2 3 2 3 4 4" xfId="36563" xr:uid="{00000000-0005-0000-0000-0000FC440000}"/>
    <cellStyle name="Normal 3 3 2 3 2 3 5" xfId="4686" xr:uid="{00000000-0005-0000-0000-0000FD440000}"/>
    <cellStyle name="Normal 3 3 2 3 2 3 5 2" xfId="25575" xr:uid="{00000000-0005-0000-0000-0000FE440000}"/>
    <cellStyle name="Normal 3 3 2 3 2 3 5 2 2" xfId="57446" xr:uid="{00000000-0005-0000-0000-0000FF440000}"/>
    <cellStyle name="Normal 3 3 2 3 2 3 5 3" xfId="36565" xr:uid="{00000000-0005-0000-0000-000000450000}"/>
    <cellStyle name="Normal 3 3 2 3 2 3 6" xfId="17697" xr:uid="{00000000-0005-0000-0000-000001450000}"/>
    <cellStyle name="Normal 3 3 2 3 2 3 6 2" xfId="49568" xr:uid="{00000000-0005-0000-0000-000002450000}"/>
    <cellStyle name="Normal 3 3 2 3 2 3 7" xfId="36550" xr:uid="{00000000-0005-0000-0000-000003450000}"/>
    <cellStyle name="Normal 3 3 2 3 2 4" xfId="4687" xr:uid="{00000000-0005-0000-0000-000004450000}"/>
    <cellStyle name="Normal 3 3 2 3 2 4 2" xfId="4688" xr:uid="{00000000-0005-0000-0000-000005450000}"/>
    <cellStyle name="Normal 3 3 2 3 2 4 2 2" xfId="4689" xr:uid="{00000000-0005-0000-0000-000006450000}"/>
    <cellStyle name="Normal 3 3 2 3 2 4 2 2 2" xfId="4690" xr:uid="{00000000-0005-0000-0000-000007450000}"/>
    <cellStyle name="Normal 3 3 2 3 2 4 2 2 2 2" xfId="29519" xr:uid="{00000000-0005-0000-0000-000008450000}"/>
    <cellStyle name="Normal 3 3 2 3 2 4 2 2 2 2 2" xfId="61390" xr:uid="{00000000-0005-0000-0000-000009450000}"/>
    <cellStyle name="Normal 3 3 2 3 2 4 2 2 2 3" xfId="36569" xr:uid="{00000000-0005-0000-0000-00000A450000}"/>
    <cellStyle name="Normal 3 3 2 3 2 4 2 2 3" xfId="21641" xr:uid="{00000000-0005-0000-0000-00000B450000}"/>
    <cellStyle name="Normal 3 3 2 3 2 4 2 2 3 2" xfId="53512" xr:uid="{00000000-0005-0000-0000-00000C450000}"/>
    <cellStyle name="Normal 3 3 2 3 2 4 2 2 4" xfId="36568" xr:uid="{00000000-0005-0000-0000-00000D450000}"/>
    <cellStyle name="Normal 3 3 2 3 2 4 2 3" xfId="4691" xr:uid="{00000000-0005-0000-0000-00000E450000}"/>
    <cellStyle name="Normal 3 3 2 3 2 4 2 3 2" xfId="25580" xr:uid="{00000000-0005-0000-0000-00000F450000}"/>
    <cellStyle name="Normal 3 3 2 3 2 4 2 3 2 2" xfId="57451" xr:uid="{00000000-0005-0000-0000-000010450000}"/>
    <cellStyle name="Normal 3 3 2 3 2 4 2 3 3" xfId="36570" xr:uid="{00000000-0005-0000-0000-000011450000}"/>
    <cellStyle name="Normal 3 3 2 3 2 4 2 4" xfId="17702" xr:uid="{00000000-0005-0000-0000-000012450000}"/>
    <cellStyle name="Normal 3 3 2 3 2 4 2 4 2" xfId="49573" xr:uid="{00000000-0005-0000-0000-000013450000}"/>
    <cellStyle name="Normal 3 3 2 3 2 4 2 5" xfId="36567" xr:uid="{00000000-0005-0000-0000-000014450000}"/>
    <cellStyle name="Normal 3 3 2 3 2 4 3" xfId="4692" xr:uid="{00000000-0005-0000-0000-000015450000}"/>
    <cellStyle name="Normal 3 3 2 3 2 4 3 2" xfId="4693" xr:uid="{00000000-0005-0000-0000-000016450000}"/>
    <cellStyle name="Normal 3 3 2 3 2 4 3 2 2" xfId="29518" xr:uid="{00000000-0005-0000-0000-000017450000}"/>
    <cellStyle name="Normal 3 3 2 3 2 4 3 2 2 2" xfId="61389" xr:uid="{00000000-0005-0000-0000-000018450000}"/>
    <cellStyle name="Normal 3 3 2 3 2 4 3 2 3" xfId="36572" xr:uid="{00000000-0005-0000-0000-000019450000}"/>
    <cellStyle name="Normal 3 3 2 3 2 4 3 3" xfId="21640" xr:uid="{00000000-0005-0000-0000-00001A450000}"/>
    <cellStyle name="Normal 3 3 2 3 2 4 3 3 2" xfId="53511" xr:uid="{00000000-0005-0000-0000-00001B450000}"/>
    <cellStyle name="Normal 3 3 2 3 2 4 3 4" xfId="36571" xr:uid="{00000000-0005-0000-0000-00001C450000}"/>
    <cellStyle name="Normal 3 3 2 3 2 4 4" xfId="4694" xr:uid="{00000000-0005-0000-0000-00001D450000}"/>
    <cellStyle name="Normal 3 3 2 3 2 4 4 2" xfId="25579" xr:uid="{00000000-0005-0000-0000-00001E450000}"/>
    <cellStyle name="Normal 3 3 2 3 2 4 4 2 2" xfId="57450" xr:uid="{00000000-0005-0000-0000-00001F450000}"/>
    <cellStyle name="Normal 3 3 2 3 2 4 4 3" xfId="36573" xr:uid="{00000000-0005-0000-0000-000020450000}"/>
    <cellStyle name="Normal 3 3 2 3 2 4 5" xfId="17701" xr:uid="{00000000-0005-0000-0000-000021450000}"/>
    <cellStyle name="Normal 3 3 2 3 2 4 5 2" xfId="49572" xr:uid="{00000000-0005-0000-0000-000022450000}"/>
    <cellStyle name="Normal 3 3 2 3 2 4 6" xfId="36566" xr:uid="{00000000-0005-0000-0000-000023450000}"/>
    <cellStyle name="Normal 3 3 2 3 2 5" xfId="4695" xr:uid="{00000000-0005-0000-0000-000024450000}"/>
    <cellStyle name="Normal 3 3 2 3 2 5 2" xfId="4696" xr:uid="{00000000-0005-0000-0000-000025450000}"/>
    <cellStyle name="Normal 3 3 2 3 2 5 2 2" xfId="4697" xr:uid="{00000000-0005-0000-0000-000026450000}"/>
    <cellStyle name="Normal 3 3 2 3 2 5 2 2 2" xfId="29520" xr:uid="{00000000-0005-0000-0000-000027450000}"/>
    <cellStyle name="Normal 3 3 2 3 2 5 2 2 2 2" xfId="61391" xr:uid="{00000000-0005-0000-0000-000028450000}"/>
    <cellStyle name="Normal 3 3 2 3 2 5 2 2 3" xfId="36576" xr:uid="{00000000-0005-0000-0000-000029450000}"/>
    <cellStyle name="Normal 3 3 2 3 2 5 2 3" xfId="21642" xr:uid="{00000000-0005-0000-0000-00002A450000}"/>
    <cellStyle name="Normal 3 3 2 3 2 5 2 3 2" xfId="53513" xr:uid="{00000000-0005-0000-0000-00002B450000}"/>
    <cellStyle name="Normal 3 3 2 3 2 5 2 4" xfId="36575" xr:uid="{00000000-0005-0000-0000-00002C450000}"/>
    <cellStyle name="Normal 3 3 2 3 2 5 3" xfId="4698" xr:uid="{00000000-0005-0000-0000-00002D450000}"/>
    <cellStyle name="Normal 3 3 2 3 2 5 3 2" xfId="25581" xr:uid="{00000000-0005-0000-0000-00002E450000}"/>
    <cellStyle name="Normal 3 3 2 3 2 5 3 2 2" xfId="57452" xr:uid="{00000000-0005-0000-0000-00002F450000}"/>
    <cellStyle name="Normal 3 3 2 3 2 5 3 3" xfId="36577" xr:uid="{00000000-0005-0000-0000-000030450000}"/>
    <cellStyle name="Normal 3 3 2 3 2 5 4" xfId="17703" xr:uid="{00000000-0005-0000-0000-000031450000}"/>
    <cellStyle name="Normal 3 3 2 3 2 5 4 2" xfId="49574" xr:uid="{00000000-0005-0000-0000-000032450000}"/>
    <cellStyle name="Normal 3 3 2 3 2 5 5" xfId="36574" xr:uid="{00000000-0005-0000-0000-000033450000}"/>
    <cellStyle name="Normal 3 3 2 3 2 6" xfId="4699" xr:uid="{00000000-0005-0000-0000-000034450000}"/>
    <cellStyle name="Normal 3 3 2 3 2 6 2" xfId="4700" xr:uid="{00000000-0005-0000-0000-000035450000}"/>
    <cellStyle name="Normal 3 3 2 3 2 6 2 2" xfId="28434" xr:uid="{00000000-0005-0000-0000-000036450000}"/>
    <cellStyle name="Normal 3 3 2 3 2 6 2 2 2" xfId="60305" xr:uid="{00000000-0005-0000-0000-000037450000}"/>
    <cellStyle name="Normal 3 3 2 3 2 6 2 3" xfId="36579" xr:uid="{00000000-0005-0000-0000-000038450000}"/>
    <cellStyle name="Normal 3 3 2 3 2 6 3" xfId="20556" xr:uid="{00000000-0005-0000-0000-000039450000}"/>
    <cellStyle name="Normal 3 3 2 3 2 6 3 2" xfId="52427" xr:uid="{00000000-0005-0000-0000-00003A450000}"/>
    <cellStyle name="Normal 3 3 2 3 2 6 4" xfId="36578" xr:uid="{00000000-0005-0000-0000-00003B450000}"/>
    <cellStyle name="Normal 3 3 2 3 2 7" xfId="4701" xr:uid="{00000000-0005-0000-0000-00003C450000}"/>
    <cellStyle name="Normal 3 3 2 3 2 7 2" xfId="24495" xr:uid="{00000000-0005-0000-0000-00003D450000}"/>
    <cellStyle name="Normal 3 3 2 3 2 7 2 2" xfId="56366" xr:uid="{00000000-0005-0000-0000-00003E450000}"/>
    <cellStyle name="Normal 3 3 2 3 2 7 3" xfId="36580" xr:uid="{00000000-0005-0000-0000-00003F450000}"/>
    <cellStyle name="Normal 3 3 2 3 2 8" xfId="16617" xr:uid="{00000000-0005-0000-0000-000040450000}"/>
    <cellStyle name="Normal 3 3 2 3 2 8 2" xfId="48488" xr:uid="{00000000-0005-0000-0000-000041450000}"/>
    <cellStyle name="Normal 3 3 2 3 2 9" xfId="36517" xr:uid="{00000000-0005-0000-0000-000042450000}"/>
    <cellStyle name="Normal 3 3 2 3 3" xfId="4702" xr:uid="{00000000-0005-0000-0000-000043450000}"/>
    <cellStyle name="Normal 3 3 2 3 3 2" xfId="4703" xr:uid="{00000000-0005-0000-0000-000044450000}"/>
    <cellStyle name="Normal 3 3 2 3 3 2 2" xfId="4704" xr:uid="{00000000-0005-0000-0000-000045450000}"/>
    <cellStyle name="Normal 3 3 2 3 3 2 2 2" xfId="4705" xr:uid="{00000000-0005-0000-0000-000046450000}"/>
    <cellStyle name="Normal 3 3 2 3 3 2 2 2 2" xfId="4706" xr:uid="{00000000-0005-0000-0000-000047450000}"/>
    <cellStyle name="Normal 3 3 2 3 3 2 2 2 2 2" xfId="4707" xr:uid="{00000000-0005-0000-0000-000048450000}"/>
    <cellStyle name="Normal 3 3 2 3 3 2 2 2 2 2 2" xfId="29524" xr:uid="{00000000-0005-0000-0000-000049450000}"/>
    <cellStyle name="Normal 3 3 2 3 3 2 2 2 2 2 2 2" xfId="61395" xr:uid="{00000000-0005-0000-0000-00004A450000}"/>
    <cellStyle name="Normal 3 3 2 3 3 2 2 2 2 2 3" xfId="36586" xr:uid="{00000000-0005-0000-0000-00004B450000}"/>
    <cellStyle name="Normal 3 3 2 3 3 2 2 2 2 3" xfId="21646" xr:uid="{00000000-0005-0000-0000-00004C450000}"/>
    <cellStyle name="Normal 3 3 2 3 3 2 2 2 2 3 2" xfId="53517" xr:uid="{00000000-0005-0000-0000-00004D450000}"/>
    <cellStyle name="Normal 3 3 2 3 3 2 2 2 2 4" xfId="36585" xr:uid="{00000000-0005-0000-0000-00004E450000}"/>
    <cellStyle name="Normal 3 3 2 3 3 2 2 2 3" xfId="4708" xr:uid="{00000000-0005-0000-0000-00004F450000}"/>
    <cellStyle name="Normal 3 3 2 3 3 2 2 2 3 2" xfId="25585" xr:uid="{00000000-0005-0000-0000-000050450000}"/>
    <cellStyle name="Normal 3 3 2 3 3 2 2 2 3 2 2" xfId="57456" xr:uid="{00000000-0005-0000-0000-000051450000}"/>
    <cellStyle name="Normal 3 3 2 3 3 2 2 2 3 3" xfId="36587" xr:uid="{00000000-0005-0000-0000-000052450000}"/>
    <cellStyle name="Normal 3 3 2 3 3 2 2 2 4" xfId="17707" xr:uid="{00000000-0005-0000-0000-000053450000}"/>
    <cellStyle name="Normal 3 3 2 3 3 2 2 2 4 2" xfId="49578" xr:uid="{00000000-0005-0000-0000-000054450000}"/>
    <cellStyle name="Normal 3 3 2 3 3 2 2 2 5" xfId="36584" xr:uid="{00000000-0005-0000-0000-000055450000}"/>
    <cellStyle name="Normal 3 3 2 3 3 2 2 3" xfId="4709" xr:uid="{00000000-0005-0000-0000-000056450000}"/>
    <cellStyle name="Normal 3 3 2 3 3 2 2 3 2" xfId="4710" xr:uid="{00000000-0005-0000-0000-000057450000}"/>
    <cellStyle name="Normal 3 3 2 3 3 2 2 3 2 2" xfId="29523" xr:uid="{00000000-0005-0000-0000-000058450000}"/>
    <cellStyle name="Normal 3 3 2 3 3 2 2 3 2 2 2" xfId="61394" xr:uid="{00000000-0005-0000-0000-000059450000}"/>
    <cellStyle name="Normal 3 3 2 3 3 2 2 3 2 3" xfId="36589" xr:uid="{00000000-0005-0000-0000-00005A450000}"/>
    <cellStyle name="Normal 3 3 2 3 3 2 2 3 3" xfId="21645" xr:uid="{00000000-0005-0000-0000-00005B450000}"/>
    <cellStyle name="Normal 3 3 2 3 3 2 2 3 3 2" xfId="53516" xr:uid="{00000000-0005-0000-0000-00005C450000}"/>
    <cellStyle name="Normal 3 3 2 3 3 2 2 3 4" xfId="36588" xr:uid="{00000000-0005-0000-0000-00005D450000}"/>
    <cellStyle name="Normal 3 3 2 3 3 2 2 4" xfId="4711" xr:uid="{00000000-0005-0000-0000-00005E450000}"/>
    <cellStyle name="Normal 3 3 2 3 3 2 2 4 2" xfId="25584" xr:uid="{00000000-0005-0000-0000-00005F450000}"/>
    <cellStyle name="Normal 3 3 2 3 3 2 2 4 2 2" xfId="57455" xr:uid="{00000000-0005-0000-0000-000060450000}"/>
    <cellStyle name="Normal 3 3 2 3 3 2 2 4 3" xfId="36590" xr:uid="{00000000-0005-0000-0000-000061450000}"/>
    <cellStyle name="Normal 3 3 2 3 3 2 2 5" xfId="17706" xr:uid="{00000000-0005-0000-0000-000062450000}"/>
    <cellStyle name="Normal 3 3 2 3 3 2 2 5 2" xfId="49577" xr:uid="{00000000-0005-0000-0000-000063450000}"/>
    <cellStyle name="Normal 3 3 2 3 3 2 2 6" xfId="36583" xr:uid="{00000000-0005-0000-0000-000064450000}"/>
    <cellStyle name="Normal 3 3 2 3 3 2 3" xfId="4712" xr:uid="{00000000-0005-0000-0000-000065450000}"/>
    <cellStyle name="Normal 3 3 2 3 3 2 3 2" xfId="4713" xr:uid="{00000000-0005-0000-0000-000066450000}"/>
    <cellStyle name="Normal 3 3 2 3 3 2 3 2 2" xfId="4714" xr:uid="{00000000-0005-0000-0000-000067450000}"/>
    <cellStyle name="Normal 3 3 2 3 3 2 3 2 2 2" xfId="29525" xr:uid="{00000000-0005-0000-0000-000068450000}"/>
    <cellStyle name="Normal 3 3 2 3 3 2 3 2 2 2 2" xfId="61396" xr:uid="{00000000-0005-0000-0000-000069450000}"/>
    <cellStyle name="Normal 3 3 2 3 3 2 3 2 2 3" xfId="36593" xr:uid="{00000000-0005-0000-0000-00006A450000}"/>
    <cellStyle name="Normal 3 3 2 3 3 2 3 2 3" xfId="21647" xr:uid="{00000000-0005-0000-0000-00006B450000}"/>
    <cellStyle name="Normal 3 3 2 3 3 2 3 2 3 2" xfId="53518" xr:uid="{00000000-0005-0000-0000-00006C450000}"/>
    <cellStyle name="Normal 3 3 2 3 3 2 3 2 4" xfId="36592" xr:uid="{00000000-0005-0000-0000-00006D450000}"/>
    <cellStyle name="Normal 3 3 2 3 3 2 3 3" xfId="4715" xr:uid="{00000000-0005-0000-0000-00006E450000}"/>
    <cellStyle name="Normal 3 3 2 3 3 2 3 3 2" xfId="25586" xr:uid="{00000000-0005-0000-0000-00006F450000}"/>
    <cellStyle name="Normal 3 3 2 3 3 2 3 3 2 2" xfId="57457" xr:uid="{00000000-0005-0000-0000-000070450000}"/>
    <cellStyle name="Normal 3 3 2 3 3 2 3 3 3" xfId="36594" xr:uid="{00000000-0005-0000-0000-000071450000}"/>
    <cellStyle name="Normal 3 3 2 3 3 2 3 4" xfId="17708" xr:uid="{00000000-0005-0000-0000-000072450000}"/>
    <cellStyle name="Normal 3 3 2 3 3 2 3 4 2" xfId="49579" xr:uid="{00000000-0005-0000-0000-000073450000}"/>
    <cellStyle name="Normal 3 3 2 3 3 2 3 5" xfId="36591" xr:uid="{00000000-0005-0000-0000-000074450000}"/>
    <cellStyle name="Normal 3 3 2 3 3 2 4" xfId="4716" xr:uid="{00000000-0005-0000-0000-000075450000}"/>
    <cellStyle name="Normal 3 3 2 3 3 2 4 2" xfId="4717" xr:uid="{00000000-0005-0000-0000-000076450000}"/>
    <cellStyle name="Normal 3 3 2 3 3 2 4 2 2" xfId="29522" xr:uid="{00000000-0005-0000-0000-000077450000}"/>
    <cellStyle name="Normal 3 3 2 3 3 2 4 2 2 2" xfId="61393" xr:uid="{00000000-0005-0000-0000-000078450000}"/>
    <cellStyle name="Normal 3 3 2 3 3 2 4 2 3" xfId="36596" xr:uid="{00000000-0005-0000-0000-000079450000}"/>
    <cellStyle name="Normal 3 3 2 3 3 2 4 3" xfId="21644" xr:uid="{00000000-0005-0000-0000-00007A450000}"/>
    <cellStyle name="Normal 3 3 2 3 3 2 4 3 2" xfId="53515" xr:uid="{00000000-0005-0000-0000-00007B450000}"/>
    <cellStyle name="Normal 3 3 2 3 3 2 4 4" xfId="36595" xr:uid="{00000000-0005-0000-0000-00007C450000}"/>
    <cellStyle name="Normal 3 3 2 3 3 2 5" xfId="4718" xr:uid="{00000000-0005-0000-0000-00007D450000}"/>
    <cellStyle name="Normal 3 3 2 3 3 2 5 2" xfId="25583" xr:uid="{00000000-0005-0000-0000-00007E450000}"/>
    <cellStyle name="Normal 3 3 2 3 3 2 5 2 2" xfId="57454" xr:uid="{00000000-0005-0000-0000-00007F450000}"/>
    <cellStyle name="Normal 3 3 2 3 3 2 5 3" xfId="36597" xr:uid="{00000000-0005-0000-0000-000080450000}"/>
    <cellStyle name="Normal 3 3 2 3 3 2 6" xfId="17705" xr:uid="{00000000-0005-0000-0000-000081450000}"/>
    <cellStyle name="Normal 3 3 2 3 3 2 6 2" xfId="49576" xr:uid="{00000000-0005-0000-0000-000082450000}"/>
    <cellStyle name="Normal 3 3 2 3 3 2 7" xfId="36582" xr:uid="{00000000-0005-0000-0000-000083450000}"/>
    <cellStyle name="Normal 3 3 2 3 3 3" xfId="4719" xr:uid="{00000000-0005-0000-0000-000084450000}"/>
    <cellStyle name="Normal 3 3 2 3 3 3 2" xfId="4720" xr:uid="{00000000-0005-0000-0000-000085450000}"/>
    <cellStyle name="Normal 3 3 2 3 3 3 2 2" xfId="4721" xr:uid="{00000000-0005-0000-0000-000086450000}"/>
    <cellStyle name="Normal 3 3 2 3 3 3 2 2 2" xfId="4722" xr:uid="{00000000-0005-0000-0000-000087450000}"/>
    <cellStyle name="Normal 3 3 2 3 3 3 2 2 2 2" xfId="29527" xr:uid="{00000000-0005-0000-0000-000088450000}"/>
    <cellStyle name="Normal 3 3 2 3 3 3 2 2 2 2 2" xfId="61398" xr:uid="{00000000-0005-0000-0000-000089450000}"/>
    <cellStyle name="Normal 3 3 2 3 3 3 2 2 2 3" xfId="36601" xr:uid="{00000000-0005-0000-0000-00008A450000}"/>
    <cellStyle name="Normal 3 3 2 3 3 3 2 2 3" xfId="21649" xr:uid="{00000000-0005-0000-0000-00008B450000}"/>
    <cellStyle name="Normal 3 3 2 3 3 3 2 2 3 2" xfId="53520" xr:uid="{00000000-0005-0000-0000-00008C450000}"/>
    <cellStyle name="Normal 3 3 2 3 3 3 2 2 4" xfId="36600" xr:uid="{00000000-0005-0000-0000-00008D450000}"/>
    <cellStyle name="Normal 3 3 2 3 3 3 2 3" xfId="4723" xr:uid="{00000000-0005-0000-0000-00008E450000}"/>
    <cellStyle name="Normal 3 3 2 3 3 3 2 3 2" xfId="25588" xr:uid="{00000000-0005-0000-0000-00008F450000}"/>
    <cellStyle name="Normal 3 3 2 3 3 3 2 3 2 2" xfId="57459" xr:uid="{00000000-0005-0000-0000-000090450000}"/>
    <cellStyle name="Normal 3 3 2 3 3 3 2 3 3" xfId="36602" xr:uid="{00000000-0005-0000-0000-000091450000}"/>
    <cellStyle name="Normal 3 3 2 3 3 3 2 4" xfId="17710" xr:uid="{00000000-0005-0000-0000-000092450000}"/>
    <cellStyle name="Normal 3 3 2 3 3 3 2 4 2" xfId="49581" xr:uid="{00000000-0005-0000-0000-000093450000}"/>
    <cellStyle name="Normal 3 3 2 3 3 3 2 5" xfId="36599" xr:uid="{00000000-0005-0000-0000-000094450000}"/>
    <cellStyle name="Normal 3 3 2 3 3 3 3" xfId="4724" xr:uid="{00000000-0005-0000-0000-000095450000}"/>
    <cellStyle name="Normal 3 3 2 3 3 3 3 2" xfId="4725" xr:uid="{00000000-0005-0000-0000-000096450000}"/>
    <cellStyle name="Normal 3 3 2 3 3 3 3 2 2" xfId="29526" xr:uid="{00000000-0005-0000-0000-000097450000}"/>
    <cellStyle name="Normal 3 3 2 3 3 3 3 2 2 2" xfId="61397" xr:uid="{00000000-0005-0000-0000-000098450000}"/>
    <cellStyle name="Normal 3 3 2 3 3 3 3 2 3" xfId="36604" xr:uid="{00000000-0005-0000-0000-000099450000}"/>
    <cellStyle name="Normal 3 3 2 3 3 3 3 3" xfId="21648" xr:uid="{00000000-0005-0000-0000-00009A450000}"/>
    <cellStyle name="Normal 3 3 2 3 3 3 3 3 2" xfId="53519" xr:uid="{00000000-0005-0000-0000-00009B450000}"/>
    <cellStyle name="Normal 3 3 2 3 3 3 3 4" xfId="36603" xr:uid="{00000000-0005-0000-0000-00009C450000}"/>
    <cellStyle name="Normal 3 3 2 3 3 3 4" xfId="4726" xr:uid="{00000000-0005-0000-0000-00009D450000}"/>
    <cellStyle name="Normal 3 3 2 3 3 3 4 2" xfId="25587" xr:uid="{00000000-0005-0000-0000-00009E450000}"/>
    <cellStyle name="Normal 3 3 2 3 3 3 4 2 2" xfId="57458" xr:uid="{00000000-0005-0000-0000-00009F450000}"/>
    <cellStyle name="Normal 3 3 2 3 3 3 4 3" xfId="36605" xr:uid="{00000000-0005-0000-0000-0000A0450000}"/>
    <cellStyle name="Normal 3 3 2 3 3 3 5" xfId="17709" xr:uid="{00000000-0005-0000-0000-0000A1450000}"/>
    <cellStyle name="Normal 3 3 2 3 3 3 5 2" xfId="49580" xr:uid="{00000000-0005-0000-0000-0000A2450000}"/>
    <cellStyle name="Normal 3 3 2 3 3 3 6" xfId="36598" xr:uid="{00000000-0005-0000-0000-0000A3450000}"/>
    <cellStyle name="Normal 3 3 2 3 3 4" xfId="4727" xr:uid="{00000000-0005-0000-0000-0000A4450000}"/>
    <cellStyle name="Normal 3 3 2 3 3 4 2" xfId="4728" xr:uid="{00000000-0005-0000-0000-0000A5450000}"/>
    <cellStyle name="Normal 3 3 2 3 3 4 2 2" xfId="4729" xr:uid="{00000000-0005-0000-0000-0000A6450000}"/>
    <cellStyle name="Normal 3 3 2 3 3 4 2 2 2" xfId="29528" xr:uid="{00000000-0005-0000-0000-0000A7450000}"/>
    <cellStyle name="Normal 3 3 2 3 3 4 2 2 2 2" xfId="61399" xr:uid="{00000000-0005-0000-0000-0000A8450000}"/>
    <cellStyle name="Normal 3 3 2 3 3 4 2 2 3" xfId="36608" xr:uid="{00000000-0005-0000-0000-0000A9450000}"/>
    <cellStyle name="Normal 3 3 2 3 3 4 2 3" xfId="21650" xr:uid="{00000000-0005-0000-0000-0000AA450000}"/>
    <cellStyle name="Normal 3 3 2 3 3 4 2 3 2" xfId="53521" xr:uid="{00000000-0005-0000-0000-0000AB450000}"/>
    <cellStyle name="Normal 3 3 2 3 3 4 2 4" xfId="36607" xr:uid="{00000000-0005-0000-0000-0000AC450000}"/>
    <cellStyle name="Normal 3 3 2 3 3 4 3" xfId="4730" xr:uid="{00000000-0005-0000-0000-0000AD450000}"/>
    <cellStyle name="Normal 3 3 2 3 3 4 3 2" xfId="25589" xr:uid="{00000000-0005-0000-0000-0000AE450000}"/>
    <cellStyle name="Normal 3 3 2 3 3 4 3 2 2" xfId="57460" xr:uid="{00000000-0005-0000-0000-0000AF450000}"/>
    <cellStyle name="Normal 3 3 2 3 3 4 3 3" xfId="36609" xr:uid="{00000000-0005-0000-0000-0000B0450000}"/>
    <cellStyle name="Normal 3 3 2 3 3 4 4" xfId="17711" xr:uid="{00000000-0005-0000-0000-0000B1450000}"/>
    <cellStyle name="Normal 3 3 2 3 3 4 4 2" xfId="49582" xr:uid="{00000000-0005-0000-0000-0000B2450000}"/>
    <cellStyle name="Normal 3 3 2 3 3 4 5" xfId="36606" xr:uid="{00000000-0005-0000-0000-0000B3450000}"/>
    <cellStyle name="Normal 3 3 2 3 3 5" xfId="4731" xr:uid="{00000000-0005-0000-0000-0000B4450000}"/>
    <cellStyle name="Normal 3 3 2 3 3 5 2" xfId="4732" xr:uid="{00000000-0005-0000-0000-0000B5450000}"/>
    <cellStyle name="Normal 3 3 2 3 3 5 2 2" xfId="29521" xr:uid="{00000000-0005-0000-0000-0000B6450000}"/>
    <cellStyle name="Normal 3 3 2 3 3 5 2 2 2" xfId="61392" xr:uid="{00000000-0005-0000-0000-0000B7450000}"/>
    <cellStyle name="Normal 3 3 2 3 3 5 2 3" xfId="36611" xr:uid="{00000000-0005-0000-0000-0000B8450000}"/>
    <cellStyle name="Normal 3 3 2 3 3 5 3" xfId="21643" xr:uid="{00000000-0005-0000-0000-0000B9450000}"/>
    <cellStyle name="Normal 3 3 2 3 3 5 3 2" xfId="53514" xr:uid="{00000000-0005-0000-0000-0000BA450000}"/>
    <cellStyle name="Normal 3 3 2 3 3 5 4" xfId="36610" xr:uid="{00000000-0005-0000-0000-0000BB450000}"/>
    <cellStyle name="Normal 3 3 2 3 3 6" xfId="4733" xr:uid="{00000000-0005-0000-0000-0000BC450000}"/>
    <cellStyle name="Normal 3 3 2 3 3 6 2" xfId="25582" xr:uid="{00000000-0005-0000-0000-0000BD450000}"/>
    <cellStyle name="Normal 3 3 2 3 3 6 2 2" xfId="57453" xr:uid="{00000000-0005-0000-0000-0000BE450000}"/>
    <cellStyle name="Normal 3 3 2 3 3 6 3" xfId="36612" xr:uid="{00000000-0005-0000-0000-0000BF450000}"/>
    <cellStyle name="Normal 3 3 2 3 3 7" xfId="17704" xr:uid="{00000000-0005-0000-0000-0000C0450000}"/>
    <cellStyle name="Normal 3 3 2 3 3 7 2" xfId="49575" xr:uid="{00000000-0005-0000-0000-0000C1450000}"/>
    <cellStyle name="Normal 3 3 2 3 3 8" xfId="36581" xr:uid="{00000000-0005-0000-0000-0000C2450000}"/>
    <cellStyle name="Normal 3 3 2 3 4" xfId="4734" xr:uid="{00000000-0005-0000-0000-0000C3450000}"/>
    <cellStyle name="Normal 3 3 2 3 4 2" xfId="4735" xr:uid="{00000000-0005-0000-0000-0000C4450000}"/>
    <cellStyle name="Normal 3 3 2 3 4 2 2" xfId="4736" xr:uid="{00000000-0005-0000-0000-0000C5450000}"/>
    <cellStyle name="Normal 3 3 2 3 4 2 2 2" xfId="4737" xr:uid="{00000000-0005-0000-0000-0000C6450000}"/>
    <cellStyle name="Normal 3 3 2 3 4 2 2 2 2" xfId="4738" xr:uid="{00000000-0005-0000-0000-0000C7450000}"/>
    <cellStyle name="Normal 3 3 2 3 4 2 2 2 2 2" xfId="29531" xr:uid="{00000000-0005-0000-0000-0000C8450000}"/>
    <cellStyle name="Normal 3 3 2 3 4 2 2 2 2 2 2" xfId="61402" xr:uid="{00000000-0005-0000-0000-0000C9450000}"/>
    <cellStyle name="Normal 3 3 2 3 4 2 2 2 2 3" xfId="36617" xr:uid="{00000000-0005-0000-0000-0000CA450000}"/>
    <cellStyle name="Normal 3 3 2 3 4 2 2 2 3" xfId="21653" xr:uid="{00000000-0005-0000-0000-0000CB450000}"/>
    <cellStyle name="Normal 3 3 2 3 4 2 2 2 3 2" xfId="53524" xr:uid="{00000000-0005-0000-0000-0000CC450000}"/>
    <cellStyle name="Normal 3 3 2 3 4 2 2 2 4" xfId="36616" xr:uid="{00000000-0005-0000-0000-0000CD450000}"/>
    <cellStyle name="Normal 3 3 2 3 4 2 2 3" xfId="4739" xr:uid="{00000000-0005-0000-0000-0000CE450000}"/>
    <cellStyle name="Normal 3 3 2 3 4 2 2 3 2" xfId="25592" xr:uid="{00000000-0005-0000-0000-0000CF450000}"/>
    <cellStyle name="Normal 3 3 2 3 4 2 2 3 2 2" xfId="57463" xr:uid="{00000000-0005-0000-0000-0000D0450000}"/>
    <cellStyle name="Normal 3 3 2 3 4 2 2 3 3" xfId="36618" xr:uid="{00000000-0005-0000-0000-0000D1450000}"/>
    <cellStyle name="Normal 3 3 2 3 4 2 2 4" xfId="17714" xr:uid="{00000000-0005-0000-0000-0000D2450000}"/>
    <cellStyle name="Normal 3 3 2 3 4 2 2 4 2" xfId="49585" xr:uid="{00000000-0005-0000-0000-0000D3450000}"/>
    <cellStyle name="Normal 3 3 2 3 4 2 2 5" xfId="36615" xr:uid="{00000000-0005-0000-0000-0000D4450000}"/>
    <cellStyle name="Normal 3 3 2 3 4 2 3" xfId="4740" xr:uid="{00000000-0005-0000-0000-0000D5450000}"/>
    <cellStyle name="Normal 3 3 2 3 4 2 3 2" xfId="4741" xr:uid="{00000000-0005-0000-0000-0000D6450000}"/>
    <cellStyle name="Normal 3 3 2 3 4 2 3 2 2" xfId="29530" xr:uid="{00000000-0005-0000-0000-0000D7450000}"/>
    <cellStyle name="Normal 3 3 2 3 4 2 3 2 2 2" xfId="61401" xr:uid="{00000000-0005-0000-0000-0000D8450000}"/>
    <cellStyle name="Normal 3 3 2 3 4 2 3 2 3" xfId="36620" xr:uid="{00000000-0005-0000-0000-0000D9450000}"/>
    <cellStyle name="Normal 3 3 2 3 4 2 3 3" xfId="21652" xr:uid="{00000000-0005-0000-0000-0000DA450000}"/>
    <cellStyle name="Normal 3 3 2 3 4 2 3 3 2" xfId="53523" xr:uid="{00000000-0005-0000-0000-0000DB450000}"/>
    <cellStyle name="Normal 3 3 2 3 4 2 3 4" xfId="36619" xr:uid="{00000000-0005-0000-0000-0000DC450000}"/>
    <cellStyle name="Normal 3 3 2 3 4 2 4" xfId="4742" xr:uid="{00000000-0005-0000-0000-0000DD450000}"/>
    <cellStyle name="Normal 3 3 2 3 4 2 4 2" xfId="25591" xr:uid="{00000000-0005-0000-0000-0000DE450000}"/>
    <cellStyle name="Normal 3 3 2 3 4 2 4 2 2" xfId="57462" xr:uid="{00000000-0005-0000-0000-0000DF450000}"/>
    <cellStyle name="Normal 3 3 2 3 4 2 4 3" xfId="36621" xr:uid="{00000000-0005-0000-0000-0000E0450000}"/>
    <cellStyle name="Normal 3 3 2 3 4 2 5" xfId="17713" xr:uid="{00000000-0005-0000-0000-0000E1450000}"/>
    <cellStyle name="Normal 3 3 2 3 4 2 5 2" xfId="49584" xr:uid="{00000000-0005-0000-0000-0000E2450000}"/>
    <cellStyle name="Normal 3 3 2 3 4 2 6" xfId="36614" xr:uid="{00000000-0005-0000-0000-0000E3450000}"/>
    <cellStyle name="Normal 3 3 2 3 4 3" xfId="4743" xr:uid="{00000000-0005-0000-0000-0000E4450000}"/>
    <cellStyle name="Normal 3 3 2 3 4 3 2" xfId="4744" xr:uid="{00000000-0005-0000-0000-0000E5450000}"/>
    <cellStyle name="Normal 3 3 2 3 4 3 2 2" xfId="4745" xr:uid="{00000000-0005-0000-0000-0000E6450000}"/>
    <cellStyle name="Normal 3 3 2 3 4 3 2 2 2" xfId="29532" xr:uid="{00000000-0005-0000-0000-0000E7450000}"/>
    <cellStyle name="Normal 3 3 2 3 4 3 2 2 2 2" xfId="61403" xr:uid="{00000000-0005-0000-0000-0000E8450000}"/>
    <cellStyle name="Normal 3 3 2 3 4 3 2 2 3" xfId="36624" xr:uid="{00000000-0005-0000-0000-0000E9450000}"/>
    <cellStyle name="Normal 3 3 2 3 4 3 2 3" xfId="21654" xr:uid="{00000000-0005-0000-0000-0000EA450000}"/>
    <cellStyle name="Normal 3 3 2 3 4 3 2 3 2" xfId="53525" xr:uid="{00000000-0005-0000-0000-0000EB450000}"/>
    <cellStyle name="Normal 3 3 2 3 4 3 2 4" xfId="36623" xr:uid="{00000000-0005-0000-0000-0000EC450000}"/>
    <cellStyle name="Normal 3 3 2 3 4 3 3" xfId="4746" xr:uid="{00000000-0005-0000-0000-0000ED450000}"/>
    <cellStyle name="Normal 3 3 2 3 4 3 3 2" xfId="25593" xr:uid="{00000000-0005-0000-0000-0000EE450000}"/>
    <cellStyle name="Normal 3 3 2 3 4 3 3 2 2" xfId="57464" xr:uid="{00000000-0005-0000-0000-0000EF450000}"/>
    <cellStyle name="Normal 3 3 2 3 4 3 3 3" xfId="36625" xr:uid="{00000000-0005-0000-0000-0000F0450000}"/>
    <cellStyle name="Normal 3 3 2 3 4 3 4" xfId="17715" xr:uid="{00000000-0005-0000-0000-0000F1450000}"/>
    <cellStyle name="Normal 3 3 2 3 4 3 4 2" xfId="49586" xr:uid="{00000000-0005-0000-0000-0000F2450000}"/>
    <cellStyle name="Normal 3 3 2 3 4 3 5" xfId="36622" xr:uid="{00000000-0005-0000-0000-0000F3450000}"/>
    <cellStyle name="Normal 3 3 2 3 4 4" xfId="4747" xr:uid="{00000000-0005-0000-0000-0000F4450000}"/>
    <cellStyle name="Normal 3 3 2 3 4 4 2" xfId="4748" xr:uid="{00000000-0005-0000-0000-0000F5450000}"/>
    <cellStyle name="Normal 3 3 2 3 4 4 2 2" xfId="29529" xr:uid="{00000000-0005-0000-0000-0000F6450000}"/>
    <cellStyle name="Normal 3 3 2 3 4 4 2 2 2" xfId="61400" xr:uid="{00000000-0005-0000-0000-0000F7450000}"/>
    <cellStyle name="Normal 3 3 2 3 4 4 2 3" xfId="36627" xr:uid="{00000000-0005-0000-0000-0000F8450000}"/>
    <cellStyle name="Normal 3 3 2 3 4 4 3" xfId="21651" xr:uid="{00000000-0005-0000-0000-0000F9450000}"/>
    <cellStyle name="Normal 3 3 2 3 4 4 3 2" xfId="53522" xr:uid="{00000000-0005-0000-0000-0000FA450000}"/>
    <cellStyle name="Normal 3 3 2 3 4 4 4" xfId="36626" xr:uid="{00000000-0005-0000-0000-0000FB450000}"/>
    <cellStyle name="Normal 3 3 2 3 4 5" xfId="4749" xr:uid="{00000000-0005-0000-0000-0000FC450000}"/>
    <cellStyle name="Normal 3 3 2 3 4 5 2" xfId="25590" xr:uid="{00000000-0005-0000-0000-0000FD450000}"/>
    <cellStyle name="Normal 3 3 2 3 4 5 2 2" xfId="57461" xr:uid="{00000000-0005-0000-0000-0000FE450000}"/>
    <cellStyle name="Normal 3 3 2 3 4 5 3" xfId="36628" xr:uid="{00000000-0005-0000-0000-0000FF450000}"/>
    <cellStyle name="Normal 3 3 2 3 4 6" xfId="17712" xr:uid="{00000000-0005-0000-0000-000000460000}"/>
    <cellStyle name="Normal 3 3 2 3 4 6 2" xfId="49583" xr:uid="{00000000-0005-0000-0000-000001460000}"/>
    <cellStyle name="Normal 3 3 2 3 4 7" xfId="36613" xr:uid="{00000000-0005-0000-0000-000002460000}"/>
    <cellStyle name="Normal 3 3 2 3 5" xfId="4750" xr:uid="{00000000-0005-0000-0000-000003460000}"/>
    <cellStyle name="Normal 3 3 2 3 5 2" xfId="4751" xr:uid="{00000000-0005-0000-0000-000004460000}"/>
    <cellStyle name="Normal 3 3 2 3 5 2 2" xfId="4752" xr:uid="{00000000-0005-0000-0000-000005460000}"/>
    <cellStyle name="Normal 3 3 2 3 5 2 2 2" xfId="4753" xr:uid="{00000000-0005-0000-0000-000006460000}"/>
    <cellStyle name="Normal 3 3 2 3 5 2 2 2 2" xfId="29534" xr:uid="{00000000-0005-0000-0000-000007460000}"/>
    <cellStyle name="Normal 3 3 2 3 5 2 2 2 2 2" xfId="61405" xr:uid="{00000000-0005-0000-0000-000008460000}"/>
    <cellStyle name="Normal 3 3 2 3 5 2 2 2 3" xfId="36632" xr:uid="{00000000-0005-0000-0000-000009460000}"/>
    <cellStyle name="Normal 3 3 2 3 5 2 2 3" xfId="21656" xr:uid="{00000000-0005-0000-0000-00000A460000}"/>
    <cellStyle name="Normal 3 3 2 3 5 2 2 3 2" xfId="53527" xr:uid="{00000000-0005-0000-0000-00000B460000}"/>
    <cellStyle name="Normal 3 3 2 3 5 2 2 4" xfId="36631" xr:uid="{00000000-0005-0000-0000-00000C460000}"/>
    <cellStyle name="Normal 3 3 2 3 5 2 3" xfId="4754" xr:uid="{00000000-0005-0000-0000-00000D460000}"/>
    <cellStyle name="Normal 3 3 2 3 5 2 3 2" xfId="25595" xr:uid="{00000000-0005-0000-0000-00000E460000}"/>
    <cellStyle name="Normal 3 3 2 3 5 2 3 2 2" xfId="57466" xr:uid="{00000000-0005-0000-0000-00000F460000}"/>
    <cellStyle name="Normal 3 3 2 3 5 2 3 3" xfId="36633" xr:uid="{00000000-0005-0000-0000-000010460000}"/>
    <cellStyle name="Normal 3 3 2 3 5 2 4" xfId="17717" xr:uid="{00000000-0005-0000-0000-000011460000}"/>
    <cellStyle name="Normal 3 3 2 3 5 2 4 2" xfId="49588" xr:uid="{00000000-0005-0000-0000-000012460000}"/>
    <cellStyle name="Normal 3 3 2 3 5 2 5" xfId="36630" xr:uid="{00000000-0005-0000-0000-000013460000}"/>
    <cellStyle name="Normal 3 3 2 3 5 3" xfId="4755" xr:uid="{00000000-0005-0000-0000-000014460000}"/>
    <cellStyle name="Normal 3 3 2 3 5 3 2" xfId="4756" xr:uid="{00000000-0005-0000-0000-000015460000}"/>
    <cellStyle name="Normal 3 3 2 3 5 3 2 2" xfId="29533" xr:uid="{00000000-0005-0000-0000-000016460000}"/>
    <cellStyle name="Normal 3 3 2 3 5 3 2 2 2" xfId="61404" xr:uid="{00000000-0005-0000-0000-000017460000}"/>
    <cellStyle name="Normal 3 3 2 3 5 3 2 3" xfId="36635" xr:uid="{00000000-0005-0000-0000-000018460000}"/>
    <cellStyle name="Normal 3 3 2 3 5 3 3" xfId="21655" xr:uid="{00000000-0005-0000-0000-000019460000}"/>
    <cellStyle name="Normal 3 3 2 3 5 3 3 2" xfId="53526" xr:uid="{00000000-0005-0000-0000-00001A460000}"/>
    <cellStyle name="Normal 3 3 2 3 5 3 4" xfId="36634" xr:uid="{00000000-0005-0000-0000-00001B460000}"/>
    <cellStyle name="Normal 3 3 2 3 5 4" xfId="4757" xr:uid="{00000000-0005-0000-0000-00001C460000}"/>
    <cellStyle name="Normal 3 3 2 3 5 4 2" xfId="25594" xr:uid="{00000000-0005-0000-0000-00001D460000}"/>
    <cellStyle name="Normal 3 3 2 3 5 4 2 2" xfId="57465" xr:uid="{00000000-0005-0000-0000-00001E460000}"/>
    <cellStyle name="Normal 3 3 2 3 5 4 3" xfId="36636" xr:uid="{00000000-0005-0000-0000-00001F460000}"/>
    <cellStyle name="Normal 3 3 2 3 5 5" xfId="17716" xr:uid="{00000000-0005-0000-0000-000020460000}"/>
    <cellStyle name="Normal 3 3 2 3 5 5 2" xfId="49587" xr:uid="{00000000-0005-0000-0000-000021460000}"/>
    <cellStyle name="Normal 3 3 2 3 5 6" xfId="36629" xr:uid="{00000000-0005-0000-0000-000022460000}"/>
    <cellStyle name="Normal 3 3 2 3 6" xfId="4758" xr:uid="{00000000-0005-0000-0000-000023460000}"/>
    <cellStyle name="Normal 3 3 2 3 6 2" xfId="4759" xr:uid="{00000000-0005-0000-0000-000024460000}"/>
    <cellStyle name="Normal 3 3 2 3 6 2 2" xfId="4760" xr:uid="{00000000-0005-0000-0000-000025460000}"/>
    <cellStyle name="Normal 3 3 2 3 6 2 2 2" xfId="29535" xr:uid="{00000000-0005-0000-0000-000026460000}"/>
    <cellStyle name="Normal 3 3 2 3 6 2 2 2 2" xfId="61406" xr:uid="{00000000-0005-0000-0000-000027460000}"/>
    <cellStyle name="Normal 3 3 2 3 6 2 2 3" xfId="36639" xr:uid="{00000000-0005-0000-0000-000028460000}"/>
    <cellStyle name="Normal 3 3 2 3 6 2 3" xfId="21657" xr:uid="{00000000-0005-0000-0000-000029460000}"/>
    <cellStyle name="Normal 3 3 2 3 6 2 3 2" xfId="53528" xr:uid="{00000000-0005-0000-0000-00002A460000}"/>
    <cellStyle name="Normal 3 3 2 3 6 2 4" xfId="36638" xr:uid="{00000000-0005-0000-0000-00002B460000}"/>
    <cellStyle name="Normal 3 3 2 3 6 3" xfId="4761" xr:uid="{00000000-0005-0000-0000-00002C460000}"/>
    <cellStyle name="Normal 3 3 2 3 6 3 2" xfId="25596" xr:uid="{00000000-0005-0000-0000-00002D460000}"/>
    <cellStyle name="Normal 3 3 2 3 6 3 2 2" xfId="57467" xr:uid="{00000000-0005-0000-0000-00002E460000}"/>
    <cellStyle name="Normal 3 3 2 3 6 3 3" xfId="36640" xr:uid="{00000000-0005-0000-0000-00002F460000}"/>
    <cellStyle name="Normal 3 3 2 3 6 4" xfId="17718" xr:uid="{00000000-0005-0000-0000-000030460000}"/>
    <cellStyle name="Normal 3 3 2 3 6 4 2" xfId="49589" xr:uid="{00000000-0005-0000-0000-000031460000}"/>
    <cellStyle name="Normal 3 3 2 3 6 5" xfId="36637" xr:uid="{00000000-0005-0000-0000-000032460000}"/>
    <cellStyle name="Normal 3 3 2 3 7" xfId="4762" xr:uid="{00000000-0005-0000-0000-000033460000}"/>
    <cellStyle name="Normal 3 3 2 3 7 2" xfId="4763" xr:uid="{00000000-0005-0000-0000-000034460000}"/>
    <cellStyle name="Normal 3 3 2 3 7 2 2" xfId="28311" xr:uid="{00000000-0005-0000-0000-000035460000}"/>
    <cellStyle name="Normal 3 3 2 3 7 2 2 2" xfId="60182" xr:uid="{00000000-0005-0000-0000-000036460000}"/>
    <cellStyle name="Normal 3 3 2 3 7 2 3" xfId="36642" xr:uid="{00000000-0005-0000-0000-000037460000}"/>
    <cellStyle name="Normal 3 3 2 3 7 3" xfId="20433" xr:uid="{00000000-0005-0000-0000-000038460000}"/>
    <cellStyle name="Normal 3 3 2 3 7 3 2" xfId="52304" xr:uid="{00000000-0005-0000-0000-000039460000}"/>
    <cellStyle name="Normal 3 3 2 3 7 4" xfId="36641" xr:uid="{00000000-0005-0000-0000-00003A460000}"/>
    <cellStyle name="Normal 3 3 2 3 8" xfId="4764" xr:uid="{00000000-0005-0000-0000-00003B460000}"/>
    <cellStyle name="Normal 3 3 2 3 8 2" xfId="24372" xr:uid="{00000000-0005-0000-0000-00003C460000}"/>
    <cellStyle name="Normal 3 3 2 3 8 2 2" xfId="56243" xr:uid="{00000000-0005-0000-0000-00003D460000}"/>
    <cellStyle name="Normal 3 3 2 3 8 3" xfId="36643" xr:uid="{00000000-0005-0000-0000-00003E460000}"/>
    <cellStyle name="Normal 3 3 2 3 9" xfId="16494" xr:uid="{00000000-0005-0000-0000-00003F460000}"/>
    <cellStyle name="Normal 3 3 2 3 9 2" xfId="48365" xr:uid="{00000000-0005-0000-0000-000040460000}"/>
    <cellStyle name="Normal 3 3 2 4" xfId="4765" xr:uid="{00000000-0005-0000-0000-000041460000}"/>
    <cellStyle name="Normal 3 3 2 4 10" xfId="36644" xr:uid="{00000000-0005-0000-0000-000042460000}"/>
    <cellStyle name="Normal 3 3 2 4 2" xfId="4766" xr:uid="{00000000-0005-0000-0000-000043460000}"/>
    <cellStyle name="Normal 3 3 2 4 2 2" xfId="4767" xr:uid="{00000000-0005-0000-0000-000044460000}"/>
    <cellStyle name="Normal 3 3 2 4 2 2 2" xfId="4768" xr:uid="{00000000-0005-0000-0000-000045460000}"/>
    <cellStyle name="Normal 3 3 2 4 2 2 2 2" xfId="4769" xr:uid="{00000000-0005-0000-0000-000046460000}"/>
    <cellStyle name="Normal 3 3 2 4 2 2 2 2 2" xfId="4770" xr:uid="{00000000-0005-0000-0000-000047460000}"/>
    <cellStyle name="Normal 3 3 2 4 2 2 2 2 2 2" xfId="4771" xr:uid="{00000000-0005-0000-0000-000048460000}"/>
    <cellStyle name="Normal 3 3 2 4 2 2 2 2 2 2 2" xfId="4772" xr:uid="{00000000-0005-0000-0000-000049460000}"/>
    <cellStyle name="Normal 3 3 2 4 2 2 2 2 2 2 2 2" xfId="29539" xr:uid="{00000000-0005-0000-0000-00004A460000}"/>
    <cellStyle name="Normal 3 3 2 4 2 2 2 2 2 2 2 2 2" xfId="61410" xr:uid="{00000000-0005-0000-0000-00004B460000}"/>
    <cellStyle name="Normal 3 3 2 4 2 2 2 2 2 2 2 3" xfId="36651" xr:uid="{00000000-0005-0000-0000-00004C460000}"/>
    <cellStyle name="Normal 3 3 2 4 2 2 2 2 2 2 3" xfId="21661" xr:uid="{00000000-0005-0000-0000-00004D460000}"/>
    <cellStyle name="Normal 3 3 2 4 2 2 2 2 2 2 3 2" xfId="53532" xr:uid="{00000000-0005-0000-0000-00004E460000}"/>
    <cellStyle name="Normal 3 3 2 4 2 2 2 2 2 2 4" xfId="36650" xr:uid="{00000000-0005-0000-0000-00004F460000}"/>
    <cellStyle name="Normal 3 3 2 4 2 2 2 2 2 3" xfId="4773" xr:uid="{00000000-0005-0000-0000-000050460000}"/>
    <cellStyle name="Normal 3 3 2 4 2 2 2 2 2 3 2" xfId="25600" xr:uid="{00000000-0005-0000-0000-000051460000}"/>
    <cellStyle name="Normal 3 3 2 4 2 2 2 2 2 3 2 2" xfId="57471" xr:uid="{00000000-0005-0000-0000-000052460000}"/>
    <cellStyle name="Normal 3 3 2 4 2 2 2 2 2 3 3" xfId="36652" xr:uid="{00000000-0005-0000-0000-000053460000}"/>
    <cellStyle name="Normal 3 3 2 4 2 2 2 2 2 4" xfId="17722" xr:uid="{00000000-0005-0000-0000-000054460000}"/>
    <cellStyle name="Normal 3 3 2 4 2 2 2 2 2 4 2" xfId="49593" xr:uid="{00000000-0005-0000-0000-000055460000}"/>
    <cellStyle name="Normal 3 3 2 4 2 2 2 2 2 5" xfId="36649" xr:uid="{00000000-0005-0000-0000-000056460000}"/>
    <cellStyle name="Normal 3 3 2 4 2 2 2 2 3" xfId="4774" xr:uid="{00000000-0005-0000-0000-000057460000}"/>
    <cellStyle name="Normal 3 3 2 4 2 2 2 2 3 2" xfId="4775" xr:uid="{00000000-0005-0000-0000-000058460000}"/>
    <cellStyle name="Normal 3 3 2 4 2 2 2 2 3 2 2" xfId="29538" xr:uid="{00000000-0005-0000-0000-000059460000}"/>
    <cellStyle name="Normal 3 3 2 4 2 2 2 2 3 2 2 2" xfId="61409" xr:uid="{00000000-0005-0000-0000-00005A460000}"/>
    <cellStyle name="Normal 3 3 2 4 2 2 2 2 3 2 3" xfId="36654" xr:uid="{00000000-0005-0000-0000-00005B460000}"/>
    <cellStyle name="Normal 3 3 2 4 2 2 2 2 3 3" xfId="21660" xr:uid="{00000000-0005-0000-0000-00005C460000}"/>
    <cellStyle name="Normal 3 3 2 4 2 2 2 2 3 3 2" xfId="53531" xr:uid="{00000000-0005-0000-0000-00005D460000}"/>
    <cellStyle name="Normal 3 3 2 4 2 2 2 2 3 4" xfId="36653" xr:uid="{00000000-0005-0000-0000-00005E460000}"/>
    <cellStyle name="Normal 3 3 2 4 2 2 2 2 4" xfId="4776" xr:uid="{00000000-0005-0000-0000-00005F460000}"/>
    <cellStyle name="Normal 3 3 2 4 2 2 2 2 4 2" xfId="25599" xr:uid="{00000000-0005-0000-0000-000060460000}"/>
    <cellStyle name="Normal 3 3 2 4 2 2 2 2 4 2 2" xfId="57470" xr:uid="{00000000-0005-0000-0000-000061460000}"/>
    <cellStyle name="Normal 3 3 2 4 2 2 2 2 4 3" xfId="36655" xr:uid="{00000000-0005-0000-0000-000062460000}"/>
    <cellStyle name="Normal 3 3 2 4 2 2 2 2 5" xfId="17721" xr:uid="{00000000-0005-0000-0000-000063460000}"/>
    <cellStyle name="Normal 3 3 2 4 2 2 2 2 5 2" xfId="49592" xr:uid="{00000000-0005-0000-0000-000064460000}"/>
    <cellStyle name="Normal 3 3 2 4 2 2 2 2 6" xfId="36648" xr:uid="{00000000-0005-0000-0000-000065460000}"/>
    <cellStyle name="Normal 3 3 2 4 2 2 2 3" xfId="4777" xr:uid="{00000000-0005-0000-0000-000066460000}"/>
    <cellStyle name="Normal 3 3 2 4 2 2 2 3 2" xfId="4778" xr:uid="{00000000-0005-0000-0000-000067460000}"/>
    <cellStyle name="Normal 3 3 2 4 2 2 2 3 2 2" xfId="4779" xr:uid="{00000000-0005-0000-0000-000068460000}"/>
    <cellStyle name="Normal 3 3 2 4 2 2 2 3 2 2 2" xfId="29540" xr:uid="{00000000-0005-0000-0000-000069460000}"/>
    <cellStyle name="Normal 3 3 2 4 2 2 2 3 2 2 2 2" xfId="61411" xr:uid="{00000000-0005-0000-0000-00006A460000}"/>
    <cellStyle name="Normal 3 3 2 4 2 2 2 3 2 2 3" xfId="36658" xr:uid="{00000000-0005-0000-0000-00006B460000}"/>
    <cellStyle name="Normal 3 3 2 4 2 2 2 3 2 3" xfId="21662" xr:uid="{00000000-0005-0000-0000-00006C460000}"/>
    <cellStyle name="Normal 3 3 2 4 2 2 2 3 2 3 2" xfId="53533" xr:uid="{00000000-0005-0000-0000-00006D460000}"/>
    <cellStyle name="Normal 3 3 2 4 2 2 2 3 2 4" xfId="36657" xr:uid="{00000000-0005-0000-0000-00006E460000}"/>
    <cellStyle name="Normal 3 3 2 4 2 2 2 3 3" xfId="4780" xr:uid="{00000000-0005-0000-0000-00006F460000}"/>
    <cellStyle name="Normal 3 3 2 4 2 2 2 3 3 2" xfId="25601" xr:uid="{00000000-0005-0000-0000-000070460000}"/>
    <cellStyle name="Normal 3 3 2 4 2 2 2 3 3 2 2" xfId="57472" xr:uid="{00000000-0005-0000-0000-000071460000}"/>
    <cellStyle name="Normal 3 3 2 4 2 2 2 3 3 3" xfId="36659" xr:uid="{00000000-0005-0000-0000-000072460000}"/>
    <cellStyle name="Normal 3 3 2 4 2 2 2 3 4" xfId="17723" xr:uid="{00000000-0005-0000-0000-000073460000}"/>
    <cellStyle name="Normal 3 3 2 4 2 2 2 3 4 2" xfId="49594" xr:uid="{00000000-0005-0000-0000-000074460000}"/>
    <cellStyle name="Normal 3 3 2 4 2 2 2 3 5" xfId="36656" xr:uid="{00000000-0005-0000-0000-000075460000}"/>
    <cellStyle name="Normal 3 3 2 4 2 2 2 4" xfId="4781" xr:uid="{00000000-0005-0000-0000-000076460000}"/>
    <cellStyle name="Normal 3 3 2 4 2 2 2 4 2" xfId="4782" xr:uid="{00000000-0005-0000-0000-000077460000}"/>
    <cellStyle name="Normal 3 3 2 4 2 2 2 4 2 2" xfId="29537" xr:uid="{00000000-0005-0000-0000-000078460000}"/>
    <cellStyle name="Normal 3 3 2 4 2 2 2 4 2 2 2" xfId="61408" xr:uid="{00000000-0005-0000-0000-000079460000}"/>
    <cellStyle name="Normal 3 3 2 4 2 2 2 4 2 3" xfId="36661" xr:uid="{00000000-0005-0000-0000-00007A460000}"/>
    <cellStyle name="Normal 3 3 2 4 2 2 2 4 3" xfId="21659" xr:uid="{00000000-0005-0000-0000-00007B460000}"/>
    <cellStyle name="Normal 3 3 2 4 2 2 2 4 3 2" xfId="53530" xr:uid="{00000000-0005-0000-0000-00007C460000}"/>
    <cellStyle name="Normal 3 3 2 4 2 2 2 4 4" xfId="36660" xr:uid="{00000000-0005-0000-0000-00007D460000}"/>
    <cellStyle name="Normal 3 3 2 4 2 2 2 5" xfId="4783" xr:uid="{00000000-0005-0000-0000-00007E460000}"/>
    <cellStyle name="Normal 3 3 2 4 2 2 2 5 2" xfId="25598" xr:uid="{00000000-0005-0000-0000-00007F460000}"/>
    <cellStyle name="Normal 3 3 2 4 2 2 2 5 2 2" xfId="57469" xr:uid="{00000000-0005-0000-0000-000080460000}"/>
    <cellStyle name="Normal 3 3 2 4 2 2 2 5 3" xfId="36662" xr:uid="{00000000-0005-0000-0000-000081460000}"/>
    <cellStyle name="Normal 3 3 2 4 2 2 2 6" xfId="17720" xr:uid="{00000000-0005-0000-0000-000082460000}"/>
    <cellStyle name="Normal 3 3 2 4 2 2 2 6 2" xfId="49591" xr:uid="{00000000-0005-0000-0000-000083460000}"/>
    <cellStyle name="Normal 3 3 2 4 2 2 2 7" xfId="36647" xr:uid="{00000000-0005-0000-0000-000084460000}"/>
    <cellStyle name="Normal 3 3 2 4 2 2 3" xfId="4784" xr:uid="{00000000-0005-0000-0000-000085460000}"/>
    <cellStyle name="Normal 3 3 2 4 2 2 3 2" xfId="4785" xr:uid="{00000000-0005-0000-0000-000086460000}"/>
    <cellStyle name="Normal 3 3 2 4 2 2 3 2 2" xfId="4786" xr:uid="{00000000-0005-0000-0000-000087460000}"/>
    <cellStyle name="Normal 3 3 2 4 2 2 3 2 2 2" xfId="4787" xr:uid="{00000000-0005-0000-0000-000088460000}"/>
    <cellStyle name="Normal 3 3 2 4 2 2 3 2 2 2 2" xfId="29542" xr:uid="{00000000-0005-0000-0000-000089460000}"/>
    <cellStyle name="Normal 3 3 2 4 2 2 3 2 2 2 2 2" xfId="61413" xr:uid="{00000000-0005-0000-0000-00008A460000}"/>
    <cellStyle name="Normal 3 3 2 4 2 2 3 2 2 2 3" xfId="36666" xr:uid="{00000000-0005-0000-0000-00008B460000}"/>
    <cellStyle name="Normal 3 3 2 4 2 2 3 2 2 3" xfId="21664" xr:uid="{00000000-0005-0000-0000-00008C460000}"/>
    <cellStyle name="Normal 3 3 2 4 2 2 3 2 2 3 2" xfId="53535" xr:uid="{00000000-0005-0000-0000-00008D460000}"/>
    <cellStyle name="Normal 3 3 2 4 2 2 3 2 2 4" xfId="36665" xr:uid="{00000000-0005-0000-0000-00008E460000}"/>
    <cellStyle name="Normal 3 3 2 4 2 2 3 2 3" xfId="4788" xr:uid="{00000000-0005-0000-0000-00008F460000}"/>
    <cellStyle name="Normal 3 3 2 4 2 2 3 2 3 2" xfId="25603" xr:uid="{00000000-0005-0000-0000-000090460000}"/>
    <cellStyle name="Normal 3 3 2 4 2 2 3 2 3 2 2" xfId="57474" xr:uid="{00000000-0005-0000-0000-000091460000}"/>
    <cellStyle name="Normal 3 3 2 4 2 2 3 2 3 3" xfId="36667" xr:uid="{00000000-0005-0000-0000-000092460000}"/>
    <cellStyle name="Normal 3 3 2 4 2 2 3 2 4" xfId="17725" xr:uid="{00000000-0005-0000-0000-000093460000}"/>
    <cellStyle name="Normal 3 3 2 4 2 2 3 2 4 2" xfId="49596" xr:uid="{00000000-0005-0000-0000-000094460000}"/>
    <cellStyle name="Normal 3 3 2 4 2 2 3 2 5" xfId="36664" xr:uid="{00000000-0005-0000-0000-000095460000}"/>
    <cellStyle name="Normal 3 3 2 4 2 2 3 3" xfId="4789" xr:uid="{00000000-0005-0000-0000-000096460000}"/>
    <cellStyle name="Normal 3 3 2 4 2 2 3 3 2" xfId="4790" xr:uid="{00000000-0005-0000-0000-000097460000}"/>
    <cellStyle name="Normal 3 3 2 4 2 2 3 3 2 2" xfId="29541" xr:uid="{00000000-0005-0000-0000-000098460000}"/>
    <cellStyle name="Normal 3 3 2 4 2 2 3 3 2 2 2" xfId="61412" xr:uid="{00000000-0005-0000-0000-000099460000}"/>
    <cellStyle name="Normal 3 3 2 4 2 2 3 3 2 3" xfId="36669" xr:uid="{00000000-0005-0000-0000-00009A460000}"/>
    <cellStyle name="Normal 3 3 2 4 2 2 3 3 3" xfId="21663" xr:uid="{00000000-0005-0000-0000-00009B460000}"/>
    <cellStyle name="Normal 3 3 2 4 2 2 3 3 3 2" xfId="53534" xr:uid="{00000000-0005-0000-0000-00009C460000}"/>
    <cellStyle name="Normal 3 3 2 4 2 2 3 3 4" xfId="36668" xr:uid="{00000000-0005-0000-0000-00009D460000}"/>
    <cellStyle name="Normal 3 3 2 4 2 2 3 4" xfId="4791" xr:uid="{00000000-0005-0000-0000-00009E460000}"/>
    <cellStyle name="Normal 3 3 2 4 2 2 3 4 2" xfId="25602" xr:uid="{00000000-0005-0000-0000-00009F460000}"/>
    <cellStyle name="Normal 3 3 2 4 2 2 3 4 2 2" xfId="57473" xr:uid="{00000000-0005-0000-0000-0000A0460000}"/>
    <cellStyle name="Normal 3 3 2 4 2 2 3 4 3" xfId="36670" xr:uid="{00000000-0005-0000-0000-0000A1460000}"/>
    <cellStyle name="Normal 3 3 2 4 2 2 3 5" xfId="17724" xr:uid="{00000000-0005-0000-0000-0000A2460000}"/>
    <cellStyle name="Normal 3 3 2 4 2 2 3 5 2" xfId="49595" xr:uid="{00000000-0005-0000-0000-0000A3460000}"/>
    <cellStyle name="Normal 3 3 2 4 2 2 3 6" xfId="36663" xr:uid="{00000000-0005-0000-0000-0000A4460000}"/>
    <cellStyle name="Normal 3 3 2 4 2 2 4" xfId="4792" xr:uid="{00000000-0005-0000-0000-0000A5460000}"/>
    <cellStyle name="Normal 3 3 2 4 2 2 4 2" xfId="4793" xr:uid="{00000000-0005-0000-0000-0000A6460000}"/>
    <cellStyle name="Normal 3 3 2 4 2 2 4 2 2" xfId="4794" xr:uid="{00000000-0005-0000-0000-0000A7460000}"/>
    <cellStyle name="Normal 3 3 2 4 2 2 4 2 2 2" xfId="29543" xr:uid="{00000000-0005-0000-0000-0000A8460000}"/>
    <cellStyle name="Normal 3 3 2 4 2 2 4 2 2 2 2" xfId="61414" xr:uid="{00000000-0005-0000-0000-0000A9460000}"/>
    <cellStyle name="Normal 3 3 2 4 2 2 4 2 2 3" xfId="36673" xr:uid="{00000000-0005-0000-0000-0000AA460000}"/>
    <cellStyle name="Normal 3 3 2 4 2 2 4 2 3" xfId="21665" xr:uid="{00000000-0005-0000-0000-0000AB460000}"/>
    <cellStyle name="Normal 3 3 2 4 2 2 4 2 3 2" xfId="53536" xr:uid="{00000000-0005-0000-0000-0000AC460000}"/>
    <cellStyle name="Normal 3 3 2 4 2 2 4 2 4" xfId="36672" xr:uid="{00000000-0005-0000-0000-0000AD460000}"/>
    <cellStyle name="Normal 3 3 2 4 2 2 4 3" xfId="4795" xr:uid="{00000000-0005-0000-0000-0000AE460000}"/>
    <cellStyle name="Normal 3 3 2 4 2 2 4 3 2" xfId="25604" xr:uid="{00000000-0005-0000-0000-0000AF460000}"/>
    <cellStyle name="Normal 3 3 2 4 2 2 4 3 2 2" xfId="57475" xr:uid="{00000000-0005-0000-0000-0000B0460000}"/>
    <cellStyle name="Normal 3 3 2 4 2 2 4 3 3" xfId="36674" xr:uid="{00000000-0005-0000-0000-0000B1460000}"/>
    <cellStyle name="Normal 3 3 2 4 2 2 4 4" xfId="17726" xr:uid="{00000000-0005-0000-0000-0000B2460000}"/>
    <cellStyle name="Normal 3 3 2 4 2 2 4 4 2" xfId="49597" xr:uid="{00000000-0005-0000-0000-0000B3460000}"/>
    <cellStyle name="Normal 3 3 2 4 2 2 4 5" xfId="36671" xr:uid="{00000000-0005-0000-0000-0000B4460000}"/>
    <cellStyle name="Normal 3 3 2 4 2 2 5" xfId="4796" xr:uid="{00000000-0005-0000-0000-0000B5460000}"/>
    <cellStyle name="Normal 3 3 2 4 2 2 5 2" xfId="4797" xr:uid="{00000000-0005-0000-0000-0000B6460000}"/>
    <cellStyle name="Normal 3 3 2 4 2 2 5 2 2" xfId="29536" xr:uid="{00000000-0005-0000-0000-0000B7460000}"/>
    <cellStyle name="Normal 3 3 2 4 2 2 5 2 2 2" xfId="61407" xr:uid="{00000000-0005-0000-0000-0000B8460000}"/>
    <cellStyle name="Normal 3 3 2 4 2 2 5 2 3" xfId="36676" xr:uid="{00000000-0005-0000-0000-0000B9460000}"/>
    <cellStyle name="Normal 3 3 2 4 2 2 5 3" xfId="21658" xr:uid="{00000000-0005-0000-0000-0000BA460000}"/>
    <cellStyle name="Normal 3 3 2 4 2 2 5 3 2" xfId="53529" xr:uid="{00000000-0005-0000-0000-0000BB460000}"/>
    <cellStyle name="Normal 3 3 2 4 2 2 5 4" xfId="36675" xr:uid="{00000000-0005-0000-0000-0000BC460000}"/>
    <cellStyle name="Normal 3 3 2 4 2 2 6" xfId="4798" xr:uid="{00000000-0005-0000-0000-0000BD460000}"/>
    <cellStyle name="Normal 3 3 2 4 2 2 6 2" xfId="25597" xr:uid="{00000000-0005-0000-0000-0000BE460000}"/>
    <cellStyle name="Normal 3 3 2 4 2 2 6 2 2" xfId="57468" xr:uid="{00000000-0005-0000-0000-0000BF460000}"/>
    <cellStyle name="Normal 3 3 2 4 2 2 6 3" xfId="36677" xr:uid="{00000000-0005-0000-0000-0000C0460000}"/>
    <cellStyle name="Normal 3 3 2 4 2 2 7" xfId="17719" xr:uid="{00000000-0005-0000-0000-0000C1460000}"/>
    <cellStyle name="Normal 3 3 2 4 2 2 7 2" xfId="49590" xr:uid="{00000000-0005-0000-0000-0000C2460000}"/>
    <cellStyle name="Normal 3 3 2 4 2 2 8" xfId="36646" xr:uid="{00000000-0005-0000-0000-0000C3460000}"/>
    <cellStyle name="Normal 3 3 2 4 2 3" xfId="4799" xr:uid="{00000000-0005-0000-0000-0000C4460000}"/>
    <cellStyle name="Normal 3 3 2 4 2 3 2" xfId="4800" xr:uid="{00000000-0005-0000-0000-0000C5460000}"/>
    <cellStyle name="Normal 3 3 2 4 2 3 2 2" xfId="4801" xr:uid="{00000000-0005-0000-0000-0000C6460000}"/>
    <cellStyle name="Normal 3 3 2 4 2 3 2 2 2" xfId="4802" xr:uid="{00000000-0005-0000-0000-0000C7460000}"/>
    <cellStyle name="Normal 3 3 2 4 2 3 2 2 2 2" xfId="4803" xr:uid="{00000000-0005-0000-0000-0000C8460000}"/>
    <cellStyle name="Normal 3 3 2 4 2 3 2 2 2 2 2" xfId="29546" xr:uid="{00000000-0005-0000-0000-0000C9460000}"/>
    <cellStyle name="Normal 3 3 2 4 2 3 2 2 2 2 2 2" xfId="61417" xr:uid="{00000000-0005-0000-0000-0000CA460000}"/>
    <cellStyle name="Normal 3 3 2 4 2 3 2 2 2 2 3" xfId="36682" xr:uid="{00000000-0005-0000-0000-0000CB460000}"/>
    <cellStyle name="Normal 3 3 2 4 2 3 2 2 2 3" xfId="21668" xr:uid="{00000000-0005-0000-0000-0000CC460000}"/>
    <cellStyle name="Normal 3 3 2 4 2 3 2 2 2 3 2" xfId="53539" xr:uid="{00000000-0005-0000-0000-0000CD460000}"/>
    <cellStyle name="Normal 3 3 2 4 2 3 2 2 2 4" xfId="36681" xr:uid="{00000000-0005-0000-0000-0000CE460000}"/>
    <cellStyle name="Normal 3 3 2 4 2 3 2 2 3" xfId="4804" xr:uid="{00000000-0005-0000-0000-0000CF460000}"/>
    <cellStyle name="Normal 3 3 2 4 2 3 2 2 3 2" xfId="25607" xr:uid="{00000000-0005-0000-0000-0000D0460000}"/>
    <cellStyle name="Normal 3 3 2 4 2 3 2 2 3 2 2" xfId="57478" xr:uid="{00000000-0005-0000-0000-0000D1460000}"/>
    <cellStyle name="Normal 3 3 2 4 2 3 2 2 3 3" xfId="36683" xr:uid="{00000000-0005-0000-0000-0000D2460000}"/>
    <cellStyle name="Normal 3 3 2 4 2 3 2 2 4" xfId="17729" xr:uid="{00000000-0005-0000-0000-0000D3460000}"/>
    <cellStyle name="Normal 3 3 2 4 2 3 2 2 4 2" xfId="49600" xr:uid="{00000000-0005-0000-0000-0000D4460000}"/>
    <cellStyle name="Normal 3 3 2 4 2 3 2 2 5" xfId="36680" xr:uid="{00000000-0005-0000-0000-0000D5460000}"/>
    <cellStyle name="Normal 3 3 2 4 2 3 2 3" xfId="4805" xr:uid="{00000000-0005-0000-0000-0000D6460000}"/>
    <cellStyle name="Normal 3 3 2 4 2 3 2 3 2" xfId="4806" xr:uid="{00000000-0005-0000-0000-0000D7460000}"/>
    <cellStyle name="Normal 3 3 2 4 2 3 2 3 2 2" xfId="29545" xr:uid="{00000000-0005-0000-0000-0000D8460000}"/>
    <cellStyle name="Normal 3 3 2 4 2 3 2 3 2 2 2" xfId="61416" xr:uid="{00000000-0005-0000-0000-0000D9460000}"/>
    <cellStyle name="Normal 3 3 2 4 2 3 2 3 2 3" xfId="36685" xr:uid="{00000000-0005-0000-0000-0000DA460000}"/>
    <cellStyle name="Normal 3 3 2 4 2 3 2 3 3" xfId="21667" xr:uid="{00000000-0005-0000-0000-0000DB460000}"/>
    <cellStyle name="Normal 3 3 2 4 2 3 2 3 3 2" xfId="53538" xr:uid="{00000000-0005-0000-0000-0000DC460000}"/>
    <cellStyle name="Normal 3 3 2 4 2 3 2 3 4" xfId="36684" xr:uid="{00000000-0005-0000-0000-0000DD460000}"/>
    <cellStyle name="Normal 3 3 2 4 2 3 2 4" xfId="4807" xr:uid="{00000000-0005-0000-0000-0000DE460000}"/>
    <cellStyle name="Normal 3 3 2 4 2 3 2 4 2" xfId="25606" xr:uid="{00000000-0005-0000-0000-0000DF460000}"/>
    <cellStyle name="Normal 3 3 2 4 2 3 2 4 2 2" xfId="57477" xr:uid="{00000000-0005-0000-0000-0000E0460000}"/>
    <cellStyle name="Normal 3 3 2 4 2 3 2 4 3" xfId="36686" xr:uid="{00000000-0005-0000-0000-0000E1460000}"/>
    <cellStyle name="Normal 3 3 2 4 2 3 2 5" xfId="17728" xr:uid="{00000000-0005-0000-0000-0000E2460000}"/>
    <cellStyle name="Normal 3 3 2 4 2 3 2 5 2" xfId="49599" xr:uid="{00000000-0005-0000-0000-0000E3460000}"/>
    <cellStyle name="Normal 3 3 2 4 2 3 2 6" xfId="36679" xr:uid="{00000000-0005-0000-0000-0000E4460000}"/>
    <cellStyle name="Normal 3 3 2 4 2 3 3" xfId="4808" xr:uid="{00000000-0005-0000-0000-0000E5460000}"/>
    <cellStyle name="Normal 3 3 2 4 2 3 3 2" xfId="4809" xr:uid="{00000000-0005-0000-0000-0000E6460000}"/>
    <cellStyle name="Normal 3 3 2 4 2 3 3 2 2" xfId="4810" xr:uid="{00000000-0005-0000-0000-0000E7460000}"/>
    <cellStyle name="Normal 3 3 2 4 2 3 3 2 2 2" xfId="29547" xr:uid="{00000000-0005-0000-0000-0000E8460000}"/>
    <cellStyle name="Normal 3 3 2 4 2 3 3 2 2 2 2" xfId="61418" xr:uid="{00000000-0005-0000-0000-0000E9460000}"/>
    <cellStyle name="Normal 3 3 2 4 2 3 3 2 2 3" xfId="36689" xr:uid="{00000000-0005-0000-0000-0000EA460000}"/>
    <cellStyle name="Normal 3 3 2 4 2 3 3 2 3" xfId="21669" xr:uid="{00000000-0005-0000-0000-0000EB460000}"/>
    <cellStyle name="Normal 3 3 2 4 2 3 3 2 3 2" xfId="53540" xr:uid="{00000000-0005-0000-0000-0000EC460000}"/>
    <cellStyle name="Normal 3 3 2 4 2 3 3 2 4" xfId="36688" xr:uid="{00000000-0005-0000-0000-0000ED460000}"/>
    <cellStyle name="Normal 3 3 2 4 2 3 3 3" xfId="4811" xr:uid="{00000000-0005-0000-0000-0000EE460000}"/>
    <cellStyle name="Normal 3 3 2 4 2 3 3 3 2" xfId="25608" xr:uid="{00000000-0005-0000-0000-0000EF460000}"/>
    <cellStyle name="Normal 3 3 2 4 2 3 3 3 2 2" xfId="57479" xr:uid="{00000000-0005-0000-0000-0000F0460000}"/>
    <cellStyle name="Normal 3 3 2 4 2 3 3 3 3" xfId="36690" xr:uid="{00000000-0005-0000-0000-0000F1460000}"/>
    <cellStyle name="Normal 3 3 2 4 2 3 3 4" xfId="17730" xr:uid="{00000000-0005-0000-0000-0000F2460000}"/>
    <cellStyle name="Normal 3 3 2 4 2 3 3 4 2" xfId="49601" xr:uid="{00000000-0005-0000-0000-0000F3460000}"/>
    <cellStyle name="Normal 3 3 2 4 2 3 3 5" xfId="36687" xr:uid="{00000000-0005-0000-0000-0000F4460000}"/>
    <cellStyle name="Normal 3 3 2 4 2 3 4" xfId="4812" xr:uid="{00000000-0005-0000-0000-0000F5460000}"/>
    <cellStyle name="Normal 3 3 2 4 2 3 4 2" xfId="4813" xr:uid="{00000000-0005-0000-0000-0000F6460000}"/>
    <cellStyle name="Normal 3 3 2 4 2 3 4 2 2" xfId="29544" xr:uid="{00000000-0005-0000-0000-0000F7460000}"/>
    <cellStyle name="Normal 3 3 2 4 2 3 4 2 2 2" xfId="61415" xr:uid="{00000000-0005-0000-0000-0000F8460000}"/>
    <cellStyle name="Normal 3 3 2 4 2 3 4 2 3" xfId="36692" xr:uid="{00000000-0005-0000-0000-0000F9460000}"/>
    <cellStyle name="Normal 3 3 2 4 2 3 4 3" xfId="21666" xr:uid="{00000000-0005-0000-0000-0000FA460000}"/>
    <cellStyle name="Normal 3 3 2 4 2 3 4 3 2" xfId="53537" xr:uid="{00000000-0005-0000-0000-0000FB460000}"/>
    <cellStyle name="Normal 3 3 2 4 2 3 4 4" xfId="36691" xr:uid="{00000000-0005-0000-0000-0000FC460000}"/>
    <cellStyle name="Normal 3 3 2 4 2 3 5" xfId="4814" xr:uid="{00000000-0005-0000-0000-0000FD460000}"/>
    <cellStyle name="Normal 3 3 2 4 2 3 5 2" xfId="25605" xr:uid="{00000000-0005-0000-0000-0000FE460000}"/>
    <cellStyle name="Normal 3 3 2 4 2 3 5 2 2" xfId="57476" xr:uid="{00000000-0005-0000-0000-0000FF460000}"/>
    <cellStyle name="Normal 3 3 2 4 2 3 5 3" xfId="36693" xr:uid="{00000000-0005-0000-0000-000000470000}"/>
    <cellStyle name="Normal 3 3 2 4 2 3 6" xfId="17727" xr:uid="{00000000-0005-0000-0000-000001470000}"/>
    <cellStyle name="Normal 3 3 2 4 2 3 6 2" xfId="49598" xr:uid="{00000000-0005-0000-0000-000002470000}"/>
    <cellStyle name="Normal 3 3 2 4 2 3 7" xfId="36678" xr:uid="{00000000-0005-0000-0000-000003470000}"/>
    <cellStyle name="Normal 3 3 2 4 2 4" xfId="4815" xr:uid="{00000000-0005-0000-0000-000004470000}"/>
    <cellStyle name="Normal 3 3 2 4 2 4 2" xfId="4816" xr:uid="{00000000-0005-0000-0000-000005470000}"/>
    <cellStyle name="Normal 3 3 2 4 2 4 2 2" xfId="4817" xr:uid="{00000000-0005-0000-0000-000006470000}"/>
    <cellStyle name="Normal 3 3 2 4 2 4 2 2 2" xfId="4818" xr:uid="{00000000-0005-0000-0000-000007470000}"/>
    <cellStyle name="Normal 3 3 2 4 2 4 2 2 2 2" xfId="29549" xr:uid="{00000000-0005-0000-0000-000008470000}"/>
    <cellStyle name="Normal 3 3 2 4 2 4 2 2 2 2 2" xfId="61420" xr:uid="{00000000-0005-0000-0000-000009470000}"/>
    <cellStyle name="Normal 3 3 2 4 2 4 2 2 2 3" xfId="36697" xr:uid="{00000000-0005-0000-0000-00000A470000}"/>
    <cellStyle name="Normal 3 3 2 4 2 4 2 2 3" xfId="21671" xr:uid="{00000000-0005-0000-0000-00000B470000}"/>
    <cellStyle name="Normal 3 3 2 4 2 4 2 2 3 2" xfId="53542" xr:uid="{00000000-0005-0000-0000-00000C470000}"/>
    <cellStyle name="Normal 3 3 2 4 2 4 2 2 4" xfId="36696" xr:uid="{00000000-0005-0000-0000-00000D470000}"/>
    <cellStyle name="Normal 3 3 2 4 2 4 2 3" xfId="4819" xr:uid="{00000000-0005-0000-0000-00000E470000}"/>
    <cellStyle name="Normal 3 3 2 4 2 4 2 3 2" xfId="25610" xr:uid="{00000000-0005-0000-0000-00000F470000}"/>
    <cellStyle name="Normal 3 3 2 4 2 4 2 3 2 2" xfId="57481" xr:uid="{00000000-0005-0000-0000-000010470000}"/>
    <cellStyle name="Normal 3 3 2 4 2 4 2 3 3" xfId="36698" xr:uid="{00000000-0005-0000-0000-000011470000}"/>
    <cellStyle name="Normal 3 3 2 4 2 4 2 4" xfId="17732" xr:uid="{00000000-0005-0000-0000-000012470000}"/>
    <cellStyle name="Normal 3 3 2 4 2 4 2 4 2" xfId="49603" xr:uid="{00000000-0005-0000-0000-000013470000}"/>
    <cellStyle name="Normal 3 3 2 4 2 4 2 5" xfId="36695" xr:uid="{00000000-0005-0000-0000-000014470000}"/>
    <cellStyle name="Normal 3 3 2 4 2 4 3" xfId="4820" xr:uid="{00000000-0005-0000-0000-000015470000}"/>
    <cellStyle name="Normal 3 3 2 4 2 4 3 2" xfId="4821" xr:uid="{00000000-0005-0000-0000-000016470000}"/>
    <cellStyle name="Normal 3 3 2 4 2 4 3 2 2" xfId="29548" xr:uid="{00000000-0005-0000-0000-000017470000}"/>
    <cellStyle name="Normal 3 3 2 4 2 4 3 2 2 2" xfId="61419" xr:uid="{00000000-0005-0000-0000-000018470000}"/>
    <cellStyle name="Normal 3 3 2 4 2 4 3 2 3" xfId="36700" xr:uid="{00000000-0005-0000-0000-000019470000}"/>
    <cellStyle name="Normal 3 3 2 4 2 4 3 3" xfId="21670" xr:uid="{00000000-0005-0000-0000-00001A470000}"/>
    <cellStyle name="Normal 3 3 2 4 2 4 3 3 2" xfId="53541" xr:uid="{00000000-0005-0000-0000-00001B470000}"/>
    <cellStyle name="Normal 3 3 2 4 2 4 3 4" xfId="36699" xr:uid="{00000000-0005-0000-0000-00001C470000}"/>
    <cellStyle name="Normal 3 3 2 4 2 4 4" xfId="4822" xr:uid="{00000000-0005-0000-0000-00001D470000}"/>
    <cellStyle name="Normal 3 3 2 4 2 4 4 2" xfId="25609" xr:uid="{00000000-0005-0000-0000-00001E470000}"/>
    <cellStyle name="Normal 3 3 2 4 2 4 4 2 2" xfId="57480" xr:uid="{00000000-0005-0000-0000-00001F470000}"/>
    <cellStyle name="Normal 3 3 2 4 2 4 4 3" xfId="36701" xr:uid="{00000000-0005-0000-0000-000020470000}"/>
    <cellStyle name="Normal 3 3 2 4 2 4 5" xfId="17731" xr:uid="{00000000-0005-0000-0000-000021470000}"/>
    <cellStyle name="Normal 3 3 2 4 2 4 5 2" xfId="49602" xr:uid="{00000000-0005-0000-0000-000022470000}"/>
    <cellStyle name="Normal 3 3 2 4 2 4 6" xfId="36694" xr:uid="{00000000-0005-0000-0000-000023470000}"/>
    <cellStyle name="Normal 3 3 2 4 2 5" xfId="4823" xr:uid="{00000000-0005-0000-0000-000024470000}"/>
    <cellStyle name="Normal 3 3 2 4 2 5 2" xfId="4824" xr:uid="{00000000-0005-0000-0000-000025470000}"/>
    <cellStyle name="Normal 3 3 2 4 2 5 2 2" xfId="4825" xr:uid="{00000000-0005-0000-0000-000026470000}"/>
    <cellStyle name="Normal 3 3 2 4 2 5 2 2 2" xfId="29550" xr:uid="{00000000-0005-0000-0000-000027470000}"/>
    <cellStyle name="Normal 3 3 2 4 2 5 2 2 2 2" xfId="61421" xr:uid="{00000000-0005-0000-0000-000028470000}"/>
    <cellStyle name="Normal 3 3 2 4 2 5 2 2 3" xfId="36704" xr:uid="{00000000-0005-0000-0000-000029470000}"/>
    <cellStyle name="Normal 3 3 2 4 2 5 2 3" xfId="21672" xr:uid="{00000000-0005-0000-0000-00002A470000}"/>
    <cellStyle name="Normal 3 3 2 4 2 5 2 3 2" xfId="53543" xr:uid="{00000000-0005-0000-0000-00002B470000}"/>
    <cellStyle name="Normal 3 3 2 4 2 5 2 4" xfId="36703" xr:uid="{00000000-0005-0000-0000-00002C470000}"/>
    <cellStyle name="Normal 3 3 2 4 2 5 3" xfId="4826" xr:uid="{00000000-0005-0000-0000-00002D470000}"/>
    <cellStyle name="Normal 3 3 2 4 2 5 3 2" xfId="25611" xr:uid="{00000000-0005-0000-0000-00002E470000}"/>
    <cellStyle name="Normal 3 3 2 4 2 5 3 2 2" xfId="57482" xr:uid="{00000000-0005-0000-0000-00002F470000}"/>
    <cellStyle name="Normal 3 3 2 4 2 5 3 3" xfId="36705" xr:uid="{00000000-0005-0000-0000-000030470000}"/>
    <cellStyle name="Normal 3 3 2 4 2 5 4" xfId="17733" xr:uid="{00000000-0005-0000-0000-000031470000}"/>
    <cellStyle name="Normal 3 3 2 4 2 5 4 2" xfId="49604" xr:uid="{00000000-0005-0000-0000-000032470000}"/>
    <cellStyle name="Normal 3 3 2 4 2 5 5" xfId="36702" xr:uid="{00000000-0005-0000-0000-000033470000}"/>
    <cellStyle name="Normal 3 3 2 4 2 6" xfId="4827" xr:uid="{00000000-0005-0000-0000-000034470000}"/>
    <cellStyle name="Normal 3 3 2 4 2 6 2" xfId="4828" xr:uid="{00000000-0005-0000-0000-000035470000}"/>
    <cellStyle name="Normal 3 3 2 4 2 6 2 2" xfId="28475" xr:uid="{00000000-0005-0000-0000-000036470000}"/>
    <cellStyle name="Normal 3 3 2 4 2 6 2 2 2" xfId="60346" xr:uid="{00000000-0005-0000-0000-000037470000}"/>
    <cellStyle name="Normal 3 3 2 4 2 6 2 3" xfId="36707" xr:uid="{00000000-0005-0000-0000-000038470000}"/>
    <cellStyle name="Normal 3 3 2 4 2 6 3" xfId="20597" xr:uid="{00000000-0005-0000-0000-000039470000}"/>
    <cellStyle name="Normal 3 3 2 4 2 6 3 2" xfId="52468" xr:uid="{00000000-0005-0000-0000-00003A470000}"/>
    <cellStyle name="Normal 3 3 2 4 2 6 4" xfId="36706" xr:uid="{00000000-0005-0000-0000-00003B470000}"/>
    <cellStyle name="Normal 3 3 2 4 2 7" xfId="4829" xr:uid="{00000000-0005-0000-0000-00003C470000}"/>
    <cellStyle name="Normal 3 3 2 4 2 7 2" xfId="24536" xr:uid="{00000000-0005-0000-0000-00003D470000}"/>
    <cellStyle name="Normal 3 3 2 4 2 7 2 2" xfId="56407" xr:uid="{00000000-0005-0000-0000-00003E470000}"/>
    <cellStyle name="Normal 3 3 2 4 2 7 3" xfId="36708" xr:uid="{00000000-0005-0000-0000-00003F470000}"/>
    <cellStyle name="Normal 3 3 2 4 2 8" xfId="16658" xr:uid="{00000000-0005-0000-0000-000040470000}"/>
    <cellStyle name="Normal 3 3 2 4 2 8 2" xfId="48529" xr:uid="{00000000-0005-0000-0000-000041470000}"/>
    <cellStyle name="Normal 3 3 2 4 2 9" xfId="36645" xr:uid="{00000000-0005-0000-0000-000042470000}"/>
    <cellStyle name="Normal 3 3 2 4 3" xfId="4830" xr:uid="{00000000-0005-0000-0000-000043470000}"/>
    <cellStyle name="Normal 3 3 2 4 3 2" xfId="4831" xr:uid="{00000000-0005-0000-0000-000044470000}"/>
    <cellStyle name="Normal 3 3 2 4 3 2 2" xfId="4832" xr:uid="{00000000-0005-0000-0000-000045470000}"/>
    <cellStyle name="Normal 3 3 2 4 3 2 2 2" xfId="4833" xr:uid="{00000000-0005-0000-0000-000046470000}"/>
    <cellStyle name="Normal 3 3 2 4 3 2 2 2 2" xfId="4834" xr:uid="{00000000-0005-0000-0000-000047470000}"/>
    <cellStyle name="Normal 3 3 2 4 3 2 2 2 2 2" xfId="4835" xr:uid="{00000000-0005-0000-0000-000048470000}"/>
    <cellStyle name="Normal 3 3 2 4 3 2 2 2 2 2 2" xfId="29554" xr:uid="{00000000-0005-0000-0000-000049470000}"/>
    <cellStyle name="Normal 3 3 2 4 3 2 2 2 2 2 2 2" xfId="61425" xr:uid="{00000000-0005-0000-0000-00004A470000}"/>
    <cellStyle name="Normal 3 3 2 4 3 2 2 2 2 2 3" xfId="36714" xr:uid="{00000000-0005-0000-0000-00004B470000}"/>
    <cellStyle name="Normal 3 3 2 4 3 2 2 2 2 3" xfId="21676" xr:uid="{00000000-0005-0000-0000-00004C470000}"/>
    <cellStyle name="Normal 3 3 2 4 3 2 2 2 2 3 2" xfId="53547" xr:uid="{00000000-0005-0000-0000-00004D470000}"/>
    <cellStyle name="Normal 3 3 2 4 3 2 2 2 2 4" xfId="36713" xr:uid="{00000000-0005-0000-0000-00004E470000}"/>
    <cellStyle name="Normal 3 3 2 4 3 2 2 2 3" xfId="4836" xr:uid="{00000000-0005-0000-0000-00004F470000}"/>
    <cellStyle name="Normal 3 3 2 4 3 2 2 2 3 2" xfId="25615" xr:uid="{00000000-0005-0000-0000-000050470000}"/>
    <cellStyle name="Normal 3 3 2 4 3 2 2 2 3 2 2" xfId="57486" xr:uid="{00000000-0005-0000-0000-000051470000}"/>
    <cellStyle name="Normal 3 3 2 4 3 2 2 2 3 3" xfId="36715" xr:uid="{00000000-0005-0000-0000-000052470000}"/>
    <cellStyle name="Normal 3 3 2 4 3 2 2 2 4" xfId="17737" xr:uid="{00000000-0005-0000-0000-000053470000}"/>
    <cellStyle name="Normal 3 3 2 4 3 2 2 2 4 2" xfId="49608" xr:uid="{00000000-0005-0000-0000-000054470000}"/>
    <cellStyle name="Normal 3 3 2 4 3 2 2 2 5" xfId="36712" xr:uid="{00000000-0005-0000-0000-000055470000}"/>
    <cellStyle name="Normal 3 3 2 4 3 2 2 3" xfId="4837" xr:uid="{00000000-0005-0000-0000-000056470000}"/>
    <cellStyle name="Normal 3 3 2 4 3 2 2 3 2" xfId="4838" xr:uid="{00000000-0005-0000-0000-000057470000}"/>
    <cellStyle name="Normal 3 3 2 4 3 2 2 3 2 2" xfId="29553" xr:uid="{00000000-0005-0000-0000-000058470000}"/>
    <cellStyle name="Normal 3 3 2 4 3 2 2 3 2 2 2" xfId="61424" xr:uid="{00000000-0005-0000-0000-000059470000}"/>
    <cellStyle name="Normal 3 3 2 4 3 2 2 3 2 3" xfId="36717" xr:uid="{00000000-0005-0000-0000-00005A470000}"/>
    <cellStyle name="Normal 3 3 2 4 3 2 2 3 3" xfId="21675" xr:uid="{00000000-0005-0000-0000-00005B470000}"/>
    <cellStyle name="Normal 3 3 2 4 3 2 2 3 3 2" xfId="53546" xr:uid="{00000000-0005-0000-0000-00005C470000}"/>
    <cellStyle name="Normal 3 3 2 4 3 2 2 3 4" xfId="36716" xr:uid="{00000000-0005-0000-0000-00005D470000}"/>
    <cellStyle name="Normal 3 3 2 4 3 2 2 4" xfId="4839" xr:uid="{00000000-0005-0000-0000-00005E470000}"/>
    <cellStyle name="Normal 3 3 2 4 3 2 2 4 2" xfId="25614" xr:uid="{00000000-0005-0000-0000-00005F470000}"/>
    <cellStyle name="Normal 3 3 2 4 3 2 2 4 2 2" xfId="57485" xr:uid="{00000000-0005-0000-0000-000060470000}"/>
    <cellStyle name="Normal 3 3 2 4 3 2 2 4 3" xfId="36718" xr:uid="{00000000-0005-0000-0000-000061470000}"/>
    <cellStyle name="Normal 3 3 2 4 3 2 2 5" xfId="17736" xr:uid="{00000000-0005-0000-0000-000062470000}"/>
    <cellStyle name="Normal 3 3 2 4 3 2 2 5 2" xfId="49607" xr:uid="{00000000-0005-0000-0000-000063470000}"/>
    <cellStyle name="Normal 3 3 2 4 3 2 2 6" xfId="36711" xr:uid="{00000000-0005-0000-0000-000064470000}"/>
    <cellStyle name="Normal 3 3 2 4 3 2 3" xfId="4840" xr:uid="{00000000-0005-0000-0000-000065470000}"/>
    <cellStyle name="Normal 3 3 2 4 3 2 3 2" xfId="4841" xr:uid="{00000000-0005-0000-0000-000066470000}"/>
    <cellStyle name="Normal 3 3 2 4 3 2 3 2 2" xfId="4842" xr:uid="{00000000-0005-0000-0000-000067470000}"/>
    <cellStyle name="Normal 3 3 2 4 3 2 3 2 2 2" xfId="29555" xr:uid="{00000000-0005-0000-0000-000068470000}"/>
    <cellStyle name="Normal 3 3 2 4 3 2 3 2 2 2 2" xfId="61426" xr:uid="{00000000-0005-0000-0000-000069470000}"/>
    <cellStyle name="Normal 3 3 2 4 3 2 3 2 2 3" xfId="36721" xr:uid="{00000000-0005-0000-0000-00006A470000}"/>
    <cellStyle name="Normal 3 3 2 4 3 2 3 2 3" xfId="21677" xr:uid="{00000000-0005-0000-0000-00006B470000}"/>
    <cellStyle name="Normal 3 3 2 4 3 2 3 2 3 2" xfId="53548" xr:uid="{00000000-0005-0000-0000-00006C470000}"/>
    <cellStyle name="Normal 3 3 2 4 3 2 3 2 4" xfId="36720" xr:uid="{00000000-0005-0000-0000-00006D470000}"/>
    <cellStyle name="Normal 3 3 2 4 3 2 3 3" xfId="4843" xr:uid="{00000000-0005-0000-0000-00006E470000}"/>
    <cellStyle name="Normal 3 3 2 4 3 2 3 3 2" xfId="25616" xr:uid="{00000000-0005-0000-0000-00006F470000}"/>
    <cellStyle name="Normal 3 3 2 4 3 2 3 3 2 2" xfId="57487" xr:uid="{00000000-0005-0000-0000-000070470000}"/>
    <cellStyle name="Normal 3 3 2 4 3 2 3 3 3" xfId="36722" xr:uid="{00000000-0005-0000-0000-000071470000}"/>
    <cellStyle name="Normal 3 3 2 4 3 2 3 4" xfId="17738" xr:uid="{00000000-0005-0000-0000-000072470000}"/>
    <cellStyle name="Normal 3 3 2 4 3 2 3 4 2" xfId="49609" xr:uid="{00000000-0005-0000-0000-000073470000}"/>
    <cellStyle name="Normal 3 3 2 4 3 2 3 5" xfId="36719" xr:uid="{00000000-0005-0000-0000-000074470000}"/>
    <cellStyle name="Normal 3 3 2 4 3 2 4" xfId="4844" xr:uid="{00000000-0005-0000-0000-000075470000}"/>
    <cellStyle name="Normal 3 3 2 4 3 2 4 2" xfId="4845" xr:uid="{00000000-0005-0000-0000-000076470000}"/>
    <cellStyle name="Normal 3 3 2 4 3 2 4 2 2" xfId="29552" xr:uid="{00000000-0005-0000-0000-000077470000}"/>
    <cellStyle name="Normal 3 3 2 4 3 2 4 2 2 2" xfId="61423" xr:uid="{00000000-0005-0000-0000-000078470000}"/>
    <cellStyle name="Normal 3 3 2 4 3 2 4 2 3" xfId="36724" xr:uid="{00000000-0005-0000-0000-000079470000}"/>
    <cellStyle name="Normal 3 3 2 4 3 2 4 3" xfId="21674" xr:uid="{00000000-0005-0000-0000-00007A470000}"/>
    <cellStyle name="Normal 3 3 2 4 3 2 4 3 2" xfId="53545" xr:uid="{00000000-0005-0000-0000-00007B470000}"/>
    <cellStyle name="Normal 3 3 2 4 3 2 4 4" xfId="36723" xr:uid="{00000000-0005-0000-0000-00007C470000}"/>
    <cellStyle name="Normal 3 3 2 4 3 2 5" xfId="4846" xr:uid="{00000000-0005-0000-0000-00007D470000}"/>
    <cellStyle name="Normal 3 3 2 4 3 2 5 2" xfId="25613" xr:uid="{00000000-0005-0000-0000-00007E470000}"/>
    <cellStyle name="Normal 3 3 2 4 3 2 5 2 2" xfId="57484" xr:uid="{00000000-0005-0000-0000-00007F470000}"/>
    <cellStyle name="Normal 3 3 2 4 3 2 5 3" xfId="36725" xr:uid="{00000000-0005-0000-0000-000080470000}"/>
    <cellStyle name="Normal 3 3 2 4 3 2 6" xfId="17735" xr:uid="{00000000-0005-0000-0000-000081470000}"/>
    <cellStyle name="Normal 3 3 2 4 3 2 6 2" xfId="49606" xr:uid="{00000000-0005-0000-0000-000082470000}"/>
    <cellStyle name="Normal 3 3 2 4 3 2 7" xfId="36710" xr:uid="{00000000-0005-0000-0000-000083470000}"/>
    <cellStyle name="Normal 3 3 2 4 3 3" xfId="4847" xr:uid="{00000000-0005-0000-0000-000084470000}"/>
    <cellStyle name="Normal 3 3 2 4 3 3 2" xfId="4848" xr:uid="{00000000-0005-0000-0000-000085470000}"/>
    <cellStyle name="Normal 3 3 2 4 3 3 2 2" xfId="4849" xr:uid="{00000000-0005-0000-0000-000086470000}"/>
    <cellStyle name="Normal 3 3 2 4 3 3 2 2 2" xfId="4850" xr:uid="{00000000-0005-0000-0000-000087470000}"/>
    <cellStyle name="Normal 3 3 2 4 3 3 2 2 2 2" xfId="29557" xr:uid="{00000000-0005-0000-0000-000088470000}"/>
    <cellStyle name="Normal 3 3 2 4 3 3 2 2 2 2 2" xfId="61428" xr:uid="{00000000-0005-0000-0000-000089470000}"/>
    <cellStyle name="Normal 3 3 2 4 3 3 2 2 2 3" xfId="36729" xr:uid="{00000000-0005-0000-0000-00008A470000}"/>
    <cellStyle name="Normal 3 3 2 4 3 3 2 2 3" xfId="21679" xr:uid="{00000000-0005-0000-0000-00008B470000}"/>
    <cellStyle name="Normal 3 3 2 4 3 3 2 2 3 2" xfId="53550" xr:uid="{00000000-0005-0000-0000-00008C470000}"/>
    <cellStyle name="Normal 3 3 2 4 3 3 2 2 4" xfId="36728" xr:uid="{00000000-0005-0000-0000-00008D470000}"/>
    <cellStyle name="Normal 3 3 2 4 3 3 2 3" xfId="4851" xr:uid="{00000000-0005-0000-0000-00008E470000}"/>
    <cellStyle name="Normal 3 3 2 4 3 3 2 3 2" xfId="25618" xr:uid="{00000000-0005-0000-0000-00008F470000}"/>
    <cellStyle name="Normal 3 3 2 4 3 3 2 3 2 2" xfId="57489" xr:uid="{00000000-0005-0000-0000-000090470000}"/>
    <cellStyle name="Normal 3 3 2 4 3 3 2 3 3" xfId="36730" xr:uid="{00000000-0005-0000-0000-000091470000}"/>
    <cellStyle name="Normal 3 3 2 4 3 3 2 4" xfId="17740" xr:uid="{00000000-0005-0000-0000-000092470000}"/>
    <cellStyle name="Normal 3 3 2 4 3 3 2 4 2" xfId="49611" xr:uid="{00000000-0005-0000-0000-000093470000}"/>
    <cellStyle name="Normal 3 3 2 4 3 3 2 5" xfId="36727" xr:uid="{00000000-0005-0000-0000-000094470000}"/>
    <cellStyle name="Normal 3 3 2 4 3 3 3" xfId="4852" xr:uid="{00000000-0005-0000-0000-000095470000}"/>
    <cellStyle name="Normal 3 3 2 4 3 3 3 2" xfId="4853" xr:uid="{00000000-0005-0000-0000-000096470000}"/>
    <cellStyle name="Normal 3 3 2 4 3 3 3 2 2" xfId="29556" xr:uid="{00000000-0005-0000-0000-000097470000}"/>
    <cellStyle name="Normal 3 3 2 4 3 3 3 2 2 2" xfId="61427" xr:uid="{00000000-0005-0000-0000-000098470000}"/>
    <cellStyle name="Normal 3 3 2 4 3 3 3 2 3" xfId="36732" xr:uid="{00000000-0005-0000-0000-000099470000}"/>
    <cellStyle name="Normal 3 3 2 4 3 3 3 3" xfId="21678" xr:uid="{00000000-0005-0000-0000-00009A470000}"/>
    <cellStyle name="Normal 3 3 2 4 3 3 3 3 2" xfId="53549" xr:uid="{00000000-0005-0000-0000-00009B470000}"/>
    <cellStyle name="Normal 3 3 2 4 3 3 3 4" xfId="36731" xr:uid="{00000000-0005-0000-0000-00009C470000}"/>
    <cellStyle name="Normal 3 3 2 4 3 3 4" xfId="4854" xr:uid="{00000000-0005-0000-0000-00009D470000}"/>
    <cellStyle name="Normal 3 3 2 4 3 3 4 2" xfId="25617" xr:uid="{00000000-0005-0000-0000-00009E470000}"/>
    <cellStyle name="Normal 3 3 2 4 3 3 4 2 2" xfId="57488" xr:uid="{00000000-0005-0000-0000-00009F470000}"/>
    <cellStyle name="Normal 3 3 2 4 3 3 4 3" xfId="36733" xr:uid="{00000000-0005-0000-0000-0000A0470000}"/>
    <cellStyle name="Normal 3 3 2 4 3 3 5" xfId="17739" xr:uid="{00000000-0005-0000-0000-0000A1470000}"/>
    <cellStyle name="Normal 3 3 2 4 3 3 5 2" xfId="49610" xr:uid="{00000000-0005-0000-0000-0000A2470000}"/>
    <cellStyle name="Normal 3 3 2 4 3 3 6" xfId="36726" xr:uid="{00000000-0005-0000-0000-0000A3470000}"/>
    <cellStyle name="Normal 3 3 2 4 3 4" xfId="4855" xr:uid="{00000000-0005-0000-0000-0000A4470000}"/>
    <cellStyle name="Normal 3 3 2 4 3 4 2" xfId="4856" xr:uid="{00000000-0005-0000-0000-0000A5470000}"/>
    <cellStyle name="Normal 3 3 2 4 3 4 2 2" xfId="4857" xr:uid="{00000000-0005-0000-0000-0000A6470000}"/>
    <cellStyle name="Normal 3 3 2 4 3 4 2 2 2" xfId="29558" xr:uid="{00000000-0005-0000-0000-0000A7470000}"/>
    <cellStyle name="Normal 3 3 2 4 3 4 2 2 2 2" xfId="61429" xr:uid="{00000000-0005-0000-0000-0000A8470000}"/>
    <cellStyle name="Normal 3 3 2 4 3 4 2 2 3" xfId="36736" xr:uid="{00000000-0005-0000-0000-0000A9470000}"/>
    <cellStyle name="Normal 3 3 2 4 3 4 2 3" xfId="21680" xr:uid="{00000000-0005-0000-0000-0000AA470000}"/>
    <cellStyle name="Normal 3 3 2 4 3 4 2 3 2" xfId="53551" xr:uid="{00000000-0005-0000-0000-0000AB470000}"/>
    <cellStyle name="Normal 3 3 2 4 3 4 2 4" xfId="36735" xr:uid="{00000000-0005-0000-0000-0000AC470000}"/>
    <cellStyle name="Normal 3 3 2 4 3 4 3" xfId="4858" xr:uid="{00000000-0005-0000-0000-0000AD470000}"/>
    <cellStyle name="Normal 3 3 2 4 3 4 3 2" xfId="25619" xr:uid="{00000000-0005-0000-0000-0000AE470000}"/>
    <cellStyle name="Normal 3 3 2 4 3 4 3 2 2" xfId="57490" xr:uid="{00000000-0005-0000-0000-0000AF470000}"/>
    <cellStyle name="Normal 3 3 2 4 3 4 3 3" xfId="36737" xr:uid="{00000000-0005-0000-0000-0000B0470000}"/>
    <cellStyle name="Normal 3 3 2 4 3 4 4" xfId="17741" xr:uid="{00000000-0005-0000-0000-0000B1470000}"/>
    <cellStyle name="Normal 3 3 2 4 3 4 4 2" xfId="49612" xr:uid="{00000000-0005-0000-0000-0000B2470000}"/>
    <cellStyle name="Normal 3 3 2 4 3 4 5" xfId="36734" xr:uid="{00000000-0005-0000-0000-0000B3470000}"/>
    <cellStyle name="Normal 3 3 2 4 3 5" xfId="4859" xr:uid="{00000000-0005-0000-0000-0000B4470000}"/>
    <cellStyle name="Normal 3 3 2 4 3 5 2" xfId="4860" xr:uid="{00000000-0005-0000-0000-0000B5470000}"/>
    <cellStyle name="Normal 3 3 2 4 3 5 2 2" xfId="29551" xr:uid="{00000000-0005-0000-0000-0000B6470000}"/>
    <cellStyle name="Normal 3 3 2 4 3 5 2 2 2" xfId="61422" xr:uid="{00000000-0005-0000-0000-0000B7470000}"/>
    <cellStyle name="Normal 3 3 2 4 3 5 2 3" xfId="36739" xr:uid="{00000000-0005-0000-0000-0000B8470000}"/>
    <cellStyle name="Normal 3 3 2 4 3 5 3" xfId="21673" xr:uid="{00000000-0005-0000-0000-0000B9470000}"/>
    <cellStyle name="Normal 3 3 2 4 3 5 3 2" xfId="53544" xr:uid="{00000000-0005-0000-0000-0000BA470000}"/>
    <cellStyle name="Normal 3 3 2 4 3 5 4" xfId="36738" xr:uid="{00000000-0005-0000-0000-0000BB470000}"/>
    <cellStyle name="Normal 3 3 2 4 3 6" xfId="4861" xr:uid="{00000000-0005-0000-0000-0000BC470000}"/>
    <cellStyle name="Normal 3 3 2 4 3 6 2" xfId="25612" xr:uid="{00000000-0005-0000-0000-0000BD470000}"/>
    <cellStyle name="Normal 3 3 2 4 3 6 2 2" xfId="57483" xr:uid="{00000000-0005-0000-0000-0000BE470000}"/>
    <cellStyle name="Normal 3 3 2 4 3 6 3" xfId="36740" xr:uid="{00000000-0005-0000-0000-0000BF470000}"/>
    <cellStyle name="Normal 3 3 2 4 3 7" xfId="17734" xr:uid="{00000000-0005-0000-0000-0000C0470000}"/>
    <cellStyle name="Normal 3 3 2 4 3 7 2" xfId="49605" xr:uid="{00000000-0005-0000-0000-0000C1470000}"/>
    <cellStyle name="Normal 3 3 2 4 3 8" xfId="36709" xr:uid="{00000000-0005-0000-0000-0000C2470000}"/>
    <cellStyle name="Normal 3 3 2 4 4" xfId="4862" xr:uid="{00000000-0005-0000-0000-0000C3470000}"/>
    <cellStyle name="Normal 3 3 2 4 4 2" xfId="4863" xr:uid="{00000000-0005-0000-0000-0000C4470000}"/>
    <cellStyle name="Normal 3 3 2 4 4 2 2" xfId="4864" xr:uid="{00000000-0005-0000-0000-0000C5470000}"/>
    <cellStyle name="Normal 3 3 2 4 4 2 2 2" xfId="4865" xr:uid="{00000000-0005-0000-0000-0000C6470000}"/>
    <cellStyle name="Normal 3 3 2 4 4 2 2 2 2" xfId="4866" xr:uid="{00000000-0005-0000-0000-0000C7470000}"/>
    <cellStyle name="Normal 3 3 2 4 4 2 2 2 2 2" xfId="29561" xr:uid="{00000000-0005-0000-0000-0000C8470000}"/>
    <cellStyle name="Normal 3 3 2 4 4 2 2 2 2 2 2" xfId="61432" xr:uid="{00000000-0005-0000-0000-0000C9470000}"/>
    <cellStyle name="Normal 3 3 2 4 4 2 2 2 2 3" xfId="36745" xr:uid="{00000000-0005-0000-0000-0000CA470000}"/>
    <cellStyle name="Normal 3 3 2 4 4 2 2 2 3" xfId="21683" xr:uid="{00000000-0005-0000-0000-0000CB470000}"/>
    <cellStyle name="Normal 3 3 2 4 4 2 2 2 3 2" xfId="53554" xr:uid="{00000000-0005-0000-0000-0000CC470000}"/>
    <cellStyle name="Normal 3 3 2 4 4 2 2 2 4" xfId="36744" xr:uid="{00000000-0005-0000-0000-0000CD470000}"/>
    <cellStyle name="Normal 3 3 2 4 4 2 2 3" xfId="4867" xr:uid="{00000000-0005-0000-0000-0000CE470000}"/>
    <cellStyle name="Normal 3 3 2 4 4 2 2 3 2" xfId="25622" xr:uid="{00000000-0005-0000-0000-0000CF470000}"/>
    <cellStyle name="Normal 3 3 2 4 4 2 2 3 2 2" xfId="57493" xr:uid="{00000000-0005-0000-0000-0000D0470000}"/>
    <cellStyle name="Normal 3 3 2 4 4 2 2 3 3" xfId="36746" xr:uid="{00000000-0005-0000-0000-0000D1470000}"/>
    <cellStyle name="Normal 3 3 2 4 4 2 2 4" xfId="17744" xr:uid="{00000000-0005-0000-0000-0000D2470000}"/>
    <cellStyle name="Normal 3 3 2 4 4 2 2 4 2" xfId="49615" xr:uid="{00000000-0005-0000-0000-0000D3470000}"/>
    <cellStyle name="Normal 3 3 2 4 4 2 2 5" xfId="36743" xr:uid="{00000000-0005-0000-0000-0000D4470000}"/>
    <cellStyle name="Normal 3 3 2 4 4 2 3" xfId="4868" xr:uid="{00000000-0005-0000-0000-0000D5470000}"/>
    <cellStyle name="Normal 3 3 2 4 4 2 3 2" xfId="4869" xr:uid="{00000000-0005-0000-0000-0000D6470000}"/>
    <cellStyle name="Normal 3 3 2 4 4 2 3 2 2" xfId="29560" xr:uid="{00000000-0005-0000-0000-0000D7470000}"/>
    <cellStyle name="Normal 3 3 2 4 4 2 3 2 2 2" xfId="61431" xr:uid="{00000000-0005-0000-0000-0000D8470000}"/>
    <cellStyle name="Normal 3 3 2 4 4 2 3 2 3" xfId="36748" xr:uid="{00000000-0005-0000-0000-0000D9470000}"/>
    <cellStyle name="Normal 3 3 2 4 4 2 3 3" xfId="21682" xr:uid="{00000000-0005-0000-0000-0000DA470000}"/>
    <cellStyle name="Normal 3 3 2 4 4 2 3 3 2" xfId="53553" xr:uid="{00000000-0005-0000-0000-0000DB470000}"/>
    <cellStyle name="Normal 3 3 2 4 4 2 3 4" xfId="36747" xr:uid="{00000000-0005-0000-0000-0000DC470000}"/>
    <cellStyle name="Normal 3 3 2 4 4 2 4" xfId="4870" xr:uid="{00000000-0005-0000-0000-0000DD470000}"/>
    <cellStyle name="Normal 3 3 2 4 4 2 4 2" xfId="25621" xr:uid="{00000000-0005-0000-0000-0000DE470000}"/>
    <cellStyle name="Normal 3 3 2 4 4 2 4 2 2" xfId="57492" xr:uid="{00000000-0005-0000-0000-0000DF470000}"/>
    <cellStyle name="Normal 3 3 2 4 4 2 4 3" xfId="36749" xr:uid="{00000000-0005-0000-0000-0000E0470000}"/>
    <cellStyle name="Normal 3 3 2 4 4 2 5" xfId="17743" xr:uid="{00000000-0005-0000-0000-0000E1470000}"/>
    <cellStyle name="Normal 3 3 2 4 4 2 5 2" xfId="49614" xr:uid="{00000000-0005-0000-0000-0000E2470000}"/>
    <cellStyle name="Normal 3 3 2 4 4 2 6" xfId="36742" xr:uid="{00000000-0005-0000-0000-0000E3470000}"/>
    <cellStyle name="Normal 3 3 2 4 4 3" xfId="4871" xr:uid="{00000000-0005-0000-0000-0000E4470000}"/>
    <cellStyle name="Normal 3 3 2 4 4 3 2" xfId="4872" xr:uid="{00000000-0005-0000-0000-0000E5470000}"/>
    <cellStyle name="Normal 3 3 2 4 4 3 2 2" xfId="4873" xr:uid="{00000000-0005-0000-0000-0000E6470000}"/>
    <cellStyle name="Normal 3 3 2 4 4 3 2 2 2" xfId="29562" xr:uid="{00000000-0005-0000-0000-0000E7470000}"/>
    <cellStyle name="Normal 3 3 2 4 4 3 2 2 2 2" xfId="61433" xr:uid="{00000000-0005-0000-0000-0000E8470000}"/>
    <cellStyle name="Normal 3 3 2 4 4 3 2 2 3" xfId="36752" xr:uid="{00000000-0005-0000-0000-0000E9470000}"/>
    <cellStyle name="Normal 3 3 2 4 4 3 2 3" xfId="21684" xr:uid="{00000000-0005-0000-0000-0000EA470000}"/>
    <cellStyle name="Normal 3 3 2 4 4 3 2 3 2" xfId="53555" xr:uid="{00000000-0005-0000-0000-0000EB470000}"/>
    <cellStyle name="Normal 3 3 2 4 4 3 2 4" xfId="36751" xr:uid="{00000000-0005-0000-0000-0000EC470000}"/>
    <cellStyle name="Normal 3 3 2 4 4 3 3" xfId="4874" xr:uid="{00000000-0005-0000-0000-0000ED470000}"/>
    <cellStyle name="Normal 3 3 2 4 4 3 3 2" xfId="25623" xr:uid="{00000000-0005-0000-0000-0000EE470000}"/>
    <cellStyle name="Normal 3 3 2 4 4 3 3 2 2" xfId="57494" xr:uid="{00000000-0005-0000-0000-0000EF470000}"/>
    <cellStyle name="Normal 3 3 2 4 4 3 3 3" xfId="36753" xr:uid="{00000000-0005-0000-0000-0000F0470000}"/>
    <cellStyle name="Normal 3 3 2 4 4 3 4" xfId="17745" xr:uid="{00000000-0005-0000-0000-0000F1470000}"/>
    <cellStyle name="Normal 3 3 2 4 4 3 4 2" xfId="49616" xr:uid="{00000000-0005-0000-0000-0000F2470000}"/>
    <cellStyle name="Normal 3 3 2 4 4 3 5" xfId="36750" xr:uid="{00000000-0005-0000-0000-0000F3470000}"/>
    <cellStyle name="Normal 3 3 2 4 4 4" xfId="4875" xr:uid="{00000000-0005-0000-0000-0000F4470000}"/>
    <cellStyle name="Normal 3 3 2 4 4 4 2" xfId="4876" xr:uid="{00000000-0005-0000-0000-0000F5470000}"/>
    <cellStyle name="Normal 3 3 2 4 4 4 2 2" xfId="29559" xr:uid="{00000000-0005-0000-0000-0000F6470000}"/>
    <cellStyle name="Normal 3 3 2 4 4 4 2 2 2" xfId="61430" xr:uid="{00000000-0005-0000-0000-0000F7470000}"/>
    <cellStyle name="Normal 3 3 2 4 4 4 2 3" xfId="36755" xr:uid="{00000000-0005-0000-0000-0000F8470000}"/>
    <cellStyle name="Normal 3 3 2 4 4 4 3" xfId="21681" xr:uid="{00000000-0005-0000-0000-0000F9470000}"/>
    <cellStyle name="Normal 3 3 2 4 4 4 3 2" xfId="53552" xr:uid="{00000000-0005-0000-0000-0000FA470000}"/>
    <cellStyle name="Normal 3 3 2 4 4 4 4" xfId="36754" xr:uid="{00000000-0005-0000-0000-0000FB470000}"/>
    <cellStyle name="Normal 3 3 2 4 4 5" xfId="4877" xr:uid="{00000000-0005-0000-0000-0000FC470000}"/>
    <cellStyle name="Normal 3 3 2 4 4 5 2" xfId="25620" xr:uid="{00000000-0005-0000-0000-0000FD470000}"/>
    <cellStyle name="Normal 3 3 2 4 4 5 2 2" xfId="57491" xr:uid="{00000000-0005-0000-0000-0000FE470000}"/>
    <cellStyle name="Normal 3 3 2 4 4 5 3" xfId="36756" xr:uid="{00000000-0005-0000-0000-0000FF470000}"/>
    <cellStyle name="Normal 3 3 2 4 4 6" xfId="17742" xr:uid="{00000000-0005-0000-0000-000000480000}"/>
    <cellStyle name="Normal 3 3 2 4 4 6 2" xfId="49613" xr:uid="{00000000-0005-0000-0000-000001480000}"/>
    <cellStyle name="Normal 3 3 2 4 4 7" xfId="36741" xr:uid="{00000000-0005-0000-0000-000002480000}"/>
    <cellStyle name="Normal 3 3 2 4 5" xfId="4878" xr:uid="{00000000-0005-0000-0000-000003480000}"/>
    <cellStyle name="Normal 3 3 2 4 5 2" xfId="4879" xr:uid="{00000000-0005-0000-0000-000004480000}"/>
    <cellStyle name="Normal 3 3 2 4 5 2 2" xfId="4880" xr:uid="{00000000-0005-0000-0000-000005480000}"/>
    <cellStyle name="Normal 3 3 2 4 5 2 2 2" xfId="4881" xr:uid="{00000000-0005-0000-0000-000006480000}"/>
    <cellStyle name="Normal 3 3 2 4 5 2 2 2 2" xfId="29564" xr:uid="{00000000-0005-0000-0000-000007480000}"/>
    <cellStyle name="Normal 3 3 2 4 5 2 2 2 2 2" xfId="61435" xr:uid="{00000000-0005-0000-0000-000008480000}"/>
    <cellStyle name="Normal 3 3 2 4 5 2 2 2 3" xfId="36760" xr:uid="{00000000-0005-0000-0000-000009480000}"/>
    <cellStyle name="Normal 3 3 2 4 5 2 2 3" xfId="21686" xr:uid="{00000000-0005-0000-0000-00000A480000}"/>
    <cellStyle name="Normal 3 3 2 4 5 2 2 3 2" xfId="53557" xr:uid="{00000000-0005-0000-0000-00000B480000}"/>
    <cellStyle name="Normal 3 3 2 4 5 2 2 4" xfId="36759" xr:uid="{00000000-0005-0000-0000-00000C480000}"/>
    <cellStyle name="Normal 3 3 2 4 5 2 3" xfId="4882" xr:uid="{00000000-0005-0000-0000-00000D480000}"/>
    <cellStyle name="Normal 3 3 2 4 5 2 3 2" xfId="25625" xr:uid="{00000000-0005-0000-0000-00000E480000}"/>
    <cellStyle name="Normal 3 3 2 4 5 2 3 2 2" xfId="57496" xr:uid="{00000000-0005-0000-0000-00000F480000}"/>
    <cellStyle name="Normal 3 3 2 4 5 2 3 3" xfId="36761" xr:uid="{00000000-0005-0000-0000-000010480000}"/>
    <cellStyle name="Normal 3 3 2 4 5 2 4" xfId="17747" xr:uid="{00000000-0005-0000-0000-000011480000}"/>
    <cellStyle name="Normal 3 3 2 4 5 2 4 2" xfId="49618" xr:uid="{00000000-0005-0000-0000-000012480000}"/>
    <cellStyle name="Normal 3 3 2 4 5 2 5" xfId="36758" xr:uid="{00000000-0005-0000-0000-000013480000}"/>
    <cellStyle name="Normal 3 3 2 4 5 3" xfId="4883" xr:uid="{00000000-0005-0000-0000-000014480000}"/>
    <cellStyle name="Normal 3 3 2 4 5 3 2" xfId="4884" xr:uid="{00000000-0005-0000-0000-000015480000}"/>
    <cellStyle name="Normal 3 3 2 4 5 3 2 2" xfId="29563" xr:uid="{00000000-0005-0000-0000-000016480000}"/>
    <cellStyle name="Normal 3 3 2 4 5 3 2 2 2" xfId="61434" xr:uid="{00000000-0005-0000-0000-000017480000}"/>
    <cellStyle name="Normal 3 3 2 4 5 3 2 3" xfId="36763" xr:uid="{00000000-0005-0000-0000-000018480000}"/>
    <cellStyle name="Normal 3 3 2 4 5 3 3" xfId="21685" xr:uid="{00000000-0005-0000-0000-000019480000}"/>
    <cellStyle name="Normal 3 3 2 4 5 3 3 2" xfId="53556" xr:uid="{00000000-0005-0000-0000-00001A480000}"/>
    <cellStyle name="Normal 3 3 2 4 5 3 4" xfId="36762" xr:uid="{00000000-0005-0000-0000-00001B480000}"/>
    <cellStyle name="Normal 3 3 2 4 5 4" xfId="4885" xr:uid="{00000000-0005-0000-0000-00001C480000}"/>
    <cellStyle name="Normal 3 3 2 4 5 4 2" xfId="25624" xr:uid="{00000000-0005-0000-0000-00001D480000}"/>
    <cellStyle name="Normal 3 3 2 4 5 4 2 2" xfId="57495" xr:uid="{00000000-0005-0000-0000-00001E480000}"/>
    <cellStyle name="Normal 3 3 2 4 5 4 3" xfId="36764" xr:uid="{00000000-0005-0000-0000-00001F480000}"/>
    <cellStyle name="Normal 3 3 2 4 5 5" xfId="17746" xr:uid="{00000000-0005-0000-0000-000020480000}"/>
    <cellStyle name="Normal 3 3 2 4 5 5 2" xfId="49617" xr:uid="{00000000-0005-0000-0000-000021480000}"/>
    <cellStyle name="Normal 3 3 2 4 5 6" xfId="36757" xr:uid="{00000000-0005-0000-0000-000022480000}"/>
    <cellStyle name="Normal 3 3 2 4 6" xfId="4886" xr:uid="{00000000-0005-0000-0000-000023480000}"/>
    <cellStyle name="Normal 3 3 2 4 6 2" xfId="4887" xr:uid="{00000000-0005-0000-0000-000024480000}"/>
    <cellStyle name="Normal 3 3 2 4 6 2 2" xfId="4888" xr:uid="{00000000-0005-0000-0000-000025480000}"/>
    <cellStyle name="Normal 3 3 2 4 6 2 2 2" xfId="29565" xr:uid="{00000000-0005-0000-0000-000026480000}"/>
    <cellStyle name="Normal 3 3 2 4 6 2 2 2 2" xfId="61436" xr:uid="{00000000-0005-0000-0000-000027480000}"/>
    <cellStyle name="Normal 3 3 2 4 6 2 2 3" xfId="36767" xr:uid="{00000000-0005-0000-0000-000028480000}"/>
    <cellStyle name="Normal 3 3 2 4 6 2 3" xfId="21687" xr:uid="{00000000-0005-0000-0000-000029480000}"/>
    <cellStyle name="Normal 3 3 2 4 6 2 3 2" xfId="53558" xr:uid="{00000000-0005-0000-0000-00002A480000}"/>
    <cellStyle name="Normal 3 3 2 4 6 2 4" xfId="36766" xr:uid="{00000000-0005-0000-0000-00002B480000}"/>
    <cellStyle name="Normal 3 3 2 4 6 3" xfId="4889" xr:uid="{00000000-0005-0000-0000-00002C480000}"/>
    <cellStyle name="Normal 3 3 2 4 6 3 2" xfId="25626" xr:uid="{00000000-0005-0000-0000-00002D480000}"/>
    <cellStyle name="Normal 3 3 2 4 6 3 2 2" xfId="57497" xr:uid="{00000000-0005-0000-0000-00002E480000}"/>
    <cellStyle name="Normal 3 3 2 4 6 3 3" xfId="36768" xr:uid="{00000000-0005-0000-0000-00002F480000}"/>
    <cellStyle name="Normal 3 3 2 4 6 4" xfId="17748" xr:uid="{00000000-0005-0000-0000-000030480000}"/>
    <cellStyle name="Normal 3 3 2 4 6 4 2" xfId="49619" xr:uid="{00000000-0005-0000-0000-000031480000}"/>
    <cellStyle name="Normal 3 3 2 4 6 5" xfId="36765" xr:uid="{00000000-0005-0000-0000-000032480000}"/>
    <cellStyle name="Normal 3 3 2 4 7" xfId="4890" xr:uid="{00000000-0005-0000-0000-000033480000}"/>
    <cellStyle name="Normal 3 3 2 4 7 2" xfId="4891" xr:uid="{00000000-0005-0000-0000-000034480000}"/>
    <cellStyle name="Normal 3 3 2 4 7 2 2" xfId="28352" xr:uid="{00000000-0005-0000-0000-000035480000}"/>
    <cellStyle name="Normal 3 3 2 4 7 2 2 2" xfId="60223" xr:uid="{00000000-0005-0000-0000-000036480000}"/>
    <cellStyle name="Normal 3 3 2 4 7 2 3" xfId="36770" xr:uid="{00000000-0005-0000-0000-000037480000}"/>
    <cellStyle name="Normal 3 3 2 4 7 3" xfId="20474" xr:uid="{00000000-0005-0000-0000-000038480000}"/>
    <cellStyle name="Normal 3 3 2 4 7 3 2" xfId="52345" xr:uid="{00000000-0005-0000-0000-000039480000}"/>
    <cellStyle name="Normal 3 3 2 4 7 4" xfId="36769" xr:uid="{00000000-0005-0000-0000-00003A480000}"/>
    <cellStyle name="Normal 3 3 2 4 8" xfId="4892" xr:uid="{00000000-0005-0000-0000-00003B480000}"/>
    <cellStyle name="Normal 3 3 2 4 8 2" xfId="24413" xr:uid="{00000000-0005-0000-0000-00003C480000}"/>
    <cellStyle name="Normal 3 3 2 4 8 2 2" xfId="56284" xr:uid="{00000000-0005-0000-0000-00003D480000}"/>
    <cellStyle name="Normal 3 3 2 4 8 3" xfId="36771" xr:uid="{00000000-0005-0000-0000-00003E480000}"/>
    <cellStyle name="Normal 3 3 2 4 9" xfId="16535" xr:uid="{00000000-0005-0000-0000-00003F480000}"/>
    <cellStyle name="Normal 3 3 2 4 9 2" xfId="48406" xr:uid="{00000000-0005-0000-0000-000040480000}"/>
    <cellStyle name="Normal 3 3 2 5" xfId="4893" xr:uid="{00000000-0005-0000-0000-000041480000}"/>
    <cellStyle name="Normal 3 3 2 5 2" xfId="4894" xr:uid="{00000000-0005-0000-0000-000042480000}"/>
    <cellStyle name="Normal 3 3 2 5 2 2" xfId="4895" xr:uid="{00000000-0005-0000-0000-000043480000}"/>
    <cellStyle name="Normal 3 3 2 5 2 2 2" xfId="4896" xr:uid="{00000000-0005-0000-0000-000044480000}"/>
    <cellStyle name="Normal 3 3 2 5 2 2 2 2" xfId="4897" xr:uid="{00000000-0005-0000-0000-000045480000}"/>
    <cellStyle name="Normal 3 3 2 5 2 2 2 2 2" xfId="4898" xr:uid="{00000000-0005-0000-0000-000046480000}"/>
    <cellStyle name="Normal 3 3 2 5 2 2 2 2 2 2" xfId="4899" xr:uid="{00000000-0005-0000-0000-000047480000}"/>
    <cellStyle name="Normal 3 3 2 5 2 2 2 2 2 2 2" xfId="29569" xr:uid="{00000000-0005-0000-0000-000048480000}"/>
    <cellStyle name="Normal 3 3 2 5 2 2 2 2 2 2 2 2" xfId="61440" xr:uid="{00000000-0005-0000-0000-000049480000}"/>
    <cellStyle name="Normal 3 3 2 5 2 2 2 2 2 2 3" xfId="36778" xr:uid="{00000000-0005-0000-0000-00004A480000}"/>
    <cellStyle name="Normal 3 3 2 5 2 2 2 2 2 3" xfId="21691" xr:uid="{00000000-0005-0000-0000-00004B480000}"/>
    <cellStyle name="Normal 3 3 2 5 2 2 2 2 2 3 2" xfId="53562" xr:uid="{00000000-0005-0000-0000-00004C480000}"/>
    <cellStyle name="Normal 3 3 2 5 2 2 2 2 2 4" xfId="36777" xr:uid="{00000000-0005-0000-0000-00004D480000}"/>
    <cellStyle name="Normal 3 3 2 5 2 2 2 2 3" xfId="4900" xr:uid="{00000000-0005-0000-0000-00004E480000}"/>
    <cellStyle name="Normal 3 3 2 5 2 2 2 2 3 2" xfId="25630" xr:uid="{00000000-0005-0000-0000-00004F480000}"/>
    <cellStyle name="Normal 3 3 2 5 2 2 2 2 3 2 2" xfId="57501" xr:uid="{00000000-0005-0000-0000-000050480000}"/>
    <cellStyle name="Normal 3 3 2 5 2 2 2 2 3 3" xfId="36779" xr:uid="{00000000-0005-0000-0000-000051480000}"/>
    <cellStyle name="Normal 3 3 2 5 2 2 2 2 4" xfId="17752" xr:uid="{00000000-0005-0000-0000-000052480000}"/>
    <cellStyle name="Normal 3 3 2 5 2 2 2 2 4 2" xfId="49623" xr:uid="{00000000-0005-0000-0000-000053480000}"/>
    <cellStyle name="Normal 3 3 2 5 2 2 2 2 5" xfId="36776" xr:uid="{00000000-0005-0000-0000-000054480000}"/>
    <cellStyle name="Normal 3 3 2 5 2 2 2 3" xfId="4901" xr:uid="{00000000-0005-0000-0000-000055480000}"/>
    <cellStyle name="Normal 3 3 2 5 2 2 2 3 2" xfId="4902" xr:uid="{00000000-0005-0000-0000-000056480000}"/>
    <cellStyle name="Normal 3 3 2 5 2 2 2 3 2 2" xfId="29568" xr:uid="{00000000-0005-0000-0000-000057480000}"/>
    <cellStyle name="Normal 3 3 2 5 2 2 2 3 2 2 2" xfId="61439" xr:uid="{00000000-0005-0000-0000-000058480000}"/>
    <cellStyle name="Normal 3 3 2 5 2 2 2 3 2 3" xfId="36781" xr:uid="{00000000-0005-0000-0000-000059480000}"/>
    <cellStyle name="Normal 3 3 2 5 2 2 2 3 3" xfId="21690" xr:uid="{00000000-0005-0000-0000-00005A480000}"/>
    <cellStyle name="Normal 3 3 2 5 2 2 2 3 3 2" xfId="53561" xr:uid="{00000000-0005-0000-0000-00005B480000}"/>
    <cellStyle name="Normal 3 3 2 5 2 2 2 3 4" xfId="36780" xr:uid="{00000000-0005-0000-0000-00005C480000}"/>
    <cellStyle name="Normal 3 3 2 5 2 2 2 4" xfId="4903" xr:uid="{00000000-0005-0000-0000-00005D480000}"/>
    <cellStyle name="Normal 3 3 2 5 2 2 2 4 2" xfId="25629" xr:uid="{00000000-0005-0000-0000-00005E480000}"/>
    <cellStyle name="Normal 3 3 2 5 2 2 2 4 2 2" xfId="57500" xr:uid="{00000000-0005-0000-0000-00005F480000}"/>
    <cellStyle name="Normal 3 3 2 5 2 2 2 4 3" xfId="36782" xr:uid="{00000000-0005-0000-0000-000060480000}"/>
    <cellStyle name="Normal 3 3 2 5 2 2 2 5" xfId="17751" xr:uid="{00000000-0005-0000-0000-000061480000}"/>
    <cellStyle name="Normal 3 3 2 5 2 2 2 5 2" xfId="49622" xr:uid="{00000000-0005-0000-0000-000062480000}"/>
    <cellStyle name="Normal 3 3 2 5 2 2 2 6" xfId="36775" xr:uid="{00000000-0005-0000-0000-000063480000}"/>
    <cellStyle name="Normal 3 3 2 5 2 2 3" xfId="4904" xr:uid="{00000000-0005-0000-0000-000064480000}"/>
    <cellStyle name="Normal 3 3 2 5 2 2 3 2" xfId="4905" xr:uid="{00000000-0005-0000-0000-000065480000}"/>
    <cellStyle name="Normal 3 3 2 5 2 2 3 2 2" xfId="4906" xr:uid="{00000000-0005-0000-0000-000066480000}"/>
    <cellStyle name="Normal 3 3 2 5 2 2 3 2 2 2" xfId="29570" xr:uid="{00000000-0005-0000-0000-000067480000}"/>
    <cellStyle name="Normal 3 3 2 5 2 2 3 2 2 2 2" xfId="61441" xr:uid="{00000000-0005-0000-0000-000068480000}"/>
    <cellStyle name="Normal 3 3 2 5 2 2 3 2 2 3" xfId="36785" xr:uid="{00000000-0005-0000-0000-000069480000}"/>
    <cellStyle name="Normal 3 3 2 5 2 2 3 2 3" xfId="21692" xr:uid="{00000000-0005-0000-0000-00006A480000}"/>
    <cellStyle name="Normal 3 3 2 5 2 2 3 2 3 2" xfId="53563" xr:uid="{00000000-0005-0000-0000-00006B480000}"/>
    <cellStyle name="Normal 3 3 2 5 2 2 3 2 4" xfId="36784" xr:uid="{00000000-0005-0000-0000-00006C480000}"/>
    <cellStyle name="Normal 3 3 2 5 2 2 3 3" xfId="4907" xr:uid="{00000000-0005-0000-0000-00006D480000}"/>
    <cellStyle name="Normal 3 3 2 5 2 2 3 3 2" xfId="25631" xr:uid="{00000000-0005-0000-0000-00006E480000}"/>
    <cellStyle name="Normal 3 3 2 5 2 2 3 3 2 2" xfId="57502" xr:uid="{00000000-0005-0000-0000-00006F480000}"/>
    <cellStyle name="Normal 3 3 2 5 2 2 3 3 3" xfId="36786" xr:uid="{00000000-0005-0000-0000-000070480000}"/>
    <cellStyle name="Normal 3 3 2 5 2 2 3 4" xfId="17753" xr:uid="{00000000-0005-0000-0000-000071480000}"/>
    <cellStyle name="Normal 3 3 2 5 2 2 3 4 2" xfId="49624" xr:uid="{00000000-0005-0000-0000-000072480000}"/>
    <cellStyle name="Normal 3 3 2 5 2 2 3 5" xfId="36783" xr:uid="{00000000-0005-0000-0000-000073480000}"/>
    <cellStyle name="Normal 3 3 2 5 2 2 4" xfId="4908" xr:uid="{00000000-0005-0000-0000-000074480000}"/>
    <cellStyle name="Normal 3 3 2 5 2 2 4 2" xfId="4909" xr:uid="{00000000-0005-0000-0000-000075480000}"/>
    <cellStyle name="Normal 3 3 2 5 2 2 4 2 2" xfId="29567" xr:uid="{00000000-0005-0000-0000-000076480000}"/>
    <cellStyle name="Normal 3 3 2 5 2 2 4 2 2 2" xfId="61438" xr:uid="{00000000-0005-0000-0000-000077480000}"/>
    <cellStyle name="Normal 3 3 2 5 2 2 4 2 3" xfId="36788" xr:uid="{00000000-0005-0000-0000-000078480000}"/>
    <cellStyle name="Normal 3 3 2 5 2 2 4 3" xfId="21689" xr:uid="{00000000-0005-0000-0000-000079480000}"/>
    <cellStyle name="Normal 3 3 2 5 2 2 4 3 2" xfId="53560" xr:uid="{00000000-0005-0000-0000-00007A480000}"/>
    <cellStyle name="Normal 3 3 2 5 2 2 4 4" xfId="36787" xr:uid="{00000000-0005-0000-0000-00007B480000}"/>
    <cellStyle name="Normal 3 3 2 5 2 2 5" xfId="4910" xr:uid="{00000000-0005-0000-0000-00007C480000}"/>
    <cellStyle name="Normal 3 3 2 5 2 2 5 2" xfId="25628" xr:uid="{00000000-0005-0000-0000-00007D480000}"/>
    <cellStyle name="Normal 3 3 2 5 2 2 5 2 2" xfId="57499" xr:uid="{00000000-0005-0000-0000-00007E480000}"/>
    <cellStyle name="Normal 3 3 2 5 2 2 5 3" xfId="36789" xr:uid="{00000000-0005-0000-0000-00007F480000}"/>
    <cellStyle name="Normal 3 3 2 5 2 2 6" xfId="17750" xr:uid="{00000000-0005-0000-0000-000080480000}"/>
    <cellStyle name="Normal 3 3 2 5 2 2 6 2" xfId="49621" xr:uid="{00000000-0005-0000-0000-000081480000}"/>
    <cellStyle name="Normal 3 3 2 5 2 2 7" xfId="36774" xr:uid="{00000000-0005-0000-0000-000082480000}"/>
    <cellStyle name="Normal 3 3 2 5 2 3" xfId="4911" xr:uid="{00000000-0005-0000-0000-000083480000}"/>
    <cellStyle name="Normal 3 3 2 5 2 3 2" xfId="4912" xr:uid="{00000000-0005-0000-0000-000084480000}"/>
    <cellStyle name="Normal 3 3 2 5 2 3 2 2" xfId="4913" xr:uid="{00000000-0005-0000-0000-000085480000}"/>
    <cellStyle name="Normal 3 3 2 5 2 3 2 2 2" xfId="4914" xr:uid="{00000000-0005-0000-0000-000086480000}"/>
    <cellStyle name="Normal 3 3 2 5 2 3 2 2 2 2" xfId="29572" xr:uid="{00000000-0005-0000-0000-000087480000}"/>
    <cellStyle name="Normal 3 3 2 5 2 3 2 2 2 2 2" xfId="61443" xr:uid="{00000000-0005-0000-0000-000088480000}"/>
    <cellStyle name="Normal 3 3 2 5 2 3 2 2 2 3" xfId="36793" xr:uid="{00000000-0005-0000-0000-000089480000}"/>
    <cellStyle name="Normal 3 3 2 5 2 3 2 2 3" xfId="21694" xr:uid="{00000000-0005-0000-0000-00008A480000}"/>
    <cellStyle name="Normal 3 3 2 5 2 3 2 2 3 2" xfId="53565" xr:uid="{00000000-0005-0000-0000-00008B480000}"/>
    <cellStyle name="Normal 3 3 2 5 2 3 2 2 4" xfId="36792" xr:uid="{00000000-0005-0000-0000-00008C480000}"/>
    <cellStyle name="Normal 3 3 2 5 2 3 2 3" xfId="4915" xr:uid="{00000000-0005-0000-0000-00008D480000}"/>
    <cellStyle name="Normal 3 3 2 5 2 3 2 3 2" xfId="25633" xr:uid="{00000000-0005-0000-0000-00008E480000}"/>
    <cellStyle name="Normal 3 3 2 5 2 3 2 3 2 2" xfId="57504" xr:uid="{00000000-0005-0000-0000-00008F480000}"/>
    <cellStyle name="Normal 3 3 2 5 2 3 2 3 3" xfId="36794" xr:uid="{00000000-0005-0000-0000-000090480000}"/>
    <cellStyle name="Normal 3 3 2 5 2 3 2 4" xfId="17755" xr:uid="{00000000-0005-0000-0000-000091480000}"/>
    <cellStyle name="Normal 3 3 2 5 2 3 2 4 2" xfId="49626" xr:uid="{00000000-0005-0000-0000-000092480000}"/>
    <cellStyle name="Normal 3 3 2 5 2 3 2 5" xfId="36791" xr:uid="{00000000-0005-0000-0000-000093480000}"/>
    <cellStyle name="Normal 3 3 2 5 2 3 3" xfId="4916" xr:uid="{00000000-0005-0000-0000-000094480000}"/>
    <cellStyle name="Normal 3 3 2 5 2 3 3 2" xfId="4917" xr:uid="{00000000-0005-0000-0000-000095480000}"/>
    <cellStyle name="Normal 3 3 2 5 2 3 3 2 2" xfId="29571" xr:uid="{00000000-0005-0000-0000-000096480000}"/>
    <cellStyle name="Normal 3 3 2 5 2 3 3 2 2 2" xfId="61442" xr:uid="{00000000-0005-0000-0000-000097480000}"/>
    <cellStyle name="Normal 3 3 2 5 2 3 3 2 3" xfId="36796" xr:uid="{00000000-0005-0000-0000-000098480000}"/>
    <cellStyle name="Normal 3 3 2 5 2 3 3 3" xfId="21693" xr:uid="{00000000-0005-0000-0000-000099480000}"/>
    <cellStyle name="Normal 3 3 2 5 2 3 3 3 2" xfId="53564" xr:uid="{00000000-0005-0000-0000-00009A480000}"/>
    <cellStyle name="Normal 3 3 2 5 2 3 3 4" xfId="36795" xr:uid="{00000000-0005-0000-0000-00009B480000}"/>
    <cellStyle name="Normal 3 3 2 5 2 3 4" xfId="4918" xr:uid="{00000000-0005-0000-0000-00009C480000}"/>
    <cellStyle name="Normal 3 3 2 5 2 3 4 2" xfId="25632" xr:uid="{00000000-0005-0000-0000-00009D480000}"/>
    <cellStyle name="Normal 3 3 2 5 2 3 4 2 2" xfId="57503" xr:uid="{00000000-0005-0000-0000-00009E480000}"/>
    <cellStyle name="Normal 3 3 2 5 2 3 4 3" xfId="36797" xr:uid="{00000000-0005-0000-0000-00009F480000}"/>
    <cellStyle name="Normal 3 3 2 5 2 3 5" xfId="17754" xr:uid="{00000000-0005-0000-0000-0000A0480000}"/>
    <cellStyle name="Normal 3 3 2 5 2 3 5 2" xfId="49625" xr:uid="{00000000-0005-0000-0000-0000A1480000}"/>
    <cellStyle name="Normal 3 3 2 5 2 3 6" xfId="36790" xr:uid="{00000000-0005-0000-0000-0000A2480000}"/>
    <cellStyle name="Normal 3 3 2 5 2 4" xfId="4919" xr:uid="{00000000-0005-0000-0000-0000A3480000}"/>
    <cellStyle name="Normal 3 3 2 5 2 4 2" xfId="4920" xr:uid="{00000000-0005-0000-0000-0000A4480000}"/>
    <cellStyle name="Normal 3 3 2 5 2 4 2 2" xfId="4921" xr:uid="{00000000-0005-0000-0000-0000A5480000}"/>
    <cellStyle name="Normal 3 3 2 5 2 4 2 2 2" xfId="29573" xr:uid="{00000000-0005-0000-0000-0000A6480000}"/>
    <cellStyle name="Normal 3 3 2 5 2 4 2 2 2 2" xfId="61444" xr:uid="{00000000-0005-0000-0000-0000A7480000}"/>
    <cellStyle name="Normal 3 3 2 5 2 4 2 2 3" xfId="36800" xr:uid="{00000000-0005-0000-0000-0000A8480000}"/>
    <cellStyle name="Normal 3 3 2 5 2 4 2 3" xfId="21695" xr:uid="{00000000-0005-0000-0000-0000A9480000}"/>
    <cellStyle name="Normal 3 3 2 5 2 4 2 3 2" xfId="53566" xr:uid="{00000000-0005-0000-0000-0000AA480000}"/>
    <cellStyle name="Normal 3 3 2 5 2 4 2 4" xfId="36799" xr:uid="{00000000-0005-0000-0000-0000AB480000}"/>
    <cellStyle name="Normal 3 3 2 5 2 4 3" xfId="4922" xr:uid="{00000000-0005-0000-0000-0000AC480000}"/>
    <cellStyle name="Normal 3 3 2 5 2 4 3 2" xfId="25634" xr:uid="{00000000-0005-0000-0000-0000AD480000}"/>
    <cellStyle name="Normal 3 3 2 5 2 4 3 2 2" xfId="57505" xr:uid="{00000000-0005-0000-0000-0000AE480000}"/>
    <cellStyle name="Normal 3 3 2 5 2 4 3 3" xfId="36801" xr:uid="{00000000-0005-0000-0000-0000AF480000}"/>
    <cellStyle name="Normal 3 3 2 5 2 4 4" xfId="17756" xr:uid="{00000000-0005-0000-0000-0000B0480000}"/>
    <cellStyle name="Normal 3 3 2 5 2 4 4 2" xfId="49627" xr:uid="{00000000-0005-0000-0000-0000B1480000}"/>
    <cellStyle name="Normal 3 3 2 5 2 4 5" xfId="36798" xr:uid="{00000000-0005-0000-0000-0000B2480000}"/>
    <cellStyle name="Normal 3 3 2 5 2 5" xfId="4923" xr:uid="{00000000-0005-0000-0000-0000B3480000}"/>
    <cellStyle name="Normal 3 3 2 5 2 5 2" xfId="4924" xr:uid="{00000000-0005-0000-0000-0000B4480000}"/>
    <cellStyle name="Normal 3 3 2 5 2 5 2 2" xfId="29566" xr:uid="{00000000-0005-0000-0000-0000B5480000}"/>
    <cellStyle name="Normal 3 3 2 5 2 5 2 2 2" xfId="61437" xr:uid="{00000000-0005-0000-0000-0000B6480000}"/>
    <cellStyle name="Normal 3 3 2 5 2 5 2 3" xfId="36803" xr:uid="{00000000-0005-0000-0000-0000B7480000}"/>
    <cellStyle name="Normal 3 3 2 5 2 5 3" xfId="21688" xr:uid="{00000000-0005-0000-0000-0000B8480000}"/>
    <cellStyle name="Normal 3 3 2 5 2 5 3 2" xfId="53559" xr:uid="{00000000-0005-0000-0000-0000B9480000}"/>
    <cellStyle name="Normal 3 3 2 5 2 5 4" xfId="36802" xr:uid="{00000000-0005-0000-0000-0000BA480000}"/>
    <cellStyle name="Normal 3 3 2 5 2 6" xfId="4925" xr:uid="{00000000-0005-0000-0000-0000BB480000}"/>
    <cellStyle name="Normal 3 3 2 5 2 6 2" xfId="25627" xr:uid="{00000000-0005-0000-0000-0000BC480000}"/>
    <cellStyle name="Normal 3 3 2 5 2 6 2 2" xfId="57498" xr:uid="{00000000-0005-0000-0000-0000BD480000}"/>
    <cellStyle name="Normal 3 3 2 5 2 6 3" xfId="36804" xr:uid="{00000000-0005-0000-0000-0000BE480000}"/>
    <cellStyle name="Normal 3 3 2 5 2 7" xfId="17749" xr:uid="{00000000-0005-0000-0000-0000BF480000}"/>
    <cellStyle name="Normal 3 3 2 5 2 7 2" xfId="49620" xr:uid="{00000000-0005-0000-0000-0000C0480000}"/>
    <cellStyle name="Normal 3 3 2 5 2 8" xfId="36773" xr:uid="{00000000-0005-0000-0000-0000C1480000}"/>
    <cellStyle name="Normal 3 3 2 5 3" xfId="4926" xr:uid="{00000000-0005-0000-0000-0000C2480000}"/>
    <cellStyle name="Normal 3 3 2 5 3 2" xfId="4927" xr:uid="{00000000-0005-0000-0000-0000C3480000}"/>
    <cellStyle name="Normal 3 3 2 5 3 2 2" xfId="4928" xr:uid="{00000000-0005-0000-0000-0000C4480000}"/>
    <cellStyle name="Normal 3 3 2 5 3 2 2 2" xfId="4929" xr:uid="{00000000-0005-0000-0000-0000C5480000}"/>
    <cellStyle name="Normal 3 3 2 5 3 2 2 2 2" xfId="4930" xr:uid="{00000000-0005-0000-0000-0000C6480000}"/>
    <cellStyle name="Normal 3 3 2 5 3 2 2 2 2 2" xfId="29576" xr:uid="{00000000-0005-0000-0000-0000C7480000}"/>
    <cellStyle name="Normal 3 3 2 5 3 2 2 2 2 2 2" xfId="61447" xr:uid="{00000000-0005-0000-0000-0000C8480000}"/>
    <cellStyle name="Normal 3 3 2 5 3 2 2 2 2 3" xfId="36809" xr:uid="{00000000-0005-0000-0000-0000C9480000}"/>
    <cellStyle name="Normal 3 3 2 5 3 2 2 2 3" xfId="21698" xr:uid="{00000000-0005-0000-0000-0000CA480000}"/>
    <cellStyle name="Normal 3 3 2 5 3 2 2 2 3 2" xfId="53569" xr:uid="{00000000-0005-0000-0000-0000CB480000}"/>
    <cellStyle name="Normal 3 3 2 5 3 2 2 2 4" xfId="36808" xr:uid="{00000000-0005-0000-0000-0000CC480000}"/>
    <cellStyle name="Normal 3 3 2 5 3 2 2 3" xfId="4931" xr:uid="{00000000-0005-0000-0000-0000CD480000}"/>
    <cellStyle name="Normal 3 3 2 5 3 2 2 3 2" xfId="25637" xr:uid="{00000000-0005-0000-0000-0000CE480000}"/>
    <cellStyle name="Normal 3 3 2 5 3 2 2 3 2 2" xfId="57508" xr:uid="{00000000-0005-0000-0000-0000CF480000}"/>
    <cellStyle name="Normal 3 3 2 5 3 2 2 3 3" xfId="36810" xr:uid="{00000000-0005-0000-0000-0000D0480000}"/>
    <cellStyle name="Normal 3 3 2 5 3 2 2 4" xfId="17759" xr:uid="{00000000-0005-0000-0000-0000D1480000}"/>
    <cellStyle name="Normal 3 3 2 5 3 2 2 4 2" xfId="49630" xr:uid="{00000000-0005-0000-0000-0000D2480000}"/>
    <cellStyle name="Normal 3 3 2 5 3 2 2 5" xfId="36807" xr:uid="{00000000-0005-0000-0000-0000D3480000}"/>
    <cellStyle name="Normal 3 3 2 5 3 2 3" xfId="4932" xr:uid="{00000000-0005-0000-0000-0000D4480000}"/>
    <cellStyle name="Normal 3 3 2 5 3 2 3 2" xfId="4933" xr:uid="{00000000-0005-0000-0000-0000D5480000}"/>
    <cellStyle name="Normal 3 3 2 5 3 2 3 2 2" xfId="29575" xr:uid="{00000000-0005-0000-0000-0000D6480000}"/>
    <cellStyle name="Normal 3 3 2 5 3 2 3 2 2 2" xfId="61446" xr:uid="{00000000-0005-0000-0000-0000D7480000}"/>
    <cellStyle name="Normal 3 3 2 5 3 2 3 2 3" xfId="36812" xr:uid="{00000000-0005-0000-0000-0000D8480000}"/>
    <cellStyle name="Normal 3 3 2 5 3 2 3 3" xfId="21697" xr:uid="{00000000-0005-0000-0000-0000D9480000}"/>
    <cellStyle name="Normal 3 3 2 5 3 2 3 3 2" xfId="53568" xr:uid="{00000000-0005-0000-0000-0000DA480000}"/>
    <cellStyle name="Normal 3 3 2 5 3 2 3 4" xfId="36811" xr:uid="{00000000-0005-0000-0000-0000DB480000}"/>
    <cellStyle name="Normal 3 3 2 5 3 2 4" xfId="4934" xr:uid="{00000000-0005-0000-0000-0000DC480000}"/>
    <cellStyle name="Normal 3 3 2 5 3 2 4 2" xfId="25636" xr:uid="{00000000-0005-0000-0000-0000DD480000}"/>
    <cellStyle name="Normal 3 3 2 5 3 2 4 2 2" xfId="57507" xr:uid="{00000000-0005-0000-0000-0000DE480000}"/>
    <cellStyle name="Normal 3 3 2 5 3 2 4 3" xfId="36813" xr:uid="{00000000-0005-0000-0000-0000DF480000}"/>
    <cellStyle name="Normal 3 3 2 5 3 2 5" xfId="17758" xr:uid="{00000000-0005-0000-0000-0000E0480000}"/>
    <cellStyle name="Normal 3 3 2 5 3 2 5 2" xfId="49629" xr:uid="{00000000-0005-0000-0000-0000E1480000}"/>
    <cellStyle name="Normal 3 3 2 5 3 2 6" xfId="36806" xr:uid="{00000000-0005-0000-0000-0000E2480000}"/>
    <cellStyle name="Normal 3 3 2 5 3 3" xfId="4935" xr:uid="{00000000-0005-0000-0000-0000E3480000}"/>
    <cellStyle name="Normal 3 3 2 5 3 3 2" xfId="4936" xr:uid="{00000000-0005-0000-0000-0000E4480000}"/>
    <cellStyle name="Normal 3 3 2 5 3 3 2 2" xfId="4937" xr:uid="{00000000-0005-0000-0000-0000E5480000}"/>
    <cellStyle name="Normal 3 3 2 5 3 3 2 2 2" xfId="29577" xr:uid="{00000000-0005-0000-0000-0000E6480000}"/>
    <cellStyle name="Normal 3 3 2 5 3 3 2 2 2 2" xfId="61448" xr:uid="{00000000-0005-0000-0000-0000E7480000}"/>
    <cellStyle name="Normal 3 3 2 5 3 3 2 2 3" xfId="36816" xr:uid="{00000000-0005-0000-0000-0000E8480000}"/>
    <cellStyle name="Normal 3 3 2 5 3 3 2 3" xfId="21699" xr:uid="{00000000-0005-0000-0000-0000E9480000}"/>
    <cellStyle name="Normal 3 3 2 5 3 3 2 3 2" xfId="53570" xr:uid="{00000000-0005-0000-0000-0000EA480000}"/>
    <cellStyle name="Normal 3 3 2 5 3 3 2 4" xfId="36815" xr:uid="{00000000-0005-0000-0000-0000EB480000}"/>
    <cellStyle name="Normal 3 3 2 5 3 3 3" xfId="4938" xr:uid="{00000000-0005-0000-0000-0000EC480000}"/>
    <cellStyle name="Normal 3 3 2 5 3 3 3 2" xfId="25638" xr:uid="{00000000-0005-0000-0000-0000ED480000}"/>
    <cellStyle name="Normal 3 3 2 5 3 3 3 2 2" xfId="57509" xr:uid="{00000000-0005-0000-0000-0000EE480000}"/>
    <cellStyle name="Normal 3 3 2 5 3 3 3 3" xfId="36817" xr:uid="{00000000-0005-0000-0000-0000EF480000}"/>
    <cellStyle name="Normal 3 3 2 5 3 3 4" xfId="17760" xr:uid="{00000000-0005-0000-0000-0000F0480000}"/>
    <cellStyle name="Normal 3 3 2 5 3 3 4 2" xfId="49631" xr:uid="{00000000-0005-0000-0000-0000F1480000}"/>
    <cellStyle name="Normal 3 3 2 5 3 3 5" xfId="36814" xr:uid="{00000000-0005-0000-0000-0000F2480000}"/>
    <cellStyle name="Normal 3 3 2 5 3 4" xfId="4939" xr:uid="{00000000-0005-0000-0000-0000F3480000}"/>
    <cellStyle name="Normal 3 3 2 5 3 4 2" xfId="4940" xr:uid="{00000000-0005-0000-0000-0000F4480000}"/>
    <cellStyle name="Normal 3 3 2 5 3 4 2 2" xfId="29574" xr:uid="{00000000-0005-0000-0000-0000F5480000}"/>
    <cellStyle name="Normal 3 3 2 5 3 4 2 2 2" xfId="61445" xr:uid="{00000000-0005-0000-0000-0000F6480000}"/>
    <cellStyle name="Normal 3 3 2 5 3 4 2 3" xfId="36819" xr:uid="{00000000-0005-0000-0000-0000F7480000}"/>
    <cellStyle name="Normal 3 3 2 5 3 4 3" xfId="21696" xr:uid="{00000000-0005-0000-0000-0000F8480000}"/>
    <cellStyle name="Normal 3 3 2 5 3 4 3 2" xfId="53567" xr:uid="{00000000-0005-0000-0000-0000F9480000}"/>
    <cellStyle name="Normal 3 3 2 5 3 4 4" xfId="36818" xr:uid="{00000000-0005-0000-0000-0000FA480000}"/>
    <cellStyle name="Normal 3 3 2 5 3 5" xfId="4941" xr:uid="{00000000-0005-0000-0000-0000FB480000}"/>
    <cellStyle name="Normal 3 3 2 5 3 5 2" xfId="25635" xr:uid="{00000000-0005-0000-0000-0000FC480000}"/>
    <cellStyle name="Normal 3 3 2 5 3 5 2 2" xfId="57506" xr:uid="{00000000-0005-0000-0000-0000FD480000}"/>
    <cellStyle name="Normal 3 3 2 5 3 5 3" xfId="36820" xr:uid="{00000000-0005-0000-0000-0000FE480000}"/>
    <cellStyle name="Normal 3 3 2 5 3 6" xfId="17757" xr:uid="{00000000-0005-0000-0000-0000FF480000}"/>
    <cellStyle name="Normal 3 3 2 5 3 6 2" xfId="49628" xr:uid="{00000000-0005-0000-0000-000000490000}"/>
    <cellStyle name="Normal 3 3 2 5 3 7" xfId="36805" xr:uid="{00000000-0005-0000-0000-000001490000}"/>
    <cellStyle name="Normal 3 3 2 5 4" xfId="4942" xr:uid="{00000000-0005-0000-0000-000002490000}"/>
    <cellStyle name="Normal 3 3 2 5 4 2" xfId="4943" xr:uid="{00000000-0005-0000-0000-000003490000}"/>
    <cellStyle name="Normal 3 3 2 5 4 2 2" xfId="4944" xr:uid="{00000000-0005-0000-0000-000004490000}"/>
    <cellStyle name="Normal 3 3 2 5 4 2 2 2" xfId="4945" xr:uid="{00000000-0005-0000-0000-000005490000}"/>
    <cellStyle name="Normal 3 3 2 5 4 2 2 2 2" xfId="29579" xr:uid="{00000000-0005-0000-0000-000006490000}"/>
    <cellStyle name="Normal 3 3 2 5 4 2 2 2 2 2" xfId="61450" xr:uid="{00000000-0005-0000-0000-000007490000}"/>
    <cellStyle name="Normal 3 3 2 5 4 2 2 2 3" xfId="36824" xr:uid="{00000000-0005-0000-0000-000008490000}"/>
    <cellStyle name="Normal 3 3 2 5 4 2 2 3" xfId="21701" xr:uid="{00000000-0005-0000-0000-000009490000}"/>
    <cellStyle name="Normal 3 3 2 5 4 2 2 3 2" xfId="53572" xr:uid="{00000000-0005-0000-0000-00000A490000}"/>
    <cellStyle name="Normal 3 3 2 5 4 2 2 4" xfId="36823" xr:uid="{00000000-0005-0000-0000-00000B490000}"/>
    <cellStyle name="Normal 3 3 2 5 4 2 3" xfId="4946" xr:uid="{00000000-0005-0000-0000-00000C490000}"/>
    <cellStyle name="Normal 3 3 2 5 4 2 3 2" xfId="25640" xr:uid="{00000000-0005-0000-0000-00000D490000}"/>
    <cellStyle name="Normal 3 3 2 5 4 2 3 2 2" xfId="57511" xr:uid="{00000000-0005-0000-0000-00000E490000}"/>
    <cellStyle name="Normal 3 3 2 5 4 2 3 3" xfId="36825" xr:uid="{00000000-0005-0000-0000-00000F490000}"/>
    <cellStyle name="Normal 3 3 2 5 4 2 4" xfId="17762" xr:uid="{00000000-0005-0000-0000-000010490000}"/>
    <cellStyle name="Normal 3 3 2 5 4 2 4 2" xfId="49633" xr:uid="{00000000-0005-0000-0000-000011490000}"/>
    <cellStyle name="Normal 3 3 2 5 4 2 5" xfId="36822" xr:uid="{00000000-0005-0000-0000-000012490000}"/>
    <cellStyle name="Normal 3 3 2 5 4 3" xfId="4947" xr:uid="{00000000-0005-0000-0000-000013490000}"/>
    <cellStyle name="Normal 3 3 2 5 4 3 2" xfId="4948" xr:uid="{00000000-0005-0000-0000-000014490000}"/>
    <cellStyle name="Normal 3 3 2 5 4 3 2 2" xfId="29578" xr:uid="{00000000-0005-0000-0000-000015490000}"/>
    <cellStyle name="Normal 3 3 2 5 4 3 2 2 2" xfId="61449" xr:uid="{00000000-0005-0000-0000-000016490000}"/>
    <cellStyle name="Normal 3 3 2 5 4 3 2 3" xfId="36827" xr:uid="{00000000-0005-0000-0000-000017490000}"/>
    <cellStyle name="Normal 3 3 2 5 4 3 3" xfId="21700" xr:uid="{00000000-0005-0000-0000-000018490000}"/>
    <cellStyle name="Normal 3 3 2 5 4 3 3 2" xfId="53571" xr:uid="{00000000-0005-0000-0000-000019490000}"/>
    <cellStyle name="Normal 3 3 2 5 4 3 4" xfId="36826" xr:uid="{00000000-0005-0000-0000-00001A490000}"/>
    <cellStyle name="Normal 3 3 2 5 4 4" xfId="4949" xr:uid="{00000000-0005-0000-0000-00001B490000}"/>
    <cellStyle name="Normal 3 3 2 5 4 4 2" xfId="25639" xr:uid="{00000000-0005-0000-0000-00001C490000}"/>
    <cellStyle name="Normal 3 3 2 5 4 4 2 2" xfId="57510" xr:uid="{00000000-0005-0000-0000-00001D490000}"/>
    <cellStyle name="Normal 3 3 2 5 4 4 3" xfId="36828" xr:uid="{00000000-0005-0000-0000-00001E490000}"/>
    <cellStyle name="Normal 3 3 2 5 4 5" xfId="17761" xr:uid="{00000000-0005-0000-0000-00001F490000}"/>
    <cellStyle name="Normal 3 3 2 5 4 5 2" xfId="49632" xr:uid="{00000000-0005-0000-0000-000020490000}"/>
    <cellStyle name="Normal 3 3 2 5 4 6" xfId="36821" xr:uid="{00000000-0005-0000-0000-000021490000}"/>
    <cellStyle name="Normal 3 3 2 5 5" xfId="4950" xr:uid="{00000000-0005-0000-0000-000022490000}"/>
    <cellStyle name="Normal 3 3 2 5 5 2" xfId="4951" xr:uid="{00000000-0005-0000-0000-000023490000}"/>
    <cellStyle name="Normal 3 3 2 5 5 2 2" xfId="4952" xr:uid="{00000000-0005-0000-0000-000024490000}"/>
    <cellStyle name="Normal 3 3 2 5 5 2 2 2" xfId="29580" xr:uid="{00000000-0005-0000-0000-000025490000}"/>
    <cellStyle name="Normal 3 3 2 5 5 2 2 2 2" xfId="61451" xr:uid="{00000000-0005-0000-0000-000026490000}"/>
    <cellStyle name="Normal 3 3 2 5 5 2 2 3" xfId="36831" xr:uid="{00000000-0005-0000-0000-000027490000}"/>
    <cellStyle name="Normal 3 3 2 5 5 2 3" xfId="21702" xr:uid="{00000000-0005-0000-0000-000028490000}"/>
    <cellStyle name="Normal 3 3 2 5 5 2 3 2" xfId="53573" xr:uid="{00000000-0005-0000-0000-000029490000}"/>
    <cellStyle name="Normal 3 3 2 5 5 2 4" xfId="36830" xr:uid="{00000000-0005-0000-0000-00002A490000}"/>
    <cellStyle name="Normal 3 3 2 5 5 3" xfId="4953" xr:uid="{00000000-0005-0000-0000-00002B490000}"/>
    <cellStyle name="Normal 3 3 2 5 5 3 2" xfId="25641" xr:uid="{00000000-0005-0000-0000-00002C490000}"/>
    <cellStyle name="Normal 3 3 2 5 5 3 2 2" xfId="57512" xr:uid="{00000000-0005-0000-0000-00002D490000}"/>
    <cellStyle name="Normal 3 3 2 5 5 3 3" xfId="36832" xr:uid="{00000000-0005-0000-0000-00002E490000}"/>
    <cellStyle name="Normal 3 3 2 5 5 4" xfId="17763" xr:uid="{00000000-0005-0000-0000-00002F490000}"/>
    <cellStyle name="Normal 3 3 2 5 5 4 2" xfId="49634" xr:uid="{00000000-0005-0000-0000-000030490000}"/>
    <cellStyle name="Normal 3 3 2 5 5 5" xfId="36829" xr:uid="{00000000-0005-0000-0000-000031490000}"/>
    <cellStyle name="Normal 3 3 2 5 6" xfId="4954" xr:uid="{00000000-0005-0000-0000-000032490000}"/>
    <cellStyle name="Normal 3 3 2 5 6 2" xfId="4955" xr:uid="{00000000-0005-0000-0000-000033490000}"/>
    <cellStyle name="Normal 3 3 2 5 6 2 2" xfId="28393" xr:uid="{00000000-0005-0000-0000-000034490000}"/>
    <cellStyle name="Normal 3 3 2 5 6 2 2 2" xfId="60264" xr:uid="{00000000-0005-0000-0000-000035490000}"/>
    <cellStyle name="Normal 3 3 2 5 6 2 3" xfId="36834" xr:uid="{00000000-0005-0000-0000-000036490000}"/>
    <cellStyle name="Normal 3 3 2 5 6 3" xfId="20515" xr:uid="{00000000-0005-0000-0000-000037490000}"/>
    <cellStyle name="Normal 3 3 2 5 6 3 2" xfId="52386" xr:uid="{00000000-0005-0000-0000-000038490000}"/>
    <cellStyle name="Normal 3 3 2 5 6 4" xfId="36833" xr:uid="{00000000-0005-0000-0000-000039490000}"/>
    <cellStyle name="Normal 3 3 2 5 7" xfId="4956" xr:uid="{00000000-0005-0000-0000-00003A490000}"/>
    <cellStyle name="Normal 3 3 2 5 7 2" xfId="24454" xr:uid="{00000000-0005-0000-0000-00003B490000}"/>
    <cellStyle name="Normal 3 3 2 5 7 2 2" xfId="56325" xr:uid="{00000000-0005-0000-0000-00003C490000}"/>
    <cellStyle name="Normal 3 3 2 5 7 3" xfId="36835" xr:uid="{00000000-0005-0000-0000-00003D490000}"/>
    <cellStyle name="Normal 3 3 2 5 8" xfId="16576" xr:uid="{00000000-0005-0000-0000-00003E490000}"/>
    <cellStyle name="Normal 3 3 2 5 8 2" xfId="48447" xr:uid="{00000000-0005-0000-0000-00003F490000}"/>
    <cellStyle name="Normal 3 3 2 5 9" xfId="36772" xr:uid="{00000000-0005-0000-0000-000040490000}"/>
    <cellStyle name="Normal 3 3 2 6" xfId="4957" xr:uid="{00000000-0005-0000-0000-000041490000}"/>
    <cellStyle name="Normal 3 3 2 6 2" xfId="4958" xr:uid="{00000000-0005-0000-0000-000042490000}"/>
    <cellStyle name="Normal 3 3 2 6 2 2" xfId="4959" xr:uid="{00000000-0005-0000-0000-000043490000}"/>
    <cellStyle name="Normal 3 3 2 6 2 2 2" xfId="4960" xr:uid="{00000000-0005-0000-0000-000044490000}"/>
    <cellStyle name="Normal 3 3 2 6 2 2 2 2" xfId="4961" xr:uid="{00000000-0005-0000-0000-000045490000}"/>
    <cellStyle name="Normal 3 3 2 6 2 2 2 2 2" xfId="4962" xr:uid="{00000000-0005-0000-0000-000046490000}"/>
    <cellStyle name="Normal 3 3 2 6 2 2 2 2 2 2" xfId="29583" xr:uid="{00000000-0005-0000-0000-000047490000}"/>
    <cellStyle name="Normal 3 3 2 6 2 2 2 2 2 2 2" xfId="61454" xr:uid="{00000000-0005-0000-0000-000048490000}"/>
    <cellStyle name="Normal 3 3 2 6 2 2 2 2 2 3" xfId="36841" xr:uid="{00000000-0005-0000-0000-000049490000}"/>
    <cellStyle name="Normal 3 3 2 6 2 2 2 2 3" xfId="21705" xr:uid="{00000000-0005-0000-0000-00004A490000}"/>
    <cellStyle name="Normal 3 3 2 6 2 2 2 2 3 2" xfId="53576" xr:uid="{00000000-0005-0000-0000-00004B490000}"/>
    <cellStyle name="Normal 3 3 2 6 2 2 2 2 4" xfId="36840" xr:uid="{00000000-0005-0000-0000-00004C490000}"/>
    <cellStyle name="Normal 3 3 2 6 2 2 2 3" xfId="4963" xr:uid="{00000000-0005-0000-0000-00004D490000}"/>
    <cellStyle name="Normal 3 3 2 6 2 2 2 3 2" xfId="25644" xr:uid="{00000000-0005-0000-0000-00004E490000}"/>
    <cellStyle name="Normal 3 3 2 6 2 2 2 3 2 2" xfId="57515" xr:uid="{00000000-0005-0000-0000-00004F490000}"/>
    <cellStyle name="Normal 3 3 2 6 2 2 2 3 3" xfId="36842" xr:uid="{00000000-0005-0000-0000-000050490000}"/>
    <cellStyle name="Normal 3 3 2 6 2 2 2 4" xfId="17766" xr:uid="{00000000-0005-0000-0000-000051490000}"/>
    <cellStyle name="Normal 3 3 2 6 2 2 2 4 2" xfId="49637" xr:uid="{00000000-0005-0000-0000-000052490000}"/>
    <cellStyle name="Normal 3 3 2 6 2 2 2 5" xfId="36839" xr:uid="{00000000-0005-0000-0000-000053490000}"/>
    <cellStyle name="Normal 3 3 2 6 2 2 3" xfId="4964" xr:uid="{00000000-0005-0000-0000-000054490000}"/>
    <cellStyle name="Normal 3 3 2 6 2 2 3 2" xfId="4965" xr:uid="{00000000-0005-0000-0000-000055490000}"/>
    <cellStyle name="Normal 3 3 2 6 2 2 3 2 2" xfId="29582" xr:uid="{00000000-0005-0000-0000-000056490000}"/>
    <cellStyle name="Normal 3 3 2 6 2 2 3 2 2 2" xfId="61453" xr:uid="{00000000-0005-0000-0000-000057490000}"/>
    <cellStyle name="Normal 3 3 2 6 2 2 3 2 3" xfId="36844" xr:uid="{00000000-0005-0000-0000-000058490000}"/>
    <cellStyle name="Normal 3 3 2 6 2 2 3 3" xfId="21704" xr:uid="{00000000-0005-0000-0000-000059490000}"/>
    <cellStyle name="Normal 3 3 2 6 2 2 3 3 2" xfId="53575" xr:uid="{00000000-0005-0000-0000-00005A490000}"/>
    <cellStyle name="Normal 3 3 2 6 2 2 3 4" xfId="36843" xr:uid="{00000000-0005-0000-0000-00005B490000}"/>
    <cellStyle name="Normal 3 3 2 6 2 2 4" xfId="4966" xr:uid="{00000000-0005-0000-0000-00005C490000}"/>
    <cellStyle name="Normal 3 3 2 6 2 2 4 2" xfId="25643" xr:uid="{00000000-0005-0000-0000-00005D490000}"/>
    <cellStyle name="Normal 3 3 2 6 2 2 4 2 2" xfId="57514" xr:uid="{00000000-0005-0000-0000-00005E490000}"/>
    <cellStyle name="Normal 3 3 2 6 2 2 4 3" xfId="36845" xr:uid="{00000000-0005-0000-0000-00005F490000}"/>
    <cellStyle name="Normal 3 3 2 6 2 2 5" xfId="17765" xr:uid="{00000000-0005-0000-0000-000060490000}"/>
    <cellStyle name="Normal 3 3 2 6 2 2 5 2" xfId="49636" xr:uid="{00000000-0005-0000-0000-000061490000}"/>
    <cellStyle name="Normal 3 3 2 6 2 2 6" xfId="36838" xr:uid="{00000000-0005-0000-0000-000062490000}"/>
    <cellStyle name="Normal 3 3 2 6 2 3" xfId="4967" xr:uid="{00000000-0005-0000-0000-000063490000}"/>
    <cellStyle name="Normal 3 3 2 6 2 3 2" xfId="4968" xr:uid="{00000000-0005-0000-0000-000064490000}"/>
    <cellStyle name="Normal 3 3 2 6 2 3 2 2" xfId="4969" xr:uid="{00000000-0005-0000-0000-000065490000}"/>
    <cellStyle name="Normal 3 3 2 6 2 3 2 2 2" xfId="29584" xr:uid="{00000000-0005-0000-0000-000066490000}"/>
    <cellStyle name="Normal 3 3 2 6 2 3 2 2 2 2" xfId="61455" xr:uid="{00000000-0005-0000-0000-000067490000}"/>
    <cellStyle name="Normal 3 3 2 6 2 3 2 2 3" xfId="36848" xr:uid="{00000000-0005-0000-0000-000068490000}"/>
    <cellStyle name="Normal 3 3 2 6 2 3 2 3" xfId="21706" xr:uid="{00000000-0005-0000-0000-000069490000}"/>
    <cellStyle name="Normal 3 3 2 6 2 3 2 3 2" xfId="53577" xr:uid="{00000000-0005-0000-0000-00006A490000}"/>
    <cellStyle name="Normal 3 3 2 6 2 3 2 4" xfId="36847" xr:uid="{00000000-0005-0000-0000-00006B490000}"/>
    <cellStyle name="Normal 3 3 2 6 2 3 3" xfId="4970" xr:uid="{00000000-0005-0000-0000-00006C490000}"/>
    <cellStyle name="Normal 3 3 2 6 2 3 3 2" xfId="25645" xr:uid="{00000000-0005-0000-0000-00006D490000}"/>
    <cellStyle name="Normal 3 3 2 6 2 3 3 2 2" xfId="57516" xr:uid="{00000000-0005-0000-0000-00006E490000}"/>
    <cellStyle name="Normal 3 3 2 6 2 3 3 3" xfId="36849" xr:uid="{00000000-0005-0000-0000-00006F490000}"/>
    <cellStyle name="Normal 3 3 2 6 2 3 4" xfId="17767" xr:uid="{00000000-0005-0000-0000-000070490000}"/>
    <cellStyle name="Normal 3 3 2 6 2 3 4 2" xfId="49638" xr:uid="{00000000-0005-0000-0000-000071490000}"/>
    <cellStyle name="Normal 3 3 2 6 2 3 5" xfId="36846" xr:uid="{00000000-0005-0000-0000-000072490000}"/>
    <cellStyle name="Normal 3 3 2 6 2 4" xfId="4971" xr:uid="{00000000-0005-0000-0000-000073490000}"/>
    <cellStyle name="Normal 3 3 2 6 2 4 2" xfId="4972" xr:uid="{00000000-0005-0000-0000-000074490000}"/>
    <cellStyle name="Normal 3 3 2 6 2 4 2 2" xfId="29581" xr:uid="{00000000-0005-0000-0000-000075490000}"/>
    <cellStyle name="Normal 3 3 2 6 2 4 2 2 2" xfId="61452" xr:uid="{00000000-0005-0000-0000-000076490000}"/>
    <cellStyle name="Normal 3 3 2 6 2 4 2 3" xfId="36851" xr:uid="{00000000-0005-0000-0000-000077490000}"/>
    <cellStyle name="Normal 3 3 2 6 2 4 3" xfId="21703" xr:uid="{00000000-0005-0000-0000-000078490000}"/>
    <cellStyle name="Normal 3 3 2 6 2 4 3 2" xfId="53574" xr:uid="{00000000-0005-0000-0000-000079490000}"/>
    <cellStyle name="Normal 3 3 2 6 2 4 4" xfId="36850" xr:uid="{00000000-0005-0000-0000-00007A490000}"/>
    <cellStyle name="Normal 3 3 2 6 2 5" xfId="4973" xr:uid="{00000000-0005-0000-0000-00007B490000}"/>
    <cellStyle name="Normal 3 3 2 6 2 5 2" xfId="25642" xr:uid="{00000000-0005-0000-0000-00007C490000}"/>
    <cellStyle name="Normal 3 3 2 6 2 5 2 2" xfId="57513" xr:uid="{00000000-0005-0000-0000-00007D490000}"/>
    <cellStyle name="Normal 3 3 2 6 2 5 3" xfId="36852" xr:uid="{00000000-0005-0000-0000-00007E490000}"/>
    <cellStyle name="Normal 3 3 2 6 2 6" xfId="17764" xr:uid="{00000000-0005-0000-0000-00007F490000}"/>
    <cellStyle name="Normal 3 3 2 6 2 6 2" xfId="49635" xr:uid="{00000000-0005-0000-0000-000080490000}"/>
    <cellStyle name="Normal 3 3 2 6 2 7" xfId="36837" xr:uid="{00000000-0005-0000-0000-000081490000}"/>
    <cellStyle name="Normal 3 3 2 6 3" xfId="4974" xr:uid="{00000000-0005-0000-0000-000082490000}"/>
    <cellStyle name="Normal 3 3 2 6 3 2" xfId="4975" xr:uid="{00000000-0005-0000-0000-000083490000}"/>
    <cellStyle name="Normal 3 3 2 6 3 2 2" xfId="4976" xr:uid="{00000000-0005-0000-0000-000084490000}"/>
    <cellStyle name="Normal 3 3 2 6 3 2 2 2" xfId="4977" xr:uid="{00000000-0005-0000-0000-000085490000}"/>
    <cellStyle name="Normal 3 3 2 6 3 2 2 2 2" xfId="29586" xr:uid="{00000000-0005-0000-0000-000086490000}"/>
    <cellStyle name="Normal 3 3 2 6 3 2 2 2 2 2" xfId="61457" xr:uid="{00000000-0005-0000-0000-000087490000}"/>
    <cellStyle name="Normal 3 3 2 6 3 2 2 2 3" xfId="36856" xr:uid="{00000000-0005-0000-0000-000088490000}"/>
    <cellStyle name="Normal 3 3 2 6 3 2 2 3" xfId="21708" xr:uid="{00000000-0005-0000-0000-000089490000}"/>
    <cellStyle name="Normal 3 3 2 6 3 2 2 3 2" xfId="53579" xr:uid="{00000000-0005-0000-0000-00008A490000}"/>
    <cellStyle name="Normal 3 3 2 6 3 2 2 4" xfId="36855" xr:uid="{00000000-0005-0000-0000-00008B490000}"/>
    <cellStyle name="Normal 3 3 2 6 3 2 3" xfId="4978" xr:uid="{00000000-0005-0000-0000-00008C490000}"/>
    <cellStyle name="Normal 3 3 2 6 3 2 3 2" xfId="25647" xr:uid="{00000000-0005-0000-0000-00008D490000}"/>
    <cellStyle name="Normal 3 3 2 6 3 2 3 2 2" xfId="57518" xr:uid="{00000000-0005-0000-0000-00008E490000}"/>
    <cellStyle name="Normal 3 3 2 6 3 2 3 3" xfId="36857" xr:uid="{00000000-0005-0000-0000-00008F490000}"/>
    <cellStyle name="Normal 3 3 2 6 3 2 4" xfId="17769" xr:uid="{00000000-0005-0000-0000-000090490000}"/>
    <cellStyle name="Normal 3 3 2 6 3 2 4 2" xfId="49640" xr:uid="{00000000-0005-0000-0000-000091490000}"/>
    <cellStyle name="Normal 3 3 2 6 3 2 5" xfId="36854" xr:uid="{00000000-0005-0000-0000-000092490000}"/>
    <cellStyle name="Normal 3 3 2 6 3 3" xfId="4979" xr:uid="{00000000-0005-0000-0000-000093490000}"/>
    <cellStyle name="Normal 3 3 2 6 3 3 2" xfId="4980" xr:uid="{00000000-0005-0000-0000-000094490000}"/>
    <cellStyle name="Normal 3 3 2 6 3 3 2 2" xfId="29585" xr:uid="{00000000-0005-0000-0000-000095490000}"/>
    <cellStyle name="Normal 3 3 2 6 3 3 2 2 2" xfId="61456" xr:uid="{00000000-0005-0000-0000-000096490000}"/>
    <cellStyle name="Normal 3 3 2 6 3 3 2 3" xfId="36859" xr:uid="{00000000-0005-0000-0000-000097490000}"/>
    <cellStyle name="Normal 3 3 2 6 3 3 3" xfId="21707" xr:uid="{00000000-0005-0000-0000-000098490000}"/>
    <cellStyle name="Normal 3 3 2 6 3 3 3 2" xfId="53578" xr:uid="{00000000-0005-0000-0000-000099490000}"/>
    <cellStyle name="Normal 3 3 2 6 3 3 4" xfId="36858" xr:uid="{00000000-0005-0000-0000-00009A490000}"/>
    <cellStyle name="Normal 3 3 2 6 3 4" xfId="4981" xr:uid="{00000000-0005-0000-0000-00009B490000}"/>
    <cellStyle name="Normal 3 3 2 6 3 4 2" xfId="25646" xr:uid="{00000000-0005-0000-0000-00009C490000}"/>
    <cellStyle name="Normal 3 3 2 6 3 4 2 2" xfId="57517" xr:uid="{00000000-0005-0000-0000-00009D490000}"/>
    <cellStyle name="Normal 3 3 2 6 3 4 3" xfId="36860" xr:uid="{00000000-0005-0000-0000-00009E490000}"/>
    <cellStyle name="Normal 3 3 2 6 3 5" xfId="17768" xr:uid="{00000000-0005-0000-0000-00009F490000}"/>
    <cellStyle name="Normal 3 3 2 6 3 5 2" xfId="49639" xr:uid="{00000000-0005-0000-0000-0000A0490000}"/>
    <cellStyle name="Normal 3 3 2 6 3 6" xfId="36853" xr:uid="{00000000-0005-0000-0000-0000A1490000}"/>
    <cellStyle name="Normal 3 3 2 6 4" xfId="4982" xr:uid="{00000000-0005-0000-0000-0000A2490000}"/>
    <cellStyle name="Normal 3 3 2 6 4 2" xfId="4983" xr:uid="{00000000-0005-0000-0000-0000A3490000}"/>
    <cellStyle name="Normal 3 3 2 6 4 2 2" xfId="4984" xr:uid="{00000000-0005-0000-0000-0000A4490000}"/>
    <cellStyle name="Normal 3 3 2 6 4 2 2 2" xfId="29587" xr:uid="{00000000-0005-0000-0000-0000A5490000}"/>
    <cellStyle name="Normal 3 3 2 6 4 2 2 2 2" xfId="61458" xr:uid="{00000000-0005-0000-0000-0000A6490000}"/>
    <cellStyle name="Normal 3 3 2 6 4 2 2 3" xfId="36863" xr:uid="{00000000-0005-0000-0000-0000A7490000}"/>
    <cellStyle name="Normal 3 3 2 6 4 2 3" xfId="21709" xr:uid="{00000000-0005-0000-0000-0000A8490000}"/>
    <cellStyle name="Normal 3 3 2 6 4 2 3 2" xfId="53580" xr:uid="{00000000-0005-0000-0000-0000A9490000}"/>
    <cellStyle name="Normal 3 3 2 6 4 2 4" xfId="36862" xr:uid="{00000000-0005-0000-0000-0000AA490000}"/>
    <cellStyle name="Normal 3 3 2 6 4 3" xfId="4985" xr:uid="{00000000-0005-0000-0000-0000AB490000}"/>
    <cellStyle name="Normal 3 3 2 6 4 3 2" xfId="25648" xr:uid="{00000000-0005-0000-0000-0000AC490000}"/>
    <cellStyle name="Normal 3 3 2 6 4 3 2 2" xfId="57519" xr:uid="{00000000-0005-0000-0000-0000AD490000}"/>
    <cellStyle name="Normal 3 3 2 6 4 3 3" xfId="36864" xr:uid="{00000000-0005-0000-0000-0000AE490000}"/>
    <cellStyle name="Normal 3 3 2 6 4 4" xfId="17770" xr:uid="{00000000-0005-0000-0000-0000AF490000}"/>
    <cellStyle name="Normal 3 3 2 6 4 4 2" xfId="49641" xr:uid="{00000000-0005-0000-0000-0000B0490000}"/>
    <cellStyle name="Normal 3 3 2 6 4 5" xfId="36861" xr:uid="{00000000-0005-0000-0000-0000B1490000}"/>
    <cellStyle name="Normal 3 3 2 6 5" xfId="4986" xr:uid="{00000000-0005-0000-0000-0000B2490000}"/>
    <cellStyle name="Normal 3 3 2 6 5 2" xfId="4987" xr:uid="{00000000-0005-0000-0000-0000B3490000}"/>
    <cellStyle name="Normal 3 3 2 6 5 2 2" xfId="28270" xr:uid="{00000000-0005-0000-0000-0000B4490000}"/>
    <cellStyle name="Normal 3 3 2 6 5 2 2 2" xfId="60141" xr:uid="{00000000-0005-0000-0000-0000B5490000}"/>
    <cellStyle name="Normal 3 3 2 6 5 2 3" xfId="36866" xr:uid="{00000000-0005-0000-0000-0000B6490000}"/>
    <cellStyle name="Normal 3 3 2 6 5 3" xfId="20392" xr:uid="{00000000-0005-0000-0000-0000B7490000}"/>
    <cellStyle name="Normal 3 3 2 6 5 3 2" xfId="52263" xr:uid="{00000000-0005-0000-0000-0000B8490000}"/>
    <cellStyle name="Normal 3 3 2 6 5 4" xfId="36865" xr:uid="{00000000-0005-0000-0000-0000B9490000}"/>
    <cellStyle name="Normal 3 3 2 6 6" xfId="4988" xr:uid="{00000000-0005-0000-0000-0000BA490000}"/>
    <cellStyle name="Normal 3 3 2 6 6 2" xfId="24331" xr:uid="{00000000-0005-0000-0000-0000BB490000}"/>
    <cellStyle name="Normal 3 3 2 6 6 2 2" xfId="56202" xr:uid="{00000000-0005-0000-0000-0000BC490000}"/>
    <cellStyle name="Normal 3 3 2 6 6 3" xfId="36867" xr:uid="{00000000-0005-0000-0000-0000BD490000}"/>
    <cellStyle name="Normal 3 3 2 6 7" xfId="16453" xr:uid="{00000000-0005-0000-0000-0000BE490000}"/>
    <cellStyle name="Normal 3 3 2 6 7 2" xfId="48324" xr:uid="{00000000-0005-0000-0000-0000BF490000}"/>
    <cellStyle name="Normal 3 3 2 6 8" xfId="36836" xr:uid="{00000000-0005-0000-0000-0000C0490000}"/>
    <cellStyle name="Normal 3 3 2 7" xfId="4989" xr:uid="{00000000-0005-0000-0000-0000C1490000}"/>
    <cellStyle name="Normal 3 3 2 7 2" xfId="4990" xr:uid="{00000000-0005-0000-0000-0000C2490000}"/>
    <cellStyle name="Normal 3 3 2 7 2 2" xfId="4991" xr:uid="{00000000-0005-0000-0000-0000C3490000}"/>
    <cellStyle name="Normal 3 3 2 7 2 2 2" xfId="4992" xr:uid="{00000000-0005-0000-0000-0000C4490000}"/>
    <cellStyle name="Normal 3 3 2 7 2 2 2 2" xfId="4993" xr:uid="{00000000-0005-0000-0000-0000C5490000}"/>
    <cellStyle name="Normal 3 3 2 7 2 2 2 2 2" xfId="29590" xr:uid="{00000000-0005-0000-0000-0000C6490000}"/>
    <cellStyle name="Normal 3 3 2 7 2 2 2 2 2 2" xfId="61461" xr:uid="{00000000-0005-0000-0000-0000C7490000}"/>
    <cellStyle name="Normal 3 3 2 7 2 2 2 2 3" xfId="36872" xr:uid="{00000000-0005-0000-0000-0000C8490000}"/>
    <cellStyle name="Normal 3 3 2 7 2 2 2 3" xfId="21712" xr:uid="{00000000-0005-0000-0000-0000C9490000}"/>
    <cellStyle name="Normal 3 3 2 7 2 2 2 3 2" xfId="53583" xr:uid="{00000000-0005-0000-0000-0000CA490000}"/>
    <cellStyle name="Normal 3 3 2 7 2 2 2 4" xfId="36871" xr:uid="{00000000-0005-0000-0000-0000CB490000}"/>
    <cellStyle name="Normal 3 3 2 7 2 2 3" xfId="4994" xr:uid="{00000000-0005-0000-0000-0000CC490000}"/>
    <cellStyle name="Normal 3 3 2 7 2 2 3 2" xfId="25651" xr:uid="{00000000-0005-0000-0000-0000CD490000}"/>
    <cellStyle name="Normal 3 3 2 7 2 2 3 2 2" xfId="57522" xr:uid="{00000000-0005-0000-0000-0000CE490000}"/>
    <cellStyle name="Normal 3 3 2 7 2 2 3 3" xfId="36873" xr:uid="{00000000-0005-0000-0000-0000CF490000}"/>
    <cellStyle name="Normal 3 3 2 7 2 2 4" xfId="17773" xr:uid="{00000000-0005-0000-0000-0000D0490000}"/>
    <cellStyle name="Normal 3 3 2 7 2 2 4 2" xfId="49644" xr:uid="{00000000-0005-0000-0000-0000D1490000}"/>
    <cellStyle name="Normal 3 3 2 7 2 2 5" xfId="36870" xr:uid="{00000000-0005-0000-0000-0000D2490000}"/>
    <cellStyle name="Normal 3 3 2 7 2 3" xfId="4995" xr:uid="{00000000-0005-0000-0000-0000D3490000}"/>
    <cellStyle name="Normal 3 3 2 7 2 3 2" xfId="4996" xr:uid="{00000000-0005-0000-0000-0000D4490000}"/>
    <cellStyle name="Normal 3 3 2 7 2 3 2 2" xfId="29589" xr:uid="{00000000-0005-0000-0000-0000D5490000}"/>
    <cellStyle name="Normal 3 3 2 7 2 3 2 2 2" xfId="61460" xr:uid="{00000000-0005-0000-0000-0000D6490000}"/>
    <cellStyle name="Normal 3 3 2 7 2 3 2 3" xfId="36875" xr:uid="{00000000-0005-0000-0000-0000D7490000}"/>
    <cellStyle name="Normal 3 3 2 7 2 3 3" xfId="21711" xr:uid="{00000000-0005-0000-0000-0000D8490000}"/>
    <cellStyle name="Normal 3 3 2 7 2 3 3 2" xfId="53582" xr:uid="{00000000-0005-0000-0000-0000D9490000}"/>
    <cellStyle name="Normal 3 3 2 7 2 3 4" xfId="36874" xr:uid="{00000000-0005-0000-0000-0000DA490000}"/>
    <cellStyle name="Normal 3 3 2 7 2 4" xfId="4997" xr:uid="{00000000-0005-0000-0000-0000DB490000}"/>
    <cellStyle name="Normal 3 3 2 7 2 4 2" xfId="25650" xr:uid="{00000000-0005-0000-0000-0000DC490000}"/>
    <cellStyle name="Normal 3 3 2 7 2 4 2 2" xfId="57521" xr:uid="{00000000-0005-0000-0000-0000DD490000}"/>
    <cellStyle name="Normal 3 3 2 7 2 4 3" xfId="36876" xr:uid="{00000000-0005-0000-0000-0000DE490000}"/>
    <cellStyle name="Normal 3 3 2 7 2 5" xfId="17772" xr:uid="{00000000-0005-0000-0000-0000DF490000}"/>
    <cellStyle name="Normal 3 3 2 7 2 5 2" xfId="49643" xr:uid="{00000000-0005-0000-0000-0000E0490000}"/>
    <cellStyle name="Normal 3 3 2 7 2 6" xfId="36869" xr:uid="{00000000-0005-0000-0000-0000E1490000}"/>
    <cellStyle name="Normal 3 3 2 7 3" xfId="4998" xr:uid="{00000000-0005-0000-0000-0000E2490000}"/>
    <cellStyle name="Normal 3 3 2 7 3 2" xfId="4999" xr:uid="{00000000-0005-0000-0000-0000E3490000}"/>
    <cellStyle name="Normal 3 3 2 7 3 2 2" xfId="5000" xr:uid="{00000000-0005-0000-0000-0000E4490000}"/>
    <cellStyle name="Normal 3 3 2 7 3 2 2 2" xfId="29591" xr:uid="{00000000-0005-0000-0000-0000E5490000}"/>
    <cellStyle name="Normal 3 3 2 7 3 2 2 2 2" xfId="61462" xr:uid="{00000000-0005-0000-0000-0000E6490000}"/>
    <cellStyle name="Normal 3 3 2 7 3 2 2 3" xfId="36879" xr:uid="{00000000-0005-0000-0000-0000E7490000}"/>
    <cellStyle name="Normal 3 3 2 7 3 2 3" xfId="21713" xr:uid="{00000000-0005-0000-0000-0000E8490000}"/>
    <cellStyle name="Normal 3 3 2 7 3 2 3 2" xfId="53584" xr:uid="{00000000-0005-0000-0000-0000E9490000}"/>
    <cellStyle name="Normal 3 3 2 7 3 2 4" xfId="36878" xr:uid="{00000000-0005-0000-0000-0000EA490000}"/>
    <cellStyle name="Normal 3 3 2 7 3 3" xfId="5001" xr:uid="{00000000-0005-0000-0000-0000EB490000}"/>
    <cellStyle name="Normal 3 3 2 7 3 3 2" xfId="25652" xr:uid="{00000000-0005-0000-0000-0000EC490000}"/>
    <cellStyle name="Normal 3 3 2 7 3 3 2 2" xfId="57523" xr:uid="{00000000-0005-0000-0000-0000ED490000}"/>
    <cellStyle name="Normal 3 3 2 7 3 3 3" xfId="36880" xr:uid="{00000000-0005-0000-0000-0000EE490000}"/>
    <cellStyle name="Normal 3 3 2 7 3 4" xfId="17774" xr:uid="{00000000-0005-0000-0000-0000EF490000}"/>
    <cellStyle name="Normal 3 3 2 7 3 4 2" xfId="49645" xr:uid="{00000000-0005-0000-0000-0000F0490000}"/>
    <cellStyle name="Normal 3 3 2 7 3 5" xfId="36877" xr:uid="{00000000-0005-0000-0000-0000F1490000}"/>
    <cellStyle name="Normal 3 3 2 7 4" xfId="5002" xr:uid="{00000000-0005-0000-0000-0000F2490000}"/>
    <cellStyle name="Normal 3 3 2 7 4 2" xfId="5003" xr:uid="{00000000-0005-0000-0000-0000F3490000}"/>
    <cellStyle name="Normal 3 3 2 7 4 2 2" xfId="29588" xr:uid="{00000000-0005-0000-0000-0000F4490000}"/>
    <cellStyle name="Normal 3 3 2 7 4 2 2 2" xfId="61459" xr:uid="{00000000-0005-0000-0000-0000F5490000}"/>
    <cellStyle name="Normal 3 3 2 7 4 2 3" xfId="36882" xr:uid="{00000000-0005-0000-0000-0000F6490000}"/>
    <cellStyle name="Normal 3 3 2 7 4 3" xfId="21710" xr:uid="{00000000-0005-0000-0000-0000F7490000}"/>
    <cellStyle name="Normal 3 3 2 7 4 3 2" xfId="53581" xr:uid="{00000000-0005-0000-0000-0000F8490000}"/>
    <cellStyle name="Normal 3 3 2 7 4 4" xfId="36881" xr:uid="{00000000-0005-0000-0000-0000F9490000}"/>
    <cellStyle name="Normal 3 3 2 7 5" xfId="5004" xr:uid="{00000000-0005-0000-0000-0000FA490000}"/>
    <cellStyle name="Normal 3 3 2 7 5 2" xfId="25649" xr:uid="{00000000-0005-0000-0000-0000FB490000}"/>
    <cellStyle name="Normal 3 3 2 7 5 2 2" xfId="57520" xr:uid="{00000000-0005-0000-0000-0000FC490000}"/>
    <cellStyle name="Normal 3 3 2 7 5 3" xfId="36883" xr:uid="{00000000-0005-0000-0000-0000FD490000}"/>
    <cellStyle name="Normal 3 3 2 7 6" xfId="17771" xr:uid="{00000000-0005-0000-0000-0000FE490000}"/>
    <cellStyle name="Normal 3 3 2 7 6 2" xfId="49642" xr:uid="{00000000-0005-0000-0000-0000FF490000}"/>
    <cellStyle name="Normal 3 3 2 7 7" xfId="36868" xr:uid="{00000000-0005-0000-0000-0000004A0000}"/>
    <cellStyle name="Normal 3 3 2 8" xfId="5005" xr:uid="{00000000-0005-0000-0000-0000014A0000}"/>
    <cellStyle name="Normal 3 3 2 8 2" xfId="5006" xr:uid="{00000000-0005-0000-0000-0000024A0000}"/>
    <cellStyle name="Normal 3 3 2 8 2 2" xfId="5007" xr:uid="{00000000-0005-0000-0000-0000034A0000}"/>
    <cellStyle name="Normal 3 3 2 8 2 2 2" xfId="5008" xr:uid="{00000000-0005-0000-0000-0000044A0000}"/>
    <cellStyle name="Normal 3 3 2 8 2 2 2 2" xfId="29593" xr:uid="{00000000-0005-0000-0000-0000054A0000}"/>
    <cellStyle name="Normal 3 3 2 8 2 2 2 2 2" xfId="61464" xr:uid="{00000000-0005-0000-0000-0000064A0000}"/>
    <cellStyle name="Normal 3 3 2 8 2 2 2 3" xfId="36887" xr:uid="{00000000-0005-0000-0000-0000074A0000}"/>
    <cellStyle name="Normal 3 3 2 8 2 2 3" xfId="21715" xr:uid="{00000000-0005-0000-0000-0000084A0000}"/>
    <cellStyle name="Normal 3 3 2 8 2 2 3 2" xfId="53586" xr:uid="{00000000-0005-0000-0000-0000094A0000}"/>
    <cellStyle name="Normal 3 3 2 8 2 2 4" xfId="36886" xr:uid="{00000000-0005-0000-0000-00000A4A0000}"/>
    <cellStyle name="Normal 3 3 2 8 2 3" xfId="5009" xr:uid="{00000000-0005-0000-0000-00000B4A0000}"/>
    <cellStyle name="Normal 3 3 2 8 2 3 2" xfId="25654" xr:uid="{00000000-0005-0000-0000-00000C4A0000}"/>
    <cellStyle name="Normal 3 3 2 8 2 3 2 2" xfId="57525" xr:uid="{00000000-0005-0000-0000-00000D4A0000}"/>
    <cellStyle name="Normal 3 3 2 8 2 3 3" xfId="36888" xr:uid="{00000000-0005-0000-0000-00000E4A0000}"/>
    <cellStyle name="Normal 3 3 2 8 2 4" xfId="17776" xr:uid="{00000000-0005-0000-0000-00000F4A0000}"/>
    <cellStyle name="Normal 3 3 2 8 2 4 2" xfId="49647" xr:uid="{00000000-0005-0000-0000-0000104A0000}"/>
    <cellStyle name="Normal 3 3 2 8 2 5" xfId="36885" xr:uid="{00000000-0005-0000-0000-0000114A0000}"/>
    <cellStyle name="Normal 3 3 2 8 3" xfId="5010" xr:uid="{00000000-0005-0000-0000-0000124A0000}"/>
    <cellStyle name="Normal 3 3 2 8 3 2" xfId="5011" xr:uid="{00000000-0005-0000-0000-0000134A0000}"/>
    <cellStyle name="Normal 3 3 2 8 3 2 2" xfId="29592" xr:uid="{00000000-0005-0000-0000-0000144A0000}"/>
    <cellStyle name="Normal 3 3 2 8 3 2 2 2" xfId="61463" xr:uid="{00000000-0005-0000-0000-0000154A0000}"/>
    <cellStyle name="Normal 3 3 2 8 3 2 3" xfId="36890" xr:uid="{00000000-0005-0000-0000-0000164A0000}"/>
    <cellStyle name="Normal 3 3 2 8 3 3" xfId="21714" xr:uid="{00000000-0005-0000-0000-0000174A0000}"/>
    <cellStyle name="Normal 3 3 2 8 3 3 2" xfId="53585" xr:uid="{00000000-0005-0000-0000-0000184A0000}"/>
    <cellStyle name="Normal 3 3 2 8 3 4" xfId="36889" xr:uid="{00000000-0005-0000-0000-0000194A0000}"/>
    <cellStyle name="Normal 3 3 2 8 4" xfId="5012" xr:uid="{00000000-0005-0000-0000-00001A4A0000}"/>
    <cellStyle name="Normal 3 3 2 8 4 2" xfId="25653" xr:uid="{00000000-0005-0000-0000-00001B4A0000}"/>
    <cellStyle name="Normal 3 3 2 8 4 2 2" xfId="57524" xr:uid="{00000000-0005-0000-0000-00001C4A0000}"/>
    <cellStyle name="Normal 3 3 2 8 4 3" xfId="36891" xr:uid="{00000000-0005-0000-0000-00001D4A0000}"/>
    <cellStyle name="Normal 3 3 2 8 5" xfId="17775" xr:uid="{00000000-0005-0000-0000-00001E4A0000}"/>
    <cellStyle name="Normal 3 3 2 8 5 2" xfId="49646" xr:uid="{00000000-0005-0000-0000-00001F4A0000}"/>
    <cellStyle name="Normal 3 3 2 8 6" xfId="36884" xr:uid="{00000000-0005-0000-0000-0000204A0000}"/>
    <cellStyle name="Normal 3 3 2 9" xfId="5013" xr:uid="{00000000-0005-0000-0000-0000214A0000}"/>
    <cellStyle name="Normal 3 3 2 9 2" xfId="5014" xr:uid="{00000000-0005-0000-0000-0000224A0000}"/>
    <cellStyle name="Normal 3 3 2 9 2 2" xfId="5015" xr:uid="{00000000-0005-0000-0000-0000234A0000}"/>
    <cellStyle name="Normal 3 3 2 9 2 2 2" xfId="29594" xr:uid="{00000000-0005-0000-0000-0000244A0000}"/>
    <cellStyle name="Normal 3 3 2 9 2 2 2 2" xfId="61465" xr:uid="{00000000-0005-0000-0000-0000254A0000}"/>
    <cellStyle name="Normal 3 3 2 9 2 2 3" xfId="36894" xr:uid="{00000000-0005-0000-0000-0000264A0000}"/>
    <cellStyle name="Normal 3 3 2 9 2 3" xfId="21716" xr:uid="{00000000-0005-0000-0000-0000274A0000}"/>
    <cellStyle name="Normal 3 3 2 9 2 3 2" xfId="53587" xr:uid="{00000000-0005-0000-0000-0000284A0000}"/>
    <cellStyle name="Normal 3 3 2 9 2 4" xfId="36893" xr:uid="{00000000-0005-0000-0000-0000294A0000}"/>
    <cellStyle name="Normal 3 3 2 9 3" xfId="5016" xr:uid="{00000000-0005-0000-0000-00002A4A0000}"/>
    <cellStyle name="Normal 3 3 2 9 3 2" xfId="25655" xr:uid="{00000000-0005-0000-0000-00002B4A0000}"/>
    <cellStyle name="Normal 3 3 2 9 3 2 2" xfId="57526" xr:uid="{00000000-0005-0000-0000-00002C4A0000}"/>
    <cellStyle name="Normal 3 3 2 9 3 3" xfId="36895" xr:uid="{00000000-0005-0000-0000-00002D4A0000}"/>
    <cellStyle name="Normal 3 3 2 9 4" xfId="17777" xr:uid="{00000000-0005-0000-0000-00002E4A0000}"/>
    <cellStyle name="Normal 3 3 2 9 4 2" xfId="49648" xr:uid="{00000000-0005-0000-0000-00002F4A0000}"/>
    <cellStyle name="Normal 3 3 2 9 5" xfId="36892" xr:uid="{00000000-0005-0000-0000-0000304A0000}"/>
    <cellStyle name="Normal 3 3 3" xfId="5017" xr:uid="{00000000-0005-0000-0000-0000314A0000}"/>
    <cellStyle name="Normal 3 3 3 10" xfId="5018" xr:uid="{00000000-0005-0000-0000-0000324A0000}"/>
    <cellStyle name="Normal 3 3 3 10 2" xfId="24315" xr:uid="{00000000-0005-0000-0000-0000334A0000}"/>
    <cellStyle name="Normal 3 3 3 10 2 2" xfId="56186" xr:uid="{00000000-0005-0000-0000-0000344A0000}"/>
    <cellStyle name="Normal 3 3 3 10 3" xfId="36897" xr:uid="{00000000-0005-0000-0000-0000354A0000}"/>
    <cellStyle name="Normal 3 3 3 11" xfId="16437" xr:uid="{00000000-0005-0000-0000-0000364A0000}"/>
    <cellStyle name="Normal 3 3 3 11 2" xfId="48308" xr:uid="{00000000-0005-0000-0000-0000374A0000}"/>
    <cellStyle name="Normal 3 3 3 12" xfId="36896" xr:uid="{00000000-0005-0000-0000-0000384A0000}"/>
    <cellStyle name="Normal 3 3 3 2" xfId="5019" xr:uid="{00000000-0005-0000-0000-0000394A0000}"/>
    <cellStyle name="Normal 3 3 3 2 10" xfId="36898" xr:uid="{00000000-0005-0000-0000-00003A4A0000}"/>
    <cellStyle name="Normal 3 3 3 2 2" xfId="5020" xr:uid="{00000000-0005-0000-0000-00003B4A0000}"/>
    <cellStyle name="Normal 3 3 3 2 2 2" xfId="5021" xr:uid="{00000000-0005-0000-0000-00003C4A0000}"/>
    <cellStyle name="Normal 3 3 3 2 2 2 2" xfId="5022" xr:uid="{00000000-0005-0000-0000-00003D4A0000}"/>
    <cellStyle name="Normal 3 3 3 2 2 2 2 2" xfId="5023" xr:uid="{00000000-0005-0000-0000-00003E4A0000}"/>
    <cellStyle name="Normal 3 3 3 2 2 2 2 2 2" xfId="5024" xr:uid="{00000000-0005-0000-0000-00003F4A0000}"/>
    <cellStyle name="Normal 3 3 3 2 2 2 2 2 2 2" xfId="5025" xr:uid="{00000000-0005-0000-0000-0000404A0000}"/>
    <cellStyle name="Normal 3 3 3 2 2 2 2 2 2 2 2" xfId="5026" xr:uid="{00000000-0005-0000-0000-0000414A0000}"/>
    <cellStyle name="Normal 3 3 3 2 2 2 2 2 2 2 2 2" xfId="29598" xr:uid="{00000000-0005-0000-0000-0000424A0000}"/>
    <cellStyle name="Normal 3 3 3 2 2 2 2 2 2 2 2 2 2" xfId="61469" xr:uid="{00000000-0005-0000-0000-0000434A0000}"/>
    <cellStyle name="Normal 3 3 3 2 2 2 2 2 2 2 2 3" xfId="36905" xr:uid="{00000000-0005-0000-0000-0000444A0000}"/>
    <cellStyle name="Normal 3 3 3 2 2 2 2 2 2 2 3" xfId="21720" xr:uid="{00000000-0005-0000-0000-0000454A0000}"/>
    <cellStyle name="Normal 3 3 3 2 2 2 2 2 2 2 3 2" xfId="53591" xr:uid="{00000000-0005-0000-0000-0000464A0000}"/>
    <cellStyle name="Normal 3 3 3 2 2 2 2 2 2 2 4" xfId="36904" xr:uid="{00000000-0005-0000-0000-0000474A0000}"/>
    <cellStyle name="Normal 3 3 3 2 2 2 2 2 2 3" xfId="5027" xr:uid="{00000000-0005-0000-0000-0000484A0000}"/>
    <cellStyle name="Normal 3 3 3 2 2 2 2 2 2 3 2" xfId="25659" xr:uid="{00000000-0005-0000-0000-0000494A0000}"/>
    <cellStyle name="Normal 3 3 3 2 2 2 2 2 2 3 2 2" xfId="57530" xr:uid="{00000000-0005-0000-0000-00004A4A0000}"/>
    <cellStyle name="Normal 3 3 3 2 2 2 2 2 2 3 3" xfId="36906" xr:uid="{00000000-0005-0000-0000-00004B4A0000}"/>
    <cellStyle name="Normal 3 3 3 2 2 2 2 2 2 4" xfId="17781" xr:uid="{00000000-0005-0000-0000-00004C4A0000}"/>
    <cellStyle name="Normal 3 3 3 2 2 2 2 2 2 4 2" xfId="49652" xr:uid="{00000000-0005-0000-0000-00004D4A0000}"/>
    <cellStyle name="Normal 3 3 3 2 2 2 2 2 2 5" xfId="36903" xr:uid="{00000000-0005-0000-0000-00004E4A0000}"/>
    <cellStyle name="Normal 3 3 3 2 2 2 2 2 3" xfId="5028" xr:uid="{00000000-0005-0000-0000-00004F4A0000}"/>
    <cellStyle name="Normal 3 3 3 2 2 2 2 2 3 2" xfId="5029" xr:uid="{00000000-0005-0000-0000-0000504A0000}"/>
    <cellStyle name="Normal 3 3 3 2 2 2 2 2 3 2 2" xfId="29597" xr:uid="{00000000-0005-0000-0000-0000514A0000}"/>
    <cellStyle name="Normal 3 3 3 2 2 2 2 2 3 2 2 2" xfId="61468" xr:uid="{00000000-0005-0000-0000-0000524A0000}"/>
    <cellStyle name="Normal 3 3 3 2 2 2 2 2 3 2 3" xfId="36908" xr:uid="{00000000-0005-0000-0000-0000534A0000}"/>
    <cellStyle name="Normal 3 3 3 2 2 2 2 2 3 3" xfId="21719" xr:uid="{00000000-0005-0000-0000-0000544A0000}"/>
    <cellStyle name="Normal 3 3 3 2 2 2 2 2 3 3 2" xfId="53590" xr:uid="{00000000-0005-0000-0000-0000554A0000}"/>
    <cellStyle name="Normal 3 3 3 2 2 2 2 2 3 4" xfId="36907" xr:uid="{00000000-0005-0000-0000-0000564A0000}"/>
    <cellStyle name="Normal 3 3 3 2 2 2 2 2 4" xfId="5030" xr:uid="{00000000-0005-0000-0000-0000574A0000}"/>
    <cellStyle name="Normal 3 3 3 2 2 2 2 2 4 2" xfId="25658" xr:uid="{00000000-0005-0000-0000-0000584A0000}"/>
    <cellStyle name="Normal 3 3 3 2 2 2 2 2 4 2 2" xfId="57529" xr:uid="{00000000-0005-0000-0000-0000594A0000}"/>
    <cellStyle name="Normal 3 3 3 2 2 2 2 2 4 3" xfId="36909" xr:uid="{00000000-0005-0000-0000-00005A4A0000}"/>
    <cellStyle name="Normal 3 3 3 2 2 2 2 2 5" xfId="17780" xr:uid="{00000000-0005-0000-0000-00005B4A0000}"/>
    <cellStyle name="Normal 3 3 3 2 2 2 2 2 5 2" xfId="49651" xr:uid="{00000000-0005-0000-0000-00005C4A0000}"/>
    <cellStyle name="Normal 3 3 3 2 2 2 2 2 6" xfId="36902" xr:uid="{00000000-0005-0000-0000-00005D4A0000}"/>
    <cellStyle name="Normal 3 3 3 2 2 2 2 3" xfId="5031" xr:uid="{00000000-0005-0000-0000-00005E4A0000}"/>
    <cellStyle name="Normal 3 3 3 2 2 2 2 3 2" xfId="5032" xr:uid="{00000000-0005-0000-0000-00005F4A0000}"/>
    <cellStyle name="Normal 3 3 3 2 2 2 2 3 2 2" xfId="5033" xr:uid="{00000000-0005-0000-0000-0000604A0000}"/>
    <cellStyle name="Normal 3 3 3 2 2 2 2 3 2 2 2" xfId="29599" xr:uid="{00000000-0005-0000-0000-0000614A0000}"/>
    <cellStyle name="Normal 3 3 3 2 2 2 2 3 2 2 2 2" xfId="61470" xr:uid="{00000000-0005-0000-0000-0000624A0000}"/>
    <cellStyle name="Normal 3 3 3 2 2 2 2 3 2 2 3" xfId="36912" xr:uid="{00000000-0005-0000-0000-0000634A0000}"/>
    <cellStyle name="Normal 3 3 3 2 2 2 2 3 2 3" xfId="21721" xr:uid="{00000000-0005-0000-0000-0000644A0000}"/>
    <cellStyle name="Normal 3 3 3 2 2 2 2 3 2 3 2" xfId="53592" xr:uid="{00000000-0005-0000-0000-0000654A0000}"/>
    <cellStyle name="Normal 3 3 3 2 2 2 2 3 2 4" xfId="36911" xr:uid="{00000000-0005-0000-0000-0000664A0000}"/>
    <cellStyle name="Normal 3 3 3 2 2 2 2 3 3" xfId="5034" xr:uid="{00000000-0005-0000-0000-0000674A0000}"/>
    <cellStyle name="Normal 3 3 3 2 2 2 2 3 3 2" xfId="25660" xr:uid="{00000000-0005-0000-0000-0000684A0000}"/>
    <cellStyle name="Normal 3 3 3 2 2 2 2 3 3 2 2" xfId="57531" xr:uid="{00000000-0005-0000-0000-0000694A0000}"/>
    <cellStyle name="Normal 3 3 3 2 2 2 2 3 3 3" xfId="36913" xr:uid="{00000000-0005-0000-0000-00006A4A0000}"/>
    <cellStyle name="Normal 3 3 3 2 2 2 2 3 4" xfId="17782" xr:uid="{00000000-0005-0000-0000-00006B4A0000}"/>
    <cellStyle name="Normal 3 3 3 2 2 2 2 3 4 2" xfId="49653" xr:uid="{00000000-0005-0000-0000-00006C4A0000}"/>
    <cellStyle name="Normal 3 3 3 2 2 2 2 3 5" xfId="36910" xr:uid="{00000000-0005-0000-0000-00006D4A0000}"/>
    <cellStyle name="Normal 3 3 3 2 2 2 2 4" xfId="5035" xr:uid="{00000000-0005-0000-0000-00006E4A0000}"/>
    <cellStyle name="Normal 3 3 3 2 2 2 2 4 2" xfId="5036" xr:uid="{00000000-0005-0000-0000-00006F4A0000}"/>
    <cellStyle name="Normal 3 3 3 2 2 2 2 4 2 2" xfId="29596" xr:uid="{00000000-0005-0000-0000-0000704A0000}"/>
    <cellStyle name="Normal 3 3 3 2 2 2 2 4 2 2 2" xfId="61467" xr:uid="{00000000-0005-0000-0000-0000714A0000}"/>
    <cellStyle name="Normal 3 3 3 2 2 2 2 4 2 3" xfId="36915" xr:uid="{00000000-0005-0000-0000-0000724A0000}"/>
    <cellStyle name="Normal 3 3 3 2 2 2 2 4 3" xfId="21718" xr:uid="{00000000-0005-0000-0000-0000734A0000}"/>
    <cellStyle name="Normal 3 3 3 2 2 2 2 4 3 2" xfId="53589" xr:uid="{00000000-0005-0000-0000-0000744A0000}"/>
    <cellStyle name="Normal 3 3 3 2 2 2 2 4 4" xfId="36914" xr:uid="{00000000-0005-0000-0000-0000754A0000}"/>
    <cellStyle name="Normal 3 3 3 2 2 2 2 5" xfId="5037" xr:uid="{00000000-0005-0000-0000-0000764A0000}"/>
    <cellStyle name="Normal 3 3 3 2 2 2 2 5 2" xfId="25657" xr:uid="{00000000-0005-0000-0000-0000774A0000}"/>
    <cellStyle name="Normal 3 3 3 2 2 2 2 5 2 2" xfId="57528" xr:uid="{00000000-0005-0000-0000-0000784A0000}"/>
    <cellStyle name="Normal 3 3 3 2 2 2 2 5 3" xfId="36916" xr:uid="{00000000-0005-0000-0000-0000794A0000}"/>
    <cellStyle name="Normal 3 3 3 2 2 2 2 6" xfId="17779" xr:uid="{00000000-0005-0000-0000-00007A4A0000}"/>
    <cellStyle name="Normal 3 3 3 2 2 2 2 6 2" xfId="49650" xr:uid="{00000000-0005-0000-0000-00007B4A0000}"/>
    <cellStyle name="Normal 3 3 3 2 2 2 2 7" xfId="36901" xr:uid="{00000000-0005-0000-0000-00007C4A0000}"/>
    <cellStyle name="Normal 3 3 3 2 2 2 3" xfId="5038" xr:uid="{00000000-0005-0000-0000-00007D4A0000}"/>
    <cellStyle name="Normal 3 3 3 2 2 2 3 2" xfId="5039" xr:uid="{00000000-0005-0000-0000-00007E4A0000}"/>
    <cellStyle name="Normal 3 3 3 2 2 2 3 2 2" xfId="5040" xr:uid="{00000000-0005-0000-0000-00007F4A0000}"/>
    <cellStyle name="Normal 3 3 3 2 2 2 3 2 2 2" xfId="5041" xr:uid="{00000000-0005-0000-0000-0000804A0000}"/>
    <cellStyle name="Normal 3 3 3 2 2 2 3 2 2 2 2" xfId="29601" xr:uid="{00000000-0005-0000-0000-0000814A0000}"/>
    <cellStyle name="Normal 3 3 3 2 2 2 3 2 2 2 2 2" xfId="61472" xr:uid="{00000000-0005-0000-0000-0000824A0000}"/>
    <cellStyle name="Normal 3 3 3 2 2 2 3 2 2 2 3" xfId="36920" xr:uid="{00000000-0005-0000-0000-0000834A0000}"/>
    <cellStyle name="Normal 3 3 3 2 2 2 3 2 2 3" xfId="21723" xr:uid="{00000000-0005-0000-0000-0000844A0000}"/>
    <cellStyle name="Normal 3 3 3 2 2 2 3 2 2 3 2" xfId="53594" xr:uid="{00000000-0005-0000-0000-0000854A0000}"/>
    <cellStyle name="Normal 3 3 3 2 2 2 3 2 2 4" xfId="36919" xr:uid="{00000000-0005-0000-0000-0000864A0000}"/>
    <cellStyle name="Normal 3 3 3 2 2 2 3 2 3" xfId="5042" xr:uid="{00000000-0005-0000-0000-0000874A0000}"/>
    <cellStyle name="Normal 3 3 3 2 2 2 3 2 3 2" xfId="25662" xr:uid="{00000000-0005-0000-0000-0000884A0000}"/>
    <cellStyle name="Normal 3 3 3 2 2 2 3 2 3 2 2" xfId="57533" xr:uid="{00000000-0005-0000-0000-0000894A0000}"/>
    <cellStyle name="Normal 3 3 3 2 2 2 3 2 3 3" xfId="36921" xr:uid="{00000000-0005-0000-0000-00008A4A0000}"/>
    <cellStyle name="Normal 3 3 3 2 2 2 3 2 4" xfId="17784" xr:uid="{00000000-0005-0000-0000-00008B4A0000}"/>
    <cellStyle name="Normal 3 3 3 2 2 2 3 2 4 2" xfId="49655" xr:uid="{00000000-0005-0000-0000-00008C4A0000}"/>
    <cellStyle name="Normal 3 3 3 2 2 2 3 2 5" xfId="36918" xr:uid="{00000000-0005-0000-0000-00008D4A0000}"/>
    <cellStyle name="Normal 3 3 3 2 2 2 3 3" xfId="5043" xr:uid="{00000000-0005-0000-0000-00008E4A0000}"/>
    <cellStyle name="Normal 3 3 3 2 2 2 3 3 2" xfId="5044" xr:uid="{00000000-0005-0000-0000-00008F4A0000}"/>
    <cellStyle name="Normal 3 3 3 2 2 2 3 3 2 2" xfId="29600" xr:uid="{00000000-0005-0000-0000-0000904A0000}"/>
    <cellStyle name="Normal 3 3 3 2 2 2 3 3 2 2 2" xfId="61471" xr:uid="{00000000-0005-0000-0000-0000914A0000}"/>
    <cellStyle name="Normal 3 3 3 2 2 2 3 3 2 3" xfId="36923" xr:uid="{00000000-0005-0000-0000-0000924A0000}"/>
    <cellStyle name="Normal 3 3 3 2 2 2 3 3 3" xfId="21722" xr:uid="{00000000-0005-0000-0000-0000934A0000}"/>
    <cellStyle name="Normal 3 3 3 2 2 2 3 3 3 2" xfId="53593" xr:uid="{00000000-0005-0000-0000-0000944A0000}"/>
    <cellStyle name="Normal 3 3 3 2 2 2 3 3 4" xfId="36922" xr:uid="{00000000-0005-0000-0000-0000954A0000}"/>
    <cellStyle name="Normal 3 3 3 2 2 2 3 4" xfId="5045" xr:uid="{00000000-0005-0000-0000-0000964A0000}"/>
    <cellStyle name="Normal 3 3 3 2 2 2 3 4 2" xfId="25661" xr:uid="{00000000-0005-0000-0000-0000974A0000}"/>
    <cellStyle name="Normal 3 3 3 2 2 2 3 4 2 2" xfId="57532" xr:uid="{00000000-0005-0000-0000-0000984A0000}"/>
    <cellStyle name="Normal 3 3 3 2 2 2 3 4 3" xfId="36924" xr:uid="{00000000-0005-0000-0000-0000994A0000}"/>
    <cellStyle name="Normal 3 3 3 2 2 2 3 5" xfId="17783" xr:uid="{00000000-0005-0000-0000-00009A4A0000}"/>
    <cellStyle name="Normal 3 3 3 2 2 2 3 5 2" xfId="49654" xr:uid="{00000000-0005-0000-0000-00009B4A0000}"/>
    <cellStyle name="Normal 3 3 3 2 2 2 3 6" xfId="36917" xr:uid="{00000000-0005-0000-0000-00009C4A0000}"/>
    <cellStyle name="Normal 3 3 3 2 2 2 4" xfId="5046" xr:uid="{00000000-0005-0000-0000-00009D4A0000}"/>
    <cellStyle name="Normal 3 3 3 2 2 2 4 2" xfId="5047" xr:uid="{00000000-0005-0000-0000-00009E4A0000}"/>
    <cellStyle name="Normal 3 3 3 2 2 2 4 2 2" xfId="5048" xr:uid="{00000000-0005-0000-0000-00009F4A0000}"/>
    <cellStyle name="Normal 3 3 3 2 2 2 4 2 2 2" xfId="29602" xr:uid="{00000000-0005-0000-0000-0000A04A0000}"/>
    <cellStyle name="Normal 3 3 3 2 2 2 4 2 2 2 2" xfId="61473" xr:uid="{00000000-0005-0000-0000-0000A14A0000}"/>
    <cellStyle name="Normal 3 3 3 2 2 2 4 2 2 3" xfId="36927" xr:uid="{00000000-0005-0000-0000-0000A24A0000}"/>
    <cellStyle name="Normal 3 3 3 2 2 2 4 2 3" xfId="21724" xr:uid="{00000000-0005-0000-0000-0000A34A0000}"/>
    <cellStyle name="Normal 3 3 3 2 2 2 4 2 3 2" xfId="53595" xr:uid="{00000000-0005-0000-0000-0000A44A0000}"/>
    <cellStyle name="Normal 3 3 3 2 2 2 4 2 4" xfId="36926" xr:uid="{00000000-0005-0000-0000-0000A54A0000}"/>
    <cellStyle name="Normal 3 3 3 2 2 2 4 3" xfId="5049" xr:uid="{00000000-0005-0000-0000-0000A64A0000}"/>
    <cellStyle name="Normal 3 3 3 2 2 2 4 3 2" xfId="25663" xr:uid="{00000000-0005-0000-0000-0000A74A0000}"/>
    <cellStyle name="Normal 3 3 3 2 2 2 4 3 2 2" xfId="57534" xr:uid="{00000000-0005-0000-0000-0000A84A0000}"/>
    <cellStyle name="Normal 3 3 3 2 2 2 4 3 3" xfId="36928" xr:uid="{00000000-0005-0000-0000-0000A94A0000}"/>
    <cellStyle name="Normal 3 3 3 2 2 2 4 4" xfId="17785" xr:uid="{00000000-0005-0000-0000-0000AA4A0000}"/>
    <cellStyle name="Normal 3 3 3 2 2 2 4 4 2" xfId="49656" xr:uid="{00000000-0005-0000-0000-0000AB4A0000}"/>
    <cellStyle name="Normal 3 3 3 2 2 2 4 5" xfId="36925" xr:uid="{00000000-0005-0000-0000-0000AC4A0000}"/>
    <cellStyle name="Normal 3 3 3 2 2 2 5" xfId="5050" xr:uid="{00000000-0005-0000-0000-0000AD4A0000}"/>
    <cellStyle name="Normal 3 3 3 2 2 2 5 2" xfId="5051" xr:uid="{00000000-0005-0000-0000-0000AE4A0000}"/>
    <cellStyle name="Normal 3 3 3 2 2 2 5 2 2" xfId="29595" xr:uid="{00000000-0005-0000-0000-0000AF4A0000}"/>
    <cellStyle name="Normal 3 3 3 2 2 2 5 2 2 2" xfId="61466" xr:uid="{00000000-0005-0000-0000-0000B04A0000}"/>
    <cellStyle name="Normal 3 3 3 2 2 2 5 2 3" xfId="36930" xr:uid="{00000000-0005-0000-0000-0000B14A0000}"/>
    <cellStyle name="Normal 3 3 3 2 2 2 5 3" xfId="21717" xr:uid="{00000000-0005-0000-0000-0000B24A0000}"/>
    <cellStyle name="Normal 3 3 3 2 2 2 5 3 2" xfId="53588" xr:uid="{00000000-0005-0000-0000-0000B34A0000}"/>
    <cellStyle name="Normal 3 3 3 2 2 2 5 4" xfId="36929" xr:uid="{00000000-0005-0000-0000-0000B44A0000}"/>
    <cellStyle name="Normal 3 3 3 2 2 2 6" xfId="5052" xr:uid="{00000000-0005-0000-0000-0000B54A0000}"/>
    <cellStyle name="Normal 3 3 3 2 2 2 6 2" xfId="25656" xr:uid="{00000000-0005-0000-0000-0000B64A0000}"/>
    <cellStyle name="Normal 3 3 3 2 2 2 6 2 2" xfId="57527" xr:uid="{00000000-0005-0000-0000-0000B74A0000}"/>
    <cellStyle name="Normal 3 3 3 2 2 2 6 3" xfId="36931" xr:uid="{00000000-0005-0000-0000-0000B84A0000}"/>
    <cellStyle name="Normal 3 3 3 2 2 2 7" xfId="17778" xr:uid="{00000000-0005-0000-0000-0000B94A0000}"/>
    <cellStyle name="Normal 3 3 3 2 2 2 7 2" xfId="49649" xr:uid="{00000000-0005-0000-0000-0000BA4A0000}"/>
    <cellStyle name="Normal 3 3 3 2 2 2 8" xfId="36900" xr:uid="{00000000-0005-0000-0000-0000BB4A0000}"/>
    <cellStyle name="Normal 3 3 3 2 2 3" xfId="5053" xr:uid="{00000000-0005-0000-0000-0000BC4A0000}"/>
    <cellStyle name="Normal 3 3 3 2 2 3 2" xfId="5054" xr:uid="{00000000-0005-0000-0000-0000BD4A0000}"/>
    <cellStyle name="Normal 3 3 3 2 2 3 2 2" xfId="5055" xr:uid="{00000000-0005-0000-0000-0000BE4A0000}"/>
    <cellStyle name="Normal 3 3 3 2 2 3 2 2 2" xfId="5056" xr:uid="{00000000-0005-0000-0000-0000BF4A0000}"/>
    <cellStyle name="Normal 3 3 3 2 2 3 2 2 2 2" xfId="5057" xr:uid="{00000000-0005-0000-0000-0000C04A0000}"/>
    <cellStyle name="Normal 3 3 3 2 2 3 2 2 2 2 2" xfId="29605" xr:uid="{00000000-0005-0000-0000-0000C14A0000}"/>
    <cellStyle name="Normal 3 3 3 2 2 3 2 2 2 2 2 2" xfId="61476" xr:uid="{00000000-0005-0000-0000-0000C24A0000}"/>
    <cellStyle name="Normal 3 3 3 2 2 3 2 2 2 2 3" xfId="36936" xr:uid="{00000000-0005-0000-0000-0000C34A0000}"/>
    <cellStyle name="Normal 3 3 3 2 2 3 2 2 2 3" xfId="21727" xr:uid="{00000000-0005-0000-0000-0000C44A0000}"/>
    <cellStyle name="Normal 3 3 3 2 2 3 2 2 2 3 2" xfId="53598" xr:uid="{00000000-0005-0000-0000-0000C54A0000}"/>
    <cellStyle name="Normal 3 3 3 2 2 3 2 2 2 4" xfId="36935" xr:uid="{00000000-0005-0000-0000-0000C64A0000}"/>
    <cellStyle name="Normal 3 3 3 2 2 3 2 2 3" xfId="5058" xr:uid="{00000000-0005-0000-0000-0000C74A0000}"/>
    <cellStyle name="Normal 3 3 3 2 2 3 2 2 3 2" xfId="25666" xr:uid="{00000000-0005-0000-0000-0000C84A0000}"/>
    <cellStyle name="Normal 3 3 3 2 2 3 2 2 3 2 2" xfId="57537" xr:uid="{00000000-0005-0000-0000-0000C94A0000}"/>
    <cellStyle name="Normal 3 3 3 2 2 3 2 2 3 3" xfId="36937" xr:uid="{00000000-0005-0000-0000-0000CA4A0000}"/>
    <cellStyle name="Normal 3 3 3 2 2 3 2 2 4" xfId="17788" xr:uid="{00000000-0005-0000-0000-0000CB4A0000}"/>
    <cellStyle name="Normal 3 3 3 2 2 3 2 2 4 2" xfId="49659" xr:uid="{00000000-0005-0000-0000-0000CC4A0000}"/>
    <cellStyle name="Normal 3 3 3 2 2 3 2 2 5" xfId="36934" xr:uid="{00000000-0005-0000-0000-0000CD4A0000}"/>
    <cellStyle name="Normal 3 3 3 2 2 3 2 3" xfId="5059" xr:uid="{00000000-0005-0000-0000-0000CE4A0000}"/>
    <cellStyle name="Normal 3 3 3 2 2 3 2 3 2" xfId="5060" xr:uid="{00000000-0005-0000-0000-0000CF4A0000}"/>
    <cellStyle name="Normal 3 3 3 2 2 3 2 3 2 2" xfId="29604" xr:uid="{00000000-0005-0000-0000-0000D04A0000}"/>
    <cellStyle name="Normal 3 3 3 2 2 3 2 3 2 2 2" xfId="61475" xr:uid="{00000000-0005-0000-0000-0000D14A0000}"/>
    <cellStyle name="Normal 3 3 3 2 2 3 2 3 2 3" xfId="36939" xr:uid="{00000000-0005-0000-0000-0000D24A0000}"/>
    <cellStyle name="Normal 3 3 3 2 2 3 2 3 3" xfId="21726" xr:uid="{00000000-0005-0000-0000-0000D34A0000}"/>
    <cellStyle name="Normal 3 3 3 2 2 3 2 3 3 2" xfId="53597" xr:uid="{00000000-0005-0000-0000-0000D44A0000}"/>
    <cellStyle name="Normal 3 3 3 2 2 3 2 3 4" xfId="36938" xr:uid="{00000000-0005-0000-0000-0000D54A0000}"/>
    <cellStyle name="Normal 3 3 3 2 2 3 2 4" xfId="5061" xr:uid="{00000000-0005-0000-0000-0000D64A0000}"/>
    <cellStyle name="Normal 3 3 3 2 2 3 2 4 2" xfId="25665" xr:uid="{00000000-0005-0000-0000-0000D74A0000}"/>
    <cellStyle name="Normal 3 3 3 2 2 3 2 4 2 2" xfId="57536" xr:uid="{00000000-0005-0000-0000-0000D84A0000}"/>
    <cellStyle name="Normal 3 3 3 2 2 3 2 4 3" xfId="36940" xr:uid="{00000000-0005-0000-0000-0000D94A0000}"/>
    <cellStyle name="Normal 3 3 3 2 2 3 2 5" xfId="17787" xr:uid="{00000000-0005-0000-0000-0000DA4A0000}"/>
    <cellStyle name="Normal 3 3 3 2 2 3 2 5 2" xfId="49658" xr:uid="{00000000-0005-0000-0000-0000DB4A0000}"/>
    <cellStyle name="Normal 3 3 3 2 2 3 2 6" xfId="36933" xr:uid="{00000000-0005-0000-0000-0000DC4A0000}"/>
    <cellStyle name="Normal 3 3 3 2 2 3 3" xfId="5062" xr:uid="{00000000-0005-0000-0000-0000DD4A0000}"/>
    <cellStyle name="Normal 3 3 3 2 2 3 3 2" xfId="5063" xr:uid="{00000000-0005-0000-0000-0000DE4A0000}"/>
    <cellStyle name="Normal 3 3 3 2 2 3 3 2 2" xfId="5064" xr:uid="{00000000-0005-0000-0000-0000DF4A0000}"/>
    <cellStyle name="Normal 3 3 3 2 2 3 3 2 2 2" xfId="29606" xr:uid="{00000000-0005-0000-0000-0000E04A0000}"/>
    <cellStyle name="Normal 3 3 3 2 2 3 3 2 2 2 2" xfId="61477" xr:uid="{00000000-0005-0000-0000-0000E14A0000}"/>
    <cellStyle name="Normal 3 3 3 2 2 3 3 2 2 3" xfId="36943" xr:uid="{00000000-0005-0000-0000-0000E24A0000}"/>
    <cellStyle name="Normal 3 3 3 2 2 3 3 2 3" xfId="21728" xr:uid="{00000000-0005-0000-0000-0000E34A0000}"/>
    <cellStyle name="Normal 3 3 3 2 2 3 3 2 3 2" xfId="53599" xr:uid="{00000000-0005-0000-0000-0000E44A0000}"/>
    <cellStyle name="Normal 3 3 3 2 2 3 3 2 4" xfId="36942" xr:uid="{00000000-0005-0000-0000-0000E54A0000}"/>
    <cellStyle name="Normal 3 3 3 2 2 3 3 3" xfId="5065" xr:uid="{00000000-0005-0000-0000-0000E64A0000}"/>
    <cellStyle name="Normal 3 3 3 2 2 3 3 3 2" xfId="25667" xr:uid="{00000000-0005-0000-0000-0000E74A0000}"/>
    <cellStyle name="Normal 3 3 3 2 2 3 3 3 2 2" xfId="57538" xr:uid="{00000000-0005-0000-0000-0000E84A0000}"/>
    <cellStyle name="Normal 3 3 3 2 2 3 3 3 3" xfId="36944" xr:uid="{00000000-0005-0000-0000-0000E94A0000}"/>
    <cellStyle name="Normal 3 3 3 2 2 3 3 4" xfId="17789" xr:uid="{00000000-0005-0000-0000-0000EA4A0000}"/>
    <cellStyle name="Normal 3 3 3 2 2 3 3 4 2" xfId="49660" xr:uid="{00000000-0005-0000-0000-0000EB4A0000}"/>
    <cellStyle name="Normal 3 3 3 2 2 3 3 5" xfId="36941" xr:uid="{00000000-0005-0000-0000-0000EC4A0000}"/>
    <cellStyle name="Normal 3 3 3 2 2 3 4" xfId="5066" xr:uid="{00000000-0005-0000-0000-0000ED4A0000}"/>
    <cellStyle name="Normal 3 3 3 2 2 3 4 2" xfId="5067" xr:uid="{00000000-0005-0000-0000-0000EE4A0000}"/>
    <cellStyle name="Normal 3 3 3 2 2 3 4 2 2" xfId="29603" xr:uid="{00000000-0005-0000-0000-0000EF4A0000}"/>
    <cellStyle name="Normal 3 3 3 2 2 3 4 2 2 2" xfId="61474" xr:uid="{00000000-0005-0000-0000-0000F04A0000}"/>
    <cellStyle name="Normal 3 3 3 2 2 3 4 2 3" xfId="36946" xr:uid="{00000000-0005-0000-0000-0000F14A0000}"/>
    <cellStyle name="Normal 3 3 3 2 2 3 4 3" xfId="21725" xr:uid="{00000000-0005-0000-0000-0000F24A0000}"/>
    <cellStyle name="Normal 3 3 3 2 2 3 4 3 2" xfId="53596" xr:uid="{00000000-0005-0000-0000-0000F34A0000}"/>
    <cellStyle name="Normal 3 3 3 2 2 3 4 4" xfId="36945" xr:uid="{00000000-0005-0000-0000-0000F44A0000}"/>
    <cellStyle name="Normal 3 3 3 2 2 3 5" xfId="5068" xr:uid="{00000000-0005-0000-0000-0000F54A0000}"/>
    <cellStyle name="Normal 3 3 3 2 2 3 5 2" xfId="25664" xr:uid="{00000000-0005-0000-0000-0000F64A0000}"/>
    <cellStyle name="Normal 3 3 3 2 2 3 5 2 2" xfId="57535" xr:uid="{00000000-0005-0000-0000-0000F74A0000}"/>
    <cellStyle name="Normal 3 3 3 2 2 3 5 3" xfId="36947" xr:uid="{00000000-0005-0000-0000-0000F84A0000}"/>
    <cellStyle name="Normal 3 3 3 2 2 3 6" xfId="17786" xr:uid="{00000000-0005-0000-0000-0000F94A0000}"/>
    <cellStyle name="Normal 3 3 3 2 2 3 6 2" xfId="49657" xr:uid="{00000000-0005-0000-0000-0000FA4A0000}"/>
    <cellStyle name="Normal 3 3 3 2 2 3 7" xfId="36932" xr:uid="{00000000-0005-0000-0000-0000FB4A0000}"/>
    <cellStyle name="Normal 3 3 3 2 2 4" xfId="5069" xr:uid="{00000000-0005-0000-0000-0000FC4A0000}"/>
    <cellStyle name="Normal 3 3 3 2 2 4 2" xfId="5070" xr:uid="{00000000-0005-0000-0000-0000FD4A0000}"/>
    <cellStyle name="Normal 3 3 3 2 2 4 2 2" xfId="5071" xr:uid="{00000000-0005-0000-0000-0000FE4A0000}"/>
    <cellStyle name="Normal 3 3 3 2 2 4 2 2 2" xfId="5072" xr:uid="{00000000-0005-0000-0000-0000FF4A0000}"/>
    <cellStyle name="Normal 3 3 3 2 2 4 2 2 2 2" xfId="29608" xr:uid="{00000000-0005-0000-0000-0000004B0000}"/>
    <cellStyle name="Normal 3 3 3 2 2 4 2 2 2 2 2" xfId="61479" xr:uid="{00000000-0005-0000-0000-0000014B0000}"/>
    <cellStyle name="Normal 3 3 3 2 2 4 2 2 2 3" xfId="36951" xr:uid="{00000000-0005-0000-0000-0000024B0000}"/>
    <cellStyle name="Normal 3 3 3 2 2 4 2 2 3" xfId="21730" xr:uid="{00000000-0005-0000-0000-0000034B0000}"/>
    <cellStyle name="Normal 3 3 3 2 2 4 2 2 3 2" xfId="53601" xr:uid="{00000000-0005-0000-0000-0000044B0000}"/>
    <cellStyle name="Normal 3 3 3 2 2 4 2 2 4" xfId="36950" xr:uid="{00000000-0005-0000-0000-0000054B0000}"/>
    <cellStyle name="Normal 3 3 3 2 2 4 2 3" xfId="5073" xr:uid="{00000000-0005-0000-0000-0000064B0000}"/>
    <cellStyle name="Normal 3 3 3 2 2 4 2 3 2" xfId="25669" xr:uid="{00000000-0005-0000-0000-0000074B0000}"/>
    <cellStyle name="Normal 3 3 3 2 2 4 2 3 2 2" xfId="57540" xr:uid="{00000000-0005-0000-0000-0000084B0000}"/>
    <cellStyle name="Normal 3 3 3 2 2 4 2 3 3" xfId="36952" xr:uid="{00000000-0005-0000-0000-0000094B0000}"/>
    <cellStyle name="Normal 3 3 3 2 2 4 2 4" xfId="17791" xr:uid="{00000000-0005-0000-0000-00000A4B0000}"/>
    <cellStyle name="Normal 3 3 3 2 2 4 2 4 2" xfId="49662" xr:uid="{00000000-0005-0000-0000-00000B4B0000}"/>
    <cellStyle name="Normal 3 3 3 2 2 4 2 5" xfId="36949" xr:uid="{00000000-0005-0000-0000-00000C4B0000}"/>
    <cellStyle name="Normal 3 3 3 2 2 4 3" xfId="5074" xr:uid="{00000000-0005-0000-0000-00000D4B0000}"/>
    <cellStyle name="Normal 3 3 3 2 2 4 3 2" xfId="5075" xr:uid="{00000000-0005-0000-0000-00000E4B0000}"/>
    <cellStyle name="Normal 3 3 3 2 2 4 3 2 2" xfId="29607" xr:uid="{00000000-0005-0000-0000-00000F4B0000}"/>
    <cellStyle name="Normal 3 3 3 2 2 4 3 2 2 2" xfId="61478" xr:uid="{00000000-0005-0000-0000-0000104B0000}"/>
    <cellStyle name="Normal 3 3 3 2 2 4 3 2 3" xfId="36954" xr:uid="{00000000-0005-0000-0000-0000114B0000}"/>
    <cellStyle name="Normal 3 3 3 2 2 4 3 3" xfId="21729" xr:uid="{00000000-0005-0000-0000-0000124B0000}"/>
    <cellStyle name="Normal 3 3 3 2 2 4 3 3 2" xfId="53600" xr:uid="{00000000-0005-0000-0000-0000134B0000}"/>
    <cellStyle name="Normal 3 3 3 2 2 4 3 4" xfId="36953" xr:uid="{00000000-0005-0000-0000-0000144B0000}"/>
    <cellStyle name="Normal 3 3 3 2 2 4 4" xfId="5076" xr:uid="{00000000-0005-0000-0000-0000154B0000}"/>
    <cellStyle name="Normal 3 3 3 2 2 4 4 2" xfId="25668" xr:uid="{00000000-0005-0000-0000-0000164B0000}"/>
    <cellStyle name="Normal 3 3 3 2 2 4 4 2 2" xfId="57539" xr:uid="{00000000-0005-0000-0000-0000174B0000}"/>
    <cellStyle name="Normal 3 3 3 2 2 4 4 3" xfId="36955" xr:uid="{00000000-0005-0000-0000-0000184B0000}"/>
    <cellStyle name="Normal 3 3 3 2 2 4 5" xfId="17790" xr:uid="{00000000-0005-0000-0000-0000194B0000}"/>
    <cellStyle name="Normal 3 3 3 2 2 4 5 2" xfId="49661" xr:uid="{00000000-0005-0000-0000-00001A4B0000}"/>
    <cellStyle name="Normal 3 3 3 2 2 4 6" xfId="36948" xr:uid="{00000000-0005-0000-0000-00001B4B0000}"/>
    <cellStyle name="Normal 3 3 3 2 2 5" xfId="5077" xr:uid="{00000000-0005-0000-0000-00001C4B0000}"/>
    <cellStyle name="Normal 3 3 3 2 2 5 2" xfId="5078" xr:uid="{00000000-0005-0000-0000-00001D4B0000}"/>
    <cellStyle name="Normal 3 3 3 2 2 5 2 2" xfId="5079" xr:uid="{00000000-0005-0000-0000-00001E4B0000}"/>
    <cellStyle name="Normal 3 3 3 2 2 5 2 2 2" xfId="29609" xr:uid="{00000000-0005-0000-0000-00001F4B0000}"/>
    <cellStyle name="Normal 3 3 3 2 2 5 2 2 2 2" xfId="61480" xr:uid="{00000000-0005-0000-0000-0000204B0000}"/>
    <cellStyle name="Normal 3 3 3 2 2 5 2 2 3" xfId="36958" xr:uid="{00000000-0005-0000-0000-0000214B0000}"/>
    <cellStyle name="Normal 3 3 3 2 2 5 2 3" xfId="21731" xr:uid="{00000000-0005-0000-0000-0000224B0000}"/>
    <cellStyle name="Normal 3 3 3 2 2 5 2 3 2" xfId="53602" xr:uid="{00000000-0005-0000-0000-0000234B0000}"/>
    <cellStyle name="Normal 3 3 3 2 2 5 2 4" xfId="36957" xr:uid="{00000000-0005-0000-0000-0000244B0000}"/>
    <cellStyle name="Normal 3 3 3 2 2 5 3" xfId="5080" xr:uid="{00000000-0005-0000-0000-0000254B0000}"/>
    <cellStyle name="Normal 3 3 3 2 2 5 3 2" xfId="25670" xr:uid="{00000000-0005-0000-0000-0000264B0000}"/>
    <cellStyle name="Normal 3 3 3 2 2 5 3 2 2" xfId="57541" xr:uid="{00000000-0005-0000-0000-0000274B0000}"/>
    <cellStyle name="Normal 3 3 3 2 2 5 3 3" xfId="36959" xr:uid="{00000000-0005-0000-0000-0000284B0000}"/>
    <cellStyle name="Normal 3 3 3 2 2 5 4" xfId="17792" xr:uid="{00000000-0005-0000-0000-0000294B0000}"/>
    <cellStyle name="Normal 3 3 3 2 2 5 4 2" xfId="49663" xr:uid="{00000000-0005-0000-0000-00002A4B0000}"/>
    <cellStyle name="Normal 3 3 3 2 2 5 5" xfId="36956" xr:uid="{00000000-0005-0000-0000-00002B4B0000}"/>
    <cellStyle name="Normal 3 3 3 2 2 6" xfId="5081" xr:uid="{00000000-0005-0000-0000-00002C4B0000}"/>
    <cellStyle name="Normal 3 3 3 2 2 6 2" xfId="5082" xr:uid="{00000000-0005-0000-0000-00002D4B0000}"/>
    <cellStyle name="Normal 3 3 3 2 2 6 2 2" xfId="28459" xr:uid="{00000000-0005-0000-0000-00002E4B0000}"/>
    <cellStyle name="Normal 3 3 3 2 2 6 2 2 2" xfId="60330" xr:uid="{00000000-0005-0000-0000-00002F4B0000}"/>
    <cellStyle name="Normal 3 3 3 2 2 6 2 3" xfId="36961" xr:uid="{00000000-0005-0000-0000-0000304B0000}"/>
    <cellStyle name="Normal 3 3 3 2 2 6 3" xfId="20581" xr:uid="{00000000-0005-0000-0000-0000314B0000}"/>
    <cellStyle name="Normal 3 3 3 2 2 6 3 2" xfId="52452" xr:uid="{00000000-0005-0000-0000-0000324B0000}"/>
    <cellStyle name="Normal 3 3 3 2 2 6 4" xfId="36960" xr:uid="{00000000-0005-0000-0000-0000334B0000}"/>
    <cellStyle name="Normal 3 3 3 2 2 7" xfId="5083" xr:uid="{00000000-0005-0000-0000-0000344B0000}"/>
    <cellStyle name="Normal 3 3 3 2 2 7 2" xfId="24520" xr:uid="{00000000-0005-0000-0000-0000354B0000}"/>
    <cellStyle name="Normal 3 3 3 2 2 7 2 2" xfId="56391" xr:uid="{00000000-0005-0000-0000-0000364B0000}"/>
    <cellStyle name="Normal 3 3 3 2 2 7 3" xfId="36962" xr:uid="{00000000-0005-0000-0000-0000374B0000}"/>
    <cellStyle name="Normal 3 3 3 2 2 8" xfId="16642" xr:uid="{00000000-0005-0000-0000-0000384B0000}"/>
    <cellStyle name="Normal 3 3 3 2 2 8 2" xfId="48513" xr:uid="{00000000-0005-0000-0000-0000394B0000}"/>
    <cellStyle name="Normal 3 3 3 2 2 9" xfId="36899" xr:uid="{00000000-0005-0000-0000-00003A4B0000}"/>
    <cellStyle name="Normal 3 3 3 2 3" xfId="5084" xr:uid="{00000000-0005-0000-0000-00003B4B0000}"/>
    <cellStyle name="Normal 3 3 3 2 3 2" xfId="5085" xr:uid="{00000000-0005-0000-0000-00003C4B0000}"/>
    <cellStyle name="Normal 3 3 3 2 3 2 2" xfId="5086" xr:uid="{00000000-0005-0000-0000-00003D4B0000}"/>
    <cellStyle name="Normal 3 3 3 2 3 2 2 2" xfId="5087" xr:uid="{00000000-0005-0000-0000-00003E4B0000}"/>
    <cellStyle name="Normal 3 3 3 2 3 2 2 2 2" xfId="5088" xr:uid="{00000000-0005-0000-0000-00003F4B0000}"/>
    <cellStyle name="Normal 3 3 3 2 3 2 2 2 2 2" xfId="5089" xr:uid="{00000000-0005-0000-0000-0000404B0000}"/>
    <cellStyle name="Normal 3 3 3 2 3 2 2 2 2 2 2" xfId="29613" xr:uid="{00000000-0005-0000-0000-0000414B0000}"/>
    <cellStyle name="Normal 3 3 3 2 3 2 2 2 2 2 2 2" xfId="61484" xr:uid="{00000000-0005-0000-0000-0000424B0000}"/>
    <cellStyle name="Normal 3 3 3 2 3 2 2 2 2 2 3" xfId="36968" xr:uid="{00000000-0005-0000-0000-0000434B0000}"/>
    <cellStyle name="Normal 3 3 3 2 3 2 2 2 2 3" xfId="21735" xr:uid="{00000000-0005-0000-0000-0000444B0000}"/>
    <cellStyle name="Normal 3 3 3 2 3 2 2 2 2 3 2" xfId="53606" xr:uid="{00000000-0005-0000-0000-0000454B0000}"/>
    <cellStyle name="Normal 3 3 3 2 3 2 2 2 2 4" xfId="36967" xr:uid="{00000000-0005-0000-0000-0000464B0000}"/>
    <cellStyle name="Normal 3 3 3 2 3 2 2 2 3" xfId="5090" xr:uid="{00000000-0005-0000-0000-0000474B0000}"/>
    <cellStyle name="Normal 3 3 3 2 3 2 2 2 3 2" xfId="25674" xr:uid="{00000000-0005-0000-0000-0000484B0000}"/>
    <cellStyle name="Normal 3 3 3 2 3 2 2 2 3 2 2" xfId="57545" xr:uid="{00000000-0005-0000-0000-0000494B0000}"/>
    <cellStyle name="Normal 3 3 3 2 3 2 2 2 3 3" xfId="36969" xr:uid="{00000000-0005-0000-0000-00004A4B0000}"/>
    <cellStyle name="Normal 3 3 3 2 3 2 2 2 4" xfId="17796" xr:uid="{00000000-0005-0000-0000-00004B4B0000}"/>
    <cellStyle name="Normal 3 3 3 2 3 2 2 2 4 2" xfId="49667" xr:uid="{00000000-0005-0000-0000-00004C4B0000}"/>
    <cellStyle name="Normal 3 3 3 2 3 2 2 2 5" xfId="36966" xr:uid="{00000000-0005-0000-0000-00004D4B0000}"/>
    <cellStyle name="Normal 3 3 3 2 3 2 2 3" xfId="5091" xr:uid="{00000000-0005-0000-0000-00004E4B0000}"/>
    <cellStyle name="Normal 3 3 3 2 3 2 2 3 2" xfId="5092" xr:uid="{00000000-0005-0000-0000-00004F4B0000}"/>
    <cellStyle name="Normal 3 3 3 2 3 2 2 3 2 2" xfId="29612" xr:uid="{00000000-0005-0000-0000-0000504B0000}"/>
    <cellStyle name="Normal 3 3 3 2 3 2 2 3 2 2 2" xfId="61483" xr:uid="{00000000-0005-0000-0000-0000514B0000}"/>
    <cellStyle name="Normal 3 3 3 2 3 2 2 3 2 3" xfId="36971" xr:uid="{00000000-0005-0000-0000-0000524B0000}"/>
    <cellStyle name="Normal 3 3 3 2 3 2 2 3 3" xfId="21734" xr:uid="{00000000-0005-0000-0000-0000534B0000}"/>
    <cellStyle name="Normal 3 3 3 2 3 2 2 3 3 2" xfId="53605" xr:uid="{00000000-0005-0000-0000-0000544B0000}"/>
    <cellStyle name="Normal 3 3 3 2 3 2 2 3 4" xfId="36970" xr:uid="{00000000-0005-0000-0000-0000554B0000}"/>
    <cellStyle name="Normal 3 3 3 2 3 2 2 4" xfId="5093" xr:uid="{00000000-0005-0000-0000-0000564B0000}"/>
    <cellStyle name="Normal 3 3 3 2 3 2 2 4 2" xfId="25673" xr:uid="{00000000-0005-0000-0000-0000574B0000}"/>
    <cellStyle name="Normal 3 3 3 2 3 2 2 4 2 2" xfId="57544" xr:uid="{00000000-0005-0000-0000-0000584B0000}"/>
    <cellStyle name="Normal 3 3 3 2 3 2 2 4 3" xfId="36972" xr:uid="{00000000-0005-0000-0000-0000594B0000}"/>
    <cellStyle name="Normal 3 3 3 2 3 2 2 5" xfId="17795" xr:uid="{00000000-0005-0000-0000-00005A4B0000}"/>
    <cellStyle name="Normal 3 3 3 2 3 2 2 5 2" xfId="49666" xr:uid="{00000000-0005-0000-0000-00005B4B0000}"/>
    <cellStyle name="Normal 3 3 3 2 3 2 2 6" xfId="36965" xr:uid="{00000000-0005-0000-0000-00005C4B0000}"/>
    <cellStyle name="Normal 3 3 3 2 3 2 3" xfId="5094" xr:uid="{00000000-0005-0000-0000-00005D4B0000}"/>
    <cellStyle name="Normal 3 3 3 2 3 2 3 2" xfId="5095" xr:uid="{00000000-0005-0000-0000-00005E4B0000}"/>
    <cellStyle name="Normal 3 3 3 2 3 2 3 2 2" xfId="5096" xr:uid="{00000000-0005-0000-0000-00005F4B0000}"/>
    <cellStyle name="Normal 3 3 3 2 3 2 3 2 2 2" xfId="29614" xr:uid="{00000000-0005-0000-0000-0000604B0000}"/>
    <cellStyle name="Normal 3 3 3 2 3 2 3 2 2 2 2" xfId="61485" xr:uid="{00000000-0005-0000-0000-0000614B0000}"/>
    <cellStyle name="Normal 3 3 3 2 3 2 3 2 2 3" xfId="36975" xr:uid="{00000000-0005-0000-0000-0000624B0000}"/>
    <cellStyle name="Normal 3 3 3 2 3 2 3 2 3" xfId="21736" xr:uid="{00000000-0005-0000-0000-0000634B0000}"/>
    <cellStyle name="Normal 3 3 3 2 3 2 3 2 3 2" xfId="53607" xr:uid="{00000000-0005-0000-0000-0000644B0000}"/>
    <cellStyle name="Normal 3 3 3 2 3 2 3 2 4" xfId="36974" xr:uid="{00000000-0005-0000-0000-0000654B0000}"/>
    <cellStyle name="Normal 3 3 3 2 3 2 3 3" xfId="5097" xr:uid="{00000000-0005-0000-0000-0000664B0000}"/>
    <cellStyle name="Normal 3 3 3 2 3 2 3 3 2" xfId="25675" xr:uid="{00000000-0005-0000-0000-0000674B0000}"/>
    <cellStyle name="Normal 3 3 3 2 3 2 3 3 2 2" xfId="57546" xr:uid="{00000000-0005-0000-0000-0000684B0000}"/>
    <cellStyle name="Normal 3 3 3 2 3 2 3 3 3" xfId="36976" xr:uid="{00000000-0005-0000-0000-0000694B0000}"/>
    <cellStyle name="Normal 3 3 3 2 3 2 3 4" xfId="17797" xr:uid="{00000000-0005-0000-0000-00006A4B0000}"/>
    <cellStyle name="Normal 3 3 3 2 3 2 3 4 2" xfId="49668" xr:uid="{00000000-0005-0000-0000-00006B4B0000}"/>
    <cellStyle name="Normal 3 3 3 2 3 2 3 5" xfId="36973" xr:uid="{00000000-0005-0000-0000-00006C4B0000}"/>
    <cellStyle name="Normal 3 3 3 2 3 2 4" xfId="5098" xr:uid="{00000000-0005-0000-0000-00006D4B0000}"/>
    <cellStyle name="Normal 3 3 3 2 3 2 4 2" xfId="5099" xr:uid="{00000000-0005-0000-0000-00006E4B0000}"/>
    <cellStyle name="Normal 3 3 3 2 3 2 4 2 2" xfId="29611" xr:uid="{00000000-0005-0000-0000-00006F4B0000}"/>
    <cellStyle name="Normal 3 3 3 2 3 2 4 2 2 2" xfId="61482" xr:uid="{00000000-0005-0000-0000-0000704B0000}"/>
    <cellStyle name="Normal 3 3 3 2 3 2 4 2 3" xfId="36978" xr:uid="{00000000-0005-0000-0000-0000714B0000}"/>
    <cellStyle name="Normal 3 3 3 2 3 2 4 3" xfId="21733" xr:uid="{00000000-0005-0000-0000-0000724B0000}"/>
    <cellStyle name="Normal 3 3 3 2 3 2 4 3 2" xfId="53604" xr:uid="{00000000-0005-0000-0000-0000734B0000}"/>
    <cellStyle name="Normal 3 3 3 2 3 2 4 4" xfId="36977" xr:uid="{00000000-0005-0000-0000-0000744B0000}"/>
    <cellStyle name="Normal 3 3 3 2 3 2 5" xfId="5100" xr:uid="{00000000-0005-0000-0000-0000754B0000}"/>
    <cellStyle name="Normal 3 3 3 2 3 2 5 2" xfId="25672" xr:uid="{00000000-0005-0000-0000-0000764B0000}"/>
    <cellStyle name="Normal 3 3 3 2 3 2 5 2 2" xfId="57543" xr:uid="{00000000-0005-0000-0000-0000774B0000}"/>
    <cellStyle name="Normal 3 3 3 2 3 2 5 3" xfId="36979" xr:uid="{00000000-0005-0000-0000-0000784B0000}"/>
    <cellStyle name="Normal 3 3 3 2 3 2 6" xfId="17794" xr:uid="{00000000-0005-0000-0000-0000794B0000}"/>
    <cellStyle name="Normal 3 3 3 2 3 2 6 2" xfId="49665" xr:uid="{00000000-0005-0000-0000-00007A4B0000}"/>
    <cellStyle name="Normal 3 3 3 2 3 2 7" xfId="36964" xr:uid="{00000000-0005-0000-0000-00007B4B0000}"/>
    <cellStyle name="Normal 3 3 3 2 3 3" xfId="5101" xr:uid="{00000000-0005-0000-0000-00007C4B0000}"/>
    <cellStyle name="Normal 3 3 3 2 3 3 2" xfId="5102" xr:uid="{00000000-0005-0000-0000-00007D4B0000}"/>
    <cellStyle name="Normal 3 3 3 2 3 3 2 2" xfId="5103" xr:uid="{00000000-0005-0000-0000-00007E4B0000}"/>
    <cellStyle name="Normal 3 3 3 2 3 3 2 2 2" xfId="5104" xr:uid="{00000000-0005-0000-0000-00007F4B0000}"/>
    <cellStyle name="Normal 3 3 3 2 3 3 2 2 2 2" xfId="29616" xr:uid="{00000000-0005-0000-0000-0000804B0000}"/>
    <cellStyle name="Normal 3 3 3 2 3 3 2 2 2 2 2" xfId="61487" xr:uid="{00000000-0005-0000-0000-0000814B0000}"/>
    <cellStyle name="Normal 3 3 3 2 3 3 2 2 2 3" xfId="36983" xr:uid="{00000000-0005-0000-0000-0000824B0000}"/>
    <cellStyle name="Normal 3 3 3 2 3 3 2 2 3" xfId="21738" xr:uid="{00000000-0005-0000-0000-0000834B0000}"/>
    <cellStyle name="Normal 3 3 3 2 3 3 2 2 3 2" xfId="53609" xr:uid="{00000000-0005-0000-0000-0000844B0000}"/>
    <cellStyle name="Normal 3 3 3 2 3 3 2 2 4" xfId="36982" xr:uid="{00000000-0005-0000-0000-0000854B0000}"/>
    <cellStyle name="Normal 3 3 3 2 3 3 2 3" xfId="5105" xr:uid="{00000000-0005-0000-0000-0000864B0000}"/>
    <cellStyle name="Normal 3 3 3 2 3 3 2 3 2" xfId="25677" xr:uid="{00000000-0005-0000-0000-0000874B0000}"/>
    <cellStyle name="Normal 3 3 3 2 3 3 2 3 2 2" xfId="57548" xr:uid="{00000000-0005-0000-0000-0000884B0000}"/>
    <cellStyle name="Normal 3 3 3 2 3 3 2 3 3" xfId="36984" xr:uid="{00000000-0005-0000-0000-0000894B0000}"/>
    <cellStyle name="Normal 3 3 3 2 3 3 2 4" xfId="17799" xr:uid="{00000000-0005-0000-0000-00008A4B0000}"/>
    <cellStyle name="Normal 3 3 3 2 3 3 2 4 2" xfId="49670" xr:uid="{00000000-0005-0000-0000-00008B4B0000}"/>
    <cellStyle name="Normal 3 3 3 2 3 3 2 5" xfId="36981" xr:uid="{00000000-0005-0000-0000-00008C4B0000}"/>
    <cellStyle name="Normal 3 3 3 2 3 3 3" xfId="5106" xr:uid="{00000000-0005-0000-0000-00008D4B0000}"/>
    <cellStyle name="Normal 3 3 3 2 3 3 3 2" xfId="5107" xr:uid="{00000000-0005-0000-0000-00008E4B0000}"/>
    <cellStyle name="Normal 3 3 3 2 3 3 3 2 2" xfId="29615" xr:uid="{00000000-0005-0000-0000-00008F4B0000}"/>
    <cellStyle name="Normal 3 3 3 2 3 3 3 2 2 2" xfId="61486" xr:uid="{00000000-0005-0000-0000-0000904B0000}"/>
    <cellStyle name="Normal 3 3 3 2 3 3 3 2 3" xfId="36986" xr:uid="{00000000-0005-0000-0000-0000914B0000}"/>
    <cellStyle name="Normal 3 3 3 2 3 3 3 3" xfId="21737" xr:uid="{00000000-0005-0000-0000-0000924B0000}"/>
    <cellStyle name="Normal 3 3 3 2 3 3 3 3 2" xfId="53608" xr:uid="{00000000-0005-0000-0000-0000934B0000}"/>
    <cellStyle name="Normal 3 3 3 2 3 3 3 4" xfId="36985" xr:uid="{00000000-0005-0000-0000-0000944B0000}"/>
    <cellStyle name="Normal 3 3 3 2 3 3 4" xfId="5108" xr:uid="{00000000-0005-0000-0000-0000954B0000}"/>
    <cellStyle name="Normal 3 3 3 2 3 3 4 2" xfId="25676" xr:uid="{00000000-0005-0000-0000-0000964B0000}"/>
    <cellStyle name="Normal 3 3 3 2 3 3 4 2 2" xfId="57547" xr:uid="{00000000-0005-0000-0000-0000974B0000}"/>
    <cellStyle name="Normal 3 3 3 2 3 3 4 3" xfId="36987" xr:uid="{00000000-0005-0000-0000-0000984B0000}"/>
    <cellStyle name="Normal 3 3 3 2 3 3 5" xfId="17798" xr:uid="{00000000-0005-0000-0000-0000994B0000}"/>
    <cellStyle name="Normal 3 3 3 2 3 3 5 2" xfId="49669" xr:uid="{00000000-0005-0000-0000-00009A4B0000}"/>
    <cellStyle name="Normal 3 3 3 2 3 3 6" xfId="36980" xr:uid="{00000000-0005-0000-0000-00009B4B0000}"/>
    <cellStyle name="Normal 3 3 3 2 3 4" xfId="5109" xr:uid="{00000000-0005-0000-0000-00009C4B0000}"/>
    <cellStyle name="Normal 3 3 3 2 3 4 2" xfId="5110" xr:uid="{00000000-0005-0000-0000-00009D4B0000}"/>
    <cellStyle name="Normal 3 3 3 2 3 4 2 2" xfId="5111" xr:uid="{00000000-0005-0000-0000-00009E4B0000}"/>
    <cellStyle name="Normal 3 3 3 2 3 4 2 2 2" xfId="29617" xr:uid="{00000000-0005-0000-0000-00009F4B0000}"/>
    <cellStyle name="Normal 3 3 3 2 3 4 2 2 2 2" xfId="61488" xr:uid="{00000000-0005-0000-0000-0000A04B0000}"/>
    <cellStyle name="Normal 3 3 3 2 3 4 2 2 3" xfId="36990" xr:uid="{00000000-0005-0000-0000-0000A14B0000}"/>
    <cellStyle name="Normal 3 3 3 2 3 4 2 3" xfId="21739" xr:uid="{00000000-0005-0000-0000-0000A24B0000}"/>
    <cellStyle name="Normal 3 3 3 2 3 4 2 3 2" xfId="53610" xr:uid="{00000000-0005-0000-0000-0000A34B0000}"/>
    <cellStyle name="Normal 3 3 3 2 3 4 2 4" xfId="36989" xr:uid="{00000000-0005-0000-0000-0000A44B0000}"/>
    <cellStyle name="Normal 3 3 3 2 3 4 3" xfId="5112" xr:uid="{00000000-0005-0000-0000-0000A54B0000}"/>
    <cellStyle name="Normal 3 3 3 2 3 4 3 2" xfId="25678" xr:uid="{00000000-0005-0000-0000-0000A64B0000}"/>
    <cellStyle name="Normal 3 3 3 2 3 4 3 2 2" xfId="57549" xr:uid="{00000000-0005-0000-0000-0000A74B0000}"/>
    <cellStyle name="Normal 3 3 3 2 3 4 3 3" xfId="36991" xr:uid="{00000000-0005-0000-0000-0000A84B0000}"/>
    <cellStyle name="Normal 3 3 3 2 3 4 4" xfId="17800" xr:uid="{00000000-0005-0000-0000-0000A94B0000}"/>
    <cellStyle name="Normal 3 3 3 2 3 4 4 2" xfId="49671" xr:uid="{00000000-0005-0000-0000-0000AA4B0000}"/>
    <cellStyle name="Normal 3 3 3 2 3 4 5" xfId="36988" xr:uid="{00000000-0005-0000-0000-0000AB4B0000}"/>
    <cellStyle name="Normal 3 3 3 2 3 5" xfId="5113" xr:uid="{00000000-0005-0000-0000-0000AC4B0000}"/>
    <cellStyle name="Normal 3 3 3 2 3 5 2" xfId="5114" xr:uid="{00000000-0005-0000-0000-0000AD4B0000}"/>
    <cellStyle name="Normal 3 3 3 2 3 5 2 2" xfId="29610" xr:uid="{00000000-0005-0000-0000-0000AE4B0000}"/>
    <cellStyle name="Normal 3 3 3 2 3 5 2 2 2" xfId="61481" xr:uid="{00000000-0005-0000-0000-0000AF4B0000}"/>
    <cellStyle name="Normal 3 3 3 2 3 5 2 3" xfId="36993" xr:uid="{00000000-0005-0000-0000-0000B04B0000}"/>
    <cellStyle name="Normal 3 3 3 2 3 5 3" xfId="21732" xr:uid="{00000000-0005-0000-0000-0000B14B0000}"/>
    <cellStyle name="Normal 3 3 3 2 3 5 3 2" xfId="53603" xr:uid="{00000000-0005-0000-0000-0000B24B0000}"/>
    <cellStyle name="Normal 3 3 3 2 3 5 4" xfId="36992" xr:uid="{00000000-0005-0000-0000-0000B34B0000}"/>
    <cellStyle name="Normal 3 3 3 2 3 6" xfId="5115" xr:uid="{00000000-0005-0000-0000-0000B44B0000}"/>
    <cellStyle name="Normal 3 3 3 2 3 6 2" xfId="25671" xr:uid="{00000000-0005-0000-0000-0000B54B0000}"/>
    <cellStyle name="Normal 3 3 3 2 3 6 2 2" xfId="57542" xr:uid="{00000000-0005-0000-0000-0000B64B0000}"/>
    <cellStyle name="Normal 3 3 3 2 3 6 3" xfId="36994" xr:uid="{00000000-0005-0000-0000-0000B74B0000}"/>
    <cellStyle name="Normal 3 3 3 2 3 7" xfId="17793" xr:uid="{00000000-0005-0000-0000-0000B84B0000}"/>
    <cellStyle name="Normal 3 3 3 2 3 7 2" xfId="49664" xr:uid="{00000000-0005-0000-0000-0000B94B0000}"/>
    <cellStyle name="Normal 3 3 3 2 3 8" xfId="36963" xr:uid="{00000000-0005-0000-0000-0000BA4B0000}"/>
    <cellStyle name="Normal 3 3 3 2 4" xfId="5116" xr:uid="{00000000-0005-0000-0000-0000BB4B0000}"/>
    <cellStyle name="Normal 3 3 3 2 4 2" xfId="5117" xr:uid="{00000000-0005-0000-0000-0000BC4B0000}"/>
    <cellStyle name="Normal 3 3 3 2 4 2 2" xfId="5118" xr:uid="{00000000-0005-0000-0000-0000BD4B0000}"/>
    <cellStyle name="Normal 3 3 3 2 4 2 2 2" xfId="5119" xr:uid="{00000000-0005-0000-0000-0000BE4B0000}"/>
    <cellStyle name="Normal 3 3 3 2 4 2 2 2 2" xfId="5120" xr:uid="{00000000-0005-0000-0000-0000BF4B0000}"/>
    <cellStyle name="Normal 3 3 3 2 4 2 2 2 2 2" xfId="29620" xr:uid="{00000000-0005-0000-0000-0000C04B0000}"/>
    <cellStyle name="Normal 3 3 3 2 4 2 2 2 2 2 2" xfId="61491" xr:uid="{00000000-0005-0000-0000-0000C14B0000}"/>
    <cellStyle name="Normal 3 3 3 2 4 2 2 2 2 3" xfId="36999" xr:uid="{00000000-0005-0000-0000-0000C24B0000}"/>
    <cellStyle name="Normal 3 3 3 2 4 2 2 2 3" xfId="21742" xr:uid="{00000000-0005-0000-0000-0000C34B0000}"/>
    <cellStyle name="Normal 3 3 3 2 4 2 2 2 3 2" xfId="53613" xr:uid="{00000000-0005-0000-0000-0000C44B0000}"/>
    <cellStyle name="Normal 3 3 3 2 4 2 2 2 4" xfId="36998" xr:uid="{00000000-0005-0000-0000-0000C54B0000}"/>
    <cellStyle name="Normal 3 3 3 2 4 2 2 3" xfId="5121" xr:uid="{00000000-0005-0000-0000-0000C64B0000}"/>
    <cellStyle name="Normal 3 3 3 2 4 2 2 3 2" xfId="25681" xr:uid="{00000000-0005-0000-0000-0000C74B0000}"/>
    <cellStyle name="Normal 3 3 3 2 4 2 2 3 2 2" xfId="57552" xr:uid="{00000000-0005-0000-0000-0000C84B0000}"/>
    <cellStyle name="Normal 3 3 3 2 4 2 2 3 3" xfId="37000" xr:uid="{00000000-0005-0000-0000-0000C94B0000}"/>
    <cellStyle name="Normal 3 3 3 2 4 2 2 4" xfId="17803" xr:uid="{00000000-0005-0000-0000-0000CA4B0000}"/>
    <cellStyle name="Normal 3 3 3 2 4 2 2 4 2" xfId="49674" xr:uid="{00000000-0005-0000-0000-0000CB4B0000}"/>
    <cellStyle name="Normal 3 3 3 2 4 2 2 5" xfId="36997" xr:uid="{00000000-0005-0000-0000-0000CC4B0000}"/>
    <cellStyle name="Normal 3 3 3 2 4 2 3" xfId="5122" xr:uid="{00000000-0005-0000-0000-0000CD4B0000}"/>
    <cellStyle name="Normal 3 3 3 2 4 2 3 2" xfId="5123" xr:uid="{00000000-0005-0000-0000-0000CE4B0000}"/>
    <cellStyle name="Normal 3 3 3 2 4 2 3 2 2" xfId="29619" xr:uid="{00000000-0005-0000-0000-0000CF4B0000}"/>
    <cellStyle name="Normal 3 3 3 2 4 2 3 2 2 2" xfId="61490" xr:uid="{00000000-0005-0000-0000-0000D04B0000}"/>
    <cellStyle name="Normal 3 3 3 2 4 2 3 2 3" xfId="37002" xr:uid="{00000000-0005-0000-0000-0000D14B0000}"/>
    <cellStyle name="Normal 3 3 3 2 4 2 3 3" xfId="21741" xr:uid="{00000000-0005-0000-0000-0000D24B0000}"/>
    <cellStyle name="Normal 3 3 3 2 4 2 3 3 2" xfId="53612" xr:uid="{00000000-0005-0000-0000-0000D34B0000}"/>
    <cellStyle name="Normal 3 3 3 2 4 2 3 4" xfId="37001" xr:uid="{00000000-0005-0000-0000-0000D44B0000}"/>
    <cellStyle name="Normal 3 3 3 2 4 2 4" xfId="5124" xr:uid="{00000000-0005-0000-0000-0000D54B0000}"/>
    <cellStyle name="Normal 3 3 3 2 4 2 4 2" xfId="25680" xr:uid="{00000000-0005-0000-0000-0000D64B0000}"/>
    <cellStyle name="Normal 3 3 3 2 4 2 4 2 2" xfId="57551" xr:uid="{00000000-0005-0000-0000-0000D74B0000}"/>
    <cellStyle name="Normal 3 3 3 2 4 2 4 3" xfId="37003" xr:uid="{00000000-0005-0000-0000-0000D84B0000}"/>
    <cellStyle name="Normal 3 3 3 2 4 2 5" xfId="17802" xr:uid="{00000000-0005-0000-0000-0000D94B0000}"/>
    <cellStyle name="Normal 3 3 3 2 4 2 5 2" xfId="49673" xr:uid="{00000000-0005-0000-0000-0000DA4B0000}"/>
    <cellStyle name="Normal 3 3 3 2 4 2 6" xfId="36996" xr:uid="{00000000-0005-0000-0000-0000DB4B0000}"/>
    <cellStyle name="Normal 3 3 3 2 4 3" xfId="5125" xr:uid="{00000000-0005-0000-0000-0000DC4B0000}"/>
    <cellStyle name="Normal 3 3 3 2 4 3 2" xfId="5126" xr:uid="{00000000-0005-0000-0000-0000DD4B0000}"/>
    <cellStyle name="Normal 3 3 3 2 4 3 2 2" xfId="5127" xr:uid="{00000000-0005-0000-0000-0000DE4B0000}"/>
    <cellStyle name="Normal 3 3 3 2 4 3 2 2 2" xfId="29621" xr:uid="{00000000-0005-0000-0000-0000DF4B0000}"/>
    <cellStyle name="Normal 3 3 3 2 4 3 2 2 2 2" xfId="61492" xr:uid="{00000000-0005-0000-0000-0000E04B0000}"/>
    <cellStyle name="Normal 3 3 3 2 4 3 2 2 3" xfId="37006" xr:uid="{00000000-0005-0000-0000-0000E14B0000}"/>
    <cellStyle name="Normal 3 3 3 2 4 3 2 3" xfId="21743" xr:uid="{00000000-0005-0000-0000-0000E24B0000}"/>
    <cellStyle name="Normal 3 3 3 2 4 3 2 3 2" xfId="53614" xr:uid="{00000000-0005-0000-0000-0000E34B0000}"/>
    <cellStyle name="Normal 3 3 3 2 4 3 2 4" xfId="37005" xr:uid="{00000000-0005-0000-0000-0000E44B0000}"/>
    <cellStyle name="Normal 3 3 3 2 4 3 3" xfId="5128" xr:uid="{00000000-0005-0000-0000-0000E54B0000}"/>
    <cellStyle name="Normal 3 3 3 2 4 3 3 2" xfId="25682" xr:uid="{00000000-0005-0000-0000-0000E64B0000}"/>
    <cellStyle name="Normal 3 3 3 2 4 3 3 2 2" xfId="57553" xr:uid="{00000000-0005-0000-0000-0000E74B0000}"/>
    <cellStyle name="Normal 3 3 3 2 4 3 3 3" xfId="37007" xr:uid="{00000000-0005-0000-0000-0000E84B0000}"/>
    <cellStyle name="Normal 3 3 3 2 4 3 4" xfId="17804" xr:uid="{00000000-0005-0000-0000-0000E94B0000}"/>
    <cellStyle name="Normal 3 3 3 2 4 3 4 2" xfId="49675" xr:uid="{00000000-0005-0000-0000-0000EA4B0000}"/>
    <cellStyle name="Normal 3 3 3 2 4 3 5" xfId="37004" xr:uid="{00000000-0005-0000-0000-0000EB4B0000}"/>
    <cellStyle name="Normal 3 3 3 2 4 4" xfId="5129" xr:uid="{00000000-0005-0000-0000-0000EC4B0000}"/>
    <cellStyle name="Normal 3 3 3 2 4 4 2" xfId="5130" xr:uid="{00000000-0005-0000-0000-0000ED4B0000}"/>
    <cellStyle name="Normal 3 3 3 2 4 4 2 2" xfId="29618" xr:uid="{00000000-0005-0000-0000-0000EE4B0000}"/>
    <cellStyle name="Normal 3 3 3 2 4 4 2 2 2" xfId="61489" xr:uid="{00000000-0005-0000-0000-0000EF4B0000}"/>
    <cellStyle name="Normal 3 3 3 2 4 4 2 3" xfId="37009" xr:uid="{00000000-0005-0000-0000-0000F04B0000}"/>
    <cellStyle name="Normal 3 3 3 2 4 4 3" xfId="21740" xr:uid="{00000000-0005-0000-0000-0000F14B0000}"/>
    <cellStyle name="Normal 3 3 3 2 4 4 3 2" xfId="53611" xr:uid="{00000000-0005-0000-0000-0000F24B0000}"/>
    <cellStyle name="Normal 3 3 3 2 4 4 4" xfId="37008" xr:uid="{00000000-0005-0000-0000-0000F34B0000}"/>
    <cellStyle name="Normal 3 3 3 2 4 5" xfId="5131" xr:uid="{00000000-0005-0000-0000-0000F44B0000}"/>
    <cellStyle name="Normal 3 3 3 2 4 5 2" xfId="25679" xr:uid="{00000000-0005-0000-0000-0000F54B0000}"/>
    <cellStyle name="Normal 3 3 3 2 4 5 2 2" xfId="57550" xr:uid="{00000000-0005-0000-0000-0000F64B0000}"/>
    <cellStyle name="Normal 3 3 3 2 4 5 3" xfId="37010" xr:uid="{00000000-0005-0000-0000-0000F74B0000}"/>
    <cellStyle name="Normal 3 3 3 2 4 6" xfId="17801" xr:uid="{00000000-0005-0000-0000-0000F84B0000}"/>
    <cellStyle name="Normal 3 3 3 2 4 6 2" xfId="49672" xr:uid="{00000000-0005-0000-0000-0000F94B0000}"/>
    <cellStyle name="Normal 3 3 3 2 4 7" xfId="36995" xr:uid="{00000000-0005-0000-0000-0000FA4B0000}"/>
    <cellStyle name="Normal 3 3 3 2 5" xfId="5132" xr:uid="{00000000-0005-0000-0000-0000FB4B0000}"/>
    <cellStyle name="Normal 3 3 3 2 5 2" xfId="5133" xr:uid="{00000000-0005-0000-0000-0000FC4B0000}"/>
    <cellStyle name="Normal 3 3 3 2 5 2 2" xfId="5134" xr:uid="{00000000-0005-0000-0000-0000FD4B0000}"/>
    <cellStyle name="Normal 3 3 3 2 5 2 2 2" xfId="5135" xr:uid="{00000000-0005-0000-0000-0000FE4B0000}"/>
    <cellStyle name="Normal 3 3 3 2 5 2 2 2 2" xfId="29623" xr:uid="{00000000-0005-0000-0000-0000FF4B0000}"/>
    <cellStyle name="Normal 3 3 3 2 5 2 2 2 2 2" xfId="61494" xr:uid="{00000000-0005-0000-0000-0000004C0000}"/>
    <cellStyle name="Normal 3 3 3 2 5 2 2 2 3" xfId="37014" xr:uid="{00000000-0005-0000-0000-0000014C0000}"/>
    <cellStyle name="Normal 3 3 3 2 5 2 2 3" xfId="21745" xr:uid="{00000000-0005-0000-0000-0000024C0000}"/>
    <cellStyle name="Normal 3 3 3 2 5 2 2 3 2" xfId="53616" xr:uid="{00000000-0005-0000-0000-0000034C0000}"/>
    <cellStyle name="Normal 3 3 3 2 5 2 2 4" xfId="37013" xr:uid="{00000000-0005-0000-0000-0000044C0000}"/>
    <cellStyle name="Normal 3 3 3 2 5 2 3" xfId="5136" xr:uid="{00000000-0005-0000-0000-0000054C0000}"/>
    <cellStyle name="Normal 3 3 3 2 5 2 3 2" xfId="25684" xr:uid="{00000000-0005-0000-0000-0000064C0000}"/>
    <cellStyle name="Normal 3 3 3 2 5 2 3 2 2" xfId="57555" xr:uid="{00000000-0005-0000-0000-0000074C0000}"/>
    <cellStyle name="Normal 3 3 3 2 5 2 3 3" xfId="37015" xr:uid="{00000000-0005-0000-0000-0000084C0000}"/>
    <cellStyle name="Normal 3 3 3 2 5 2 4" xfId="17806" xr:uid="{00000000-0005-0000-0000-0000094C0000}"/>
    <cellStyle name="Normal 3 3 3 2 5 2 4 2" xfId="49677" xr:uid="{00000000-0005-0000-0000-00000A4C0000}"/>
    <cellStyle name="Normal 3 3 3 2 5 2 5" xfId="37012" xr:uid="{00000000-0005-0000-0000-00000B4C0000}"/>
    <cellStyle name="Normal 3 3 3 2 5 3" xfId="5137" xr:uid="{00000000-0005-0000-0000-00000C4C0000}"/>
    <cellStyle name="Normal 3 3 3 2 5 3 2" xfId="5138" xr:uid="{00000000-0005-0000-0000-00000D4C0000}"/>
    <cellStyle name="Normal 3 3 3 2 5 3 2 2" xfId="29622" xr:uid="{00000000-0005-0000-0000-00000E4C0000}"/>
    <cellStyle name="Normal 3 3 3 2 5 3 2 2 2" xfId="61493" xr:uid="{00000000-0005-0000-0000-00000F4C0000}"/>
    <cellStyle name="Normal 3 3 3 2 5 3 2 3" xfId="37017" xr:uid="{00000000-0005-0000-0000-0000104C0000}"/>
    <cellStyle name="Normal 3 3 3 2 5 3 3" xfId="21744" xr:uid="{00000000-0005-0000-0000-0000114C0000}"/>
    <cellStyle name="Normal 3 3 3 2 5 3 3 2" xfId="53615" xr:uid="{00000000-0005-0000-0000-0000124C0000}"/>
    <cellStyle name="Normal 3 3 3 2 5 3 4" xfId="37016" xr:uid="{00000000-0005-0000-0000-0000134C0000}"/>
    <cellStyle name="Normal 3 3 3 2 5 4" xfId="5139" xr:uid="{00000000-0005-0000-0000-0000144C0000}"/>
    <cellStyle name="Normal 3 3 3 2 5 4 2" xfId="25683" xr:uid="{00000000-0005-0000-0000-0000154C0000}"/>
    <cellStyle name="Normal 3 3 3 2 5 4 2 2" xfId="57554" xr:uid="{00000000-0005-0000-0000-0000164C0000}"/>
    <cellStyle name="Normal 3 3 3 2 5 4 3" xfId="37018" xr:uid="{00000000-0005-0000-0000-0000174C0000}"/>
    <cellStyle name="Normal 3 3 3 2 5 5" xfId="17805" xr:uid="{00000000-0005-0000-0000-0000184C0000}"/>
    <cellStyle name="Normal 3 3 3 2 5 5 2" xfId="49676" xr:uid="{00000000-0005-0000-0000-0000194C0000}"/>
    <cellStyle name="Normal 3 3 3 2 5 6" xfId="37011" xr:uid="{00000000-0005-0000-0000-00001A4C0000}"/>
    <cellStyle name="Normal 3 3 3 2 6" xfId="5140" xr:uid="{00000000-0005-0000-0000-00001B4C0000}"/>
    <cellStyle name="Normal 3 3 3 2 6 2" xfId="5141" xr:uid="{00000000-0005-0000-0000-00001C4C0000}"/>
    <cellStyle name="Normal 3 3 3 2 6 2 2" xfId="5142" xr:uid="{00000000-0005-0000-0000-00001D4C0000}"/>
    <cellStyle name="Normal 3 3 3 2 6 2 2 2" xfId="29624" xr:uid="{00000000-0005-0000-0000-00001E4C0000}"/>
    <cellStyle name="Normal 3 3 3 2 6 2 2 2 2" xfId="61495" xr:uid="{00000000-0005-0000-0000-00001F4C0000}"/>
    <cellStyle name="Normal 3 3 3 2 6 2 2 3" xfId="37021" xr:uid="{00000000-0005-0000-0000-0000204C0000}"/>
    <cellStyle name="Normal 3 3 3 2 6 2 3" xfId="21746" xr:uid="{00000000-0005-0000-0000-0000214C0000}"/>
    <cellStyle name="Normal 3 3 3 2 6 2 3 2" xfId="53617" xr:uid="{00000000-0005-0000-0000-0000224C0000}"/>
    <cellStyle name="Normal 3 3 3 2 6 2 4" xfId="37020" xr:uid="{00000000-0005-0000-0000-0000234C0000}"/>
    <cellStyle name="Normal 3 3 3 2 6 3" xfId="5143" xr:uid="{00000000-0005-0000-0000-0000244C0000}"/>
    <cellStyle name="Normal 3 3 3 2 6 3 2" xfId="25685" xr:uid="{00000000-0005-0000-0000-0000254C0000}"/>
    <cellStyle name="Normal 3 3 3 2 6 3 2 2" xfId="57556" xr:uid="{00000000-0005-0000-0000-0000264C0000}"/>
    <cellStyle name="Normal 3 3 3 2 6 3 3" xfId="37022" xr:uid="{00000000-0005-0000-0000-0000274C0000}"/>
    <cellStyle name="Normal 3 3 3 2 6 4" xfId="17807" xr:uid="{00000000-0005-0000-0000-0000284C0000}"/>
    <cellStyle name="Normal 3 3 3 2 6 4 2" xfId="49678" xr:uid="{00000000-0005-0000-0000-0000294C0000}"/>
    <cellStyle name="Normal 3 3 3 2 6 5" xfId="37019" xr:uid="{00000000-0005-0000-0000-00002A4C0000}"/>
    <cellStyle name="Normal 3 3 3 2 7" xfId="5144" xr:uid="{00000000-0005-0000-0000-00002B4C0000}"/>
    <cellStyle name="Normal 3 3 3 2 7 2" xfId="5145" xr:uid="{00000000-0005-0000-0000-00002C4C0000}"/>
    <cellStyle name="Normal 3 3 3 2 7 2 2" xfId="28336" xr:uid="{00000000-0005-0000-0000-00002D4C0000}"/>
    <cellStyle name="Normal 3 3 3 2 7 2 2 2" xfId="60207" xr:uid="{00000000-0005-0000-0000-00002E4C0000}"/>
    <cellStyle name="Normal 3 3 3 2 7 2 3" xfId="37024" xr:uid="{00000000-0005-0000-0000-00002F4C0000}"/>
    <cellStyle name="Normal 3 3 3 2 7 3" xfId="20458" xr:uid="{00000000-0005-0000-0000-0000304C0000}"/>
    <cellStyle name="Normal 3 3 3 2 7 3 2" xfId="52329" xr:uid="{00000000-0005-0000-0000-0000314C0000}"/>
    <cellStyle name="Normal 3 3 3 2 7 4" xfId="37023" xr:uid="{00000000-0005-0000-0000-0000324C0000}"/>
    <cellStyle name="Normal 3 3 3 2 8" xfId="5146" xr:uid="{00000000-0005-0000-0000-0000334C0000}"/>
    <cellStyle name="Normal 3 3 3 2 8 2" xfId="24397" xr:uid="{00000000-0005-0000-0000-0000344C0000}"/>
    <cellStyle name="Normal 3 3 3 2 8 2 2" xfId="56268" xr:uid="{00000000-0005-0000-0000-0000354C0000}"/>
    <cellStyle name="Normal 3 3 3 2 8 3" xfId="37025" xr:uid="{00000000-0005-0000-0000-0000364C0000}"/>
    <cellStyle name="Normal 3 3 3 2 9" xfId="16519" xr:uid="{00000000-0005-0000-0000-0000374C0000}"/>
    <cellStyle name="Normal 3 3 3 2 9 2" xfId="48390" xr:uid="{00000000-0005-0000-0000-0000384C0000}"/>
    <cellStyle name="Normal 3 3 3 3" xfId="5147" xr:uid="{00000000-0005-0000-0000-0000394C0000}"/>
    <cellStyle name="Normal 3 3 3 3 10" xfId="37026" xr:uid="{00000000-0005-0000-0000-00003A4C0000}"/>
    <cellStyle name="Normal 3 3 3 3 2" xfId="5148" xr:uid="{00000000-0005-0000-0000-00003B4C0000}"/>
    <cellStyle name="Normal 3 3 3 3 2 2" xfId="5149" xr:uid="{00000000-0005-0000-0000-00003C4C0000}"/>
    <cellStyle name="Normal 3 3 3 3 2 2 2" xfId="5150" xr:uid="{00000000-0005-0000-0000-00003D4C0000}"/>
    <cellStyle name="Normal 3 3 3 3 2 2 2 2" xfId="5151" xr:uid="{00000000-0005-0000-0000-00003E4C0000}"/>
    <cellStyle name="Normal 3 3 3 3 2 2 2 2 2" xfId="5152" xr:uid="{00000000-0005-0000-0000-00003F4C0000}"/>
    <cellStyle name="Normal 3 3 3 3 2 2 2 2 2 2" xfId="5153" xr:uid="{00000000-0005-0000-0000-0000404C0000}"/>
    <cellStyle name="Normal 3 3 3 3 2 2 2 2 2 2 2" xfId="5154" xr:uid="{00000000-0005-0000-0000-0000414C0000}"/>
    <cellStyle name="Normal 3 3 3 3 2 2 2 2 2 2 2 2" xfId="29628" xr:uid="{00000000-0005-0000-0000-0000424C0000}"/>
    <cellStyle name="Normal 3 3 3 3 2 2 2 2 2 2 2 2 2" xfId="61499" xr:uid="{00000000-0005-0000-0000-0000434C0000}"/>
    <cellStyle name="Normal 3 3 3 3 2 2 2 2 2 2 2 3" xfId="37033" xr:uid="{00000000-0005-0000-0000-0000444C0000}"/>
    <cellStyle name="Normal 3 3 3 3 2 2 2 2 2 2 3" xfId="21750" xr:uid="{00000000-0005-0000-0000-0000454C0000}"/>
    <cellStyle name="Normal 3 3 3 3 2 2 2 2 2 2 3 2" xfId="53621" xr:uid="{00000000-0005-0000-0000-0000464C0000}"/>
    <cellStyle name="Normal 3 3 3 3 2 2 2 2 2 2 4" xfId="37032" xr:uid="{00000000-0005-0000-0000-0000474C0000}"/>
    <cellStyle name="Normal 3 3 3 3 2 2 2 2 2 3" xfId="5155" xr:uid="{00000000-0005-0000-0000-0000484C0000}"/>
    <cellStyle name="Normal 3 3 3 3 2 2 2 2 2 3 2" xfId="25689" xr:uid="{00000000-0005-0000-0000-0000494C0000}"/>
    <cellStyle name="Normal 3 3 3 3 2 2 2 2 2 3 2 2" xfId="57560" xr:uid="{00000000-0005-0000-0000-00004A4C0000}"/>
    <cellStyle name="Normal 3 3 3 3 2 2 2 2 2 3 3" xfId="37034" xr:uid="{00000000-0005-0000-0000-00004B4C0000}"/>
    <cellStyle name="Normal 3 3 3 3 2 2 2 2 2 4" xfId="17811" xr:uid="{00000000-0005-0000-0000-00004C4C0000}"/>
    <cellStyle name="Normal 3 3 3 3 2 2 2 2 2 4 2" xfId="49682" xr:uid="{00000000-0005-0000-0000-00004D4C0000}"/>
    <cellStyle name="Normal 3 3 3 3 2 2 2 2 2 5" xfId="37031" xr:uid="{00000000-0005-0000-0000-00004E4C0000}"/>
    <cellStyle name="Normal 3 3 3 3 2 2 2 2 3" xfId="5156" xr:uid="{00000000-0005-0000-0000-00004F4C0000}"/>
    <cellStyle name="Normal 3 3 3 3 2 2 2 2 3 2" xfId="5157" xr:uid="{00000000-0005-0000-0000-0000504C0000}"/>
    <cellStyle name="Normal 3 3 3 3 2 2 2 2 3 2 2" xfId="29627" xr:uid="{00000000-0005-0000-0000-0000514C0000}"/>
    <cellStyle name="Normal 3 3 3 3 2 2 2 2 3 2 2 2" xfId="61498" xr:uid="{00000000-0005-0000-0000-0000524C0000}"/>
    <cellStyle name="Normal 3 3 3 3 2 2 2 2 3 2 3" xfId="37036" xr:uid="{00000000-0005-0000-0000-0000534C0000}"/>
    <cellStyle name="Normal 3 3 3 3 2 2 2 2 3 3" xfId="21749" xr:uid="{00000000-0005-0000-0000-0000544C0000}"/>
    <cellStyle name="Normal 3 3 3 3 2 2 2 2 3 3 2" xfId="53620" xr:uid="{00000000-0005-0000-0000-0000554C0000}"/>
    <cellStyle name="Normal 3 3 3 3 2 2 2 2 3 4" xfId="37035" xr:uid="{00000000-0005-0000-0000-0000564C0000}"/>
    <cellStyle name="Normal 3 3 3 3 2 2 2 2 4" xfId="5158" xr:uid="{00000000-0005-0000-0000-0000574C0000}"/>
    <cellStyle name="Normal 3 3 3 3 2 2 2 2 4 2" xfId="25688" xr:uid="{00000000-0005-0000-0000-0000584C0000}"/>
    <cellStyle name="Normal 3 3 3 3 2 2 2 2 4 2 2" xfId="57559" xr:uid="{00000000-0005-0000-0000-0000594C0000}"/>
    <cellStyle name="Normal 3 3 3 3 2 2 2 2 4 3" xfId="37037" xr:uid="{00000000-0005-0000-0000-00005A4C0000}"/>
    <cellStyle name="Normal 3 3 3 3 2 2 2 2 5" xfId="17810" xr:uid="{00000000-0005-0000-0000-00005B4C0000}"/>
    <cellStyle name="Normal 3 3 3 3 2 2 2 2 5 2" xfId="49681" xr:uid="{00000000-0005-0000-0000-00005C4C0000}"/>
    <cellStyle name="Normal 3 3 3 3 2 2 2 2 6" xfId="37030" xr:uid="{00000000-0005-0000-0000-00005D4C0000}"/>
    <cellStyle name="Normal 3 3 3 3 2 2 2 3" xfId="5159" xr:uid="{00000000-0005-0000-0000-00005E4C0000}"/>
    <cellStyle name="Normal 3 3 3 3 2 2 2 3 2" xfId="5160" xr:uid="{00000000-0005-0000-0000-00005F4C0000}"/>
    <cellStyle name="Normal 3 3 3 3 2 2 2 3 2 2" xfId="5161" xr:uid="{00000000-0005-0000-0000-0000604C0000}"/>
    <cellStyle name="Normal 3 3 3 3 2 2 2 3 2 2 2" xfId="29629" xr:uid="{00000000-0005-0000-0000-0000614C0000}"/>
    <cellStyle name="Normal 3 3 3 3 2 2 2 3 2 2 2 2" xfId="61500" xr:uid="{00000000-0005-0000-0000-0000624C0000}"/>
    <cellStyle name="Normal 3 3 3 3 2 2 2 3 2 2 3" xfId="37040" xr:uid="{00000000-0005-0000-0000-0000634C0000}"/>
    <cellStyle name="Normal 3 3 3 3 2 2 2 3 2 3" xfId="21751" xr:uid="{00000000-0005-0000-0000-0000644C0000}"/>
    <cellStyle name="Normal 3 3 3 3 2 2 2 3 2 3 2" xfId="53622" xr:uid="{00000000-0005-0000-0000-0000654C0000}"/>
    <cellStyle name="Normal 3 3 3 3 2 2 2 3 2 4" xfId="37039" xr:uid="{00000000-0005-0000-0000-0000664C0000}"/>
    <cellStyle name="Normal 3 3 3 3 2 2 2 3 3" xfId="5162" xr:uid="{00000000-0005-0000-0000-0000674C0000}"/>
    <cellStyle name="Normal 3 3 3 3 2 2 2 3 3 2" xfId="25690" xr:uid="{00000000-0005-0000-0000-0000684C0000}"/>
    <cellStyle name="Normal 3 3 3 3 2 2 2 3 3 2 2" xfId="57561" xr:uid="{00000000-0005-0000-0000-0000694C0000}"/>
    <cellStyle name="Normal 3 3 3 3 2 2 2 3 3 3" xfId="37041" xr:uid="{00000000-0005-0000-0000-00006A4C0000}"/>
    <cellStyle name="Normal 3 3 3 3 2 2 2 3 4" xfId="17812" xr:uid="{00000000-0005-0000-0000-00006B4C0000}"/>
    <cellStyle name="Normal 3 3 3 3 2 2 2 3 4 2" xfId="49683" xr:uid="{00000000-0005-0000-0000-00006C4C0000}"/>
    <cellStyle name="Normal 3 3 3 3 2 2 2 3 5" xfId="37038" xr:uid="{00000000-0005-0000-0000-00006D4C0000}"/>
    <cellStyle name="Normal 3 3 3 3 2 2 2 4" xfId="5163" xr:uid="{00000000-0005-0000-0000-00006E4C0000}"/>
    <cellStyle name="Normal 3 3 3 3 2 2 2 4 2" xfId="5164" xr:uid="{00000000-0005-0000-0000-00006F4C0000}"/>
    <cellStyle name="Normal 3 3 3 3 2 2 2 4 2 2" xfId="29626" xr:uid="{00000000-0005-0000-0000-0000704C0000}"/>
    <cellStyle name="Normal 3 3 3 3 2 2 2 4 2 2 2" xfId="61497" xr:uid="{00000000-0005-0000-0000-0000714C0000}"/>
    <cellStyle name="Normal 3 3 3 3 2 2 2 4 2 3" xfId="37043" xr:uid="{00000000-0005-0000-0000-0000724C0000}"/>
    <cellStyle name="Normal 3 3 3 3 2 2 2 4 3" xfId="21748" xr:uid="{00000000-0005-0000-0000-0000734C0000}"/>
    <cellStyle name="Normal 3 3 3 3 2 2 2 4 3 2" xfId="53619" xr:uid="{00000000-0005-0000-0000-0000744C0000}"/>
    <cellStyle name="Normal 3 3 3 3 2 2 2 4 4" xfId="37042" xr:uid="{00000000-0005-0000-0000-0000754C0000}"/>
    <cellStyle name="Normal 3 3 3 3 2 2 2 5" xfId="5165" xr:uid="{00000000-0005-0000-0000-0000764C0000}"/>
    <cellStyle name="Normal 3 3 3 3 2 2 2 5 2" xfId="25687" xr:uid="{00000000-0005-0000-0000-0000774C0000}"/>
    <cellStyle name="Normal 3 3 3 3 2 2 2 5 2 2" xfId="57558" xr:uid="{00000000-0005-0000-0000-0000784C0000}"/>
    <cellStyle name="Normal 3 3 3 3 2 2 2 5 3" xfId="37044" xr:uid="{00000000-0005-0000-0000-0000794C0000}"/>
    <cellStyle name="Normal 3 3 3 3 2 2 2 6" xfId="17809" xr:uid="{00000000-0005-0000-0000-00007A4C0000}"/>
    <cellStyle name="Normal 3 3 3 3 2 2 2 6 2" xfId="49680" xr:uid="{00000000-0005-0000-0000-00007B4C0000}"/>
    <cellStyle name="Normal 3 3 3 3 2 2 2 7" xfId="37029" xr:uid="{00000000-0005-0000-0000-00007C4C0000}"/>
    <cellStyle name="Normal 3 3 3 3 2 2 3" xfId="5166" xr:uid="{00000000-0005-0000-0000-00007D4C0000}"/>
    <cellStyle name="Normal 3 3 3 3 2 2 3 2" xfId="5167" xr:uid="{00000000-0005-0000-0000-00007E4C0000}"/>
    <cellStyle name="Normal 3 3 3 3 2 2 3 2 2" xfId="5168" xr:uid="{00000000-0005-0000-0000-00007F4C0000}"/>
    <cellStyle name="Normal 3 3 3 3 2 2 3 2 2 2" xfId="5169" xr:uid="{00000000-0005-0000-0000-0000804C0000}"/>
    <cellStyle name="Normal 3 3 3 3 2 2 3 2 2 2 2" xfId="29631" xr:uid="{00000000-0005-0000-0000-0000814C0000}"/>
    <cellStyle name="Normal 3 3 3 3 2 2 3 2 2 2 2 2" xfId="61502" xr:uid="{00000000-0005-0000-0000-0000824C0000}"/>
    <cellStyle name="Normal 3 3 3 3 2 2 3 2 2 2 3" xfId="37048" xr:uid="{00000000-0005-0000-0000-0000834C0000}"/>
    <cellStyle name="Normal 3 3 3 3 2 2 3 2 2 3" xfId="21753" xr:uid="{00000000-0005-0000-0000-0000844C0000}"/>
    <cellStyle name="Normal 3 3 3 3 2 2 3 2 2 3 2" xfId="53624" xr:uid="{00000000-0005-0000-0000-0000854C0000}"/>
    <cellStyle name="Normal 3 3 3 3 2 2 3 2 2 4" xfId="37047" xr:uid="{00000000-0005-0000-0000-0000864C0000}"/>
    <cellStyle name="Normal 3 3 3 3 2 2 3 2 3" xfId="5170" xr:uid="{00000000-0005-0000-0000-0000874C0000}"/>
    <cellStyle name="Normal 3 3 3 3 2 2 3 2 3 2" xfId="25692" xr:uid="{00000000-0005-0000-0000-0000884C0000}"/>
    <cellStyle name="Normal 3 3 3 3 2 2 3 2 3 2 2" xfId="57563" xr:uid="{00000000-0005-0000-0000-0000894C0000}"/>
    <cellStyle name="Normal 3 3 3 3 2 2 3 2 3 3" xfId="37049" xr:uid="{00000000-0005-0000-0000-00008A4C0000}"/>
    <cellStyle name="Normal 3 3 3 3 2 2 3 2 4" xfId="17814" xr:uid="{00000000-0005-0000-0000-00008B4C0000}"/>
    <cellStyle name="Normal 3 3 3 3 2 2 3 2 4 2" xfId="49685" xr:uid="{00000000-0005-0000-0000-00008C4C0000}"/>
    <cellStyle name="Normal 3 3 3 3 2 2 3 2 5" xfId="37046" xr:uid="{00000000-0005-0000-0000-00008D4C0000}"/>
    <cellStyle name="Normal 3 3 3 3 2 2 3 3" xfId="5171" xr:uid="{00000000-0005-0000-0000-00008E4C0000}"/>
    <cellStyle name="Normal 3 3 3 3 2 2 3 3 2" xfId="5172" xr:uid="{00000000-0005-0000-0000-00008F4C0000}"/>
    <cellStyle name="Normal 3 3 3 3 2 2 3 3 2 2" xfId="29630" xr:uid="{00000000-0005-0000-0000-0000904C0000}"/>
    <cellStyle name="Normal 3 3 3 3 2 2 3 3 2 2 2" xfId="61501" xr:uid="{00000000-0005-0000-0000-0000914C0000}"/>
    <cellStyle name="Normal 3 3 3 3 2 2 3 3 2 3" xfId="37051" xr:uid="{00000000-0005-0000-0000-0000924C0000}"/>
    <cellStyle name="Normal 3 3 3 3 2 2 3 3 3" xfId="21752" xr:uid="{00000000-0005-0000-0000-0000934C0000}"/>
    <cellStyle name="Normal 3 3 3 3 2 2 3 3 3 2" xfId="53623" xr:uid="{00000000-0005-0000-0000-0000944C0000}"/>
    <cellStyle name="Normal 3 3 3 3 2 2 3 3 4" xfId="37050" xr:uid="{00000000-0005-0000-0000-0000954C0000}"/>
    <cellStyle name="Normal 3 3 3 3 2 2 3 4" xfId="5173" xr:uid="{00000000-0005-0000-0000-0000964C0000}"/>
    <cellStyle name="Normal 3 3 3 3 2 2 3 4 2" xfId="25691" xr:uid="{00000000-0005-0000-0000-0000974C0000}"/>
    <cellStyle name="Normal 3 3 3 3 2 2 3 4 2 2" xfId="57562" xr:uid="{00000000-0005-0000-0000-0000984C0000}"/>
    <cellStyle name="Normal 3 3 3 3 2 2 3 4 3" xfId="37052" xr:uid="{00000000-0005-0000-0000-0000994C0000}"/>
    <cellStyle name="Normal 3 3 3 3 2 2 3 5" xfId="17813" xr:uid="{00000000-0005-0000-0000-00009A4C0000}"/>
    <cellStyle name="Normal 3 3 3 3 2 2 3 5 2" xfId="49684" xr:uid="{00000000-0005-0000-0000-00009B4C0000}"/>
    <cellStyle name="Normal 3 3 3 3 2 2 3 6" xfId="37045" xr:uid="{00000000-0005-0000-0000-00009C4C0000}"/>
    <cellStyle name="Normal 3 3 3 3 2 2 4" xfId="5174" xr:uid="{00000000-0005-0000-0000-00009D4C0000}"/>
    <cellStyle name="Normal 3 3 3 3 2 2 4 2" xfId="5175" xr:uid="{00000000-0005-0000-0000-00009E4C0000}"/>
    <cellStyle name="Normal 3 3 3 3 2 2 4 2 2" xfId="5176" xr:uid="{00000000-0005-0000-0000-00009F4C0000}"/>
    <cellStyle name="Normal 3 3 3 3 2 2 4 2 2 2" xfId="29632" xr:uid="{00000000-0005-0000-0000-0000A04C0000}"/>
    <cellStyle name="Normal 3 3 3 3 2 2 4 2 2 2 2" xfId="61503" xr:uid="{00000000-0005-0000-0000-0000A14C0000}"/>
    <cellStyle name="Normal 3 3 3 3 2 2 4 2 2 3" xfId="37055" xr:uid="{00000000-0005-0000-0000-0000A24C0000}"/>
    <cellStyle name="Normal 3 3 3 3 2 2 4 2 3" xfId="21754" xr:uid="{00000000-0005-0000-0000-0000A34C0000}"/>
    <cellStyle name="Normal 3 3 3 3 2 2 4 2 3 2" xfId="53625" xr:uid="{00000000-0005-0000-0000-0000A44C0000}"/>
    <cellStyle name="Normal 3 3 3 3 2 2 4 2 4" xfId="37054" xr:uid="{00000000-0005-0000-0000-0000A54C0000}"/>
    <cellStyle name="Normal 3 3 3 3 2 2 4 3" xfId="5177" xr:uid="{00000000-0005-0000-0000-0000A64C0000}"/>
    <cellStyle name="Normal 3 3 3 3 2 2 4 3 2" xfId="25693" xr:uid="{00000000-0005-0000-0000-0000A74C0000}"/>
    <cellStyle name="Normal 3 3 3 3 2 2 4 3 2 2" xfId="57564" xr:uid="{00000000-0005-0000-0000-0000A84C0000}"/>
    <cellStyle name="Normal 3 3 3 3 2 2 4 3 3" xfId="37056" xr:uid="{00000000-0005-0000-0000-0000A94C0000}"/>
    <cellStyle name="Normal 3 3 3 3 2 2 4 4" xfId="17815" xr:uid="{00000000-0005-0000-0000-0000AA4C0000}"/>
    <cellStyle name="Normal 3 3 3 3 2 2 4 4 2" xfId="49686" xr:uid="{00000000-0005-0000-0000-0000AB4C0000}"/>
    <cellStyle name="Normal 3 3 3 3 2 2 4 5" xfId="37053" xr:uid="{00000000-0005-0000-0000-0000AC4C0000}"/>
    <cellStyle name="Normal 3 3 3 3 2 2 5" xfId="5178" xr:uid="{00000000-0005-0000-0000-0000AD4C0000}"/>
    <cellStyle name="Normal 3 3 3 3 2 2 5 2" xfId="5179" xr:uid="{00000000-0005-0000-0000-0000AE4C0000}"/>
    <cellStyle name="Normal 3 3 3 3 2 2 5 2 2" xfId="29625" xr:uid="{00000000-0005-0000-0000-0000AF4C0000}"/>
    <cellStyle name="Normal 3 3 3 3 2 2 5 2 2 2" xfId="61496" xr:uid="{00000000-0005-0000-0000-0000B04C0000}"/>
    <cellStyle name="Normal 3 3 3 3 2 2 5 2 3" xfId="37058" xr:uid="{00000000-0005-0000-0000-0000B14C0000}"/>
    <cellStyle name="Normal 3 3 3 3 2 2 5 3" xfId="21747" xr:uid="{00000000-0005-0000-0000-0000B24C0000}"/>
    <cellStyle name="Normal 3 3 3 3 2 2 5 3 2" xfId="53618" xr:uid="{00000000-0005-0000-0000-0000B34C0000}"/>
    <cellStyle name="Normal 3 3 3 3 2 2 5 4" xfId="37057" xr:uid="{00000000-0005-0000-0000-0000B44C0000}"/>
    <cellStyle name="Normal 3 3 3 3 2 2 6" xfId="5180" xr:uid="{00000000-0005-0000-0000-0000B54C0000}"/>
    <cellStyle name="Normal 3 3 3 3 2 2 6 2" xfId="25686" xr:uid="{00000000-0005-0000-0000-0000B64C0000}"/>
    <cellStyle name="Normal 3 3 3 3 2 2 6 2 2" xfId="57557" xr:uid="{00000000-0005-0000-0000-0000B74C0000}"/>
    <cellStyle name="Normal 3 3 3 3 2 2 6 3" xfId="37059" xr:uid="{00000000-0005-0000-0000-0000B84C0000}"/>
    <cellStyle name="Normal 3 3 3 3 2 2 7" xfId="17808" xr:uid="{00000000-0005-0000-0000-0000B94C0000}"/>
    <cellStyle name="Normal 3 3 3 3 2 2 7 2" xfId="49679" xr:uid="{00000000-0005-0000-0000-0000BA4C0000}"/>
    <cellStyle name="Normal 3 3 3 3 2 2 8" xfId="37028" xr:uid="{00000000-0005-0000-0000-0000BB4C0000}"/>
    <cellStyle name="Normal 3 3 3 3 2 3" xfId="5181" xr:uid="{00000000-0005-0000-0000-0000BC4C0000}"/>
    <cellStyle name="Normal 3 3 3 3 2 3 2" xfId="5182" xr:uid="{00000000-0005-0000-0000-0000BD4C0000}"/>
    <cellStyle name="Normal 3 3 3 3 2 3 2 2" xfId="5183" xr:uid="{00000000-0005-0000-0000-0000BE4C0000}"/>
    <cellStyle name="Normal 3 3 3 3 2 3 2 2 2" xfId="5184" xr:uid="{00000000-0005-0000-0000-0000BF4C0000}"/>
    <cellStyle name="Normal 3 3 3 3 2 3 2 2 2 2" xfId="5185" xr:uid="{00000000-0005-0000-0000-0000C04C0000}"/>
    <cellStyle name="Normal 3 3 3 3 2 3 2 2 2 2 2" xfId="29635" xr:uid="{00000000-0005-0000-0000-0000C14C0000}"/>
    <cellStyle name="Normal 3 3 3 3 2 3 2 2 2 2 2 2" xfId="61506" xr:uid="{00000000-0005-0000-0000-0000C24C0000}"/>
    <cellStyle name="Normal 3 3 3 3 2 3 2 2 2 2 3" xfId="37064" xr:uid="{00000000-0005-0000-0000-0000C34C0000}"/>
    <cellStyle name="Normal 3 3 3 3 2 3 2 2 2 3" xfId="21757" xr:uid="{00000000-0005-0000-0000-0000C44C0000}"/>
    <cellStyle name="Normal 3 3 3 3 2 3 2 2 2 3 2" xfId="53628" xr:uid="{00000000-0005-0000-0000-0000C54C0000}"/>
    <cellStyle name="Normal 3 3 3 3 2 3 2 2 2 4" xfId="37063" xr:uid="{00000000-0005-0000-0000-0000C64C0000}"/>
    <cellStyle name="Normal 3 3 3 3 2 3 2 2 3" xfId="5186" xr:uid="{00000000-0005-0000-0000-0000C74C0000}"/>
    <cellStyle name="Normal 3 3 3 3 2 3 2 2 3 2" xfId="25696" xr:uid="{00000000-0005-0000-0000-0000C84C0000}"/>
    <cellStyle name="Normal 3 3 3 3 2 3 2 2 3 2 2" xfId="57567" xr:uid="{00000000-0005-0000-0000-0000C94C0000}"/>
    <cellStyle name="Normal 3 3 3 3 2 3 2 2 3 3" xfId="37065" xr:uid="{00000000-0005-0000-0000-0000CA4C0000}"/>
    <cellStyle name="Normal 3 3 3 3 2 3 2 2 4" xfId="17818" xr:uid="{00000000-0005-0000-0000-0000CB4C0000}"/>
    <cellStyle name="Normal 3 3 3 3 2 3 2 2 4 2" xfId="49689" xr:uid="{00000000-0005-0000-0000-0000CC4C0000}"/>
    <cellStyle name="Normal 3 3 3 3 2 3 2 2 5" xfId="37062" xr:uid="{00000000-0005-0000-0000-0000CD4C0000}"/>
    <cellStyle name="Normal 3 3 3 3 2 3 2 3" xfId="5187" xr:uid="{00000000-0005-0000-0000-0000CE4C0000}"/>
    <cellStyle name="Normal 3 3 3 3 2 3 2 3 2" xfId="5188" xr:uid="{00000000-0005-0000-0000-0000CF4C0000}"/>
    <cellStyle name="Normal 3 3 3 3 2 3 2 3 2 2" xfId="29634" xr:uid="{00000000-0005-0000-0000-0000D04C0000}"/>
    <cellStyle name="Normal 3 3 3 3 2 3 2 3 2 2 2" xfId="61505" xr:uid="{00000000-0005-0000-0000-0000D14C0000}"/>
    <cellStyle name="Normal 3 3 3 3 2 3 2 3 2 3" xfId="37067" xr:uid="{00000000-0005-0000-0000-0000D24C0000}"/>
    <cellStyle name="Normal 3 3 3 3 2 3 2 3 3" xfId="21756" xr:uid="{00000000-0005-0000-0000-0000D34C0000}"/>
    <cellStyle name="Normal 3 3 3 3 2 3 2 3 3 2" xfId="53627" xr:uid="{00000000-0005-0000-0000-0000D44C0000}"/>
    <cellStyle name="Normal 3 3 3 3 2 3 2 3 4" xfId="37066" xr:uid="{00000000-0005-0000-0000-0000D54C0000}"/>
    <cellStyle name="Normal 3 3 3 3 2 3 2 4" xfId="5189" xr:uid="{00000000-0005-0000-0000-0000D64C0000}"/>
    <cellStyle name="Normal 3 3 3 3 2 3 2 4 2" xfId="25695" xr:uid="{00000000-0005-0000-0000-0000D74C0000}"/>
    <cellStyle name="Normal 3 3 3 3 2 3 2 4 2 2" xfId="57566" xr:uid="{00000000-0005-0000-0000-0000D84C0000}"/>
    <cellStyle name="Normal 3 3 3 3 2 3 2 4 3" xfId="37068" xr:uid="{00000000-0005-0000-0000-0000D94C0000}"/>
    <cellStyle name="Normal 3 3 3 3 2 3 2 5" xfId="17817" xr:uid="{00000000-0005-0000-0000-0000DA4C0000}"/>
    <cellStyle name="Normal 3 3 3 3 2 3 2 5 2" xfId="49688" xr:uid="{00000000-0005-0000-0000-0000DB4C0000}"/>
    <cellStyle name="Normal 3 3 3 3 2 3 2 6" xfId="37061" xr:uid="{00000000-0005-0000-0000-0000DC4C0000}"/>
    <cellStyle name="Normal 3 3 3 3 2 3 3" xfId="5190" xr:uid="{00000000-0005-0000-0000-0000DD4C0000}"/>
    <cellStyle name="Normal 3 3 3 3 2 3 3 2" xfId="5191" xr:uid="{00000000-0005-0000-0000-0000DE4C0000}"/>
    <cellStyle name="Normal 3 3 3 3 2 3 3 2 2" xfId="5192" xr:uid="{00000000-0005-0000-0000-0000DF4C0000}"/>
    <cellStyle name="Normal 3 3 3 3 2 3 3 2 2 2" xfId="29636" xr:uid="{00000000-0005-0000-0000-0000E04C0000}"/>
    <cellStyle name="Normal 3 3 3 3 2 3 3 2 2 2 2" xfId="61507" xr:uid="{00000000-0005-0000-0000-0000E14C0000}"/>
    <cellStyle name="Normal 3 3 3 3 2 3 3 2 2 3" xfId="37071" xr:uid="{00000000-0005-0000-0000-0000E24C0000}"/>
    <cellStyle name="Normal 3 3 3 3 2 3 3 2 3" xfId="21758" xr:uid="{00000000-0005-0000-0000-0000E34C0000}"/>
    <cellStyle name="Normal 3 3 3 3 2 3 3 2 3 2" xfId="53629" xr:uid="{00000000-0005-0000-0000-0000E44C0000}"/>
    <cellStyle name="Normal 3 3 3 3 2 3 3 2 4" xfId="37070" xr:uid="{00000000-0005-0000-0000-0000E54C0000}"/>
    <cellStyle name="Normal 3 3 3 3 2 3 3 3" xfId="5193" xr:uid="{00000000-0005-0000-0000-0000E64C0000}"/>
    <cellStyle name="Normal 3 3 3 3 2 3 3 3 2" xfId="25697" xr:uid="{00000000-0005-0000-0000-0000E74C0000}"/>
    <cellStyle name="Normal 3 3 3 3 2 3 3 3 2 2" xfId="57568" xr:uid="{00000000-0005-0000-0000-0000E84C0000}"/>
    <cellStyle name="Normal 3 3 3 3 2 3 3 3 3" xfId="37072" xr:uid="{00000000-0005-0000-0000-0000E94C0000}"/>
    <cellStyle name="Normal 3 3 3 3 2 3 3 4" xfId="17819" xr:uid="{00000000-0005-0000-0000-0000EA4C0000}"/>
    <cellStyle name="Normal 3 3 3 3 2 3 3 4 2" xfId="49690" xr:uid="{00000000-0005-0000-0000-0000EB4C0000}"/>
    <cellStyle name="Normal 3 3 3 3 2 3 3 5" xfId="37069" xr:uid="{00000000-0005-0000-0000-0000EC4C0000}"/>
    <cellStyle name="Normal 3 3 3 3 2 3 4" xfId="5194" xr:uid="{00000000-0005-0000-0000-0000ED4C0000}"/>
    <cellStyle name="Normal 3 3 3 3 2 3 4 2" xfId="5195" xr:uid="{00000000-0005-0000-0000-0000EE4C0000}"/>
    <cellStyle name="Normal 3 3 3 3 2 3 4 2 2" xfId="29633" xr:uid="{00000000-0005-0000-0000-0000EF4C0000}"/>
    <cellStyle name="Normal 3 3 3 3 2 3 4 2 2 2" xfId="61504" xr:uid="{00000000-0005-0000-0000-0000F04C0000}"/>
    <cellStyle name="Normal 3 3 3 3 2 3 4 2 3" xfId="37074" xr:uid="{00000000-0005-0000-0000-0000F14C0000}"/>
    <cellStyle name="Normal 3 3 3 3 2 3 4 3" xfId="21755" xr:uid="{00000000-0005-0000-0000-0000F24C0000}"/>
    <cellStyle name="Normal 3 3 3 3 2 3 4 3 2" xfId="53626" xr:uid="{00000000-0005-0000-0000-0000F34C0000}"/>
    <cellStyle name="Normal 3 3 3 3 2 3 4 4" xfId="37073" xr:uid="{00000000-0005-0000-0000-0000F44C0000}"/>
    <cellStyle name="Normal 3 3 3 3 2 3 5" xfId="5196" xr:uid="{00000000-0005-0000-0000-0000F54C0000}"/>
    <cellStyle name="Normal 3 3 3 3 2 3 5 2" xfId="25694" xr:uid="{00000000-0005-0000-0000-0000F64C0000}"/>
    <cellStyle name="Normal 3 3 3 3 2 3 5 2 2" xfId="57565" xr:uid="{00000000-0005-0000-0000-0000F74C0000}"/>
    <cellStyle name="Normal 3 3 3 3 2 3 5 3" xfId="37075" xr:uid="{00000000-0005-0000-0000-0000F84C0000}"/>
    <cellStyle name="Normal 3 3 3 3 2 3 6" xfId="17816" xr:uid="{00000000-0005-0000-0000-0000F94C0000}"/>
    <cellStyle name="Normal 3 3 3 3 2 3 6 2" xfId="49687" xr:uid="{00000000-0005-0000-0000-0000FA4C0000}"/>
    <cellStyle name="Normal 3 3 3 3 2 3 7" xfId="37060" xr:uid="{00000000-0005-0000-0000-0000FB4C0000}"/>
    <cellStyle name="Normal 3 3 3 3 2 4" xfId="5197" xr:uid="{00000000-0005-0000-0000-0000FC4C0000}"/>
    <cellStyle name="Normal 3 3 3 3 2 4 2" xfId="5198" xr:uid="{00000000-0005-0000-0000-0000FD4C0000}"/>
    <cellStyle name="Normal 3 3 3 3 2 4 2 2" xfId="5199" xr:uid="{00000000-0005-0000-0000-0000FE4C0000}"/>
    <cellStyle name="Normal 3 3 3 3 2 4 2 2 2" xfId="5200" xr:uid="{00000000-0005-0000-0000-0000FF4C0000}"/>
    <cellStyle name="Normal 3 3 3 3 2 4 2 2 2 2" xfId="29638" xr:uid="{00000000-0005-0000-0000-0000004D0000}"/>
    <cellStyle name="Normal 3 3 3 3 2 4 2 2 2 2 2" xfId="61509" xr:uid="{00000000-0005-0000-0000-0000014D0000}"/>
    <cellStyle name="Normal 3 3 3 3 2 4 2 2 2 3" xfId="37079" xr:uid="{00000000-0005-0000-0000-0000024D0000}"/>
    <cellStyle name="Normal 3 3 3 3 2 4 2 2 3" xfId="21760" xr:uid="{00000000-0005-0000-0000-0000034D0000}"/>
    <cellStyle name="Normal 3 3 3 3 2 4 2 2 3 2" xfId="53631" xr:uid="{00000000-0005-0000-0000-0000044D0000}"/>
    <cellStyle name="Normal 3 3 3 3 2 4 2 2 4" xfId="37078" xr:uid="{00000000-0005-0000-0000-0000054D0000}"/>
    <cellStyle name="Normal 3 3 3 3 2 4 2 3" xfId="5201" xr:uid="{00000000-0005-0000-0000-0000064D0000}"/>
    <cellStyle name="Normal 3 3 3 3 2 4 2 3 2" xfId="25699" xr:uid="{00000000-0005-0000-0000-0000074D0000}"/>
    <cellStyle name="Normal 3 3 3 3 2 4 2 3 2 2" xfId="57570" xr:uid="{00000000-0005-0000-0000-0000084D0000}"/>
    <cellStyle name="Normal 3 3 3 3 2 4 2 3 3" xfId="37080" xr:uid="{00000000-0005-0000-0000-0000094D0000}"/>
    <cellStyle name="Normal 3 3 3 3 2 4 2 4" xfId="17821" xr:uid="{00000000-0005-0000-0000-00000A4D0000}"/>
    <cellStyle name="Normal 3 3 3 3 2 4 2 4 2" xfId="49692" xr:uid="{00000000-0005-0000-0000-00000B4D0000}"/>
    <cellStyle name="Normal 3 3 3 3 2 4 2 5" xfId="37077" xr:uid="{00000000-0005-0000-0000-00000C4D0000}"/>
    <cellStyle name="Normal 3 3 3 3 2 4 3" xfId="5202" xr:uid="{00000000-0005-0000-0000-00000D4D0000}"/>
    <cellStyle name="Normal 3 3 3 3 2 4 3 2" xfId="5203" xr:uid="{00000000-0005-0000-0000-00000E4D0000}"/>
    <cellStyle name="Normal 3 3 3 3 2 4 3 2 2" xfId="29637" xr:uid="{00000000-0005-0000-0000-00000F4D0000}"/>
    <cellStyle name="Normal 3 3 3 3 2 4 3 2 2 2" xfId="61508" xr:uid="{00000000-0005-0000-0000-0000104D0000}"/>
    <cellStyle name="Normal 3 3 3 3 2 4 3 2 3" xfId="37082" xr:uid="{00000000-0005-0000-0000-0000114D0000}"/>
    <cellStyle name="Normal 3 3 3 3 2 4 3 3" xfId="21759" xr:uid="{00000000-0005-0000-0000-0000124D0000}"/>
    <cellStyle name="Normal 3 3 3 3 2 4 3 3 2" xfId="53630" xr:uid="{00000000-0005-0000-0000-0000134D0000}"/>
    <cellStyle name="Normal 3 3 3 3 2 4 3 4" xfId="37081" xr:uid="{00000000-0005-0000-0000-0000144D0000}"/>
    <cellStyle name="Normal 3 3 3 3 2 4 4" xfId="5204" xr:uid="{00000000-0005-0000-0000-0000154D0000}"/>
    <cellStyle name="Normal 3 3 3 3 2 4 4 2" xfId="25698" xr:uid="{00000000-0005-0000-0000-0000164D0000}"/>
    <cellStyle name="Normal 3 3 3 3 2 4 4 2 2" xfId="57569" xr:uid="{00000000-0005-0000-0000-0000174D0000}"/>
    <cellStyle name="Normal 3 3 3 3 2 4 4 3" xfId="37083" xr:uid="{00000000-0005-0000-0000-0000184D0000}"/>
    <cellStyle name="Normal 3 3 3 3 2 4 5" xfId="17820" xr:uid="{00000000-0005-0000-0000-0000194D0000}"/>
    <cellStyle name="Normal 3 3 3 3 2 4 5 2" xfId="49691" xr:uid="{00000000-0005-0000-0000-00001A4D0000}"/>
    <cellStyle name="Normal 3 3 3 3 2 4 6" xfId="37076" xr:uid="{00000000-0005-0000-0000-00001B4D0000}"/>
    <cellStyle name="Normal 3 3 3 3 2 5" xfId="5205" xr:uid="{00000000-0005-0000-0000-00001C4D0000}"/>
    <cellStyle name="Normal 3 3 3 3 2 5 2" xfId="5206" xr:uid="{00000000-0005-0000-0000-00001D4D0000}"/>
    <cellStyle name="Normal 3 3 3 3 2 5 2 2" xfId="5207" xr:uid="{00000000-0005-0000-0000-00001E4D0000}"/>
    <cellStyle name="Normal 3 3 3 3 2 5 2 2 2" xfId="29639" xr:uid="{00000000-0005-0000-0000-00001F4D0000}"/>
    <cellStyle name="Normal 3 3 3 3 2 5 2 2 2 2" xfId="61510" xr:uid="{00000000-0005-0000-0000-0000204D0000}"/>
    <cellStyle name="Normal 3 3 3 3 2 5 2 2 3" xfId="37086" xr:uid="{00000000-0005-0000-0000-0000214D0000}"/>
    <cellStyle name="Normal 3 3 3 3 2 5 2 3" xfId="21761" xr:uid="{00000000-0005-0000-0000-0000224D0000}"/>
    <cellStyle name="Normal 3 3 3 3 2 5 2 3 2" xfId="53632" xr:uid="{00000000-0005-0000-0000-0000234D0000}"/>
    <cellStyle name="Normal 3 3 3 3 2 5 2 4" xfId="37085" xr:uid="{00000000-0005-0000-0000-0000244D0000}"/>
    <cellStyle name="Normal 3 3 3 3 2 5 3" xfId="5208" xr:uid="{00000000-0005-0000-0000-0000254D0000}"/>
    <cellStyle name="Normal 3 3 3 3 2 5 3 2" xfId="25700" xr:uid="{00000000-0005-0000-0000-0000264D0000}"/>
    <cellStyle name="Normal 3 3 3 3 2 5 3 2 2" xfId="57571" xr:uid="{00000000-0005-0000-0000-0000274D0000}"/>
    <cellStyle name="Normal 3 3 3 3 2 5 3 3" xfId="37087" xr:uid="{00000000-0005-0000-0000-0000284D0000}"/>
    <cellStyle name="Normal 3 3 3 3 2 5 4" xfId="17822" xr:uid="{00000000-0005-0000-0000-0000294D0000}"/>
    <cellStyle name="Normal 3 3 3 3 2 5 4 2" xfId="49693" xr:uid="{00000000-0005-0000-0000-00002A4D0000}"/>
    <cellStyle name="Normal 3 3 3 3 2 5 5" xfId="37084" xr:uid="{00000000-0005-0000-0000-00002B4D0000}"/>
    <cellStyle name="Normal 3 3 3 3 2 6" xfId="5209" xr:uid="{00000000-0005-0000-0000-00002C4D0000}"/>
    <cellStyle name="Normal 3 3 3 3 2 6 2" xfId="5210" xr:uid="{00000000-0005-0000-0000-00002D4D0000}"/>
    <cellStyle name="Normal 3 3 3 3 2 6 2 2" xfId="28500" xr:uid="{00000000-0005-0000-0000-00002E4D0000}"/>
    <cellStyle name="Normal 3 3 3 3 2 6 2 2 2" xfId="60371" xr:uid="{00000000-0005-0000-0000-00002F4D0000}"/>
    <cellStyle name="Normal 3 3 3 3 2 6 2 3" xfId="37089" xr:uid="{00000000-0005-0000-0000-0000304D0000}"/>
    <cellStyle name="Normal 3 3 3 3 2 6 3" xfId="20622" xr:uid="{00000000-0005-0000-0000-0000314D0000}"/>
    <cellStyle name="Normal 3 3 3 3 2 6 3 2" xfId="52493" xr:uid="{00000000-0005-0000-0000-0000324D0000}"/>
    <cellStyle name="Normal 3 3 3 3 2 6 4" xfId="37088" xr:uid="{00000000-0005-0000-0000-0000334D0000}"/>
    <cellStyle name="Normal 3 3 3 3 2 7" xfId="5211" xr:uid="{00000000-0005-0000-0000-0000344D0000}"/>
    <cellStyle name="Normal 3 3 3 3 2 7 2" xfId="24561" xr:uid="{00000000-0005-0000-0000-0000354D0000}"/>
    <cellStyle name="Normal 3 3 3 3 2 7 2 2" xfId="56432" xr:uid="{00000000-0005-0000-0000-0000364D0000}"/>
    <cellStyle name="Normal 3 3 3 3 2 7 3" xfId="37090" xr:uid="{00000000-0005-0000-0000-0000374D0000}"/>
    <cellStyle name="Normal 3 3 3 3 2 8" xfId="16683" xr:uid="{00000000-0005-0000-0000-0000384D0000}"/>
    <cellStyle name="Normal 3 3 3 3 2 8 2" xfId="48554" xr:uid="{00000000-0005-0000-0000-0000394D0000}"/>
    <cellStyle name="Normal 3 3 3 3 2 9" xfId="37027" xr:uid="{00000000-0005-0000-0000-00003A4D0000}"/>
    <cellStyle name="Normal 3 3 3 3 3" xfId="5212" xr:uid="{00000000-0005-0000-0000-00003B4D0000}"/>
    <cellStyle name="Normal 3 3 3 3 3 2" xfId="5213" xr:uid="{00000000-0005-0000-0000-00003C4D0000}"/>
    <cellStyle name="Normal 3 3 3 3 3 2 2" xfId="5214" xr:uid="{00000000-0005-0000-0000-00003D4D0000}"/>
    <cellStyle name="Normal 3 3 3 3 3 2 2 2" xfId="5215" xr:uid="{00000000-0005-0000-0000-00003E4D0000}"/>
    <cellStyle name="Normal 3 3 3 3 3 2 2 2 2" xfId="5216" xr:uid="{00000000-0005-0000-0000-00003F4D0000}"/>
    <cellStyle name="Normal 3 3 3 3 3 2 2 2 2 2" xfId="5217" xr:uid="{00000000-0005-0000-0000-0000404D0000}"/>
    <cellStyle name="Normal 3 3 3 3 3 2 2 2 2 2 2" xfId="29643" xr:uid="{00000000-0005-0000-0000-0000414D0000}"/>
    <cellStyle name="Normal 3 3 3 3 3 2 2 2 2 2 2 2" xfId="61514" xr:uid="{00000000-0005-0000-0000-0000424D0000}"/>
    <cellStyle name="Normal 3 3 3 3 3 2 2 2 2 2 3" xfId="37096" xr:uid="{00000000-0005-0000-0000-0000434D0000}"/>
    <cellStyle name="Normal 3 3 3 3 3 2 2 2 2 3" xfId="21765" xr:uid="{00000000-0005-0000-0000-0000444D0000}"/>
    <cellStyle name="Normal 3 3 3 3 3 2 2 2 2 3 2" xfId="53636" xr:uid="{00000000-0005-0000-0000-0000454D0000}"/>
    <cellStyle name="Normal 3 3 3 3 3 2 2 2 2 4" xfId="37095" xr:uid="{00000000-0005-0000-0000-0000464D0000}"/>
    <cellStyle name="Normal 3 3 3 3 3 2 2 2 3" xfId="5218" xr:uid="{00000000-0005-0000-0000-0000474D0000}"/>
    <cellStyle name="Normal 3 3 3 3 3 2 2 2 3 2" xfId="25704" xr:uid="{00000000-0005-0000-0000-0000484D0000}"/>
    <cellStyle name="Normal 3 3 3 3 3 2 2 2 3 2 2" xfId="57575" xr:uid="{00000000-0005-0000-0000-0000494D0000}"/>
    <cellStyle name="Normal 3 3 3 3 3 2 2 2 3 3" xfId="37097" xr:uid="{00000000-0005-0000-0000-00004A4D0000}"/>
    <cellStyle name="Normal 3 3 3 3 3 2 2 2 4" xfId="17826" xr:uid="{00000000-0005-0000-0000-00004B4D0000}"/>
    <cellStyle name="Normal 3 3 3 3 3 2 2 2 4 2" xfId="49697" xr:uid="{00000000-0005-0000-0000-00004C4D0000}"/>
    <cellStyle name="Normal 3 3 3 3 3 2 2 2 5" xfId="37094" xr:uid="{00000000-0005-0000-0000-00004D4D0000}"/>
    <cellStyle name="Normal 3 3 3 3 3 2 2 3" xfId="5219" xr:uid="{00000000-0005-0000-0000-00004E4D0000}"/>
    <cellStyle name="Normal 3 3 3 3 3 2 2 3 2" xfId="5220" xr:uid="{00000000-0005-0000-0000-00004F4D0000}"/>
    <cellStyle name="Normal 3 3 3 3 3 2 2 3 2 2" xfId="29642" xr:uid="{00000000-0005-0000-0000-0000504D0000}"/>
    <cellStyle name="Normal 3 3 3 3 3 2 2 3 2 2 2" xfId="61513" xr:uid="{00000000-0005-0000-0000-0000514D0000}"/>
    <cellStyle name="Normal 3 3 3 3 3 2 2 3 2 3" xfId="37099" xr:uid="{00000000-0005-0000-0000-0000524D0000}"/>
    <cellStyle name="Normal 3 3 3 3 3 2 2 3 3" xfId="21764" xr:uid="{00000000-0005-0000-0000-0000534D0000}"/>
    <cellStyle name="Normal 3 3 3 3 3 2 2 3 3 2" xfId="53635" xr:uid="{00000000-0005-0000-0000-0000544D0000}"/>
    <cellStyle name="Normal 3 3 3 3 3 2 2 3 4" xfId="37098" xr:uid="{00000000-0005-0000-0000-0000554D0000}"/>
    <cellStyle name="Normal 3 3 3 3 3 2 2 4" xfId="5221" xr:uid="{00000000-0005-0000-0000-0000564D0000}"/>
    <cellStyle name="Normal 3 3 3 3 3 2 2 4 2" xfId="25703" xr:uid="{00000000-0005-0000-0000-0000574D0000}"/>
    <cellStyle name="Normal 3 3 3 3 3 2 2 4 2 2" xfId="57574" xr:uid="{00000000-0005-0000-0000-0000584D0000}"/>
    <cellStyle name="Normal 3 3 3 3 3 2 2 4 3" xfId="37100" xr:uid="{00000000-0005-0000-0000-0000594D0000}"/>
    <cellStyle name="Normal 3 3 3 3 3 2 2 5" xfId="17825" xr:uid="{00000000-0005-0000-0000-00005A4D0000}"/>
    <cellStyle name="Normal 3 3 3 3 3 2 2 5 2" xfId="49696" xr:uid="{00000000-0005-0000-0000-00005B4D0000}"/>
    <cellStyle name="Normal 3 3 3 3 3 2 2 6" xfId="37093" xr:uid="{00000000-0005-0000-0000-00005C4D0000}"/>
    <cellStyle name="Normal 3 3 3 3 3 2 3" xfId="5222" xr:uid="{00000000-0005-0000-0000-00005D4D0000}"/>
    <cellStyle name="Normal 3 3 3 3 3 2 3 2" xfId="5223" xr:uid="{00000000-0005-0000-0000-00005E4D0000}"/>
    <cellStyle name="Normal 3 3 3 3 3 2 3 2 2" xfId="5224" xr:uid="{00000000-0005-0000-0000-00005F4D0000}"/>
    <cellStyle name="Normal 3 3 3 3 3 2 3 2 2 2" xfId="29644" xr:uid="{00000000-0005-0000-0000-0000604D0000}"/>
    <cellStyle name="Normal 3 3 3 3 3 2 3 2 2 2 2" xfId="61515" xr:uid="{00000000-0005-0000-0000-0000614D0000}"/>
    <cellStyle name="Normal 3 3 3 3 3 2 3 2 2 3" xfId="37103" xr:uid="{00000000-0005-0000-0000-0000624D0000}"/>
    <cellStyle name="Normal 3 3 3 3 3 2 3 2 3" xfId="21766" xr:uid="{00000000-0005-0000-0000-0000634D0000}"/>
    <cellStyle name="Normal 3 3 3 3 3 2 3 2 3 2" xfId="53637" xr:uid="{00000000-0005-0000-0000-0000644D0000}"/>
    <cellStyle name="Normal 3 3 3 3 3 2 3 2 4" xfId="37102" xr:uid="{00000000-0005-0000-0000-0000654D0000}"/>
    <cellStyle name="Normal 3 3 3 3 3 2 3 3" xfId="5225" xr:uid="{00000000-0005-0000-0000-0000664D0000}"/>
    <cellStyle name="Normal 3 3 3 3 3 2 3 3 2" xfId="25705" xr:uid="{00000000-0005-0000-0000-0000674D0000}"/>
    <cellStyle name="Normal 3 3 3 3 3 2 3 3 2 2" xfId="57576" xr:uid="{00000000-0005-0000-0000-0000684D0000}"/>
    <cellStyle name="Normal 3 3 3 3 3 2 3 3 3" xfId="37104" xr:uid="{00000000-0005-0000-0000-0000694D0000}"/>
    <cellStyle name="Normal 3 3 3 3 3 2 3 4" xfId="17827" xr:uid="{00000000-0005-0000-0000-00006A4D0000}"/>
    <cellStyle name="Normal 3 3 3 3 3 2 3 4 2" xfId="49698" xr:uid="{00000000-0005-0000-0000-00006B4D0000}"/>
    <cellStyle name="Normal 3 3 3 3 3 2 3 5" xfId="37101" xr:uid="{00000000-0005-0000-0000-00006C4D0000}"/>
    <cellStyle name="Normal 3 3 3 3 3 2 4" xfId="5226" xr:uid="{00000000-0005-0000-0000-00006D4D0000}"/>
    <cellStyle name="Normal 3 3 3 3 3 2 4 2" xfId="5227" xr:uid="{00000000-0005-0000-0000-00006E4D0000}"/>
    <cellStyle name="Normal 3 3 3 3 3 2 4 2 2" xfId="29641" xr:uid="{00000000-0005-0000-0000-00006F4D0000}"/>
    <cellStyle name="Normal 3 3 3 3 3 2 4 2 2 2" xfId="61512" xr:uid="{00000000-0005-0000-0000-0000704D0000}"/>
    <cellStyle name="Normal 3 3 3 3 3 2 4 2 3" xfId="37106" xr:uid="{00000000-0005-0000-0000-0000714D0000}"/>
    <cellStyle name="Normal 3 3 3 3 3 2 4 3" xfId="21763" xr:uid="{00000000-0005-0000-0000-0000724D0000}"/>
    <cellStyle name="Normal 3 3 3 3 3 2 4 3 2" xfId="53634" xr:uid="{00000000-0005-0000-0000-0000734D0000}"/>
    <cellStyle name="Normal 3 3 3 3 3 2 4 4" xfId="37105" xr:uid="{00000000-0005-0000-0000-0000744D0000}"/>
    <cellStyle name="Normal 3 3 3 3 3 2 5" xfId="5228" xr:uid="{00000000-0005-0000-0000-0000754D0000}"/>
    <cellStyle name="Normal 3 3 3 3 3 2 5 2" xfId="25702" xr:uid="{00000000-0005-0000-0000-0000764D0000}"/>
    <cellStyle name="Normal 3 3 3 3 3 2 5 2 2" xfId="57573" xr:uid="{00000000-0005-0000-0000-0000774D0000}"/>
    <cellStyle name="Normal 3 3 3 3 3 2 5 3" xfId="37107" xr:uid="{00000000-0005-0000-0000-0000784D0000}"/>
    <cellStyle name="Normal 3 3 3 3 3 2 6" xfId="17824" xr:uid="{00000000-0005-0000-0000-0000794D0000}"/>
    <cellStyle name="Normal 3 3 3 3 3 2 6 2" xfId="49695" xr:uid="{00000000-0005-0000-0000-00007A4D0000}"/>
    <cellStyle name="Normal 3 3 3 3 3 2 7" xfId="37092" xr:uid="{00000000-0005-0000-0000-00007B4D0000}"/>
    <cellStyle name="Normal 3 3 3 3 3 3" xfId="5229" xr:uid="{00000000-0005-0000-0000-00007C4D0000}"/>
    <cellStyle name="Normal 3 3 3 3 3 3 2" xfId="5230" xr:uid="{00000000-0005-0000-0000-00007D4D0000}"/>
    <cellStyle name="Normal 3 3 3 3 3 3 2 2" xfId="5231" xr:uid="{00000000-0005-0000-0000-00007E4D0000}"/>
    <cellStyle name="Normal 3 3 3 3 3 3 2 2 2" xfId="5232" xr:uid="{00000000-0005-0000-0000-00007F4D0000}"/>
    <cellStyle name="Normal 3 3 3 3 3 3 2 2 2 2" xfId="29646" xr:uid="{00000000-0005-0000-0000-0000804D0000}"/>
    <cellStyle name="Normal 3 3 3 3 3 3 2 2 2 2 2" xfId="61517" xr:uid="{00000000-0005-0000-0000-0000814D0000}"/>
    <cellStyle name="Normal 3 3 3 3 3 3 2 2 2 3" xfId="37111" xr:uid="{00000000-0005-0000-0000-0000824D0000}"/>
    <cellStyle name="Normal 3 3 3 3 3 3 2 2 3" xfId="21768" xr:uid="{00000000-0005-0000-0000-0000834D0000}"/>
    <cellStyle name="Normal 3 3 3 3 3 3 2 2 3 2" xfId="53639" xr:uid="{00000000-0005-0000-0000-0000844D0000}"/>
    <cellStyle name="Normal 3 3 3 3 3 3 2 2 4" xfId="37110" xr:uid="{00000000-0005-0000-0000-0000854D0000}"/>
    <cellStyle name="Normal 3 3 3 3 3 3 2 3" xfId="5233" xr:uid="{00000000-0005-0000-0000-0000864D0000}"/>
    <cellStyle name="Normal 3 3 3 3 3 3 2 3 2" xfId="25707" xr:uid="{00000000-0005-0000-0000-0000874D0000}"/>
    <cellStyle name="Normal 3 3 3 3 3 3 2 3 2 2" xfId="57578" xr:uid="{00000000-0005-0000-0000-0000884D0000}"/>
    <cellStyle name="Normal 3 3 3 3 3 3 2 3 3" xfId="37112" xr:uid="{00000000-0005-0000-0000-0000894D0000}"/>
    <cellStyle name="Normal 3 3 3 3 3 3 2 4" xfId="17829" xr:uid="{00000000-0005-0000-0000-00008A4D0000}"/>
    <cellStyle name="Normal 3 3 3 3 3 3 2 4 2" xfId="49700" xr:uid="{00000000-0005-0000-0000-00008B4D0000}"/>
    <cellStyle name="Normal 3 3 3 3 3 3 2 5" xfId="37109" xr:uid="{00000000-0005-0000-0000-00008C4D0000}"/>
    <cellStyle name="Normal 3 3 3 3 3 3 3" xfId="5234" xr:uid="{00000000-0005-0000-0000-00008D4D0000}"/>
    <cellStyle name="Normal 3 3 3 3 3 3 3 2" xfId="5235" xr:uid="{00000000-0005-0000-0000-00008E4D0000}"/>
    <cellStyle name="Normal 3 3 3 3 3 3 3 2 2" xfId="29645" xr:uid="{00000000-0005-0000-0000-00008F4D0000}"/>
    <cellStyle name="Normal 3 3 3 3 3 3 3 2 2 2" xfId="61516" xr:uid="{00000000-0005-0000-0000-0000904D0000}"/>
    <cellStyle name="Normal 3 3 3 3 3 3 3 2 3" xfId="37114" xr:uid="{00000000-0005-0000-0000-0000914D0000}"/>
    <cellStyle name="Normal 3 3 3 3 3 3 3 3" xfId="21767" xr:uid="{00000000-0005-0000-0000-0000924D0000}"/>
    <cellStyle name="Normal 3 3 3 3 3 3 3 3 2" xfId="53638" xr:uid="{00000000-0005-0000-0000-0000934D0000}"/>
    <cellStyle name="Normal 3 3 3 3 3 3 3 4" xfId="37113" xr:uid="{00000000-0005-0000-0000-0000944D0000}"/>
    <cellStyle name="Normal 3 3 3 3 3 3 4" xfId="5236" xr:uid="{00000000-0005-0000-0000-0000954D0000}"/>
    <cellStyle name="Normal 3 3 3 3 3 3 4 2" xfId="25706" xr:uid="{00000000-0005-0000-0000-0000964D0000}"/>
    <cellStyle name="Normal 3 3 3 3 3 3 4 2 2" xfId="57577" xr:uid="{00000000-0005-0000-0000-0000974D0000}"/>
    <cellStyle name="Normal 3 3 3 3 3 3 4 3" xfId="37115" xr:uid="{00000000-0005-0000-0000-0000984D0000}"/>
    <cellStyle name="Normal 3 3 3 3 3 3 5" xfId="17828" xr:uid="{00000000-0005-0000-0000-0000994D0000}"/>
    <cellStyle name="Normal 3 3 3 3 3 3 5 2" xfId="49699" xr:uid="{00000000-0005-0000-0000-00009A4D0000}"/>
    <cellStyle name="Normal 3 3 3 3 3 3 6" xfId="37108" xr:uid="{00000000-0005-0000-0000-00009B4D0000}"/>
    <cellStyle name="Normal 3 3 3 3 3 4" xfId="5237" xr:uid="{00000000-0005-0000-0000-00009C4D0000}"/>
    <cellStyle name="Normal 3 3 3 3 3 4 2" xfId="5238" xr:uid="{00000000-0005-0000-0000-00009D4D0000}"/>
    <cellStyle name="Normal 3 3 3 3 3 4 2 2" xfId="5239" xr:uid="{00000000-0005-0000-0000-00009E4D0000}"/>
    <cellStyle name="Normal 3 3 3 3 3 4 2 2 2" xfId="29647" xr:uid="{00000000-0005-0000-0000-00009F4D0000}"/>
    <cellStyle name="Normal 3 3 3 3 3 4 2 2 2 2" xfId="61518" xr:uid="{00000000-0005-0000-0000-0000A04D0000}"/>
    <cellStyle name="Normal 3 3 3 3 3 4 2 2 3" xfId="37118" xr:uid="{00000000-0005-0000-0000-0000A14D0000}"/>
    <cellStyle name="Normal 3 3 3 3 3 4 2 3" xfId="21769" xr:uid="{00000000-0005-0000-0000-0000A24D0000}"/>
    <cellStyle name="Normal 3 3 3 3 3 4 2 3 2" xfId="53640" xr:uid="{00000000-0005-0000-0000-0000A34D0000}"/>
    <cellStyle name="Normal 3 3 3 3 3 4 2 4" xfId="37117" xr:uid="{00000000-0005-0000-0000-0000A44D0000}"/>
    <cellStyle name="Normal 3 3 3 3 3 4 3" xfId="5240" xr:uid="{00000000-0005-0000-0000-0000A54D0000}"/>
    <cellStyle name="Normal 3 3 3 3 3 4 3 2" xfId="25708" xr:uid="{00000000-0005-0000-0000-0000A64D0000}"/>
    <cellStyle name="Normal 3 3 3 3 3 4 3 2 2" xfId="57579" xr:uid="{00000000-0005-0000-0000-0000A74D0000}"/>
    <cellStyle name="Normal 3 3 3 3 3 4 3 3" xfId="37119" xr:uid="{00000000-0005-0000-0000-0000A84D0000}"/>
    <cellStyle name="Normal 3 3 3 3 3 4 4" xfId="17830" xr:uid="{00000000-0005-0000-0000-0000A94D0000}"/>
    <cellStyle name="Normal 3 3 3 3 3 4 4 2" xfId="49701" xr:uid="{00000000-0005-0000-0000-0000AA4D0000}"/>
    <cellStyle name="Normal 3 3 3 3 3 4 5" xfId="37116" xr:uid="{00000000-0005-0000-0000-0000AB4D0000}"/>
    <cellStyle name="Normal 3 3 3 3 3 5" xfId="5241" xr:uid="{00000000-0005-0000-0000-0000AC4D0000}"/>
    <cellStyle name="Normal 3 3 3 3 3 5 2" xfId="5242" xr:uid="{00000000-0005-0000-0000-0000AD4D0000}"/>
    <cellStyle name="Normal 3 3 3 3 3 5 2 2" xfId="29640" xr:uid="{00000000-0005-0000-0000-0000AE4D0000}"/>
    <cellStyle name="Normal 3 3 3 3 3 5 2 2 2" xfId="61511" xr:uid="{00000000-0005-0000-0000-0000AF4D0000}"/>
    <cellStyle name="Normal 3 3 3 3 3 5 2 3" xfId="37121" xr:uid="{00000000-0005-0000-0000-0000B04D0000}"/>
    <cellStyle name="Normal 3 3 3 3 3 5 3" xfId="21762" xr:uid="{00000000-0005-0000-0000-0000B14D0000}"/>
    <cellStyle name="Normal 3 3 3 3 3 5 3 2" xfId="53633" xr:uid="{00000000-0005-0000-0000-0000B24D0000}"/>
    <cellStyle name="Normal 3 3 3 3 3 5 4" xfId="37120" xr:uid="{00000000-0005-0000-0000-0000B34D0000}"/>
    <cellStyle name="Normal 3 3 3 3 3 6" xfId="5243" xr:uid="{00000000-0005-0000-0000-0000B44D0000}"/>
    <cellStyle name="Normal 3 3 3 3 3 6 2" xfId="25701" xr:uid="{00000000-0005-0000-0000-0000B54D0000}"/>
    <cellStyle name="Normal 3 3 3 3 3 6 2 2" xfId="57572" xr:uid="{00000000-0005-0000-0000-0000B64D0000}"/>
    <cellStyle name="Normal 3 3 3 3 3 6 3" xfId="37122" xr:uid="{00000000-0005-0000-0000-0000B74D0000}"/>
    <cellStyle name="Normal 3 3 3 3 3 7" xfId="17823" xr:uid="{00000000-0005-0000-0000-0000B84D0000}"/>
    <cellStyle name="Normal 3 3 3 3 3 7 2" xfId="49694" xr:uid="{00000000-0005-0000-0000-0000B94D0000}"/>
    <cellStyle name="Normal 3 3 3 3 3 8" xfId="37091" xr:uid="{00000000-0005-0000-0000-0000BA4D0000}"/>
    <cellStyle name="Normal 3 3 3 3 4" xfId="5244" xr:uid="{00000000-0005-0000-0000-0000BB4D0000}"/>
    <cellStyle name="Normal 3 3 3 3 4 2" xfId="5245" xr:uid="{00000000-0005-0000-0000-0000BC4D0000}"/>
    <cellStyle name="Normal 3 3 3 3 4 2 2" xfId="5246" xr:uid="{00000000-0005-0000-0000-0000BD4D0000}"/>
    <cellStyle name="Normal 3 3 3 3 4 2 2 2" xfId="5247" xr:uid="{00000000-0005-0000-0000-0000BE4D0000}"/>
    <cellStyle name="Normal 3 3 3 3 4 2 2 2 2" xfId="5248" xr:uid="{00000000-0005-0000-0000-0000BF4D0000}"/>
    <cellStyle name="Normal 3 3 3 3 4 2 2 2 2 2" xfId="29650" xr:uid="{00000000-0005-0000-0000-0000C04D0000}"/>
    <cellStyle name="Normal 3 3 3 3 4 2 2 2 2 2 2" xfId="61521" xr:uid="{00000000-0005-0000-0000-0000C14D0000}"/>
    <cellStyle name="Normal 3 3 3 3 4 2 2 2 2 3" xfId="37127" xr:uid="{00000000-0005-0000-0000-0000C24D0000}"/>
    <cellStyle name="Normal 3 3 3 3 4 2 2 2 3" xfId="21772" xr:uid="{00000000-0005-0000-0000-0000C34D0000}"/>
    <cellStyle name="Normal 3 3 3 3 4 2 2 2 3 2" xfId="53643" xr:uid="{00000000-0005-0000-0000-0000C44D0000}"/>
    <cellStyle name="Normal 3 3 3 3 4 2 2 2 4" xfId="37126" xr:uid="{00000000-0005-0000-0000-0000C54D0000}"/>
    <cellStyle name="Normal 3 3 3 3 4 2 2 3" xfId="5249" xr:uid="{00000000-0005-0000-0000-0000C64D0000}"/>
    <cellStyle name="Normal 3 3 3 3 4 2 2 3 2" xfId="25711" xr:uid="{00000000-0005-0000-0000-0000C74D0000}"/>
    <cellStyle name="Normal 3 3 3 3 4 2 2 3 2 2" xfId="57582" xr:uid="{00000000-0005-0000-0000-0000C84D0000}"/>
    <cellStyle name="Normal 3 3 3 3 4 2 2 3 3" xfId="37128" xr:uid="{00000000-0005-0000-0000-0000C94D0000}"/>
    <cellStyle name="Normal 3 3 3 3 4 2 2 4" xfId="17833" xr:uid="{00000000-0005-0000-0000-0000CA4D0000}"/>
    <cellStyle name="Normal 3 3 3 3 4 2 2 4 2" xfId="49704" xr:uid="{00000000-0005-0000-0000-0000CB4D0000}"/>
    <cellStyle name="Normal 3 3 3 3 4 2 2 5" xfId="37125" xr:uid="{00000000-0005-0000-0000-0000CC4D0000}"/>
    <cellStyle name="Normal 3 3 3 3 4 2 3" xfId="5250" xr:uid="{00000000-0005-0000-0000-0000CD4D0000}"/>
    <cellStyle name="Normal 3 3 3 3 4 2 3 2" xfId="5251" xr:uid="{00000000-0005-0000-0000-0000CE4D0000}"/>
    <cellStyle name="Normal 3 3 3 3 4 2 3 2 2" xfId="29649" xr:uid="{00000000-0005-0000-0000-0000CF4D0000}"/>
    <cellStyle name="Normal 3 3 3 3 4 2 3 2 2 2" xfId="61520" xr:uid="{00000000-0005-0000-0000-0000D04D0000}"/>
    <cellStyle name="Normal 3 3 3 3 4 2 3 2 3" xfId="37130" xr:uid="{00000000-0005-0000-0000-0000D14D0000}"/>
    <cellStyle name="Normal 3 3 3 3 4 2 3 3" xfId="21771" xr:uid="{00000000-0005-0000-0000-0000D24D0000}"/>
    <cellStyle name="Normal 3 3 3 3 4 2 3 3 2" xfId="53642" xr:uid="{00000000-0005-0000-0000-0000D34D0000}"/>
    <cellStyle name="Normal 3 3 3 3 4 2 3 4" xfId="37129" xr:uid="{00000000-0005-0000-0000-0000D44D0000}"/>
    <cellStyle name="Normal 3 3 3 3 4 2 4" xfId="5252" xr:uid="{00000000-0005-0000-0000-0000D54D0000}"/>
    <cellStyle name="Normal 3 3 3 3 4 2 4 2" xfId="25710" xr:uid="{00000000-0005-0000-0000-0000D64D0000}"/>
    <cellStyle name="Normal 3 3 3 3 4 2 4 2 2" xfId="57581" xr:uid="{00000000-0005-0000-0000-0000D74D0000}"/>
    <cellStyle name="Normal 3 3 3 3 4 2 4 3" xfId="37131" xr:uid="{00000000-0005-0000-0000-0000D84D0000}"/>
    <cellStyle name="Normal 3 3 3 3 4 2 5" xfId="17832" xr:uid="{00000000-0005-0000-0000-0000D94D0000}"/>
    <cellStyle name="Normal 3 3 3 3 4 2 5 2" xfId="49703" xr:uid="{00000000-0005-0000-0000-0000DA4D0000}"/>
    <cellStyle name="Normal 3 3 3 3 4 2 6" xfId="37124" xr:uid="{00000000-0005-0000-0000-0000DB4D0000}"/>
    <cellStyle name="Normal 3 3 3 3 4 3" xfId="5253" xr:uid="{00000000-0005-0000-0000-0000DC4D0000}"/>
    <cellStyle name="Normal 3 3 3 3 4 3 2" xfId="5254" xr:uid="{00000000-0005-0000-0000-0000DD4D0000}"/>
    <cellStyle name="Normal 3 3 3 3 4 3 2 2" xfId="5255" xr:uid="{00000000-0005-0000-0000-0000DE4D0000}"/>
    <cellStyle name="Normal 3 3 3 3 4 3 2 2 2" xfId="29651" xr:uid="{00000000-0005-0000-0000-0000DF4D0000}"/>
    <cellStyle name="Normal 3 3 3 3 4 3 2 2 2 2" xfId="61522" xr:uid="{00000000-0005-0000-0000-0000E04D0000}"/>
    <cellStyle name="Normal 3 3 3 3 4 3 2 2 3" xfId="37134" xr:uid="{00000000-0005-0000-0000-0000E14D0000}"/>
    <cellStyle name="Normal 3 3 3 3 4 3 2 3" xfId="21773" xr:uid="{00000000-0005-0000-0000-0000E24D0000}"/>
    <cellStyle name="Normal 3 3 3 3 4 3 2 3 2" xfId="53644" xr:uid="{00000000-0005-0000-0000-0000E34D0000}"/>
    <cellStyle name="Normal 3 3 3 3 4 3 2 4" xfId="37133" xr:uid="{00000000-0005-0000-0000-0000E44D0000}"/>
    <cellStyle name="Normal 3 3 3 3 4 3 3" xfId="5256" xr:uid="{00000000-0005-0000-0000-0000E54D0000}"/>
    <cellStyle name="Normal 3 3 3 3 4 3 3 2" xfId="25712" xr:uid="{00000000-0005-0000-0000-0000E64D0000}"/>
    <cellStyle name="Normal 3 3 3 3 4 3 3 2 2" xfId="57583" xr:uid="{00000000-0005-0000-0000-0000E74D0000}"/>
    <cellStyle name="Normal 3 3 3 3 4 3 3 3" xfId="37135" xr:uid="{00000000-0005-0000-0000-0000E84D0000}"/>
    <cellStyle name="Normal 3 3 3 3 4 3 4" xfId="17834" xr:uid="{00000000-0005-0000-0000-0000E94D0000}"/>
    <cellStyle name="Normal 3 3 3 3 4 3 4 2" xfId="49705" xr:uid="{00000000-0005-0000-0000-0000EA4D0000}"/>
    <cellStyle name="Normal 3 3 3 3 4 3 5" xfId="37132" xr:uid="{00000000-0005-0000-0000-0000EB4D0000}"/>
    <cellStyle name="Normal 3 3 3 3 4 4" xfId="5257" xr:uid="{00000000-0005-0000-0000-0000EC4D0000}"/>
    <cellStyle name="Normal 3 3 3 3 4 4 2" xfId="5258" xr:uid="{00000000-0005-0000-0000-0000ED4D0000}"/>
    <cellStyle name="Normal 3 3 3 3 4 4 2 2" xfId="29648" xr:uid="{00000000-0005-0000-0000-0000EE4D0000}"/>
    <cellStyle name="Normal 3 3 3 3 4 4 2 2 2" xfId="61519" xr:uid="{00000000-0005-0000-0000-0000EF4D0000}"/>
    <cellStyle name="Normal 3 3 3 3 4 4 2 3" xfId="37137" xr:uid="{00000000-0005-0000-0000-0000F04D0000}"/>
    <cellStyle name="Normal 3 3 3 3 4 4 3" xfId="21770" xr:uid="{00000000-0005-0000-0000-0000F14D0000}"/>
    <cellStyle name="Normal 3 3 3 3 4 4 3 2" xfId="53641" xr:uid="{00000000-0005-0000-0000-0000F24D0000}"/>
    <cellStyle name="Normal 3 3 3 3 4 4 4" xfId="37136" xr:uid="{00000000-0005-0000-0000-0000F34D0000}"/>
    <cellStyle name="Normal 3 3 3 3 4 5" xfId="5259" xr:uid="{00000000-0005-0000-0000-0000F44D0000}"/>
    <cellStyle name="Normal 3 3 3 3 4 5 2" xfId="25709" xr:uid="{00000000-0005-0000-0000-0000F54D0000}"/>
    <cellStyle name="Normal 3 3 3 3 4 5 2 2" xfId="57580" xr:uid="{00000000-0005-0000-0000-0000F64D0000}"/>
    <cellStyle name="Normal 3 3 3 3 4 5 3" xfId="37138" xr:uid="{00000000-0005-0000-0000-0000F74D0000}"/>
    <cellStyle name="Normal 3 3 3 3 4 6" xfId="17831" xr:uid="{00000000-0005-0000-0000-0000F84D0000}"/>
    <cellStyle name="Normal 3 3 3 3 4 6 2" xfId="49702" xr:uid="{00000000-0005-0000-0000-0000F94D0000}"/>
    <cellStyle name="Normal 3 3 3 3 4 7" xfId="37123" xr:uid="{00000000-0005-0000-0000-0000FA4D0000}"/>
    <cellStyle name="Normal 3 3 3 3 5" xfId="5260" xr:uid="{00000000-0005-0000-0000-0000FB4D0000}"/>
    <cellStyle name="Normal 3 3 3 3 5 2" xfId="5261" xr:uid="{00000000-0005-0000-0000-0000FC4D0000}"/>
    <cellStyle name="Normal 3 3 3 3 5 2 2" xfId="5262" xr:uid="{00000000-0005-0000-0000-0000FD4D0000}"/>
    <cellStyle name="Normal 3 3 3 3 5 2 2 2" xfId="5263" xr:uid="{00000000-0005-0000-0000-0000FE4D0000}"/>
    <cellStyle name="Normal 3 3 3 3 5 2 2 2 2" xfId="29653" xr:uid="{00000000-0005-0000-0000-0000FF4D0000}"/>
    <cellStyle name="Normal 3 3 3 3 5 2 2 2 2 2" xfId="61524" xr:uid="{00000000-0005-0000-0000-0000004E0000}"/>
    <cellStyle name="Normal 3 3 3 3 5 2 2 2 3" xfId="37142" xr:uid="{00000000-0005-0000-0000-0000014E0000}"/>
    <cellStyle name="Normal 3 3 3 3 5 2 2 3" xfId="21775" xr:uid="{00000000-0005-0000-0000-0000024E0000}"/>
    <cellStyle name="Normal 3 3 3 3 5 2 2 3 2" xfId="53646" xr:uid="{00000000-0005-0000-0000-0000034E0000}"/>
    <cellStyle name="Normal 3 3 3 3 5 2 2 4" xfId="37141" xr:uid="{00000000-0005-0000-0000-0000044E0000}"/>
    <cellStyle name="Normal 3 3 3 3 5 2 3" xfId="5264" xr:uid="{00000000-0005-0000-0000-0000054E0000}"/>
    <cellStyle name="Normal 3 3 3 3 5 2 3 2" xfId="25714" xr:uid="{00000000-0005-0000-0000-0000064E0000}"/>
    <cellStyle name="Normal 3 3 3 3 5 2 3 2 2" xfId="57585" xr:uid="{00000000-0005-0000-0000-0000074E0000}"/>
    <cellStyle name="Normal 3 3 3 3 5 2 3 3" xfId="37143" xr:uid="{00000000-0005-0000-0000-0000084E0000}"/>
    <cellStyle name="Normal 3 3 3 3 5 2 4" xfId="17836" xr:uid="{00000000-0005-0000-0000-0000094E0000}"/>
    <cellStyle name="Normal 3 3 3 3 5 2 4 2" xfId="49707" xr:uid="{00000000-0005-0000-0000-00000A4E0000}"/>
    <cellStyle name="Normal 3 3 3 3 5 2 5" xfId="37140" xr:uid="{00000000-0005-0000-0000-00000B4E0000}"/>
    <cellStyle name="Normal 3 3 3 3 5 3" xfId="5265" xr:uid="{00000000-0005-0000-0000-00000C4E0000}"/>
    <cellStyle name="Normal 3 3 3 3 5 3 2" xfId="5266" xr:uid="{00000000-0005-0000-0000-00000D4E0000}"/>
    <cellStyle name="Normal 3 3 3 3 5 3 2 2" xfId="29652" xr:uid="{00000000-0005-0000-0000-00000E4E0000}"/>
    <cellStyle name="Normal 3 3 3 3 5 3 2 2 2" xfId="61523" xr:uid="{00000000-0005-0000-0000-00000F4E0000}"/>
    <cellStyle name="Normal 3 3 3 3 5 3 2 3" xfId="37145" xr:uid="{00000000-0005-0000-0000-0000104E0000}"/>
    <cellStyle name="Normal 3 3 3 3 5 3 3" xfId="21774" xr:uid="{00000000-0005-0000-0000-0000114E0000}"/>
    <cellStyle name="Normal 3 3 3 3 5 3 3 2" xfId="53645" xr:uid="{00000000-0005-0000-0000-0000124E0000}"/>
    <cellStyle name="Normal 3 3 3 3 5 3 4" xfId="37144" xr:uid="{00000000-0005-0000-0000-0000134E0000}"/>
    <cellStyle name="Normal 3 3 3 3 5 4" xfId="5267" xr:uid="{00000000-0005-0000-0000-0000144E0000}"/>
    <cellStyle name="Normal 3 3 3 3 5 4 2" xfId="25713" xr:uid="{00000000-0005-0000-0000-0000154E0000}"/>
    <cellStyle name="Normal 3 3 3 3 5 4 2 2" xfId="57584" xr:uid="{00000000-0005-0000-0000-0000164E0000}"/>
    <cellStyle name="Normal 3 3 3 3 5 4 3" xfId="37146" xr:uid="{00000000-0005-0000-0000-0000174E0000}"/>
    <cellStyle name="Normal 3 3 3 3 5 5" xfId="17835" xr:uid="{00000000-0005-0000-0000-0000184E0000}"/>
    <cellStyle name="Normal 3 3 3 3 5 5 2" xfId="49706" xr:uid="{00000000-0005-0000-0000-0000194E0000}"/>
    <cellStyle name="Normal 3 3 3 3 5 6" xfId="37139" xr:uid="{00000000-0005-0000-0000-00001A4E0000}"/>
    <cellStyle name="Normal 3 3 3 3 6" xfId="5268" xr:uid="{00000000-0005-0000-0000-00001B4E0000}"/>
    <cellStyle name="Normal 3 3 3 3 6 2" xfId="5269" xr:uid="{00000000-0005-0000-0000-00001C4E0000}"/>
    <cellStyle name="Normal 3 3 3 3 6 2 2" xfId="5270" xr:uid="{00000000-0005-0000-0000-00001D4E0000}"/>
    <cellStyle name="Normal 3 3 3 3 6 2 2 2" xfId="29654" xr:uid="{00000000-0005-0000-0000-00001E4E0000}"/>
    <cellStyle name="Normal 3 3 3 3 6 2 2 2 2" xfId="61525" xr:uid="{00000000-0005-0000-0000-00001F4E0000}"/>
    <cellStyle name="Normal 3 3 3 3 6 2 2 3" xfId="37149" xr:uid="{00000000-0005-0000-0000-0000204E0000}"/>
    <cellStyle name="Normal 3 3 3 3 6 2 3" xfId="21776" xr:uid="{00000000-0005-0000-0000-0000214E0000}"/>
    <cellStyle name="Normal 3 3 3 3 6 2 3 2" xfId="53647" xr:uid="{00000000-0005-0000-0000-0000224E0000}"/>
    <cellStyle name="Normal 3 3 3 3 6 2 4" xfId="37148" xr:uid="{00000000-0005-0000-0000-0000234E0000}"/>
    <cellStyle name="Normal 3 3 3 3 6 3" xfId="5271" xr:uid="{00000000-0005-0000-0000-0000244E0000}"/>
    <cellStyle name="Normal 3 3 3 3 6 3 2" xfId="25715" xr:uid="{00000000-0005-0000-0000-0000254E0000}"/>
    <cellStyle name="Normal 3 3 3 3 6 3 2 2" xfId="57586" xr:uid="{00000000-0005-0000-0000-0000264E0000}"/>
    <cellStyle name="Normal 3 3 3 3 6 3 3" xfId="37150" xr:uid="{00000000-0005-0000-0000-0000274E0000}"/>
    <cellStyle name="Normal 3 3 3 3 6 4" xfId="17837" xr:uid="{00000000-0005-0000-0000-0000284E0000}"/>
    <cellStyle name="Normal 3 3 3 3 6 4 2" xfId="49708" xr:uid="{00000000-0005-0000-0000-0000294E0000}"/>
    <cellStyle name="Normal 3 3 3 3 6 5" xfId="37147" xr:uid="{00000000-0005-0000-0000-00002A4E0000}"/>
    <cellStyle name="Normal 3 3 3 3 7" xfId="5272" xr:uid="{00000000-0005-0000-0000-00002B4E0000}"/>
    <cellStyle name="Normal 3 3 3 3 7 2" xfId="5273" xr:uid="{00000000-0005-0000-0000-00002C4E0000}"/>
    <cellStyle name="Normal 3 3 3 3 7 2 2" xfId="28377" xr:uid="{00000000-0005-0000-0000-00002D4E0000}"/>
    <cellStyle name="Normal 3 3 3 3 7 2 2 2" xfId="60248" xr:uid="{00000000-0005-0000-0000-00002E4E0000}"/>
    <cellStyle name="Normal 3 3 3 3 7 2 3" xfId="37152" xr:uid="{00000000-0005-0000-0000-00002F4E0000}"/>
    <cellStyle name="Normal 3 3 3 3 7 3" xfId="20499" xr:uid="{00000000-0005-0000-0000-0000304E0000}"/>
    <cellStyle name="Normal 3 3 3 3 7 3 2" xfId="52370" xr:uid="{00000000-0005-0000-0000-0000314E0000}"/>
    <cellStyle name="Normal 3 3 3 3 7 4" xfId="37151" xr:uid="{00000000-0005-0000-0000-0000324E0000}"/>
    <cellStyle name="Normal 3 3 3 3 8" xfId="5274" xr:uid="{00000000-0005-0000-0000-0000334E0000}"/>
    <cellStyle name="Normal 3 3 3 3 8 2" xfId="24438" xr:uid="{00000000-0005-0000-0000-0000344E0000}"/>
    <cellStyle name="Normal 3 3 3 3 8 2 2" xfId="56309" xr:uid="{00000000-0005-0000-0000-0000354E0000}"/>
    <cellStyle name="Normal 3 3 3 3 8 3" xfId="37153" xr:uid="{00000000-0005-0000-0000-0000364E0000}"/>
    <cellStyle name="Normal 3 3 3 3 9" xfId="16560" xr:uid="{00000000-0005-0000-0000-0000374E0000}"/>
    <cellStyle name="Normal 3 3 3 3 9 2" xfId="48431" xr:uid="{00000000-0005-0000-0000-0000384E0000}"/>
    <cellStyle name="Normal 3 3 3 4" xfId="5275" xr:uid="{00000000-0005-0000-0000-0000394E0000}"/>
    <cellStyle name="Normal 3 3 3 4 2" xfId="5276" xr:uid="{00000000-0005-0000-0000-00003A4E0000}"/>
    <cellStyle name="Normal 3 3 3 4 2 2" xfId="5277" xr:uid="{00000000-0005-0000-0000-00003B4E0000}"/>
    <cellStyle name="Normal 3 3 3 4 2 2 2" xfId="5278" xr:uid="{00000000-0005-0000-0000-00003C4E0000}"/>
    <cellStyle name="Normal 3 3 3 4 2 2 2 2" xfId="5279" xr:uid="{00000000-0005-0000-0000-00003D4E0000}"/>
    <cellStyle name="Normal 3 3 3 4 2 2 2 2 2" xfId="5280" xr:uid="{00000000-0005-0000-0000-00003E4E0000}"/>
    <cellStyle name="Normal 3 3 3 4 2 2 2 2 2 2" xfId="5281" xr:uid="{00000000-0005-0000-0000-00003F4E0000}"/>
    <cellStyle name="Normal 3 3 3 4 2 2 2 2 2 2 2" xfId="29658" xr:uid="{00000000-0005-0000-0000-0000404E0000}"/>
    <cellStyle name="Normal 3 3 3 4 2 2 2 2 2 2 2 2" xfId="61529" xr:uid="{00000000-0005-0000-0000-0000414E0000}"/>
    <cellStyle name="Normal 3 3 3 4 2 2 2 2 2 2 3" xfId="37160" xr:uid="{00000000-0005-0000-0000-0000424E0000}"/>
    <cellStyle name="Normal 3 3 3 4 2 2 2 2 2 3" xfId="21780" xr:uid="{00000000-0005-0000-0000-0000434E0000}"/>
    <cellStyle name="Normal 3 3 3 4 2 2 2 2 2 3 2" xfId="53651" xr:uid="{00000000-0005-0000-0000-0000444E0000}"/>
    <cellStyle name="Normal 3 3 3 4 2 2 2 2 2 4" xfId="37159" xr:uid="{00000000-0005-0000-0000-0000454E0000}"/>
    <cellStyle name="Normal 3 3 3 4 2 2 2 2 3" xfId="5282" xr:uid="{00000000-0005-0000-0000-0000464E0000}"/>
    <cellStyle name="Normal 3 3 3 4 2 2 2 2 3 2" xfId="25719" xr:uid="{00000000-0005-0000-0000-0000474E0000}"/>
    <cellStyle name="Normal 3 3 3 4 2 2 2 2 3 2 2" xfId="57590" xr:uid="{00000000-0005-0000-0000-0000484E0000}"/>
    <cellStyle name="Normal 3 3 3 4 2 2 2 2 3 3" xfId="37161" xr:uid="{00000000-0005-0000-0000-0000494E0000}"/>
    <cellStyle name="Normal 3 3 3 4 2 2 2 2 4" xfId="17841" xr:uid="{00000000-0005-0000-0000-00004A4E0000}"/>
    <cellStyle name="Normal 3 3 3 4 2 2 2 2 4 2" xfId="49712" xr:uid="{00000000-0005-0000-0000-00004B4E0000}"/>
    <cellStyle name="Normal 3 3 3 4 2 2 2 2 5" xfId="37158" xr:uid="{00000000-0005-0000-0000-00004C4E0000}"/>
    <cellStyle name="Normal 3 3 3 4 2 2 2 3" xfId="5283" xr:uid="{00000000-0005-0000-0000-00004D4E0000}"/>
    <cellStyle name="Normal 3 3 3 4 2 2 2 3 2" xfId="5284" xr:uid="{00000000-0005-0000-0000-00004E4E0000}"/>
    <cellStyle name="Normal 3 3 3 4 2 2 2 3 2 2" xfId="29657" xr:uid="{00000000-0005-0000-0000-00004F4E0000}"/>
    <cellStyle name="Normal 3 3 3 4 2 2 2 3 2 2 2" xfId="61528" xr:uid="{00000000-0005-0000-0000-0000504E0000}"/>
    <cellStyle name="Normal 3 3 3 4 2 2 2 3 2 3" xfId="37163" xr:uid="{00000000-0005-0000-0000-0000514E0000}"/>
    <cellStyle name="Normal 3 3 3 4 2 2 2 3 3" xfId="21779" xr:uid="{00000000-0005-0000-0000-0000524E0000}"/>
    <cellStyle name="Normal 3 3 3 4 2 2 2 3 3 2" xfId="53650" xr:uid="{00000000-0005-0000-0000-0000534E0000}"/>
    <cellStyle name="Normal 3 3 3 4 2 2 2 3 4" xfId="37162" xr:uid="{00000000-0005-0000-0000-0000544E0000}"/>
    <cellStyle name="Normal 3 3 3 4 2 2 2 4" xfId="5285" xr:uid="{00000000-0005-0000-0000-0000554E0000}"/>
    <cellStyle name="Normal 3 3 3 4 2 2 2 4 2" xfId="25718" xr:uid="{00000000-0005-0000-0000-0000564E0000}"/>
    <cellStyle name="Normal 3 3 3 4 2 2 2 4 2 2" xfId="57589" xr:uid="{00000000-0005-0000-0000-0000574E0000}"/>
    <cellStyle name="Normal 3 3 3 4 2 2 2 4 3" xfId="37164" xr:uid="{00000000-0005-0000-0000-0000584E0000}"/>
    <cellStyle name="Normal 3 3 3 4 2 2 2 5" xfId="17840" xr:uid="{00000000-0005-0000-0000-0000594E0000}"/>
    <cellStyle name="Normal 3 3 3 4 2 2 2 5 2" xfId="49711" xr:uid="{00000000-0005-0000-0000-00005A4E0000}"/>
    <cellStyle name="Normal 3 3 3 4 2 2 2 6" xfId="37157" xr:uid="{00000000-0005-0000-0000-00005B4E0000}"/>
    <cellStyle name="Normal 3 3 3 4 2 2 3" xfId="5286" xr:uid="{00000000-0005-0000-0000-00005C4E0000}"/>
    <cellStyle name="Normal 3 3 3 4 2 2 3 2" xfId="5287" xr:uid="{00000000-0005-0000-0000-00005D4E0000}"/>
    <cellStyle name="Normal 3 3 3 4 2 2 3 2 2" xfId="5288" xr:uid="{00000000-0005-0000-0000-00005E4E0000}"/>
    <cellStyle name="Normal 3 3 3 4 2 2 3 2 2 2" xfId="29659" xr:uid="{00000000-0005-0000-0000-00005F4E0000}"/>
    <cellStyle name="Normal 3 3 3 4 2 2 3 2 2 2 2" xfId="61530" xr:uid="{00000000-0005-0000-0000-0000604E0000}"/>
    <cellStyle name="Normal 3 3 3 4 2 2 3 2 2 3" xfId="37167" xr:uid="{00000000-0005-0000-0000-0000614E0000}"/>
    <cellStyle name="Normal 3 3 3 4 2 2 3 2 3" xfId="21781" xr:uid="{00000000-0005-0000-0000-0000624E0000}"/>
    <cellStyle name="Normal 3 3 3 4 2 2 3 2 3 2" xfId="53652" xr:uid="{00000000-0005-0000-0000-0000634E0000}"/>
    <cellStyle name="Normal 3 3 3 4 2 2 3 2 4" xfId="37166" xr:uid="{00000000-0005-0000-0000-0000644E0000}"/>
    <cellStyle name="Normal 3 3 3 4 2 2 3 3" xfId="5289" xr:uid="{00000000-0005-0000-0000-0000654E0000}"/>
    <cellStyle name="Normal 3 3 3 4 2 2 3 3 2" xfId="25720" xr:uid="{00000000-0005-0000-0000-0000664E0000}"/>
    <cellStyle name="Normal 3 3 3 4 2 2 3 3 2 2" xfId="57591" xr:uid="{00000000-0005-0000-0000-0000674E0000}"/>
    <cellStyle name="Normal 3 3 3 4 2 2 3 3 3" xfId="37168" xr:uid="{00000000-0005-0000-0000-0000684E0000}"/>
    <cellStyle name="Normal 3 3 3 4 2 2 3 4" xfId="17842" xr:uid="{00000000-0005-0000-0000-0000694E0000}"/>
    <cellStyle name="Normal 3 3 3 4 2 2 3 4 2" xfId="49713" xr:uid="{00000000-0005-0000-0000-00006A4E0000}"/>
    <cellStyle name="Normal 3 3 3 4 2 2 3 5" xfId="37165" xr:uid="{00000000-0005-0000-0000-00006B4E0000}"/>
    <cellStyle name="Normal 3 3 3 4 2 2 4" xfId="5290" xr:uid="{00000000-0005-0000-0000-00006C4E0000}"/>
    <cellStyle name="Normal 3 3 3 4 2 2 4 2" xfId="5291" xr:uid="{00000000-0005-0000-0000-00006D4E0000}"/>
    <cellStyle name="Normal 3 3 3 4 2 2 4 2 2" xfId="29656" xr:uid="{00000000-0005-0000-0000-00006E4E0000}"/>
    <cellStyle name="Normal 3 3 3 4 2 2 4 2 2 2" xfId="61527" xr:uid="{00000000-0005-0000-0000-00006F4E0000}"/>
    <cellStyle name="Normal 3 3 3 4 2 2 4 2 3" xfId="37170" xr:uid="{00000000-0005-0000-0000-0000704E0000}"/>
    <cellStyle name="Normal 3 3 3 4 2 2 4 3" xfId="21778" xr:uid="{00000000-0005-0000-0000-0000714E0000}"/>
    <cellStyle name="Normal 3 3 3 4 2 2 4 3 2" xfId="53649" xr:uid="{00000000-0005-0000-0000-0000724E0000}"/>
    <cellStyle name="Normal 3 3 3 4 2 2 4 4" xfId="37169" xr:uid="{00000000-0005-0000-0000-0000734E0000}"/>
    <cellStyle name="Normal 3 3 3 4 2 2 5" xfId="5292" xr:uid="{00000000-0005-0000-0000-0000744E0000}"/>
    <cellStyle name="Normal 3 3 3 4 2 2 5 2" xfId="25717" xr:uid="{00000000-0005-0000-0000-0000754E0000}"/>
    <cellStyle name="Normal 3 3 3 4 2 2 5 2 2" xfId="57588" xr:uid="{00000000-0005-0000-0000-0000764E0000}"/>
    <cellStyle name="Normal 3 3 3 4 2 2 5 3" xfId="37171" xr:uid="{00000000-0005-0000-0000-0000774E0000}"/>
    <cellStyle name="Normal 3 3 3 4 2 2 6" xfId="17839" xr:uid="{00000000-0005-0000-0000-0000784E0000}"/>
    <cellStyle name="Normal 3 3 3 4 2 2 6 2" xfId="49710" xr:uid="{00000000-0005-0000-0000-0000794E0000}"/>
    <cellStyle name="Normal 3 3 3 4 2 2 7" xfId="37156" xr:uid="{00000000-0005-0000-0000-00007A4E0000}"/>
    <cellStyle name="Normal 3 3 3 4 2 3" xfId="5293" xr:uid="{00000000-0005-0000-0000-00007B4E0000}"/>
    <cellStyle name="Normal 3 3 3 4 2 3 2" xfId="5294" xr:uid="{00000000-0005-0000-0000-00007C4E0000}"/>
    <cellStyle name="Normal 3 3 3 4 2 3 2 2" xfId="5295" xr:uid="{00000000-0005-0000-0000-00007D4E0000}"/>
    <cellStyle name="Normal 3 3 3 4 2 3 2 2 2" xfId="5296" xr:uid="{00000000-0005-0000-0000-00007E4E0000}"/>
    <cellStyle name="Normal 3 3 3 4 2 3 2 2 2 2" xfId="29661" xr:uid="{00000000-0005-0000-0000-00007F4E0000}"/>
    <cellStyle name="Normal 3 3 3 4 2 3 2 2 2 2 2" xfId="61532" xr:uid="{00000000-0005-0000-0000-0000804E0000}"/>
    <cellStyle name="Normal 3 3 3 4 2 3 2 2 2 3" xfId="37175" xr:uid="{00000000-0005-0000-0000-0000814E0000}"/>
    <cellStyle name="Normal 3 3 3 4 2 3 2 2 3" xfId="21783" xr:uid="{00000000-0005-0000-0000-0000824E0000}"/>
    <cellStyle name="Normal 3 3 3 4 2 3 2 2 3 2" xfId="53654" xr:uid="{00000000-0005-0000-0000-0000834E0000}"/>
    <cellStyle name="Normal 3 3 3 4 2 3 2 2 4" xfId="37174" xr:uid="{00000000-0005-0000-0000-0000844E0000}"/>
    <cellStyle name="Normal 3 3 3 4 2 3 2 3" xfId="5297" xr:uid="{00000000-0005-0000-0000-0000854E0000}"/>
    <cellStyle name="Normal 3 3 3 4 2 3 2 3 2" xfId="25722" xr:uid="{00000000-0005-0000-0000-0000864E0000}"/>
    <cellStyle name="Normal 3 3 3 4 2 3 2 3 2 2" xfId="57593" xr:uid="{00000000-0005-0000-0000-0000874E0000}"/>
    <cellStyle name="Normal 3 3 3 4 2 3 2 3 3" xfId="37176" xr:uid="{00000000-0005-0000-0000-0000884E0000}"/>
    <cellStyle name="Normal 3 3 3 4 2 3 2 4" xfId="17844" xr:uid="{00000000-0005-0000-0000-0000894E0000}"/>
    <cellStyle name="Normal 3 3 3 4 2 3 2 4 2" xfId="49715" xr:uid="{00000000-0005-0000-0000-00008A4E0000}"/>
    <cellStyle name="Normal 3 3 3 4 2 3 2 5" xfId="37173" xr:uid="{00000000-0005-0000-0000-00008B4E0000}"/>
    <cellStyle name="Normal 3 3 3 4 2 3 3" xfId="5298" xr:uid="{00000000-0005-0000-0000-00008C4E0000}"/>
    <cellStyle name="Normal 3 3 3 4 2 3 3 2" xfId="5299" xr:uid="{00000000-0005-0000-0000-00008D4E0000}"/>
    <cellStyle name="Normal 3 3 3 4 2 3 3 2 2" xfId="29660" xr:uid="{00000000-0005-0000-0000-00008E4E0000}"/>
    <cellStyle name="Normal 3 3 3 4 2 3 3 2 2 2" xfId="61531" xr:uid="{00000000-0005-0000-0000-00008F4E0000}"/>
    <cellStyle name="Normal 3 3 3 4 2 3 3 2 3" xfId="37178" xr:uid="{00000000-0005-0000-0000-0000904E0000}"/>
    <cellStyle name="Normal 3 3 3 4 2 3 3 3" xfId="21782" xr:uid="{00000000-0005-0000-0000-0000914E0000}"/>
    <cellStyle name="Normal 3 3 3 4 2 3 3 3 2" xfId="53653" xr:uid="{00000000-0005-0000-0000-0000924E0000}"/>
    <cellStyle name="Normal 3 3 3 4 2 3 3 4" xfId="37177" xr:uid="{00000000-0005-0000-0000-0000934E0000}"/>
    <cellStyle name="Normal 3 3 3 4 2 3 4" xfId="5300" xr:uid="{00000000-0005-0000-0000-0000944E0000}"/>
    <cellStyle name="Normal 3 3 3 4 2 3 4 2" xfId="25721" xr:uid="{00000000-0005-0000-0000-0000954E0000}"/>
    <cellStyle name="Normal 3 3 3 4 2 3 4 2 2" xfId="57592" xr:uid="{00000000-0005-0000-0000-0000964E0000}"/>
    <cellStyle name="Normal 3 3 3 4 2 3 4 3" xfId="37179" xr:uid="{00000000-0005-0000-0000-0000974E0000}"/>
    <cellStyle name="Normal 3 3 3 4 2 3 5" xfId="17843" xr:uid="{00000000-0005-0000-0000-0000984E0000}"/>
    <cellStyle name="Normal 3 3 3 4 2 3 5 2" xfId="49714" xr:uid="{00000000-0005-0000-0000-0000994E0000}"/>
    <cellStyle name="Normal 3 3 3 4 2 3 6" xfId="37172" xr:uid="{00000000-0005-0000-0000-00009A4E0000}"/>
    <cellStyle name="Normal 3 3 3 4 2 4" xfId="5301" xr:uid="{00000000-0005-0000-0000-00009B4E0000}"/>
    <cellStyle name="Normal 3 3 3 4 2 4 2" xfId="5302" xr:uid="{00000000-0005-0000-0000-00009C4E0000}"/>
    <cellStyle name="Normal 3 3 3 4 2 4 2 2" xfId="5303" xr:uid="{00000000-0005-0000-0000-00009D4E0000}"/>
    <cellStyle name="Normal 3 3 3 4 2 4 2 2 2" xfId="29662" xr:uid="{00000000-0005-0000-0000-00009E4E0000}"/>
    <cellStyle name="Normal 3 3 3 4 2 4 2 2 2 2" xfId="61533" xr:uid="{00000000-0005-0000-0000-00009F4E0000}"/>
    <cellStyle name="Normal 3 3 3 4 2 4 2 2 3" xfId="37182" xr:uid="{00000000-0005-0000-0000-0000A04E0000}"/>
    <cellStyle name="Normal 3 3 3 4 2 4 2 3" xfId="21784" xr:uid="{00000000-0005-0000-0000-0000A14E0000}"/>
    <cellStyle name="Normal 3 3 3 4 2 4 2 3 2" xfId="53655" xr:uid="{00000000-0005-0000-0000-0000A24E0000}"/>
    <cellStyle name="Normal 3 3 3 4 2 4 2 4" xfId="37181" xr:uid="{00000000-0005-0000-0000-0000A34E0000}"/>
    <cellStyle name="Normal 3 3 3 4 2 4 3" xfId="5304" xr:uid="{00000000-0005-0000-0000-0000A44E0000}"/>
    <cellStyle name="Normal 3 3 3 4 2 4 3 2" xfId="25723" xr:uid="{00000000-0005-0000-0000-0000A54E0000}"/>
    <cellStyle name="Normal 3 3 3 4 2 4 3 2 2" xfId="57594" xr:uid="{00000000-0005-0000-0000-0000A64E0000}"/>
    <cellStyle name="Normal 3 3 3 4 2 4 3 3" xfId="37183" xr:uid="{00000000-0005-0000-0000-0000A74E0000}"/>
    <cellStyle name="Normal 3 3 3 4 2 4 4" xfId="17845" xr:uid="{00000000-0005-0000-0000-0000A84E0000}"/>
    <cellStyle name="Normal 3 3 3 4 2 4 4 2" xfId="49716" xr:uid="{00000000-0005-0000-0000-0000A94E0000}"/>
    <cellStyle name="Normal 3 3 3 4 2 4 5" xfId="37180" xr:uid="{00000000-0005-0000-0000-0000AA4E0000}"/>
    <cellStyle name="Normal 3 3 3 4 2 5" xfId="5305" xr:uid="{00000000-0005-0000-0000-0000AB4E0000}"/>
    <cellStyle name="Normal 3 3 3 4 2 5 2" xfId="5306" xr:uid="{00000000-0005-0000-0000-0000AC4E0000}"/>
    <cellStyle name="Normal 3 3 3 4 2 5 2 2" xfId="29655" xr:uid="{00000000-0005-0000-0000-0000AD4E0000}"/>
    <cellStyle name="Normal 3 3 3 4 2 5 2 2 2" xfId="61526" xr:uid="{00000000-0005-0000-0000-0000AE4E0000}"/>
    <cellStyle name="Normal 3 3 3 4 2 5 2 3" xfId="37185" xr:uid="{00000000-0005-0000-0000-0000AF4E0000}"/>
    <cellStyle name="Normal 3 3 3 4 2 5 3" xfId="21777" xr:uid="{00000000-0005-0000-0000-0000B04E0000}"/>
    <cellStyle name="Normal 3 3 3 4 2 5 3 2" xfId="53648" xr:uid="{00000000-0005-0000-0000-0000B14E0000}"/>
    <cellStyle name="Normal 3 3 3 4 2 5 4" xfId="37184" xr:uid="{00000000-0005-0000-0000-0000B24E0000}"/>
    <cellStyle name="Normal 3 3 3 4 2 6" xfId="5307" xr:uid="{00000000-0005-0000-0000-0000B34E0000}"/>
    <cellStyle name="Normal 3 3 3 4 2 6 2" xfId="25716" xr:uid="{00000000-0005-0000-0000-0000B44E0000}"/>
    <cellStyle name="Normal 3 3 3 4 2 6 2 2" xfId="57587" xr:uid="{00000000-0005-0000-0000-0000B54E0000}"/>
    <cellStyle name="Normal 3 3 3 4 2 6 3" xfId="37186" xr:uid="{00000000-0005-0000-0000-0000B64E0000}"/>
    <cellStyle name="Normal 3 3 3 4 2 7" xfId="17838" xr:uid="{00000000-0005-0000-0000-0000B74E0000}"/>
    <cellStyle name="Normal 3 3 3 4 2 7 2" xfId="49709" xr:uid="{00000000-0005-0000-0000-0000B84E0000}"/>
    <cellStyle name="Normal 3 3 3 4 2 8" xfId="37155" xr:uid="{00000000-0005-0000-0000-0000B94E0000}"/>
    <cellStyle name="Normal 3 3 3 4 3" xfId="5308" xr:uid="{00000000-0005-0000-0000-0000BA4E0000}"/>
    <cellStyle name="Normal 3 3 3 4 3 2" xfId="5309" xr:uid="{00000000-0005-0000-0000-0000BB4E0000}"/>
    <cellStyle name="Normal 3 3 3 4 3 2 2" xfId="5310" xr:uid="{00000000-0005-0000-0000-0000BC4E0000}"/>
    <cellStyle name="Normal 3 3 3 4 3 2 2 2" xfId="5311" xr:uid="{00000000-0005-0000-0000-0000BD4E0000}"/>
    <cellStyle name="Normal 3 3 3 4 3 2 2 2 2" xfId="5312" xr:uid="{00000000-0005-0000-0000-0000BE4E0000}"/>
    <cellStyle name="Normal 3 3 3 4 3 2 2 2 2 2" xfId="29665" xr:uid="{00000000-0005-0000-0000-0000BF4E0000}"/>
    <cellStyle name="Normal 3 3 3 4 3 2 2 2 2 2 2" xfId="61536" xr:uid="{00000000-0005-0000-0000-0000C04E0000}"/>
    <cellStyle name="Normal 3 3 3 4 3 2 2 2 2 3" xfId="37191" xr:uid="{00000000-0005-0000-0000-0000C14E0000}"/>
    <cellStyle name="Normal 3 3 3 4 3 2 2 2 3" xfId="21787" xr:uid="{00000000-0005-0000-0000-0000C24E0000}"/>
    <cellStyle name="Normal 3 3 3 4 3 2 2 2 3 2" xfId="53658" xr:uid="{00000000-0005-0000-0000-0000C34E0000}"/>
    <cellStyle name="Normal 3 3 3 4 3 2 2 2 4" xfId="37190" xr:uid="{00000000-0005-0000-0000-0000C44E0000}"/>
    <cellStyle name="Normal 3 3 3 4 3 2 2 3" xfId="5313" xr:uid="{00000000-0005-0000-0000-0000C54E0000}"/>
    <cellStyle name="Normal 3 3 3 4 3 2 2 3 2" xfId="25726" xr:uid="{00000000-0005-0000-0000-0000C64E0000}"/>
    <cellStyle name="Normal 3 3 3 4 3 2 2 3 2 2" xfId="57597" xr:uid="{00000000-0005-0000-0000-0000C74E0000}"/>
    <cellStyle name="Normal 3 3 3 4 3 2 2 3 3" xfId="37192" xr:uid="{00000000-0005-0000-0000-0000C84E0000}"/>
    <cellStyle name="Normal 3 3 3 4 3 2 2 4" xfId="17848" xr:uid="{00000000-0005-0000-0000-0000C94E0000}"/>
    <cellStyle name="Normal 3 3 3 4 3 2 2 4 2" xfId="49719" xr:uid="{00000000-0005-0000-0000-0000CA4E0000}"/>
    <cellStyle name="Normal 3 3 3 4 3 2 2 5" xfId="37189" xr:uid="{00000000-0005-0000-0000-0000CB4E0000}"/>
    <cellStyle name="Normal 3 3 3 4 3 2 3" xfId="5314" xr:uid="{00000000-0005-0000-0000-0000CC4E0000}"/>
    <cellStyle name="Normal 3 3 3 4 3 2 3 2" xfId="5315" xr:uid="{00000000-0005-0000-0000-0000CD4E0000}"/>
    <cellStyle name="Normal 3 3 3 4 3 2 3 2 2" xfId="29664" xr:uid="{00000000-0005-0000-0000-0000CE4E0000}"/>
    <cellStyle name="Normal 3 3 3 4 3 2 3 2 2 2" xfId="61535" xr:uid="{00000000-0005-0000-0000-0000CF4E0000}"/>
    <cellStyle name="Normal 3 3 3 4 3 2 3 2 3" xfId="37194" xr:uid="{00000000-0005-0000-0000-0000D04E0000}"/>
    <cellStyle name="Normal 3 3 3 4 3 2 3 3" xfId="21786" xr:uid="{00000000-0005-0000-0000-0000D14E0000}"/>
    <cellStyle name="Normal 3 3 3 4 3 2 3 3 2" xfId="53657" xr:uid="{00000000-0005-0000-0000-0000D24E0000}"/>
    <cellStyle name="Normal 3 3 3 4 3 2 3 4" xfId="37193" xr:uid="{00000000-0005-0000-0000-0000D34E0000}"/>
    <cellStyle name="Normal 3 3 3 4 3 2 4" xfId="5316" xr:uid="{00000000-0005-0000-0000-0000D44E0000}"/>
    <cellStyle name="Normal 3 3 3 4 3 2 4 2" xfId="25725" xr:uid="{00000000-0005-0000-0000-0000D54E0000}"/>
    <cellStyle name="Normal 3 3 3 4 3 2 4 2 2" xfId="57596" xr:uid="{00000000-0005-0000-0000-0000D64E0000}"/>
    <cellStyle name="Normal 3 3 3 4 3 2 4 3" xfId="37195" xr:uid="{00000000-0005-0000-0000-0000D74E0000}"/>
    <cellStyle name="Normal 3 3 3 4 3 2 5" xfId="17847" xr:uid="{00000000-0005-0000-0000-0000D84E0000}"/>
    <cellStyle name="Normal 3 3 3 4 3 2 5 2" xfId="49718" xr:uid="{00000000-0005-0000-0000-0000D94E0000}"/>
    <cellStyle name="Normal 3 3 3 4 3 2 6" xfId="37188" xr:uid="{00000000-0005-0000-0000-0000DA4E0000}"/>
    <cellStyle name="Normal 3 3 3 4 3 3" xfId="5317" xr:uid="{00000000-0005-0000-0000-0000DB4E0000}"/>
    <cellStyle name="Normal 3 3 3 4 3 3 2" xfId="5318" xr:uid="{00000000-0005-0000-0000-0000DC4E0000}"/>
    <cellStyle name="Normal 3 3 3 4 3 3 2 2" xfId="5319" xr:uid="{00000000-0005-0000-0000-0000DD4E0000}"/>
    <cellStyle name="Normal 3 3 3 4 3 3 2 2 2" xfId="29666" xr:uid="{00000000-0005-0000-0000-0000DE4E0000}"/>
    <cellStyle name="Normal 3 3 3 4 3 3 2 2 2 2" xfId="61537" xr:uid="{00000000-0005-0000-0000-0000DF4E0000}"/>
    <cellStyle name="Normal 3 3 3 4 3 3 2 2 3" xfId="37198" xr:uid="{00000000-0005-0000-0000-0000E04E0000}"/>
    <cellStyle name="Normal 3 3 3 4 3 3 2 3" xfId="21788" xr:uid="{00000000-0005-0000-0000-0000E14E0000}"/>
    <cellStyle name="Normal 3 3 3 4 3 3 2 3 2" xfId="53659" xr:uid="{00000000-0005-0000-0000-0000E24E0000}"/>
    <cellStyle name="Normal 3 3 3 4 3 3 2 4" xfId="37197" xr:uid="{00000000-0005-0000-0000-0000E34E0000}"/>
    <cellStyle name="Normal 3 3 3 4 3 3 3" xfId="5320" xr:uid="{00000000-0005-0000-0000-0000E44E0000}"/>
    <cellStyle name="Normal 3 3 3 4 3 3 3 2" xfId="25727" xr:uid="{00000000-0005-0000-0000-0000E54E0000}"/>
    <cellStyle name="Normal 3 3 3 4 3 3 3 2 2" xfId="57598" xr:uid="{00000000-0005-0000-0000-0000E64E0000}"/>
    <cellStyle name="Normal 3 3 3 4 3 3 3 3" xfId="37199" xr:uid="{00000000-0005-0000-0000-0000E74E0000}"/>
    <cellStyle name="Normal 3 3 3 4 3 3 4" xfId="17849" xr:uid="{00000000-0005-0000-0000-0000E84E0000}"/>
    <cellStyle name="Normal 3 3 3 4 3 3 4 2" xfId="49720" xr:uid="{00000000-0005-0000-0000-0000E94E0000}"/>
    <cellStyle name="Normal 3 3 3 4 3 3 5" xfId="37196" xr:uid="{00000000-0005-0000-0000-0000EA4E0000}"/>
    <cellStyle name="Normal 3 3 3 4 3 4" xfId="5321" xr:uid="{00000000-0005-0000-0000-0000EB4E0000}"/>
    <cellStyle name="Normal 3 3 3 4 3 4 2" xfId="5322" xr:uid="{00000000-0005-0000-0000-0000EC4E0000}"/>
    <cellStyle name="Normal 3 3 3 4 3 4 2 2" xfId="29663" xr:uid="{00000000-0005-0000-0000-0000ED4E0000}"/>
    <cellStyle name="Normal 3 3 3 4 3 4 2 2 2" xfId="61534" xr:uid="{00000000-0005-0000-0000-0000EE4E0000}"/>
    <cellStyle name="Normal 3 3 3 4 3 4 2 3" xfId="37201" xr:uid="{00000000-0005-0000-0000-0000EF4E0000}"/>
    <cellStyle name="Normal 3 3 3 4 3 4 3" xfId="21785" xr:uid="{00000000-0005-0000-0000-0000F04E0000}"/>
    <cellStyle name="Normal 3 3 3 4 3 4 3 2" xfId="53656" xr:uid="{00000000-0005-0000-0000-0000F14E0000}"/>
    <cellStyle name="Normal 3 3 3 4 3 4 4" xfId="37200" xr:uid="{00000000-0005-0000-0000-0000F24E0000}"/>
    <cellStyle name="Normal 3 3 3 4 3 5" xfId="5323" xr:uid="{00000000-0005-0000-0000-0000F34E0000}"/>
    <cellStyle name="Normal 3 3 3 4 3 5 2" xfId="25724" xr:uid="{00000000-0005-0000-0000-0000F44E0000}"/>
    <cellStyle name="Normal 3 3 3 4 3 5 2 2" xfId="57595" xr:uid="{00000000-0005-0000-0000-0000F54E0000}"/>
    <cellStyle name="Normal 3 3 3 4 3 5 3" xfId="37202" xr:uid="{00000000-0005-0000-0000-0000F64E0000}"/>
    <cellStyle name="Normal 3 3 3 4 3 6" xfId="17846" xr:uid="{00000000-0005-0000-0000-0000F74E0000}"/>
    <cellStyle name="Normal 3 3 3 4 3 6 2" xfId="49717" xr:uid="{00000000-0005-0000-0000-0000F84E0000}"/>
    <cellStyle name="Normal 3 3 3 4 3 7" xfId="37187" xr:uid="{00000000-0005-0000-0000-0000F94E0000}"/>
    <cellStyle name="Normal 3 3 3 4 4" xfId="5324" xr:uid="{00000000-0005-0000-0000-0000FA4E0000}"/>
    <cellStyle name="Normal 3 3 3 4 4 2" xfId="5325" xr:uid="{00000000-0005-0000-0000-0000FB4E0000}"/>
    <cellStyle name="Normal 3 3 3 4 4 2 2" xfId="5326" xr:uid="{00000000-0005-0000-0000-0000FC4E0000}"/>
    <cellStyle name="Normal 3 3 3 4 4 2 2 2" xfId="5327" xr:uid="{00000000-0005-0000-0000-0000FD4E0000}"/>
    <cellStyle name="Normal 3 3 3 4 4 2 2 2 2" xfId="29668" xr:uid="{00000000-0005-0000-0000-0000FE4E0000}"/>
    <cellStyle name="Normal 3 3 3 4 4 2 2 2 2 2" xfId="61539" xr:uid="{00000000-0005-0000-0000-0000FF4E0000}"/>
    <cellStyle name="Normal 3 3 3 4 4 2 2 2 3" xfId="37206" xr:uid="{00000000-0005-0000-0000-0000004F0000}"/>
    <cellStyle name="Normal 3 3 3 4 4 2 2 3" xfId="21790" xr:uid="{00000000-0005-0000-0000-0000014F0000}"/>
    <cellStyle name="Normal 3 3 3 4 4 2 2 3 2" xfId="53661" xr:uid="{00000000-0005-0000-0000-0000024F0000}"/>
    <cellStyle name="Normal 3 3 3 4 4 2 2 4" xfId="37205" xr:uid="{00000000-0005-0000-0000-0000034F0000}"/>
    <cellStyle name="Normal 3 3 3 4 4 2 3" xfId="5328" xr:uid="{00000000-0005-0000-0000-0000044F0000}"/>
    <cellStyle name="Normal 3 3 3 4 4 2 3 2" xfId="25729" xr:uid="{00000000-0005-0000-0000-0000054F0000}"/>
    <cellStyle name="Normal 3 3 3 4 4 2 3 2 2" xfId="57600" xr:uid="{00000000-0005-0000-0000-0000064F0000}"/>
    <cellStyle name="Normal 3 3 3 4 4 2 3 3" xfId="37207" xr:uid="{00000000-0005-0000-0000-0000074F0000}"/>
    <cellStyle name="Normal 3 3 3 4 4 2 4" xfId="17851" xr:uid="{00000000-0005-0000-0000-0000084F0000}"/>
    <cellStyle name="Normal 3 3 3 4 4 2 4 2" xfId="49722" xr:uid="{00000000-0005-0000-0000-0000094F0000}"/>
    <cellStyle name="Normal 3 3 3 4 4 2 5" xfId="37204" xr:uid="{00000000-0005-0000-0000-00000A4F0000}"/>
    <cellStyle name="Normal 3 3 3 4 4 3" xfId="5329" xr:uid="{00000000-0005-0000-0000-00000B4F0000}"/>
    <cellStyle name="Normal 3 3 3 4 4 3 2" xfId="5330" xr:uid="{00000000-0005-0000-0000-00000C4F0000}"/>
    <cellStyle name="Normal 3 3 3 4 4 3 2 2" xfId="29667" xr:uid="{00000000-0005-0000-0000-00000D4F0000}"/>
    <cellStyle name="Normal 3 3 3 4 4 3 2 2 2" xfId="61538" xr:uid="{00000000-0005-0000-0000-00000E4F0000}"/>
    <cellStyle name="Normal 3 3 3 4 4 3 2 3" xfId="37209" xr:uid="{00000000-0005-0000-0000-00000F4F0000}"/>
    <cellStyle name="Normal 3 3 3 4 4 3 3" xfId="21789" xr:uid="{00000000-0005-0000-0000-0000104F0000}"/>
    <cellStyle name="Normal 3 3 3 4 4 3 3 2" xfId="53660" xr:uid="{00000000-0005-0000-0000-0000114F0000}"/>
    <cellStyle name="Normal 3 3 3 4 4 3 4" xfId="37208" xr:uid="{00000000-0005-0000-0000-0000124F0000}"/>
    <cellStyle name="Normal 3 3 3 4 4 4" xfId="5331" xr:uid="{00000000-0005-0000-0000-0000134F0000}"/>
    <cellStyle name="Normal 3 3 3 4 4 4 2" xfId="25728" xr:uid="{00000000-0005-0000-0000-0000144F0000}"/>
    <cellStyle name="Normal 3 3 3 4 4 4 2 2" xfId="57599" xr:uid="{00000000-0005-0000-0000-0000154F0000}"/>
    <cellStyle name="Normal 3 3 3 4 4 4 3" xfId="37210" xr:uid="{00000000-0005-0000-0000-0000164F0000}"/>
    <cellStyle name="Normal 3 3 3 4 4 5" xfId="17850" xr:uid="{00000000-0005-0000-0000-0000174F0000}"/>
    <cellStyle name="Normal 3 3 3 4 4 5 2" xfId="49721" xr:uid="{00000000-0005-0000-0000-0000184F0000}"/>
    <cellStyle name="Normal 3 3 3 4 4 6" xfId="37203" xr:uid="{00000000-0005-0000-0000-0000194F0000}"/>
    <cellStyle name="Normal 3 3 3 4 5" xfId="5332" xr:uid="{00000000-0005-0000-0000-00001A4F0000}"/>
    <cellStyle name="Normal 3 3 3 4 5 2" xfId="5333" xr:uid="{00000000-0005-0000-0000-00001B4F0000}"/>
    <cellStyle name="Normal 3 3 3 4 5 2 2" xfId="5334" xr:uid="{00000000-0005-0000-0000-00001C4F0000}"/>
    <cellStyle name="Normal 3 3 3 4 5 2 2 2" xfId="29669" xr:uid="{00000000-0005-0000-0000-00001D4F0000}"/>
    <cellStyle name="Normal 3 3 3 4 5 2 2 2 2" xfId="61540" xr:uid="{00000000-0005-0000-0000-00001E4F0000}"/>
    <cellStyle name="Normal 3 3 3 4 5 2 2 3" xfId="37213" xr:uid="{00000000-0005-0000-0000-00001F4F0000}"/>
    <cellStyle name="Normal 3 3 3 4 5 2 3" xfId="21791" xr:uid="{00000000-0005-0000-0000-0000204F0000}"/>
    <cellStyle name="Normal 3 3 3 4 5 2 3 2" xfId="53662" xr:uid="{00000000-0005-0000-0000-0000214F0000}"/>
    <cellStyle name="Normal 3 3 3 4 5 2 4" xfId="37212" xr:uid="{00000000-0005-0000-0000-0000224F0000}"/>
    <cellStyle name="Normal 3 3 3 4 5 3" xfId="5335" xr:uid="{00000000-0005-0000-0000-0000234F0000}"/>
    <cellStyle name="Normal 3 3 3 4 5 3 2" xfId="25730" xr:uid="{00000000-0005-0000-0000-0000244F0000}"/>
    <cellStyle name="Normal 3 3 3 4 5 3 2 2" xfId="57601" xr:uid="{00000000-0005-0000-0000-0000254F0000}"/>
    <cellStyle name="Normal 3 3 3 4 5 3 3" xfId="37214" xr:uid="{00000000-0005-0000-0000-0000264F0000}"/>
    <cellStyle name="Normal 3 3 3 4 5 4" xfId="17852" xr:uid="{00000000-0005-0000-0000-0000274F0000}"/>
    <cellStyle name="Normal 3 3 3 4 5 4 2" xfId="49723" xr:uid="{00000000-0005-0000-0000-0000284F0000}"/>
    <cellStyle name="Normal 3 3 3 4 5 5" xfId="37211" xr:uid="{00000000-0005-0000-0000-0000294F0000}"/>
    <cellStyle name="Normal 3 3 3 4 6" xfId="5336" xr:uid="{00000000-0005-0000-0000-00002A4F0000}"/>
    <cellStyle name="Normal 3 3 3 4 6 2" xfId="5337" xr:uid="{00000000-0005-0000-0000-00002B4F0000}"/>
    <cellStyle name="Normal 3 3 3 4 6 2 2" xfId="28418" xr:uid="{00000000-0005-0000-0000-00002C4F0000}"/>
    <cellStyle name="Normal 3 3 3 4 6 2 2 2" xfId="60289" xr:uid="{00000000-0005-0000-0000-00002D4F0000}"/>
    <cellStyle name="Normal 3 3 3 4 6 2 3" xfId="37216" xr:uid="{00000000-0005-0000-0000-00002E4F0000}"/>
    <cellStyle name="Normal 3 3 3 4 6 3" xfId="20540" xr:uid="{00000000-0005-0000-0000-00002F4F0000}"/>
    <cellStyle name="Normal 3 3 3 4 6 3 2" xfId="52411" xr:uid="{00000000-0005-0000-0000-0000304F0000}"/>
    <cellStyle name="Normal 3 3 3 4 6 4" xfId="37215" xr:uid="{00000000-0005-0000-0000-0000314F0000}"/>
    <cellStyle name="Normal 3 3 3 4 7" xfId="5338" xr:uid="{00000000-0005-0000-0000-0000324F0000}"/>
    <cellStyle name="Normal 3 3 3 4 7 2" xfId="24479" xr:uid="{00000000-0005-0000-0000-0000334F0000}"/>
    <cellStyle name="Normal 3 3 3 4 7 2 2" xfId="56350" xr:uid="{00000000-0005-0000-0000-0000344F0000}"/>
    <cellStyle name="Normal 3 3 3 4 7 3" xfId="37217" xr:uid="{00000000-0005-0000-0000-0000354F0000}"/>
    <cellStyle name="Normal 3 3 3 4 8" xfId="16601" xr:uid="{00000000-0005-0000-0000-0000364F0000}"/>
    <cellStyle name="Normal 3 3 3 4 8 2" xfId="48472" xr:uid="{00000000-0005-0000-0000-0000374F0000}"/>
    <cellStyle name="Normal 3 3 3 4 9" xfId="37154" xr:uid="{00000000-0005-0000-0000-0000384F0000}"/>
    <cellStyle name="Normal 3 3 3 5" xfId="5339" xr:uid="{00000000-0005-0000-0000-0000394F0000}"/>
    <cellStyle name="Normal 3 3 3 5 2" xfId="5340" xr:uid="{00000000-0005-0000-0000-00003A4F0000}"/>
    <cellStyle name="Normal 3 3 3 5 2 2" xfId="5341" xr:uid="{00000000-0005-0000-0000-00003B4F0000}"/>
    <cellStyle name="Normal 3 3 3 5 2 2 2" xfId="5342" xr:uid="{00000000-0005-0000-0000-00003C4F0000}"/>
    <cellStyle name="Normal 3 3 3 5 2 2 2 2" xfId="5343" xr:uid="{00000000-0005-0000-0000-00003D4F0000}"/>
    <cellStyle name="Normal 3 3 3 5 2 2 2 2 2" xfId="5344" xr:uid="{00000000-0005-0000-0000-00003E4F0000}"/>
    <cellStyle name="Normal 3 3 3 5 2 2 2 2 2 2" xfId="29672" xr:uid="{00000000-0005-0000-0000-00003F4F0000}"/>
    <cellStyle name="Normal 3 3 3 5 2 2 2 2 2 2 2" xfId="61543" xr:uid="{00000000-0005-0000-0000-0000404F0000}"/>
    <cellStyle name="Normal 3 3 3 5 2 2 2 2 2 3" xfId="37223" xr:uid="{00000000-0005-0000-0000-0000414F0000}"/>
    <cellStyle name="Normal 3 3 3 5 2 2 2 2 3" xfId="21794" xr:uid="{00000000-0005-0000-0000-0000424F0000}"/>
    <cellStyle name="Normal 3 3 3 5 2 2 2 2 3 2" xfId="53665" xr:uid="{00000000-0005-0000-0000-0000434F0000}"/>
    <cellStyle name="Normal 3 3 3 5 2 2 2 2 4" xfId="37222" xr:uid="{00000000-0005-0000-0000-0000444F0000}"/>
    <cellStyle name="Normal 3 3 3 5 2 2 2 3" xfId="5345" xr:uid="{00000000-0005-0000-0000-0000454F0000}"/>
    <cellStyle name="Normal 3 3 3 5 2 2 2 3 2" xfId="25733" xr:uid="{00000000-0005-0000-0000-0000464F0000}"/>
    <cellStyle name="Normal 3 3 3 5 2 2 2 3 2 2" xfId="57604" xr:uid="{00000000-0005-0000-0000-0000474F0000}"/>
    <cellStyle name="Normal 3 3 3 5 2 2 2 3 3" xfId="37224" xr:uid="{00000000-0005-0000-0000-0000484F0000}"/>
    <cellStyle name="Normal 3 3 3 5 2 2 2 4" xfId="17855" xr:uid="{00000000-0005-0000-0000-0000494F0000}"/>
    <cellStyle name="Normal 3 3 3 5 2 2 2 4 2" xfId="49726" xr:uid="{00000000-0005-0000-0000-00004A4F0000}"/>
    <cellStyle name="Normal 3 3 3 5 2 2 2 5" xfId="37221" xr:uid="{00000000-0005-0000-0000-00004B4F0000}"/>
    <cellStyle name="Normal 3 3 3 5 2 2 3" xfId="5346" xr:uid="{00000000-0005-0000-0000-00004C4F0000}"/>
    <cellStyle name="Normal 3 3 3 5 2 2 3 2" xfId="5347" xr:uid="{00000000-0005-0000-0000-00004D4F0000}"/>
    <cellStyle name="Normal 3 3 3 5 2 2 3 2 2" xfId="29671" xr:uid="{00000000-0005-0000-0000-00004E4F0000}"/>
    <cellStyle name="Normal 3 3 3 5 2 2 3 2 2 2" xfId="61542" xr:uid="{00000000-0005-0000-0000-00004F4F0000}"/>
    <cellStyle name="Normal 3 3 3 5 2 2 3 2 3" xfId="37226" xr:uid="{00000000-0005-0000-0000-0000504F0000}"/>
    <cellStyle name="Normal 3 3 3 5 2 2 3 3" xfId="21793" xr:uid="{00000000-0005-0000-0000-0000514F0000}"/>
    <cellStyle name="Normal 3 3 3 5 2 2 3 3 2" xfId="53664" xr:uid="{00000000-0005-0000-0000-0000524F0000}"/>
    <cellStyle name="Normal 3 3 3 5 2 2 3 4" xfId="37225" xr:uid="{00000000-0005-0000-0000-0000534F0000}"/>
    <cellStyle name="Normal 3 3 3 5 2 2 4" xfId="5348" xr:uid="{00000000-0005-0000-0000-0000544F0000}"/>
    <cellStyle name="Normal 3 3 3 5 2 2 4 2" xfId="25732" xr:uid="{00000000-0005-0000-0000-0000554F0000}"/>
    <cellStyle name="Normal 3 3 3 5 2 2 4 2 2" xfId="57603" xr:uid="{00000000-0005-0000-0000-0000564F0000}"/>
    <cellStyle name="Normal 3 3 3 5 2 2 4 3" xfId="37227" xr:uid="{00000000-0005-0000-0000-0000574F0000}"/>
    <cellStyle name="Normal 3 3 3 5 2 2 5" xfId="17854" xr:uid="{00000000-0005-0000-0000-0000584F0000}"/>
    <cellStyle name="Normal 3 3 3 5 2 2 5 2" xfId="49725" xr:uid="{00000000-0005-0000-0000-0000594F0000}"/>
    <cellStyle name="Normal 3 3 3 5 2 2 6" xfId="37220" xr:uid="{00000000-0005-0000-0000-00005A4F0000}"/>
    <cellStyle name="Normal 3 3 3 5 2 3" xfId="5349" xr:uid="{00000000-0005-0000-0000-00005B4F0000}"/>
    <cellStyle name="Normal 3 3 3 5 2 3 2" xfId="5350" xr:uid="{00000000-0005-0000-0000-00005C4F0000}"/>
    <cellStyle name="Normal 3 3 3 5 2 3 2 2" xfId="5351" xr:uid="{00000000-0005-0000-0000-00005D4F0000}"/>
    <cellStyle name="Normal 3 3 3 5 2 3 2 2 2" xfId="29673" xr:uid="{00000000-0005-0000-0000-00005E4F0000}"/>
    <cellStyle name="Normal 3 3 3 5 2 3 2 2 2 2" xfId="61544" xr:uid="{00000000-0005-0000-0000-00005F4F0000}"/>
    <cellStyle name="Normal 3 3 3 5 2 3 2 2 3" xfId="37230" xr:uid="{00000000-0005-0000-0000-0000604F0000}"/>
    <cellStyle name="Normal 3 3 3 5 2 3 2 3" xfId="21795" xr:uid="{00000000-0005-0000-0000-0000614F0000}"/>
    <cellStyle name="Normal 3 3 3 5 2 3 2 3 2" xfId="53666" xr:uid="{00000000-0005-0000-0000-0000624F0000}"/>
    <cellStyle name="Normal 3 3 3 5 2 3 2 4" xfId="37229" xr:uid="{00000000-0005-0000-0000-0000634F0000}"/>
    <cellStyle name="Normal 3 3 3 5 2 3 3" xfId="5352" xr:uid="{00000000-0005-0000-0000-0000644F0000}"/>
    <cellStyle name="Normal 3 3 3 5 2 3 3 2" xfId="25734" xr:uid="{00000000-0005-0000-0000-0000654F0000}"/>
    <cellStyle name="Normal 3 3 3 5 2 3 3 2 2" xfId="57605" xr:uid="{00000000-0005-0000-0000-0000664F0000}"/>
    <cellStyle name="Normal 3 3 3 5 2 3 3 3" xfId="37231" xr:uid="{00000000-0005-0000-0000-0000674F0000}"/>
    <cellStyle name="Normal 3 3 3 5 2 3 4" xfId="17856" xr:uid="{00000000-0005-0000-0000-0000684F0000}"/>
    <cellStyle name="Normal 3 3 3 5 2 3 4 2" xfId="49727" xr:uid="{00000000-0005-0000-0000-0000694F0000}"/>
    <cellStyle name="Normal 3 3 3 5 2 3 5" xfId="37228" xr:uid="{00000000-0005-0000-0000-00006A4F0000}"/>
    <cellStyle name="Normal 3 3 3 5 2 4" xfId="5353" xr:uid="{00000000-0005-0000-0000-00006B4F0000}"/>
    <cellStyle name="Normal 3 3 3 5 2 4 2" xfId="5354" xr:uid="{00000000-0005-0000-0000-00006C4F0000}"/>
    <cellStyle name="Normal 3 3 3 5 2 4 2 2" xfId="29670" xr:uid="{00000000-0005-0000-0000-00006D4F0000}"/>
    <cellStyle name="Normal 3 3 3 5 2 4 2 2 2" xfId="61541" xr:uid="{00000000-0005-0000-0000-00006E4F0000}"/>
    <cellStyle name="Normal 3 3 3 5 2 4 2 3" xfId="37233" xr:uid="{00000000-0005-0000-0000-00006F4F0000}"/>
    <cellStyle name="Normal 3 3 3 5 2 4 3" xfId="21792" xr:uid="{00000000-0005-0000-0000-0000704F0000}"/>
    <cellStyle name="Normal 3 3 3 5 2 4 3 2" xfId="53663" xr:uid="{00000000-0005-0000-0000-0000714F0000}"/>
    <cellStyle name="Normal 3 3 3 5 2 4 4" xfId="37232" xr:uid="{00000000-0005-0000-0000-0000724F0000}"/>
    <cellStyle name="Normal 3 3 3 5 2 5" xfId="5355" xr:uid="{00000000-0005-0000-0000-0000734F0000}"/>
    <cellStyle name="Normal 3 3 3 5 2 5 2" xfId="25731" xr:uid="{00000000-0005-0000-0000-0000744F0000}"/>
    <cellStyle name="Normal 3 3 3 5 2 5 2 2" xfId="57602" xr:uid="{00000000-0005-0000-0000-0000754F0000}"/>
    <cellStyle name="Normal 3 3 3 5 2 5 3" xfId="37234" xr:uid="{00000000-0005-0000-0000-0000764F0000}"/>
    <cellStyle name="Normal 3 3 3 5 2 6" xfId="17853" xr:uid="{00000000-0005-0000-0000-0000774F0000}"/>
    <cellStyle name="Normal 3 3 3 5 2 6 2" xfId="49724" xr:uid="{00000000-0005-0000-0000-0000784F0000}"/>
    <cellStyle name="Normal 3 3 3 5 2 7" xfId="37219" xr:uid="{00000000-0005-0000-0000-0000794F0000}"/>
    <cellStyle name="Normal 3 3 3 5 3" xfId="5356" xr:uid="{00000000-0005-0000-0000-00007A4F0000}"/>
    <cellStyle name="Normal 3 3 3 5 3 2" xfId="5357" xr:uid="{00000000-0005-0000-0000-00007B4F0000}"/>
    <cellStyle name="Normal 3 3 3 5 3 2 2" xfId="5358" xr:uid="{00000000-0005-0000-0000-00007C4F0000}"/>
    <cellStyle name="Normal 3 3 3 5 3 2 2 2" xfId="5359" xr:uid="{00000000-0005-0000-0000-00007D4F0000}"/>
    <cellStyle name="Normal 3 3 3 5 3 2 2 2 2" xfId="29675" xr:uid="{00000000-0005-0000-0000-00007E4F0000}"/>
    <cellStyle name="Normal 3 3 3 5 3 2 2 2 2 2" xfId="61546" xr:uid="{00000000-0005-0000-0000-00007F4F0000}"/>
    <cellStyle name="Normal 3 3 3 5 3 2 2 2 3" xfId="37238" xr:uid="{00000000-0005-0000-0000-0000804F0000}"/>
    <cellStyle name="Normal 3 3 3 5 3 2 2 3" xfId="21797" xr:uid="{00000000-0005-0000-0000-0000814F0000}"/>
    <cellStyle name="Normal 3 3 3 5 3 2 2 3 2" xfId="53668" xr:uid="{00000000-0005-0000-0000-0000824F0000}"/>
    <cellStyle name="Normal 3 3 3 5 3 2 2 4" xfId="37237" xr:uid="{00000000-0005-0000-0000-0000834F0000}"/>
    <cellStyle name="Normal 3 3 3 5 3 2 3" xfId="5360" xr:uid="{00000000-0005-0000-0000-0000844F0000}"/>
    <cellStyle name="Normal 3 3 3 5 3 2 3 2" xfId="25736" xr:uid="{00000000-0005-0000-0000-0000854F0000}"/>
    <cellStyle name="Normal 3 3 3 5 3 2 3 2 2" xfId="57607" xr:uid="{00000000-0005-0000-0000-0000864F0000}"/>
    <cellStyle name="Normal 3 3 3 5 3 2 3 3" xfId="37239" xr:uid="{00000000-0005-0000-0000-0000874F0000}"/>
    <cellStyle name="Normal 3 3 3 5 3 2 4" xfId="17858" xr:uid="{00000000-0005-0000-0000-0000884F0000}"/>
    <cellStyle name="Normal 3 3 3 5 3 2 4 2" xfId="49729" xr:uid="{00000000-0005-0000-0000-0000894F0000}"/>
    <cellStyle name="Normal 3 3 3 5 3 2 5" xfId="37236" xr:uid="{00000000-0005-0000-0000-00008A4F0000}"/>
    <cellStyle name="Normal 3 3 3 5 3 3" xfId="5361" xr:uid="{00000000-0005-0000-0000-00008B4F0000}"/>
    <cellStyle name="Normal 3 3 3 5 3 3 2" xfId="5362" xr:uid="{00000000-0005-0000-0000-00008C4F0000}"/>
    <cellStyle name="Normal 3 3 3 5 3 3 2 2" xfId="29674" xr:uid="{00000000-0005-0000-0000-00008D4F0000}"/>
    <cellStyle name="Normal 3 3 3 5 3 3 2 2 2" xfId="61545" xr:uid="{00000000-0005-0000-0000-00008E4F0000}"/>
    <cellStyle name="Normal 3 3 3 5 3 3 2 3" xfId="37241" xr:uid="{00000000-0005-0000-0000-00008F4F0000}"/>
    <cellStyle name="Normal 3 3 3 5 3 3 3" xfId="21796" xr:uid="{00000000-0005-0000-0000-0000904F0000}"/>
    <cellStyle name="Normal 3 3 3 5 3 3 3 2" xfId="53667" xr:uid="{00000000-0005-0000-0000-0000914F0000}"/>
    <cellStyle name="Normal 3 3 3 5 3 3 4" xfId="37240" xr:uid="{00000000-0005-0000-0000-0000924F0000}"/>
    <cellStyle name="Normal 3 3 3 5 3 4" xfId="5363" xr:uid="{00000000-0005-0000-0000-0000934F0000}"/>
    <cellStyle name="Normal 3 3 3 5 3 4 2" xfId="25735" xr:uid="{00000000-0005-0000-0000-0000944F0000}"/>
    <cellStyle name="Normal 3 3 3 5 3 4 2 2" xfId="57606" xr:uid="{00000000-0005-0000-0000-0000954F0000}"/>
    <cellStyle name="Normal 3 3 3 5 3 4 3" xfId="37242" xr:uid="{00000000-0005-0000-0000-0000964F0000}"/>
    <cellStyle name="Normal 3 3 3 5 3 5" xfId="17857" xr:uid="{00000000-0005-0000-0000-0000974F0000}"/>
    <cellStyle name="Normal 3 3 3 5 3 5 2" xfId="49728" xr:uid="{00000000-0005-0000-0000-0000984F0000}"/>
    <cellStyle name="Normal 3 3 3 5 3 6" xfId="37235" xr:uid="{00000000-0005-0000-0000-0000994F0000}"/>
    <cellStyle name="Normal 3 3 3 5 4" xfId="5364" xr:uid="{00000000-0005-0000-0000-00009A4F0000}"/>
    <cellStyle name="Normal 3 3 3 5 4 2" xfId="5365" xr:uid="{00000000-0005-0000-0000-00009B4F0000}"/>
    <cellStyle name="Normal 3 3 3 5 4 2 2" xfId="5366" xr:uid="{00000000-0005-0000-0000-00009C4F0000}"/>
    <cellStyle name="Normal 3 3 3 5 4 2 2 2" xfId="29676" xr:uid="{00000000-0005-0000-0000-00009D4F0000}"/>
    <cellStyle name="Normal 3 3 3 5 4 2 2 2 2" xfId="61547" xr:uid="{00000000-0005-0000-0000-00009E4F0000}"/>
    <cellStyle name="Normal 3 3 3 5 4 2 2 3" xfId="37245" xr:uid="{00000000-0005-0000-0000-00009F4F0000}"/>
    <cellStyle name="Normal 3 3 3 5 4 2 3" xfId="21798" xr:uid="{00000000-0005-0000-0000-0000A04F0000}"/>
    <cellStyle name="Normal 3 3 3 5 4 2 3 2" xfId="53669" xr:uid="{00000000-0005-0000-0000-0000A14F0000}"/>
    <cellStyle name="Normal 3 3 3 5 4 2 4" xfId="37244" xr:uid="{00000000-0005-0000-0000-0000A24F0000}"/>
    <cellStyle name="Normal 3 3 3 5 4 3" xfId="5367" xr:uid="{00000000-0005-0000-0000-0000A34F0000}"/>
    <cellStyle name="Normal 3 3 3 5 4 3 2" xfId="25737" xr:uid="{00000000-0005-0000-0000-0000A44F0000}"/>
    <cellStyle name="Normal 3 3 3 5 4 3 2 2" xfId="57608" xr:uid="{00000000-0005-0000-0000-0000A54F0000}"/>
    <cellStyle name="Normal 3 3 3 5 4 3 3" xfId="37246" xr:uid="{00000000-0005-0000-0000-0000A64F0000}"/>
    <cellStyle name="Normal 3 3 3 5 4 4" xfId="17859" xr:uid="{00000000-0005-0000-0000-0000A74F0000}"/>
    <cellStyle name="Normal 3 3 3 5 4 4 2" xfId="49730" xr:uid="{00000000-0005-0000-0000-0000A84F0000}"/>
    <cellStyle name="Normal 3 3 3 5 4 5" xfId="37243" xr:uid="{00000000-0005-0000-0000-0000A94F0000}"/>
    <cellStyle name="Normal 3 3 3 5 5" xfId="5368" xr:uid="{00000000-0005-0000-0000-0000AA4F0000}"/>
    <cellStyle name="Normal 3 3 3 5 5 2" xfId="5369" xr:uid="{00000000-0005-0000-0000-0000AB4F0000}"/>
    <cellStyle name="Normal 3 3 3 5 5 2 2" xfId="28295" xr:uid="{00000000-0005-0000-0000-0000AC4F0000}"/>
    <cellStyle name="Normal 3 3 3 5 5 2 2 2" xfId="60166" xr:uid="{00000000-0005-0000-0000-0000AD4F0000}"/>
    <cellStyle name="Normal 3 3 3 5 5 2 3" xfId="37248" xr:uid="{00000000-0005-0000-0000-0000AE4F0000}"/>
    <cellStyle name="Normal 3 3 3 5 5 3" xfId="20417" xr:uid="{00000000-0005-0000-0000-0000AF4F0000}"/>
    <cellStyle name="Normal 3 3 3 5 5 3 2" xfId="52288" xr:uid="{00000000-0005-0000-0000-0000B04F0000}"/>
    <cellStyle name="Normal 3 3 3 5 5 4" xfId="37247" xr:uid="{00000000-0005-0000-0000-0000B14F0000}"/>
    <cellStyle name="Normal 3 3 3 5 6" xfId="5370" xr:uid="{00000000-0005-0000-0000-0000B24F0000}"/>
    <cellStyle name="Normal 3 3 3 5 6 2" xfId="24356" xr:uid="{00000000-0005-0000-0000-0000B34F0000}"/>
    <cellStyle name="Normal 3 3 3 5 6 2 2" xfId="56227" xr:uid="{00000000-0005-0000-0000-0000B44F0000}"/>
    <cellStyle name="Normal 3 3 3 5 6 3" xfId="37249" xr:uid="{00000000-0005-0000-0000-0000B54F0000}"/>
    <cellStyle name="Normal 3 3 3 5 7" xfId="16478" xr:uid="{00000000-0005-0000-0000-0000B64F0000}"/>
    <cellStyle name="Normal 3 3 3 5 7 2" xfId="48349" xr:uid="{00000000-0005-0000-0000-0000B74F0000}"/>
    <cellStyle name="Normal 3 3 3 5 8" xfId="37218" xr:uid="{00000000-0005-0000-0000-0000B84F0000}"/>
    <cellStyle name="Normal 3 3 3 6" xfId="5371" xr:uid="{00000000-0005-0000-0000-0000B94F0000}"/>
    <cellStyle name="Normal 3 3 3 6 2" xfId="5372" xr:uid="{00000000-0005-0000-0000-0000BA4F0000}"/>
    <cellStyle name="Normal 3 3 3 6 2 2" xfId="5373" xr:uid="{00000000-0005-0000-0000-0000BB4F0000}"/>
    <cellStyle name="Normal 3 3 3 6 2 2 2" xfId="5374" xr:uid="{00000000-0005-0000-0000-0000BC4F0000}"/>
    <cellStyle name="Normal 3 3 3 6 2 2 2 2" xfId="5375" xr:uid="{00000000-0005-0000-0000-0000BD4F0000}"/>
    <cellStyle name="Normal 3 3 3 6 2 2 2 2 2" xfId="29679" xr:uid="{00000000-0005-0000-0000-0000BE4F0000}"/>
    <cellStyle name="Normal 3 3 3 6 2 2 2 2 2 2" xfId="61550" xr:uid="{00000000-0005-0000-0000-0000BF4F0000}"/>
    <cellStyle name="Normal 3 3 3 6 2 2 2 2 3" xfId="37254" xr:uid="{00000000-0005-0000-0000-0000C04F0000}"/>
    <cellStyle name="Normal 3 3 3 6 2 2 2 3" xfId="21801" xr:uid="{00000000-0005-0000-0000-0000C14F0000}"/>
    <cellStyle name="Normal 3 3 3 6 2 2 2 3 2" xfId="53672" xr:uid="{00000000-0005-0000-0000-0000C24F0000}"/>
    <cellStyle name="Normal 3 3 3 6 2 2 2 4" xfId="37253" xr:uid="{00000000-0005-0000-0000-0000C34F0000}"/>
    <cellStyle name="Normal 3 3 3 6 2 2 3" xfId="5376" xr:uid="{00000000-0005-0000-0000-0000C44F0000}"/>
    <cellStyle name="Normal 3 3 3 6 2 2 3 2" xfId="25740" xr:uid="{00000000-0005-0000-0000-0000C54F0000}"/>
    <cellStyle name="Normal 3 3 3 6 2 2 3 2 2" xfId="57611" xr:uid="{00000000-0005-0000-0000-0000C64F0000}"/>
    <cellStyle name="Normal 3 3 3 6 2 2 3 3" xfId="37255" xr:uid="{00000000-0005-0000-0000-0000C74F0000}"/>
    <cellStyle name="Normal 3 3 3 6 2 2 4" xfId="17862" xr:uid="{00000000-0005-0000-0000-0000C84F0000}"/>
    <cellStyle name="Normal 3 3 3 6 2 2 4 2" xfId="49733" xr:uid="{00000000-0005-0000-0000-0000C94F0000}"/>
    <cellStyle name="Normal 3 3 3 6 2 2 5" xfId="37252" xr:uid="{00000000-0005-0000-0000-0000CA4F0000}"/>
    <cellStyle name="Normal 3 3 3 6 2 3" xfId="5377" xr:uid="{00000000-0005-0000-0000-0000CB4F0000}"/>
    <cellStyle name="Normal 3 3 3 6 2 3 2" xfId="5378" xr:uid="{00000000-0005-0000-0000-0000CC4F0000}"/>
    <cellStyle name="Normal 3 3 3 6 2 3 2 2" xfId="29678" xr:uid="{00000000-0005-0000-0000-0000CD4F0000}"/>
    <cellStyle name="Normal 3 3 3 6 2 3 2 2 2" xfId="61549" xr:uid="{00000000-0005-0000-0000-0000CE4F0000}"/>
    <cellStyle name="Normal 3 3 3 6 2 3 2 3" xfId="37257" xr:uid="{00000000-0005-0000-0000-0000CF4F0000}"/>
    <cellStyle name="Normal 3 3 3 6 2 3 3" xfId="21800" xr:uid="{00000000-0005-0000-0000-0000D04F0000}"/>
    <cellStyle name="Normal 3 3 3 6 2 3 3 2" xfId="53671" xr:uid="{00000000-0005-0000-0000-0000D14F0000}"/>
    <cellStyle name="Normal 3 3 3 6 2 3 4" xfId="37256" xr:uid="{00000000-0005-0000-0000-0000D24F0000}"/>
    <cellStyle name="Normal 3 3 3 6 2 4" xfId="5379" xr:uid="{00000000-0005-0000-0000-0000D34F0000}"/>
    <cellStyle name="Normal 3 3 3 6 2 4 2" xfId="25739" xr:uid="{00000000-0005-0000-0000-0000D44F0000}"/>
    <cellStyle name="Normal 3 3 3 6 2 4 2 2" xfId="57610" xr:uid="{00000000-0005-0000-0000-0000D54F0000}"/>
    <cellStyle name="Normal 3 3 3 6 2 4 3" xfId="37258" xr:uid="{00000000-0005-0000-0000-0000D64F0000}"/>
    <cellStyle name="Normal 3 3 3 6 2 5" xfId="17861" xr:uid="{00000000-0005-0000-0000-0000D74F0000}"/>
    <cellStyle name="Normal 3 3 3 6 2 5 2" xfId="49732" xr:uid="{00000000-0005-0000-0000-0000D84F0000}"/>
    <cellStyle name="Normal 3 3 3 6 2 6" xfId="37251" xr:uid="{00000000-0005-0000-0000-0000D94F0000}"/>
    <cellStyle name="Normal 3 3 3 6 3" xfId="5380" xr:uid="{00000000-0005-0000-0000-0000DA4F0000}"/>
    <cellStyle name="Normal 3 3 3 6 3 2" xfId="5381" xr:uid="{00000000-0005-0000-0000-0000DB4F0000}"/>
    <cellStyle name="Normal 3 3 3 6 3 2 2" xfId="5382" xr:uid="{00000000-0005-0000-0000-0000DC4F0000}"/>
    <cellStyle name="Normal 3 3 3 6 3 2 2 2" xfId="29680" xr:uid="{00000000-0005-0000-0000-0000DD4F0000}"/>
    <cellStyle name="Normal 3 3 3 6 3 2 2 2 2" xfId="61551" xr:uid="{00000000-0005-0000-0000-0000DE4F0000}"/>
    <cellStyle name="Normal 3 3 3 6 3 2 2 3" xfId="37261" xr:uid="{00000000-0005-0000-0000-0000DF4F0000}"/>
    <cellStyle name="Normal 3 3 3 6 3 2 3" xfId="21802" xr:uid="{00000000-0005-0000-0000-0000E04F0000}"/>
    <cellStyle name="Normal 3 3 3 6 3 2 3 2" xfId="53673" xr:uid="{00000000-0005-0000-0000-0000E14F0000}"/>
    <cellStyle name="Normal 3 3 3 6 3 2 4" xfId="37260" xr:uid="{00000000-0005-0000-0000-0000E24F0000}"/>
    <cellStyle name="Normal 3 3 3 6 3 3" xfId="5383" xr:uid="{00000000-0005-0000-0000-0000E34F0000}"/>
    <cellStyle name="Normal 3 3 3 6 3 3 2" xfId="25741" xr:uid="{00000000-0005-0000-0000-0000E44F0000}"/>
    <cellStyle name="Normal 3 3 3 6 3 3 2 2" xfId="57612" xr:uid="{00000000-0005-0000-0000-0000E54F0000}"/>
    <cellStyle name="Normal 3 3 3 6 3 3 3" xfId="37262" xr:uid="{00000000-0005-0000-0000-0000E64F0000}"/>
    <cellStyle name="Normal 3 3 3 6 3 4" xfId="17863" xr:uid="{00000000-0005-0000-0000-0000E74F0000}"/>
    <cellStyle name="Normal 3 3 3 6 3 4 2" xfId="49734" xr:uid="{00000000-0005-0000-0000-0000E84F0000}"/>
    <cellStyle name="Normal 3 3 3 6 3 5" xfId="37259" xr:uid="{00000000-0005-0000-0000-0000E94F0000}"/>
    <cellStyle name="Normal 3 3 3 6 4" xfId="5384" xr:uid="{00000000-0005-0000-0000-0000EA4F0000}"/>
    <cellStyle name="Normal 3 3 3 6 4 2" xfId="5385" xr:uid="{00000000-0005-0000-0000-0000EB4F0000}"/>
    <cellStyle name="Normal 3 3 3 6 4 2 2" xfId="29677" xr:uid="{00000000-0005-0000-0000-0000EC4F0000}"/>
    <cellStyle name="Normal 3 3 3 6 4 2 2 2" xfId="61548" xr:uid="{00000000-0005-0000-0000-0000ED4F0000}"/>
    <cellStyle name="Normal 3 3 3 6 4 2 3" xfId="37264" xr:uid="{00000000-0005-0000-0000-0000EE4F0000}"/>
    <cellStyle name="Normal 3 3 3 6 4 3" xfId="21799" xr:uid="{00000000-0005-0000-0000-0000EF4F0000}"/>
    <cellStyle name="Normal 3 3 3 6 4 3 2" xfId="53670" xr:uid="{00000000-0005-0000-0000-0000F04F0000}"/>
    <cellStyle name="Normal 3 3 3 6 4 4" xfId="37263" xr:uid="{00000000-0005-0000-0000-0000F14F0000}"/>
    <cellStyle name="Normal 3 3 3 6 5" xfId="5386" xr:uid="{00000000-0005-0000-0000-0000F24F0000}"/>
    <cellStyle name="Normal 3 3 3 6 5 2" xfId="25738" xr:uid="{00000000-0005-0000-0000-0000F34F0000}"/>
    <cellStyle name="Normal 3 3 3 6 5 2 2" xfId="57609" xr:uid="{00000000-0005-0000-0000-0000F44F0000}"/>
    <cellStyle name="Normal 3 3 3 6 5 3" xfId="37265" xr:uid="{00000000-0005-0000-0000-0000F54F0000}"/>
    <cellStyle name="Normal 3 3 3 6 6" xfId="17860" xr:uid="{00000000-0005-0000-0000-0000F64F0000}"/>
    <cellStyle name="Normal 3 3 3 6 6 2" xfId="49731" xr:uid="{00000000-0005-0000-0000-0000F74F0000}"/>
    <cellStyle name="Normal 3 3 3 6 7" xfId="37250" xr:uid="{00000000-0005-0000-0000-0000F84F0000}"/>
    <cellStyle name="Normal 3 3 3 7" xfId="5387" xr:uid="{00000000-0005-0000-0000-0000F94F0000}"/>
    <cellStyle name="Normal 3 3 3 7 2" xfId="5388" xr:uid="{00000000-0005-0000-0000-0000FA4F0000}"/>
    <cellStyle name="Normal 3 3 3 7 2 2" xfId="5389" xr:uid="{00000000-0005-0000-0000-0000FB4F0000}"/>
    <cellStyle name="Normal 3 3 3 7 2 2 2" xfId="5390" xr:uid="{00000000-0005-0000-0000-0000FC4F0000}"/>
    <cellStyle name="Normal 3 3 3 7 2 2 2 2" xfId="29682" xr:uid="{00000000-0005-0000-0000-0000FD4F0000}"/>
    <cellStyle name="Normal 3 3 3 7 2 2 2 2 2" xfId="61553" xr:uid="{00000000-0005-0000-0000-0000FE4F0000}"/>
    <cellStyle name="Normal 3 3 3 7 2 2 2 3" xfId="37269" xr:uid="{00000000-0005-0000-0000-0000FF4F0000}"/>
    <cellStyle name="Normal 3 3 3 7 2 2 3" xfId="21804" xr:uid="{00000000-0005-0000-0000-000000500000}"/>
    <cellStyle name="Normal 3 3 3 7 2 2 3 2" xfId="53675" xr:uid="{00000000-0005-0000-0000-000001500000}"/>
    <cellStyle name="Normal 3 3 3 7 2 2 4" xfId="37268" xr:uid="{00000000-0005-0000-0000-000002500000}"/>
    <cellStyle name="Normal 3 3 3 7 2 3" xfId="5391" xr:uid="{00000000-0005-0000-0000-000003500000}"/>
    <cellStyle name="Normal 3 3 3 7 2 3 2" xfId="25743" xr:uid="{00000000-0005-0000-0000-000004500000}"/>
    <cellStyle name="Normal 3 3 3 7 2 3 2 2" xfId="57614" xr:uid="{00000000-0005-0000-0000-000005500000}"/>
    <cellStyle name="Normal 3 3 3 7 2 3 3" xfId="37270" xr:uid="{00000000-0005-0000-0000-000006500000}"/>
    <cellStyle name="Normal 3 3 3 7 2 4" xfId="17865" xr:uid="{00000000-0005-0000-0000-000007500000}"/>
    <cellStyle name="Normal 3 3 3 7 2 4 2" xfId="49736" xr:uid="{00000000-0005-0000-0000-000008500000}"/>
    <cellStyle name="Normal 3 3 3 7 2 5" xfId="37267" xr:uid="{00000000-0005-0000-0000-000009500000}"/>
    <cellStyle name="Normal 3 3 3 7 3" xfId="5392" xr:uid="{00000000-0005-0000-0000-00000A500000}"/>
    <cellStyle name="Normal 3 3 3 7 3 2" xfId="5393" xr:uid="{00000000-0005-0000-0000-00000B500000}"/>
    <cellStyle name="Normal 3 3 3 7 3 2 2" xfId="29681" xr:uid="{00000000-0005-0000-0000-00000C500000}"/>
    <cellStyle name="Normal 3 3 3 7 3 2 2 2" xfId="61552" xr:uid="{00000000-0005-0000-0000-00000D500000}"/>
    <cellStyle name="Normal 3 3 3 7 3 2 3" xfId="37272" xr:uid="{00000000-0005-0000-0000-00000E500000}"/>
    <cellStyle name="Normal 3 3 3 7 3 3" xfId="21803" xr:uid="{00000000-0005-0000-0000-00000F500000}"/>
    <cellStyle name="Normal 3 3 3 7 3 3 2" xfId="53674" xr:uid="{00000000-0005-0000-0000-000010500000}"/>
    <cellStyle name="Normal 3 3 3 7 3 4" xfId="37271" xr:uid="{00000000-0005-0000-0000-000011500000}"/>
    <cellStyle name="Normal 3 3 3 7 4" xfId="5394" xr:uid="{00000000-0005-0000-0000-000012500000}"/>
    <cellStyle name="Normal 3 3 3 7 4 2" xfId="25742" xr:uid="{00000000-0005-0000-0000-000013500000}"/>
    <cellStyle name="Normal 3 3 3 7 4 2 2" xfId="57613" xr:uid="{00000000-0005-0000-0000-000014500000}"/>
    <cellStyle name="Normal 3 3 3 7 4 3" xfId="37273" xr:uid="{00000000-0005-0000-0000-000015500000}"/>
    <cellStyle name="Normal 3 3 3 7 5" xfId="17864" xr:uid="{00000000-0005-0000-0000-000016500000}"/>
    <cellStyle name="Normal 3 3 3 7 5 2" xfId="49735" xr:uid="{00000000-0005-0000-0000-000017500000}"/>
    <cellStyle name="Normal 3 3 3 7 6" xfId="37266" xr:uid="{00000000-0005-0000-0000-000018500000}"/>
    <cellStyle name="Normal 3 3 3 8" xfId="5395" xr:uid="{00000000-0005-0000-0000-000019500000}"/>
    <cellStyle name="Normal 3 3 3 8 2" xfId="5396" xr:uid="{00000000-0005-0000-0000-00001A500000}"/>
    <cellStyle name="Normal 3 3 3 8 2 2" xfId="5397" xr:uid="{00000000-0005-0000-0000-00001B500000}"/>
    <cellStyle name="Normal 3 3 3 8 2 2 2" xfId="29683" xr:uid="{00000000-0005-0000-0000-00001C500000}"/>
    <cellStyle name="Normal 3 3 3 8 2 2 2 2" xfId="61554" xr:uid="{00000000-0005-0000-0000-00001D500000}"/>
    <cellStyle name="Normal 3 3 3 8 2 2 3" xfId="37276" xr:uid="{00000000-0005-0000-0000-00001E500000}"/>
    <cellStyle name="Normal 3 3 3 8 2 3" xfId="21805" xr:uid="{00000000-0005-0000-0000-00001F500000}"/>
    <cellStyle name="Normal 3 3 3 8 2 3 2" xfId="53676" xr:uid="{00000000-0005-0000-0000-000020500000}"/>
    <cellStyle name="Normal 3 3 3 8 2 4" xfId="37275" xr:uid="{00000000-0005-0000-0000-000021500000}"/>
    <cellStyle name="Normal 3 3 3 8 3" xfId="5398" xr:uid="{00000000-0005-0000-0000-000022500000}"/>
    <cellStyle name="Normal 3 3 3 8 3 2" xfId="25744" xr:uid="{00000000-0005-0000-0000-000023500000}"/>
    <cellStyle name="Normal 3 3 3 8 3 2 2" xfId="57615" xr:uid="{00000000-0005-0000-0000-000024500000}"/>
    <cellStyle name="Normal 3 3 3 8 3 3" xfId="37277" xr:uid="{00000000-0005-0000-0000-000025500000}"/>
    <cellStyle name="Normal 3 3 3 8 4" xfId="17866" xr:uid="{00000000-0005-0000-0000-000026500000}"/>
    <cellStyle name="Normal 3 3 3 8 4 2" xfId="49737" xr:uid="{00000000-0005-0000-0000-000027500000}"/>
    <cellStyle name="Normal 3 3 3 8 5" xfId="37274" xr:uid="{00000000-0005-0000-0000-000028500000}"/>
    <cellStyle name="Normal 3 3 3 9" xfId="5399" xr:uid="{00000000-0005-0000-0000-000029500000}"/>
    <cellStyle name="Normal 3 3 3 9 2" xfId="5400" xr:uid="{00000000-0005-0000-0000-00002A500000}"/>
    <cellStyle name="Normal 3 3 3 9 2 2" xfId="28254" xr:uid="{00000000-0005-0000-0000-00002B500000}"/>
    <cellStyle name="Normal 3 3 3 9 2 2 2" xfId="60125" xr:uid="{00000000-0005-0000-0000-00002C500000}"/>
    <cellStyle name="Normal 3 3 3 9 2 3" xfId="37279" xr:uid="{00000000-0005-0000-0000-00002D500000}"/>
    <cellStyle name="Normal 3 3 3 9 3" xfId="20376" xr:uid="{00000000-0005-0000-0000-00002E500000}"/>
    <cellStyle name="Normal 3 3 3 9 3 2" xfId="52247" xr:uid="{00000000-0005-0000-0000-00002F500000}"/>
    <cellStyle name="Normal 3 3 3 9 4" xfId="37278" xr:uid="{00000000-0005-0000-0000-000030500000}"/>
    <cellStyle name="Normal 3 3 4" xfId="5401" xr:uid="{00000000-0005-0000-0000-000031500000}"/>
    <cellStyle name="Normal 3 3 4 10" xfId="5402" xr:uid="{00000000-0005-0000-0000-000032500000}"/>
    <cellStyle name="Normal 3 3 4 10 2" xfId="24340" xr:uid="{00000000-0005-0000-0000-000033500000}"/>
    <cellStyle name="Normal 3 3 4 10 2 2" xfId="56211" xr:uid="{00000000-0005-0000-0000-000034500000}"/>
    <cellStyle name="Normal 3 3 4 10 3" xfId="37281" xr:uid="{00000000-0005-0000-0000-000035500000}"/>
    <cellStyle name="Normal 3 3 4 11" xfId="16462" xr:uid="{00000000-0005-0000-0000-000036500000}"/>
    <cellStyle name="Normal 3 3 4 11 2" xfId="48333" xr:uid="{00000000-0005-0000-0000-000037500000}"/>
    <cellStyle name="Normal 3 3 4 12" xfId="37280" xr:uid="{00000000-0005-0000-0000-000038500000}"/>
    <cellStyle name="Normal 3 3 4 2" xfId="5403" xr:uid="{00000000-0005-0000-0000-000039500000}"/>
    <cellStyle name="Normal 3 3 4 2 10" xfId="37282" xr:uid="{00000000-0005-0000-0000-00003A500000}"/>
    <cellStyle name="Normal 3 3 4 2 2" xfId="5404" xr:uid="{00000000-0005-0000-0000-00003B500000}"/>
    <cellStyle name="Normal 3 3 4 2 2 2" xfId="5405" xr:uid="{00000000-0005-0000-0000-00003C500000}"/>
    <cellStyle name="Normal 3 3 4 2 2 2 2" xfId="5406" xr:uid="{00000000-0005-0000-0000-00003D500000}"/>
    <cellStyle name="Normal 3 3 4 2 2 2 2 2" xfId="5407" xr:uid="{00000000-0005-0000-0000-00003E500000}"/>
    <cellStyle name="Normal 3 3 4 2 2 2 2 2 2" xfId="5408" xr:uid="{00000000-0005-0000-0000-00003F500000}"/>
    <cellStyle name="Normal 3 3 4 2 2 2 2 2 2 2" xfId="5409" xr:uid="{00000000-0005-0000-0000-000040500000}"/>
    <cellStyle name="Normal 3 3 4 2 2 2 2 2 2 2 2" xfId="5410" xr:uid="{00000000-0005-0000-0000-000041500000}"/>
    <cellStyle name="Normal 3 3 4 2 2 2 2 2 2 2 2 2" xfId="29687" xr:uid="{00000000-0005-0000-0000-000042500000}"/>
    <cellStyle name="Normal 3 3 4 2 2 2 2 2 2 2 2 2 2" xfId="61558" xr:uid="{00000000-0005-0000-0000-000043500000}"/>
    <cellStyle name="Normal 3 3 4 2 2 2 2 2 2 2 2 3" xfId="37289" xr:uid="{00000000-0005-0000-0000-000044500000}"/>
    <cellStyle name="Normal 3 3 4 2 2 2 2 2 2 2 3" xfId="21809" xr:uid="{00000000-0005-0000-0000-000045500000}"/>
    <cellStyle name="Normal 3 3 4 2 2 2 2 2 2 2 3 2" xfId="53680" xr:uid="{00000000-0005-0000-0000-000046500000}"/>
    <cellStyle name="Normal 3 3 4 2 2 2 2 2 2 2 4" xfId="37288" xr:uid="{00000000-0005-0000-0000-000047500000}"/>
    <cellStyle name="Normal 3 3 4 2 2 2 2 2 2 3" xfId="5411" xr:uid="{00000000-0005-0000-0000-000048500000}"/>
    <cellStyle name="Normal 3 3 4 2 2 2 2 2 2 3 2" xfId="25748" xr:uid="{00000000-0005-0000-0000-000049500000}"/>
    <cellStyle name="Normal 3 3 4 2 2 2 2 2 2 3 2 2" xfId="57619" xr:uid="{00000000-0005-0000-0000-00004A500000}"/>
    <cellStyle name="Normal 3 3 4 2 2 2 2 2 2 3 3" xfId="37290" xr:uid="{00000000-0005-0000-0000-00004B500000}"/>
    <cellStyle name="Normal 3 3 4 2 2 2 2 2 2 4" xfId="17870" xr:uid="{00000000-0005-0000-0000-00004C500000}"/>
    <cellStyle name="Normal 3 3 4 2 2 2 2 2 2 4 2" xfId="49741" xr:uid="{00000000-0005-0000-0000-00004D500000}"/>
    <cellStyle name="Normal 3 3 4 2 2 2 2 2 2 5" xfId="37287" xr:uid="{00000000-0005-0000-0000-00004E500000}"/>
    <cellStyle name="Normal 3 3 4 2 2 2 2 2 3" xfId="5412" xr:uid="{00000000-0005-0000-0000-00004F500000}"/>
    <cellStyle name="Normal 3 3 4 2 2 2 2 2 3 2" xfId="5413" xr:uid="{00000000-0005-0000-0000-000050500000}"/>
    <cellStyle name="Normal 3 3 4 2 2 2 2 2 3 2 2" xfId="29686" xr:uid="{00000000-0005-0000-0000-000051500000}"/>
    <cellStyle name="Normal 3 3 4 2 2 2 2 2 3 2 2 2" xfId="61557" xr:uid="{00000000-0005-0000-0000-000052500000}"/>
    <cellStyle name="Normal 3 3 4 2 2 2 2 2 3 2 3" xfId="37292" xr:uid="{00000000-0005-0000-0000-000053500000}"/>
    <cellStyle name="Normal 3 3 4 2 2 2 2 2 3 3" xfId="21808" xr:uid="{00000000-0005-0000-0000-000054500000}"/>
    <cellStyle name="Normal 3 3 4 2 2 2 2 2 3 3 2" xfId="53679" xr:uid="{00000000-0005-0000-0000-000055500000}"/>
    <cellStyle name="Normal 3 3 4 2 2 2 2 2 3 4" xfId="37291" xr:uid="{00000000-0005-0000-0000-000056500000}"/>
    <cellStyle name="Normal 3 3 4 2 2 2 2 2 4" xfId="5414" xr:uid="{00000000-0005-0000-0000-000057500000}"/>
    <cellStyle name="Normal 3 3 4 2 2 2 2 2 4 2" xfId="25747" xr:uid="{00000000-0005-0000-0000-000058500000}"/>
    <cellStyle name="Normal 3 3 4 2 2 2 2 2 4 2 2" xfId="57618" xr:uid="{00000000-0005-0000-0000-000059500000}"/>
    <cellStyle name="Normal 3 3 4 2 2 2 2 2 4 3" xfId="37293" xr:uid="{00000000-0005-0000-0000-00005A500000}"/>
    <cellStyle name="Normal 3 3 4 2 2 2 2 2 5" xfId="17869" xr:uid="{00000000-0005-0000-0000-00005B500000}"/>
    <cellStyle name="Normal 3 3 4 2 2 2 2 2 5 2" xfId="49740" xr:uid="{00000000-0005-0000-0000-00005C500000}"/>
    <cellStyle name="Normal 3 3 4 2 2 2 2 2 6" xfId="37286" xr:uid="{00000000-0005-0000-0000-00005D500000}"/>
    <cellStyle name="Normal 3 3 4 2 2 2 2 3" xfId="5415" xr:uid="{00000000-0005-0000-0000-00005E500000}"/>
    <cellStyle name="Normal 3 3 4 2 2 2 2 3 2" xfId="5416" xr:uid="{00000000-0005-0000-0000-00005F500000}"/>
    <cellStyle name="Normal 3 3 4 2 2 2 2 3 2 2" xfId="5417" xr:uid="{00000000-0005-0000-0000-000060500000}"/>
    <cellStyle name="Normal 3 3 4 2 2 2 2 3 2 2 2" xfId="29688" xr:uid="{00000000-0005-0000-0000-000061500000}"/>
    <cellStyle name="Normal 3 3 4 2 2 2 2 3 2 2 2 2" xfId="61559" xr:uid="{00000000-0005-0000-0000-000062500000}"/>
    <cellStyle name="Normal 3 3 4 2 2 2 2 3 2 2 3" xfId="37296" xr:uid="{00000000-0005-0000-0000-000063500000}"/>
    <cellStyle name="Normal 3 3 4 2 2 2 2 3 2 3" xfId="21810" xr:uid="{00000000-0005-0000-0000-000064500000}"/>
    <cellStyle name="Normal 3 3 4 2 2 2 2 3 2 3 2" xfId="53681" xr:uid="{00000000-0005-0000-0000-000065500000}"/>
    <cellStyle name="Normal 3 3 4 2 2 2 2 3 2 4" xfId="37295" xr:uid="{00000000-0005-0000-0000-000066500000}"/>
    <cellStyle name="Normal 3 3 4 2 2 2 2 3 3" xfId="5418" xr:uid="{00000000-0005-0000-0000-000067500000}"/>
    <cellStyle name="Normal 3 3 4 2 2 2 2 3 3 2" xfId="25749" xr:uid="{00000000-0005-0000-0000-000068500000}"/>
    <cellStyle name="Normal 3 3 4 2 2 2 2 3 3 2 2" xfId="57620" xr:uid="{00000000-0005-0000-0000-000069500000}"/>
    <cellStyle name="Normal 3 3 4 2 2 2 2 3 3 3" xfId="37297" xr:uid="{00000000-0005-0000-0000-00006A500000}"/>
    <cellStyle name="Normal 3 3 4 2 2 2 2 3 4" xfId="17871" xr:uid="{00000000-0005-0000-0000-00006B500000}"/>
    <cellStyle name="Normal 3 3 4 2 2 2 2 3 4 2" xfId="49742" xr:uid="{00000000-0005-0000-0000-00006C500000}"/>
    <cellStyle name="Normal 3 3 4 2 2 2 2 3 5" xfId="37294" xr:uid="{00000000-0005-0000-0000-00006D500000}"/>
    <cellStyle name="Normal 3 3 4 2 2 2 2 4" xfId="5419" xr:uid="{00000000-0005-0000-0000-00006E500000}"/>
    <cellStyle name="Normal 3 3 4 2 2 2 2 4 2" xfId="5420" xr:uid="{00000000-0005-0000-0000-00006F500000}"/>
    <cellStyle name="Normal 3 3 4 2 2 2 2 4 2 2" xfId="29685" xr:uid="{00000000-0005-0000-0000-000070500000}"/>
    <cellStyle name="Normal 3 3 4 2 2 2 2 4 2 2 2" xfId="61556" xr:uid="{00000000-0005-0000-0000-000071500000}"/>
    <cellStyle name="Normal 3 3 4 2 2 2 2 4 2 3" xfId="37299" xr:uid="{00000000-0005-0000-0000-000072500000}"/>
    <cellStyle name="Normal 3 3 4 2 2 2 2 4 3" xfId="21807" xr:uid="{00000000-0005-0000-0000-000073500000}"/>
    <cellStyle name="Normal 3 3 4 2 2 2 2 4 3 2" xfId="53678" xr:uid="{00000000-0005-0000-0000-000074500000}"/>
    <cellStyle name="Normal 3 3 4 2 2 2 2 4 4" xfId="37298" xr:uid="{00000000-0005-0000-0000-000075500000}"/>
    <cellStyle name="Normal 3 3 4 2 2 2 2 5" xfId="5421" xr:uid="{00000000-0005-0000-0000-000076500000}"/>
    <cellStyle name="Normal 3 3 4 2 2 2 2 5 2" xfId="25746" xr:uid="{00000000-0005-0000-0000-000077500000}"/>
    <cellStyle name="Normal 3 3 4 2 2 2 2 5 2 2" xfId="57617" xr:uid="{00000000-0005-0000-0000-000078500000}"/>
    <cellStyle name="Normal 3 3 4 2 2 2 2 5 3" xfId="37300" xr:uid="{00000000-0005-0000-0000-000079500000}"/>
    <cellStyle name="Normal 3 3 4 2 2 2 2 6" xfId="17868" xr:uid="{00000000-0005-0000-0000-00007A500000}"/>
    <cellStyle name="Normal 3 3 4 2 2 2 2 6 2" xfId="49739" xr:uid="{00000000-0005-0000-0000-00007B500000}"/>
    <cellStyle name="Normal 3 3 4 2 2 2 2 7" xfId="37285" xr:uid="{00000000-0005-0000-0000-00007C500000}"/>
    <cellStyle name="Normal 3 3 4 2 2 2 3" xfId="5422" xr:uid="{00000000-0005-0000-0000-00007D500000}"/>
    <cellStyle name="Normal 3 3 4 2 2 2 3 2" xfId="5423" xr:uid="{00000000-0005-0000-0000-00007E500000}"/>
    <cellStyle name="Normal 3 3 4 2 2 2 3 2 2" xfId="5424" xr:uid="{00000000-0005-0000-0000-00007F500000}"/>
    <cellStyle name="Normal 3 3 4 2 2 2 3 2 2 2" xfId="5425" xr:uid="{00000000-0005-0000-0000-000080500000}"/>
    <cellStyle name="Normal 3 3 4 2 2 2 3 2 2 2 2" xfId="29690" xr:uid="{00000000-0005-0000-0000-000081500000}"/>
    <cellStyle name="Normal 3 3 4 2 2 2 3 2 2 2 2 2" xfId="61561" xr:uid="{00000000-0005-0000-0000-000082500000}"/>
    <cellStyle name="Normal 3 3 4 2 2 2 3 2 2 2 3" xfId="37304" xr:uid="{00000000-0005-0000-0000-000083500000}"/>
    <cellStyle name="Normal 3 3 4 2 2 2 3 2 2 3" xfId="21812" xr:uid="{00000000-0005-0000-0000-000084500000}"/>
    <cellStyle name="Normal 3 3 4 2 2 2 3 2 2 3 2" xfId="53683" xr:uid="{00000000-0005-0000-0000-000085500000}"/>
    <cellStyle name="Normal 3 3 4 2 2 2 3 2 2 4" xfId="37303" xr:uid="{00000000-0005-0000-0000-000086500000}"/>
    <cellStyle name="Normal 3 3 4 2 2 2 3 2 3" xfId="5426" xr:uid="{00000000-0005-0000-0000-000087500000}"/>
    <cellStyle name="Normal 3 3 4 2 2 2 3 2 3 2" xfId="25751" xr:uid="{00000000-0005-0000-0000-000088500000}"/>
    <cellStyle name="Normal 3 3 4 2 2 2 3 2 3 2 2" xfId="57622" xr:uid="{00000000-0005-0000-0000-000089500000}"/>
    <cellStyle name="Normal 3 3 4 2 2 2 3 2 3 3" xfId="37305" xr:uid="{00000000-0005-0000-0000-00008A500000}"/>
    <cellStyle name="Normal 3 3 4 2 2 2 3 2 4" xfId="17873" xr:uid="{00000000-0005-0000-0000-00008B500000}"/>
    <cellStyle name="Normal 3 3 4 2 2 2 3 2 4 2" xfId="49744" xr:uid="{00000000-0005-0000-0000-00008C500000}"/>
    <cellStyle name="Normal 3 3 4 2 2 2 3 2 5" xfId="37302" xr:uid="{00000000-0005-0000-0000-00008D500000}"/>
    <cellStyle name="Normal 3 3 4 2 2 2 3 3" xfId="5427" xr:uid="{00000000-0005-0000-0000-00008E500000}"/>
    <cellStyle name="Normal 3 3 4 2 2 2 3 3 2" xfId="5428" xr:uid="{00000000-0005-0000-0000-00008F500000}"/>
    <cellStyle name="Normal 3 3 4 2 2 2 3 3 2 2" xfId="29689" xr:uid="{00000000-0005-0000-0000-000090500000}"/>
    <cellStyle name="Normal 3 3 4 2 2 2 3 3 2 2 2" xfId="61560" xr:uid="{00000000-0005-0000-0000-000091500000}"/>
    <cellStyle name="Normal 3 3 4 2 2 2 3 3 2 3" xfId="37307" xr:uid="{00000000-0005-0000-0000-000092500000}"/>
    <cellStyle name="Normal 3 3 4 2 2 2 3 3 3" xfId="21811" xr:uid="{00000000-0005-0000-0000-000093500000}"/>
    <cellStyle name="Normal 3 3 4 2 2 2 3 3 3 2" xfId="53682" xr:uid="{00000000-0005-0000-0000-000094500000}"/>
    <cellStyle name="Normal 3 3 4 2 2 2 3 3 4" xfId="37306" xr:uid="{00000000-0005-0000-0000-000095500000}"/>
    <cellStyle name="Normal 3 3 4 2 2 2 3 4" xfId="5429" xr:uid="{00000000-0005-0000-0000-000096500000}"/>
    <cellStyle name="Normal 3 3 4 2 2 2 3 4 2" xfId="25750" xr:uid="{00000000-0005-0000-0000-000097500000}"/>
    <cellStyle name="Normal 3 3 4 2 2 2 3 4 2 2" xfId="57621" xr:uid="{00000000-0005-0000-0000-000098500000}"/>
    <cellStyle name="Normal 3 3 4 2 2 2 3 4 3" xfId="37308" xr:uid="{00000000-0005-0000-0000-000099500000}"/>
    <cellStyle name="Normal 3 3 4 2 2 2 3 5" xfId="17872" xr:uid="{00000000-0005-0000-0000-00009A500000}"/>
    <cellStyle name="Normal 3 3 4 2 2 2 3 5 2" xfId="49743" xr:uid="{00000000-0005-0000-0000-00009B500000}"/>
    <cellStyle name="Normal 3 3 4 2 2 2 3 6" xfId="37301" xr:uid="{00000000-0005-0000-0000-00009C500000}"/>
    <cellStyle name="Normal 3 3 4 2 2 2 4" xfId="5430" xr:uid="{00000000-0005-0000-0000-00009D500000}"/>
    <cellStyle name="Normal 3 3 4 2 2 2 4 2" xfId="5431" xr:uid="{00000000-0005-0000-0000-00009E500000}"/>
    <cellStyle name="Normal 3 3 4 2 2 2 4 2 2" xfId="5432" xr:uid="{00000000-0005-0000-0000-00009F500000}"/>
    <cellStyle name="Normal 3 3 4 2 2 2 4 2 2 2" xfId="29691" xr:uid="{00000000-0005-0000-0000-0000A0500000}"/>
    <cellStyle name="Normal 3 3 4 2 2 2 4 2 2 2 2" xfId="61562" xr:uid="{00000000-0005-0000-0000-0000A1500000}"/>
    <cellStyle name="Normal 3 3 4 2 2 2 4 2 2 3" xfId="37311" xr:uid="{00000000-0005-0000-0000-0000A2500000}"/>
    <cellStyle name="Normal 3 3 4 2 2 2 4 2 3" xfId="21813" xr:uid="{00000000-0005-0000-0000-0000A3500000}"/>
    <cellStyle name="Normal 3 3 4 2 2 2 4 2 3 2" xfId="53684" xr:uid="{00000000-0005-0000-0000-0000A4500000}"/>
    <cellStyle name="Normal 3 3 4 2 2 2 4 2 4" xfId="37310" xr:uid="{00000000-0005-0000-0000-0000A5500000}"/>
    <cellStyle name="Normal 3 3 4 2 2 2 4 3" xfId="5433" xr:uid="{00000000-0005-0000-0000-0000A6500000}"/>
    <cellStyle name="Normal 3 3 4 2 2 2 4 3 2" xfId="25752" xr:uid="{00000000-0005-0000-0000-0000A7500000}"/>
    <cellStyle name="Normal 3 3 4 2 2 2 4 3 2 2" xfId="57623" xr:uid="{00000000-0005-0000-0000-0000A8500000}"/>
    <cellStyle name="Normal 3 3 4 2 2 2 4 3 3" xfId="37312" xr:uid="{00000000-0005-0000-0000-0000A9500000}"/>
    <cellStyle name="Normal 3 3 4 2 2 2 4 4" xfId="17874" xr:uid="{00000000-0005-0000-0000-0000AA500000}"/>
    <cellStyle name="Normal 3 3 4 2 2 2 4 4 2" xfId="49745" xr:uid="{00000000-0005-0000-0000-0000AB500000}"/>
    <cellStyle name="Normal 3 3 4 2 2 2 4 5" xfId="37309" xr:uid="{00000000-0005-0000-0000-0000AC500000}"/>
    <cellStyle name="Normal 3 3 4 2 2 2 5" xfId="5434" xr:uid="{00000000-0005-0000-0000-0000AD500000}"/>
    <cellStyle name="Normal 3 3 4 2 2 2 5 2" xfId="5435" xr:uid="{00000000-0005-0000-0000-0000AE500000}"/>
    <cellStyle name="Normal 3 3 4 2 2 2 5 2 2" xfId="29684" xr:uid="{00000000-0005-0000-0000-0000AF500000}"/>
    <cellStyle name="Normal 3 3 4 2 2 2 5 2 2 2" xfId="61555" xr:uid="{00000000-0005-0000-0000-0000B0500000}"/>
    <cellStyle name="Normal 3 3 4 2 2 2 5 2 3" xfId="37314" xr:uid="{00000000-0005-0000-0000-0000B1500000}"/>
    <cellStyle name="Normal 3 3 4 2 2 2 5 3" xfId="21806" xr:uid="{00000000-0005-0000-0000-0000B2500000}"/>
    <cellStyle name="Normal 3 3 4 2 2 2 5 3 2" xfId="53677" xr:uid="{00000000-0005-0000-0000-0000B3500000}"/>
    <cellStyle name="Normal 3 3 4 2 2 2 5 4" xfId="37313" xr:uid="{00000000-0005-0000-0000-0000B4500000}"/>
    <cellStyle name="Normal 3 3 4 2 2 2 6" xfId="5436" xr:uid="{00000000-0005-0000-0000-0000B5500000}"/>
    <cellStyle name="Normal 3 3 4 2 2 2 6 2" xfId="25745" xr:uid="{00000000-0005-0000-0000-0000B6500000}"/>
    <cellStyle name="Normal 3 3 4 2 2 2 6 2 2" xfId="57616" xr:uid="{00000000-0005-0000-0000-0000B7500000}"/>
    <cellStyle name="Normal 3 3 4 2 2 2 6 3" xfId="37315" xr:uid="{00000000-0005-0000-0000-0000B8500000}"/>
    <cellStyle name="Normal 3 3 4 2 2 2 7" xfId="17867" xr:uid="{00000000-0005-0000-0000-0000B9500000}"/>
    <cellStyle name="Normal 3 3 4 2 2 2 7 2" xfId="49738" xr:uid="{00000000-0005-0000-0000-0000BA500000}"/>
    <cellStyle name="Normal 3 3 4 2 2 2 8" xfId="37284" xr:uid="{00000000-0005-0000-0000-0000BB500000}"/>
    <cellStyle name="Normal 3 3 4 2 2 3" xfId="5437" xr:uid="{00000000-0005-0000-0000-0000BC500000}"/>
    <cellStyle name="Normal 3 3 4 2 2 3 2" xfId="5438" xr:uid="{00000000-0005-0000-0000-0000BD500000}"/>
    <cellStyle name="Normal 3 3 4 2 2 3 2 2" xfId="5439" xr:uid="{00000000-0005-0000-0000-0000BE500000}"/>
    <cellStyle name="Normal 3 3 4 2 2 3 2 2 2" xfId="5440" xr:uid="{00000000-0005-0000-0000-0000BF500000}"/>
    <cellStyle name="Normal 3 3 4 2 2 3 2 2 2 2" xfId="5441" xr:uid="{00000000-0005-0000-0000-0000C0500000}"/>
    <cellStyle name="Normal 3 3 4 2 2 3 2 2 2 2 2" xfId="29694" xr:uid="{00000000-0005-0000-0000-0000C1500000}"/>
    <cellStyle name="Normal 3 3 4 2 2 3 2 2 2 2 2 2" xfId="61565" xr:uid="{00000000-0005-0000-0000-0000C2500000}"/>
    <cellStyle name="Normal 3 3 4 2 2 3 2 2 2 2 3" xfId="37320" xr:uid="{00000000-0005-0000-0000-0000C3500000}"/>
    <cellStyle name="Normal 3 3 4 2 2 3 2 2 2 3" xfId="21816" xr:uid="{00000000-0005-0000-0000-0000C4500000}"/>
    <cellStyle name="Normal 3 3 4 2 2 3 2 2 2 3 2" xfId="53687" xr:uid="{00000000-0005-0000-0000-0000C5500000}"/>
    <cellStyle name="Normal 3 3 4 2 2 3 2 2 2 4" xfId="37319" xr:uid="{00000000-0005-0000-0000-0000C6500000}"/>
    <cellStyle name="Normal 3 3 4 2 2 3 2 2 3" xfId="5442" xr:uid="{00000000-0005-0000-0000-0000C7500000}"/>
    <cellStyle name="Normal 3 3 4 2 2 3 2 2 3 2" xfId="25755" xr:uid="{00000000-0005-0000-0000-0000C8500000}"/>
    <cellStyle name="Normal 3 3 4 2 2 3 2 2 3 2 2" xfId="57626" xr:uid="{00000000-0005-0000-0000-0000C9500000}"/>
    <cellStyle name="Normal 3 3 4 2 2 3 2 2 3 3" xfId="37321" xr:uid="{00000000-0005-0000-0000-0000CA500000}"/>
    <cellStyle name="Normal 3 3 4 2 2 3 2 2 4" xfId="17877" xr:uid="{00000000-0005-0000-0000-0000CB500000}"/>
    <cellStyle name="Normal 3 3 4 2 2 3 2 2 4 2" xfId="49748" xr:uid="{00000000-0005-0000-0000-0000CC500000}"/>
    <cellStyle name="Normal 3 3 4 2 2 3 2 2 5" xfId="37318" xr:uid="{00000000-0005-0000-0000-0000CD500000}"/>
    <cellStyle name="Normal 3 3 4 2 2 3 2 3" xfId="5443" xr:uid="{00000000-0005-0000-0000-0000CE500000}"/>
    <cellStyle name="Normal 3 3 4 2 2 3 2 3 2" xfId="5444" xr:uid="{00000000-0005-0000-0000-0000CF500000}"/>
    <cellStyle name="Normal 3 3 4 2 2 3 2 3 2 2" xfId="29693" xr:uid="{00000000-0005-0000-0000-0000D0500000}"/>
    <cellStyle name="Normal 3 3 4 2 2 3 2 3 2 2 2" xfId="61564" xr:uid="{00000000-0005-0000-0000-0000D1500000}"/>
    <cellStyle name="Normal 3 3 4 2 2 3 2 3 2 3" xfId="37323" xr:uid="{00000000-0005-0000-0000-0000D2500000}"/>
    <cellStyle name="Normal 3 3 4 2 2 3 2 3 3" xfId="21815" xr:uid="{00000000-0005-0000-0000-0000D3500000}"/>
    <cellStyle name="Normal 3 3 4 2 2 3 2 3 3 2" xfId="53686" xr:uid="{00000000-0005-0000-0000-0000D4500000}"/>
    <cellStyle name="Normal 3 3 4 2 2 3 2 3 4" xfId="37322" xr:uid="{00000000-0005-0000-0000-0000D5500000}"/>
    <cellStyle name="Normal 3 3 4 2 2 3 2 4" xfId="5445" xr:uid="{00000000-0005-0000-0000-0000D6500000}"/>
    <cellStyle name="Normal 3 3 4 2 2 3 2 4 2" xfId="25754" xr:uid="{00000000-0005-0000-0000-0000D7500000}"/>
    <cellStyle name="Normal 3 3 4 2 2 3 2 4 2 2" xfId="57625" xr:uid="{00000000-0005-0000-0000-0000D8500000}"/>
    <cellStyle name="Normal 3 3 4 2 2 3 2 4 3" xfId="37324" xr:uid="{00000000-0005-0000-0000-0000D9500000}"/>
    <cellStyle name="Normal 3 3 4 2 2 3 2 5" xfId="17876" xr:uid="{00000000-0005-0000-0000-0000DA500000}"/>
    <cellStyle name="Normal 3 3 4 2 2 3 2 5 2" xfId="49747" xr:uid="{00000000-0005-0000-0000-0000DB500000}"/>
    <cellStyle name="Normal 3 3 4 2 2 3 2 6" xfId="37317" xr:uid="{00000000-0005-0000-0000-0000DC500000}"/>
    <cellStyle name="Normal 3 3 4 2 2 3 3" xfId="5446" xr:uid="{00000000-0005-0000-0000-0000DD500000}"/>
    <cellStyle name="Normal 3 3 4 2 2 3 3 2" xfId="5447" xr:uid="{00000000-0005-0000-0000-0000DE500000}"/>
    <cellStyle name="Normal 3 3 4 2 2 3 3 2 2" xfId="5448" xr:uid="{00000000-0005-0000-0000-0000DF500000}"/>
    <cellStyle name="Normal 3 3 4 2 2 3 3 2 2 2" xfId="29695" xr:uid="{00000000-0005-0000-0000-0000E0500000}"/>
    <cellStyle name="Normal 3 3 4 2 2 3 3 2 2 2 2" xfId="61566" xr:uid="{00000000-0005-0000-0000-0000E1500000}"/>
    <cellStyle name="Normal 3 3 4 2 2 3 3 2 2 3" xfId="37327" xr:uid="{00000000-0005-0000-0000-0000E2500000}"/>
    <cellStyle name="Normal 3 3 4 2 2 3 3 2 3" xfId="21817" xr:uid="{00000000-0005-0000-0000-0000E3500000}"/>
    <cellStyle name="Normal 3 3 4 2 2 3 3 2 3 2" xfId="53688" xr:uid="{00000000-0005-0000-0000-0000E4500000}"/>
    <cellStyle name="Normal 3 3 4 2 2 3 3 2 4" xfId="37326" xr:uid="{00000000-0005-0000-0000-0000E5500000}"/>
    <cellStyle name="Normal 3 3 4 2 2 3 3 3" xfId="5449" xr:uid="{00000000-0005-0000-0000-0000E6500000}"/>
    <cellStyle name="Normal 3 3 4 2 2 3 3 3 2" xfId="25756" xr:uid="{00000000-0005-0000-0000-0000E7500000}"/>
    <cellStyle name="Normal 3 3 4 2 2 3 3 3 2 2" xfId="57627" xr:uid="{00000000-0005-0000-0000-0000E8500000}"/>
    <cellStyle name="Normal 3 3 4 2 2 3 3 3 3" xfId="37328" xr:uid="{00000000-0005-0000-0000-0000E9500000}"/>
    <cellStyle name="Normal 3 3 4 2 2 3 3 4" xfId="17878" xr:uid="{00000000-0005-0000-0000-0000EA500000}"/>
    <cellStyle name="Normal 3 3 4 2 2 3 3 4 2" xfId="49749" xr:uid="{00000000-0005-0000-0000-0000EB500000}"/>
    <cellStyle name="Normal 3 3 4 2 2 3 3 5" xfId="37325" xr:uid="{00000000-0005-0000-0000-0000EC500000}"/>
    <cellStyle name="Normal 3 3 4 2 2 3 4" xfId="5450" xr:uid="{00000000-0005-0000-0000-0000ED500000}"/>
    <cellStyle name="Normal 3 3 4 2 2 3 4 2" xfId="5451" xr:uid="{00000000-0005-0000-0000-0000EE500000}"/>
    <cellStyle name="Normal 3 3 4 2 2 3 4 2 2" xfId="29692" xr:uid="{00000000-0005-0000-0000-0000EF500000}"/>
    <cellStyle name="Normal 3 3 4 2 2 3 4 2 2 2" xfId="61563" xr:uid="{00000000-0005-0000-0000-0000F0500000}"/>
    <cellStyle name="Normal 3 3 4 2 2 3 4 2 3" xfId="37330" xr:uid="{00000000-0005-0000-0000-0000F1500000}"/>
    <cellStyle name="Normal 3 3 4 2 2 3 4 3" xfId="21814" xr:uid="{00000000-0005-0000-0000-0000F2500000}"/>
    <cellStyle name="Normal 3 3 4 2 2 3 4 3 2" xfId="53685" xr:uid="{00000000-0005-0000-0000-0000F3500000}"/>
    <cellStyle name="Normal 3 3 4 2 2 3 4 4" xfId="37329" xr:uid="{00000000-0005-0000-0000-0000F4500000}"/>
    <cellStyle name="Normal 3 3 4 2 2 3 5" xfId="5452" xr:uid="{00000000-0005-0000-0000-0000F5500000}"/>
    <cellStyle name="Normal 3 3 4 2 2 3 5 2" xfId="25753" xr:uid="{00000000-0005-0000-0000-0000F6500000}"/>
    <cellStyle name="Normal 3 3 4 2 2 3 5 2 2" xfId="57624" xr:uid="{00000000-0005-0000-0000-0000F7500000}"/>
    <cellStyle name="Normal 3 3 4 2 2 3 5 3" xfId="37331" xr:uid="{00000000-0005-0000-0000-0000F8500000}"/>
    <cellStyle name="Normal 3 3 4 2 2 3 6" xfId="17875" xr:uid="{00000000-0005-0000-0000-0000F9500000}"/>
    <cellStyle name="Normal 3 3 4 2 2 3 6 2" xfId="49746" xr:uid="{00000000-0005-0000-0000-0000FA500000}"/>
    <cellStyle name="Normal 3 3 4 2 2 3 7" xfId="37316" xr:uid="{00000000-0005-0000-0000-0000FB500000}"/>
    <cellStyle name="Normal 3 3 4 2 2 4" xfId="5453" xr:uid="{00000000-0005-0000-0000-0000FC500000}"/>
    <cellStyle name="Normal 3 3 4 2 2 4 2" xfId="5454" xr:uid="{00000000-0005-0000-0000-0000FD500000}"/>
    <cellStyle name="Normal 3 3 4 2 2 4 2 2" xfId="5455" xr:uid="{00000000-0005-0000-0000-0000FE500000}"/>
    <cellStyle name="Normal 3 3 4 2 2 4 2 2 2" xfId="5456" xr:uid="{00000000-0005-0000-0000-0000FF500000}"/>
    <cellStyle name="Normal 3 3 4 2 2 4 2 2 2 2" xfId="29697" xr:uid="{00000000-0005-0000-0000-000000510000}"/>
    <cellStyle name="Normal 3 3 4 2 2 4 2 2 2 2 2" xfId="61568" xr:uid="{00000000-0005-0000-0000-000001510000}"/>
    <cellStyle name="Normal 3 3 4 2 2 4 2 2 2 3" xfId="37335" xr:uid="{00000000-0005-0000-0000-000002510000}"/>
    <cellStyle name="Normal 3 3 4 2 2 4 2 2 3" xfId="21819" xr:uid="{00000000-0005-0000-0000-000003510000}"/>
    <cellStyle name="Normal 3 3 4 2 2 4 2 2 3 2" xfId="53690" xr:uid="{00000000-0005-0000-0000-000004510000}"/>
    <cellStyle name="Normal 3 3 4 2 2 4 2 2 4" xfId="37334" xr:uid="{00000000-0005-0000-0000-000005510000}"/>
    <cellStyle name="Normal 3 3 4 2 2 4 2 3" xfId="5457" xr:uid="{00000000-0005-0000-0000-000006510000}"/>
    <cellStyle name="Normal 3 3 4 2 2 4 2 3 2" xfId="25758" xr:uid="{00000000-0005-0000-0000-000007510000}"/>
    <cellStyle name="Normal 3 3 4 2 2 4 2 3 2 2" xfId="57629" xr:uid="{00000000-0005-0000-0000-000008510000}"/>
    <cellStyle name="Normal 3 3 4 2 2 4 2 3 3" xfId="37336" xr:uid="{00000000-0005-0000-0000-000009510000}"/>
    <cellStyle name="Normal 3 3 4 2 2 4 2 4" xfId="17880" xr:uid="{00000000-0005-0000-0000-00000A510000}"/>
    <cellStyle name="Normal 3 3 4 2 2 4 2 4 2" xfId="49751" xr:uid="{00000000-0005-0000-0000-00000B510000}"/>
    <cellStyle name="Normal 3 3 4 2 2 4 2 5" xfId="37333" xr:uid="{00000000-0005-0000-0000-00000C510000}"/>
    <cellStyle name="Normal 3 3 4 2 2 4 3" xfId="5458" xr:uid="{00000000-0005-0000-0000-00000D510000}"/>
    <cellStyle name="Normal 3 3 4 2 2 4 3 2" xfId="5459" xr:uid="{00000000-0005-0000-0000-00000E510000}"/>
    <cellStyle name="Normal 3 3 4 2 2 4 3 2 2" xfId="29696" xr:uid="{00000000-0005-0000-0000-00000F510000}"/>
    <cellStyle name="Normal 3 3 4 2 2 4 3 2 2 2" xfId="61567" xr:uid="{00000000-0005-0000-0000-000010510000}"/>
    <cellStyle name="Normal 3 3 4 2 2 4 3 2 3" xfId="37338" xr:uid="{00000000-0005-0000-0000-000011510000}"/>
    <cellStyle name="Normal 3 3 4 2 2 4 3 3" xfId="21818" xr:uid="{00000000-0005-0000-0000-000012510000}"/>
    <cellStyle name="Normal 3 3 4 2 2 4 3 3 2" xfId="53689" xr:uid="{00000000-0005-0000-0000-000013510000}"/>
    <cellStyle name="Normal 3 3 4 2 2 4 3 4" xfId="37337" xr:uid="{00000000-0005-0000-0000-000014510000}"/>
    <cellStyle name="Normal 3 3 4 2 2 4 4" xfId="5460" xr:uid="{00000000-0005-0000-0000-000015510000}"/>
    <cellStyle name="Normal 3 3 4 2 2 4 4 2" xfId="25757" xr:uid="{00000000-0005-0000-0000-000016510000}"/>
    <cellStyle name="Normal 3 3 4 2 2 4 4 2 2" xfId="57628" xr:uid="{00000000-0005-0000-0000-000017510000}"/>
    <cellStyle name="Normal 3 3 4 2 2 4 4 3" xfId="37339" xr:uid="{00000000-0005-0000-0000-000018510000}"/>
    <cellStyle name="Normal 3 3 4 2 2 4 5" xfId="17879" xr:uid="{00000000-0005-0000-0000-000019510000}"/>
    <cellStyle name="Normal 3 3 4 2 2 4 5 2" xfId="49750" xr:uid="{00000000-0005-0000-0000-00001A510000}"/>
    <cellStyle name="Normal 3 3 4 2 2 4 6" xfId="37332" xr:uid="{00000000-0005-0000-0000-00001B510000}"/>
    <cellStyle name="Normal 3 3 4 2 2 5" xfId="5461" xr:uid="{00000000-0005-0000-0000-00001C510000}"/>
    <cellStyle name="Normal 3 3 4 2 2 5 2" xfId="5462" xr:uid="{00000000-0005-0000-0000-00001D510000}"/>
    <cellStyle name="Normal 3 3 4 2 2 5 2 2" xfId="5463" xr:uid="{00000000-0005-0000-0000-00001E510000}"/>
    <cellStyle name="Normal 3 3 4 2 2 5 2 2 2" xfId="29698" xr:uid="{00000000-0005-0000-0000-00001F510000}"/>
    <cellStyle name="Normal 3 3 4 2 2 5 2 2 2 2" xfId="61569" xr:uid="{00000000-0005-0000-0000-000020510000}"/>
    <cellStyle name="Normal 3 3 4 2 2 5 2 2 3" xfId="37342" xr:uid="{00000000-0005-0000-0000-000021510000}"/>
    <cellStyle name="Normal 3 3 4 2 2 5 2 3" xfId="21820" xr:uid="{00000000-0005-0000-0000-000022510000}"/>
    <cellStyle name="Normal 3 3 4 2 2 5 2 3 2" xfId="53691" xr:uid="{00000000-0005-0000-0000-000023510000}"/>
    <cellStyle name="Normal 3 3 4 2 2 5 2 4" xfId="37341" xr:uid="{00000000-0005-0000-0000-000024510000}"/>
    <cellStyle name="Normal 3 3 4 2 2 5 3" xfId="5464" xr:uid="{00000000-0005-0000-0000-000025510000}"/>
    <cellStyle name="Normal 3 3 4 2 2 5 3 2" xfId="25759" xr:uid="{00000000-0005-0000-0000-000026510000}"/>
    <cellStyle name="Normal 3 3 4 2 2 5 3 2 2" xfId="57630" xr:uid="{00000000-0005-0000-0000-000027510000}"/>
    <cellStyle name="Normal 3 3 4 2 2 5 3 3" xfId="37343" xr:uid="{00000000-0005-0000-0000-000028510000}"/>
    <cellStyle name="Normal 3 3 4 2 2 5 4" xfId="17881" xr:uid="{00000000-0005-0000-0000-000029510000}"/>
    <cellStyle name="Normal 3 3 4 2 2 5 4 2" xfId="49752" xr:uid="{00000000-0005-0000-0000-00002A510000}"/>
    <cellStyle name="Normal 3 3 4 2 2 5 5" xfId="37340" xr:uid="{00000000-0005-0000-0000-00002B510000}"/>
    <cellStyle name="Normal 3 3 4 2 2 6" xfId="5465" xr:uid="{00000000-0005-0000-0000-00002C510000}"/>
    <cellStyle name="Normal 3 3 4 2 2 6 2" xfId="5466" xr:uid="{00000000-0005-0000-0000-00002D510000}"/>
    <cellStyle name="Normal 3 3 4 2 2 6 2 2" xfId="28443" xr:uid="{00000000-0005-0000-0000-00002E510000}"/>
    <cellStyle name="Normal 3 3 4 2 2 6 2 2 2" xfId="60314" xr:uid="{00000000-0005-0000-0000-00002F510000}"/>
    <cellStyle name="Normal 3 3 4 2 2 6 2 3" xfId="37345" xr:uid="{00000000-0005-0000-0000-000030510000}"/>
    <cellStyle name="Normal 3 3 4 2 2 6 3" xfId="20565" xr:uid="{00000000-0005-0000-0000-000031510000}"/>
    <cellStyle name="Normal 3 3 4 2 2 6 3 2" xfId="52436" xr:uid="{00000000-0005-0000-0000-000032510000}"/>
    <cellStyle name="Normal 3 3 4 2 2 6 4" xfId="37344" xr:uid="{00000000-0005-0000-0000-000033510000}"/>
    <cellStyle name="Normal 3 3 4 2 2 7" xfId="5467" xr:uid="{00000000-0005-0000-0000-000034510000}"/>
    <cellStyle name="Normal 3 3 4 2 2 7 2" xfId="24504" xr:uid="{00000000-0005-0000-0000-000035510000}"/>
    <cellStyle name="Normal 3 3 4 2 2 7 2 2" xfId="56375" xr:uid="{00000000-0005-0000-0000-000036510000}"/>
    <cellStyle name="Normal 3 3 4 2 2 7 3" xfId="37346" xr:uid="{00000000-0005-0000-0000-000037510000}"/>
    <cellStyle name="Normal 3 3 4 2 2 8" xfId="16626" xr:uid="{00000000-0005-0000-0000-000038510000}"/>
    <cellStyle name="Normal 3 3 4 2 2 8 2" xfId="48497" xr:uid="{00000000-0005-0000-0000-000039510000}"/>
    <cellStyle name="Normal 3 3 4 2 2 9" xfId="37283" xr:uid="{00000000-0005-0000-0000-00003A510000}"/>
    <cellStyle name="Normal 3 3 4 2 3" xfId="5468" xr:uid="{00000000-0005-0000-0000-00003B510000}"/>
    <cellStyle name="Normal 3 3 4 2 3 2" xfId="5469" xr:uid="{00000000-0005-0000-0000-00003C510000}"/>
    <cellStyle name="Normal 3 3 4 2 3 2 2" xfId="5470" xr:uid="{00000000-0005-0000-0000-00003D510000}"/>
    <cellStyle name="Normal 3 3 4 2 3 2 2 2" xfId="5471" xr:uid="{00000000-0005-0000-0000-00003E510000}"/>
    <cellStyle name="Normal 3 3 4 2 3 2 2 2 2" xfId="5472" xr:uid="{00000000-0005-0000-0000-00003F510000}"/>
    <cellStyle name="Normal 3 3 4 2 3 2 2 2 2 2" xfId="5473" xr:uid="{00000000-0005-0000-0000-000040510000}"/>
    <cellStyle name="Normal 3 3 4 2 3 2 2 2 2 2 2" xfId="29702" xr:uid="{00000000-0005-0000-0000-000041510000}"/>
    <cellStyle name="Normal 3 3 4 2 3 2 2 2 2 2 2 2" xfId="61573" xr:uid="{00000000-0005-0000-0000-000042510000}"/>
    <cellStyle name="Normal 3 3 4 2 3 2 2 2 2 2 3" xfId="37352" xr:uid="{00000000-0005-0000-0000-000043510000}"/>
    <cellStyle name="Normal 3 3 4 2 3 2 2 2 2 3" xfId="21824" xr:uid="{00000000-0005-0000-0000-000044510000}"/>
    <cellStyle name="Normal 3 3 4 2 3 2 2 2 2 3 2" xfId="53695" xr:uid="{00000000-0005-0000-0000-000045510000}"/>
    <cellStyle name="Normal 3 3 4 2 3 2 2 2 2 4" xfId="37351" xr:uid="{00000000-0005-0000-0000-000046510000}"/>
    <cellStyle name="Normal 3 3 4 2 3 2 2 2 3" xfId="5474" xr:uid="{00000000-0005-0000-0000-000047510000}"/>
    <cellStyle name="Normal 3 3 4 2 3 2 2 2 3 2" xfId="25763" xr:uid="{00000000-0005-0000-0000-000048510000}"/>
    <cellStyle name="Normal 3 3 4 2 3 2 2 2 3 2 2" xfId="57634" xr:uid="{00000000-0005-0000-0000-000049510000}"/>
    <cellStyle name="Normal 3 3 4 2 3 2 2 2 3 3" xfId="37353" xr:uid="{00000000-0005-0000-0000-00004A510000}"/>
    <cellStyle name="Normal 3 3 4 2 3 2 2 2 4" xfId="17885" xr:uid="{00000000-0005-0000-0000-00004B510000}"/>
    <cellStyle name="Normal 3 3 4 2 3 2 2 2 4 2" xfId="49756" xr:uid="{00000000-0005-0000-0000-00004C510000}"/>
    <cellStyle name="Normal 3 3 4 2 3 2 2 2 5" xfId="37350" xr:uid="{00000000-0005-0000-0000-00004D510000}"/>
    <cellStyle name="Normal 3 3 4 2 3 2 2 3" xfId="5475" xr:uid="{00000000-0005-0000-0000-00004E510000}"/>
    <cellStyle name="Normal 3 3 4 2 3 2 2 3 2" xfId="5476" xr:uid="{00000000-0005-0000-0000-00004F510000}"/>
    <cellStyle name="Normal 3 3 4 2 3 2 2 3 2 2" xfId="29701" xr:uid="{00000000-0005-0000-0000-000050510000}"/>
    <cellStyle name="Normal 3 3 4 2 3 2 2 3 2 2 2" xfId="61572" xr:uid="{00000000-0005-0000-0000-000051510000}"/>
    <cellStyle name="Normal 3 3 4 2 3 2 2 3 2 3" xfId="37355" xr:uid="{00000000-0005-0000-0000-000052510000}"/>
    <cellStyle name="Normal 3 3 4 2 3 2 2 3 3" xfId="21823" xr:uid="{00000000-0005-0000-0000-000053510000}"/>
    <cellStyle name="Normal 3 3 4 2 3 2 2 3 3 2" xfId="53694" xr:uid="{00000000-0005-0000-0000-000054510000}"/>
    <cellStyle name="Normal 3 3 4 2 3 2 2 3 4" xfId="37354" xr:uid="{00000000-0005-0000-0000-000055510000}"/>
    <cellStyle name="Normal 3 3 4 2 3 2 2 4" xfId="5477" xr:uid="{00000000-0005-0000-0000-000056510000}"/>
    <cellStyle name="Normal 3 3 4 2 3 2 2 4 2" xfId="25762" xr:uid="{00000000-0005-0000-0000-000057510000}"/>
    <cellStyle name="Normal 3 3 4 2 3 2 2 4 2 2" xfId="57633" xr:uid="{00000000-0005-0000-0000-000058510000}"/>
    <cellStyle name="Normal 3 3 4 2 3 2 2 4 3" xfId="37356" xr:uid="{00000000-0005-0000-0000-000059510000}"/>
    <cellStyle name="Normal 3 3 4 2 3 2 2 5" xfId="17884" xr:uid="{00000000-0005-0000-0000-00005A510000}"/>
    <cellStyle name="Normal 3 3 4 2 3 2 2 5 2" xfId="49755" xr:uid="{00000000-0005-0000-0000-00005B510000}"/>
    <cellStyle name="Normal 3 3 4 2 3 2 2 6" xfId="37349" xr:uid="{00000000-0005-0000-0000-00005C510000}"/>
    <cellStyle name="Normal 3 3 4 2 3 2 3" xfId="5478" xr:uid="{00000000-0005-0000-0000-00005D510000}"/>
    <cellStyle name="Normal 3 3 4 2 3 2 3 2" xfId="5479" xr:uid="{00000000-0005-0000-0000-00005E510000}"/>
    <cellStyle name="Normal 3 3 4 2 3 2 3 2 2" xfId="5480" xr:uid="{00000000-0005-0000-0000-00005F510000}"/>
    <cellStyle name="Normal 3 3 4 2 3 2 3 2 2 2" xfId="29703" xr:uid="{00000000-0005-0000-0000-000060510000}"/>
    <cellStyle name="Normal 3 3 4 2 3 2 3 2 2 2 2" xfId="61574" xr:uid="{00000000-0005-0000-0000-000061510000}"/>
    <cellStyle name="Normal 3 3 4 2 3 2 3 2 2 3" xfId="37359" xr:uid="{00000000-0005-0000-0000-000062510000}"/>
    <cellStyle name="Normal 3 3 4 2 3 2 3 2 3" xfId="21825" xr:uid="{00000000-0005-0000-0000-000063510000}"/>
    <cellStyle name="Normal 3 3 4 2 3 2 3 2 3 2" xfId="53696" xr:uid="{00000000-0005-0000-0000-000064510000}"/>
    <cellStyle name="Normal 3 3 4 2 3 2 3 2 4" xfId="37358" xr:uid="{00000000-0005-0000-0000-000065510000}"/>
    <cellStyle name="Normal 3 3 4 2 3 2 3 3" xfId="5481" xr:uid="{00000000-0005-0000-0000-000066510000}"/>
    <cellStyle name="Normal 3 3 4 2 3 2 3 3 2" xfId="25764" xr:uid="{00000000-0005-0000-0000-000067510000}"/>
    <cellStyle name="Normal 3 3 4 2 3 2 3 3 2 2" xfId="57635" xr:uid="{00000000-0005-0000-0000-000068510000}"/>
    <cellStyle name="Normal 3 3 4 2 3 2 3 3 3" xfId="37360" xr:uid="{00000000-0005-0000-0000-000069510000}"/>
    <cellStyle name="Normal 3 3 4 2 3 2 3 4" xfId="17886" xr:uid="{00000000-0005-0000-0000-00006A510000}"/>
    <cellStyle name="Normal 3 3 4 2 3 2 3 4 2" xfId="49757" xr:uid="{00000000-0005-0000-0000-00006B510000}"/>
    <cellStyle name="Normal 3 3 4 2 3 2 3 5" xfId="37357" xr:uid="{00000000-0005-0000-0000-00006C510000}"/>
    <cellStyle name="Normal 3 3 4 2 3 2 4" xfId="5482" xr:uid="{00000000-0005-0000-0000-00006D510000}"/>
    <cellStyle name="Normal 3 3 4 2 3 2 4 2" xfId="5483" xr:uid="{00000000-0005-0000-0000-00006E510000}"/>
    <cellStyle name="Normal 3 3 4 2 3 2 4 2 2" xfId="29700" xr:uid="{00000000-0005-0000-0000-00006F510000}"/>
    <cellStyle name="Normal 3 3 4 2 3 2 4 2 2 2" xfId="61571" xr:uid="{00000000-0005-0000-0000-000070510000}"/>
    <cellStyle name="Normal 3 3 4 2 3 2 4 2 3" xfId="37362" xr:uid="{00000000-0005-0000-0000-000071510000}"/>
    <cellStyle name="Normal 3 3 4 2 3 2 4 3" xfId="21822" xr:uid="{00000000-0005-0000-0000-000072510000}"/>
    <cellStyle name="Normal 3 3 4 2 3 2 4 3 2" xfId="53693" xr:uid="{00000000-0005-0000-0000-000073510000}"/>
    <cellStyle name="Normal 3 3 4 2 3 2 4 4" xfId="37361" xr:uid="{00000000-0005-0000-0000-000074510000}"/>
    <cellStyle name="Normal 3 3 4 2 3 2 5" xfId="5484" xr:uid="{00000000-0005-0000-0000-000075510000}"/>
    <cellStyle name="Normal 3 3 4 2 3 2 5 2" xfId="25761" xr:uid="{00000000-0005-0000-0000-000076510000}"/>
    <cellStyle name="Normal 3 3 4 2 3 2 5 2 2" xfId="57632" xr:uid="{00000000-0005-0000-0000-000077510000}"/>
    <cellStyle name="Normal 3 3 4 2 3 2 5 3" xfId="37363" xr:uid="{00000000-0005-0000-0000-000078510000}"/>
    <cellStyle name="Normal 3 3 4 2 3 2 6" xfId="17883" xr:uid="{00000000-0005-0000-0000-000079510000}"/>
    <cellStyle name="Normal 3 3 4 2 3 2 6 2" xfId="49754" xr:uid="{00000000-0005-0000-0000-00007A510000}"/>
    <cellStyle name="Normal 3 3 4 2 3 2 7" xfId="37348" xr:uid="{00000000-0005-0000-0000-00007B510000}"/>
    <cellStyle name="Normal 3 3 4 2 3 3" xfId="5485" xr:uid="{00000000-0005-0000-0000-00007C510000}"/>
    <cellStyle name="Normal 3 3 4 2 3 3 2" xfId="5486" xr:uid="{00000000-0005-0000-0000-00007D510000}"/>
    <cellStyle name="Normal 3 3 4 2 3 3 2 2" xfId="5487" xr:uid="{00000000-0005-0000-0000-00007E510000}"/>
    <cellStyle name="Normal 3 3 4 2 3 3 2 2 2" xfId="5488" xr:uid="{00000000-0005-0000-0000-00007F510000}"/>
    <cellStyle name="Normal 3 3 4 2 3 3 2 2 2 2" xfId="29705" xr:uid="{00000000-0005-0000-0000-000080510000}"/>
    <cellStyle name="Normal 3 3 4 2 3 3 2 2 2 2 2" xfId="61576" xr:uid="{00000000-0005-0000-0000-000081510000}"/>
    <cellStyle name="Normal 3 3 4 2 3 3 2 2 2 3" xfId="37367" xr:uid="{00000000-0005-0000-0000-000082510000}"/>
    <cellStyle name="Normal 3 3 4 2 3 3 2 2 3" xfId="21827" xr:uid="{00000000-0005-0000-0000-000083510000}"/>
    <cellStyle name="Normal 3 3 4 2 3 3 2 2 3 2" xfId="53698" xr:uid="{00000000-0005-0000-0000-000084510000}"/>
    <cellStyle name="Normal 3 3 4 2 3 3 2 2 4" xfId="37366" xr:uid="{00000000-0005-0000-0000-000085510000}"/>
    <cellStyle name="Normal 3 3 4 2 3 3 2 3" xfId="5489" xr:uid="{00000000-0005-0000-0000-000086510000}"/>
    <cellStyle name="Normal 3 3 4 2 3 3 2 3 2" xfId="25766" xr:uid="{00000000-0005-0000-0000-000087510000}"/>
    <cellStyle name="Normal 3 3 4 2 3 3 2 3 2 2" xfId="57637" xr:uid="{00000000-0005-0000-0000-000088510000}"/>
    <cellStyle name="Normal 3 3 4 2 3 3 2 3 3" xfId="37368" xr:uid="{00000000-0005-0000-0000-000089510000}"/>
    <cellStyle name="Normal 3 3 4 2 3 3 2 4" xfId="17888" xr:uid="{00000000-0005-0000-0000-00008A510000}"/>
    <cellStyle name="Normal 3 3 4 2 3 3 2 4 2" xfId="49759" xr:uid="{00000000-0005-0000-0000-00008B510000}"/>
    <cellStyle name="Normal 3 3 4 2 3 3 2 5" xfId="37365" xr:uid="{00000000-0005-0000-0000-00008C510000}"/>
    <cellStyle name="Normal 3 3 4 2 3 3 3" xfId="5490" xr:uid="{00000000-0005-0000-0000-00008D510000}"/>
    <cellStyle name="Normal 3 3 4 2 3 3 3 2" xfId="5491" xr:uid="{00000000-0005-0000-0000-00008E510000}"/>
    <cellStyle name="Normal 3 3 4 2 3 3 3 2 2" xfId="29704" xr:uid="{00000000-0005-0000-0000-00008F510000}"/>
    <cellStyle name="Normal 3 3 4 2 3 3 3 2 2 2" xfId="61575" xr:uid="{00000000-0005-0000-0000-000090510000}"/>
    <cellStyle name="Normal 3 3 4 2 3 3 3 2 3" xfId="37370" xr:uid="{00000000-0005-0000-0000-000091510000}"/>
    <cellStyle name="Normal 3 3 4 2 3 3 3 3" xfId="21826" xr:uid="{00000000-0005-0000-0000-000092510000}"/>
    <cellStyle name="Normal 3 3 4 2 3 3 3 3 2" xfId="53697" xr:uid="{00000000-0005-0000-0000-000093510000}"/>
    <cellStyle name="Normal 3 3 4 2 3 3 3 4" xfId="37369" xr:uid="{00000000-0005-0000-0000-000094510000}"/>
    <cellStyle name="Normal 3 3 4 2 3 3 4" xfId="5492" xr:uid="{00000000-0005-0000-0000-000095510000}"/>
    <cellStyle name="Normal 3 3 4 2 3 3 4 2" xfId="25765" xr:uid="{00000000-0005-0000-0000-000096510000}"/>
    <cellStyle name="Normal 3 3 4 2 3 3 4 2 2" xfId="57636" xr:uid="{00000000-0005-0000-0000-000097510000}"/>
    <cellStyle name="Normal 3 3 4 2 3 3 4 3" xfId="37371" xr:uid="{00000000-0005-0000-0000-000098510000}"/>
    <cellStyle name="Normal 3 3 4 2 3 3 5" xfId="17887" xr:uid="{00000000-0005-0000-0000-000099510000}"/>
    <cellStyle name="Normal 3 3 4 2 3 3 5 2" xfId="49758" xr:uid="{00000000-0005-0000-0000-00009A510000}"/>
    <cellStyle name="Normal 3 3 4 2 3 3 6" xfId="37364" xr:uid="{00000000-0005-0000-0000-00009B510000}"/>
    <cellStyle name="Normal 3 3 4 2 3 4" xfId="5493" xr:uid="{00000000-0005-0000-0000-00009C510000}"/>
    <cellStyle name="Normal 3 3 4 2 3 4 2" xfId="5494" xr:uid="{00000000-0005-0000-0000-00009D510000}"/>
    <cellStyle name="Normal 3 3 4 2 3 4 2 2" xfId="5495" xr:uid="{00000000-0005-0000-0000-00009E510000}"/>
    <cellStyle name="Normal 3 3 4 2 3 4 2 2 2" xfId="29706" xr:uid="{00000000-0005-0000-0000-00009F510000}"/>
    <cellStyle name="Normal 3 3 4 2 3 4 2 2 2 2" xfId="61577" xr:uid="{00000000-0005-0000-0000-0000A0510000}"/>
    <cellStyle name="Normal 3 3 4 2 3 4 2 2 3" xfId="37374" xr:uid="{00000000-0005-0000-0000-0000A1510000}"/>
    <cellStyle name="Normal 3 3 4 2 3 4 2 3" xfId="21828" xr:uid="{00000000-0005-0000-0000-0000A2510000}"/>
    <cellStyle name="Normal 3 3 4 2 3 4 2 3 2" xfId="53699" xr:uid="{00000000-0005-0000-0000-0000A3510000}"/>
    <cellStyle name="Normal 3 3 4 2 3 4 2 4" xfId="37373" xr:uid="{00000000-0005-0000-0000-0000A4510000}"/>
    <cellStyle name="Normal 3 3 4 2 3 4 3" xfId="5496" xr:uid="{00000000-0005-0000-0000-0000A5510000}"/>
    <cellStyle name="Normal 3 3 4 2 3 4 3 2" xfId="25767" xr:uid="{00000000-0005-0000-0000-0000A6510000}"/>
    <cellStyle name="Normal 3 3 4 2 3 4 3 2 2" xfId="57638" xr:uid="{00000000-0005-0000-0000-0000A7510000}"/>
    <cellStyle name="Normal 3 3 4 2 3 4 3 3" xfId="37375" xr:uid="{00000000-0005-0000-0000-0000A8510000}"/>
    <cellStyle name="Normal 3 3 4 2 3 4 4" xfId="17889" xr:uid="{00000000-0005-0000-0000-0000A9510000}"/>
    <cellStyle name="Normal 3 3 4 2 3 4 4 2" xfId="49760" xr:uid="{00000000-0005-0000-0000-0000AA510000}"/>
    <cellStyle name="Normal 3 3 4 2 3 4 5" xfId="37372" xr:uid="{00000000-0005-0000-0000-0000AB510000}"/>
    <cellStyle name="Normal 3 3 4 2 3 5" xfId="5497" xr:uid="{00000000-0005-0000-0000-0000AC510000}"/>
    <cellStyle name="Normal 3 3 4 2 3 5 2" xfId="5498" xr:uid="{00000000-0005-0000-0000-0000AD510000}"/>
    <cellStyle name="Normal 3 3 4 2 3 5 2 2" xfId="29699" xr:uid="{00000000-0005-0000-0000-0000AE510000}"/>
    <cellStyle name="Normal 3 3 4 2 3 5 2 2 2" xfId="61570" xr:uid="{00000000-0005-0000-0000-0000AF510000}"/>
    <cellStyle name="Normal 3 3 4 2 3 5 2 3" xfId="37377" xr:uid="{00000000-0005-0000-0000-0000B0510000}"/>
    <cellStyle name="Normal 3 3 4 2 3 5 3" xfId="21821" xr:uid="{00000000-0005-0000-0000-0000B1510000}"/>
    <cellStyle name="Normal 3 3 4 2 3 5 3 2" xfId="53692" xr:uid="{00000000-0005-0000-0000-0000B2510000}"/>
    <cellStyle name="Normal 3 3 4 2 3 5 4" xfId="37376" xr:uid="{00000000-0005-0000-0000-0000B3510000}"/>
    <cellStyle name="Normal 3 3 4 2 3 6" xfId="5499" xr:uid="{00000000-0005-0000-0000-0000B4510000}"/>
    <cellStyle name="Normal 3 3 4 2 3 6 2" xfId="25760" xr:uid="{00000000-0005-0000-0000-0000B5510000}"/>
    <cellStyle name="Normal 3 3 4 2 3 6 2 2" xfId="57631" xr:uid="{00000000-0005-0000-0000-0000B6510000}"/>
    <cellStyle name="Normal 3 3 4 2 3 6 3" xfId="37378" xr:uid="{00000000-0005-0000-0000-0000B7510000}"/>
    <cellStyle name="Normal 3 3 4 2 3 7" xfId="17882" xr:uid="{00000000-0005-0000-0000-0000B8510000}"/>
    <cellStyle name="Normal 3 3 4 2 3 7 2" xfId="49753" xr:uid="{00000000-0005-0000-0000-0000B9510000}"/>
    <cellStyle name="Normal 3 3 4 2 3 8" xfId="37347" xr:uid="{00000000-0005-0000-0000-0000BA510000}"/>
    <cellStyle name="Normal 3 3 4 2 4" xfId="5500" xr:uid="{00000000-0005-0000-0000-0000BB510000}"/>
    <cellStyle name="Normal 3 3 4 2 4 2" xfId="5501" xr:uid="{00000000-0005-0000-0000-0000BC510000}"/>
    <cellStyle name="Normal 3 3 4 2 4 2 2" xfId="5502" xr:uid="{00000000-0005-0000-0000-0000BD510000}"/>
    <cellStyle name="Normal 3 3 4 2 4 2 2 2" xfId="5503" xr:uid="{00000000-0005-0000-0000-0000BE510000}"/>
    <cellStyle name="Normal 3 3 4 2 4 2 2 2 2" xfId="5504" xr:uid="{00000000-0005-0000-0000-0000BF510000}"/>
    <cellStyle name="Normal 3 3 4 2 4 2 2 2 2 2" xfId="29709" xr:uid="{00000000-0005-0000-0000-0000C0510000}"/>
    <cellStyle name="Normal 3 3 4 2 4 2 2 2 2 2 2" xfId="61580" xr:uid="{00000000-0005-0000-0000-0000C1510000}"/>
    <cellStyle name="Normal 3 3 4 2 4 2 2 2 2 3" xfId="37383" xr:uid="{00000000-0005-0000-0000-0000C2510000}"/>
    <cellStyle name="Normal 3 3 4 2 4 2 2 2 3" xfId="21831" xr:uid="{00000000-0005-0000-0000-0000C3510000}"/>
    <cellStyle name="Normal 3 3 4 2 4 2 2 2 3 2" xfId="53702" xr:uid="{00000000-0005-0000-0000-0000C4510000}"/>
    <cellStyle name="Normal 3 3 4 2 4 2 2 2 4" xfId="37382" xr:uid="{00000000-0005-0000-0000-0000C5510000}"/>
    <cellStyle name="Normal 3 3 4 2 4 2 2 3" xfId="5505" xr:uid="{00000000-0005-0000-0000-0000C6510000}"/>
    <cellStyle name="Normal 3 3 4 2 4 2 2 3 2" xfId="25770" xr:uid="{00000000-0005-0000-0000-0000C7510000}"/>
    <cellStyle name="Normal 3 3 4 2 4 2 2 3 2 2" xfId="57641" xr:uid="{00000000-0005-0000-0000-0000C8510000}"/>
    <cellStyle name="Normal 3 3 4 2 4 2 2 3 3" xfId="37384" xr:uid="{00000000-0005-0000-0000-0000C9510000}"/>
    <cellStyle name="Normal 3 3 4 2 4 2 2 4" xfId="17892" xr:uid="{00000000-0005-0000-0000-0000CA510000}"/>
    <cellStyle name="Normal 3 3 4 2 4 2 2 4 2" xfId="49763" xr:uid="{00000000-0005-0000-0000-0000CB510000}"/>
    <cellStyle name="Normal 3 3 4 2 4 2 2 5" xfId="37381" xr:uid="{00000000-0005-0000-0000-0000CC510000}"/>
    <cellStyle name="Normal 3 3 4 2 4 2 3" xfId="5506" xr:uid="{00000000-0005-0000-0000-0000CD510000}"/>
    <cellStyle name="Normal 3 3 4 2 4 2 3 2" xfId="5507" xr:uid="{00000000-0005-0000-0000-0000CE510000}"/>
    <cellStyle name="Normal 3 3 4 2 4 2 3 2 2" xfId="29708" xr:uid="{00000000-0005-0000-0000-0000CF510000}"/>
    <cellStyle name="Normal 3 3 4 2 4 2 3 2 2 2" xfId="61579" xr:uid="{00000000-0005-0000-0000-0000D0510000}"/>
    <cellStyle name="Normal 3 3 4 2 4 2 3 2 3" xfId="37386" xr:uid="{00000000-0005-0000-0000-0000D1510000}"/>
    <cellStyle name="Normal 3 3 4 2 4 2 3 3" xfId="21830" xr:uid="{00000000-0005-0000-0000-0000D2510000}"/>
    <cellStyle name="Normal 3 3 4 2 4 2 3 3 2" xfId="53701" xr:uid="{00000000-0005-0000-0000-0000D3510000}"/>
    <cellStyle name="Normal 3 3 4 2 4 2 3 4" xfId="37385" xr:uid="{00000000-0005-0000-0000-0000D4510000}"/>
    <cellStyle name="Normal 3 3 4 2 4 2 4" xfId="5508" xr:uid="{00000000-0005-0000-0000-0000D5510000}"/>
    <cellStyle name="Normal 3 3 4 2 4 2 4 2" xfId="25769" xr:uid="{00000000-0005-0000-0000-0000D6510000}"/>
    <cellStyle name="Normal 3 3 4 2 4 2 4 2 2" xfId="57640" xr:uid="{00000000-0005-0000-0000-0000D7510000}"/>
    <cellStyle name="Normal 3 3 4 2 4 2 4 3" xfId="37387" xr:uid="{00000000-0005-0000-0000-0000D8510000}"/>
    <cellStyle name="Normal 3 3 4 2 4 2 5" xfId="17891" xr:uid="{00000000-0005-0000-0000-0000D9510000}"/>
    <cellStyle name="Normal 3 3 4 2 4 2 5 2" xfId="49762" xr:uid="{00000000-0005-0000-0000-0000DA510000}"/>
    <cellStyle name="Normal 3 3 4 2 4 2 6" xfId="37380" xr:uid="{00000000-0005-0000-0000-0000DB510000}"/>
    <cellStyle name="Normal 3 3 4 2 4 3" xfId="5509" xr:uid="{00000000-0005-0000-0000-0000DC510000}"/>
    <cellStyle name="Normal 3 3 4 2 4 3 2" xfId="5510" xr:uid="{00000000-0005-0000-0000-0000DD510000}"/>
    <cellStyle name="Normal 3 3 4 2 4 3 2 2" xfId="5511" xr:uid="{00000000-0005-0000-0000-0000DE510000}"/>
    <cellStyle name="Normal 3 3 4 2 4 3 2 2 2" xfId="29710" xr:uid="{00000000-0005-0000-0000-0000DF510000}"/>
    <cellStyle name="Normal 3 3 4 2 4 3 2 2 2 2" xfId="61581" xr:uid="{00000000-0005-0000-0000-0000E0510000}"/>
    <cellStyle name="Normal 3 3 4 2 4 3 2 2 3" xfId="37390" xr:uid="{00000000-0005-0000-0000-0000E1510000}"/>
    <cellStyle name="Normal 3 3 4 2 4 3 2 3" xfId="21832" xr:uid="{00000000-0005-0000-0000-0000E2510000}"/>
    <cellStyle name="Normal 3 3 4 2 4 3 2 3 2" xfId="53703" xr:uid="{00000000-0005-0000-0000-0000E3510000}"/>
    <cellStyle name="Normal 3 3 4 2 4 3 2 4" xfId="37389" xr:uid="{00000000-0005-0000-0000-0000E4510000}"/>
    <cellStyle name="Normal 3 3 4 2 4 3 3" xfId="5512" xr:uid="{00000000-0005-0000-0000-0000E5510000}"/>
    <cellStyle name="Normal 3 3 4 2 4 3 3 2" xfId="25771" xr:uid="{00000000-0005-0000-0000-0000E6510000}"/>
    <cellStyle name="Normal 3 3 4 2 4 3 3 2 2" xfId="57642" xr:uid="{00000000-0005-0000-0000-0000E7510000}"/>
    <cellStyle name="Normal 3 3 4 2 4 3 3 3" xfId="37391" xr:uid="{00000000-0005-0000-0000-0000E8510000}"/>
    <cellStyle name="Normal 3 3 4 2 4 3 4" xfId="17893" xr:uid="{00000000-0005-0000-0000-0000E9510000}"/>
    <cellStyle name="Normal 3 3 4 2 4 3 4 2" xfId="49764" xr:uid="{00000000-0005-0000-0000-0000EA510000}"/>
    <cellStyle name="Normal 3 3 4 2 4 3 5" xfId="37388" xr:uid="{00000000-0005-0000-0000-0000EB510000}"/>
    <cellStyle name="Normal 3 3 4 2 4 4" xfId="5513" xr:uid="{00000000-0005-0000-0000-0000EC510000}"/>
    <cellStyle name="Normal 3 3 4 2 4 4 2" xfId="5514" xr:uid="{00000000-0005-0000-0000-0000ED510000}"/>
    <cellStyle name="Normal 3 3 4 2 4 4 2 2" xfId="29707" xr:uid="{00000000-0005-0000-0000-0000EE510000}"/>
    <cellStyle name="Normal 3 3 4 2 4 4 2 2 2" xfId="61578" xr:uid="{00000000-0005-0000-0000-0000EF510000}"/>
    <cellStyle name="Normal 3 3 4 2 4 4 2 3" xfId="37393" xr:uid="{00000000-0005-0000-0000-0000F0510000}"/>
    <cellStyle name="Normal 3 3 4 2 4 4 3" xfId="21829" xr:uid="{00000000-0005-0000-0000-0000F1510000}"/>
    <cellStyle name="Normal 3 3 4 2 4 4 3 2" xfId="53700" xr:uid="{00000000-0005-0000-0000-0000F2510000}"/>
    <cellStyle name="Normal 3 3 4 2 4 4 4" xfId="37392" xr:uid="{00000000-0005-0000-0000-0000F3510000}"/>
    <cellStyle name="Normal 3 3 4 2 4 5" xfId="5515" xr:uid="{00000000-0005-0000-0000-0000F4510000}"/>
    <cellStyle name="Normal 3 3 4 2 4 5 2" xfId="25768" xr:uid="{00000000-0005-0000-0000-0000F5510000}"/>
    <cellStyle name="Normal 3 3 4 2 4 5 2 2" xfId="57639" xr:uid="{00000000-0005-0000-0000-0000F6510000}"/>
    <cellStyle name="Normal 3 3 4 2 4 5 3" xfId="37394" xr:uid="{00000000-0005-0000-0000-0000F7510000}"/>
    <cellStyle name="Normal 3 3 4 2 4 6" xfId="17890" xr:uid="{00000000-0005-0000-0000-0000F8510000}"/>
    <cellStyle name="Normal 3 3 4 2 4 6 2" xfId="49761" xr:uid="{00000000-0005-0000-0000-0000F9510000}"/>
    <cellStyle name="Normal 3 3 4 2 4 7" xfId="37379" xr:uid="{00000000-0005-0000-0000-0000FA510000}"/>
    <cellStyle name="Normal 3 3 4 2 5" xfId="5516" xr:uid="{00000000-0005-0000-0000-0000FB510000}"/>
    <cellStyle name="Normal 3 3 4 2 5 2" xfId="5517" xr:uid="{00000000-0005-0000-0000-0000FC510000}"/>
    <cellStyle name="Normal 3 3 4 2 5 2 2" xfId="5518" xr:uid="{00000000-0005-0000-0000-0000FD510000}"/>
    <cellStyle name="Normal 3 3 4 2 5 2 2 2" xfId="5519" xr:uid="{00000000-0005-0000-0000-0000FE510000}"/>
    <cellStyle name="Normal 3 3 4 2 5 2 2 2 2" xfId="29712" xr:uid="{00000000-0005-0000-0000-0000FF510000}"/>
    <cellStyle name="Normal 3 3 4 2 5 2 2 2 2 2" xfId="61583" xr:uid="{00000000-0005-0000-0000-000000520000}"/>
    <cellStyle name="Normal 3 3 4 2 5 2 2 2 3" xfId="37398" xr:uid="{00000000-0005-0000-0000-000001520000}"/>
    <cellStyle name="Normal 3 3 4 2 5 2 2 3" xfId="21834" xr:uid="{00000000-0005-0000-0000-000002520000}"/>
    <cellStyle name="Normal 3 3 4 2 5 2 2 3 2" xfId="53705" xr:uid="{00000000-0005-0000-0000-000003520000}"/>
    <cellStyle name="Normal 3 3 4 2 5 2 2 4" xfId="37397" xr:uid="{00000000-0005-0000-0000-000004520000}"/>
    <cellStyle name="Normal 3 3 4 2 5 2 3" xfId="5520" xr:uid="{00000000-0005-0000-0000-000005520000}"/>
    <cellStyle name="Normal 3 3 4 2 5 2 3 2" xfId="25773" xr:uid="{00000000-0005-0000-0000-000006520000}"/>
    <cellStyle name="Normal 3 3 4 2 5 2 3 2 2" xfId="57644" xr:uid="{00000000-0005-0000-0000-000007520000}"/>
    <cellStyle name="Normal 3 3 4 2 5 2 3 3" xfId="37399" xr:uid="{00000000-0005-0000-0000-000008520000}"/>
    <cellStyle name="Normal 3 3 4 2 5 2 4" xfId="17895" xr:uid="{00000000-0005-0000-0000-000009520000}"/>
    <cellStyle name="Normal 3 3 4 2 5 2 4 2" xfId="49766" xr:uid="{00000000-0005-0000-0000-00000A520000}"/>
    <cellStyle name="Normal 3 3 4 2 5 2 5" xfId="37396" xr:uid="{00000000-0005-0000-0000-00000B520000}"/>
    <cellStyle name="Normal 3 3 4 2 5 3" xfId="5521" xr:uid="{00000000-0005-0000-0000-00000C520000}"/>
    <cellStyle name="Normal 3 3 4 2 5 3 2" xfId="5522" xr:uid="{00000000-0005-0000-0000-00000D520000}"/>
    <cellStyle name="Normal 3 3 4 2 5 3 2 2" xfId="29711" xr:uid="{00000000-0005-0000-0000-00000E520000}"/>
    <cellStyle name="Normal 3 3 4 2 5 3 2 2 2" xfId="61582" xr:uid="{00000000-0005-0000-0000-00000F520000}"/>
    <cellStyle name="Normal 3 3 4 2 5 3 2 3" xfId="37401" xr:uid="{00000000-0005-0000-0000-000010520000}"/>
    <cellStyle name="Normal 3 3 4 2 5 3 3" xfId="21833" xr:uid="{00000000-0005-0000-0000-000011520000}"/>
    <cellStyle name="Normal 3 3 4 2 5 3 3 2" xfId="53704" xr:uid="{00000000-0005-0000-0000-000012520000}"/>
    <cellStyle name="Normal 3 3 4 2 5 3 4" xfId="37400" xr:uid="{00000000-0005-0000-0000-000013520000}"/>
    <cellStyle name="Normal 3 3 4 2 5 4" xfId="5523" xr:uid="{00000000-0005-0000-0000-000014520000}"/>
    <cellStyle name="Normal 3 3 4 2 5 4 2" xfId="25772" xr:uid="{00000000-0005-0000-0000-000015520000}"/>
    <cellStyle name="Normal 3 3 4 2 5 4 2 2" xfId="57643" xr:uid="{00000000-0005-0000-0000-000016520000}"/>
    <cellStyle name="Normal 3 3 4 2 5 4 3" xfId="37402" xr:uid="{00000000-0005-0000-0000-000017520000}"/>
    <cellStyle name="Normal 3 3 4 2 5 5" xfId="17894" xr:uid="{00000000-0005-0000-0000-000018520000}"/>
    <cellStyle name="Normal 3 3 4 2 5 5 2" xfId="49765" xr:uid="{00000000-0005-0000-0000-000019520000}"/>
    <cellStyle name="Normal 3 3 4 2 5 6" xfId="37395" xr:uid="{00000000-0005-0000-0000-00001A520000}"/>
    <cellStyle name="Normal 3 3 4 2 6" xfId="5524" xr:uid="{00000000-0005-0000-0000-00001B520000}"/>
    <cellStyle name="Normal 3 3 4 2 6 2" xfId="5525" xr:uid="{00000000-0005-0000-0000-00001C520000}"/>
    <cellStyle name="Normal 3 3 4 2 6 2 2" xfId="5526" xr:uid="{00000000-0005-0000-0000-00001D520000}"/>
    <cellStyle name="Normal 3 3 4 2 6 2 2 2" xfId="29713" xr:uid="{00000000-0005-0000-0000-00001E520000}"/>
    <cellStyle name="Normal 3 3 4 2 6 2 2 2 2" xfId="61584" xr:uid="{00000000-0005-0000-0000-00001F520000}"/>
    <cellStyle name="Normal 3 3 4 2 6 2 2 3" xfId="37405" xr:uid="{00000000-0005-0000-0000-000020520000}"/>
    <cellStyle name="Normal 3 3 4 2 6 2 3" xfId="21835" xr:uid="{00000000-0005-0000-0000-000021520000}"/>
    <cellStyle name="Normal 3 3 4 2 6 2 3 2" xfId="53706" xr:uid="{00000000-0005-0000-0000-000022520000}"/>
    <cellStyle name="Normal 3 3 4 2 6 2 4" xfId="37404" xr:uid="{00000000-0005-0000-0000-000023520000}"/>
    <cellStyle name="Normal 3 3 4 2 6 3" xfId="5527" xr:uid="{00000000-0005-0000-0000-000024520000}"/>
    <cellStyle name="Normal 3 3 4 2 6 3 2" xfId="25774" xr:uid="{00000000-0005-0000-0000-000025520000}"/>
    <cellStyle name="Normal 3 3 4 2 6 3 2 2" xfId="57645" xr:uid="{00000000-0005-0000-0000-000026520000}"/>
    <cellStyle name="Normal 3 3 4 2 6 3 3" xfId="37406" xr:uid="{00000000-0005-0000-0000-000027520000}"/>
    <cellStyle name="Normal 3 3 4 2 6 4" xfId="17896" xr:uid="{00000000-0005-0000-0000-000028520000}"/>
    <cellStyle name="Normal 3 3 4 2 6 4 2" xfId="49767" xr:uid="{00000000-0005-0000-0000-000029520000}"/>
    <cellStyle name="Normal 3 3 4 2 6 5" xfId="37403" xr:uid="{00000000-0005-0000-0000-00002A520000}"/>
    <cellStyle name="Normal 3 3 4 2 7" xfId="5528" xr:uid="{00000000-0005-0000-0000-00002B520000}"/>
    <cellStyle name="Normal 3 3 4 2 7 2" xfId="5529" xr:uid="{00000000-0005-0000-0000-00002C520000}"/>
    <cellStyle name="Normal 3 3 4 2 7 2 2" xfId="28320" xr:uid="{00000000-0005-0000-0000-00002D520000}"/>
    <cellStyle name="Normal 3 3 4 2 7 2 2 2" xfId="60191" xr:uid="{00000000-0005-0000-0000-00002E520000}"/>
    <cellStyle name="Normal 3 3 4 2 7 2 3" xfId="37408" xr:uid="{00000000-0005-0000-0000-00002F520000}"/>
    <cellStyle name="Normal 3 3 4 2 7 3" xfId="20442" xr:uid="{00000000-0005-0000-0000-000030520000}"/>
    <cellStyle name="Normal 3 3 4 2 7 3 2" xfId="52313" xr:uid="{00000000-0005-0000-0000-000031520000}"/>
    <cellStyle name="Normal 3 3 4 2 7 4" xfId="37407" xr:uid="{00000000-0005-0000-0000-000032520000}"/>
    <cellStyle name="Normal 3 3 4 2 8" xfId="5530" xr:uid="{00000000-0005-0000-0000-000033520000}"/>
    <cellStyle name="Normal 3 3 4 2 8 2" xfId="24381" xr:uid="{00000000-0005-0000-0000-000034520000}"/>
    <cellStyle name="Normal 3 3 4 2 8 2 2" xfId="56252" xr:uid="{00000000-0005-0000-0000-000035520000}"/>
    <cellStyle name="Normal 3 3 4 2 8 3" xfId="37409" xr:uid="{00000000-0005-0000-0000-000036520000}"/>
    <cellStyle name="Normal 3 3 4 2 9" xfId="16503" xr:uid="{00000000-0005-0000-0000-000037520000}"/>
    <cellStyle name="Normal 3 3 4 2 9 2" xfId="48374" xr:uid="{00000000-0005-0000-0000-000038520000}"/>
    <cellStyle name="Normal 3 3 4 3" xfId="5531" xr:uid="{00000000-0005-0000-0000-000039520000}"/>
    <cellStyle name="Normal 3 3 4 3 10" xfId="37410" xr:uid="{00000000-0005-0000-0000-00003A520000}"/>
    <cellStyle name="Normal 3 3 4 3 2" xfId="5532" xr:uid="{00000000-0005-0000-0000-00003B520000}"/>
    <cellStyle name="Normal 3 3 4 3 2 2" xfId="5533" xr:uid="{00000000-0005-0000-0000-00003C520000}"/>
    <cellStyle name="Normal 3 3 4 3 2 2 2" xfId="5534" xr:uid="{00000000-0005-0000-0000-00003D520000}"/>
    <cellStyle name="Normal 3 3 4 3 2 2 2 2" xfId="5535" xr:uid="{00000000-0005-0000-0000-00003E520000}"/>
    <cellStyle name="Normal 3 3 4 3 2 2 2 2 2" xfId="5536" xr:uid="{00000000-0005-0000-0000-00003F520000}"/>
    <cellStyle name="Normal 3 3 4 3 2 2 2 2 2 2" xfId="5537" xr:uid="{00000000-0005-0000-0000-000040520000}"/>
    <cellStyle name="Normal 3 3 4 3 2 2 2 2 2 2 2" xfId="5538" xr:uid="{00000000-0005-0000-0000-000041520000}"/>
    <cellStyle name="Normal 3 3 4 3 2 2 2 2 2 2 2 2" xfId="29717" xr:uid="{00000000-0005-0000-0000-000042520000}"/>
    <cellStyle name="Normal 3 3 4 3 2 2 2 2 2 2 2 2 2" xfId="61588" xr:uid="{00000000-0005-0000-0000-000043520000}"/>
    <cellStyle name="Normal 3 3 4 3 2 2 2 2 2 2 2 3" xfId="37417" xr:uid="{00000000-0005-0000-0000-000044520000}"/>
    <cellStyle name="Normal 3 3 4 3 2 2 2 2 2 2 3" xfId="21839" xr:uid="{00000000-0005-0000-0000-000045520000}"/>
    <cellStyle name="Normal 3 3 4 3 2 2 2 2 2 2 3 2" xfId="53710" xr:uid="{00000000-0005-0000-0000-000046520000}"/>
    <cellStyle name="Normal 3 3 4 3 2 2 2 2 2 2 4" xfId="37416" xr:uid="{00000000-0005-0000-0000-000047520000}"/>
    <cellStyle name="Normal 3 3 4 3 2 2 2 2 2 3" xfId="5539" xr:uid="{00000000-0005-0000-0000-000048520000}"/>
    <cellStyle name="Normal 3 3 4 3 2 2 2 2 2 3 2" xfId="25778" xr:uid="{00000000-0005-0000-0000-000049520000}"/>
    <cellStyle name="Normal 3 3 4 3 2 2 2 2 2 3 2 2" xfId="57649" xr:uid="{00000000-0005-0000-0000-00004A520000}"/>
    <cellStyle name="Normal 3 3 4 3 2 2 2 2 2 3 3" xfId="37418" xr:uid="{00000000-0005-0000-0000-00004B520000}"/>
    <cellStyle name="Normal 3 3 4 3 2 2 2 2 2 4" xfId="17900" xr:uid="{00000000-0005-0000-0000-00004C520000}"/>
    <cellStyle name="Normal 3 3 4 3 2 2 2 2 2 4 2" xfId="49771" xr:uid="{00000000-0005-0000-0000-00004D520000}"/>
    <cellStyle name="Normal 3 3 4 3 2 2 2 2 2 5" xfId="37415" xr:uid="{00000000-0005-0000-0000-00004E520000}"/>
    <cellStyle name="Normal 3 3 4 3 2 2 2 2 3" xfId="5540" xr:uid="{00000000-0005-0000-0000-00004F520000}"/>
    <cellStyle name="Normal 3 3 4 3 2 2 2 2 3 2" xfId="5541" xr:uid="{00000000-0005-0000-0000-000050520000}"/>
    <cellStyle name="Normal 3 3 4 3 2 2 2 2 3 2 2" xfId="29716" xr:uid="{00000000-0005-0000-0000-000051520000}"/>
    <cellStyle name="Normal 3 3 4 3 2 2 2 2 3 2 2 2" xfId="61587" xr:uid="{00000000-0005-0000-0000-000052520000}"/>
    <cellStyle name="Normal 3 3 4 3 2 2 2 2 3 2 3" xfId="37420" xr:uid="{00000000-0005-0000-0000-000053520000}"/>
    <cellStyle name="Normal 3 3 4 3 2 2 2 2 3 3" xfId="21838" xr:uid="{00000000-0005-0000-0000-000054520000}"/>
    <cellStyle name="Normal 3 3 4 3 2 2 2 2 3 3 2" xfId="53709" xr:uid="{00000000-0005-0000-0000-000055520000}"/>
    <cellStyle name="Normal 3 3 4 3 2 2 2 2 3 4" xfId="37419" xr:uid="{00000000-0005-0000-0000-000056520000}"/>
    <cellStyle name="Normal 3 3 4 3 2 2 2 2 4" xfId="5542" xr:uid="{00000000-0005-0000-0000-000057520000}"/>
    <cellStyle name="Normal 3 3 4 3 2 2 2 2 4 2" xfId="25777" xr:uid="{00000000-0005-0000-0000-000058520000}"/>
    <cellStyle name="Normal 3 3 4 3 2 2 2 2 4 2 2" xfId="57648" xr:uid="{00000000-0005-0000-0000-000059520000}"/>
    <cellStyle name="Normal 3 3 4 3 2 2 2 2 4 3" xfId="37421" xr:uid="{00000000-0005-0000-0000-00005A520000}"/>
    <cellStyle name="Normal 3 3 4 3 2 2 2 2 5" xfId="17899" xr:uid="{00000000-0005-0000-0000-00005B520000}"/>
    <cellStyle name="Normal 3 3 4 3 2 2 2 2 5 2" xfId="49770" xr:uid="{00000000-0005-0000-0000-00005C520000}"/>
    <cellStyle name="Normal 3 3 4 3 2 2 2 2 6" xfId="37414" xr:uid="{00000000-0005-0000-0000-00005D520000}"/>
    <cellStyle name="Normal 3 3 4 3 2 2 2 3" xfId="5543" xr:uid="{00000000-0005-0000-0000-00005E520000}"/>
    <cellStyle name="Normal 3 3 4 3 2 2 2 3 2" xfId="5544" xr:uid="{00000000-0005-0000-0000-00005F520000}"/>
    <cellStyle name="Normal 3 3 4 3 2 2 2 3 2 2" xfId="5545" xr:uid="{00000000-0005-0000-0000-000060520000}"/>
    <cellStyle name="Normal 3 3 4 3 2 2 2 3 2 2 2" xfId="29718" xr:uid="{00000000-0005-0000-0000-000061520000}"/>
    <cellStyle name="Normal 3 3 4 3 2 2 2 3 2 2 2 2" xfId="61589" xr:uid="{00000000-0005-0000-0000-000062520000}"/>
    <cellStyle name="Normal 3 3 4 3 2 2 2 3 2 2 3" xfId="37424" xr:uid="{00000000-0005-0000-0000-000063520000}"/>
    <cellStyle name="Normal 3 3 4 3 2 2 2 3 2 3" xfId="21840" xr:uid="{00000000-0005-0000-0000-000064520000}"/>
    <cellStyle name="Normal 3 3 4 3 2 2 2 3 2 3 2" xfId="53711" xr:uid="{00000000-0005-0000-0000-000065520000}"/>
    <cellStyle name="Normal 3 3 4 3 2 2 2 3 2 4" xfId="37423" xr:uid="{00000000-0005-0000-0000-000066520000}"/>
    <cellStyle name="Normal 3 3 4 3 2 2 2 3 3" xfId="5546" xr:uid="{00000000-0005-0000-0000-000067520000}"/>
    <cellStyle name="Normal 3 3 4 3 2 2 2 3 3 2" xfId="25779" xr:uid="{00000000-0005-0000-0000-000068520000}"/>
    <cellStyle name="Normal 3 3 4 3 2 2 2 3 3 2 2" xfId="57650" xr:uid="{00000000-0005-0000-0000-000069520000}"/>
    <cellStyle name="Normal 3 3 4 3 2 2 2 3 3 3" xfId="37425" xr:uid="{00000000-0005-0000-0000-00006A520000}"/>
    <cellStyle name="Normal 3 3 4 3 2 2 2 3 4" xfId="17901" xr:uid="{00000000-0005-0000-0000-00006B520000}"/>
    <cellStyle name="Normal 3 3 4 3 2 2 2 3 4 2" xfId="49772" xr:uid="{00000000-0005-0000-0000-00006C520000}"/>
    <cellStyle name="Normal 3 3 4 3 2 2 2 3 5" xfId="37422" xr:uid="{00000000-0005-0000-0000-00006D520000}"/>
    <cellStyle name="Normal 3 3 4 3 2 2 2 4" xfId="5547" xr:uid="{00000000-0005-0000-0000-00006E520000}"/>
    <cellStyle name="Normal 3 3 4 3 2 2 2 4 2" xfId="5548" xr:uid="{00000000-0005-0000-0000-00006F520000}"/>
    <cellStyle name="Normal 3 3 4 3 2 2 2 4 2 2" xfId="29715" xr:uid="{00000000-0005-0000-0000-000070520000}"/>
    <cellStyle name="Normal 3 3 4 3 2 2 2 4 2 2 2" xfId="61586" xr:uid="{00000000-0005-0000-0000-000071520000}"/>
    <cellStyle name="Normal 3 3 4 3 2 2 2 4 2 3" xfId="37427" xr:uid="{00000000-0005-0000-0000-000072520000}"/>
    <cellStyle name="Normal 3 3 4 3 2 2 2 4 3" xfId="21837" xr:uid="{00000000-0005-0000-0000-000073520000}"/>
    <cellStyle name="Normal 3 3 4 3 2 2 2 4 3 2" xfId="53708" xr:uid="{00000000-0005-0000-0000-000074520000}"/>
    <cellStyle name="Normal 3 3 4 3 2 2 2 4 4" xfId="37426" xr:uid="{00000000-0005-0000-0000-000075520000}"/>
    <cellStyle name="Normal 3 3 4 3 2 2 2 5" xfId="5549" xr:uid="{00000000-0005-0000-0000-000076520000}"/>
    <cellStyle name="Normal 3 3 4 3 2 2 2 5 2" xfId="25776" xr:uid="{00000000-0005-0000-0000-000077520000}"/>
    <cellStyle name="Normal 3 3 4 3 2 2 2 5 2 2" xfId="57647" xr:uid="{00000000-0005-0000-0000-000078520000}"/>
    <cellStyle name="Normal 3 3 4 3 2 2 2 5 3" xfId="37428" xr:uid="{00000000-0005-0000-0000-000079520000}"/>
    <cellStyle name="Normal 3 3 4 3 2 2 2 6" xfId="17898" xr:uid="{00000000-0005-0000-0000-00007A520000}"/>
    <cellStyle name="Normal 3 3 4 3 2 2 2 6 2" xfId="49769" xr:uid="{00000000-0005-0000-0000-00007B520000}"/>
    <cellStyle name="Normal 3 3 4 3 2 2 2 7" xfId="37413" xr:uid="{00000000-0005-0000-0000-00007C520000}"/>
    <cellStyle name="Normal 3 3 4 3 2 2 3" xfId="5550" xr:uid="{00000000-0005-0000-0000-00007D520000}"/>
    <cellStyle name="Normal 3 3 4 3 2 2 3 2" xfId="5551" xr:uid="{00000000-0005-0000-0000-00007E520000}"/>
    <cellStyle name="Normal 3 3 4 3 2 2 3 2 2" xfId="5552" xr:uid="{00000000-0005-0000-0000-00007F520000}"/>
    <cellStyle name="Normal 3 3 4 3 2 2 3 2 2 2" xfId="5553" xr:uid="{00000000-0005-0000-0000-000080520000}"/>
    <cellStyle name="Normal 3 3 4 3 2 2 3 2 2 2 2" xfId="29720" xr:uid="{00000000-0005-0000-0000-000081520000}"/>
    <cellStyle name="Normal 3 3 4 3 2 2 3 2 2 2 2 2" xfId="61591" xr:uid="{00000000-0005-0000-0000-000082520000}"/>
    <cellStyle name="Normal 3 3 4 3 2 2 3 2 2 2 3" xfId="37432" xr:uid="{00000000-0005-0000-0000-000083520000}"/>
    <cellStyle name="Normal 3 3 4 3 2 2 3 2 2 3" xfId="21842" xr:uid="{00000000-0005-0000-0000-000084520000}"/>
    <cellStyle name="Normal 3 3 4 3 2 2 3 2 2 3 2" xfId="53713" xr:uid="{00000000-0005-0000-0000-000085520000}"/>
    <cellStyle name="Normal 3 3 4 3 2 2 3 2 2 4" xfId="37431" xr:uid="{00000000-0005-0000-0000-000086520000}"/>
    <cellStyle name="Normal 3 3 4 3 2 2 3 2 3" xfId="5554" xr:uid="{00000000-0005-0000-0000-000087520000}"/>
    <cellStyle name="Normal 3 3 4 3 2 2 3 2 3 2" xfId="25781" xr:uid="{00000000-0005-0000-0000-000088520000}"/>
    <cellStyle name="Normal 3 3 4 3 2 2 3 2 3 2 2" xfId="57652" xr:uid="{00000000-0005-0000-0000-000089520000}"/>
    <cellStyle name="Normal 3 3 4 3 2 2 3 2 3 3" xfId="37433" xr:uid="{00000000-0005-0000-0000-00008A520000}"/>
    <cellStyle name="Normal 3 3 4 3 2 2 3 2 4" xfId="17903" xr:uid="{00000000-0005-0000-0000-00008B520000}"/>
    <cellStyle name="Normal 3 3 4 3 2 2 3 2 4 2" xfId="49774" xr:uid="{00000000-0005-0000-0000-00008C520000}"/>
    <cellStyle name="Normal 3 3 4 3 2 2 3 2 5" xfId="37430" xr:uid="{00000000-0005-0000-0000-00008D520000}"/>
    <cellStyle name="Normal 3 3 4 3 2 2 3 3" xfId="5555" xr:uid="{00000000-0005-0000-0000-00008E520000}"/>
    <cellStyle name="Normal 3 3 4 3 2 2 3 3 2" xfId="5556" xr:uid="{00000000-0005-0000-0000-00008F520000}"/>
    <cellStyle name="Normal 3 3 4 3 2 2 3 3 2 2" xfId="29719" xr:uid="{00000000-0005-0000-0000-000090520000}"/>
    <cellStyle name="Normal 3 3 4 3 2 2 3 3 2 2 2" xfId="61590" xr:uid="{00000000-0005-0000-0000-000091520000}"/>
    <cellStyle name="Normal 3 3 4 3 2 2 3 3 2 3" xfId="37435" xr:uid="{00000000-0005-0000-0000-000092520000}"/>
    <cellStyle name="Normal 3 3 4 3 2 2 3 3 3" xfId="21841" xr:uid="{00000000-0005-0000-0000-000093520000}"/>
    <cellStyle name="Normal 3 3 4 3 2 2 3 3 3 2" xfId="53712" xr:uid="{00000000-0005-0000-0000-000094520000}"/>
    <cellStyle name="Normal 3 3 4 3 2 2 3 3 4" xfId="37434" xr:uid="{00000000-0005-0000-0000-000095520000}"/>
    <cellStyle name="Normal 3 3 4 3 2 2 3 4" xfId="5557" xr:uid="{00000000-0005-0000-0000-000096520000}"/>
    <cellStyle name="Normal 3 3 4 3 2 2 3 4 2" xfId="25780" xr:uid="{00000000-0005-0000-0000-000097520000}"/>
    <cellStyle name="Normal 3 3 4 3 2 2 3 4 2 2" xfId="57651" xr:uid="{00000000-0005-0000-0000-000098520000}"/>
    <cellStyle name="Normal 3 3 4 3 2 2 3 4 3" xfId="37436" xr:uid="{00000000-0005-0000-0000-000099520000}"/>
    <cellStyle name="Normal 3 3 4 3 2 2 3 5" xfId="17902" xr:uid="{00000000-0005-0000-0000-00009A520000}"/>
    <cellStyle name="Normal 3 3 4 3 2 2 3 5 2" xfId="49773" xr:uid="{00000000-0005-0000-0000-00009B520000}"/>
    <cellStyle name="Normal 3 3 4 3 2 2 3 6" xfId="37429" xr:uid="{00000000-0005-0000-0000-00009C520000}"/>
    <cellStyle name="Normal 3 3 4 3 2 2 4" xfId="5558" xr:uid="{00000000-0005-0000-0000-00009D520000}"/>
    <cellStyle name="Normal 3 3 4 3 2 2 4 2" xfId="5559" xr:uid="{00000000-0005-0000-0000-00009E520000}"/>
    <cellStyle name="Normal 3 3 4 3 2 2 4 2 2" xfId="5560" xr:uid="{00000000-0005-0000-0000-00009F520000}"/>
    <cellStyle name="Normal 3 3 4 3 2 2 4 2 2 2" xfId="29721" xr:uid="{00000000-0005-0000-0000-0000A0520000}"/>
    <cellStyle name="Normal 3 3 4 3 2 2 4 2 2 2 2" xfId="61592" xr:uid="{00000000-0005-0000-0000-0000A1520000}"/>
    <cellStyle name="Normal 3 3 4 3 2 2 4 2 2 3" xfId="37439" xr:uid="{00000000-0005-0000-0000-0000A2520000}"/>
    <cellStyle name="Normal 3 3 4 3 2 2 4 2 3" xfId="21843" xr:uid="{00000000-0005-0000-0000-0000A3520000}"/>
    <cellStyle name="Normal 3 3 4 3 2 2 4 2 3 2" xfId="53714" xr:uid="{00000000-0005-0000-0000-0000A4520000}"/>
    <cellStyle name="Normal 3 3 4 3 2 2 4 2 4" xfId="37438" xr:uid="{00000000-0005-0000-0000-0000A5520000}"/>
    <cellStyle name="Normal 3 3 4 3 2 2 4 3" xfId="5561" xr:uid="{00000000-0005-0000-0000-0000A6520000}"/>
    <cellStyle name="Normal 3 3 4 3 2 2 4 3 2" xfId="25782" xr:uid="{00000000-0005-0000-0000-0000A7520000}"/>
    <cellStyle name="Normal 3 3 4 3 2 2 4 3 2 2" xfId="57653" xr:uid="{00000000-0005-0000-0000-0000A8520000}"/>
    <cellStyle name="Normal 3 3 4 3 2 2 4 3 3" xfId="37440" xr:uid="{00000000-0005-0000-0000-0000A9520000}"/>
    <cellStyle name="Normal 3 3 4 3 2 2 4 4" xfId="17904" xr:uid="{00000000-0005-0000-0000-0000AA520000}"/>
    <cellStyle name="Normal 3 3 4 3 2 2 4 4 2" xfId="49775" xr:uid="{00000000-0005-0000-0000-0000AB520000}"/>
    <cellStyle name="Normal 3 3 4 3 2 2 4 5" xfId="37437" xr:uid="{00000000-0005-0000-0000-0000AC520000}"/>
    <cellStyle name="Normal 3 3 4 3 2 2 5" xfId="5562" xr:uid="{00000000-0005-0000-0000-0000AD520000}"/>
    <cellStyle name="Normal 3 3 4 3 2 2 5 2" xfId="5563" xr:uid="{00000000-0005-0000-0000-0000AE520000}"/>
    <cellStyle name="Normal 3 3 4 3 2 2 5 2 2" xfId="29714" xr:uid="{00000000-0005-0000-0000-0000AF520000}"/>
    <cellStyle name="Normal 3 3 4 3 2 2 5 2 2 2" xfId="61585" xr:uid="{00000000-0005-0000-0000-0000B0520000}"/>
    <cellStyle name="Normal 3 3 4 3 2 2 5 2 3" xfId="37442" xr:uid="{00000000-0005-0000-0000-0000B1520000}"/>
    <cellStyle name="Normal 3 3 4 3 2 2 5 3" xfId="21836" xr:uid="{00000000-0005-0000-0000-0000B2520000}"/>
    <cellStyle name="Normal 3 3 4 3 2 2 5 3 2" xfId="53707" xr:uid="{00000000-0005-0000-0000-0000B3520000}"/>
    <cellStyle name="Normal 3 3 4 3 2 2 5 4" xfId="37441" xr:uid="{00000000-0005-0000-0000-0000B4520000}"/>
    <cellStyle name="Normal 3 3 4 3 2 2 6" xfId="5564" xr:uid="{00000000-0005-0000-0000-0000B5520000}"/>
    <cellStyle name="Normal 3 3 4 3 2 2 6 2" xfId="25775" xr:uid="{00000000-0005-0000-0000-0000B6520000}"/>
    <cellStyle name="Normal 3 3 4 3 2 2 6 2 2" xfId="57646" xr:uid="{00000000-0005-0000-0000-0000B7520000}"/>
    <cellStyle name="Normal 3 3 4 3 2 2 6 3" xfId="37443" xr:uid="{00000000-0005-0000-0000-0000B8520000}"/>
    <cellStyle name="Normal 3 3 4 3 2 2 7" xfId="17897" xr:uid="{00000000-0005-0000-0000-0000B9520000}"/>
    <cellStyle name="Normal 3 3 4 3 2 2 7 2" xfId="49768" xr:uid="{00000000-0005-0000-0000-0000BA520000}"/>
    <cellStyle name="Normal 3 3 4 3 2 2 8" xfId="37412" xr:uid="{00000000-0005-0000-0000-0000BB520000}"/>
    <cellStyle name="Normal 3 3 4 3 2 3" xfId="5565" xr:uid="{00000000-0005-0000-0000-0000BC520000}"/>
    <cellStyle name="Normal 3 3 4 3 2 3 2" xfId="5566" xr:uid="{00000000-0005-0000-0000-0000BD520000}"/>
    <cellStyle name="Normal 3 3 4 3 2 3 2 2" xfId="5567" xr:uid="{00000000-0005-0000-0000-0000BE520000}"/>
    <cellStyle name="Normal 3 3 4 3 2 3 2 2 2" xfId="5568" xr:uid="{00000000-0005-0000-0000-0000BF520000}"/>
    <cellStyle name="Normal 3 3 4 3 2 3 2 2 2 2" xfId="5569" xr:uid="{00000000-0005-0000-0000-0000C0520000}"/>
    <cellStyle name="Normal 3 3 4 3 2 3 2 2 2 2 2" xfId="29724" xr:uid="{00000000-0005-0000-0000-0000C1520000}"/>
    <cellStyle name="Normal 3 3 4 3 2 3 2 2 2 2 2 2" xfId="61595" xr:uid="{00000000-0005-0000-0000-0000C2520000}"/>
    <cellStyle name="Normal 3 3 4 3 2 3 2 2 2 2 3" xfId="37448" xr:uid="{00000000-0005-0000-0000-0000C3520000}"/>
    <cellStyle name="Normal 3 3 4 3 2 3 2 2 2 3" xfId="21846" xr:uid="{00000000-0005-0000-0000-0000C4520000}"/>
    <cellStyle name="Normal 3 3 4 3 2 3 2 2 2 3 2" xfId="53717" xr:uid="{00000000-0005-0000-0000-0000C5520000}"/>
    <cellStyle name="Normal 3 3 4 3 2 3 2 2 2 4" xfId="37447" xr:uid="{00000000-0005-0000-0000-0000C6520000}"/>
    <cellStyle name="Normal 3 3 4 3 2 3 2 2 3" xfId="5570" xr:uid="{00000000-0005-0000-0000-0000C7520000}"/>
    <cellStyle name="Normal 3 3 4 3 2 3 2 2 3 2" xfId="25785" xr:uid="{00000000-0005-0000-0000-0000C8520000}"/>
    <cellStyle name="Normal 3 3 4 3 2 3 2 2 3 2 2" xfId="57656" xr:uid="{00000000-0005-0000-0000-0000C9520000}"/>
    <cellStyle name="Normal 3 3 4 3 2 3 2 2 3 3" xfId="37449" xr:uid="{00000000-0005-0000-0000-0000CA520000}"/>
    <cellStyle name="Normal 3 3 4 3 2 3 2 2 4" xfId="17907" xr:uid="{00000000-0005-0000-0000-0000CB520000}"/>
    <cellStyle name="Normal 3 3 4 3 2 3 2 2 4 2" xfId="49778" xr:uid="{00000000-0005-0000-0000-0000CC520000}"/>
    <cellStyle name="Normal 3 3 4 3 2 3 2 2 5" xfId="37446" xr:uid="{00000000-0005-0000-0000-0000CD520000}"/>
    <cellStyle name="Normal 3 3 4 3 2 3 2 3" xfId="5571" xr:uid="{00000000-0005-0000-0000-0000CE520000}"/>
    <cellStyle name="Normal 3 3 4 3 2 3 2 3 2" xfId="5572" xr:uid="{00000000-0005-0000-0000-0000CF520000}"/>
    <cellStyle name="Normal 3 3 4 3 2 3 2 3 2 2" xfId="29723" xr:uid="{00000000-0005-0000-0000-0000D0520000}"/>
    <cellStyle name="Normal 3 3 4 3 2 3 2 3 2 2 2" xfId="61594" xr:uid="{00000000-0005-0000-0000-0000D1520000}"/>
    <cellStyle name="Normal 3 3 4 3 2 3 2 3 2 3" xfId="37451" xr:uid="{00000000-0005-0000-0000-0000D2520000}"/>
    <cellStyle name="Normal 3 3 4 3 2 3 2 3 3" xfId="21845" xr:uid="{00000000-0005-0000-0000-0000D3520000}"/>
    <cellStyle name="Normal 3 3 4 3 2 3 2 3 3 2" xfId="53716" xr:uid="{00000000-0005-0000-0000-0000D4520000}"/>
    <cellStyle name="Normal 3 3 4 3 2 3 2 3 4" xfId="37450" xr:uid="{00000000-0005-0000-0000-0000D5520000}"/>
    <cellStyle name="Normal 3 3 4 3 2 3 2 4" xfId="5573" xr:uid="{00000000-0005-0000-0000-0000D6520000}"/>
    <cellStyle name="Normal 3 3 4 3 2 3 2 4 2" xfId="25784" xr:uid="{00000000-0005-0000-0000-0000D7520000}"/>
    <cellStyle name="Normal 3 3 4 3 2 3 2 4 2 2" xfId="57655" xr:uid="{00000000-0005-0000-0000-0000D8520000}"/>
    <cellStyle name="Normal 3 3 4 3 2 3 2 4 3" xfId="37452" xr:uid="{00000000-0005-0000-0000-0000D9520000}"/>
    <cellStyle name="Normal 3 3 4 3 2 3 2 5" xfId="17906" xr:uid="{00000000-0005-0000-0000-0000DA520000}"/>
    <cellStyle name="Normal 3 3 4 3 2 3 2 5 2" xfId="49777" xr:uid="{00000000-0005-0000-0000-0000DB520000}"/>
    <cellStyle name="Normal 3 3 4 3 2 3 2 6" xfId="37445" xr:uid="{00000000-0005-0000-0000-0000DC520000}"/>
    <cellStyle name="Normal 3 3 4 3 2 3 3" xfId="5574" xr:uid="{00000000-0005-0000-0000-0000DD520000}"/>
    <cellStyle name="Normal 3 3 4 3 2 3 3 2" xfId="5575" xr:uid="{00000000-0005-0000-0000-0000DE520000}"/>
    <cellStyle name="Normal 3 3 4 3 2 3 3 2 2" xfId="5576" xr:uid="{00000000-0005-0000-0000-0000DF520000}"/>
    <cellStyle name="Normal 3 3 4 3 2 3 3 2 2 2" xfId="29725" xr:uid="{00000000-0005-0000-0000-0000E0520000}"/>
    <cellStyle name="Normal 3 3 4 3 2 3 3 2 2 2 2" xfId="61596" xr:uid="{00000000-0005-0000-0000-0000E1520000}"/>
    <cellStyle name="Normal 3 3 4 3 2 3 3 2 2 3" xfId="37455" xr:uid="{00000000-0005-0000-0000-0000E2520000}"/>
    <cellStyle name="Normal 3 3 4 3 2 3 3 2 3" xfId="21847" xr:uid="{00000000-0005-0000-0000-0000E3520000}"/>
    <cellStyle name="Normal 3 3 4 3 2 3 3 2 3 2" xfId="53718" xr:uid="{00000000-0005-0000-0000-0000E4520000}"/>
    <cellStyle name="Normal 3 3 4 3 2 3 3 2 4" xfId="37454" xr:uid="{00000000-0005-0000-0000-0000E5520000}"/>
    <cellStyle name="Normal 3 3 4 3 2 3 3 3" xfId="5577" xr:uid="{00000000-0005-0000-0000-0000E6520000}"/>
    <cellStyle name="Normal 3 3 4 3 2 3 3 3 2" xfId="25786" xr:uid="{00000000-0005-0000-0000-0000E7520000}"/>
    <cellStyle name="Normal 3 3 4 3 2 3 3 3 2 2" xfId="57657" xr:uid="{00000000-0005-0000-0000-0000E8520000}"/>
    <cellStyle name="Normal 3 3 4 3 2 3 3 3 3" xfId="37456" xr:uid="{00000000-0005-0000-0000-0000E9520000}"/>
    <cellStyle name="Normal 3 3 4 3 2 3 3 4" xfId="17908" xr:uid="{00000000-0005-0000-0000-0000EA520000}"/>
    <cellStyle name="Normal 3 3 4 3 2 3 3 4 2" xfId="49779" xr:uid="{00000000-0005-0000-0000-0000EB520000}"/>
    <cellStyle name="Normal 3 3 4 3 2 3 3 5" xfId="37453" xr:uid="{00000000-0005-0000-0000-0000EC520000}"/>
    <cellStyle name="Normal 3 3 4 3 2 3 4" xfId="5578" xr:uid="{00000000-0005-0000-0000-0000ED520000}"/>
    <cellStyle name="Normal 3 3 4 3 2 3 4 2" xfId="5579" xr:uid="{00000000-0005-0000-0000-0000EE520000}"/>
    <cellStyle name="Normal 3 3 4 3 2 3 4 2 2" xfId="29722" xr:uid="{00000000-0005-0000-0000-0000EF520000}"/>
    <cellStyle name="Normal 3 3 4 3 2 3 4 2 2 2" xfId="61593" xr:uid="{00000000-0005-0000-0000-0000F0520000}"/>
    <cellStyle name="Normal 3 3 4 3 2 3 4 2 3" xfId="37458" xr:uid="{00000000-0005-0000-0000-0000F1520000}"/>
    <cellStyle name="Normal 3 3 4 3 2 3 4 3" xfId="21844" xr:uid="{00000000-0005-0000-0000-0000F2520000}"/>
    <cellStyle name="Normal 3 3 4 3 2 3 4 3 2" xfId="53715" xr:uid="{00000000-0005-0000-0000-0000F3520000}"/>
    <cellStyle name="Normal 3 3 4 3 2 3 4 4" xfId="37457" xr:uid="{00000000-0005-0000-0000-0000F4520000}"/>
    <cellStyle name="Normal 3 3 4 3 2 3 5" xfId="5580" xr:uid="{00000000-0005-0000-0000-0000F5520000}"/>
    <cellStyle name="Normal 3 3 4 3 2 3 5 2" xfId="25783" xr:uid="{00000000-0005-0000-0000-0000F6520000}"/>
    <cellStyle name="Normal 3 3 4 3 2 3 5 2 2" xfId="57654" xr:uid="{00000000-0005-0000-0000-0000F7520000}"/>
    <cellStyle name="Normal 3 3 4 3 2 3 5 3" xfId="37459" xr:uid="{00000000-0005-0000-0000-0000F8520000}"/>
    <cellStyle name="Normal 3 3 4 3 2 3 6" xfId="17905" xr:uid="{00000000-0005-0000-0000-0000F9520000}"/>
    <cellStyle name="Normal 3 3 4 3 2 3 6 2" xfId="49776" xr:uid="{00000000-0005-0000-0000-0000FA520000}"/>
    <cellStyle name="Normal 3 3 4 3 2 3 7" xfId="37444" xr:uid="{00000000-0005-0000-0000-0000FB520000}"/>
    <cellStyle name="Normal 3 3 4 3 2 4" xfId="5581" xr:uid="{00000000-0005-0000-0000-0000FC520000}"/>
    <cellStyle name="Normal 3 3 4 3 2 4 2" xfId="5582" xr:uid="{00000000-0005-0000-0000-0000FD520000}"/>
    <cellStyle name="Normal 3 3 4 3 2 4 2 2" xfId="5583" xr:uid="{00000000-0005-0000-0000-0000FE520000}"/>
    <cellStyle name="Normal 3 3 4 3 2 4 2 2 2" xfId="5584" xr:uid="{00000000-0005-0000-0000-0000FF520000}"/>
    <cellStyle name="Normal 3 3 4 3 2 4 2 2 2 2" xfId="29727" xr:uid="{00000000-0005-0000-0000-000000530000}"/>
    <cellStyle name="Normal 3 3 4 3 2 4 2 2 2 2 2" xfId="61598" xr:uid="{00000000-0005-0000-0000-000001530000}"/>
    <cellStyle name="Normal 3 3 4 3 2 4 2 2 2 3" xfId="37463" xr:uid="{00000000-0005-0000-0000-000002530000}"/>
    <cellStyle name="Normal 3 3 4 3 2 4 2 2 3" xfId="21849" xr:uid="{00000000-0005-0000-0000-000003530000}"/>
    <cellStyle name="Normal 3 3 4 3 2 4 2 2 3 2" xfId="53720" xr:uid="{00000000-0005-0000-0000-000004530000}"/>
    <cellStyle name="Normal 3 3 4 3 2 4 2 2 4" xfId="37462" xr:uid="{00000000-0005-0000-0000-000005530000}"/>
    <cellStyle name="Normal 3 3 4 3 2 4 2 3" xfId="5585" xr:uid="{00000000-0005-0000-0000-000006530000}"/>
    <cellStyle name="Normal 3 3 4 3 2 4 2 3 2" xfId="25788" xr:uid="{00000000-0005-0000-0000-000007530000}"/>
    <cellStyle name="Normal 3 3 4 3 2 4 2 3 2 2" xfId="57659" xr:uid="{00000000-0005-0000-0000-000008530000}"/>
    <cellStyle name="Normal 3 3 4 3 2 4 2 3 3" xfId="37464" xr:uid="{00000000-0005-0000-0000-000009530000}"/>
    <cellStyle name="Normal 3 3 4 3 2 4 2 4" xfId="17910" xr:uid="{00000000-0005-0000-0000-00000A530000}"/>
    <cellStyle name="Normal 3 3 4 3 2 4 2 4 2" xfId="49781" xr:uid="{00000000-0005-0000-0000-00000B530000}"/>
    <cellStyle name="Normal 3 3 4 3 2 4 2 5" xfId="37461" xr:uid="{00000000-0005-0000-0000-00000C530000}"/>
    <cellStyle name="Normal 3 3 4 3 2 4 3" xfId="5586" xr:uid="{00000000-0005-0000-0000-00000D530000}"/>
    <cellStyle name="Normal 3 3 4 3 2 4 3 2" xfId="5587" xr:uid="{00000000-0005-0000-0000-00000E530000}"/>
    <cellStyle name="Normal 3 3 4 3 2 4 3 2 2" xfId="29726" xr:uid="{00000000-0005-0000-0000-00000F530000}"/>
    <cellStyle name="Normal 3 3 4 3 2 4 3 2 2 2" xfId="61597" xr:uid="{00000000-0005-0000-0000-000010530000}"/>
    <cellStyle name="Normal 3 3 4 3 2 4 3 2 3" xfId="37466" xr:uid="{00000000-0005-0000-0000-000011530000}"/>
    <cellStyle name="Normal 3 3 4 3 2 4 3 3" xfId="21848" xr:uid="{00000000-0005-0000-0000-000012530000}"/>
    <cellStyle name="Normal 3 3 4 3 2 4 3 3 2" xfId="53719" xr:uid="{00000000-0005-0000-0000-000013530000}"/>
    <cellStyle name="Normal 3 3 4 3 2 4 3 4" xfId="37465" xr:uid="{00000000-0005-0000-0000-000014530000}"/>
    <cellStyle name="Normal 3 3 4 3 2 4 4" xfId="5588" xr:uid="{00000000-0005-0000-0000-000015530000}"/>
    <cellStyle name="Normal 3 3 4 3 2 4 4 2" xfId="25787" xr:uid="{00000000-0005-0000-0000-000016530000}"/>
    <cellStyle name="Normal 3 3 4 3 2 4 4 2 2" xfId="57658" xr:uid="{00000000-0005-0000-0000-000017530000}"/>
    <cellStyle name="Normal 3 3 4 3 2 4 4 3" xfId="37467" xr:uid="{00000000-0005-0000-0000-000018530000}"/>
    <cellStyle name="Normal 3 3 4 3 2 4 5" xfId="17909" xr:uid="{00000000-0005-0000-0000-000019530000}"/>
    <cellStyle name="Normal 3 3 4 3 2 4 5 2" xfId="49780" xr:uid="{00000000-0005-0000-0000-00001A530000}"/>
    <cellStyle name="Normal 3 3 4 3 2 4 6" xfId="37460" xr:uid="{00000000-0005-0000-0000-00001B530000}"/>
    <cellStyle name="Normal 3 3 4 3 2 5" xfId="5589" xr:uid="{00000000-0005-0000-0000-00001C530000}"/>
    <cellStyle name="Normal 3 3 4 3 2 5 2" xfId="5590" xr:uid="{00000000-0005-0000-0000-00001D530000}"/>
    <cellStyle name="Normal 3 3 4 3 2 5 2 2" xfId="5591" xr:uid="{00000000-0005-0000-0000-00001E530000}"/>
    <cellStyle name="Normal 3 3 4 3 2 5 2 2 2" xfId="29728" xr:uid="{00000000-0005-0000-0000-00001F530000}"/>
    <cellStyle name="Normal 3 3 4 3 2 5 2 2 2 2" xfId="61599" xr:uid="{00000000-0005-0000-0000-000020530000}"/>
    <cellStyle name="Normal 3 3 4 3 2 5 2 2 3" xfId="37470" xr:uid="{00000000-0005-0000-0000-000021530000}"/>
    <cellStyle name="Normal 3 3 4 3 2 5 2 3" xfId="21850" xr:uid="{00000000-0005-0000-0000-000022530000}"/>
    <cellStyle name="Normal 3 3 4 3 2 5 2 3 2" xfId="53721" xr:uid="{00000000-0005-0000-0000-000023530000}"/>
    <cellStyle name="Normal 3 3 4 3 2 5 2 4" xfId="37469" xr:uid="{00000000-0005-0000-0000-000024530000}"/>
    <cellStyle name="Normal 3 3 4 3 2 5 3" xfId="5592" xr:uid="{00000000-0005-0000-0000-000025530000}"/>
    <cellStyle name="Normal 3 3 4 3 2 5 3 2" xfId="25789" xr:uid="{00000000-0005-0000-0000-000026530000}"/>
    <cellStyle name="Normal 3 3 4 3 2 5 3 2 2" xfId="57660" xr:uid="{00000000-0005-0000-0000-000027530000}"/>
    <cellStyle name="Normal 3 3 4 3 2 5 3 3" xfId="37471" xr:uid="{00000000-0005-0000-0000-000028530000}"/>
    <cellStyle name="Normal 3 3 4 3 2 5 4" xfId="17911" xr:uid="{00000000-0005-0000-0000-000029530000}"/>
    <cellStyle name="Normal 3 3 4 3 2 5 4 2" xfId="49782" xr:uid="{00000000-0005-0000-0000-00002A530000}"/>
    <cellStyle name="Normal 3 3 4 3 2 5 5" xfId="37468" xr:uid="{00000000-0005-0000-0000-00002B530000}"/>
    <cellStyle name="Normal 3 3 4 3 2 6" xfId="5593" xr:uid="{00000000-0005-0000-0000-00002C530000}"/>
    <cellStyle name="Normal 3 3 4 3 2 6 2" xfId="5594" xr:uid="{00000000-0005-0000-0000-00002D530000}"/>
    <cellStyle name="Normal 3 3 4 3 2 6 2 2" xfId="28484" xr:uid="{00000000-0005-0000-0000-00002E530000}"/>
    <cellStyle name="Normal 3 3 4 3 2 6 2 2 2" xfId="60355" xr:uid="{00000000-0005-0000-0000-00002F530000}"/>
    <cellStyle name="Normal 3 3 4 3 2 6 2 3" xfId="37473" xr:uid="{00000000-0005-0000-0000-000030530000}"/>
    <cellStyle name="Normal 3 3 4 3 2 6 3" xfId="20606" xr:uid="{00000000-0005-0000-0000-000031530000}"/>
    <cellStyle name="Normal 3 3 4 3 2 6 3 2" xfId="52477" xr:uid="{00000000-0005-0000-0000-000032530000}"/>
    <cellStyle name="Normal 3 3 4 3 2 6 4" xfId="37472" xr:uid="{00000000-0005-0000-0000-000033530000}"/>
    <cellStyle name="Normal 3 3 4 3 2 7" xfId="5595" xr:uid="{00000000-0005-0000-0000-000034530000}"/>
    <cellStyle name="Normal 3 3 4 3 2 7 2" xfId="24545" xr:uid="{00000000-0005-0000-0000-000035530000}"/>
    <cellStyle name="Normal 3 3 4 3 2 7 2 2" xfId="56416" xr:uid="{00000000-0005-0000-0000-000036530000}"/>
    <cellStyle name="Normal 3 3 4 3 2 7 3" xfId="37474" xr:uid="{00000000-0005-0000-0000-000037530000}"/>
    <cellStyle name="Normal 3 3 4 3 2 8" xfId="16667" xr:uid="{00000000-0005-0000-0000-000038530000}"/>
    <cellStyle name="Normal 3 3 4 3 2 8 2" xfId="48538" xr:uid="{00000000-0005-0000-0000-000039530000}"/>
    <cellStyle name="Normal 3 3 4 3 2 9" xfId="37411" xr:uid="{00000000-0005-0000-0000-00003A530000}"/>
    <cellStyle name="Normal 3 3 4 3 3" xfId="5596" xr:uid="{00000000-0005-0000-0000-00003B530000}"/>
    <cellStyle name="Normal 3 3 4 3 3 2" xfId="5597" xr:uid="{00000000-0005-0000-0000-00003C530000}"/>
    <cellStyle name="Normal 3 3 4 3 3 2 2" xfId="5598" xr:uid="{00000000-0005-0000-0000-00003D530000}"/>
    <cellStyle name="Normal 3 3 4 3 3 2 2 2" xfId="5599" xr:uid="{00000000-0005-0000-0000-00003E530000}"/>
    <cellStyle name="Normal 3 3 4 3 3 2 2 2 2" xfId="5600" xr:uid="{00000000-0005-0000-0000-00003F530000}"/>
    <cellStyle name="Normal 3 3 4 3 3 2 2 2 2 2" xfId="5601" xr:uid="{00000000-0005-0000-0000-000040530000}"/>
    <cellStyle name="Normal 3 3 4 3 3 2 2 2 2 2 2" xfId="29732" xr:uid="{00000000-0005-0000-0000-000041530000}"/>
    <cellStyle name="Normal 3 3 4 3 3 2 2 2 2 2 2 2" xfId="61603" xr:uid="{00000000-0005-0000-0000-000042530000}"/>
    <cellStyle name="Normal 3 3 4 3 3 2 2 2 2 2 3" xfId="37480" xr:uid="{00000000-0005-0000-0000-000043530000}"/>
    <cellStyle name="Normal 3 3 4 3 3 2 2 2 2 3" xfId="21854" xr:uid="{00000000-0005-0000-0000-000044530000}"/>
    <cellStyle name="Normal 3 3 4 3 3 2 2 2 2 3 2" xfId="53725" xr:uid="{00000000-0005-0000-0000-000045530000}"/>
    <cellStyle name="Normal 3 3 4 3 3 2 2 2 2 4" xfId="37479" xr:uid="{00000000-0005-0000-0000-000046530000}"/>
    <cellStyle name="Normal 3 3 4 3 3 2 2 2 3" xfId="5602" xr:uid="{00000000-0005-0000-0000-000047530000}"/>
    <cellStyle name="Normal 3 3 4 3 3 2 2 2 3 2" xfId="25793" xr:uid="{00000000-0005-0000-0000-000048530000}"/>
    <cellStyle name="Normal 3 3 4 3 3 2 2 2 3 2 2" xfId="57664" xr:uid="{00000000-0005-0000-0000-000049530000}"/>
    <cellStyle name="Normal 3 3 4 3 3 2 2 2 3 3" xfId="37481" xr:uid="{00000000-0005-0000-0000-00004A530000}"/>
    <cellStyle name="Normal 3 3 4 3 3 2 2 2 4" xfId="17915" xr:uid="{00000000-0005-0000-0000-00004B530000}"/>
    <cellStyle name="Normal 3 3 4 3 3 2 2 2 4 2" xfId="49786" xr:uid="{00000000-0005-0000-0000-00004C530000}"/>
    <cellStyle name="Normal 3 3 4 3 3 2 2 2 5" xfId="37478" xr:uid="{00000000-0005-0000-0000-00004D530000}"/>
    <cellStyle name="Normal 3 3 4 3 3 2 2 3" xfId="5603" xr:uid="{00000000-0005-0000-0000-00004E530000}"/>
    <cellStyle name="Normal 3 3 4 3 3 2 2 3 2" xfId="5604" xr:uid="{00000000-0005-0000-0000-00004F530000}"/>
    <cellStyle name="Normal 3 3 4 3 3 2 2 3 2 2" xfId="29731" xr:uid="{00000000-0005-0000-0000-000050530000}"/>
    <cellStyle name="Normal 3 3 4 3 3 2 2 3 2 2 2" xfId="61602" xr:uid="{00000000-0005-0000-0000-000051530000}"/>
    <cellStyle name="Normal 3 3 4 3 3 2 2 3 2 3" xfId="37483" xr:uid="{00000000-0005-0000-0000-000052530000}"/>
    <cellStyle name="Normal 3 3 4 3 3 2 2 3 3" xfId="21853" xr:uid="{00000000-0005-0000-0000-000053530000}"/>
    <cellStyle name="Normal 3 3 4 3 3 2 2 3 3 2" xfId="53724" xr:uid="{00000000-0005-0000-0000-000054530000}"/>
    <cellStyle name="Normal 3 3 4 3 3 2 2 3 4" xfId="37482" xr:uid="{00000000-0005-0000-0000-000055530000}"/>
    <cellStyle name="Normal 3 3 4 3 3 2 2 4" xfId="5605" xr:uid="{00000000-0005-0000-0000-000056530000}"/>
    <cellStyle name="Normal 3 3 4 3 3 2 2 4 2" xfId="25792" xr:uid="{00000000-0005-0000-0000-000057530000}"/>
    <cellStyle name="Normal 3 3 4 3 3 2 2 4 2 2" xfId="57663" xr:uid="{00000000-0005-0000-0000-000058530000}"/>
    <cellStyle name="Normal 3 3 4 3 3 2 2 4 3" xfId="37484" xr:uid="{00000000-0005-0000-0000-000059530000}"/>
    <cellStyle name="Normal 3 3 4 3 3 2 2 5" xfId="17914" xr:uid="{00000000-0005-0000-0000-00005A530000}"/>
    <cellStyle name="Normal 3 3 4 3 3 2 2 5 2" xfId="49785" xr:uid="{00000000-0005-0000-0000-00005B530000}"/>
    <cellStyle name="Normal 3 3 4 3 3 2 2 6" xfId="37477" xr:uid="{00000000-0005-0000-0000-00005C530000}"/>
    <cellStyle name="Normal 3 3 4 3 3 2 3" xfId="5606" xr:uid="{00000000-0005-0000-0000-00005D530000}"/>
    <cellStyle name="Normal 3 3 4 3 3 2 3 2" xfId="5607" xr:uid="{00000000-0005-0000-0000-00005E530000}"/>
    <cellStyle name="Normal 3 3 4 3 3 2 3 2 2" xfId="5608" xr:uid="{00000000-0005-0000-0000-00005F530000}"/>
    <cellStyle name="Normal 3 3 4 3 3 2 3 2 2 2" xfId="29733" xr:uid="{00000000-0005-0000-0000-000060530000}"/>
    <cellStyle name="Normal 3 3 4 3 3 2 3 2 2 2 2" xfId="61604" xr:uid="{00000000-0005-0000-0000-000061530000}"/>
    <cellStyle name="Normal 3 3 4 3 3 2 3 2 2 3" xfId="37487" xr:uid="{00000000-0005-0000-0000-000062530000}"/>
    <cellStyle name="Normal 3 3 4 3 3 2 3 2 3" xfId="21855" xr:uid="{00000000-0005-0000-0000-000063530000}"/>
    <cellStyle name="Normal 3 3 4 3 3 2 3 2 3 2" xfId="53726" xr:uid="{00000000-0005-0000-0000-000064530000}"/>
    <cellStyle name="Normal 3 3 4 3 3 2 3 2 4" xfId="37486" xr:uid="{00000000-0005-0000-0000-000065530000}"/>
    <cellStyle name="Normal 3 3 4 3 3 2 3 3" xfId="5609" xr:uid="{00000000-0005-0000-0000-000066530000}"/>
    <cellStyle name="Normal 3 3 4 3 3 2 3 3 2" xfId="25794" xr:uid="{00000000-0005-0000-0000-000067530000}"/>
    <cellStyle name="Normal 3 3 4 3 3 2 3 3 2 2" xfId="57665" xr:uid="{00000000-0005-0000-0000-000068530000}"/>
    <cellStyle name="Normal 3 3 4 3 3 2 3 3 3" xfId="37488" xr:uid="{00000000-0005-0000-0000-000069530000}"/>
    <cellStyle name="Normal 3 3 4 3 3 2 3 4" xfId="17916" xr:uid="{00000000-0005-0000-0000-00006A530000}"/>
    <cellStyle name="Normal 3 3 4 3 3 2 3 4 2" xfId="49787" xr:uid="{00000000-0005-0000-0000-00006B530000}"/>
    <cellStyle name="Normal 3 3 4 3 3 2 3 5" xfId="37485" xr:uid="{00000000-0005-0000-0000-00006C530000}"/>
    <cellStyle name="Normal 3 3 4 3 3 2 4" xfId="5610" xr:uid="{00000000-0005-0000-0000-00006D530000}"/>
    <cellStyle name="Normal 3 3 4 3 3 2 4 2" xfId="5611" xr:uid="{00000000-0005-0000-0000-00006E530000}"/>
    <cellStyle name="Normal 3 3 4 3 3 2 4 2 2" xfId="29730" xr:uid="{00000000-0005-0000-0000-00006F530000}"/>
    <cellStyle name="Normal 3 3 4 3 3 2 4 2 2 2" xfId="61601" xr:uid="{00000000-0005-0000-0000-000070530000}"/>
    <cellStyle name="Normal 3 3 4 3 3 2 4 2 3" xfId="37490" xr:uid="{00000000-0005-0000-0000-000071530000}"/>
    <cellStyle name="Normal 3 3 4 3 3 2 4 3" xfId="21852" xr:uid="{00000000-0005-0000-0000-000072530000}"/>
    <cellStyle name="Normal 3 3 4 3 3 2 4 3 2" xfId="53723" xr:uid="{00000000-0005-0000-0000-000073530000}"/>
    <cellStyle name="Normal 3 3 4 3 3 2 4 4" xfId="37489" xr:uid="{00000000-0005-0000-0000-000074530000}"/>
    <cellStyle name="Normal 3 3 4 3 3 2 5" xfId="5612" xr:uid="{00000000-0005-0000-0000-000075530000}"/>
    <cellStyle name="Normal 3 3 4 3 3 2 5 2" xfId="25791" xr:uid="{00000000-0005-0000-0000-000076530000}"/>
    <cellStyle name="Normal 3 3 4 3 3 2 5 2 2" xfId="57662" xr:uid="{00000000-0005-0000-0000-000077530000}"/>
    <cellStyle name="Normal 3 3 4 3 3 2 5 3" xfId="37491" xr:uid="{00000000-0005-0000-0000-000078530000}"/>
    <cellStyle name="Normal 3 3 4 3 3 2 6" xfId="17913" xr:uid="{00000000-0005-0000-0000-000079530000}"/>
    <cellStyle name="Normal 3 3 4 3 3 2 6 2" xfId="49784" xr:uid="{00000000-0005-0000-0000-00007A530000}"/>
    <cellStyle name="Normal 3 3 4 3 3 2 7" xfId="37476" xr:uid="{00000000-0005-0000-0000-00007B530000}"/>
    <cellStyle name="Normal 3 3 4 3 3 3" xfId="5613" xr:uid="{00000000-0005-0000-0000-00007C530000}"/>
    <cellStyle name="Normal 3 3 4 3 3 3 2" xfId="5614" xr:uid="{00000000-0005-0000-0000-00007D530000}"/>
    <cellStyle name="Normal 3 3 4 3 3 3 2 2" xfId="5615" xr:uid="{00000000-0005-0000-0000-00007E530000}"/>
    <cellStyle name="Normal 3 3 4 3 3 3 2 2 2" xfId="5616" xr:uid="{00000000-0005-0000-0000-00007F530000}"/>
    <cellStyle name="Normal 3 3 4 3 3 3 2 2 2 2" xfId="29735" xr:uid="{00000000-0005-0000-0000-000080530000}"/>
    <cellStyle name="Normal 3 3 4 3 3 3 2 2 2 2 2" xfId="61606" xr:uid="{00000000-0005-0000-0000-000081530000}"/>
    <cellStyle name="Normal 3 3 4 3 3 3 2 2 2 3" xfId="37495" xr:uid="{00000000-0005-0000-0000-000082530000}"/>
    <cellStyle name="Normal 3 3 4 3 3 3 2 2 3" xfId="21857" xr:uid="{00000000-0005-0000-0000-000083530000}"/>
    <cellStyle name="Normal 3 3 4 3 3 3 2 2 3 2" xfId="53728" xr:uid="{00000000-0005-0000-0000-000084530000}"/>
    <cellStyle name="Normal 3 3 4 3 3 3 2 2 4" xfId="37494" xr:uid="{00000000-0005-0000-0000-000085530000}"/>
    <cellStyle name="Normal 3 3 4 3 3 3 2 3" xfId="5617" xr:uid="{00000000-0005-0000-0000-000086530000}"/>
    <cellStyle name="Normal 3 3 4 3 3 3 2 3 2" xfId="25796" xr:uid="{00000000-0005-0000-0000-000087530000}"/>
    <cellStyle name="Normal 3 3 4 3 3 3 2 3 2 2" xfId="57667" xr:uid="{00000000-0005-0000-0000-000088530000}"/>
    <cellStyle name="Normal 3 3 4 3 3 3 2 3 3" xfId="37496" xr:uid="{00000000-0005-0000-0000-000089530000}"/>
    <cellStyle name="Normal 3 3 4 3 3 3 2 4" xfId="17918" xr:uid="{00000000-0005-0000-0000-00008A530000}"/>
    <cellStyle name="Normal 3 3 4 3 3 3 2 4 2" xfId="49789" xr:uid="{00000000-0005-0000-0000-00008B530000}"/>
    <cellStyle name="Normal 3 3 4 3 3 3 2 5" xfId="37493" xr:uid="{00000000-0005-0000-0000-00008C530000}"/>
    <cellStyle name="Normal 3 3 4 3 3 3 3" xfId="5618" xr:uid="{00000000-0005-0000-0000-00008D530000}"/>
    <cellStyle name="Normal 3 3 4 3 3 3 3 2" xfId="5619" xr:uid="{00000000-0005-0000-0000-00008E530000}"/>
    <cellStyle name="Normal 3 3 4 3 3 3 3 2 2" xfId="29734" xr:uid="{00000000-0005-0000-0000-00008F530000}"/>
    <cellStyle name="Normal 3 3 4 3 3 3 3 2 2 2" xfId="61605" xr:uid="{00000000-0005-0000-0000-000090530000}"/>
    <cellStyle name="Normal 3 3 4 3 3 3 3 2 3" xfId="37498" xr:uid="{00000000-0005-0000-0000-000091530000}"/>
    <cellStyle name="Normal 3 3 4 3 3 3 3 3" xfId="21856" xr:uid="{00000000-0005-0000-0000-000092530000}"/>
    <cellStyle name="Normal 3 3 4 3 3 3 3 3 2" xfId="53727" xr:uid="{00000000-0005-0000-0000-000093530000}"/>
    <cellStyle name="Normal 3 3 4 3 3 3 3 4" xfId="37497" xr:uid="{00000000-0005-0000-0000-000094530000}"/>
    <cellStyle name="Normal 3 3 4 3 3 3 4" xfId="5620" xr:uid="{00000000-0005-0000-0000-000095530000}"/>
    <cellStyle name="Normal 3 3 4 3 3 3 4 2" xfId="25795" xr:uid="{00000000-0005-0000-0000-000096530000}"/>
    <cellStyle name="Normal 3 3 4 3 3 3 4 2 2" xfId="57666" xr:uid="{00000000-0005-0000-0000-000097530000}"/>
    <cellStyle name="Normal 3 3 4 3 3 3 4 3" xfId="37499" xr:uid="{00000000-0005-0000-0000-000098530000}"/>
    <cellStyle name="Normal 3 3 4 3 3 3 5" xfId="17917" xr:uid="{00000000-0005-0000-0000-000099530000}"/>
    <cellStyle name="Normal 3 3 4 3 3 3 5 2" xfId="49788" xr:uid="{00000000-0005-0000-0000-00009A530000}"/>
    <cellStyle name="Normal 3 3 4 3 3 3 6" xfId="37492" xr:uid="{00000000-0005-0000-0000-00009B530000}"/>
    <cellStyle name="Normal 3 3 4 3 3 4" xfId="5621" xr:uid="{00000000-0005-0000-0000-00009C530000}"/>
    <cellStyle name="Normal 3 3 4 3 3 4 2" xfId="5622" xr:uid="{00000000-0005-0000-0000-00009D530000}"/>
    <cellStyle name="Normal 3 3 4 3 3 4 2 2" xfId="5623" xr:uid="{00000000-0005-0000-0000-00009E530000}"/>
    <cellStyle name="Normal 3 3 4 3 3 4 2 2 2" xfId="29736" xr:uid="{00000000-0005-0000-0000-00009F530000}"/>
    <cellStyle name="Normal 3 3 4 3 3 4 2 2 2 2" xfId="61607" xr:uid="{00000000-0005-0000-0000-0000A0530000}"/>
    <cellStyle name="Normal 3 3 4 3 3 4 2 2 3" xfId="37502" xr:uid="{00000000-0005-0000-0000-0000A1530000}"/>
    <cellStyle name="Normal 3 3 4 3 3 4 2 3" xfId="21858" xr:uid="{00000000-0005-0000-0000-0000A2530000}"/>
    <cellStyle name="Normal 3 3 4 3 3 4 2 3 2" xfId="53729" xr:uid="{00000000-0005-0000-0000-0000A3530000}"/>
    <cellStyle name="Normal 3 3 4 3 3 4 2 4" xfId="37501" xr:uid="{00000000-0005-0000-0000-0000A4530000}"/>
    <cellStyle name="Normal 3 3 4 3 3 4 3" xfId="5624" xr:uid="{00000000-0005-0000-0000-0000A5530000}"/>
    <cellStyle name="Normal 3 3 4 3 3 4 3 2" xfId="25797" xr:uid="{00000000-0005-0000-0000-0000A6530000}"/>
    <cellStyle name="Normal 3 3 4 3 3 4 3 2 2" xfId="57668" xr:uid="{00000000-0005-0000-0000-0000A7530000}"/>
    <cellStyle name="Normal 3 3 4 3 3 4 3 3" xfId="37503" xr:uid="{00000000-0005-0000-0000-0000A8530000}"/>
    <cellStyle name="Normal 3 3 4 3 3 4 4" xfId="17919" xr:uid="{00000000-0005-0000-0000-0000A9530000}"/>
    <cellStyle name="Normal 3 3 4 3 3 4 4 2" xfId="49790" xr:uid="{00000000-0005-0000-0000-0000AA530000}"/>
    <cellStyle name="Normal 3 3 4 3 3 4 5" xfId="37500" xr:uid="{00000000-0005-0000-0000-0000AB530000}"/>
    <cellStyle name="Normal 3 3 4 3 3 5" xfId="5625" xr:uid="{00000000-0005-0000-0000-0000AC530000}"/>
    <cellStyle name="Normal 3 3 4 3 3 5 2" xfId="5626" xr:uid="{00000000-0005-0000-0000-0000AD530000}"/>
    <cellStyle name="Normal 3 3 4 3 3 5 2 2" xfId="29729" xr:uid="{00000000-0005-0000-0000-0000AE530000}"/>
    <cellStyle name="Normal 3 3 4 3 3 5 2 2 2" xfId="61600" xr:uid="{00000000-0005-0000-0000-0000AF530000}"/>
    <cellStyle name="Normal 3 3 4 3 3 5 2 3" xfId="37505" xr:uid="{00000000-0005-0000-0000-0000B0530000}"/>
    <cellStyle name="Normal 3 3 4 3 3 5 3" xfId="21851" xr:uid="{00000000-0005-0000-0000-0000B1530000}"/>
    <cellStyle name="Normal 3 3 4 3 3 5 3 2" xfId="53722" xr:uid="{00000000-0005-0000-0000-0000B2530000}"/>
    <cellStyle name="Normal 3 3 4 3 3 5 4" xfId="37504" xr:uid="{00000000-0005-0000-0000-0000B3530000}"/>
    <cellStyle name="Normal 3 3 4 3 3 6" xfId="5627" xr:uid="{00000000-0005-0000-0000-0000B4530000}"/>
    <cellStyle name="Normal 3 3 4 3 3 6 2" xfId="25790" xr:uid="{00000000-0005-0000-0000-0000B5530000}"/>
    <cellStyle name="Normal 3 3 4 3 3 6 2 2" xfId="57661" xr:uid="{00000000-0005-0000-0000-0000B6530000}"/>
    <cellStyle name="Normal 3 3 4 3 3 6 3" xfId="37506" xr:uid="{00000000-0005-0000-0000-0000B7530000}"/>
    <cellStyle name="Normal 3 3 4 3 3 7" xfId="17912" xr:uid="{00000000-0005-0000-0000-0000B8530000}"/>
    <cellStyle name="Normal 3 3 4 3 3 7 2" xfId="49783" xr:uid="{00000000-0005-0000-0000-0000B9530000}"/>
    <cellStyle name="Normal 3 3 4 3 3 8" xfId="37475" xr:uid="{00000000-0005-0000-0000-0000BA530000}"/>
    <cellStyle name="Normal 3 3 4 3 4" xfId="5628" xr:uid="{00000000-0005-0000-0000-0000BB530000}"/>
    <cellStyle name="Normal 3 3 4 3 4 2" xfId="5629" xr:uid="{00000000-0005-0000-0000-0000BC530000}"/>
    <cellStyle name="Normal 3 3 4 3 4 2 2" xfId="5630" xr:uid="{00000000-0005-0000-0000-0000BD530000}"/>
    <cellStyle name="Normal 3 3 4 3 4 2 2 2" xfId="5631" xr:uid="{00000000-0005-0000-0000-0000BE530000}"/>
    <cellStyle name="Normal 3 3 4 3 4 2 2 2 2" xfId="5632" xr:uid="{00000000-0005-0000-0000-0000BF530000}"/>
    <cellStyle name="Normal 3 3 4 3 4 2 2 2 2 2" xfId="29739" xr:uid="{00000000-0005-0000-0000-0000C0530000}"/>
    <cellStyle name="Normal 3 3 4 3 4 2 2 2 2 2 2" xfId="61610" xr:uid="{00000000-0005-0000-0000-0000C1530000}"/>
    <cellStyle name="Normal 3 3 4 3 4 2 2 2 2 3" xfId="37511" xr:uid="{00000000-0005-0000-0000-0000C2530000}"/>
    <cellStyle name="Normal 3 3 4 3 4 2 2 2 3" xfId="21861" xr:uid="{00000000-0005-0000-0000-0000C3530000}"/>
    <cellStyle name="Normal 3 3 4 3 4 2 2 2 3 2" xfId="53732" xr:uid="{00000000-0005-0000-0000-0000C4530000}"/>
    <cellStyle name="Normal 3 3 4 3 4 2 2 2 4" xfId="37510" xr:uid="{00000000-0005-0000-0000-0000C5530000}"/>
    <cellStyle name="Normal 3 3 4 3 4 2 2 3" xfId="5633" xr:uid="{00000000-0005-0000-0000-0000C6530000}"/>
    <cellStyle name="Normal 3 3 4 3 4 2 2 3 2" xfId="25800" xr:uid="{00000000-0005-0000-0000-0000C7530000}"/>
    <cellStyle name="Normal 3 3 4 3 4 2 2 3 2 2" xfId="57671" xr:uid="{00000000-0005-0000-0000-0000C8530000}"/>
    <cellStyle name="Normal 3 3 4 3 4 2 2 3 3" xfId="37512" xr:uid="{00000000-0005-0000-0000-0000C9530000}"/>
    <cellStyle name="Normal 3 3 4 3 4 2 2 4" xfId="17922" xr:uid="{00000000-0005-0000-0000-0000CA530000}"/>
    <cellStyle name="Normal 3 3 4 3 4 2 2 4 2" xfId="49793" xr:uid="{00000000-0005-0000-0000-0000CB530000}"/>
    <cellStyle name="Normal 3 3 4 3 4 2 2 5" xfId="37509" xr:uid="{00000000-0005-0000-0000-0000CC530000}"/>
    <cellStyle name="Normal 3 3 4 3 4 2 3" xfId="5634" xr:uid="{00000000-0005-0000-0000-0000CD530000}"/>
    <cellStyle name="Normal 3 3 4 3 4 2 3 2" xfId="5635" xr:uid="{00000000-0005-0000-0000-0000CE530000}"/>
    <cellStyle name="Normal 3 3 4 3 4 2 3 2 2" xfId="29738" xr:uid="{00000000-0005-0000-0000-0000CF530000}"/>
    <cellStyle name="Normal 3 3 4 3 4 2 3 2 2 2" xfId="61609" xr:uid="{00000000-0005-0000-0000-0000D0530000}"/>
    <cellStyle name="Normal 3 3 4 3 4 2 3 2 3" xfId="37514" xr:uid="{00000000-0005-0000-0000-0000D1530000}"/>
    <cellStyle name="Normal 3 3 4 3 4 2 3 3" xfId="21860" xr:uid="{00000000-0005-0000-0000-0000D2530000}"/>
    <cellStyle name="Normal 3 3 4 3 4 2 3 3 2" xfId="53731" xr:uid="{00000000-0005-0000-0000-0000D3530000}"/>
    <cellStyle name="Normal 3 3 4 3 4 2 3 4" xfId="37513" xr:uid="{00000000-0005-0000-0000-0000D4530000}"/>
    <cellStyle name="Normal 3 3 4 3 4 2 4" xfId="5636" xr:uid="{00000000-0005-0000-0000-0000D5530000}"/>
    <cellStyle name="Normal 3 3 4 3 4 2 4 2" xfId="25799" xr:uid="{00000000-0005-0000-0000-0000D6530000}"/>
    <cellStyle name="Normal 3 3 4 3 4 2 4 2 2" xfId="57670" xr:uid="{00000000-0005-0000-0000-0000D7530000}"/>
    <cellStyle name="Normal 3 3 4 3 4 2 4 3" xfId="37515" xr:uid="{00000000-0005-0000-0000-0000D8530000}"/>
    <cellStyle name="Normal 3 3 4 3 4 2 5" xfId="17921" xr:uid="{00000000-0005-0000-0000-0000D9530000}"/>
    <cellStyle name="Normal 3 3 4 3 4 2 5 2" xfId="49792" xr:uid="{00000000-0005-0000-0000-0000DA530000}"/>
    <cellStyle name="Normal 3 3 4 3 4 2 6" xfId="37508" xr:uid="{00000000-0005-0000-0000-0000DB530000}"/>
    <cellStyle name="Normal 3 3 4 3 4 3" xfId="5637" xr:uid="{00000000-0005-0000-0000-0000DC530000}"/>
    <cellStyle name="Normal 3 3 4 3 4 3 2" xfId="5638" xr:uid="{00000000-0005-0000-0000-0000DD530000}"/>
    <cellStyle name="Normal 3 3 4 3 4 3 2 2" xfId="5639" xr:uid="{00000000-0005-0000-0000-0000DE530000}"/>
    <cellStyle name="Normal 3 3 4 3 4 3 2 2 2" xfId="29740" xr:uid="{00000000-0005-0000-0000-0000DF530000}"/>
    <cellStyle name="Normal 3 3 4 3 4 3 2 2 2 2" xfId="61611" xr:uid="{00000000-0005-0000-0000-0000E0530000}"/>
    <cellStyle name="Normal 3 3 4 3 4 3 2 2 3" xfId="37518" xr:uid="{00000000-0005-0000-0000-0000E1530000}"/>
    <cellStyle name="Normal 3 3 4 3 4 3 2 3" xfId="21862" xr:uid="{00000000-0005-0000-0000-0000E2530000}"/>
    <cellStyle name="Normal 3 3 4 3 4 3 2 3 2" xfId="53733" xr:uid="{00000000-0005-0000-0000-0000E3530000}"/>
    <cellStyle name="Normal 3 3 4 3 4 3 2 4" xfId="37517" xr:uid="{00000000-0005-0000-0000-0000E4530000}"/>
    <cellStyle name="Normal 3 3 4 3 4 3 3" xfId="5640" xr:uid="{00000000-0005-0000-0000-0000E5530000}"/>
    <cellStyle name="Normal 3 3 4 3 4 3 3 2" xfId="25801" xr:uid="{00000000-0005-0000-0000-0000E6530000}"/>
    <cellStyle name="Normal 3 3 4 3 4 3 3 2 2" xfId="57672" xr:uid="{00000000-0005-0000-0000-0000E7530000}"/>
    <cellStyle name="Normal 3 3 4 3 4 3 3 3" xfId="37519" xr:uid="{00000000-0005-0000-0000-0000E8530000}"/>
    <cellStyle name="Normal 3 3 4 3 4 3 4" xfId="17923" xr:uid="{00000000-0005-0000-0000-0000E9530000}"/>
    <cellStyle name="Normal 3 3 4 3 4 3 4 2" xfId="49794" xr:uid="{00000000-0005-0000-0000-0000EA530000}"/>
    <cellStyle name="Normal 3 3 4 3 4 3 5" xfId="37516" xr:uid="{00000000-0005-0000-0000-0000EB530000}"/>
    <cellStyle name="Normal 3 3 4 3 4 4" xfId="5641" xr:uid="{00000000-0005-0000-0000-0000EC530000}"/>
    <cellStyle name="Normal 3 3 4 3 4 4 2" xfId="5642" xr:uid="{00000000-0005-0000-0000-0000ED530000}"/>
    <cellStyle name="Normal 3 3 4 3 4 4 2 2" xfId="29737" xr:uid="{00000000-0005-0000-0000-0000EE530000}"/>
    <cellStyle name="Normal 3 3 4 3 4 4 2 2 2" xfId="61608" xr:uid="{00000000-0005-0000-0000-0000EF530000}"/>
    <cellStyle name="Normal 3 3 4 3 4 4 2 3" xfId="37521" xr:uid="{00000000-0005-0000-0000-0000F0530000}"/>
    <cellStyle name="Normal 3 3 4 3 4 4 3" xfId="21859" xr:uid="{00000000-0005-0000-0000-0000F1530000}"/>
    <cellStyle name="Normal 3 3 4 3 4 4 3 2" xfId="53730" xr:uid="{00000000-0005-0000-0000-0000F2530000}"/>
    <cellStyle name="Normal 3 3 4 3 4 4 4" xfId="37520" xr:uid="{00000000-0005-0000-0000-0000F3530000}"/>
    <cellStyle name="Normal 3 3 4 3 4 5" xfId="5643" xr:uid="{00000000-0005-0000-0000-0000F4530000}"/>
    <cellStyle name="Normal 3 3 4 3 4 5 2" xfId="25798" xr:uid="{00000000-0005-0000-0000-0000F5530000}"/>
    <cellStyle name="Normal 3 3 4 3 4 5 2 2" xfId="57669" xr:uid="{00000000-0005-0000-0000-0000F6530000}"/>
    <cellStyle name="Normal 3 3 4 3 4 5 3" xfId="37522" xr:uid="{00000000-0005-0000-0000-0000F7530000}"/>
    <cellStyle name="Normal 3 3 4 3 4 6" xfId="17920" xr:uid="{00000000-0005-0000-0000-0000F8530000}"/>
    <cellStyle name="Normal 3 3 4 3 4 6 2" xfId="49791" xr:uid="{00000000-0005-0000-0000-0000F9530000}"/>
    <cellStyle name="Normal 3 3 4 3 4 7" xfId="37507" xr:uid="{00000000-0005-0000-0000-0000FA530000}"/>
    <cellStyle name="Normal 3 3 4 3 5" xfId="5644" xr:uid="{00000000-0005-0000-0000-0000FB530000}"/>
    <cellStyle name="Normal 3 3 4 3 5 2" xfId="5645" xr:uid="{00000000-0005-0000-0000-0000FC530000}"/>
    <cellStyle name="Normal 3 3 4 3 5 2 2" xfId="5646" xr:uid="{00000000-0005-0000-0000-0000FD530000}"/>
    <cellStyle name="Normal 3 3 4 3 5 2 2 2" xfId="5647" xr:uid="{00000000-0005-0000-0000-0000FE530000}"/>
    <cellStyle name="Normal 3 3 4 3 5 2 2 2 2" xfId="29742" xr:uid="{00000000-0005-0000-0000-0000FF530000}"/>
    <cellStyle name="Normal 3 3 4 3 5 2 2 2 2 2" xfId="61613" xr:uid="{00000000-0005-0000-0000-000000540000}"/>
    <cellStyle name="Normal 3 3 4 3 5 2 2 2 3" xfId="37526" xr:uid="{00000000-0005-0000-0000-000001540000}"/>
    <cellStyle name="Normal 3 3 4 3 5 2 2 3" xfId="21864" xr:uid="{00000000-0005-0000-0000-000002540000}"/>
    <cellStyle name="Normal 3 3 4 3 5 2 2 3 2" xfId="53735" xr:uid="{00000000-0005-0000-0000-000003540000}"/>
    <cellStyle name="Normal 3 3 4 3 5 2 2 4" xfId="37525" xr:uid="{00000000-0005-0000-0000-000004540000}"/>
    <cellStyle name="Normal 3 3 4 3 5 2 3" xfId="5648" xr:uid="{00000000-0005-0000-0000-000005540000}"/>
    <cellStyle name="Normal 3 3 4 3 5 2 3 2" xfId="25803" xr:uid="{00000000-0005-0000-0000-000006540000}"/>
    <cellStyle name="Normal 3 3 4 3 5 2 3 2 2" xfId="57674" xr:uid="{00000000-0005-0000-0000-000007540000}"/>
    <cellStyle name="Normal 3 3 4 3 5 2 3 3" xfId="37527" xr:uid="{00000000-0005-0000-0000-000008540000}"/>
    <cellStyle name="Normal 3 3 4 3 5 2 4" xfId="17925" xr:uid="{00000000-0005-0000-0000-000009540000}"/>
    <cellStyle name="Normal 3 3 4 3 5 2 4 2" xfId="49796" xr:uid="{00000000-0005-0000-0000-00000A540000}"/>
    <cellStyle name="Normal 3 3 4 3 5 2 5" xfId="37524" xr:uid="{00000000-0005-0000-0000-00000B540000}"/>
    <cellStyle name="Normal 3 3 4 3 5 3" xfId="5649" xr:uid="{00000000-0005-0000-0000-00000C540000}"/>
    <cellStyle name="Normal 3 3 4 3 5 3 2" xfId="5650" xr:uid="{00000000-0005-0000-0000-00000D540000}"/>
    <cellStyle name="Normal 3 3 4 3 5 3 2 2" xfId="29741" xr:uid="{00000000-0005-0000-0000-00000E540000}"/>
    <cellStyle name="Normal 3 3 4 3 5 3 2 2 2" xfId="61612" xr:uid="{00000000-0005-0000-0000-00000F540000}"/>
    <cellStyle name="Normal 3 3 4 3 5 3 2 3" xfId="37529" xr:uid="{00000000-0005-0000-0000-000010540000}"/>
    <cellStyle name="Normal 3 3 4 3 5 3 3" xfId="21863" xr:uid="{00000000-0005-0000-0000-000011540000}"/>
    <cellStyle name="Normal 3 3 4 3 5 3 3 2" xfId="53734" xr:uid="{00000000-0005-0000-0000-000012540000}"/>
    <cellStyle name="Normal 3 3 4 3 5 3 4" xfId="37528" xr:uid="{00000000-0005-0000-0000-000013540000}"/>
    <cellStyle name="Normal 3 3 4 3 5 4" xfId="5651" xr:uid="{00000000-0005-0000-0000-000014540000}"/>
    <cellStyle name="Normal 3 3 4 3 5 4 2" xfId="25802" xr:uid="{00000000-0005-0000-0000-000015540000}"/>
    <cellStyle name="Normal 3 3 4 3 5 4 2 2" xfId="57673" xr:uid="{00000000-0005-0000-0000-000016540000}"/>
    <cellStyle name="Normal 3 3 4 3 5 4 3" xfId="37530" xr:uid="{00000000-0005-0000-0000-000017540000}"/>
    <cellStyle name="Normal 3 3 4 3 5 5" xfId="17924" xr:uid="{00000000-0005-0000-0000-000018540000}"/>
    <cellStyle name="Normal 3 3 4 3 5 5 2" xfId="49795" xr:uid="{00000000-0005-0000-0000-000019540000}"/>
    <cellStyle name="Normal 3 3 4 3 5 6" xfId="37523" xr:uid="{00000000-0005-0000-0000-00001A540000}"/>
    <cellStyle name="Normal 3 3 4 3 6" xfId="5652" xr:uid="{00000000-0005-0000-0000-00001B540000}"/>
    <cellStyle name="Normal 3 3 4 3 6 2" xfId="5653" xr:uid="{00000000-0005-0000-0000-00001C540000}"/>
    <cellStyle name="Normal 3 3 4 3 6 2 2" xfId="5654" xr:uid="{00000000-0005-0000-0000-00001D540000}"/>
    <cellStyle name="Normal 3 3 4 3 6 2 2 2" xfId="29743" xr:uid="{00000000-0005-0000-0000-00001E540000}"/>
    <cellStyle name="Normal 3 3 4 3 6 2 2 2 2" xfId="61614" xr:uid="{00000000-0005-0000-0000-00001F540000}"/>
    <cellStyle name="Normal 3 3 4 3 6 2 2 3" xfId="37533" xr:uid="{00000000-0005-0000-0000-000020540000}"/>
    <cellStyle name="Normal 3 3 4 3 6 2 3" xfId="21865" xr:uid="{00000000-0005-0000-0000-000021540000}"/>
    <cellStyle name="Normal 3 3 4 3 6 2 3 2" xfId="53736" xr:uid="{00000000-0005-0000-0000-000022540000}"/>
    <cellStyle name="Normal 3 3 4 3 6 2 4" xfId="37532" xr:uid="{00000000-0005-0000-0000-000023540000}"/>
    <cellStyle name="Normal 3 3 4 3 6 3" xfId="5655" xr:uid="{00000000-0005-0000-0000-000024540000}"/>
    <cellStyle name="Normal 3 3 4 3 6 3 2" xfId="25804" xr:uid="{00000000-0005-0000-0000-000025540000}"/>
    <cellStyle name="Normal 3 3 4 3 6 3 2 2" xfId="57675" xr:uid="{00000000-0005-0000-0000-000026540000}"/>
    <cellStyle name="Normal 3 3 4 3 6 3 3" xfId="37534" xr:uid="{00000000-0005-0000-0000-000027540000}"/>
    <cellStyle name="Normal 3 3 4 3 6 4" xfId="17926" xr:uid="{00000000-0005-0000-0000-000028540000}"/>
    <cellStyle name="Normal 3 3 4 3 6 4 2" xfId="49797" xr:uid="{00000000-0005-0000-0000-000029540000}"/>
    <cellStyle name="Normal 3 3 4 3 6 5" xfId="37531" xr:uid="{00000000-0005-0000-0000-00002A540000}"/>
    <cellStyle name="Normal 3 3 4 3 7" xfId="5656" xr:uid="{00000000-0005-0000-0000-00002B540000}"/>
    <cellStyle name="Normal 3 3 4 3 7 2" xfId="5657" xr:uid="{00000000-0005-0000-0000-00002C540000}"/>
    <cellStyle name="Normal 3 3 4 3 7 2 2" xfId="28361" xr:uid="{00000000-0005-0000-0000-00002D540000}"/>
    <cellStyle name="Normal 3 3 4 3 7 2 2 2" xfId="60232" xr:uid="{00000000-0005-0000-0000-00002E540000}"/>
    <cellStyle name="Normal 3 3 4 3 7 2 3" xfId="37536" xr:uid="{00000000-0005-0000-0000-00002F540000}"/>
    <cellStyle name="Normal 3 3 4 3 7 3" xfId="20483" xr:uid="{00000000-0005-0000-0000-000030540000}"/>
    <cellStyle name="Normal 3 3 4 3 7 3 2" xfId="52354" xr:uid="{00000000-0005-0000-0000-000031540000}"/>
    <cellStyle name="Normal 3 3 4 3 7 4" xfId="37535" xr:uid="{00000000-0005-0000-0000-000032540000}"/>
    <cellStyle name="Normal 3 3 4 3 8" xfId="5658" xr:uid="{00000000-0005-0000-0000-000033540000}"/>
    <cellStyle name="Normal 3 3 4 3 8 2" xfId="24422" xr:uid="{00000000-0005-0000-0000-000034540000}"/>
    <cellStyle name="Normal 3 3 4 3 8 2 2" xfId="56293" xr:uid="{00000000-0005-0000-0000-000035540000}"/>
    <cellStyle name="Normal 3 3 4 3 8 3" xfId="37537" xr:uid="{00000000-0005-0000-0000-000036540000}"/>
    <cellStyle name="Normal 3 3 4 3 9" xfId="16544" xr:uid="{00000000-0005-0000-0000-000037540000}"/>
    <cellStyle name="Normal 3 3 4 3 9 2" xfId="48415" xr:uid="{00000000-0005-0000-0000-000038540000}"/>
    <cellStyle name="Normal 3 3 4 4" xfId="5659" xr:uid="{00000000-0005-0000-0000-000039540000}"/>
    <cellStyle name="Normal 3 3 4 4 2" xfId="5660" xr:uid="{00000000-0005-0000-0000-00003A540000}"/>
    <cellStyle name="Normal 3 3 4 4 2 2" xfId="5661" xr:uid="{00000000-0005-0000-0000-00003B540000}"/>
    <cellStyle name="Normal 3 3 4 4 2 2 2" xfId="5662" xr:uid="{00000000-0005-0000-0000-00003C540000}"/>
    <cellStyle name="Normal 3 3 4 4 2 2 2 2" xfId="5663" xr:uid="{00000000-0005-0000-0000-00003D540000}"/>
    <cellStyle name="Normal 3 3 4 4 2 2 2 2 2" xfId="5664" xr:uid="{00000000-0005-0000-0000-00003E540000}"/>
    <cellStyle name="Normal 3 3 4 4 2 2 2 2 2 2" xfId="5665" xr:uid="{00000000-0005-0000-0000-00003F540000}"/>
    <cellStyle name="Normal 3 3 4 4 2 2 2 2 2 2 2" xfId="29747" xr:uid="{00000000-0005-0000-0000-000040540000}"/>
    <cellStyle name="Normal 3 3 4 4 2 2 2 2 2 2 2 2" xfId="61618" xr:uid="{00000000-0005-0000-0000-000041540000}"/>
    <cellStyle name="Normal 3 3 4 4 2 2 2 2 2 2 3" xfId="37544" xr:uid="{00000000-0005-0000-0000-000042540000}"/>
    <cellStyle name="Normal 3 3 4 4 2 2 2 2 2 3" xfId="21869" xr:uid="{00000000-0005-0000-0000-000043540000}"/>
    <cellStyle name="Normal 3 3 4 4 2 2 2 2 2 3 2" xfId="53740" xr:uid="{00000000-0005-0000-0000-000044540000}"/>
    <cellStyle name="Normal 3 3 4 4 2 2 2 2 2 4" xfId="37543" xr:uid="{00000000-0005-0000-0000-000045540000}"/>
    <cellStyle name="Normal 3 3 4 4 2 2 2 2 3" xfId="5666" xr:uid="{00000000-0005-0000-0000-000046540000}"/>
    <cellStyle name="Normal 3 3 4 4 2 2 2 2 3 2" xfId="25808" xr:uid="{00000000-0005-0000-0000-000047540000}"/>
    <cellStyle name="Normal 3 3 4 4 2 2 2 2 3 2 2" xfId="57679" xr:uid="{00000000-0005-0000-0000-000048540000}"/>
    <cellStyle name="Normal 3 3 4 4 2 2 2 2 3 3" xfId="37545" xr:uid="{00000000-0005-0000-0000-000049540000}"/>
    <cellStyle name="Normal 3 3 4 4 2 2 2 2 4" xfId="17930" xr:uid="{00000000-0005-0000-0000-00004A540000}"/>
    <cellStyle name="Normal 3 3 4 4 2 2 2 2 4 2" xfId="49801" xr:uid="{00000000-0005-0000-0000-00004B540000}"/>
    <cellStyle name="Normal 3 3 4 4 2 2 2 2 5" xfId="37542" xr:uid="{00000000-0005-0000-0000-00004C540000}"/>
    <cellStyle name="Normal 3 3 4 4 2 2 2 3" xfId="5667" xr:uid="{00000000-0005-0000-0000-00004D540000}"/>
    <cellStyle name="Normal 3 3 4 4 2 2 2 3 2" xfId="5668" xr:uid="{00000000-0005-0000-0000-00004E540000}"/>
    <cellStyle name="Normal 3 3 4 4 2 2 2 3 2 2" xfId="29746" xr:uid="{00000000-0005-0000-0000-00004F540000}"/>
    <cellStyle name="Normal 3 3 4 4 2 2 2 3 2 2 2" xfId="61617" xr:uid="{00000000-0005-0000-0000-000050540000}"/>
    <cellStyle name="Normal 3 3 4 4 2 2 2 3 2 3" xfId="37547" xr:uid="{00000000-0005-0000-0000-000051540000}"/>
    <cellStyle name="Normal 3 3 4 4 2 2 2 3 3" xfId="21868" xr:uid="{00000000-0005-0000-0000-000052540000}"/>
    <cellStyle name="Normal 3 3 4 4 2 2 2 3 3 2" xfId="53739" xr:uid="{00000000-0005-0000-0000-000053540000}"/>
    <cellStyle name="Normal 3 3 4 4 2 2 2 3 4" xfId="37546" xr:uid="{00000000-0005-0000-0000-000054540000}"/>
    <cellStyle name="Normal 3 3 4 4 2 2 2 4" xfId="5669" xr:uid="{00000000-0005-0000-0000-000055540000}"/>
    <cellStyle name="Normal 3 3 4 4 2 2 2 4 2" xfId="25807" xr:uid="{00000000-0005-0000-0000-000056540000}"/>
    <cellStyle name="Normal 3 3 4 4 2 2 2 4 2 2" xfId="57678" xr:uid="{00000000-0005-0000-0000-000057540000}"/>
    <cellStyle name="Normal 3 3 4 4 2 2 2 4 3" xfId="37548" xr:uid="{00000000-0005-0000-0000-000058540000}"/>
    <cellStyle name="Normal 3 3 4 4 2 2 2 5" xfId="17929" xr:uid="{00000000-0005-0000-0000-000059540000}"/>
    <cellStyle name="Normal 3 3 4 4 2 2 2 5 2" xfId="49800" xr:uid="{00000000-0005-0000-0000-00005A540000}"/>
    <cellStyle name="Normal 3 3 4 4 2 2 2 6" xfId="37541" xr:uid="{00000000-0005-0000-0000-00005B540000}"/>
    <cellStyle name="Normal 3 3 4 4 2 2 3" xfId="5670" xr:uid="{00000000-0005-0000-0000-00005C540000}"/>
    <cellStyle name="Normal 3 3 4 4 2 2 3 2" xfId="5671" xr:uid="{00000000-0005-0000-0000-00005D540000}"/>
    <cellStyle name="Normal 3 3 4 4 2 2 3 2 2" xfId="5672" xr:uid="{00000000-0005-0000-0000-00005E540000}"/>
    <cellStyle name="Normal 3 3 4 4 2 2 3 2 2 2" xfId="29748" xr:uid="{00000000-0005-0000-0000-00005F540000}"/>
    <cellStyle name="Normal 3 3 4 4 2 2 3 2 2 2 2" xfId="61619" xr:uid="{00000000-0005-0000-0000-000060540000}"/>
    <cellStyle name="Normal 3 3 4 4 2 2 3 2 2 3" xfId="37551" xr:uid="{00000000-0005-0000-0000-000061540000}"/>
    <cellStyle name="Normal 3 3 4 4 2 2 3 2 3" xfId="21870" xr:uid="{00000000-0005-0000-0000-000062540000}"/>
    <cellStyle name="Normal 3 3 4 4 2 2 3 2 3 2" xfId="53741" xr:uid="{00000000-0005-0000-0000-000063540000}"/>
    <cellStyle name="Normal 3 3 4 4 2 2 3 2 4" xfId="37550" xr:uid="{00000000-0005-0000-0000-000064540000}"/>
    <cellStyle name="Normal 3 3 4 4 2 2 3 3" xfId="5673" xr:uid="{00000000-0005-0000-0000-000065540000}"/>
    <cellStyle name="Normal 3 3 4 4 2 2 3 3 2" xfId="25809" xr:uid="{00000000-0005-0000-0000-000066540000}"/>
    <cellStyle name="Normal 3 3 4 4 2 2 3 3 2 2" xfId="57680" xr:uid="{00000000-0005-0000-0000-000067540000}"/>
    <cellStyle name="Normal 3 3 4 4 2 2 3 3 3" xfId="37552" xr:uid="{00000000-0005-0000-0000-000068540000}"/>
    <cellStyle name="Normal 3 3 4 4 2 2 3 4" xfId="17931" xr:uid="{00000000-0005-0000-0000-000069540000}"/>
    <cellStyle name="Normal 3 3 4 4 2 2 3 4 2" xfId="49802" xr:uid="{00000000-0005-0000-0000-00006A540000}"/>
    <cellStyle name="Normal 3 3 4 4 2 2 3 5" xfId="37549" xr:uid="{00000000-0005-0000-0000-00006B540000}"/>
    <cellStyle name="Normal 3 3 4 4 2 2 4" xfId="5674" xr:uid="{00000000-0005-0000-0000-00006C540000}"/>
    <cellStyle name="Normal 3 3 4 4 2 2 4 2" xfId="5675" xr:uid="{00000000-0005-0000-0000-00006D540000}"/>
    <cellStyle name="Normal 3 3 4 4 2 2 4 2 2" xfId="29745" xr:uid="{00000000-0005-0000-0000-00006E540000}"/>
    <cellStyle name="Normal 3 3 4 4 2 2 4 2 2 2" xfId="61616" xr:uid="{00000000-0005-0000-0000-00006F540000}"/>
    <cellStyle name="Normal 3 3 4 4 2 2 4 2 3" xfId="37554" xr:uid="{00000000-0005-0000-0000-000070540000}"/>
    <cellStyle name="Normal 3 3 4 4 2 2 4 3" xfId="21867" xr:uid="{00000000-0005-0000-0000-000071540000}"/>
    <cellStyle name="Normal 3 3 4 4 2 2 4 3 2" xfId="53738" xr:uid="{00000000-0005-0000-0000-000072540000}"/>
    <cellStyle name="Normal 3 3 4 4 2 2 4 4" xfId="37553" xr:uid="{00000000-0005-0000-0000-000073540000}"/>
    <cellStyle name="Normal 3 3 4 4 2 2 5" xfId="5676" xr:uid="{00000000-0005-0000-0000-000074540000}"/>
    <cellStyle name="Normal 3 3 4 4 2 2 5 2" xfId="25806" xr:uid="{00000000-0005-0000-0000-000075540000}"/>
    <cellStyle name="Normal 3 3 4 4 2 2 5 2 2" xfId="57677" xr:uid="{00000000-0005-0000-0000-000076540000}"/>
    <cellStyle name="Normal 3 3 4 4 2 2 5 3" xfId="37555" xr:uid="{00000000-0005-0000-0000-000077540000}"/>
    <cellStyle name="Normal 3 3 4 4 2 2 6" xfId="17928" xr:uid="{00000000-0005-0000-0000-000078540000}"/>
    <cellStyle name="Normal 3 3 4 4 2 2 6 2" xfId="49799" xr:uid="{00000000-0005-0000-0000-000079540000}"/>
    <cellStyle name="Normal 3 3 4 4 2 2 7" xfId="37540" xr:uid="{00000000-0005-0000-0000-00007A540000}"/>
    <cellStyle name="Normal 3 3 4 4 2 3" xfId="5677" xr:uid="{00000000-0005-0000-0000-00007B540000}"/>
    <cellStyle name="Normal 3 3 4 4 2 3 2" xfId="5678" xr:uid="{00000000-0005-0000-0000-00007C540000}"/>
    <cellStyle name="Normal 3 3 4 4 2 3 2 2" xfId="5679" xr:uid="{00000000-0005-0000-0000-00007D540000}"/>
    <cellStyle name="Normal 3 3 4 4 2 3 2 2 2" xfId="5680" xr:uid="{00000000-0005-0000-0000-00007E540000}"/>
    <cellStyle name="Normal 3 3 4 4 2 3 2 2 2 2" xfId="29750" xr:uid="{00000000-0005-0000-0000-00007F540000}"/>
    <cellStyle name="Normal 3 3 4 4 2 3 2 2 2 2 2" xfId="61621" xr:uid="{00000000-0005-0000-0000-000080540000}"/>
    <cellStyle name="Normal 3 3 4 4 2 3 2 2 2 3" xfId="37559" xr:uid="{00000000-0005-0000-0000-000081540000}"/>
    <cellStyle name="Normal 3 3 4 4 2 3 2 2 3" xfId="21872" xr:uid="{00000000-0005-0000-0000-000082540000}"/>
    <cellStyle name="Normal 3 3 4 4 2 3 2 2 3 2" xfId="53743" xr:uid="{00000000-0005-0000-0000-000083540000}"/>
    <cellStyle name="Normal 3 3 4 4 2 3 2 2 4" xfId="37558" xr:uid="{00000000-0005-0000-0000-000084540000}"/>
    <cellStyle name="Normal 3 3 4 4 2 3 2 3" xfId="5681" xr:uid="{00000000-0005-0000-0000-000085540000}"/>
    <cellStyle name="Normal 3 3 4 4 2 3 2 3 2" xfId="25811" xr:uid="{00000000-0005-0000-0000-000086540000}"/>
    <cellStyle name="Normal 3 3 4 4 2 3 2 3 2 2" xfId="57682" xr:uid="{00000000-0005-0000-0000-000087540000}"/>
    <cellStyle name="Normal 3 3 4 4 2 3 2 3 3" xfId="37560" xr:uid="{00000000-0005-0000-0000-000088540000}"/>
    <cellStyle name="Normal 3 3 4 4 2 3 2 4" xfId="17933" xr:uid="{00000000-0005-0000-0000-000089540000}"/>
    <cellStyle name="Normal 3 3 4 4 2 3 2 4 2" xfId="49804" xr:uid="{00000000-0005-0000-0000-00008A540000}"/>
    <cellStyle name="Normal 3 3 4 4 2 3 2 5" xfId="37557" xr:uid="{00000000-0005-0000-0000-00008B540000}"/>
    <cellStyle name="Normal 3 3 4 4 2 3 3" xfId="5682" xr:uid="{00000000-0005-0000-0000-00008C540000}"/>
    <cellStyle name="Normal 3 3 4 4 2 3 3 2" xfId="5683" xr:uid="{00000000-0005-0000-0000-00008D540000}"/>
    <cellStyle name="Normal 3 3 4 4 2 3 3 2 2" xfId="29749" xr:uid="{00000000-0005-0000-0000-00008E540000}"/>
    <cellStyle name="Normal 3 3 4 4 2 3 3 2 2 2" xfId="61620" xr:uid="{00000000-0005-0000-0000-00008F540000}"/>
    <cellStyle name="Normal 3 3 4 4 2 3 3 2 3" xfId="37562" xr:uid="{00000000-0005-0000-0000-000090540000}"/>
    <cellStyle name="Normal 3 3 4 4 2 3 3 3" xfId="21871" xr:uid="{00000000-0005-0000-0000-000091540000}"/>
    <cellStyle name="Normal 3 3 4 4 2 3 3 3 2" xfId="53742" xr:uid="{00000000-0005-0000-0000-000092540000}"/>
    <cellStyle name="Normal 3 3 4 4 2 3 3 4" xfId="37561" xr:uid="{00000000-0005-0000-0000-000093540000}"/>
    <cellStyle name="Normal 3 3 4 4 2 3 4" xfId="5684" xr:uid="{00000000-0005-0000-0000-000094540000}"/>
    <cellStyle name="Normal 3 3 4 4 2 3 4 2" xfId="25810" xr:uid="{00000000-0005-0000-0000-000095540000}"/>
    <cellStyle name="Normal 3 3 4 4 2 3 4 2 2" xfId="57681" xr:uid="{00000000-0005-0000-0000-000096540000}"/>
    <cellStyle name="Normal 3 3 4 4 2 3 4 3" xfId="37563" xr:uid="{00000000-0005-0000-0000-000097540000}"/>
    <cellStyle name="Normal 3 3 4 4 2 3 5" xfId="17932" xr:uid="{00000000-0005-0000-0000-000098540000}"/>
    <cellStyle name="Normal 3 3 4 4 2 3 5 2" xfId="49803" xr:uid="{00000000-0005-0000-0000-000099540000}"/>
    <cellStyle name="Normal 3 3 4 4 2 3 6" xfId="37556" xr:uid="{00000000-0005-0000-0000-00009A540000}"/>
    <cellStyle name="Normal 3 3 4 4 2 4" xfId="5685" xr:uid="{00000000-0005-0000-0000-00009B540000}"/>
    <cellStyle name="Normal 3 3 4 4 2 4 2" xfId="5686" xr:uid="{00000000-0005-0000-0000-00009C540000}"/>
    <cellStyle name="Normal 3 3 4 4 2 4 2 2" xfId="5687" xr:uid="{00000000-0005-0000-0000-00009D540000}"/>
    <cellStyle name="Normal 3 3 4 4 2 4 2 2 2" xfId="29751" xr:uid="{00000000-0005-0000-0000-00009E540000}"/>
    <cellStyle name="Normal 3 3 4 4 2 4 2 2 2 2" xfId="61622" xr:uid="{00000000-0005-0000-0000-00009F540000}"/>
    <cellStyle name="Normal 3 3 4 4 2 4 2 2 3" xfId="37566" xr:uid="{00000000-0005-0000-0000-0000A0540000}"/>
    <cellStyle name="Normal 3 3 4 4 2 4 2 3" xfId="21873" xr:uid="{00000000-0005-0000-0000-0000A1540000}"/>
    <cellStyle name="Normal 3 3 4 4 2 4 2 3 2" xfId="53744" xr:uid="{00000000-0005-0000-0000-0000A2540000}"/>
    <cellStyle name="Normal 3 3 4 4 2 4 2 4" xfId="37565" xr:uid="{00000000-0005-0000-0000-0000A3540000}"/>
    <cellStyle name="Normal 3 3 4 4 2 4 3" xfId="5688" xr:uid="{00000000-0005-0000-0000-0000A4540000}"/>
    <cellStyle name="Normal 3 3 4 4 2 4 3 2" xfId="25812" xr:uid="{00000000-0005-0000-0000-0000A5540000}"/>
    <cellStyle name="Normal 3 3 4 4 2 4 3 2 2" xfId="57683" xr:uid="{00000000-0005-0000-0000-0000A6540000}"/>
    <cellStyle name="Normal 3 3 4 4 2 4 3 3" xfId="37567" xr:uid="{00000000-0005-0000-0000-0000A7540000}"/>
    <cellStyle name="Normal 3 3 4 4 2 4 4" xfId="17934" xr:uid="{00000000-0005-0000-0000-0000A8540000}"/>
    <cellStyle name="Normal 3 3 4 4 2 4 4 2" xfId="49805" xr:uid="{00000000-0005-0000-0000-0000A9540000}"/>
    <cellStyle name="Normal 3 3 4 4 2 4 5" xfId="37564" xr:uid="{00000000-0005-0000-0000-0000AA540000}"/>
    <cellStyle name="Normal 3 3 4 4 2 5" xfId="5689" xr:uid="{00000000-0005-0000-0000-0000AB540000}"/>
    <cellStyle name="Normal 3 3 4 4 2 5 2" xfId="5690" xr:uid="{00000000-0005-0000-0000-0000AC540000}"/>
    <cellStyle name="Normal 3 3 4 4 2 5 2 2" xfId="29744" xr:uid="{00000000-0005-0000-0000-0000AD540000}"/>
    <cellStyle name="Normal 3 3 4 4 2 5 2 2 2" xfId="61615" xr:uid="{00000000-0005-0000-0000-0000AE540000}"/>
    <cellStyle name="Normal 3 3 4 4 2 5 2 3" xfId="37569" xr:uid="{00000000-0005-0000-0000-0000AF540000}"/>
    <cellStyle name="Normal 3 3 4 4 2 5 3" xfId="21866" xr:uid="{00000000-0005-0000-0000-0000B0540000}"/>
    <cellStyle name="Normal 3 3 4 4 2 5 3 2" xfId="53737" xr:uid="{00000000-0005-0000-0000-0000B1540000}"/>
    <cellStyle name="Normal 3 3 4 4 2 5 4" xfId="37568" xr:uid="{00000000-0005-0000-0000-0000B2540000}"/>
    <cellStyle name="Normal 3 3 4 4 2 6" xfId="5691" xr:uid="{00000000-0005-0000-0000-0000B3540000}"/>
    <cellStyle name="Normal 3 3 4 4 2 6 2" xfId="25805" xr:uid="{00000000-0005-0000-0000-0000B4540000}"/>
    <cellStyle name="Normal 3 3 4 4 2 6 2 2" xfId="57676" xr:uid="{00000000-0005-0000-0000-0000B5540000}"/>
    <cellStyle name="Normal 3 3 4 4 2 6 3" xfId="37570" xr:uid="{00000000-0005-0000-0000-0000B6540000}"/>
    <cellStyle name="Normal 3 3 4 4 2 7" xfId="17927" xr:uid="{00000000-0005-0000-0000-0000B7540000}"/>
    <cellStyle name="Normal 3 3 4 4 2 7 2" xfId="49798" xr:uid="{00000000-0005-0000-0000-0000B8540000}"/>
    <cellStyle name="Normal 3 3 4 4 2 8" xfId="37539" xr:uid="{00000000-0005-0000-0000-0000B9540000}"/>
    <cellStyle name="Normal 3 3 4 4 3" xfId="5692" xr:uid="{00000000-0005-0000-0000-0000BA540000}"/>
    <cellStyle name="Normal 3 3 4 4 3 2" xfId="5693" xr:uid="{00000000-0005-0000-0000-0000BB540000}"/>
    <cellStyle name="Normal 3 3 4 4 3 2 2" xfId="5694" xr:uid="{00000000-0005-0000-0000-0000BC540000}"/>
    <cellStyle name="Normal 3 3 4 4 3 2 2 2" xfId="5695" xr:uid="{00000000-0005-0000-0000-0000BD540000}"/>
    <cellStyle name="Normal 3 3 4 4 3 2 2 2 2" xfId="5696" xr:uid="{00000000-0005-0000-0000-0000BE540000}"/>
    <cellStyle name="Normal 3 3 4 4 3 2 2 2 2 2" xfId="29754" xr:uid="{00000000-0005-0000-0000-0000BF540000}"/>
    <cellStyle name="Normal 3 3 4 4 3 2 2 2 2 2 2" xfId="61625" xr:uid="{00000000-0005-0000-0000-0000C0540000}"/>
    <cellStyle name="Normal 3 3 4 4 3 2 2 2 2 3" xfId="37575" xr:uid="{00000000-0005-0000-0000-0000C1540000}"/>
    <cellStyle name="Normal 3 3 4 4 3 2 2 2 3" xfId="21876" xr:uid="{00000000-0005-0000-0000-0000C2540000}"/>
    <cellStyle name="Normal 3 3 4 4 3 2 2 2 3 2" xfId="53747" xr:uid="{00000000-0005-0000-0000-0000C3540000}"/>
    <cellStyle name="Normal 3 3 4 4 3 2 2 2 4" xfId="37574" xr:uid="{00000000-0005-0000-0000-0000C4540000}"/>
    <cellStyle name="Normal 3 3 4 4 3 2 2 3" xfId="5697" xr:uid="{00000000-0005-0000-0000-0000C5540000}"/>
    <cellStyle name="Normal 3 3 4 4 3 2 2 3 2" xfId="25815" xr:uid="{00000000-0005-0000-0000-0000C6540000}"/>
    <cellStyle name="Normal 3 3 4 4 3 2 2 3 2 2" xfId="57686" xr:uid="{00000000-0005-0000-0000-0000C7540000}"/>
    <cellStyle name="Normal 3 3 4 4 3 2 2 3 3" xfId="37576" xr:uid="{00000000-0005-0000-0000-0000C8540000}"/>
    <cellStyle name="Normal 3 3 4 4 3 2 2 4" xfId="17937" xr:uid="{00000000-0005-0000-0000-0000C9540000}"/>
    <cellStyle name="Normal 3 3 4 4 3 2 2 4 2" xfId="49808" xr:uid="{00000000-0005-0000-0000-0000CA540000}"/>
    <cellStyle name="Normal 3 3 4 4 3 2 2 5" xfId="37573" xr:uid="{00000000-0005-0000-0000-0000CB540000}"/>
    <cellStyle name="Normal 3 3 4 4 3 2 3" xfId="5698" xr:uid="{00000000-0005-0000-0000-0000CC540000}"/>
    <cellStyle name="Normal 3 3 4 4 3 2 3 2" xfId="5699" xr:uid="{00000000-0005-0000-0000-0000CD540000}"/>
    <cellStyle name="Normal 3 3 4 4 3 2 3 2 2" xfId="29753" xr:uid="{00000000-0005-0000-0000-0000CE540000}"/>
    <cellStyle name="Normal 3 3 4 4 3 2 3 2 2 2" xfId="61624" xr:uid="{00000000-0005-0000-0000-0000CF540000}"/>
    <cellStyle name="Normal 3 3 4 4 3 2 3 2 3" xfId="37578" xr:uid="{00000000-0005-0000-0000-0000D0540000}"/>
    <cellStyle name="Normal 3 3 4 4 3 2 3 3" xfId="21875" xr:uid="{00000000-0005-0000-0000-0000D1540000}"/>
    <cellStyle name="Normal 3 3 4 4 3 2 3 3 2" xfId="53746" xr:uid="{00000000-0005-0000-0000-0000D2540000}"/>
    <cellStyle name="Normal 3 3 4 4 3 2 3 4" xfId="37577" xr:uid="{00000000-0005-0000-0000-0000D3540000}"/>
    <cellStyle name="Normal 3 3 4 4 3 2 4" xfId="5700" xr:uid="{00000000-0005-0000-0000-0000D4540000}"/>
    <cellStyle name="Normal 3 3 4 4 3 2 4 2" xfId="25814" xr:uid="{00000000-0005-0000-0000-0000D5540000}"/>
    <cellStyle name="Normal 3 3 4 4 3 2 4 2 2" xfId="57685" xr:uid="{00000000-0005-0000-0000-0000D6540000}"/>
    <cellStyle name="Normal 3 3 4 4 3 2 4 3" xfId="37579" xr:uid="{00000000-0005-0000-0000-0000D7540000}"/>
    <cellStyle name="Normal 3 3 4 4 3 2 5" xfId="17936" xr:uid="{00000000-0005-0000-0000-0000D8540000}"/>
    <cellStyle name="Normal 3 3 4 4 3 2 5 2" xfId="49807" xr:uid="{00000000-0005-0000-0000-0000D9540000}"/>
    <cellStyle name="Normal 3 3 4 4 3 2 6" xfId="37572" xr:uid="{00000000-0005-0000-0000-0000DA540000}"/>
    <cellStyle name="Normal 3 3 4 4 3 3" xfId="5701" xr:uid="{00000000-0005-0000-0000-0000DB540000}"/>
    <cellStyle name="Normal 3 3 4 4 3 3 2" xfId="5702" xr:uid="{00000000-0005-0000-0000-0000DC540000}"/>
    <cellStyle name="Normal 3 3 4 4 3 3 2 2" xfId="5703" xr:uid="{00000000-0005-0000-0000-0000DD540000}"/>
    <cellStyle name="Normal 3 3 4 4 3 3 2 2 2" xfId="29755" xr:uid="{00000000-0005-0000-0000-0000DE540000}"/>
    <cellStyle name="Normal 3 3 4 4 3 3 2 2 2 2" xfId="61626" xr:uid="{00000000-0005-0000-0000-0000DF540000}"/>
    <cellStyle name="Normal 3 3 4 4 3 3 2 2 3" xfId="37582" xr:uid="{00000000-0005-0000-0000-0000E0540000}"/>
    <cellStyle name="Normal 3 3 4 4 3 3 2 3" xfId="21877" xr:uid="{00000000-0005-0000-0000-0000E1540000}"/>
    <cellStyle name="Normal 3 3 4 4 3 3 2 3 2" xfId="53748" xr:uid="{00000000-0005-0000-0000-0000E2540000}"/>
    <cellStyle name="Normal 3 3 4 4 3 3 2 4" xfId="37581" xr:uid="{00000000-0005-0000-0000-0000E3540000}"/>
    <cellStyle name="Normal 3 3 4 4 3 3 3" xfId="5704" xr:uid="{00000000-0005-0000-0000-0000E4540000}"/>
    <cellStyle name="Normal 3 3 4 4 3 3 3 2" xfId="25816" xr:uid="{00000000-0005-0000-0000-0000E5540000}"/>
    <cellStyle name="Normal 3 3 4 4 3 3 3 2 2" xfId="57687" xr:uid="{00000000-0005-0000-0000-0000E6540000}"/>
    <cellStyle name="Normal 3 3 4 4 3 3 3 3" xfId="37583" xr:uid="{00000000-0005-0000-0000-0000E7540000}"/>
    <cellStyle name="Normal 3 3 4 4 3 3 4" xfId="17938" xr:uid="{00000000-0005-0000-0000-0000E8540000}"/>
    <cellStyle name="Normal 3 3 4 4 3 3 4 2" xfId="49809" xr:uid="{00000000-0005-0000-0000-0000E9540000}"/>
    <cellStyle name="Normal 3 3 4 4 3 3 5" xfId="37580" xr:uid="{00000000-0005-0000-0000-0000EA540000}"/>
    <cellStyle name="Normal 3 3 4 4 3 4" xfId="5705" xr:uid="{00000000-0005-0000-0000-0000EB540000}"/>
    <cellStyle name="Normal 3 3 4 4 3 4 2" xfId="5706" xr:uid="{00000000-0005-0000-0000-0000EC540000}"/>
    <cellStyle name="Normal 3 3 4 4 3 4 2 2" xfId="29752" xr:uid="{00000000-0005-0000-0000-0000ED540000}"/>
    <cellStyle name="Normal 3 3 4 4 3 4 2 2 2" xfId="61623" xr:uid="{00000000-0005-0000-0000-0000EE540000}"/>
    <cellStyle name="Normal 3 3 4 4 3 4 2 3" xfId="37585" xr:uid="{00000000-0005-0000-0000-0000EF540000}"/>
    <cellStyle name="Normal 3 3 4 4 3 4 3" xfId="21874" xr:uid="{00000000-0005-0000-0000-0000F0540000}"/>
    <cellStyle name="Normal 3 3 4 4 3 4 3 2" xfId="53745" xr:uid="{00000000-0005-0000-0000-0000F1540000}"/>
    <cellStyle name="Normal 3 3 4 4 3 4 4" xfId="37584" xr:uid="{00000000-0005-0000-0000-0000F2540000}"/>
    <cellStyle name="Normal 3 3 4 4 3 5" xfId="5707" xr:uid="{00000000-0005-0000-0000-0000F3540000}"/>
    <cellStyle name="Normal 3 3 4 4 3 5 2" xfId="25813" xr:uid="{00000000-0005-0000-0000-0000F4540000}"/>
    <cellStyle name="Normal 3 3 4 4 3 5 2 2" xfId="57684" xr:uid="{00000000-0005-0000-0000-0000F5540000}"/>
    <cellStyle name="Normal 3 3 4 4 3 5 3" xfId="37586" xr:uid="{00000000-0005-0000-0000-0000F6540000}"/>
    <cellStyle name="Normal 3 3 4 4 3 6" xfId="17935" xr:uid="{00000000-0005-0000-0000-0000F7540000}"/>
    <cellStyle name="Normal 3 3 4 4 3 6 2" xfId="49806" xr:uid="{00000000-0005-0000-0000-0000F8540000}"/>
    <cellStyle name="Normal 3 3 4 4 3 7" xfId="37571" xr:uid="{00000000-0005-0000-0000-0000F9540000}"/>
    <cellStyle name="Normal 3 3 4 4 4" xfId="5708" xr:uid="{00000000-0005-0000-0000-0000FA540000}"/>
    <cellStyle name="Normal 3 3 4 4 4 2" xfId="5709" xr:uid="{00000000-0005-0000-0000-0000FB540000}"/>
    <cellStyle name="Normal 3 3 4 4 4 2 2" xfId="5710" xr:uid="{00000000-0005-0000-0000-0000FC540000}"/>
    <cellStyle name="Normal 3 3 4 4 4 2 2 2" xfId="5711" xr:uid="{00000000-0005-0000-0000-0000FD540000}"/>
    <cellStyle name="Normal 3 3 4 4 4 2 2 2 2" xfId="29757" xr:uid="{00000000-0005-0000-0000-0000FE540000}"/>
    <cellStyle name="Normal 3 3 4 4 4 2 2 2 2 2" xfId="61628" xr:uid="{00000000-0005-0000-0000-0000FF540000}"/>
    <cellStyle name="Normal 3 3 4 4 4 2 2 2 3" xfId="37590" xr:uid="{00000000-0005-0000-0000-000000550000}"/>
    <cellStyle name="Normal 3 3 4 4 4 2 2 3" xfId="21879" xr:uid="{00000000-0005-0000-0000-000001550000}"/>
    <cellStyle name="Normal 3 3 4 4 4 2 2 3 2" xfId="53750" xr:uid="{00000000-0005-0000-0000-000002550000}"/>
    <cellStyle name="Normal 3 3 4 4 4 2 2 4" xfId="37589" xr:uid="{00000000-0005-0000-0000-000003550000}"/>
    <cellStyle name="Normal 3 3 4 4 4 2 3" xfId="5712" xr:uid="{00000000-0005-0000-0000-000004550000}"/>
    <cellStyle name="Normal 3 3 4 4 4 2 3 2" xfId="25818" xr:uid="{00000000-0005-0000-0000-000005550000}"/>
    <cellStyle name="Normal 3 3 4 4 4 2 3 2 2" xfId="57689" xr:uid="{00000000-0005-0000-0000-000006550000}"/>
    <cellStyle name="Normal 3 3 4 4 4 2 3 3" xfId="37591" xr:uid="{00000000-0005-0000-0000-000007550000}"/>
    <cellStyle name="Normal 3 3 4 4 4 2 4" xfId="17940" xr:uid="{00000000-0005-0000-0000-000008550000}"/>
    <cellStyle name="Normal 3 3 4 4 4 2 4 2" xfId="49811" xr:uid="{00000000-0005-0000-0000-000009550000}"/>
    <cellStyle name="Normal 3 3 4 4 4 2 5" xfId="37588" xr:uid="{00000000-0005-0000-0000-00000A550000}"/>
    <cellStyle name="Normal 3 3 4 4 4 3" xfId="5713" xr:uid="{00000000-0005-0000-0000-00000B550000}"/>
    <cellStyle name="Normal 3 3 4 4 4 3 2" xfId="5714" xr:uid="{00000000-0005-0000-0000-00000C550000}"/>
    <cellStyle name="Normal 3 3 4 4 4 3 2 2" xfId="29756" xr:uid="{00000000-0005-0000-0000-00000D550000}"/>
    <cellStyle name="Normal 3 3 4 4 4 3 2 2 2" xfId="61627" xr:uid="{00000000-0005-0000-0000-00000E550000}"/>
    <cellStyle name="Normal 3 3 4 4 4 3 2 3" xfId="37593" xr:uid="{00000000-0005-0000-0000-00000F550000}"/>
    <cellStyle name="Normal 3 3 4 4 4 3 3" xfId="21878" xr:uid="{00000000-0005-0000-0000-000010550000}"/>
    <cellStyle name="Normal 3 3 4 4 4 3 3 2" xfId="53749" xr:uid="{00000000-0005-0000-0000-000011550000}"/>
    <cellStyle name="Normal 3 3 4 4 4 3 4" xfId="37592" xr:uid="{00000000-0005-0000-0000-000012550000}"/>
    <cellStyle name="Normal 3 3 4 4 4 4" xfId="5715" xr:uid="{00000000-0005-0000-0000-000013550000}"/>
    <cellStyle name="Normal 3 3 4 4 4 4 2" xfId="25817" xr:uid="{00000000-0005-0000-0000-000014550000}"/>
    <cellStyle name="Normal 3 3 4 4 4 4 2 2" xfId="57688" xr:uid="{00000000-0005-0000-0000-000015550000}"/>
    <cellStyle name="Normal 3 3 4 4 4 4 3" xfId="37594" xr:uid="{00000000-0005-0000-0000-000016550000}"/>
    <cellStyle name="Normal 3 3 4 4 4 5" xfId="17939" xr:uid="{00000000-0005-0000-0000-000017550000}"/>
    <cellStyle name="Normal 3 3 4 4 4 5 2" xfId="49810" xr:uid="{00000000-0005-0000-0000-000018550000}"/>
    <cellStyle name="Normal 3 3 4 4 4 6" xfId="37587" xr:uid="{00000000-0005-0000-0000-000019550000}"/>
    <cellStyle name="Normal 3 3 4 4 5" xfId="5716" xr:uid="{00000000-0005-0000-0000-00001A550000}"/>
    <cellStyle name="Normal 3 3 4 4 5 2" xfId="5717" xr:uid="{00000000-0005-0000-0000-00001B550000}"/>
    <cellStyle name="Normal 3 3 4 4 5 2 2" xfId="5718" xr:uid="{00000000-0005-0000-0000-00001C550000}"/>
    <cellStyle name="Normal 3 3 4 4 5 2 2 2" xfId="29758" xr:uid="{00000000-0005-0000-0000-00001D550000}"/>
    <cellStyle name="Normal 3 3 4 4 5 2 2 2 2" xfId="61629" xr:uid="{00000000-0005-0000-0000-00001E550000}"/>
    <cellStyle name="Normal 3 3 4 4 5 2 2 3" xfId="37597" xr:uid="{00000000-0005-0000-0000-00001F550000}"/>
    <cellStyle name="Normal 3 3 4 4 5 2 3" xfId="21880" xr:uid="{00000000-0005-0000-0000-000020550000}"/>
    <cellStyle name="Normal 3 3 4 4 5 2 3 2" xfId="53751" xr:uid="{00000000-0005-0000-0000-000021550000}"/>
    <cellStyle name="Normal 3 3 4 4 5 2 4" xfId="37596" xr:uid="{00000000-0005-0000-0000-000022550000}"/>
    <cellStyle name="Normal 3 3 4 4 5 3" xfId="5719" xr:uid="{00000000-0005-0000-0000-000023550000}"/>
    <cellStyle name="Normal 3 3 4 4 5 3 2" xfId="25819" xr:uid="{00000000-0005-0000-0000-000024550000}"/>
    <cellStyle name="Normal 3 3 4 4 5 3 2 2" xfId="57690" xr:uid="{00000000-0005-0000-0000-000025550000}"/>
    <cellStyle name="Normal 3 3 4 4 5 3 3" xfId="37598" xr:uid="{00000000-0005-0000-0000-000026550000}"/>
    <cellStyle name="Normal 3 3 4 4 5 4" xfId="17941" xr:uid="{00000000-0005-0000-0000-000027550000}"/>
    <cellStyle name="Normal 3 3 4 4 5 4 2" xfId="49812" xr:uid="{00000000-0005-0000-0000-000028550000}"/>
    <cellStyle name="Normal 3 3 4 4 5 5" xfId="37595" xr:uid="{00000000-0005-0000-0000-000029550000}"/>
    <cellStyle name="Normal 3 3 4 4 6" xfId="5720" xr:uid="{00000000-0005-0000-0000-00002A550000}"/>
    <cellStyle name="Normal 3 3 4 4 6 2" xfId="5721" xr:uid="{00000000-0005-0000-0000-00002B550000}"/>
    <cellStyle name="Normal 3 3 4 4 6 2 2" xfId="28402" xr:uid="{00000000-0005-0000-0000-00002C550000}"/>
    <cellStyle name="Normal 3 3 4 4 6 2 2 2" xfId="60273" xr:uid="{00000000-0005-0000-0000-00002D550000}"/>
    <cellStyle name="Normal 3 3 4 4 6 2 3" xfId="37600" xr:uid="{00000000-0005-0000-0000-00002E550000}"/>
    <cellStyle name="Normal 3 3 4 4 6 3" xfId="20524" xr:uid="{00000000-0005-0000-0000-00002F550000}"/>
    <cellStyle name="Normal 3 3 4 4 6 3 2" xfId="52395" xr:uid="{00000000-0005-0000-0000-000030550000}"/>
    <cellStyle name="Normal 3 3 4 4 6 4" xfId="37599" xr:uid="{00000000-0005-0000-0000-000031550000}"/>
    <cellStyle name="Normal 3 3 4 4 7" xfId="5722" xr:uid="{00000000-0005-0000-0000-000032550000}"/>
    <cellStyle name="Normal 3 3 4 4 7 2" xfId="24463" xr:uid="{00000000-0005-0000-0000-000033550000}"/>
    <cellStyle name="Normal 3 3 4 4 7 2 2" xfId="56334" xr:uid="{00000000-0005-0000-0000-000034550000}"/>
    <cellStyle name="Normal 3 3 4 4 7 3" xfId="37601" xr:uid="{00000000-0005-0000-0000-000035550000}"/>
    <cellStyle name="Normal 3 3 4 4 8" xfId="16585" xr:uid="{00000000-0005-0000-0000-000036550000}"/>
    <cellStyle name="Normal 3 3 4 4 8 2" xfId="48456" xr:uid="{00000000-0005-0000-0000-000037550000}"/>
    <cellStyle name="Normal 3 3 4 4 9" xfId="37538" xr:uid="{00000000-0005-0000-0000-000038550000}"/>
    <cellStyle name="Normal 3 3 4 5" xfId="5723" xr:uid="{00000000-0005-0000-0000-000039550000}"/>
    <cellStyle name="Normal 3 3 4 5 2" xfId="5724" xr:uid="{00000000-0005-0000-0000-00003A550000}"/>
    <cellStyle name="Normal 3 3 4 5 2 2" xfId="5725" xr:uid="{00000000-0005-0000-0000-00003B550000}"/>
    <cellStyle name="Normal 3 3 4 5 2 2 2" xfId="5726" xr:uid="{00000000-0005-0000-0000-00003C550000}"/>
    <cellStyle name="Normal 3 3 4 5 2 2 2 2" xfId="5727" xr:uid="{00000000-0005-0000-0000-00003D550000}"/>
    <cellStyle name="Normal 3 3 4 5 2 2 2 2 2" xfId="5728" xr:uid="{00000000-0005-0000-0000-00003E550000}"/>
    <cellStyle name="Normal 3 3 4 5 2 2 2 2 2 2" xfId="29762" xr:uid="{00000000-0005-0000-0000-00003F550000}"/>
    <cellStyle name="Normal 3 3 4 5 2 2 2 2 2 2 2" xfId="61633" xr:uid="{00000000-0005-0000-0000-000040550000}"/>
    <cellStyle name="Normal 3 3 4 5 2 2 2 2 2 3" xfId="37607" xr:uid="{00000000-0005-0000-0000-000041550000}"/>
    <cellStyle name="Normal 3 3 4 5 2 2 2 2 3" xfId="21884" xr:uid="{00000000-0005-0000-0000-000042550000}"/>
    <cellStyle name="Normal 3 3 4 5 2 2 2 2 3 2" xfId="53755" xr:uid="{00000000-0005-0000-0000-000043550000}"/>
    <cellStyle name="Normal 3 3 4 5 2 2 2 2 4" xfId="37606" xr:uid="{00000000-0005-0000-0000-000044550000}"/>
    <cellStyle name="Normal 3 3 4 5 2 2 2 3" xfId="5729" xr:uid="{00000000-0005-0000-0000-000045550000}"/>
    <cellStyle name="Normal 3 3 4 5 2 2 2 3 2" xfId="25823" xr:uid="{00000000-0005-0000-0000-000046550000}"/>
    <cellStyle name="Normal 3 3 4 5 2 2 2 3 2 2" xfId="57694" xr:uid="{00000000-0005-0000-0000-000047550000}"/>
    <cellStyle name="Normal 3 3 4 5 2 2 2 3 3" xfId="37608" xr:uid="{00000000-0005-0000-0000-000048550000}"/>
    <cellStyle name="Normal 3 3 4 5 2 2 2 4" xfId="17945" xr:uid="{00000000-0005-0000-0000-000049550000}"/>
    <cellStyle name="Normal 3 3 4 5 2 2 2 4 2" xfId="49816" xr:uid="{00000000-0005-0000-0000-00004A550000}"/>
    <cellStyle name="Normal 3 3 4 5 2 2 2 5" xfId="37605" xr:uid="{00000000-0005-0000-0000-00004B550000}"/>
    <cellStyle name="Normal 3 3 4 5 2 2 3" xfId="5730" xr:uid="{00000000-0005-0000-0000-00004C550000}"/>
    <cellStyle name="Normal 3 3 4 5 2 2 3 2" xfId="5731" xr:uid="{00000000-0005-0000-0000-00004D550000}"/>
    <cellStyle name="Normal 3 3 4 5 2 2 3 2 2" xfId="29761" xr:uid="{00000000-0005-0000-0000-00004E550000}"/>
    <cellStyle name="Normal 3 3 4 5 2 2 3 2 2 2" xfId="61632" xr:uid="{00000000-0005-0000-0000-00004F550000}"/>
    <cellStyle name="Normal 3 3 4 5 2 2 3 2 3" xfId="37610" xr:uid="{00000000-0005-0000-0000-000050550000}"/>
    <cellStyle name="Normal 3 3 4 5 2 2 3 3" xfId="21883" xr:uid="{00000000-0005-0000-0000-000051550000}"/>
    <cellStyle name="Normal 3 3 4 5 2 2 3 3 2" xfId="53754" xr:uid="{00000000-0005-0000-0000-000052550000}"/>
    <cellStyle name="Normal 3 3 4 5 2 2 3 4" xfId="37609" xr:uid="{00000000-0005-0000-0000-000053550000}"/>
    <cellStyle name="Normal 3 3 4 5 2 2 4" xfId="5732" xr:uid="{00000000-0005-0000-0000-000054550000}"/>
    <cellStyle name="Normal 3 3 4 5 2 2 4 2" xfId="25822" xr:uid="{00000000-0005-0000-0000-000055550000}"/>
    <cellStyle name="Normal 3 3 4 5 2 2 4 2 2" xfId="57693" xr:uid="{00000000-0005-0000-0000-000056550000}"/>
    <cellStyle name="Normal 3 3 4 5 2 2 4 3" xfId="37611" xr:uid="{00000000-0005-0000-0000-000057550000}"/>
    <cellStyle name="Normal 3 3 4 5 2 2 5" xfId="17944" xr:uid="{00000000-0005-0000-0000-000058550000}"/>
    <cellStyle name="Normal 3 3 4 5 2 2 5 2" xfId="49815" xr:uid="{00000000-0005-0000-0000-000059550000}"/>
    <cellStyle name="Normal 3 3 4 5 2 2 6" xfId="37604" xr:uid="{00000000-0005-0000-0000-00005A550000}"/>
    <cellStyle name="Normal 3 3 4 5 2 3" xfId="5733" xr:uid="{00000000-0005-0000-0000-00005B550000}"/>
    <cellStyle name="Normal 3 3 4 5 2 3 2" xfId="5734" xr:uid="{00000000-0005-0000-0000-00005C550000}"/>
    <cellStyle name="Normal 3 3 4 5 2 3 2 2" xfId="5735" xr:uid="{00000000-0005-0000-0000-00005D550000}"/>
    <cellStyle name="Normal 3 3 4 5 2 3 2 2 2" xfId="29763" xr:uid="{00000000-0005-0000-0000-00005E550000}"/>
    <cellStyle name="Normal 3 3 4 5 2 3 2 2 2 2" xfId="61634" xr:uid="{00000000-0005-0000-0000-00005F550000}"/>
    <cellStyle name="Normal 3 3 4 5 2 3 2 2 3" xfId="37614" xr:uid="{00000000-0005-0000-0000-000060550000}"/>
    <cellStyle name="Normal 3 3 4 5 2 3 2 3" xfId="21885" xr:uid="{00000000-0005-0000-0000-000061550000}"/>
    <cellStyle name="Normal 3 3 4 5 2 3 2 3 2" xfId="53756" xr:uid="{00000000-0005-0000-0000-000062550000}"/>
    <cellStyle name="Normal 3 3 4 5 2 3 2 4" xfId="37613" xr:uid="{00000000-0005-0000-0000-000063550000}"/>
    <cellStyle name="Normal 3 3 4 5 2 3 3" xfId="5736" xr:uid="{00000000-0005-0000-0000-000064550000}"/>
    <cellStyle name="Normal 3 3 4 5 2 3 3 2" xfId="25824" xr:uid="{00000000-0005-0000-0000-000065550000}"/>
    <cellStyle name="Normal 3 3 4 5 2 3 3 2 2" xfId="57695" xr:uid="{00000000-0005-0000-0000-000066550000}"/>
    <cellStyle name="Normal 3 3 4 5 2 3 3 3" xfId="37615" xr:uid="{00000000-0005-0000-0000-000067550000}"/>
    <cellStyle name="Normal 3 3 4 5 2 3 4" xfId="17946" xr:uid="{00000000-0005-0000-0000-000068550000}"/>
    <cellStyle name="Normal 3 3 4 5 2 3 4 2" xfId="49817" xr:uid="{00000000-0005-0000-0000-000069550000}"/>
    <cellStyle name="Normal 3 3 4 5 2 3 5" xfId="37612" xr:uid="{00000000-0005-0000-0000-00006A550000}"/>
    <cellStyle name="Normal 3 3 4 5 2 4" xfId="5737" xr:uid="{00000000-0005-0000-0000-00006B550000}"/>
    <cellStyle name="Normal 3 3 4 5 2 4 2" xfId="5738" xr:uid="{00000000-0005-0000-0000-00006C550000}"/>
    <cellStyle name="Normal 3 3 4 5 2 4 2 2" xfId="29760" xr:uid="{00000000-0005-0000-0000-00006D550000}"/>
    <cellStyle name="Normal 3 3 4 5 2 4 2 2 2" xfId="61631" xr:uid="{00000000-0005-0000-0000-00006E550000}"/>
    <cellStyle name="Normal 3 3 4 5 2 4 2 3" xfId="37617" xr:uid="{00000000-0005-0000-0000-00006F550000}"/>
    <cellStyle name="Normal 3 3 4 5 2 4 3" xfId="21882" xr:uid="{00000000-0005-0000-0000-000070550000}"/>
    <cellStyle name="Normal 3 3 4 5 2 4 3 2" xfId="53753" xr:uid="{00000000-0005-0000-0000-000071550000}"/>
    <cellStyle name="Normal 3 3 4 5 2 4 4" xfId="37616" xr:uid="{00000000-0005-0000-0000-000072550000}"/>
    <cellStyle name="Normal 3 3 4 5 2 5" xfId="5739" xr:uid="{00000000-0005-0000-0000-000073550000}"/>
    <cellStyle name="Normal 3 3 4 5 2 5 2" xfId="25821" xr:uid="{00000000-0005-0000-0000-000074550000}"/>
    <cellStyle name="Normal 3 3 4 5 2 5 2 2" xfId="57692" xr:uid="{00000000-0005-0000-0000-000075550000}"/>
    <cellStyle name="Normal 3 3 4 5 2 5 3" xfId="37618" xr:uid="{00000000-0005-0000-0000-000076550000}"/>
    <cellStyle name="Normal 3 3 4 5 2 6" xfId="17943" xr:uid="{00000000-0005-0000-0000-000077550000}"/>
    <cellStyle name="Normal 3 3 4 5 2 6 2" xfId="49814" xr:uid="{00000000-0005-0000-0000-000078550000}"/>
    <cellStyle name="Normal 3 3 4 5 2 7" xfId="37603" xr:uid="{00000000-0005-0000-0000-000079550000}"/>
    <cellStyle name="Normal 3 3 4 5 3" xfId="5740" xr:uid="{00000000-0005-0000-0000-00007A550000}"/>
    <cellStyle name="Normal 3 3 4 5 3 2" xfId="5741" xr:uid="{00000000-0005-0000-0000-00007B550000}"/>
    <cellStyle name="Normal 3 3 4 5 3 2 2" xfId="5742" xr:uid="{00000000-0005-0000-0000-00007C550000}"/>
    <cellStyle name="Normal 3 3 4 5 3 2 2 2" xfId="5743" xr:uid="{00000000-0005-0000-0000-00007D550000}"/>
    <cellStyle name="Normal 3 3 4 5 3 2 2 2 2" xfId="29765" xr:uid="{00000000-0005-0000-0000-00007E550000}"/>
    <cellStyle name="Normal 3 3 4 5 3 2 2 2 2 2" xfId="61636" xr:uid="{00000000-0005-0000-0000-00007F550000}"/>
    <cellStyle name="Normal 3 3 4 5 3 2 2 2 3" xfId="37622" xr:uid="{00000000-0005-0000-0000-000080550000}"/>
    <cellStyle name="Normal 3 3 4 5 3 2 2 3" xfId="21887" xr:uid="{00000000-0005-0000-0000-000081550000}"/>
    <cellStyle name="Normal 3 3 4 5 3 2 2 3 2" xfId="53758" xr:uid="{00000000-0005-0000-0000-000082550000}"/>
    <cellStyle name="Normal 3 3 4 5 3 2 2 4" xfId="37621" xr:uid="{00000000-0005-0000-0000-000083550000}"/>
    <cellStyle name="Normal 3 3 4 5 3 2 3" xfId="5744" xr:uid="{00000000-0005-0000-0000-000084550000}"/>
    <cellStyle name="Normal 3 3 4 5 3 2 3 2" xfId="25826" xr:uid="{00000000-0005-0000-0000-000085550000}"/>
    <cellStyle name="Normal 3 3 4 5 3 2 3 2 2" xfId="57697" xr:uid="{00000000-0005-0000-0000-000086550000}"/>
    <cellStyle name="Normal 3 3 4 5 3 2 3 3" xfId="37623" xr:uid="{00000000-0005-0000-0000-000087550000}"/>
    <cellStyle name="Normal 3 3 4 5 3 2 4" xfId="17948" xr:uid="{00000000-0005-0000-0000-000088550000}"/>
    <cellStyle name="Normal 3 3 4 5 3 2 4 2" xfId="49819" xr:uid="{00000000-0005-0000-0000-000089550000}"/>
    <cellStyle name="Normal 3 3 4 5 3 2 5" xfId="37620" xr:uid="{00000000-0005-0000-0000-00008A550000}"/>
    <cellStyle name="Normal 3 3 4 5 3 3" xfId="5745" xr:uid="{00000000-0005-0000-0000-00008B550000}"/>
    <cellStyle name="Normal 3 3 4 5 3 3 2" xfId="5746" xr:uid="{00000000-0005-0000-0000-00008C550000}"/>
    <cellStyle name="Normal 3 3 4 5 3 3 2 2" xfId="29764" xr:uid="{00000000-0005-0000-0000-00008D550000}"/>
    <cellStyle name="Normal 3 3 4 5 3 3 2 2 2" xfId="61635" xr:uid="{00000000-0005-0000-0000-00008E550000}"/>
    <cellStyle name="Normal 3 3 4 5 3 3 2 3" xfId="37625" xr:uid="{00000000-0005-0000-0000-00008F550000}"/>
    <cellStyle name="Normal 3 3 4 5 3 3 3" xfId="21886" xr:uid="{00000000-0005-0000-0000-000090550000}"/>
    <cellStyle name="Normal 3 3 4 5 3 3 3 2" xfId="53757" xr:uid="{00000000-0005-0000-0000-000091550000}"/>
    <cellStyle name="Normal 3 3 4 5 3 3 4" xfId="37624" xr:uid="{00000000-0005-0000-0000-000092550000}"/>
    <cellStyle name="Normal 3 3 4 5 3 4" xfId="5747" xr:uid="{00000000-0005-0000-0000-000093550000}"/>
    <cellStyle name="Normal 3 3 4 5 3 4 2" xfId="25825" xr:uid="{00000000-0005-0000-0000-000094550000}"/>
    <cellStyle name="Normal 3 3 4 5 3 4 2 2" xfId="57696" xr:uid="{00000000-0005-0000-0000-000095550000}"/>
    <cellStyle name="Normal 3 3 4 5 3 4 3" xfId="37626" xr:uid="{00000000-0005-0000-0000-000096550000}"/>
    <cellStyle name="Normal 3 3 4 5 3 5" xfId="17947" xr:uid="{00000000-0005-0000-0000-000097550000}"/>
    <cellStyle name="Normal 3 3 4 5 3 5 2" xfId="49818" xr:uid="{00000000-0005-0000-0000-000098550000}"/>
    <cellStyle name="Normal 3 3 4 5 3 6" xfId="37619" xr:uid="{00000000-0005-0000-0000-000099550000}"/>
    <cellStyle name="Normal 3 3 4 5 4" xfId="5748" xr:uid="{00000000-0005-0000-0000-00009A550000}"/>
    <cellStyle name="Normal 3 3 4 5 4 2" xfId="5749" xr:uid="{00000000-0005-0000-0000-00009B550000}"/>
    <cellStyle name="Normal 3 3 4 5 4 2 2" xfId="5750" xr:uid="{00000000-0005-0000-0000-00009C550000}"/>
    <cellStyle name="Normal 3 3 4 5 4 2 2 2" xfId="29766" xr:uid="{00000000-0005-0000-0000-00009D550000}"/>
    <cellStyle name="Normal 3 3 4 5 4 2 2 2 2" xfId="61637" xr:uid="{00000000-0005-0000-0000-00009E550000}"/>
    <cellStyle name="Normal 3 3 4 5 4 2 2 3" xfId="37629" xr:uid="{00000000-0005-0000-0000-00009F550000}"/>
    <cellStyle name="Normal 3 3 4 5 4 2 3" xfId="21888" xr:uid="{00000000-0005-0000-0000-0000A0550000}"/>
    <cellStyle name="Normal 3 3 4 5 4 2 3 2" xfId="53759" xr:uid="{00000000-0005-0000-0000-0000A1550000}"/>
    <cellStyle name="Normal 3 3 4 5 4 2 4" xfId="37628" xr:uid="{00000000-0005-0000-0000-0000A2550000}"/>
    <cellStyle name="Normal 3 3 4 5 4 3" xfId="5751" xr:uid="{00000000-0005-0000-0000-0000A3550000}"/>
    <cellStyle name="Normal 3 3 4 5 4 3 2" xfId="25827" xr:uid="{00000000-0005-0000-0000-0000A4550000}"/>
    <cellStyle name="Normal 3 3 4 5 4 3 2 2" xfId="57698" xr:uid="{00000000-0005-0000-0000-0000A5550000}"/>
    <cellStyle name="Normal 3 3 4 5 4 3 3" xfId="37630" xr:uid="{00000000-0005-0000-0000-0000A6550000}"/>
    <cellStyle name="Normal 3 3 4 5 4 4" xfId="17949" xr:uid="{00000000-0005-0000-0000-0000A7550000}"/>
    <cellStyle name="Normal 3 3 4 5 4 4 2" xfId="49820" xr:uid="{00000000-0005-0000-0000-0000A8550000}"/>
    <cellStyle name="Normal 3 3 4 5 4 5" xfId="37627" xr:uid="{00000000-0005-0000-0000-0000A9550000}"/>
    <cellStyle name="Normal 3 3 4 5 5" xfId="5752" xr:uid="{00000000-0005-0000-0000-0000AA550000}"/>
    <cellStyle name="Normal 3 3 4 5 5 2" xfId="5753" xr:uid="{00000000-0005-0000-0000-0000AB550000}"/>
    <cellStyle name="Normal 3 3 4 5 5 2 2" xfId="29759" xr:uid="{00000000-0005-0000-0000-0000AC550000}"/>
    <cellStyle name="Normal 3 3 4 5 5 2 2 2" xfId="61630" xr:uid="{00000000-0005-0000-0000-0000AD550000}"/>
    <cellStyle name="Normal 3 3 4 5 5 2 3" xfId="37632" xr:uid="{00000000-0005-0000-0000-0000AE550000}"/>
    <cellStyle name="Normal 3 3 4 5 5 3" xfId="21881" xr:uid="{00000000-0005-0000-0000-0000AF550000}"/>
    <cellStyle name="Normal 3 3 4 5 5 3 2" xfId="53752" xr:uid="{00000000-0005-0000-0000-0000B0550000}"/>
    <cellStyle name="Normal 3 3 4 5 5 4" xfId="37631" xr:uid="{00000000-0005-0000-0000-0000B1550000}"/>
    <cellStyle name="Normal 3 3 4 5 6" xfId="5754" xr:uid="{00000000-0005-0000-0000-0000B2550000}"/>
    <cellStyle name="Normal 3 3 4 5 6 2" xfId="25820" xr:uid="{00000000-0005-0000-0000-0000B3550000}"/>
    <cellStyle name="Normal 3 3 4 5 6 2 2" xfId="57691" xr:uid="{00000000-0005-0000-0000-0000B4550000}"/>
    <cellStyle name="Normal 3 3 4 5 6 3" xfId="37633" xr:uid="{00000000-0005-0000-0000-0000B5550000}"/>
    <cellStyle name="Normal 3 3 4 5 7" xfId="17942" xr:uid="{00000000-0005-0000-0000-0000B6550000}"/>
    <cellStyle name="Normal 3 3 4 5 7 2" xfId="49813" xr:uid="{00000000-0005-0000-0000-0000B7550000}"/>
    <cellStyle name="Normal 3 3 4 5 8" xfId="37602" xr:uid="{00000000-0005-0000-0000-0000B8550000}"/>
    <cellStyle name="Normal 3 3 4 6" xfId="5755" xr:uid="{00000000-0005-0000-0000-0000B9550000}"/>
    <cellStyle name="Normal 3 3 4 6 2" xfId="5756" xr:uid="{00000000-0005-0000-0000-0000BA550000}"/>
    <cellStyle name="Normal 3 3 4 6 2 2" xfId="5757" xr:uid="{00000000-0005-0000-0000-0000BB550000}"/>
    <cellStyle name="Normal 3 3 4 6 2 2 2" xfId="5758" xr:uid="{00000000-0005-0000-0000-0000BC550000}"/>
    <cellStyle name="Normal 3 3 4 6 2 2 2 2" xfId="5759" xr:uid="{00000000-0005-0000-0000-0000BD550000}"/>
    <cellStyle name="Normal 3 3 4 6 2 2 2 2 2" xfId="29769" xr:uid="{00000000-0005-0000-0000-0000BE550000}"/>
    <cellStyle name="Normal 3 3 4 6 2 2 2 2 2 2" xfId="61640" xr:uid="{00000000-0005-0000-0000-0000BF550000}"/>
    <cellStyle name="Normal 3 3 4 6 2 2 2 2 3" xfId="37638" xr:uid="{00000000-0005-0000-0000-0000C0550000}"/>
    <cellStyle name="Normal 3 3 4 6 2 2 2 3" xfId="21891" xr:uid="{00000000-0005-0000-0000-0000C1550000}"/>
    <cellStyle name="Normal 3 3 4 6 2 2 2 3 2" xfId="53762" xr:uid="{00000000-0005-0000-0000-0000C2550000}"/>
    <cellStyle name="Normal 3 3 4 6 2 2 2 4" xfId="37637" xr:uid="{00000000-0005-0000-0000-0000C3550000}"/>
    <cellStyle name="Normal 3 3 4 6 2 2 3" xfId="5760" xr:uid="{00000000-0005-0000-0000-0000C4550000}"/>
    <cellStyle name="Normal 3 3 4 6 2 2 3 2" xfId="25830" xr:uid="{00000000-0005-0000-0000-0000C5550000}"/>
    <cellStyle name="Normal 3 3 4 6 2 2 3 2 2" xfId="57701" xr:uid="{00000000-0005-0000-0000-0000C6550000}"/>
    <cellStyle name="Normal 3 3 4 6 2 2 3 3" xfId="37639" xr:uid="{00000000-0005-0000-0000-0000C7550000}"/>
    <cellStyle name="Normal 3 3 4 6 2 2 4" xfId="17952" xr:uid="{00000000-0005-0000-0000-0000C8550000}"/>
    <cellStyle name="Normal 3 3 4 6 2 2 4 2" xfId="49823" xr:uid="{00000000-0005-0000-0000-0000C9550000}"/>
    <cellStyle name="Normal 3 3 4 6 2 2 5" xfId="37636" xr:uid="{00000000-0005-0000-0000-0000CA550000}"/>
    <cellStyle name="Normal 3 3 4 6 2 3" xfId="5761" xr:uid="{00000000-0005-0000-0000-0000CB550000}"/>
    <cellStyle name="Normal 3 3 4 6 2 3 2" xfId="5762" xr:uid="{00000000-0005-0000-0000-0000CC550000}"/>
    <cellStyle name="Normal 3 3 4 6 2 3 2 2" xfId="29768" xr:uid="{00000000-0005-0000-0000-0000CD550000}"/>
    <cellStyle name="Normal 3 3 4 6 2 3 2 2 2" xfId="61639" xr:uid="{00000000-0005-0000-0000-0000CE550000}"/>
    <cellStyle name="Normal 3 3 4 6 2 3 2 3" xfId="37641" xr:uid="{00000000-0005-0000-0000-0000CF550000}"/>
    <cellStyle name="Normal 3 3 4 6 2 3 3" xfId="21890" xr:uid="{00000000-0005-0000-0000-0000D0550000}"/>
    <cellStyle name="Normal 3 3 4 6 2 3 3 2" xfId="53761" xr:uid="{00000000-0005-0000-0000-0000D1550000}"/>
    <cellStyle name="Normal 3 3 4 6 2 3 4" xfId="37640" xr:uid="{00000000-0005-0000-0000-0000D2550000}"/>
    <cellStyle name="Normal 3 3 4 6 2 4" xfId="5763" xr:uid="{00000000-0005-0000-0000-0000D3550000}"/>
    <cellStyle name="Normal 3 3 4 6 2 4 2" xfId="25829" xr:uid="{00000000-0005-0000-0000-0000D4550000}"/>
    <cellStyle name="Normal 3 3 4 6 2 4 2 2" xfId="57700" xr:uid="{00000000-0005-0000-0000-0000D5550000}"/>
    <cellStyle name="Normal 3 3 4 6 2 4 3" xfId="37642" xr:uid="{00000000-0005-0000-0000-0000D6550000}"/>
    <cellStyle name="Normal 3 3 4 6 2 5" xfId="17951" xr:uid="{00000000-0005-0000-0000-0000D7550000}"/>
    <cellStyle name="Normal 3 3 4 6 2 5 2" xfId="49822" xr:uid="{00000000-0005-0000-0000-0000D8550000}"/>
    <cellStyle name="Normal 3 3 4 6 2 6" xfId="37635" xr:uid="{00000000-0005-0000-0000-0000D9550000}"/>
    <cellStyle name="Normal 3 3 4 6 3" xfId="5764" xr:uid="{00000000-0005-0000-0000-0000DA550000}"/>
    <cellStyle name="Normal 3 3 4 6 3 2" xfId="5765" xr:uid="{00000000-0005-0000-0000-0000DB550000}"/>
    <cellStyle name="Normal 3 3 4 6 3 2 2" xfId="5766" xr:uid="{00000000-0005-0000-0000-0000DC550000}"/>
    <cellStyle name="Normal 3 3 4 6 3 2 2 2" xfId="29770" xr:uid="{00000000-0005-0000-0000-0000DD550000}"/>
    <cellStyle name="Normal 3 3 4 6 3 2 2 2 2" xfId="61641" xr:uid="{00000000-0005-0000-0000-0000DE550000}"/>
    <cellStyle name="Normal 3 3 4 6 3 2 2 3" xfId="37645" xr:uid="{00000000-0005-0000-0000-0000DF550000}"/>
    <cellStyle name="Normal 3 3 4 6 3 2 3" xfId="21892" xr:uid="{00000000-0005-0000-0000-0000E0550000}"/>
    <cellStyle name="Normal 3 3 4 6 3 2 3 2" xfId="53763" xr:uid="{00000000-0005-0000-0000-0000E1550000}"/>
    <cellStyle name="Normal 3 3 4 6 3 2 4" xfId="37644" xr:uid="{00000000-0005-0000-0000-0000E2550000}"/>
    <cellStyle name="Normal 3 3 4 6 3 3" xfId="5767" xr:uid="{00000000-0005-0000-0000-0000E3550000}"/>
    <cellStyle name="Normal 3 3 4 6 3 3 2" xfId="25831" xr:uid="{00000000-0005-0000-0000-0000E4550000}"/>
    <cellStyle name="Normal 3 3 4 6 3 3 2 2" xfId="57702" xr:uid="{00000000-0005-0000-0000-0000E5550000}"/>
    <cellStyle name="Normal 3 3 4 6 3 3 3" xfId="37646" xr:uid="{00000000-0005-0000-0000-0000E6550000}"/>
    <cellStyle name="Normal 3 3 4 6 3 4" xfId="17953" xr:uid="{00000000-0005-0000-0000-0000E7550000}"/>
    <cellStyle name="Normal 3 3 4 6 3 4 2" xfId="49824" xr:uid="{00000000-0005-0000-0000-0000E8550000}"/>
    <cellStyle name="Normal 3 3 4 6 3 5" xfId="37643" xr:uid="{00000000-0005-0000-0000-0000E9550000}"/>
    <cellStyle name="Normal 3 3 4 6 4" xfId="5768" xr:uid="{00000000-0005-0000-0000-0000EA550000}"/>
    <cellStyle name="Normal 3 3 4 6 4 2" xfId="5769" xr:uid="{00000000-0005-0000-0000-0000EB550000}"/>
    <cellStyle name="Normal 3 3 4 6 4 2 2" xfId="29767" xr:uid="{00000000-0005-0000-0000-0000EC550000}"/>
    <cellStyle name="Normal 3 3 4 6 4 2 2 2" xfId="61638" xr:uid="{00000000-0005-0000-0000-0000ED550000}"/>
    <cellStyle name="Normal 3 3 4 6 4 2 3" xfId="37648" xr:uid="{00000000-0005-0000-0000-0000EE550000}"/>
    <cellStyle name="Normal 3 3 4 6 4 3" xfId="21889" xr:uid="{00000000-0005-0000-0000-0000EF550000}"/>
    <cellStyle name="Normal 3 3 4 6 4 3 2" xfId="53760" xr:uid="{00000000-0005-0000-0000-0000F0550000}"/>
    <cellStyle name="Normal 3 3 4 6 4 4" xfId="37647" xr:uid="{00000000-0005-0000-0000-0000F1550000}"/>
    <cellStyle name="Normal 3 3 4 6 5" xfId="5770" xr:uid="{00000000-0005-0000-0000-0000F2550000}"/>
    <cellStyle name="Normal 3 3 4 6 5 2" xfId="25828" xr:uid="{00000000-0005-0000-0000-0000F3550000}"/>
    <cellStyle name="Normal 3 3 4 6 5 2 2" xfId="57699" xr:uid="{00000000-0005-0000-0000-0000F4550000}"/>
    <cellStyle name="Normal 3 3 4 6 5 3" xfId="37649" xr:uid="{00000000-0005-0000-0000-0000F5550000}"/>
    <cellStyle name="Normal 3 3 4 6 6" xfId="17950" xr:uid="{00000000-0005-0000-0000-0000F6550000}"/>
    <cellStyle name="Normal 3 3 4 6 6 2" xfId="49821" xr:uid="{00000000-0005-0000-0000-0000F7550000}"/>
    <cellStyle name="Normal 3 3 4 6 7" xfId="37634" xr:uid="{00000000-0005-0000-0000-0000F8550000}"/>
    <cellStyle name="Normal 3 3 4 7" xfId="5771" xr:uid="{00000000-0005-0000-0000-0000F9550000}"/>
    <cellStyle name="Normal 3 3 4 7 2" xfId="5772" xr:uid="{00000000-0005-0000-0000-0000FA550000}"/>
    <cellStyle name="Normal 3 3 4 7 2 2" xfId="5773" xr:uid="{00000000-0005-0000-0000-0000FB550000}"/>
    <cellStyle name="Normal 3 3 4 7 2 2 2" xfId="5774" xr:uid="{00000000-0005-0000-0000-0000FC550000}"/>
    <cellStyle name="Normal 3 3 4 7 2 2 2 2" xfId="29772" xr:uid="{00000000-0005-0000-0000-0000FD550000}"/>
    <cellStyle name="Normal 3 3 4 7 2 2 2 2 2" xfId="61643" xr:uid="{00000000-0005-0000-0000-0000FE550000}"/>
    <cellStyle name="Normal 3 3 4 7 2 2 2 3" xfId="37653" xr:uid="{00000000-0005-0000-0000-0000FF550000}"/>
    <cellStyle name="Normal 3 3 4 7 2 2 3" xfId="21894" xr:uid="{00000000-0005-0000-0000-000000560000}"/>
    <cellStyle name="Normal 3 3 4 7 2 2 3 2" xfId="53765" xr:uid="{00000000-0005-0000-0000-000001560000}"/>
    <cellStyle name="Normal 3 3 4 7 2 2 4" xfId="37652" xr:uid="{00000000-0005-0000-0000-000002560000}"/>
    <cellStyle name="Normal 3 3 4 7 2 3" xfId="5775" xr:uid="{00000000-0005-0000-0000-000003560000}"/>
    <cellStyle name="Normal 3 3 4 7 2 3 2" xfId="25833" xr:uid="{00000000-0005-0000-0000-000004560000}"/>
    <cellStyle name="Normal 3 3 4 7 2 3 2 2" xfId="57704" xr:uid="{00000000-0005-0000-0000-000005560000}"/>
    <cellStyle name="Normal 3 3 4 7 2 3 3" xfId="37654" xr:uid="{00000000-0005-0000-0000-000006560000}"/>
    <cellStyle name="Normal 3 3 4 7 2 4" xfId="17955" xr:uid="{00000000-0005-0000-0000-000007560000}"/>
    <cellStyle name="Normal 3 3 4 7 2 4 2" xfId="49826" xr:uid="{00000000-0005-0000-0000-000008560000}"/>
    <cellStyle name="Normal 3 3 4 7 2 5" xfId="37651" xr:uid="{00000000-0005-0000-0000-000009560000}"/>
    <cellStyle name="Normal 3 3 4 7 3" xfId="5776" xr:uid="{00000000-0005-0000-0000-00000A560000}"/>
    <cellStyle name="Normal 3 3 4 7 3 2" xfId="5777" xr:uid="{00000000-0005-0000-0000-00000B560000}"/>
    <cellStyle name="Normal 3 3 4 7 3 2 2" xfId="29771" xr:uid="{00000000-0005-0000-0000-00000C560000}"/>
    <cellStyle name="Normal 3 3 4 7 3 2 2 2" xfId="61642" xr:uid="{00000000-0005-0000-0000-00000D560000}"/>
    <cellStyle name="Normal 3 3 4 7 3 2 3" xfId="37656" xr:uid="{00000000-0005-0000-0000-00000E560000}"/>
    <cellStyle name="Normal 3 3 4 7 3 3" xfId="21893" xr:uid="{00000000-0005-0000-0000-00000F560000}"/>
    <cellStyle name="Normal 3 3 4 7 3 3 2" xfId="53764" xr:uid="{00000000-0005-0000-0000-000010560000}"/>
    <cellStyle name="Normal 3 3 4 7 3 4" xfId="37655" xr:uid="{00000000-0005-0000-0000-000011560000}"/>
    <cellStyle name="Normal 3 3 4 7 4" xfId="5778" xr:uid="{00000000-0005-0000-0000-000012560000}"/>
    <cellStyle name="Normal 3 3 4 7 4 2" xfId="25832" xr:uid="{00000000-0005-0000-0000-000013560000}"/>
    <cellStyle name="Normal 3 3 4 7 4 2 2" xfId="57703" xr:uid="{00000000-0005-0000-0000-000014560000}"/>
    <cellStyle name="Normal 3 3 4 7 4 3" xfId="37657" xr:uid="{00000000-0005-0000-0000-000015560000}"/>
    <cellStyle name="Normal 3 3 4 7 5" xfId="17954" xr:uid="{00000000-0005-0000-0000-000016560000}"/>
    <cellStyle name="Normal 3 3 4 7 5 2" xfId="49825" xr:uid="{00000000-0005-0000-0000-000017560000}"/>
    <cellStyle name="Normal 3 3 4 7 6" xfId="37650" xr:uid="{00000000-0005-0000-0000-000018560000}"/>
    <cellStyle name="Normal 3 3 4 8" xfId="5779" xr:uid="{00000000-0005-0000-0000-000019560000}"/>
    <cellStyle name="Normal 3 3 4 8 2" xfId="5780" xr:uid="{00000000-0005-0000-0000-00001A560000}"/>
    <cellStyle name="Normal 3 3 4 8 2 2" xfId="5781" xr:uid="{00000000-0005-0000-0000-00001B560000}"/>
    <cellStyle name="Normal 3 3 4 8 2 2 2" xfId="29773" xr:uid="{00000000-0005-0000-0000-00001C560000}"/>
    <cellStyle name="Normal 3 3 4 8 2 2 2 2" xfId="61644" xr:uid="{00000000-0005-0000-0000-00001D560000}"/>
    <cellStyle name="Normal 3 3 4 8 2 2 3" xfId="37660" xr:uid="{00000000-0005-0000-0000-00001E560000}"/>
    <cellStyle name="Normal 3 3 4 8 2 3" xfId="21895" xr:uid="{00000000-0005-0000-0000-00001F560000}"/>
    <cellStyle name="Normal 3 3 4 8 2 3 2" xfId="53766" xr:uid="{00000000-0005-0000-0000-000020560000}"/>
    <cellStyle name="Normal 3 3 4 8 2 4" xfId="37659" xr:uid="{00000000-0005-0000-0000-000021560000}"/>
    <cellStyle name="Normal 3 3 4 8 3" xfId="5782" xr:uid="{00000000-0005-0000-0000-000022560000}"/>
    <cellStyle name="Normal 3 3 4 8 3 2" xfId="25834" xr:uid="{00000000-0005-0000-0000-000023560000}"/>
    <cellStyle name="Normal 3 3 4 8 3 2 2" xfId="57705" xr:uid="{00000000-0005-0000-0000-000024560000}"/>
    <cellStyle name="Normal 3 3 4 8 3 3" xfId="37661" xr:uid="{00000000-0005-0000-0000-000025560000}"/>
    <cellStyle name="Normal 3 3 4 8 4" xfId="17956" xr:uid="{00000000-0005-0000-0000-000026560000}"/>
    <cellStyle name="Normal 3 3 4 8 4 2" xfId="49827" xr:uid="{00000000-0005-0000-0000-000027560000}"/>
    <cellStyle name="Normal 3 3 4 8 5" xfId="37658" xr:uid="{00000000-0005-0000-0000-000028560000}"/>
    <cellStyle name="Normal 3 3 4 9" xfId="5783" xr:uid="{00000000-0005-0000-0000-000029560000}"/>
    <cellStyle name="Normal 3 3 4 9 2" xfId="5784" xr:uid="{00000000-0005-0000-0000-00002A560000}"/>
    <cellStyle name="Normal 3 3 4 9 2 2" xfId="28279" xr:uid="{00000000-0005-0000-0000-00002B560000}"/>
    <cellStyle name="Normal 3 3 4 9 2 2 2" xfId="60150" xr:uid="{00000000-0005-0000-0000-00002C560000}"/>
    <cellStyle name="Normal 3 3 4 9 2 3" xfId="37663" xr:uid="{00000000-0005-0000-0000-00002D560000}"/>
    <cellStyle name="Normal 3 3 4 9 3" xfId="20401" xr:uid="{00000000-0005-0000-0000-00002E560000}"/>
    <cellStyle name="Normal 3 3 4 9 3 2" xfId="52272" xr:uid="{00000000-0005-0000-0000-00002F560000}"/>
    <cellStyle name="Normal 3 3 4 9 4" xfId="37662" xr:uid="{00000000-0005-0000-0000-000030560000}"/>
    <cellStyle name="Normal 3 3 5" xfId="5785" xr:uid="{00000000-0005-0000-0000-000031560000}"/>
    <cellStyle name="Normal 3 3 5 10" xfId="37664" xr:uid="{00000000-0005-0000-0000-000032560000}"/>
    <cellStyle name="Normal 3 3 5 2" xfId="5786" xr:uid="{00000000-0005-0000-0000-000033560000}"/>
    <cellStyle name="Normal 3 3 5 2 2" xfId="5787" xr:uid="{00000000-0005-0000-0000-000034560000}"/>
    <cellStyle name="Normal 3 3 5 2 2 2" xfId="5788" xr:uid="{00000000-0005-0000-0000-000035560000}"/>
    <cellStyle name="Normal 3 3 5 2 2 2 2" xfId="5789" xr:uid="{00000000-0005-0000-0000-000036560000}"/>
    <cellStyle name="Normal 3 3 5 2 2 2 2 2" xfId="5790" xr:uid="{00000000-0005-0000-0000-000037560000}"/>
    <cellStyle name="Normal 3 3 5 2 2 2 2 2 2" xfId="5791" xr:uid="{00000000-0005-0000-0000-000038560000}"/>
    <cellStyle name="Normal 3 3 5 2 2 2 2 2 2 2" xfId="5792" xr:uid="{00000000-0005-0000-0000-000039560000}"/>
    <cellStyle name="Normal 3 3 5 2 2 2 2 2 2 2 2" xfId="29777" xr:uid="{00000000-0005-0000-0000-00003A560000}"/>
    <cellStyle name="Normal 3 3 5 2 2 2 2 2 2 2 2 2" xfId="61648" xr:uid="{00000000-0005-0000-0000-00003B560000}"/>
    <cellStyle name="Normal 3 3 5 2 2 2 2 2 2 2 3" xfId="37671" xr:uid="{00000000-0005-0000-0000-00003C560000}"/>
    <cellStyle name="Normal 3 3 5 2 2 2 2 2 2 3" xfId="21899" xr:uid="{00000000-0005-0000-0000-00003D560000}"/>
    <cellStyle name="Normal 3 3 5 2 2 2 2 2 2 3 2" xfId="53770" xr:uid="{00000000-0005-0000-0000-00003E560000}"/>
    <cellStyle name="Normal 3 3 5 2 2 2 2 2 2 4" xfId="37670" xr:uid="{00000000-0005-0000-0000-00003F560000}"/>
    <cellStyle name="Normal 3 3 5 2 2 2 2 2 3" xfId="5793" xr:uid="{00000000-0005-0000-0000-000040560000}"/>
    <cellStyle name="Normal 3 3 5 2 2 2 2 2 3 2" xfId="25838" xr:uid="{00000000-0005-0000-0000-000041560000}"/>
    <cellStyle name="Normal 3 3 5 2 2 2 2 2 3 2 2" xfId="57709" xr:uid="{00000000-0005-0000-0000-000042560000}"/>
    <cellStyle name="Normal 3 3 5 2 2 2 2 2 3 3" xfId="37672" xr:uid="{00000000-0005-0000-0000-000043560000}"/>
    <cellStyle name="Normal 3 3 5 2 2 2 2 2 4" xfId="17960" xr:uid="{00000000-0005-0000-0000-000044560000}"/>
    <cellStyle name="Normal 3 3 5 2 2 2 2 2 4 2" xfId="49831" xr:uid="{00000000-0005-0000-0000-000045560000}"/>
    <cellStyle name="Normal 3 3 5 2 2 2 2 2 5" xfId="37669" xr:uid="{00000000-0005-0000-0000-000046560000}"/>
    <cellStyle name="Normal 3 3 5 2 2 2 2 3" xfId="5794" xr:uid="{00000000-0005-0000-0000-000047560000}"/>
    <cellStyle name="Normal 3 3 5 2 2 2 2 3 2" xfId="5795" xr:uid="{00000000-0005-0000-0000-000048560000}"/>
    <cellStyle name="Normal 3 3 5 2 2 2 2 3 2 2" xfId="29776" xr:uid="{00000000-0005-0000-0000-000049560000}"/>
    <cellStyle name="Normal 3 3 5 2 2 2 2 3 2 2 2" xfId="61647" xr:uid="{00000000-0005-0000-0000-00004A560000}"/>
    <cellStyle name="Normal 3 3 5 2 2 2 2 3 2 3" xfId="37674" xr:uid="{00000000-0005-0000-0000-00004B560000}"/>
    <cellStyle name="Normal 3 3 5 2 2 2 2 3 3" xfId="21898" xr:uid="{00000000-0005-0000-0000-00004C560000}"/>
    <cellStyle name="Normal 3 3 5 2 2 2 2 3 3 2" xfId="53769" xr:uid="{00000000-0005-0000-0000-00004D560000}"/>
    <cellStyle name="Normal 3 3 5 2 2 2 2 3 4" xfId="37673" xr:uid="{00000000-0005-0000-0000-00004E560000}"/>
    <cellStyle name="Normal 3 3 5 2 2 2 2 4" xfId="5796" xr:uid="{00000000-0005-0000-0000-00004F560000}"/>
    <cellStyle name="Normal 3 3 5 2 2 2 2 4 2" xfId="25837" xr:uid="{00000000-0005-0000-0000-000050560000}"/>
    <cellStyle name="Normal 3 3 5 2 2 2 2 4 2 2" xfId="57708" xr:uid="{00000000-0005-0000-0000-000051560000}"/>
    <cellStyle name="Normal 3 3 5 2 2 2 2 4 3" xfId="37675" xr:uid="{00000000-0005-0000-0000-000052560000}"/>
    <cellStyle name="Normal 3 3 5 2 2 2 2 5" xfId="17959" xr:uid="{00000000-0005-0000-0000-000053560000}"/>
    <cellStyle name="Normal 3 3 5 2 2 2 2 5 2" xfId="49830" xr:uid="{00000000-0005-0000-0000-000054560000}"/>
    <cellStyle name="Normal 3 3 5 2 2 2 2 6" xfId="37668" xr:uid="{00000000-0005-0000-0000-000055560000}"/>
    <cellStyle name="Normal 3 3 5 2 2 2 3" xfId="5797" xr:uid="{00000000-0005-0000-0000-000056560000}"/>
    <cellStyle name="Normal 3 3 5 2 2 2 3 2" xfId="5798" xr:uid="{00000000-0005-0000-0000-000057560000}"/>
    <cellStyle name="Normal 3 3 5 2 2 2 3 2 2" xfId="5799" xr:uid="{00000000-0005-0000-0000-000058560000}"/>
    <cellStyle name="Normal 3 3 5 2 2 2 3 2 2 2" xfId="29778" xr:uid="{00000000-0005-0000-0000-000059560000}"/>
    <cellStyle name="Normal 3 3 5 2 2 2 3 2 2 2 2" xfId="61649" xr:uid="{00000000-0005-0000-0000-00005A560000}"/>
    <cellStyle name="Normal 3 3 5 2 2 2 3 2 2 3" xfId="37678" xr:uid="{00000000-0005-0000-0000-00005B560000}"/>
    <cellStyle name="Normal 3 3 5 2 2 2 3 2 3" xfId="21900" xr:uid="{00000000-0005-0000-0000-00005C560000}"/>
    <cellStyle name="Normal 3 3 5 2 2 2 3 2 3 2" xfId="53771" xr:uid="{00000000-0005-0000-0000-00005D560000}"/>
    <cellStyle name="Normal 3 3 5 2 2 2 3 2 4" xfId="37677" xr:uid="{00000000-0005-0000-0000-00005E560000}"/>
    <cellStyle name="Normal 3 3 5 2 2 2 3 3" xfId="5800" xr:uid="{00000000-0005-0000-0000-00005F560000}"/>
    <cellStyle name="Normal 3 3 5 2 2 2 3 3 2" xfId="25839" xr:uid="{00000000-0005-0000-0000-000060560000}"/>
    <cellStyle name="Normal 3 3 5 2 2 2 3 3 2 2" xfId="57710" xr:uid="{00000000-0005-0000-0000-000061560000}"/>
    <cellStyle name="Normal 3 3 5 2 2 2 3 3 3" xfId="37679" xr:uid="{00000000-0005-0000-0000-000062560000}"/>
    <cellStyle name="Normal 3 3 5 2 2 2 3 4" xfId="17961" xr:uid="{00000000-0005-0000-0000-000063560000}"/>
    <cellStyle name="Normal 3 3 5 2 2 2 3 4 2" xfId="49832" xr:uid="{00000000-0005-0000-0000-000064560000}"/>
    <cellStyle name="Normal 3 3 5 2 2 2 3 5" xfId="37676" xr:uid="{00000000-0005-0000-0000-000065560000}"/>
    <cellStyle name="Normal 3 3 5 2 2 2 4" xfId="5801" xr:uid="{00000000-0005-0000-0000-000066560000}"/>
    <cellStyle name="Normal 3 3 5 2 2 2 4 2" xfId="5802" xr:uid="{00000000-0005-0000-0000-000067560000}"/>
    <cellStyle name="Normal 3 3 5 2 2 2 4 2 2" xfId="29775" xr:uid="{00000000-0005-0000-0000-000068560000}"/>
    <cellStyle name="Normal 3 3 5 2 2 2 4 2 2 2" xfId="61646" xr:uid="{00000000-0005-0000-0000-000069560000}"/>
    <cellStyle name="Normal 3 3 5 2 2 2 4 2 3" xfId="37681" xr:uid="{00000000-0005-0000-0000-00006A560000}"/>
    <cellStyle name="Normal 3 3 5 2 2 2 4 3" xfId="21897" xr:uid="{00000000-0005-0000-0000-00006B560000}"/>
    <cellStyle name="Normal 3 3 5 2 2 2 4 3 2" xfId="53768" xr:uid="{00000000-0005-0000-0000-00006C560000}"/>
    <cellStyle name="Normal 3 3 5 2 2 2 4 4" xfId="37680" xr:uid="{00000000-0005-0000-0000-00006D560000}"/>
    <cellStyle name="Normal 3 3 5 2 2 2 5" xfId="5803" xr:uid="{00000000-0005-0000-0000-00006E560000}"/>
    <cellStyle name="Normal 3 3 5 2 2 2 5 2" xfId="25836" xr:uid="{00000000-0005-0000-0000-00006F560000}"/>
    <cellStyle name="Normal 3 3 5 2 2 2 5 2 2" xfId="57707" xr:uid="{00000000-0005-0000-0000-000070560000}"/>
    <cellStyle name="Normal 3 3 5 2 2 2 5 3" xfId="37682" xr:uid="{00000000-0005-0000-0000-000071560000}"/>
    <cellStyle name="Normal 3 3 5 2 2 2 6" xfId="17958" xr:uid="{00000000-0005-0000-0000-000072560000}"/>
    <cellStyle name="Normal 3 3 5 2 2 2 6 2" xfId="49829" xr:uid="{00000000-0005-0000-0000-000073560000}"/>
    <cellStyle name="Normal 3 3 5 2 2 2 7" xfId="37667" xr:uid="{00000000-0005-0000-0000-000074560000}"/>
    <cellStyle name="Normal 3 3 5 2 2 3" xfId="5804" xr:uid="{00000000-0005-0000-0000-000075560000}"/>
    <cellStyle name="Normal 3 3 5 2 2 3 2" xfId="5805" xr:uid="{00000000-0005-0000-0000-000076560000}"/>
    <cellStyle name="Normal 3 3 5 2 2 3 2 2" xfId="5806" xr:uid="{00000000-0005-0000-0000-000077560000}"/>
    <cellStyle name="Normal 3 3 5 2 2 3 2 2 2" xfId="5807" xr:uid="{00000000-0005-0000-0000-000078560000}"/>
    <cellStyle name="Normal 3 3 5 2 2 3 2 2 2 2" xfId="29780" xr:uid="{00000000-0005-0000-0000-000079560000}"/>
    <cellStyle name="Normal 3 3 5 2 2 3 2 2 2 2 2" xfId="61651" xr:uid="{00000000-0005-0000-0000-00007A560000}"/>
    <cellStyle name="Normal 3 3 5 2 2 3 2 2 2 3" xfId="37686" xr:uid="{00000000-0005-0000-0000-00007B560000}"/>
    <cellStyle name="Normal 3 3 5 2 2 3 2 2 3" xfId="21902" xr:uid="{00000000-0005-0000-0000-00007C560000}"/>
    <cellStyle name="Normal 3 3 5 2 2 3 2 2 3 2" xfId="53773" xr:uid="{00000000-0005-0000-0000-00007D560000}"/>
    <cellStyle name="Normal 3 3 5 2 2 3 2 2 4" xfId="37685" xr:uid="{00000000-0005-0000-0000-00007E560000}"/>
    <cellStyle name="Normal 3 3 5 2 2 3 2 3" xfId="5808" xr:uid="{00000000-0005-0000-0000-00007F560000}"/>
    <cellStyle name="Normal 3 3 5 2 2 3 2 3 2" xfId="25841" xr:uid="{00000000-0005-0000-0000-000080560000}"/>
    <cellStyle name="Normal 3 3 5 2 2 3 2 3 2 2" xfId="57712" xr:uid="{00000000-0005-0000-0000-000081560000}"/>
    <cellStyle name="Normal 3 3 5 2 2 3 2 3 3" xfId="37687" xr:uid="{00000000-0005-0000-0000-000082560000}"/>
    <cellStyle name="Normal 3 3 5 2 2 3 2 4" xfId="17963" xr:uid="{00000000-0005-0000-0000-000083560000}"/>
    <cellStyle name="Normal 3 3 5 2 2 3 2 4 2" xfId="49834" xr:uid="{00000000-0005-0000-0000-000084560000}"/>
    <cellStyle name="Normal 3 3 5 2 2 3 2 5" xfId="37684" xr:uid="{00000000-0005-0000-0000-000085560000}"/>
    <cellStyle name="Normal 3 3 5 2 2 3 3" xfId="5809" xr:uid="{00000000-0005-0000-0000-000086560000}"/>
    <cellStyle name="Normal 3 3 5 2 2 3 3 2" xfId="5810" xr:uid="{00000000-0005-0000-0000-000087560000}"/>
    <cellStyle name="Normal 3 3 5 2 2 3 3 2 2" xfId="29779" xr:uid="{00000000-0005-0000-0000-000088560000}"/>
    <cellStyle name="Normal 3 3 5 2 2 3 3 2 2 2" xfId="61650" xr:uid="{00000000-0005-0000-0000-000089560000}"/>
    <cellStyle name="Normal 3 3 5 2 2 3 3 2 3" xfId="37689" xr:uid="{00000000-0005-0000-0000-00008A560000}"/>
    <cellStyle name="Normal 3 3 5 2 2 3 3 3" xfId="21901" xr:uid="{00000000-0005-0000-0000-00008B560000}"/>
    <cellStyle name="Normal 3 3 5 2 2 3 3 3 2" xfId="53772" xr:uid="{00000000-0005-0000-0000-00008C560000}"/>
    <cellStyle name="Normal 3 3 5 2 2 3 3 4" xfId="37688" xr:uid="{00000000-0005-0000-0000-00008D560000}"/>
    <cellStyle name="Normal 3 3 5 2 2 3 4" xfId="5811" xr:uid="{00000000-0005-0000-0000-00008E560000}"/>
    <cellStyle name="Normal 3 3 5 2 2 3 4 2" xfId="25840" xr:uid="{00000000-0005-0000-0000-00008F560000}"/>
    <cellStyle name="Normal 3 3 5 2 2 3 4 2 2" xfId="57711" xr:uid="{00000000-0005-0000-0000-000090560000}"/>
    <cellStyle name="Normal 3 3 5 2 2 3 4 3" xfId="37690" xr:uid="{00000000-0005-0000-0000-000091560000}"/>
    <cellStyle name="Normal 3 3 5 2 2 3 5" xfId="17962" xr:uid="{00000000-0005-0000-0000-000092560000}"/>
    <cellStyle name="Normal 3 3 5 2 2 3 5 2" xfId="49833" xr:uid="{00000000-0005-0000-0000-000093560000}"/>
    <cellStyle name="Normal 3 3 5 2 2 3 6" xfId="37683" xr:uid="{00000000-0005-0000-0000-000094560000}"/>
    <cellStyle name="Normal 3 3 5 2 2 4" xfId="5812" xr:uid="{00000000-0005-0000-0000-000095560000}"/>
    <cellStyle name="Normal 3 3 5 2 2 4 2" xfId="5813" xr:uid="{00000000-0005-0000-0000-000096560000}"/>
    <cellStyle name="Normal 3 3 5 2 2 4 2 2" xfId="5814" xr:uid="{00000000-0005-0000-0000-000097560000}"/>
    <cellStyle name="Normal 3 3 5 2 2 4 2 2 2" xfId="29781" xr:uid="{00000000-0005-0000-0000-000098560000}"/>
    <cellStyle name="Normal 3 3 5 2 2 4 2 2 2 2" xfId="61652" xr:uid="{00000000-0005-0000-0000-000099560000}"/>
    <cellStyle name="Normal 3 3 5 2 2 4 2 2 3" xfId="37693" xr:uid="{00000000-0005-0000-0000-00009A560000}"/>
    <cellStyle name="Normal 3 3 5 2 2 4 2 3" xfId="21903" xr:uid="{00000000-0005-0000-0000-00009B560000}"/>
    <cellStyle name="Normal 3 3 5 2 2 4 2 3 2" xfId="53774" xr:uid="{00000000-0005-0000-0000-00009C560000}"/>
    <cellStyle name="Normal 3 3 5 2 2 4 2 4" xfId="37692" xr:uid="{00000000-0005-0000-0000-00009D560000}"/>
    <cellStyle name="Normal 3 3 5 2 2 4 3" xfId="5815" xr:uid="{00000000-0005-0000-0000-00009E560000}"/>
    <cellStyle name="Normal 3 3 5 2 2 4 3 2" xfId="25842" xr:uid="{00000000-0005-0000-0000-00009F560000}"/>
    <cellStyle name="Normal 3 3 5 2 2 4 3 2 2" xfId="57713" xr:uid="{00000000-0005-0000-0000-0000A0560000}"/>
    <cellStyle name="Normal 3 3 5 2 2 4 3 3" xfId="37694" xr:uid="{00000000-0005-0000-0000-0000A1560000}"/>
    <cellStyle name="Normal 3 3 5 2 2 4 4" xfId="17964" xr:uid="{00000000-0005-0000-0000-0000A2560000}"/>
    <cellStyle name="Normal 3 3 5 2 2 4 4 2" xfId="49835" xr:uid="{00000000-0005-0000-0000-0000A3560000}"/>
    <cellStyle name="Normal 3 3 5 2 2 4 5" xfId="37691" xr:uid="{00000000-0005-0000-0000-0000A4560000}"/>
    <cellStyle name="Normal 3 3 5 2 2 5" xfId="5816" xr:uid="{00000000-0005-0000-0000-0000A5560000}"/>
    <cellStyle name="Normal 3 3 5 2 2 5 2" xfId="5817" xr:uid="{00000000-0005-0000-0000-0000A6560000}"/>
    <cellStyle name="Normal 3 3 5 2 2 5 2 2" xfId="29774" xr:uid="{00000000-0005-0000-0000-0000A7560000}"/>
    <cellStyle name="Normal 3 3 5 2 2 5 2 2 2" xfId="61645" xr:uid="{00000000-0005-0000-0000-0000A8560000}"/>
    <cellStyle name="Normal 3 3 5 2 2 5 2 3" xfId="37696" xr:uid="{00000000-0005-0000-0000-0000A9560000}"/>
    <cellStyle name="Normal 3 3 5 2 2 5 3" xfId="21896" xr:uid="{00000000-0005-0000-0000-0000AA560000}"/>
    <cellStyle name="Normal 3 3 5 2 2 5 3 2" xfId="53767" xr:uid="{00000000-0005-0000-0000-0000AB560000}"/>
    <cellStyle name="Normal 3 3 5 2 2 5 4" xfId="37695" xr:uid="{00000000-0005-0000-0000-0000AC560000}"/>
    <cellStyle name="Normal 3 3 5 2 2 6" xfId="5818" xr:uid="{00000000-0005-0000-0000-0000AD560000}"/>
    <cellStyle name="Normal 3 3 5 2 2 6 2" xfId="25835" xr:uid="{00000000-0005-0000-0000-0000AE560000}"/>
    <cellStyle name="Normal 3 3 5 2 2 6 2 2" xfId="57706" xr:uid="{00000000-0005-0000-0000-0000AF560000}"/>
    <cellStyle name="Normal 3 3 5 2 2 6 3" xfId="37697" xr:uid="{00000000-0005-0000-0000-0000B0560000}"/>
    <cellStyle name="Normal 3 3 5 2 2 7" xfId="17957" xr:uid="{00000000-0005-0000-0000-0000B1560000}"/>
    <cellStyle name="Normal 3 3 5 2 2 7 2" xfId="49828" xr:uid="{00000000-0005-0000-0000-0000B2560000}"/>
    <cellStyle name="Normal 3 3 5 2 2 8" xfId="37666" xr:uid="{00000000-0005-0000-0000-0000B3560000}"/>
    <cellStyle name="Normal 3 3 5 2 3" xfId="5819" xr:uid="{00000000-0005-0000-0000-0000B4560000}"/>
    <cellStyle name="Normal 3 3 5 2 3 2" xfId="5820" xr:uid="{00000000-0005-0000-0000-0000B5560000}"/>
    <cellStyle name="Normal 3 3 5 2 3 2 2" xfId="5821" xr:uid="{00000000-0005-0000-0000-0000B6560000}"/>
    <cellStyle name="Normal 3 3 5 2 3 2 2 2" xfId="5822" xr:uid="{00000000-0005-0000-0000-0000B7560000}"/>
    <cellStyle name="Normal 3 3 5 2 3 2 2 2 2" xfId="5823" xr:uid="{00000000-0005-0000-0000-0000B8560000}"/>
    <cellStyle name="Normal 3 3 5 2 3 2 2 2 2 2" xfId="29784" xr:uid="{00000000-0005-0000-0000-0000B9560000}"/>
    <cellStyle name="Normal 3 3 5 2 3 2 2 2 2 2 2" xfId="61655" xr:uid="{00000000-0005-0000-0000-0000BA560000}"/>
    <cellStyle name="Normal 3 3 5 2 3 2 2 2 2 3" xfId="37702" xr:uid="{00000000-0005-0000-0000-0000BB560000}"/>
    <cellStyle name="Normal 3 3 5 2 3 2 2 2 3" xfId="21906" xr:uid="{00000000-0005-0000-0000-0000BC560000}"/>
    <cellStyle name="Normal 3 3 5 2 3 2 2 2 3 2" xfId="53777" xr:uid="{00000000-0005-0000-0000-0000BD560000}"/>
    <cellStyle name="Normal 3 3 5 2 3 2 2 2 4" xfId="37701" xr:uid="{00000000-0005-0000-0000-0000BE560000}"/>
    <cellStyle name="Normal 3 3 5 2 3 2 2 3" xfId="5824" xr:uid="{00000000-0005-0000-0000-0000BF560000}"/>
    <cellStyle name="Normal 3 3 5 2 3 2 2 3 2" xfId="25845" xr:uid="{00000000-0005-0000-0000-0000C0560000}"/>
    <cellStyle name="Normal 3 3 5 2 3 2 2 3 2 2" xfId="57716" xr:uid="{00000000-0005-0000-0000-0000C1560000}"/>
    <cellStyle name="Normal 3 3 5 2 3 2 2 3 3" xfId="37703" xr:uid="{00000000-0005-0000-0000-0000C2560000}"/>
    <cellStyle name="Normal 3 3 5 2 3 2 2 4" xfId="17967" xr:uid="{00000000-0005-0000-0000-0000C3560000}"/>
    <cellStyle name="Normal 3 3 5 2 3 2 2 4 2" xfId="49838" xr:uid="{00000000-0005-0000-0000-0000C4560000}"/>
    <cellStyle name="Normal 3 3 5 2 3 2 2 5" xfId="37700" xr:uid="{00000000-0005-0000-0000-0000C5560000}"/>
    <cellStyle name="Normal 3 3 5 2 3 2 3" xfId="5825" xr:uid="{00000000-0005-0000-0000-0000C6560000}"/>
    <cellStyle name="Normal 3 3 5 2 3 2 3 2" xfId="5826" xr:uid="{00000000-0005-0000-0000-0000C7560000}"/>
    <cellStyle name="Normal 3 3 5 2 3 2 3 2 2" xfId="29783" xr:uid="{00000000-0005-0000-0000-0000C8560000}"/>
    <cellStyle name="Normal 3 3 5 2 3 2 3 2 2 2" xfId="61654" xr:uid="{00000000-0005-0000-0000-0000C9560000}"/>
    <cellStyle name="Normal 3 3 5 2 3 2 3 2 3" xfId="37705" xr:uid="{00000000-0005-0000-0000-0000CA560000}"/>
    <cellStyle name="Normal 3 3 5 2 3 2 3 3" xfId="21905" xr:uid="{00000000-0005-0000-0000-0000CB560000}"/>
    <cellStyle name="Normal 3 3 5 2 3 2 3 3 2" xfId="53776" xr:uid="{00000000-0005-0000-0000-0000CC560000}"/>
    <cellStyle name="Normal 3 3 5 2 3 2 3 4" xfId="37704" xr:uid="{00000000-0005-0000-0000-0000CD560000}"/>
    <cellStyle name="Normal 3 3 5 2 3 2 4" xfId="5827" xr:uid="{00000000-0005-0000-0000-0000CE560000}"/>
    <cellStyle name="Normal 3 3 5 2 3 2 4 2" xfId="25844" xr:uid="{00000000-0005-0000-0000-0000CF560000}"/>
    <cellStyle name="Normal 3 3 5 2 3 2 4 2 2" xfId="57715" xr:uid="{00000000-0005-0000-0000-0000D0560000}"/>
    <cellStyle name="Normal 3 3 5 2 3 2 4 3" xfId="37706" xr:uid="{00000000-0005-0000-0000-0000D1560000}"/>
    <cellStyle name="Normal 3 3 5 2 3 2 5" xfId="17966" xr:uid="{00000000-0005-0000-0000-0000D2560000}"/>
    <cellStyle name="Normal 3 3 5 2 3 2 5 2" xfId="49837" xr:uid="{00000000-0005-0000-0000-0000D3560000}"/>
    <cellStyle name="Normal 3 3 5 2 3 2 6" xfId="37699" xr:uid="{00000000-0005-0000-0000-0000D4560000}"/>
    <cellStyle name="Normal 3 3 5 2 3 3" xfId="5828" xr:uid="{00000000-0005-0000-0000-0000D5560000}"/>
    <cellStyle name="Normal 3 3 5 2 3 3 2" xfId="5829" xr:uid="{00000000-0005-0000-0000-0000D6560000}"/>
    <cellStyle name="Normal 3 3 5 2 3 3 2 2" xfId="5830" xr:uid="{00000000-0005-0000-0000-0000D7560000}"/>
    <cellStyle name="Normal 3 3 5 2 3 3 2 2 2" xfId="29785" xr:uid="{00000000-0005-0000-0000-0000D8560000}"/>
    <cellStyle name="Normal 3 3 5 2 3 3 2 2 2 2" xfId="61656" xr:uid="{00000000-0005-0000-0000-0000D9560000}"/>
    <cellStyle name="Normal 3 3 5 2 3 3 2 2 3" xfId="37709" xr:uid="{00000000-0005-0000-0000-0000DA560000}"/>
    <cellStyle name="Normal 3 3 5 2 3 3 2 3" xfId="21907" xr:uid="{00000000-0005-0000-0000-0000DB560000}"/>
    <cellStyle name="Normal 3 3 5 2 3 3 2 3 2" xfId="53778" xr:uid="{00000000-0005-0000-0000-0000DC560000}"/>
    <cellStyle name="Normal 3 3 5 2 3 3 2 4" xfId="37708" xr:uid="{00000000-0005-0000-0000-0000DD560000}"/>
    <cellStyle name="Normal 3 3 5 2 3 3 3" xfId="5831" xr:uid="{00000000-0005-0000-0000-0000DE560000}"/>
    <cellStyle name="Normal 3 3 5 2 3 3 3 2" xfId="25846" xr:uid="{00000000-0005-0000-0000-0000DF560000}"/>
    <cellStyle name="Normal 3 3 5 2 3 3 3 2 2" xfId="57717" xr:uid="{00000000-0005-0000-0000-0000E0560000}"/>
    <cellStyle name="Normal 3 3 5 2 3 3 3 3" xfId="37710" xr:uid="{00000000-0005-0000-0000-0000E1560000}"/>
    <cellStyle name="Normal 3 3 5 2 3 3 4" xfId="17968" xr:uid="{00000000-0005-0000-0000-0000E2560000}"/>
    <cellStyle name="Normal 3 3 5 2 3 3 4 2" xfId="49839" xr:uid="{00000000-0005-0000-0000-0000E3560000}"/>
    <cellStyle name="Normal 3 3 5 2 3 3 5" xfId="37707" xr:uid="{00000000-0005-0000-0000-0000E4560000}"/>
    <cellStyle name="Normal 3 3 5 2 3 4" xfId="5832" xr:uid="{00000000-0005-0000-0000-0000E5560000}"/>
    <cellStyle name="Normal 3 3 5 2 3 4 2" xfId="5833" xr:uid="{00000000-0005-0000-0000-0000E6560000}"/>
    <cellStyle name="Normal 3 3 5 2 3 4 2 2" xfId="29782" xr:uid="{00000000-0005-0000-0000-0000E7560000}"/>
    <cellStyle name="Normal 3 3 5 2 3 4 2 2 2" xfId="61653" xr:uid="{00000000-0005-0000-0000-0000E8560000}"/>
    <cellStyle name="Normal 3 3 5 2 3 4 2 3" xfId="37712" xr:uid="{00000000-0005-0000-0000-0000E9560000}"/>
    <cellStyle name="Normal 3 3 5 2 3 4 3" xfId="21904" xr:uid="{00000000-0005-0000-0000-0000EA560000}"/>
    <cellStyle name="Normal 3 3 5 2 3 4 3 2" xfId="53775" xr:uid="{00000000-0005-0000-0000-0000EB560000}"/>
    <cellStyle name="Normal 3 3 5 2 3 4 4" xfId="37711" xr:uid="{00000000-0005-0000-0000-0000EC560000}"/>
    <cellStyle name="Normal 3 3 5 2 3 5" xfId="5834" xr:uid="{00000000-0005-0000-0000-0000ED560000}"/>
    <cellStyle name="Normal 3 3 5 2 3 5 2" xfId="25843" xr:uid="{00000000-0005-0000-0000-0000EE560000}"/>
    <cellStyle name="Normal 3 3 5 2 3 5 2 2" xfId="57714" xr:uid="{00000000-0005-0000-0000-0000EF560000}"/>
    <cellStyle name="Normal 3 3 5 2 3 5 3" xfId="37713" xr:uid="{00000000-0005-0000-0000-0000F0560000}"/>
    <cellStyle name="Normal 3 3 5 2 3 6" xfId="17965" xr:uid="{00000000-0005-0000-0000-0000F1560000}"/>
    <cellStyle name="Normal 3 3 5 2 3 6 2" xfId="49836" xr:uid="{00000000-0005-0000-0000-0000F2560000}"/>
    <cellStyle name="Normal 3 3 5 2 3 7" xfId="37698" xr:uid="{00000000-0005-0000-0000-0000F3560000}"/>
    <cellStyle name="Normal 3 3 5 2 4" xfId="5835" xr:uid="{00000000-0005-0000-0000-0000F4560000}"/>
    <cellStyle name="Normal 3 3 5 2 4 2" xfId="5836" xr:uid="{00000000-0005-0000-0000-0000F5560000}"/>
    <cellStyle name="Normal 3 3 5 2 4 2 2" xfId="5837" xr:uid="{00000000-0005-0000-0000-0000F6560000}"/>
    <cellStyle name="Normal 3 3 5 2 4 2 2 2" xfId="5838" xr:uid="{00000000-0005-0000-0000-0000F7560000}"/>
    <cellStyle name="Normal 3 3 5 2 4 2 2 2 2" xfId="29787" xr:uid="{00000000-0005-0000-0000-0000F8560000}"/>
    <cellStyle name="Normal 3 3 5 2 4 2 2 2 2 2" xfId="61658" xr:uid="{00000000-0005-0000-0000-0000F9560000}"/>
    <cellStyle name="Normal 3 3 5 2 4 2 2 2 3" xfId="37717" xr:uid="{00000000-0005-0000-0000-0000FA560000}"/>
    <cellStyle name="Normal 3 3 5 2 4 2 2 3" xfId="21909" xr:uid="{00000000-0005-0000-0000-0000FB560000}"/>
    <cellStyle name="Normal 3 3 5 2 4 2 2 3 2" xfId="53780" xr:uid="{00000000-0005-0000-0000-0000FC560000}"/>
    <cellStyle name="Normal 3 3 5 2 4 2 2 4" xfId="37716" xr:uid="{00000000-0005-0000-0000-0000FD560000}"/>
    <cellStyle name="Normal 3 3 5 2 4 2 3" xfId="5839" xr:uid="{00000000-0005-0000-0000-0000FE560000}"/>
    <cellStyle name="Normal 3 3 5 2 4 2 3 2" xfId="25848" xr:uid="{00000000-0005-0000-0000-0000FF560000}"/>
    <cellStyle name="Normal 3 3 5 2 4 2 3 2 2" xfId="57719" xr:uid="{00000000-0005-0000-0000-000000570000}"/>
    <cellStyle name="Normal 3 3 5 2 4 2 3 3" xfId="37718" xr:uid="{00000000-0005-0000-0000-000001570000}"/>
    <cellStyle name="Normal 3 3 5 2 4 2 4" xfId="17970" xr:uid="{00000000-0005-0000-0000-000002570000}"/>
    <cellStyle name="Normal 3 3 5 2 4 2 4 2" xfId="49841" xr:uid="{00000000-0005-0000-0000-000003570000}"/>
    <cellStyle name="Normal 3 3 5 2 4 2 5" xfId="37715" xr:uid="{00000000-0005-0000-0000-000004570000}"/>
    <cellStyle name="Normal 3 3 5 2 4 3" xfId="5840" xr:uid="{00000000-0005-0000-0000-000005570000}"/>
    <cellStyle name="Normal 3 3 5 2 4 3 2" xfId="5841" xr:uid="{00000000-0005-0000-0000-000006570000}"/>
    <cellStyle name="Normal 3 3 5 2 4 3 2 2" xfId="29786" xr:uid="{00000000-0005-0000-0000-000007570000}"/>
    <cellStyle name="Normal 3 3 5 2 4 3 2 2 2" xfId="61657" xr:uid="{00000000-0005-0000-0000-000008570000}"/>
    <cellStyle name="Normal 3 3 5 2 4 3 2 3" xfId="37720" xr:uid="{00000000-0005-0000-0000-000009570000}"/>
    <cellStyle name="Normal 3 3 5 2 4 3 3" xfId="21908" xr:uid="{00000000-0005-0000-0000-00000A570000}"/>
    <cellStyle name="Normal 3 3 5 2 4 3 3 2" xfId="53779" xr:uid="{00000000-0005-0000-0000-00000B570000}"/>
    <cellStyle name="Normal 3 3 5 2 4 3 4" xfId="37719" xr:uid="{00000000-0005-0000-0000-00000C570000}"/>
    <cellStyle name="Normal 3 3 5 2 4 4" xfId="5842" xr:uid="{00000000-0005-0000-0000-00000D570000}"/>
    <cellStyle name="Normal 3 3 5 2 4 4 2" xfId="25847" xr:uid="{00000000-0005-0000-0000-00000E570000}"/>
    <cellStyle name="Normal 3 3 5 2 4 4 2 2" xfId="57718" xr:uid="{00000000-0005-0000-0000-00000F570000}"/>
    <cellStyle name="Normal 3 3 5 2 4 4 3" xfId="37721" xr:uid="{00000000-0005-0000-0000-000010570000}"/>
    <cellStyle name="Normal 3 3 5 2 4 5" xfId="17969" xr:uid="{00000000-0005-0000-0000-000011570000}"/>
    <cellStyle name="Normal 3 3 5 2 4 5 2" xfId="49840" xr:uid="{00000000-0005-0000-0000-000012570000}"/>
    <cellStyle name="Normal 3 3 5 2 4 6" xfId="37714" xr:uid="{00000000-0005-0000-0000-000013570000}"/>
    <cellStyle name="Normal 3 3 5 2 5" xfId="5843" xr:uid="{00000000-0005-0000-0000-000014570000}"/>
    <cellStyle name="Normal 3 3 5 2 5 2" xfId="5844" xr:uid="{00000000-0005-0000-0000-000015570000}"/>
    <cellStyle name="Normal 3 3 5 2 5 2 2" xfId="5845" xr:uid="{00000000-0005-0000-0000-000016570000}"/>
    <cellStyle name="Normal 3 3 5 2 5 2 2 2" xfId="29788" xr:uid="{00000000-0005-0000-0000-000017570000}"/>
    <cellStyle name="Normal 3 3 5 2 5 2 2 2 2" xfId="61659" xr:uid="{00000000-0005-0000-0000-000018570000}"/>
    <cellStyle name="Normal 3 3 5 2 5 2 2 3" xfId="37724" xr:uid="{00000000-0005-0000-0000-000019570000}"/>
    <cellStyle name="Normal 3 3 5 2 5 2 3" xfId="21910" xr:uid="{00000000-0005-0000-0000-00001A570000}"/>
    <cellStyle name="Normal 3 3 5 2 5 2 3 2" xfId="53781" xr:uid="{00000000-0005-0000-0000-00001B570000}"/>
    <cellStyle name="Normal 3 3 5 2 5 2 4" xfId="37723" xr:uid="{00000000-0005-0000-0000-00001C570000}"/>
    <cellStyle name="Normal 3 3 5 2 5 3" xfId="5846" xr:uid="{00000000-0005-0000-0000-00001D570000}"/>
    <cellStyle name="Normal 3 3 5 2 5 3 2" xfId="25849" xr:uid="{00000000-0005-0000-0000-00001E570000}"/>
    <cellStyle name="Normal 3 3 5 2 5 3 2 2" xfId="57720" xr:uid="{00000000-0005-0000-0000-00001F570000}"/>
    <cellStyle name="Normal 3 3 5 2 5 3 3" xfId="37725" xr:uid="{00000000-0005-0000-0000-000020570000}"/>
    <cellStyle name="Normal 3 3 5 2 5 4" xfId="17971" xr:uid="{00000000-0005-0000-0000-000021570000}"/>
    <cellStyle name="Normal 3 3 5 2 5 4 2" xfId="49842" xr:uid="{00000000-0005-0000-0000-000022570000}"/>
    <cellStyle name="Normal 3 3 5 2 5 5" xfId="37722" xr:uid="{00000000-0005-0000-0000-000023570000}"/>
    <cellStyle name="Normal 3 3 5 2 6" xfId="5847" xr:uid="{00000000-0005-0000-0000-000024570000}"/>
    <cellStyle name="Normal 3 3 5 2 6 2" xfId="5848" xr:uid="{00000000-0005-0000-0000-000025570000}"/>
    <cellStyle name="Normal 3 3 5 2 6 2 2" xfId="28426" xr:uid="{00000000-0005-0000-0000-000026570000}"/>
    <cellStyle name="Normal 3 3 5 2 6 2 2 2" xfId="60297" xr:uid="{00000000-0005-0000-0000-000027570000}"/>
    <cellStyle name="Normal 3 3 5 2 6 2 3" xfId="37727" xr:uid="{00000000-0005-0000-0000-000028570000}"/>
    <cellStyle name="Normal 3 3 5 2 6 3" xfId="20548" xr:uid="{00000000-0005-0000-0000-000029570000}"/>
    <cellStyle name="Normal 3 3 5 2 6 3 2" xfId="52419" xr:uid="{00000000-0005-0000-0000-00002A570000}"/>
    <cellStyle name="Normal 3 3 5 2 6 4" xfId="37726" xr:uid="{00000000-0005-0000-0000-00002B570000}"/>
    <cellStyle name="Normal 3 3 5 2 7" xfId="5849" xr:uid="{00000000-0005-0000-0000-00002C570000}"/>
    <cellStyle name="Normal 3 3 5 2 7 2" xfId="24487" xr:uid="{00000000-0005-0000-0000-00002D570000}"/>
    <cellStyle name="Normal 3 3 5 2 7 2 2" xfId="56358" xr:uid="{00000000-0005-0000-0000-00002E570000}"/>
    <cellStyle name="Normal 3 3 5 2 7 3" xfId="37728" xr:uid="{00000000-0005-0000-0000-00002F570000}"/>
    <cellStyle name="Normal 3 3 5 2 8" xfId="16609" xr:uid="{00000000-0005-0000-0000-000030570000}"/>
    <cellStyle name="Normal 3 3 5 2 8 2" xfId="48480" xr:uid="{00000000-0005-0000-0000-000031570000}"/>
    <cellStyle name="Normal 3 3 5 2 9" xfId="37665" xr:uid="{00000000-0005-0000-0000-000032570000}"/>
    <cellStyle name="Normal 3 3 5 3" xfId="5850" xr:uid="{00000000-0005-0000-0000-000033570000}"/>
    <cellStyle name="Normal 3 3 5 3 2" xfId="5851" xr:uid="{00000000-0005-0000-0000-000034570000}"/>
    <cellStyle name="Normal 3 3 5 3 2 2" xfId="5852" xr:uid="{00000000-0005-0000-0000-000035570000}"/>
    <cellStyle name="Normal 3 3 5 3 2 2 2" xfId="5853" xr:uid="{00000000-0005-0000-0000-000036570000}"/>
    <cellStyle name="Normal 3 3 5 3 2 2 2 2" xfId="5854" xr:uid="{00000000-0005-0000-0000-000037570000}"/>
    <cellStyle name="Normal 3 3 5 3 2 2 2 2 2" xfId="5855" xr:uid="{00000000-0005-0000-0000-000038570000}"/>
    <cellStyle name="Normal 3 3 5 3 2 2 2 2 2 2" xfId="29792" xr:uid="{00000000-0005-0000-0000-000039570000}"/>
    <cellStyle name="Normal 3 3 5 3 2 2 2 2 2 2 2" xfId="61663" xr:uid="{00000000-0005-0000-0000-00003A570000}"/>
    <cellStyle name="Normal 3 3 5 3 2 2 2 2 2 3" xfId="37734" xr:uid="{00000000-0005-0000-0000-00003B570000}"/>
    <cellStyle name="Normal 3 3 5 3 2 2 2 2 3" xfId="21914" xr:uid="{00000000-0005-0000-0000-00003C570000}"/>
    <cellStyle name="Normal 3 3 5 3 2 2 2 2 3 2" xfId="53785" xr:uid="{00000000-0005-0000-0000-00003D570000}"/>
    <cellStyle name="Normal 3 3 5 3 2 2 2 2 4" xfId="37733" xr:uid="{00000000-0005-0000-0000-00003E570000}"/>
    <cellStyle name="Normal 3 3 5 3 2 2 2 3" xfId="5856" xr:uid="{00000000-0005-0000-0000-00003F570000}"/>
    <cellStyle name="Normal 3 3 5 3 2 2 2 3 2" xfId="25853" xr:uid="{00000000-0005-0000-0000-000040570000}"/>
    <cellStyle name="Normal 3 3 5 3 2 2 2 3 2 2" xfId="57724" xr:uid="{00000000-0005-0000-0000-000041570000}"/>
    <cellStyle name="Normal 3 3 5 3 2 2 2 3 3" xfId="37735" xr:uid="{00000000-0005-0000-0000-000042570000}"/>
    <cellStyle name="Normal 3 3 5 3 2 2 2 4" xfId="17975" xr:uid="{00000000-0005-0000-0000-000043570000}"/>
    <cellStyle name="Normal 3 3 5 3 2 2 2 4 2" xfId="49846" xr:uid="{00000000-0005-0000-0000-000044570000}"/>
    <cellStyle name="Normal 3 3 5 3 2 2 2 5" xfId="37732" xr:uid="{00000000-0005-0000-0000-000045570000}"/>
    <cellStyle name="Normal 3 3 5 3 2 2 3" xfId="5857" xr:uid="{00000000-0005-0000-0000-000046570000}"/>
    <cellStyle name="Normal 3 3 5 3 2 2 3 2" xfId="5858" xr:uid="{00000000-0005-0000-0000-000047570000}"/>
    <cellStyle name="Normal 3 3 5 3 2 2 3 2 2" xfId="29791" xr:uid="{00000000-0005-0000-0000-000048570000}"/>
    <cellStyle name="Normal 3 3 5 3 2 2 3 2 2 2" xfId="61662" xr:uid="{00000000-0005-0000-0000-000049570000}"/>
    <cellStyle name="Normal 3 3 5 3 2 2 3 2 3" xfId="37737" xr:uid="{00000000-0005-0000-0000-00004A570000}"/>
    <cellStyle name="Normal 3 3 5 3 2 2 3 3" xfId="21913" xr:uid="{00000000-0005-0000-0000-00004B570000}"/>
    <cellStyle name="Normal 3 3 5 3 2 2 3 3 2" xfId="53784" xr:uid="{00000000-0005-0000-0000-00004C570000}"/>
    <cellStyle name="Normal 3 3 5 3 2 2 3 4" xfId="37736" xr:uid="{00000000-0005-0000-0000-00004D570000}"/>
    <cellStyle name="Normal 3 3 5 3 2 2 4" xfId="5859" xr:uid="{00000000-0005-0000-0000-00004E570000}"/>
    <cellStyle name="Normal 3 3 5 3 2 2 4 2" xfId="25852" xr:uid="{00000000-0005-0000-0000-00004F570000}"/>
    <cellStyle name="Normal 3 3 5 3 2 2 4 2 2" xfId="57723" xr:uid="{00000000-0005-0000-0000-000050570000}"/>
    <cellStyle name="Normal 3 3 5 3 2 2 4 3" xfId="37738" xr:uid="{00000000-0005-0000-0000-000051570000}"/>
    <cellStyle name="Normal 3 3 5 3 2 2 5" xfId="17974" xr:uid="{00000000-0005-0000-0000-000052570000}"/>
    <cellStyle name="Normal 3 3 5 3 2 2 5 2" xfId="49845" xr:uid="{00000000-0005-0000-0000-000053570000}"/>
    <cellStyle name="Normal 3 3 5 3 2 2 6" xfId="37731" xr:uid="{00000000-0005-0000-0000-000054570000}"/>
    <cellStyle name="Normal 3 3 5 3 2 3" xfId="5860" xr:uid="{00000000-0005-0000-0000-000055570000}"/>
    <cellStyle name="Normal 3 3 5 3 2 3 2" xfId="5861" xr:uid="{00000000-0005-0000-0000-000056570000}"/>
    <cellStyle name="Normal 3 3 5 3 2 3 2 2" xfId="5862" xr:uid="{00000000-0005-0000-0000-000057570000}"/>
    <cellStyle name="Normal 3 3 5 3 2 3 2 2 2" xfId="29793" xr:uid="{00000000-0005-0000-0000-000058570000}"/>
    <cellStyle name="Normal 3 3 5 3 2 3 2 2 2 2" xfId="61664" xr:uid="{00000000-0005-0000-0000-000059570000}"/>
    <cellStyle name="Normal 3 3 5 3 2 3 2 2 3" xfId="37741" xr:uid="{00000000-0005-0000-0000-00005A570000}"/>
    <cellStyle name="Normal 3 3 5 3 2 3 2 3" xfId="21915" xr:uid="{00000000-0005-0000-0000-00005B570000}"/>
    <cellStyle name="Normal 3 3 5 3 2 3 2 3 2" xfId="53786" xr:uid="{00000000-0005-0000-0000-00005C570000}"/>
    <cellStyle name="Normal 3 3 5 3 2 3 2 4" xfId="37740" xr:uid="{00000000-0005-0000-0000-00005D570000}"/>
    <cellStyle name="Normal 3 3 5 3 2 3 3" xfId="5863" xr:uid="{00000000-0005-0000-0000-00005E570000}"/>
    <cellStyle name="Normal 3 3 5 3 2 3 3 2" xfId="25854" xr:uid="{00000000-0005-0000-0000-00005F570000}"/>
    <cellStyle name="Normal 3 3 5 3 2 3 3 2 2" xfId="57725" xr:uid="{00000000-0005-0000-0000-000060570000}"/>
    <cellStyle name="Normal 3 3 5 3 2 3 3 3" xfId="37742" xr:uid="{00000000-0005-0000-0000-000061570000}"/>
    <cellStyle name="Normal 3 3 5 3 2 3 4" xfId="17976" xr:uid="{00000000-0005-0000-0000-000062570000}"/>
    <cellStyle name="Normal 3 3 5 3 2 3 4 2" xfId="49847" xr:uid="{00000000-0005-0000-0000-000063570000}"/>
    <cellStyle name="Normal 3 3 5 3 2 3 5" xfId="37739" xr:uid="{00000000-0005-0000-0000-000064570000}"/>
    <cellStyle name="Normal 3 3 5 3 2 4" xfId="5864" xr:uid="{00000000-0005-0000-0000-000065570000}"/>
    <cellStyle name="Normal 3 3 5 3 2 4 2" xfId="5865" xr:uid="{00000000-0005-0000-0000-000066570000}"/>
    <cellStyle name="Normal 3 3 5 3 2 4 2 2" xfId="29790" xr:uid="{00000000-0005-0000-0000-000067570000}"/>
    <cellStyle name="Normal 3 3 5 3 2 4 2 2 2" xfId="61661" xr:uid="{00000000-0005-0000-0000-000068570000}"/>
    <cellStyle name="Normal 3 3 5 3 2 4 2 3" xfId="37744" xr:uid="{00000000-0005-0000-0000-000069570000}"/>
    <cellStyle name="Normal 3 3 5 3 2 4 3" xfId="21912" xr:uid="{00000000-0005-0000-0000-00006A570000}"/>
    <cellStyle name="Normal 3 3 5 3 2 4 3 2" xfId="53783" xr:uid="{00000000-0005-0000-0000-00006B570000}"/>
    <cellStyle name="Normal 3 3 5 3 2 4 4" xfId="37743" xr:uid="{00000000-0005-0000-0000-00006C570000}"/>
    <cellStyle name="Normal 3 3 5 3 2 5" xfId="5866" xr:uid="{00000000-0005-0000-0000-00006D570000}"/>
    <cellStyle name="Normal 3 3 5 3 2 5 2" xfId="25851" xr:uid="{00000000-0005-0000-0000-00006E570000}"/>
    <cellStyle name="Normal 3 3 5 3 2 5 2 2" xfId="57722" xr:uid="{00000000-0005-0000-0000-00006F570000}"/>
    <cellStyle name="Normal 3 3 5 3 2 5 3" xfId="37745" xr:uid="{00000000-0005-0000-0000-000070570000}"/>
    <cellStyle name="Normal 3 3 5 3 2 6" xfId="17973" xr:uid="{00000000-0005-0000-0000-000071570000}"/>
    <cellStyle name="Normal 3 3 5 3 2 6 2" xfId="49844" xr:uid="{00000000-0005-0000-0000-000072570000}"/>
    <cellStyle name="Normal 3 3 5 3 2 7" xfId="37730" xr:uid="{00000000-0005-0000-0000-000073570000}"/>
    <cellStyle name="Normal 3 3 5 3 3" xfId="5867" xr:uid="{00000000-0005-0000-0000-000074570000}"/>
    <cellStyle name="Normal 3 3 5 3 3 2" xfId="5868" xr:uid="{00000000-0005-0000-0000-000075570000}"/>
    <cellStyle name="Normal 3 3 5 3 3 2 2" xfId="5869" xr:uid="{00000000-0005-0000-0000-000076570000}"/>
    <cellStyle name="Normal 3 3 5 3 3 2 2 2" xfId="5870" xr:uid="{00000000-0005-0000-0000-000077570000}"/>
    <cellStyle name="Normal 3 3 5 3 3 2 2 2 2" xfId="29795" xr:uid="{00000000-0005-0000-0000-000078570000}"/>
    <cellStyle name="Normal 3 3 5 3 3 2 2 2 2 2" xfId="61666" xr:uid="{00000000-0005-0000-0000-000079570000}"/>
    <cellStyle name="Normal 3 3 5 3 3 2 2 2 3" xfId="37749" xr:uid="{00000000-0005-0000-0000-00007A570000}"/>
    <cellStyle name="Normal 3 3 5 3 3 2 2 3" xfId="21917" xr:uid="{00000000-0005-0000-0000-00007B570000}"/>
    <cellStyle name="Normal 3 3 5 3 3 2 2 3 2" xfId="53788" xr:uid="{00000000-0005-0000-0000-00007C570000}"/>
    <cellStyle name="Normal 3 3 5 3 3 2 2 4" xfId="37748" xr:uid="{00000000-0005-0000-0000-00007D570000}"/>
    <cellStyle name="Normal 3 3 5 3 3 2 3" xfId="5871" xr:uid="{00000000-0005-0000-0000-00007E570000}"/>
    <cellStyle name="Normal 3 3 5 3 3 2 3 2" xfId="25856" xr:uid="{00000000-0005-0000-0000-00007F570000}"/>
    <cellStyle name="Normal 3 3 5 3 3 2 3 2 2" xfId="57727" xr:uid="{00000000-0005-0000-0000-000080570000}"/>
    <cellStyle name="Normal 3 3 5 3 3 2 3 3" xfId="37750" xr:uid="{00000000-0005-0000-0000-000081570000}"/>
    <cellStyle name="Normal 3 3 5 3 3 2 4" xfId="17978" xr:uid="{00000000-0005-0000-0000-000082570000}"/>
    <cellStyle name="Normal 3 3 5 3 3 2 4 2" xfId="49849" xr:uid="{00000000-0005-0000-0000-000083570000}"/>
    <cellStyle name="Normal 3 3 5 3 3 2 5" xfId="37747" xr:uid="{00000000-0005-0000-0000-000084570000}"/>
    <cellStyle name="Normal 3 3 5 3 3 3" xfId="5872" xr:uid="{00000000-0005-0000-0000-000085570000}"/>
    <cellStyle name="Normal 3 3 5 3 3 3 2" xfId="5873" xr:uid="{00000000-0005-0000-0000-000086570000}"/>
    <cellStyle name="Normal 3 3 5 3 3 3 2 2" xfId="29794" xr:uid="{00000000-0005-0000-0000-000087570000}"/>
    <cellStyle name="Normal 3 3 5 3 3 3 2 2 2" xfId="61665" xr:uid="{00000000-0005-0000-0000-000088570000}"/>
    <cellStyle name="Normal 3 3 5 3 3 3 2 3" xfId="37752" xr:uid="{00000000-0005-0000-0000-000089570000}"/>
    <cellStyle name="Normal 3 3 5 3 3 3 3" xfId="21916" xr:uid="{00000000-0005-0000-0000-00008A570000}"/>
    <cellStyle name="Normal 3 3 5 3 3 3 3 2" xfId="53787" xr:uid="{00000000-0005-0000-0000-00008B570000}"/>
    <cellStyle name="Normal 3 3 5 3 3 3 4" xfId="37751" xr:uid="{00000000-0005-0000-0000-00008C570000}"/>
    <cellStyle name="Normal 3 3 5 3 3 4" xfId="5874" xr:uid="{00000000-0005-0000-0000-00008D570000}"/>
    <cellStyle name="Normal 3 3 5 3 3 4 2" xfId="25855" xr:uid="{00000000-0005-0000-0000-00008E570000}"/>
    <cellStyle name="Normal 3 3 5 3 3 4 2 2" xfId="57726" xr:uid="{00000000-0005-0000-0000-00008F570000}"/>
    <cellStyle name="Normal 3 3 5 3 3 4 3" xfId="37753" xr:uid="{00000000-0005-0000-0000-000090570000}"/>
    <cellStyle name="Normal 3 3 5 3 3 5" xfId="17977" xr:uid="{00000000-0005-0000-0000-000091570000}"/>
    <cellStyle name="Normal 3 3 5 3 3 5 2" xfId="49848" xr:uid="{00000000-0005-0000-0000-000092570000}"/>
    <cellStyle name="Normal 3 3 5 3 3 6" xfId="37746" xr:uid="{00000000-0005-0000-0000-000093570000}"/>
    <cellStyle name="Normal 3 3 5 3 4" xfId="5875" xr:uid="{00000000-0005-0000-0000-000094570000}"/>
    <cellStyle name="Normal 3 3 5 3 4 2" xfId="5876" xr:uid="{00000000-0005-0000-0000-000095570000}"/>
    <cellStyle name="Normal 3 3 5 3 4 2 2" xfId="5877" xr:uid="{00000000-0005-0000-0000-000096570000}"/>
    <cellStyle name="Normal 3 3 5 3 4 2 2 2" xfId="29796" xr:uid="{00000000-0005-0000-0000-000097570000}"/>
    <cellStyle name="Normal 3 3 5 3 4 2 2 2 2" xfId="61667" xr:uid="{00000000-0005-0000-0000-000098570000}"/>
    <cellStyle name="Normal 3 3 5 3 4 2 2 3" xfId="37756" xr:uid="{00000000-0005-0000-0000-000099570000}"/>
    <cellStyle name="Normal 3 3 5 3 4 2 3" xfId="21918" xr:uid="{00000000-0005-0000-0000-00009A570000}"/>
    <cellStyle name="Normal 3 3 5 3 4 2 3 2" xfId="53789" xr:uid="{00000000-0005-0000-0000-00009B570000}"/>
    <cellStyle name="Normal 3 3 5 3 4 2 4" xfId="37755" xr:uid="{00000000-0005-0000-0000-00009C570000}"/>
    <cellStyle name="Normal 3 3 5 3 4 3" xfId="5878" xr:uid="{00000000-0005-0000-0000-00009D570000}"/>
    <cellStyle name="Normal 3 3 5 3 4 3 2" xfId="25857" xr:uid="{00000000-0005-0000-0000-00009E570000}"/>
    <cellStyle name="Normal 3 3 5 3 4 3 2 2" xfId="57728" xr:uid="{00000000-0005-0000-0000-00009F570000}"/>
    <cellStyle name="Normal 3 3 5 3 4 3 3" xfId="37757" xr:uid="{00000000-0005-0000-0000-0000A0570000}"/>
    <cellStyle name="Normal 3 3 5 3 4 4" xfId="17979" xr:uid="{00000000-0005-0000-0000-0000A1570000}"/>
    <cellStyle name="Normal 3 3 5 3 4 4 2" xfId="49850" xr:uid="{00000000-0005-0000-0000-0000A2570000}"/>
    <cellStyle name="Normal 3 3 5 3 4 5" xfId="37754" xr:uid="{00000000-0005-0000-0000-0000A3570000}"/>
    <cellStyle name="Normal 3 3 5 3 5" xfId="5879" xr:uid="{00000000-0005-0000-0000-0000A4570000}"/>
    <cellStyle name="Normal 3 3 5 3 5 2" xfId="5880" xr:uid="{00000000-0005-0000-0000-0000A5570000}"/>
    <cellStyle name="Normal 3 3 5 3 5 2 2" xfId="29789" xr:uid="{00000000-0005-0000-0000-0000A6570000}"/>
    <cellStyle name="Normal 3 3 5 3 5 2 2 2" xfId="61660" xr:uid="{00000000-0005-0000-0000-0000A7570000}"/>
    <cellStyle name="Normal 3 3 5 3 5 2 3" xfId="37759" xr:uid="{00000000-0005-0000-0000-0000A8570000}"/>
    <cellStyle name="Normal 3 3 5 3 5 3" xfId="21911" xr:uid="{00000000-0005-0000-0000-0000A9570000}"/>
    <cellStyle name="Normal 3 3 5 3 5 3 2" xfId="53782" xr:uid="{00000000-0005-0000-0000-0000AA570000}"/>
    <cellStyle name="Normal 3 3 5 3 5 4" xfId="37758" xr:uid="{00000000-0005-0000-0000-0000AB570000}"/>
    <cellStyle name="Normal 3 3 5 3 6" xfId="5881" xr:uid="{00000000-0005-0000-0000-0000AC570000}"/>
    <cellStyle name="Normal 3 3 5 3 6 2" xfId="25850" xr:uid="{00000000-0005-0000-0000-0000AD570000}"/>
    <cellStyle name="Normal 3 3 5 3 6 2 2" xfId="57721" xr:uid="{00000000-0005-0000-0000-0000AE570000}"/>
    <cellStyle name="Normal 3 3 5 3 6 3" xfId="37760" xr:uid="{00000000-0005-0000-0000-0000AF570000}"/>
    <cellStyle name="Normal 3 3 5 3 7" xfId="17972" xr:uid="{00000000-0005-0000-0000-0000B0570000}"/>
    <cellStyle name="Normal 3 3 5 3 7 2" xfId="49843" xr:uid="{00000000-0005-0000-0000-0000B1570000}"/>
    <cellStyle name="Normal 3 3 5 3 8" xfId="37729" xr:uid="{00000000-0005-0000-0000-0000B2570000}"/>
    <cellStyle name="Normal 3 3 5 4" xfId="5882" xr:uid="{00000000-0005-0000-0000-0000B3570000}"/>
    <cellStyle name="Normal 3 3 5 4 2" xfId="5883" xr:uid="{00000000-0005-0000-0000-0000B4570000}"/>
    <cellStyle name="Normal 3 3 5 4 2 2" xfId="5884" xr:uid="{00000000-0005-0000-0000-0000B5570000}"/>
    <cellStyle name="Normal 3 3 5 4 2 2 2" xfId="5885" xr:uid="{00000000-0005-0000-0000-0000B6570000}"/>
    <cellStyle name="Normal 3 3 5 4 2 2 2 2" xfId="5886" xr:uid="{00000000-0005-0000-0000-0000B7570000}"/>
    <cellStyle name="Normal 3 3 5 4 2 2 2 2 2" xfId="29799" xr:uid="{00000000-0005-0000-0000-0000B8570000}"/>
    <cellStyle name="Normal 3 3 5 4 2 2 2 2 2 2" xfId="61670" xr:uid="{00000000-0005-0000-0000-0000B9570000}"/>
    <cellStyle name="Normal 3 3 5 4 2 2 2 2 3" xfId="37765" xr:uid="{00000000-0005-0000-0000-0000BA570000}"/>
    <cellStyle name="Normal 3 3 5 4 2 2 2 3" xfId="21921" xr:uid="{00000000-0005-0000-0000-0000BB570000}"/>
    <cellStyle name="Normal 3 3 5 4 2 2 2 3 2" xfId="53792" xr:uid="{00000000-0005-0000-0000-0000BC570000}"/>
    <cellStyle name="Normal 3 3 5 4 2 2 2 4" xfId="37764" xr:uid="{00000000-0005-0000-0000-0000BD570000}"/>
    <cellStyle name="Normal 3 3 5 4 2 2 3" xfId="5887" xr:uid="{00000000-0005-0000-0000-0000BE570000}"/>
    <cellStyle name="Normal 3 3 5 4 2 2 3 2" xfId="25860" xr:uid="{00000000-0005-0000-0000-0000BF570000}"/>
    <cellStyle name="Normal 3 3 5 4 2 2 3 2 2" xfId="57731" xr:uid="{00000000-0005-0000-0000-0000C0570000}"/>
    <cellStyle name="Normal 3 3 5 4 2 2 3 3" xfId="37766" xr:uid="{00000000-0005-0000-0000-0000C1570000}"/>
    <cellStyle name="Normal 3 3 5 4 2 2 4" xfId="17982" xr:uid="{00000000-0005-0000-0000-0000C2570000}"/>
    <cellStyle name="Normal 3 3 5 4 2 2 4 2" xfId="49853" xr:uid="{00000000-0005-0000-0000-0000C3570000}"/>
    <cellStyle name="Normal 3 3 5 4 2 2 5" xfId="37763" xr:uid="{00000000-0005-0000-0000-0000C4570000}"/>
    <cellStyle name="Normal 3 3 5 4 2 3" xfId="5888" xr:uid="{00000000-0005-0000-0000-0000C5570000}"/>
    <cellStyle name="Normal 3 3 5 4 2 3 2" xfId="5889" xr:uid="{00000000-0005-0000-0000-0000C6570000}"/>
    <cellStyle name="Normal 3 3 5 4 2 3 2 2" xfId="29798" xr:uid="{00000000-0005-0000-0000-0000C7570000}"/>
    <cellStyle name="Normal 3 3 5 4 2 3 2 2 2" xfId="61669" xr:uid="{00000000-0005-0000-0000-0000C8570000}"/>
    <cellStyle name="Normal 3 3 5 4 2 3 2 3" xfId="37768" xr:uid="{00000000-0005-0000-0000-0000C9570000}"/>
    <cellStyle name="Normal 3 3 5 4 2 3 3" xfId="21920" xr:uid="{00000000-0005-0000-0000-0000CA570000}"/>
    <cellStyle name="Normal 3 3 5 4 2 3 3 2" xfId="53791" xr:uid="{00000000-0005-0000-0000-0000CB570000}"/>
    <cellStyle name="Normal 3 3 5 4 2 3 4" xfId="37767" xr:uid="{00000000-0005-0000-0000-0000CC570000}"/>
    <cellStyle name="Normal 3 3 5 4 2 4" xfId="5890" xr:uid="{00000000-0005-0000-0000-0000CD570000}"/>
    <cellStyle name="Normal 3 3 5 4 2 4 2" xfId="25859" xr:uid="{00000000-0005-0000-0000-0000CE570000}"/>
    <cellStyle name="Normal 3 3 5 4 2 4 2 2" xfId="57730" xr:uid="{00000000-0005-0000-0000-0000CF570000}"/>
    <cellStyle name="Normal 3 3 5 4 2 4 3" xfId="37769" xr:uid="{00000000-0005-0000-0000-0000D0570000}"/>
    <cellStyle name="Normal 3 3 5 4 2 5" xfId="17981" xr:uid="{00000000-0005-0000-0000-0000D1570000}"/>
    <cellStyle name="Normal 3 3 5 4 2 5 2" xfId="49852" xr:uid="{00000000-0005-0000-0000-0000D2570000}"/>
    <cellStyle name="Normal 3 3 5 4 2 6" xfId="37762" xr:uid="{00000000-0005-0000-0000-0000D3570000}"/>
    <cellStyle name="Normal 3 3 5 4 3" xfId="5891" xr:uid="{00000000-0005-0000-0000-0000D4570000}"/>
    <cellStyle name="Normal 3 3 5 4 3 2" xfId="5892" xr:uid="{00000000-0005-0000-0000-0000D5570000}"/>
    <cellStyle name="Normal 3 3 5 4 3 2 2" xfId="5893" xr:uid="{00000000-0005-0000-0000-0000D6570000}"/>
    <cellStyle name="Normal 3 3 5 4 3 2 2 2" xfId="29800" xr:uid="{00000000-0005-0000-0000-0000D7570000}"/>
    <cellStyle name="Normal 3 3 5 4 3 2 2 2 2" xfId="61671" xr:uid="{00000000-0005-0000-0000-0000D8570000}"/>
    <cellStyle name="Normal 3 3 5 4 3 2 2 3" xfId="37772" xr:uid="{00000000-0005-0000-0000-0000D9570000}"/>
    <cellStyle name="Normal 3 3 5 4 3 2 3" xfId="21922" xr:uid="{00000000-0005-0000-0000-0000DA570000}"/>
    <cellStyle name="Normal 3 3 5 4 3 2 3 2" xfId="53793" xr:uid="{00000000-0005-0000-0000-0000DB570000}"/>
    <cellStyle name="Normal 3 3 5 4 3 2 4" xfId="37771" xr:uid="{00000000-0005-0000-0000-0000DC570000}"/>
    <cellStyle name="Normal 3 3 5 4 3 3" xfId="5894" xr:uid="{00000000-0005-0000-0000-0000DD570000}"/>
    <cellStyle name="Normal 3 3 5 4 3 3 2" xfId="25861" xr:uid="{00000000-0005-0000-0000-0000DE570000}"/>
    <cellStyle name="Normal 3 3 5 4 3 3 2 2" xfId="57732" xr:uid="{00000000-0005-0000-0000-0000DF570000}"/>
    <cellStyle name="Normal 3 3 5 4 3 3 3" xfId="37773" xr:uid="{00000000-0005-0000-0000-0000E0570000}"/>
    <cellStyle name="Normal 3 3 5 4 3 4" xfId="17983" xr:uid="{00000000-0005-0000-0000-0000E1570000}"/>
    <cellStyle name="Normal 3 3 5 4 3 4 2" xfId="49854" xr:uid="{00000000-0005-0000-0000-0000E2570000}"/>
    <cellStyle name="Normal 3 3 5 4 3 5" xfId="37770" xr:uid="{00000000-0005-0000-0000-0000E3570000}"/>
    <cellStyle name="Normal 3 3 5 4 4" xfId="5895" xr:uid="{00000000-0005-0000-0000-0000E4570000}"/>
    <cellStyle name="Normal 3 3 5 4 4 2" xfId="5896" xr:uid="{00000000-0005-0000-0000-0000E5570000}"/>
    <cellStyle name="Normal 3 3 5 4 4 2 2" xfId="29797" xr:uid="{00000000-0005-0000-0000-0000E6570000}"/>
    <cellStyle name="Normal 3 3 5 4 4 2 2 2" xfId="61668" xr:uid="{00000000-0005-0000-0000-0000E7570000}"/>
    <cellStyle name="Normal 3 3 5 4 4 2 3" xfId="37775" xr:uid="{00000000-0005-0000-0000-0000E8570000}"/>
    <cellStyle name="Normal 3 3 5 4 4 3" xfId="21919" xr:uid="{00000000-0005-0000-0000-0000E9570000}"/>
    <cellStyle name="Normal 3 3 5 4 4 3 2" xfId="53790" xr:uid="{00000000-0005-0000-0000-0000EA570000}"/>
    <cellStyle name="Normal 3 3 5 4 4 4" xfId="37774" xr:uid="{00000000-0005-0000-0000-0000EB570000}"/>
    <cellStyle name="Normal 3 3 5 4 5" xfId="5897" xr:uid="{00000000-0005-0000-0000-0000EC570000}"/>
    <cellStyle name="Normal 3 3 5 4 5 2" xfId="25858" xr:uid="{00000000-0005-0000-0000-0000ED570000}"/>
    <cellStyle name="Normal 3 3 5 4 5 2 2" xfId="57729" xr:uid="{00000000-0005-0000-0000-0000EE570000}"/>
    <cellStyle name="Normal 3 3 5 4 5 3" xfId="37776" xr:uid="{00000000-0005-0000-0000-0000EF570000}"/>
    <cellStyle name="Normal 3 3 5 4 6" xfId="17980" xr:uid="{00000000-0005-0000-0000-0000F0570000}"/>
    <cellStyle name="Normal 3 3 5 4 6 2" xfId="49851" xr:uid="{00000000-0005-0000-0000-0000F1570000}"/>
    <cellStyle name="Normal 3 3 5 4 7" xfId="37761" xr:uid="{00000000-0005-0000-0000-0000F2570000}"/>
    <cellStyle name="Normal 3 3 5 5" xfId="5898" xr:uid="{00000000-0005-0000-0000-0000F3570000}"/>
    <cellStyle name="Normal 3 3 5 5 2" xfId="5899" xr:uid="{00000000-0005-0000-0000-0000F4570000}"/>
    <cellStyle name="Normal 3 3 5 5 2 2" xfId="5900" xr:uid="{00000000-0005-0000-0000-0000F5570000}"/>
    <cellStyle name="Normal 3 3 5 5 2 2 2" xfId="5901" xr:uid="{00000000-0005-0000-0000-0000F6570000}"/>
    <cellStyle name="Normal 3 3 5 5 2 2 2 2" xfId="29802" xr:uid="{00000000-0005-0000-0000-0000F7570000}"/>
    <cellStyle name="Normal 3 3 5 5 2 2 2 2 2" xfId="61673" xr:uid="{00000000-0005-0000-0000-0000F8570000}"/>
    <cellStyle name="Normal 3 3 5 5 2 2 2 3" xfId="37780" xr:uid="{00000000-0005-0000-0000-0000F9570000}"/>
    <cellStyle name="Normal 3 3 5 5 2 2 3" xfId="21924" xr:uid="{00000000-0005-0000-0000-0000FA570000}"/>
    <cellStyle name="Normal 3 3 5 5 2 2 3 2" xfId="53795" xr:uid="{00000000-0005-0000-0000-0000FB570000}"/>
    <cellStyle name="Normal 3 3 5 5 2 2 4" xfId="37779" xr:uid="{00000000-0005-0000-0000-0000FC570000}"/>
    <cellStyle name="Normal 3 3 5 5 2 3" xfId="5902" xr:uid="{00000000-0005-0000-0000-0000FD570000}"/>
    <cellStyle name="Normal 3 3 5 5 2 3 2" xfId="25863" xr:uid="{00000000-0005-0000-0000-0000FE570000}"/>
    <cellStyle name="Normal 3 3 5 5 2 3 2 2" xfId="57734" xr:uid="{00000000-0005-0000-0000-0000FF570000}"/>
    <cellStyle name="Normal 3 3 5 5 2 3 3" xfId="37781" xr:uid="{00000000-0005-0000-0000-000000580000}"/>
    <cellStyle name="Normal 3 3 5 5 2 4" xfId="17985" xr:uid="{00000000-0005-0000-0000-000001580000}"/>
    <cellStyle name="Normal 3 3 5 5 2 4 2" xfId="49856" xr:uid="{00000000-0005-0000-0000-000002580000}"/>
    <cellStyle name="Normal 3 3 5 5 2 5" xfId="37778" xr:uid="{00000000-0005-0000-0000-000003580000}"/>
    <cellStyle name="Normal 3 3 5 5 3" xfId="5903" xr:uid="{00000000-0005-0000-0000-000004580000}"/>
    <cellStyle name="Normal 3 3 5 5 3 2" xfId="5904" xr:uid="{00000000-0005-0000-0000-000005580000}"/>
    <cellStyle name="Normal 3 3 5 5 3 2 2" xfId="29801" xr:uid="{00000000-0005-0000-0000-000006580000}"/>
    <cellStyle name="Normal 3 3 5 5 3 2 2 2" xfId="61672" xr:uid="{00000000-0005-0000-0000-000007580000}"/>
    <cellStyle name="Normal 3 3 5 5 3 2 3" xfId="37783" xr:uid="{00000000-0005-0000-0000-000008580000}"/>
    <cellStyle name="Normal 3 3 5 5 3 3" xfId="21923" xr:uid="{00000000-0005-0000-0000-000009580000}"/>
    <cellStyle name="Normal 3 3 5 5 3 3 2" xfId="53794" xr:uid="{00000000-0005-0000-0000-00000A580000}"/>
    <cellStyle name="Normal 3 3 5 5 3 4" xfId="37782" xr:uid="{00000000-0005-0000-0000-00000B580000}"/>
    <cellStyle name="Normal 3 3 5 5 4" xfId="5905" xr:uid="{00000000-0005-0000-0000-00000C580000}"/>
    <cellStyle name="Normal 3 3 5 5 4 2" xfId="25862" xr:uid="{00000000-0005-0000-0000-00000D580000}"/>
    <cellStyle name="Normal 3 3 5 5 4 2 2" xfId="57733" xr:uid="{00000000-0005-0000-0000-00000E580000}"/>
    <cellStyle name="Normal 3 3 5 5 4 3" xfId="37784" xr:uid="{00000000-0005-0000-0000-00000F580000}"/>
    <cellStyle name="Normal 3 3 5 5 5" xfId="17984" xr:uid="{00000000-0005-0000-0000-000010580000}"/>
    <cellStyle name="Normal 3 3 5 5 5 2" xfId="49855" xr:uid="{00000000-0005-0000-0000-000011580000}"/>
    <cellStyle name="Normal 3 3 5 5 6" xfId="37777" xr:uid="{00000000-0005-0000-0000-000012580000}"/>
    <cellStyle name="Normal 3 3 5 6" xfId="5906" xr:uid="{00000000-0005-0000-0000-000013580000}"/>
    <cellStyle name="Normal 3 3 5 6 2" xfId="5907" xr:uid="{00000000-0005-0000-0000-000014580000}"/>
    <cellStyle name="Normal 3 3 5 6 2 2" xfId="5908" xr:uid="{00000000-0005-0000-0000-000015580000}"/>
    <cellStyle name="Normal 3 3 5 6 2 2 2" xfId="29803" xr:uid="{00000000-0005-0000-0000-000016580000}"/>
    <cellStyle name="Normal 3 3 5 6 2 2 2 2" xfId="61674" xr:uid="{00000000-0005-0000-0000-000017580000}"/>
    <cellStyle name="Normal 3 3 5 6 2 2 3" xfId="37787" xr:uid="{00000000-0005-0000-0000-000018580000}"/>
    <cellStyle name="Normal 3 3 5 6 2 3" xfId="21925" xr:uid="{00000000-0005-0000-0000-000019580000}"/>
    <cellStyle name="Normal 3 3 5 6 2 3 2" xfId="53796" xr:uid="{00000000-0005-0000-0000-00001A580000}"/>
    <cellStyle name="Normal 3 3 5 6 2 4" xfId="37786" xr:uid="{00000000-0005-0000-0000-00001B580000}"/>
    <cellStyle name="Normal 3 3 5 6 3" xfId="5909" xr:uid="{00000000-0005-0000-0000-00001C580000}"/>
    <cellStyle name="Normal 3 3 5 6 3 2" xfId="25864" xr:uid="{00000000-0005-0000-0000-00001D580000}"/>
    <cellStyle name="Normal 3 3 5 6 3 2 2" xfId="57735" xr:uid="{00000000-0005-0000-0000-00001E580000}"/>
    <cellStyle name="Normal 3 3 5 6 3 3" xfId="37788" xr:uid="{00000000-0005-0000-0000-00001F580000}"/>
    <cellStyle name="Normal 3 3 5 6 4" xfId="17986" xr:uid="{00000000-0005-0000-0000-000020580000}"/>
    <cellStyle name="Normal 3 3 5 6 4 2" xfId="49857" xr:uid="{00000000-0005-0000-0000-000021580000}"/>
    <cellStyle name="Normal 3 3 5 6 5" xfId="37785" xr:uid="{00000000-0005-0000-0000-000022580000}"/>
    <cellStyle name="Normal 3 3 5 7" xfId="5910" xr:uid="{00000000-0005-0000-0000-000023580000}"/>
    <cellStyle name="Normal 3 3 5 7 2" xfId="5911" xr:uid="{00000000-0005-0000-0000-000024580000}"/>
    <cellStyle name="Normal 3 3 5 7 2 2" xfId="28303" xr:uid="{00000000-0005-0000-0000-000025580000}"/>
    <cellStyle name="Normal 3 3 5 7 2 2 2" xfId="60174" xr:uid="{00000000-0005-0000-0000-000026580000}"/>
    <cellStyle name="Normal 3 3 5 7 2 3" xfId="37790" xr:uid="{00000000-0005-0000-0000-000027580000}"/>
    <cellStyle name="Normal 3 3 5 7 3" xfId="20425" xr:uid="{00000000-0005-0000-0000-000028580000}"/>
    <cellStyle name="Normal 3 3 5 7 3 2" xfId="52296" xr:uid="{00000000-0005-0000-0000-000029580000}"/>
    <cellStyle name="Normal 3 3 5 7 4" xfId="37789" xr:uid="{00000000-0005-0000-0000-00002A580000}"/>
    <cellStyle name="Normal 3 3 5 8" xfId="5912" xr:uid="{00000000-0005-0000-0000-00002B580000}"/>
    <cellStyle name="Normal 3 3 5 8 2" xfId="24364" xr:uid="{00000000-0005-0000-0000-00002C580000}"/>
    <cellStyle name="Normal 3 3 5 8 2 2" xfId="56235" xr:uid="{00000000-0005-0000-0000-00002D580000}"/>
    <cellStyle name="Normal 3 3 5 8 3" xfId="37791" xr:uid="{00000000-0005-0000-0000-00002E580000}"/>
    <cellStyle name="Normal 3 3 5 9" xfId="16486" xr:uid="{00000000-0005-0000-0000-00002F580000}"/>
    <cellStyle name="Normal 3 3 5 9 2" xfId="48357" xr:uid="{00000000-0005-0000-0000-000030580000}"/>
    <cellStyle name="Normal 3 3 6" xfId="5913" xr:uid="{00000000-0005-0000-0000-000031580000}"/>
    <cellStyle name="Normal 3 3 6 10" xfId="37792" xr:uid="{00000000-0005-0000-0000-000032580000}"/>
    <cellStyle name="Normal 3 3 6 2" xfId="5914" xr:uid="{00000000-0005-0000-0000-000033580000}"/>
    <cellStyle name="Normal 3 3 6 2 2" xfId="5915" xr:uid="{00000000-0005-0000-0000-000034580000}"/>
    <cellStyle name="Normal 3 3 6 2 2 2" xfId="5916" xr:uid="{00000000-0005-0000-0000-000035580000}"/>
    <cellStyle name="Normal 3 3 6 2 2 2 2" xfId="5917" xr:uid="{00000000-0005-0000-0000-000036580000}"/>
    <cellStyle name="Normal 3 3 6 2 2 2 2 2" xfId="5918" xr:uid="{00000000-0005-0000-0000-000037580000}"/>
    <cellStyle name="Normal 3 3 6 2 2 2 2 2 2" xfId="5919" xr:uid="{00000000-0005-0000-0000-000038580000}"/>
    <cellStyle name="Normal 3 3 6 2 2 2 2 2 2 2" xfId="5920" xr:uid="{00000000-0005-0000-0000-000039580000}"/>
    <cellStyle name="Normal 3 3 6 2 2 2 2 2 2 2 2" xfId="29807" xr:uid="{00000000-0005-0000-0000-00003A580000}"/>
    <cellStyle name="Normal 3 3 6 2 2 2 2 2 2 2 2 2" xfId="61678" xr:uid="{00000000-0005-0000-0000-00003B580000}"/>
    <cellStyle name="Normal 3 3 6 2 2 2 2 2 2 2 3" xfId="37799" xr:uid="{00000000-0005-0000-0000-00003C580000}"/>
    <cellStyle name="Normal 3 3 6 2 2 2 2 2 2 3" xfId="21929" xr:uid="{00000000-0005-0000-0000-00003D580000}"/>
    <cellStyle name="Normal 3 3 6 2 2 2 2 2 2 3 2" xfId="53800" xr:uid="{00000000-0005-0000-0000-00003E580000}"/>
    <cellStyle name="Normal 3 3 6 2 2 2 2 2 2 4" xfId="37798" xr:uid="{00000000-0005-0000-0000-00003F580000}"/>
    <cellStyle name="Normal 3 3 6 2 2 2 2 2 3" xfId="5921" xr:uid="{00000000-0005-0000-0000-000040580000}"/>
    <cellStyle name="Normal 3 3 6 2 2 2 2 2 3 2" xfId="25868" xr:uid="{00000000-0005-0000-0000-000041580000}"/>
    <cellStyle name="Normal 3 3 6 2 2 2 2 2 3 2 2" xfId="57739" xr:uid="{00000000-0005-0000-0000-000042580000}"/>
    <cellStyle name="Normal 3 3 6 2 2 2 2 2 3 3" xfId="37800" xr:uid="{00000000-0005-0000-0000-000043580000}"/>
    <cellStyle name="Normal 3 3 6 2 2 2 2 2 4" xfId="17990" xr:uid="{00000000-0005-0000-0000-000044580000}"/>
    <cellStyle name="Normal 3 3 6 2 2 2 2 2 4 2" xfId="49861" xr:uid="{00000000-0005-0000-0000-000045580000}"/>
    <cellStyle name="Normal 3 3 6 2 2 2 2 2 5" xfId="37797" xr:uid="{00000000-0005-0000-0000-000046580000}"/>
    <cellStyle name="Normal 3 3 6 2 2 2 2 3" xfId="5922" xr:uid="{00000000-0005-0000-0000-000047580000}"/>
    <cellStyle name="Normal 3 3 6 2 2 2 2 3 2" xfId="5923" xr:uid="{00000000-0005-0000-0000-000048580000}"/>
    <cellStyle name="Normal 3 3 6 2 2 2 2 3 2 2" xfId="29806" xr:uid="{00000000-0005-0000-0000-000049580000}"/>
    <cellStyle name="Normal 3 3 6 2 2 2 2 3 2 2 2" xfId="61677" xr:uid="{00000000-0005-0000-0000-00004A580000}"/>
    <cellStyle name="Normal 3 3 6 2 2 2 2 3 2 3" xfId="37802" xr:uid="{00000000-0005-0000-0000-00004B580000}"/>
    <cellStyle name="Normal 3 3 6 2 2 2 2 3 3" xfId="21928" xr:uid="{00000000-0005-0000-0000-00004C580000}"/>
    <cellStyle name="Normal 3 3 6 2 2 2 2 3 3 2" xfId="53799" xr:uid="{00000000-0005-0000-0000-00004D580000}"/>
    <cellStyle name="Normal 3 3 6 2 2 2 2 3 4" xfId="37801" xr:uid="{00000000-0005-0000-0000-00004E580000}"/>
    <cellStyle name="Normal 3 3 6 2 2 2 2 4" xfId="5924" xr:uid="{00000000-0005-0000-0000-00004F580000}"/>
    <cellStyle name="Normal 3 3 6 2 2 2 2 4 2" xfId="25867" xr:uid="{00000000-0005-0000-0000-000050580000}"/>
    <cellStyle name="Normal 3 3 6 2 2 2 2 4 2 2" xfId="57738" xr:uid="{00000000-0005-0000-0000-000051580000}"/>
    <cellStyle name="Normal 3 3 6 2 2 2 2 4 3" xfId="37803" xr:uid="{00000000-0005-0000-0000-000052580000}"/>
    <cellStyle name="Normal 3 3 6 2 2 2 2 5" xfId="17989" xr:uid="{00000000-0005-0000-0000-000053580000}"/>
    <cellStyle name="Normal 3 3 6 2 2 2 2 5 2" xfId="49860" xr:uid="{00000000-0005-0000-0000-000054580000}"/>
    <cellStyle name="Normal 3 3 6 2 2 2 2 6" xfId="37796" xr:uid="{00000000-0005-0000-0000-000055580000}"/>
    <cellStyle name="Normal 3 3 6 2 2 2 3" xfId="5925" xr:uid="{00000000-0005-0000-0000-000056580000}"/>
    <cellStyle name="Normal 3 3 6 2 2 2 3 2" xfId="5926" xr:uid="{00000000-0005-0000-0000-000057580000}"/>
    <cellStyle name="Normal 3 3 6 2 2 2 3 2 2" xfId="5927" xr:uid="{00000000-0005-0000-0000-000058580000}"/>
    <cellStyle name="Normal 3 3 6 2 2 2 3 2 2 2" xfId="29808" xr:uid="{00000000-0005-0000-0000-000059580000}"/>
    <cellStyle name="Normal 3 3 6 2 2 2 3 2 2 2 2" xfId="61679" xr:uid="{00000000-0005-0000-0000-00005A580000}"/>
    <cellStyle name="Normal 3 3 6 2 2 2 3 2 2 3" xfId="37806" xr:uid="{00000000-0005-0000-0000-00005B580000}"/>
    <cellStyle name="Normal 3 3 6 2 2 2 3 2 3" xfId="21930" xr:uid="{00000000-0005-0000-0000-00005C580000}"/>
    <cellStyle name="Normal 3 3 6 2 2 2 3 2 3 2" xfId="53801" xr:uid="{00000000-0005-0000-0000-00005D580000}"/>
    <cellStyle name="Normal 3 3 6 2 2 2 3 2 4" xfId="37805" xr:uid="{00000000-0005-0000-0000-00005E580000}"/>
    <cellStyle name="Normal 3 3 6 2 2 2 3 3" xfId="5928" xr:uid="{00000000-0005-0000-0000-00005F580000}"/>
    <cellStyle name="Normal 3 3 6 2 2 2 3 3 2" xfId="25869" xr:uid="{00000000-0005-0000-0000-000060580000}"/>
    <cellStyle name="Normal 3 3 6 2 2 2 3 3 2 2" xfId="57740" xr:uid="{00000000-0005-0000-0000-000061580000}"/>
    <cellStyle name="Normal 3 3 6 2 2 2 3 3 3" xfId="37807" xr:uid="{00000000-0005-0000-0000-000062580000}"/>
    <cellStyle name="Normal 3 3 6 2 2 2 3 4" xfId="17991" xr:uid="{00000000-0005-0000-0000-000063580000}"/>
    <cellStyle name="Normal 3 3 6 2 2 2 3 4 2" xfId="49862" xr:uid="{00000000-0005-0000-0000-000064580000}"/>
    <cellStyle name="Normal 3 3 6 2 2 2 3 5" xfId="37804" xr:uid="{00000000-0005-0000-0000-000065580000}"/>
    <cellStyle name="Normal 3 3 6 2 2 2 4" xfId="5929" xr:uid="{00000000-0005-0000-0000-000066580000}"/>
    <cellStyle name="Normal 3 3 6 2 2 2 4 2" xfId="5930" xr:uid="{00000000-0005-0000-0000-000067580000}"/>
    <cellStyle name="Normal 3 3 6 2 2 2 4 2 2" xfId="29805" xr:uid="{00000000-0005-0000-0000-000068580000}"/>
    <cellStyle name="Normal 3 3 6 2 2 2 4 2 2 2" xfId="61676" xr:uid="{00000000-0005-0000-0000-000069580000}"/>
    <cellStyle name="Normal 3 3 6 2 2 2 4 2 3" xfId="37809" xr:uid="{00000000-0005-0000-0000-00006A580000}"/>
    <cellStyle name="Normal 3 3 6 2 2 2 4 3" xfId="21927" xr:uid="{00000000-0005-0000-0000-00006B580000}"/>
    <cellStyle name="Normal 3 3 6 2 2 2 4 3 2" xfId="53798" xr:uid="{00000000-0005-0000-0000-00006C580000}"/>
    <cellStyle name="Normal 3 3 6 2 2 2 4 4" xfId="37808" xr:uid="{00000000-0005-0000-0000-00006D580000}"/>
    <cellStyle name="Normal 3 3 6 2 2 2 5" xfId="5931" xr:uid="{00000000-0005-0000-0000-00006E580000}"/>
    <cellStyle name="Normal 3 3 6 2 2 2 5 2" xfId="25866" xr:uid="{00000000-0005-0000-0000-00006F580000}"/>
    <cellStyle name="Normal 3 3 6 2 2 2 5 2 2" xfId="57737" xr:uid="{00000000-0005-0000-0000-000070580000}"/>
    <cellStyle name="Normal 3 3 6 2 2 2 5 3" xfId="37810" xr:uid="{00000000-0005-0000-0000-000071580000}"/>
    <cellStyle name="Normal 3 3 6 2 2 2 6" xfId="17988" xr:uid="{00000000-0005-0000-0000-000072580000}"/>
    <cellStyle name="Normal 3 3 6 2 2 2 6 2" xfId="49859" xr:uid="{00000000-0005-0000-0000-000073580000}"/>
    <cellStyle name="Normal 3 3 6 2 2 2 7" xfId="37795" xr:uid="{00000000-0005-0000-0000-000074580000}"/>
    <cellStyle name="Normal 3 3 6 2 2 3" xfId="5932" xr:uid="{00000000-0005-0000-0000-000075580000}"/>
    <cellStyle name="Normal 3 3 6 2 2 3 2" xfId="5933" xr:uid="{00000000-0005-0000-0000-000076580000}"/>
    <cellStyle name="Normal 3 3 6 2 2 3 2 2" xfId="5934" xr:uid="{00000000-0005-0000-0000-000077580000}"/>
    <cellStyle name="Normal 3 3 6 2 2 3 2 2 2" xfId="5935" xr:uid="{00000000-0005-0000-0000-000078580000}"/>
    <cellStyle name="Normal 3 3 6 2 2 3 2 2 2 2" xfId="29810" xr:uid="{00000000-0005-0000-0000-000079580000}"/>
    <cellStyle name="Normal 3 3 6 2 2 3 2 2 2 2 2" xfId="61681" xr:uid="{00000000-0005-0000-0000-00007A580000}"/>
    <cellStyle name="Normal 3 3 6 2 2 3 2 2 2 3" xfId="37814" xr:uid="{00000000-0005-0000-0000-00007B580000}"/>
    <cellStyle name="Normal 3 3 6 2 2 3 2 2 3" xfId="21932" xr:uid="{00000000-0005-0000-0000-00007C580000}"/>
    <cellStyle name="Normal 3 3 6 2 2 3 2 2 3 2" xfId="53803" xr:uid="{00000000-0005-0000-0000-00007D580000}"/>
    <cellStyle name="Normal 3 3 6 2 2 3 2 2 4" xfId="37813" xr:uid="{00000000-0005-0000-0000-00007E580000}"/>
    <cellStyle name="Normal 3 3 6 2 2 3 2 3" xfId="5936" xr:uid="{00000000-0005-0000-0000-00007F580000}"/>
    <cellStyle name="Normal 3 3 6 2 2 3 2 3 2" xfId="25871" xr:uid="{00000000-0005-0000-0000-000080580000}"/>
    <cellStyle name="Normal 3 3 6 2 2 3 2 3 2 2" xfId="57742" xr:uid="{00000000-0005-0000-0000-000081580000}"/>
    <cellStyle name="Normal 3 3 6 2 2 3 2 3 3" xfId="37815" xr:uid="{00000000-0005-0000-0000-000082580000}"/>
    <cellStyle name="Normal 3 3 6 2 2 3 2 4" xfId="17993" xr:uid="{00000000-0005-0000-0000-000083580000}"/>
    <cellStyle name="Normal 3 3 6 2 2 3 2 4 2" xfId="49864" xr:uid="{00000000-0005-0000-0000-000084580000}"/>
    <cellStyle name="Normal 3 3 6 2 2 3 2 5" xfId="37812" xr:uid="{00000000-0005-0000-0000-000085580000}"/>
    <cellStyle name="Normal 3 3 6 2 2 3 3" xfId="5937" xr:uid="{00000000-0005-0000-0000-000086580000}"/>
    <cellStyle name="Normal 3 3 6 2 2 3 3 2" xfId="5938" xr:uid="{00000000-0005-0000-0000-000087580000}"/>
    <cellStyle name="Normal 3 3 6 2 2 3 3 2 2" xfId="29809" xr:uid="{00000000-0005-0000-0000-000088580000}"/>
    <cellStyle name="Normal 3 3 6 2 2 3 3 2 2 2" xfId="61680" xr:uid="{00000000-0005-0000-0000-000089580000}"/>
    <cellStyle name="Normal 3 3 6 2 2 3 3 2 3" xfId="37817" xr:uid="{00000000-0005-0000-0000-00008A580000}"/>
    <cellStyle name="Normal 3 3 6 2 2 3 3 3" xfId="21931" xr:uid="{00000000-0005-0000-0000-00008B580000}"/>
    <cellStyle name="Normal 3 3 6 2 2 3 3 3 2" xfId="53802" xr:uid="{00000000-0005-0000-0000-00008C580000}"/>
    <cellStyle name="Normal 3 3 6 2 2 3 3 4" xfId="37816" xr:uid="{00000000-0005-0000-0000-00008D580000}"/>
    <cellStyle name="Normal 3 3 6 2 2 3 4" xfId="5939" xr:uid="{00000000-0005-0000-0000-00008E580000}"/>
    <cellStyle name="Normal 3 3 6 2 2 3 4 2" xfId="25870" xr:uid="{00000000-0005-0000-0000-00008F580000}"/>
    <cellStyle name="Normal 3 3 6 2 2 3 4 2 2" xfId="57741" xr:uid="{00000000-0005-0000-0000-000090580000}"/>
    <cellStyle name="Normal 3 3 6 2 2 3 4 3" xfId="37818" xr:uid="{00000000-0005-0000-0000-000091580000}"/>
    <cellStyle name="Normal 3 3 6 2 2 3 5" xfId="17992" xr:uid="{00000000-0005-0000-0000-000092580000}"/>
    <cellStyle name="Normal 3 3 6 2 2 3 5 2" xfId="49863" xr:uid="{00000000-0005-0000-0000-000093580000}"/>
    <cellStyle name="Normal 3 3 6 2 2 3 6" xfId="37811" xr:uid="{00000000-0005-0000-0000-000094580000}"/>
    <cellStyle name="Normal 3 3 6 2 2 4" xfId="5940" xr:uid="{00000000-0005-0000-0000-000095580000}"/>
    <cellStyle name="Normal 3 3 6 2 2 4 2" xfId="5941" xr:uid="{00000000-0005-0000-0000-000096580000}"/>
    <cellStyle name="Normal 3 3 6 2 2 4 2 2" xfId="5942" xr:uid="{00000000-0005-0000-0000-000097580000}"/>
    <cellStyle name="Normal 3 3 6 2 2 4 2 2 2" xfId="29811" xr:uid="{00000000-0005-0000-0000-000098580000}"/>
    <cellStyle name="Normal 3 3 6 2 2 4 2 2 2 2" xfId="61682" xr:uid="{00000000-0005-0000-0000-000099580000}"/>
    <cellStyle name="Normal 3 3 6 2 2 4 2 2 3" xfId="37821" xr:uid="{00000000-0005-0000-0000-00009A580000}"/>
    <cellStyle name="Normal 3 3 6 2 2 4 2 3" xfId="21933" xr:uid="{00000000-0005-0000-0000-00009B580000}"/>
    <cellStyle name="Normal 3 3 6 2 2 4 2 3 2" xfId="53804" xr:uid="{00000000-0005-0000-0000-00009C580000}"/>
    <cellStyle name="Normal 3 3 6 2 2 4 2 4" xfId="37820" xr:uid="{00000000-0005-0000-0000-00009D580000}"/>
    <cellStyle name="Normal 3 3 6 2 2 4 3" xfId="5943" xr:uid="{00000000-0005-0000-0000-00009E580000}"/>
    <cellStyle name="Normal 3 3 6 2 2 4 3 2" xfId="25872" xr:uid="{00000000-0005-0000-0000-00009F580000}"/>
    <cellStyle name="Normal 3 3 6 2 2 4 3 2 2" xfId="57743" xr:uid="{00000000-0005-0000-0000-0000A0580000}"/>
    <cellStyle name="Normal 3 3 6 2 2 4 3 3" xfId="37822" xr:uid="{00000000-0005-0000-0000-0000A1580000}"/>
    <cellStyle name="Normal 3 3 6 2 2 4 4" xfId="17994" xr:uid="{00000000-0005-0000-0000-0000A2580000}"/>
    <cellStyle name="Normal 3 3 6 2 2 4 4 2" xfId="49865" xr:uid="{00000000-0005-0000-0000-0000A3580000}"/>
    <cellStyle name="Normal 3 3 6 2 2 4 5" xfId="37819" xr:uid="{00000000-0005-0000-0000-0000A4580000}"/>
    <cellStyle name="Normal 3 3 6 2 2 5" xfId="5944" xr:uid="{00000000-0005-0000-0000-0000A5580000}"/>
    <cellStyle name="Normal 3 3 6 2 2 5 2" xfId="5945" xr:uid="{00000000-0005-0000-0000-0000A6580000}"/>
    <cellStyle name="Normal 3 3 6 2 2 5 2 2" xfId="29804" xr:uid="{00000000-0005-0000-0000-0000A7580000}"/>
    <cellStyle name="Normal 3 3 6 2 2 5 2 2 2" xfId="61675" xr:uid="{00000000-0005-0000-0000-0000A8580000}"/>
    <cellStyle name="Normal 3 3 6 2 2 5 2 3" xfId="37824" xr:uid="{00000000-0005-0000-0000-0000A9580000}"/>
    <cellStyle name="Normal 3 3 6 2 2 5 3" xfId="21926" xr:uid="{00000000-0005-0000-0000-0000AA580000}"/>
    <cellStyle name="Normal 3 3 6 2 2 5 3 2" xfId="53797" xr:uid="{00000000-0005-0000-0000-0000AB580000}"/>
    <cellStyle name="Normal 3 3 6 2 2 5 4" xfId="37823" xr:uid="{00000000-0005-0000-0000-0000AC580000}"/>
    <cellStyle name="Normal 3 3 6 2 2 6" xfId="5946" xr:uid="{00000000-0005-0000-0000-0000AD580000}"/>
    <cellStyle name="Normal 3 3 6 2 2 6 2" xfId="25865" xr:uid="{00000000-0005-0000-0000-0000AE580000}"/>
    <cellStyle name="Normal 3 3 6 2 2 6 2 2" xfId="57736" xr:uid="{00000000-0005-0000-0000-0000AF580000}"/>
    <cellStyle name="Normal 3 3 6 2 2 6 3" xfId="37825" xr:uid="{00000000-0005-0000-0000-0000B0580000}"/>
    <cellStyle name="Normal 3 3 6 2 2 7" xfId="17987" xr:uid="{00000000-0005-0000-0000-0000B1580000}"/>
    <cellStyle name="Normal 3 3 6 2 2 7 2" xfId="49858" xr:uid="{00000000-0005-0000-0000-0000B2580000}"/>
    <cellStyle name="Normal 3 3 6 2 2 8" xfId="37794" xr:uid="{00000000-0005-0000-0000-0000B3580000}"/>
    <cellStyle name="Normal 3 3 6 2 3" xfId="5947" xr:uid="{00000000-0005-0000-0000-0000B4580000}"/>
    <cellStyle name="Normal 3 3 6 2 3 2" xfId="5948" xr:uid="{00000000-0005-0000-0000-0000B5580000}"/>
    <cellStyle name="Normal 3 3 6 2 3 2 2" xfId="5949" xr:uid="{00000000-0005-0000-0000-0000B6580000}"/>
    <cellStyle name="Normal 3 3 6 2 3 2 2 2" xfId="5950" xr:uid="{00000000-0005-0000-0000-0000B7580000}"/>
    <cellStyle name="Normal 3 3 6 2 3 2 2 2 2" xfId="5951" xr:uid="{00000000-0005-0000-0000-0000B8580000}"/>
    <cellStyle name="Normal 3 3 6 2 3 2 2 2 2 2" xfId="29814" xr:uid="{00000000-0005-0000-0000-0000B9580000}"/>
    <cellStyle name="Normal 3 3 6 2 3 2 2 2 2 2 2" xfId="61685" xr:uid="{00000000-0005-0000-0000-0000BA580000}"/>
    <cellStyle name="Normal 3 3 6 2 3 2 2 2 2 3" xfId="37830" xr:uid="{00000000-0005-0000-0000-0000BB580000}"/>
    <cellStyle name="Normal 3 3 6 2 3 2 2 2 3" xfId="21936" xr:uid="{00000000-0005-0000-0000-0000BC580000}"/>
    <cellStyle name="Normal 3 3 6 2 3 2 2 2 3 2" xfId="53807" xr:uid="{00000000-0005-0000-0000-0000BD580000}"/>
    <cellStyle name="Normal 3 3 6 2 3 2 2 2 4" xfId="37829" xr:uid="{00000000-0005-0000-0000-0000BE580000}"/>
    <cellStyle name="Normal 3 3 6 2 3 2 2 3" xfId="5952" xr:uid="{00000000-0005-0000-0000-0000BF580000}"/>
    <cellStyle name="Normal 3 3 6 2 3 2 2 3 2" xfId="25875" xr:uid="{00000000-0005-0000-0000-0000C0580000}"/>
    <cellStyle name="Normal 3 3 6 2 3 2 2 3 2 2" xfId="57746" xr:uid="{00000000-0005-0000-0000-0000C1580000}"/>
    <cellStyle name="Normal 3 3 6 2 3 2 2 3 3" xfId="37831" xr:uid="{00000000-0005-0000-0000-0000C2580000}"/>
    <cellStyle name="Normal 3 3 6 2 3 2 2 4" xfId="17997" xr:uid="{00000000-0005-0000-0000-0000C3580000}"/>
    <cellStyle name="Normal 3 3 6 2 3 2 2 4 2" xfId="49868" xr:uid="{00000000-0005-0000-0000-0000C4580000}"/>
    <cellStyle name="Normal 3 3 6 2 3 2 2 5" xfId="37828" xr:uid="{00000000-0005-0000-0000-0000C5580000}"/>
    <cellStyle name="Normal 3 3 6 2 3 2 3" xfId="5953" xr:uid="{00000000-0005-0000-0000-0000C6580000}"/>
    <cellStyle name="Normal 3 3 6 2 3 2 3 2" xfId="5954" xr:uid="{00000000-0005-0000-0000-0000C7580000}"/>
    <cellStyle name="Normal 3 3 6 2 3 2 3 2 2" xfId="29813" xr:uid="{00000000-0005-0000-0000-0000C8580000}"/>
    <cellStyle name="Normal 3 3 6 2 3 2 3 2 2 2" xfId="61684" xr:uid="{00000000-0005-0000-0000-0000C9580000}"/>
    <cellStyle name="Normal 3 3 6 2 3 2 3 2 3" xfId="37833" xr:uid="{00000000-0005-0000-0000-0000CA580000}"/>
    <cellStyle name="Normal 3 3 6 2 3 2 3 3" xfId="21935" xr:uid="{00000000-0005-0000-0000-0000CB580000}"/>
    <cellStyle name="Normal 3 3 6 2 3 2 3 3 2" xfId="53806" xr:uid="{00000000-0005-0000-0000-0000CC580000}"/>
    <cellStyle name="Normal 3 3 6 2 3 2 3 4" xfId="37832" xr:uid="{00000000-0005-0000-0000-0000CD580000}"/>
    <cellStyle name="Normal 3 3 6 2 3 2 4" xfId="5955" xr:uid="{00000000-0005-0000-0000-0000CE580000}"/>
    <cellStyle name="Normal 3 3 6 2 3 2 4 2" xfId="25874" xr:uid="{00000000-0005-0000-0000-0000CF580000}"/>
    <cellStyle name="Normal 3 3 6 2 3 2 4 2 2" xfId="57745" xr:uid="{00000000-0005-0000-0000-0000D0580000}"/>
    <cellStyle name="Normal 3 3 6 2 3 2 4 3" xfId="37834" xr:uid="{00000000-0005-0000-0000-0000D1580000}"/>
    <cellStyle name="Normal 3 3 6 2 3 2 5" xfId="17996" xr:uid="{00000000-0005-0000-0000-0000D2580000}"/>
    <cellStyle name="Normal 3 3 6 2 3 2 5 2" xfId="49867" xr:uid="{00000000-0005-0000-0000-0000D3580000}"/>
    <cellStyle name="Normal 3 3 6 2 3 2 6" xfId="37827" xr:uid="{00000000-0005-0000-0000-0000D4580000}"/>
    <cellStyle name="Normal 3 3 6 2 3 3" xfId="5956" xr:uid="{00000000-0005-0000-0000-0000D5580000}"/>
    <cellStyle name="Normal 3 3 6 2 3 3 2" xfId="5957" xr:uid="{00000000-0005-0000-0000-0000D6580000}"/>
    <cellStyle name="Normal 3 3 6 2 3 3 2 2" xfId="5958" xr:uid="{00000000-0005-0000-0000-0000D7580000}"/>
    <cellStyle name="Normal 3 3 6 2 3 3 2 2 2" xfId="29815" xr:uid="{00000000-0005-0000-0000-0000D8580000}"/>
    <cellStyle name="Normal 3 3 6 2 3 3 2 2 2 2" xfId="61686" xr:uid="{00000000-0005-0000-0000-0000D9580000}"/>
    <cellStyle name="Normal 3 3 6 2 3 3 2 2 3" xfId="37837" xr:uid="{00000000-0005-0000-0000-0000DA580000}"/>
    <cellStyle name="Normal 3 3 6 2 3 3 2 3" xfId="21937" xr:uid="{00000000-0005-0000-0000-0000DB580000}"/>
    <cellStyle name="Normal 3 3 6 2 3 3 2 3 2" xfId="53808" xr:uid="{00000000-0005-0000-0000-0000DC580000}"/>
    <cellStyle name="Normal 3 3 6 2 3 3 2 4" xfId="37836" xr:uid="{00000000-0005-0000-0000-0000DD580000}"/>
    <cellStyle name="Normal 3 3 6 2 3 3 3" xfId="5959" xr:uid="{00000000-0005-0000-0000-0000DE580000}"/>
    <cellStyle name="Normal 3 3 6 2 3 3 3 2" xfId="25876" xr:uid="{00000000-0005-0000-0000-0000DF580000}"/>
    <cellStyle name="Normal 3 3 6 2 3 3 3 2 2" xfId="57747" xr:uid="{00000000-0005-0000-0000-0000E0580000}"/>
    <cellStyle name="Normal 3 3 6 2 3 3 3 3" xfId="37838" xr:uid="{00000000-0005-0000-0000-0000E1580000}"/>
    <cellStyle name="Normal 3 3 6 2 3 3 4" xfId="17998" xr:uid="{00000000-0005-0000-0000-0000E2580000}"/>
    <cellStyle name="Normal 3 3 6 2 3 3 4 2" xfId="49869" xr:uid="{00000000-0005-0000-0000-0000E3580000}"/>
    <cellStyle name="Normal 3 3 6 2 3 3 5" xfId="37835" xr:uid="{00000000-0005-0000-0000-0000E4580000}"/>
    <cellStyle name="Normal 3 3 6 2 3 4" xfId="5960" xr:uid="{00000000-0005-0000-0000-0000E5580000}"/>
    <cellStyle name="Normal 3 3 6 2 3 4 2" xfId="5961" xr:uid="{00000000-0005-0000-0000-0000E6580000}"/>
    <cellStyle name="Normal 3 3 6 2 3 4 2 2" xfId="29812" xr:uid="{00000000-0005-0000-0000-0000E7580000}"/>
    <cellStyle name="Normal 3 3 6 2 3 4 2 2 2" xfId="61683" xr:uid="{00000000-0005-0000-0000-0000E8580000}"/>
    <cellStyle name="Normal 3 3 6 2 3 4 2 3" xfId="37840" xr:uid="{00000000-0005-0000-0000-0000E9580000}"/>
    <cellStyle name="Normal 3 3 6 2 3 4 3" xfId="21934" xr:uid="{00000000-0005-0000-0000-0000EA580000}"/>
    <cellStyle name="Normal 3 3 6 2 3 4 3 2" xfId="53805" xr:uid="{00000000-0005-0000-0000-0000EB580000}"/>
    <cellStyle name="Normal 3 3 6 2 3 4 4" xfId="37839" xr:uid="{00000000-0005-0000-0000-0000EC580000}"/>
    <cellStyle name="Normal 3 3 6 2 3 5" xfId="5962" xr:uid="{00000000-0005-0000-0000-0000ED580000}"/>
    <cellStyle name="Normal 3 3 6 2 3 5 2" xfId="25873" xr:uid="{00000000-0005-0000-0000-0000EE580000}"/>
    <cellStyle name="Normal 3 3 6 2 3 5 2 2" xfId="57744" xr:uid="{00000000-0005-0000-0000-0000EF580000}"/>
    <cellStyle name="Normal 3 3 6 2 3 5 3" xfId="37841" xr:uid="{00000000-0005-0000-0000-0000F0580000}"/>
    <cellStyle name="Normal 3 3 6 2 3 6" xfId="17995" xr:uid="{00000000-0005-0000-0000-0000F1580000}"/>
    <cellStyle name="Normal 3 3 6 2 3 6 2" xfId="49866" xr:uid="{00000000-0005-0000-0000-0000F2580000}"/>
    <cellStyle name="Normal 3 3 6 2 3 7" xfId="37826" xr:uid="{00000000-0005-0000-0000-0000F3580000}"/>
    <cellStyle name="Normal 3 3 6 2 4" xfId="5963" xr:uid="{00000000-0005-0000-0000-0000F4580000}"/>
    <cellStyle name="Normal 3 3 6 2 4 2" xfId="5964" xr:uid="{00000000-0005-0000-0000-0000F5580000}"/>
    <cellStyle name="Normal 3 3 6 2 4 2 2" xfId="5965" xr:uid="{00000000-0005-0000-0000-0000F6580000}"/>
    <cellStyle name="Normal 3 3 6 2 4 2 2 2" xfId="5966" xr:uid="{00000000-0005-0000-0000-0000F7580000}"/>
    <cellStyle name="Normal 3 3 6 2 4 2 2 2 2" xfId="29817" xr:uid="{00000000-0005-0000-0000-0000F8580000}"/>
    <cellStyle name="Normal 3 3 6 2 4 2 2 2 2 2" xfId="61688" xr:uid="{00000000-0005-0000-0000-0000F9580000}"/>
    <cellStyle name="Normal 3 3 6 2 4 2 2 2 3" xfId="37845" xr:uid="{00000000-0005-0000-0000-0000FA580000}"/>
    <cellStyle name="Normal 3 3 6 2 4 2 2 3" xfId="21939" xr:uid="{00000000-0005-0000-0000-0000FB580000}"/>
    <cellStyle name="Normal 3 3 6 2 4 2 2 3 2" xfId="53810" xr:uid="{00000000-0005-0000-0000-0000FC580000}"/>
    <cellStyle name="Normal 3 3 6 2 4 2 2 4" xfId="37844" xr:uid="{00000000-0005-0000-0000-0000FD580000}"/>
    <cellStyle name="Normal 3 3 6 2 4 2 3" xfId="5967" xr:uid="{00000000-0005-0000-0000-0000FE580000}"/>
    <cellStyle name="Normal 3 3 6 2 4 2 3 2" xfId="25878" xr:uid="{00000000-0005-0000-0000-0000FF580000}"/>
    <cellStyle name="Normal 3 3 6 2 4 2 3 2 2" xfId="57749" xr:uid="{00000000-0005-0000-0000-000000590000}"/>
    <cellStyle name="Normal 3 3 6 2 4 2 3 3" xfId="37846" xr:uid="{00000000-0005-0000-0000-000001590000}"/>
    <cellStyle name="Normal 3 3 6 2 4 2 4" xfId="18000" xr:uid="{00000000-0005-0000-0000-000002590000}"/>
    <cellStyle name="Normal 3 3 6 2 4 2 4 2" xfId="49871" xr:uid="{00000000-0005-0000-0000-000003590000}"/>
    <cellStyle name="Normal 3 3 6 2 4 2 5" xfId="37843" xr:uid="{00000000-0005-0000-0000-000004590000}"/>
    <cellStyle name="Normal 3 3 6 2 4 3" xfId="5968" xr:uid="{00000000-0005-0000-0000-000005590000}"/>
    <cellStyle name="Normal 3 3 6 2 4 3 2" xfId="5969" xr:uid="{00000000-0005-0000-0000-000006590000}"/>
    <cellStyle name="Normal 3 3 6 2 4 3 2 2" xfId="29816" xr:uid="{00000000-0005-0000-0000-000007590000}"/>
    <cellStyle name="Normal 3 3 6 2 4 3 2 2 2" xfId="61687" xr:uid="{00000000-0005-0000-0000-000008590000}"/>
    <cellStyle name="Normal 3 3 6 2 4 3 2 3" xfId="37848" xr:uid="{00000000-0005-0000-0000-000009590000}"/>
    <cellStyle name="Normal 3 3 6 2 4 3 3" xfId="21938" xr:uid="{00000000-0005-0000-0000-00000A590000}"/>
    <cellStyle name="Normal 3 3 6 2 4 3 3 2" xfId="53809" xr:uid="{00000000-0005-0000-0000-00000B590000}"/>
    <cellStyle name="Normal 3 3 6 2 4 3 4" xfId="37847" xr:uid="{00000000-0005-0000-0000-00000C590000}"/>
    <cellStyle name="Normal 3 3 6 2 4 4" xfId="5970" xr:uid="{00000000-0005-0000-0000-00000D590000}"/>
    <cellStyle name="Normal 3 3 6 2 4 4 2" xfId="25877" xr:uid="{00000000-0005-0000-0000-00000E590000}"/>
    <cellStyle name="Normal 3 3 6 2 4 4 2 2" xfId="57748" xr:uid="{00000000-0005-0000-0000-00000F590000}"/>
    <cellStyle name="Normal 3 3 6 2 4 4 3" xfId="37849" xr:uid="{00000000-0005-0000-0000-000010590000}"/>
    <cellStyle name="Normal 3 3 6 2 4 5" xfId="17999" xr:uid="{00000000-0005-0000-0000-000011590000}"/>
    <cellStyle name="Normal 3 3 6 2 4 5 2" xfId="49870" xr:uid="{00000000-0005-0000-0000-000012590000}"/>
    <cellStyle name="Normal 3 3 6 2 4 6" xfId="37842" xr:uid="{00000000-0005-0000-0000-000013590000}"/>
    <cellStyle name="Normal 3 3 6 2 5" xfId="5971" xr:uid="{00000000-0005-0000-0000-000014590000}"/>
    <cellStyle name="Normal 3 3 6 2 5 2" xfId="5972" xr:uid="{00000000-0005-0000-0000-000015590000}"/>
    <cellStyle name="Normal 3 3 6 2 5 2 2" xfId="5973" xr:uid="{00000000-0005-0000-0000-000016590000}"/>
    <cellStyle name="Normal 3 3 6 2 5 2 2 2" xfId="29818" xr:uid="{00000000-0005-0000-0000-000017590000}"/>
    <cellStyle name="Normal 3 3 6 2 5 2 2 2 2" xfId="61689" xr:uid="{00000000-0005-0000-0000-000018590000}"/>
    <cellStyle name="Normal 3 3 6 2 5 2 2 3" xfId="37852" xr:uid="{00000000-0005-0000-0000-000019590000}"/>
    <cellStyle name="Normal 3 3 6 2 5 2 3" xfId="21940" xr:uid="{00000000-0005-0000-0000-00001A590000}"/>
    <cellStyle name="Normal 3 3 6 2 5 2 3 2" xfId="53811" xr:uid="{00000000-0005-0000-0000-00001B590000}"/>
    <cellStyle name="Normal 3 3 6 2 5 2 4" xfId="37851" xr:uid="{00000000-0005-0000-0000-00001C590000}"/>
    <cellStyle name="Normal 3 3 6 2 5 3" xfId="5974" xr:uid="{00000000-0005-0000-0000-00001D590000}"/>
    <cellStyle name="Normal 3 3 6 2 5 3 2" xfId="25879" xr:uid="{00000000-0005-0000-0000-00001E590000}"/>
    <cellStyle name="Normal 3 3 6 2 5 3 2 2" xfId="57750" xr:uid="{00000000-0005-0000-0000-00001F590000}"/>
    <cellStyle name="Normal 3 3 6 2 5 3 3" xfId="37853" xr:uid="{00000000-0005-0000-0000-000020590000}"/>
    <cellStyle name="Normal 3 3 6 2 5 4" xfId="18001" xr:uid="{00000000-0005-0000-0000-000021590000}"/>
    <cellStyle name="Normal 3 3 6 2 5 4 2" xfId="49872" xr:uid="{00000000-0005-0000-0000-000022590000}"/>
    <cellStyle name="Normal 3 3 6 2 5 5" xfId="37850" xr:uid="{00000000-0005-0000-0000-000023590000}"/>
    <cellStyle name="Normal 3 3 6 2 6" xfId="5975" xr:uid="{00000000-0005-0000-0000-000024590000}"/>
    <cellStyle name="Normal 3 3 6 2 6 2" xfId="5976" xr:uid="{00000000-0005-0000-0000-000025590000}"/>
    <cellStyle name="Normal 3 3 6 2 6 2 2" xfId="28467" xr:uid="{00000000-0005-0000-0000-000026590000}"/>
    <cellStyle name="Normal 3 3 6 2 6 2 2 2" xfId="60338" xr:uid="{00000000-0005-0000-0000-000027590000}"/>
    <cellStyle name="Normal 3 3 6 2 6 2 3" xfId="37855" xr:uid="{00000000-0005-0000-0000-000028590000}"/>
    <cellStyle name="Normal 3 3 6 2 6 3" xfId="20589" xr:uid="{00000000-0005-0000-0000-000029590000}"/>
    <cellStyle name="Normal 3 3 6 2 6 3 2" xfId="52460" xr:uid="{00000000-0005-0000-0000-00002A590000}"/>
    <cellStyle name="Normal 3 3 6 2 6 4" xfId="37854" xr:uid="{00000000-0005-0000-0000-00002B590000}"/>
    <cellStyle name="Normal 3 3 6 2 7" xfId="5977" xr:uid="{00000000-0005-0000-0000-00002C590000}"/>
    <cellStyle name="Normal 3 3 6 2 7 2" xfId="24528" xr:uid="{00000000-0005-0000-0000-00002D590000}"/>
    <cellStyle name="Normal 3 3 6 2 7 2 2" xfId="56399" xr:uid="{00000000-0005-0000-0000-00002E590000}"/>
    <cellStyle name="Normal 3 3 6 2 7 3" xfId="37856" xr:uid="{00000000-0005-0000-0000-00002F590000}"/>
    <cellStyle name="Normal 3 3 6 2 8" xfId="16650" xr:uid="{00000000-0005-0000-0000-000030590000}"/>
    <cellStyle name="Normal 3 3 6 2 8 2" xfId="48521" xr:uid="{00000000-0005-0000-0000-000031590000}"/>
    <cellStyle name="Normal 3 3 6 2 9" xfId="37793" xr:uid="{00000000-0005-0000-0000-000032590000}"/>
    <cellStyle name="Normal 3 3 6 3" xfId="5978" xr:uid="{00000000-0005-0000-0000-000033590000}"/>
    <cellStyle name="Normal 3 3 6 3 2" xfId="5979" xr:uid="{00000000-0005-0000-0000-000034590000}"/>
    <cellStyle name="Normal 3 3 6 3 2 2" xfId="5980" xr:uid="{00000000-0005-0000-0000-000035590000}"/>
    <cellStyle name="Normal 3 3 6 3 2 2 2" xfId="5981" xr:uid="{00000000-0005-0000-0000-000036590000}"/>
    <cellStyle name="Normal 3 3 6 3 2 2 2 2" xfId="5982" xr:uid="{00000000-0005-0000-0000-000037590000}"/>
    <cellStyle name="Normal 3 3 6 3 2 2 2 2 2" xfId="5983" xr:uid="{00000000-0005-0000-0000-000038590000}"/>
    <cellStyle name="Normal 3 3 6 3 2 2 2 2 2 2" xfId="29822" xr:uid="{00000000-0005-0000-0000-000039590000}"/>
    <cellStyle name="Normal 3 3 6 3 2 2 2 2 2 2 2" xfId="61693" xr:uid="{00000000-0005-0000-0000-00003A590000}"/>
    <cellStyle name="Normal 3 3 6 3 2 2 2 2 2 3" xfId="37862" xr:uid="{00000000-0005-0000-0000-00003B590000}"/>
    <cellStyle name="Normal 3 3 6 3 2 2 2 2 3" xfId="21944" xr:uid="{00000000-0005-0000-0000-00003C590000}"/>
    <cellStyle name="Normal 3 3 6 3 2 2 2 2 3 2" xfId="53815" xr:uid="{00000000-0005-0000-0000-00003D590000}"/>
    <cellStyle name="Normal 3 3 6 3 2 2 2 2 4" xfId="37861" xr:uid="{00000000-0005-0000-0000-00003E590000}"/>
    <cellStyle name="Normal 3 3 6 3 2 2 2 3" xfId="5984" xr:uid="{00000000-0005-0000-0000-00003F590000}"/>
    <cellStyle name="Normal 3 3 6 3 2 2 2 3 2" xfId="25883" xr:uid="{00000000-0005-0000-0000-000040590000}"/>
    <cellStyle name="Normal 3 3 6 3 2 2 2 3 2 2" xfId="57754" xr:uid="{00000000-0005-0000-0000-000041590000}"/>
    <cellStyle name="Normal 3 3 6 3 2 2 2 3 3" xfId="37863" xr:uid="{00000000-0005-0000-0000-000042590000}"/>
    <cellStyle name="Normal 3 3 6 3 2 2 2 4" xfId="18005" xr:uid="{00000000-0005-0000-0000-000043590000}"/>
    <cellStyle name="Normal 3 3 6 3 2 2 2 4 2" xfId="49876" xr:uid="{00000000-0005-0000-0000-000044590000}"/>
    <cellStyle name="Normal 3 3 6 3 2 2 2 5" xfId="37860" xr:uid="{00000000-0005-0000-0000-000045590000}"/>
    <cellStyle name="Normal 3 3 6 3 2 2 3" xfId="5985" xr:uid="{00000000-0005-0000-0000-000046590000}"/>
    <cellStyle name="Normal 3 3 6 3 2 2 3 2" xfId="5986" xr:uid="{00000000-0005-0000-0000-000047590000}"/>
    <cellStyle name="Normal 3 3 6 3 2 2 3 2 2" xfId="29821" xr:uid="{00000000-0005-0000-0000-000048590000}"/>
    <cellStyle name="Normal 3 3 6 3 2 2 3 2 2 2" xfId="61692" xr:uid="{00000000-0005-0000-0000-000049590000}"/>
    <cellStyle name="Normal 3 3 6 3 2 2 3 2 3" xfId="37865" xr:uid="{00000000-0005-0000-0000-00004A590000}"/>
    <cellStyle name="Normal 3 3 6 3 2 2 3 3" xfId="21943" xr:uid="{00000000-0005-0000-0000-00004B590000}"/>
    <cellStyle name="Normal 3 3 6 3 2 2 3 3 2" xfId="53814" xr:uid="{00000000-0005-0000-0000-00004C590000}"/>
    <cellStyle name="Normal 3 3 6 3 2 2 3 4" xfId="37864" xr:uid="{00000000-0005-0000-0000-00004D590000}"/>
    <cellStyle name="Normal 3 3 6 3 2 2 4" xfId="5987" xr:uid="{00000000-0005-0000-0000-00004E590000}"/>
    <cellStyle name="Normal 3 3 6 3 2 2 4 2" xfId="25882" xr:uid="{00000000-0005-0000-0000-00004F590000}"/>
    <cellStyle name="Normal 3 3 6 3 2 2 4 2 2" xfId="57753" xr:uid="{00000000-0005-0000-0000-000050590000}"/>
    <cellStyle name="Normal 3 3 6 3 2 2 4 3" xfId="37866" xr:uid="{00000000-0005-0000-0000-000051590000}"/>
    <cellStyle name="Normal 3 3 6 3 2 2 5" xfId="18004" xr:uid="{00000000-0005-0000-0000-000052590000}"/>
    <cellStyle name="Normal 3 3 6 3 2 2 5 2" xfId="49875" xr:uid="{00000000-0005-0000-0000-000053590000}"/>
    <cellStyle name="Normal 3 3 6 3 2 2 6" xfId="37859" xr:uid="{00000000-0005-0000-0000-000054590000}"/>
    <cellStyle name="Normal 3 3 6 3 2 3" xfId="5988" xr:uid="{00000000-0005-0000-0000-000055590000}"/>
    <cellStyle name="Normal 3 3 6 3 2 3 2" xfId="5989" xr:uid="{00000000-0005-0000-0000-000056590000}"/>
    <cellStyle name="Normal 3 3 6 3 2 3 2 2" xfId="5990" xr:uid="{00000000-0005-0000-0000-000057590000}"/>
    <cellStyle name="Normal 3 3 6 3 2 3 2 2 2" xfId="29823" xr:uid="{00000000-0005-0000-0000-000058590000}"/>
    <cellStyle name="Normal 3 3 6 3 2 3 2 2 2 2" xfId="61694" xr:uid="{00000000-0005-0000-0000-000059590000}"/>
    <cellStyle name="Normal 3 3 6 3 2 3 2 2 3" xfId="37869" xr:uid="{00000000-0005-0000-0000-00005A590000}"/>
    <cellStyle name="Normal 3 3 6 3 2 3 2 3" xfId="21945" xr:uid="{00000000-0005-0000-0000-00005B590000}"/>
    <cellStyle name="Normal 3 3 6 3 2 3 2 3 2" xfId="53816" xr:uid="{00000000-0005-0000-0000-00005C590000}"/>
    <cellStyle name="Normal 3 3 6 3 2 3 2 4" xfId="37868" xr:uid="{00000000-0005-0000-0000-00005D590000}"/>
    <cellStyle name="Normal 3 3 6 3 2 3 3" xfId="5991" xr:uid="{00000000-0005-0000-0000-00005E590000}"/>
    <cellStyle name="Normal 3 3 6 3 2 3 3 2" xfId="25884" xr:uid="{00000000-0005-0000-0000-00005F590000}"/>
    <cellStyle name="Normal 3 3 6 3 2 3 3 2 2" xfId="57755" xr:uid="{00000000-0005-0000-0000-000060590000}"/>
    <cellStyle name="Normal 3 3 6 3 2 3 3 3" xfId="37870" xr:uid="{00000000-0005-0000-0000-000061590000}"/>
    <cellStyle name="Normal 3 3 6 3 2 3 4" xfId="18006" xr:uid="{00000000-0005-0000-0000-000062590000}"/>
    <cellStyle name="Normal 3 3 6 3 2 3 4 2" xfId="49877" xr:uid="{00000000-0005-0000-0000-000063590000}"/>
    <cellStyle name="Normal 3 3 6 3 2 3 5" xfId="37867" xr:uid="{00000000-0005-0000-0000-000064590000}"/>
    <cellStyle name="Normal 3 3 6 3 2 4" xfId="5992" xr:uid="{00000000-0005-0000-0000-000065590000}"/>
    <cellStyle name="Normal 3 3 6 3 2 4 2" xfId="5993" xr:uid="{00000000-0005-0000-0000-000066590000}"/>
    <cellStyle name="Normal 3 3 6 3 2 4 2 2" xfId="29820" xr:uid="{00000000-0005-0000-0000-000067590000}"/>
    <cellStyle name="Normal 3 3 6 3 2 4 2 2 2" xfId="61691" xr:uid="{00000000-0005-0000-0000-000068590000}"/>
    <cellStyle name="Normal 3 3 6 3 2 4 2 3" xfId="37872" xr:uid="{00000000-0005-0000-0000-000069590000}"/>
    <cellStyle name="Normal 3 3 6 3 2 4 3" xfId="21942" xr:uid="{00000000-0005-0000-0000-00006A590000}"/>
    <cellStyle name="Normal 3 3 6 3 2 4 3 2" xfId="53813" xr:uid="{00000000-0005-0000-0000-00006B590000}"/>
    <cellStyle name="Normal 3 3 6 3 2 4 4" xfId="37871" xr:uid="{00000000-0005-0000-0000-00006C590000}"/>
    <cellStyle name="Normal 3 3 6 3 2 5" xfId="5994" xr:uid="{00000000-0005-0000-0000-00006D590000}"/>
    <cellStyle name="Normal 3 3 6 3 2 5 2" xfId="25881" xr:uid="{00000000-0005-0000-0000-00006E590000}"/>
    <cellStyle name="Normal 3 3 6 3 2 5 2 2" xfId="57752" xr:uid="{00000000-0005-0000-0000-00006F590000}"/>
    <cellStyle name="Normal 3 3 6 3 2 5 3" xfId="37873" xr:uid="{00000000-0005-0000-0000-000070590000}"/>
    <cellStyle name="Normal 3 3 6 3 2 6" xfId="18003" xr:uid="{00000000-0005-0000-0000-000071590000}"/>
    <cellStyle name="Normal 3 3 6 3 2 6 2" xfId="49874" xr:uid="{00000000-0005-0000-0000-000072590000}"/>
    <cellStyle name="Normal 3 3 6 3 2 7" xfId="37858" xr:uid="{00000000-0005-0000-0000-000073590000}"/>
    <cellStyle name="Normal 3 3 6 3 3" xfId="5995" xr:uid="{00000000-0005-0000-0000-000074590000}"/>
    <cellStyle name="Normal 3 3 6 3 3 2" xfId="5996" xr:uid="{00000000-0005-0000-0000-000075590000}"/>
    <cellStyle name="Normal 3 3 6 3 3 2 2" xfId="5997" xr:uid="{00000000-0005-0000-0000-000076590000}"/>
    <cellStyle name="Normal 3 3 6 3 3 2 2 2" xfId="5998" xr:uid="{00000000-0005-0000-0000-000077590000}"/>
    <cellStyle name="Normal 3 3 6 3 3 2 2 2 2" xfId="29825" xr:uid="{00000000-0005-0000-0000-000078590000}"/>
    <cellStyle name="Normal 3 3 6 3 3 2 2 2 2 2" xfId="61696" xr:uid="{00000000-0005-0000-0000-000079590000}"/>
    <cellStyle name="Normal 3 3 6 3 3 2 2 2 3" xfId="37877" xr:uid="{00000000-0005-0000-0000-00007A590000}"/>
    <cellStyle name="Normal 3 3 6 3 3 2 2 3" xfId="21947" xr:uid="{00000000-0005-0000-0000-00007B590000}"/>
    <cellStyle name="Normal 3 3 6 3 3 2 2 3 2" xfId="53818" xr:uid="{00000000-0005-0000-0000-00007C590000}"/>
    <cellStyle name="Normal 3 3 6 3 3 2 2 4" xfId="37876" xr:uid="{00000000-0005-0000-0000-00007D590000}"/>
    <cellStyle name="Normal 3 3 6 3 3 2 3" xfId="5999" xr:uid="{00000000-0005-0000-0000-00007E590000}"/>
    <cellStyle name="Normal 3 3 6 3 3 2 3 2" xfId="25886" xr:uid="{00000000-0005-0000-0000-00007F590000}"/>
    <cellStyle name="Normal 3 3 6 3 3 2 3 2 2" xfId="57757" xr:uid="{00000000-0005-0000-0000-000080590000}"/>
    <cellStyle name="Normal 3 3 6 3 3 2 3 3" xfId="37878" xr:uid="{00000000-0005-0000-0000-000081590000}"/>
    <cellStyle name="Normal 3 3 6 3 3 2 4" xfId="18008" xr:uid="{00000000-0005-0000-0000-000082590000}"/>
    <cellStyle name="Normal 3 3 6 3 3 2 4 2" xfId="49879" xr:uid="{00000000-0005-0000-0000-000083590000}"/>
    <cellStyle name="Normal 3 3 6 3 3 2 5" xfId="37875" xr:uid="{00000000-0005-0000-0000-000084590000}"/>
    <cellStyle name="Normal 3 3 6 3 3 3" xfId="6000" xr:uid="{00000000-0005-0000-0000-000085590000}"/>
    <cellStyle name="Normal 3 3 6 3 3 3 2" xfId="6001" xr:uid="{00000000-0005-0000-0000-000086590000}"/>
    <cellStyle name="Normal 3 3 6 3 3 3 2 2" xfId="29824" xr:uid="{00000000-0005-0000-0000-000087590000}"/>
    <cellStyle name="Normal 3 3 6 3 3 3 2 2 2" xfId="61695" xr:uid="{00000000-0005-0000-0000-000088590000}"/>
    <cellStyle name="Normal 3 3 6 3 3 3 2 3" xfId="37880" xr:uid="{00000000-0005-0000-0000-000089590000}"/>
    <cellStyle name="Normal 3 3 6 3 3 3 3" xfId="21946" xr:uid="{00000000-0005-0000-0000-00008A590000}"/>
    <cellStyle name="Normal 3 3 6 3 3 3 3 2" xfId="53817" xr:uid="{00000000-0005-0000-0000-00008B590000}"/>
    <cellStyle name="Normal 3 3 6 3 3 3 4" xfId="37879" xr:uid="{00000000-0005-0000-0000-00008C590000}"/>
    <cellStyle name="Normal 3 3 6 3 3 4" xfId="6002" xr:uid="{00000000-0005-0000-0000-00008D590000}"/>
    <cellStyle name="Normal 3 3 6 3 3 4 2" xfId="25885" xr:uid="{00000000-0005-0000-0000-00008E590000}"/>
    <cellStyle name="Normal 3 3 6 3 3 4 2 2" xfId="57756" xr:uid="{00000000-0005-0000-0000-00008F590000}"/>
    <cellStyle name="Normal 3 3 6 3 3 4 3" xfId="37881" xr:uid="{00000000-0005-0000-0000-000090590000}"/>
    <cellStyle name="Normal 3 3 6 3 3 5" xfId="18007" xr:uid="{00000000-0005-0000-0000-000091590000}"/>
    <cellStyle name="Normal 3 3 6 3 3 5 2" xfId="49878" xr:uid="{00000000-0005-0000-0000-000092590000}"/>
    <cellStyle name="Normal 3 3 6 3 3 6" xfId="37874" xr:uid="{00000000-0005-0000-0000-000093590000}"/>
    <cellStyle name="Normal 3 3 6 3 4" xfId="6003" xr:uid="{00000000-0005-0000-0000-000094590000}"/>
    <cellStyle name="Normal 3 3 6 3 4 2" xfId="6004" xr:uid="{00000000-0005-0000-0000-000095590000}"/>
    <cellStyle name="Normal 3 3 6 3 4 2 2" xfId="6005" xr:uid="{00000000-0005-0000-0000-000096590000}"/>
    <cellStyle name="Normal 3 3 6 3 4 2 2 2" xfId="29826" xr:uid="{00000000-0005-0000-0000-000097590000}"/>
    <cellStyle name="Normal 3 3 6 3 4 2 2 2 2" xfId="61697" xr:uid="{00000000-0005-0000-0000-000098590000}"/>
    <cellStyle name="Normal 3 3 6 3 4 2 2 3" xfId="37884" xr:uid="{00000000-0005-0000-0000-000099590000}"/>
    <cellStyle name="Normal 3 3 6 3 4 2 3" xfId="21948" xr:uid="{00000000-0005-0000-0000-00009A590000}"/>
    <cellStyle name="Normal 3 3 6 3 4 2 3 2" xfId="53819" xr:uid="{00000000-0005-0000-0000-00009B590000}"/>
    <cellStyle name="Normal 3 3 6 3 4 2 4" xfId="37883" xr:uid="{00000000-0005-0000-0000-00009C590000}"/>
    <cellStyle name="Normal 3 3 6 3 4 3" xfId="6006" xr:uid="{00000000-0005-0000-0000-00009D590000}"/>
    <cellStyle name="Normal 3 3 6 3 4 3 2" xfId="25887" xr:uid="{00000000-0005-0000-0000-00009E590000}"/>
    <cellStyle name="Normal 3 3 6 3 4 3 2 2" xfId="57758" xr:uid="{00000000-0005-0000-0000-00009F590000}"/>
    <cellStyle name="Normal 3 3 6 3 4 3 3" xfId="37885" xr:uid="{00000000-0005-0000-0000-0000A0590000}"/>
    <cellStyle name="Normal 3 3 6 3 4 4" xfId="18009" xr:uid="{00000000-0005-0000-0000-0000A1590000}"/>
    <cellStyle name="Normal 3 3 6 3 4 4 2" xfId="49880" xr:uid="{00000000-0005-0000-0000-0000A2590000}"/>
    <cellStyle name="Normal 3 3 6 3 4 5" xfId="37882" xr:uid="{00000000-0005-0000-0000-0000A3590000}"/>
    <cellStyle name="Normal 3 3 6 3 5" xfId="6007" xr:uid="{00000000-0005-0000-0000-0000A4590000}"/>
    <cellStyle name="Normal 3 3 6 3 5 2" xfId="6008" xr:uid="{00000000-0005-0000-0000-0000A5590000}"/>
    <cellStyle name="Normal 3 3 6 3 5 2 2" xfId="29819" xr:uid="{00000000-0005-0000-0000-0000A6590000}"/>
    <cellStyle name="Normal 3 3 6 3 5 2 2 2" xfId="61690" xr:uid="{00000000-0005-0000-0000-0000A7590000}"/>
    <cellStyle name="Normal 3 3 6 3 5 2 3" xfId="37887" xr:uid="{00000000-0005-0000-0000-0000A8590000}"/>
    <cellStyle name="Normal 3 3 6 3 5 3" xfId="21941" xr:uid="{00000000-0005-0000-0000-0000A9590000}"/>
    <cellStyle name="Normal 3 3 6 3 5 3 2" xfId="53812" xr:uid="{00000000-0005-0000-0000-0000AA590000}"/>
    <cellStyle name="Normal 3 3 6 3 5 4" xfId="37886" xr:uid="{00000000-0005-0000-0000-0000AB590000}"/>
    <cellStyle name="Normal 3 3 6 3 6" xfId="6009" xr:uid="{00000000-0005-0000-0000-0000AC590000}"/>
    <cellStyle name="Normal 3 3 6 3 6 2" xfId="25880" xr:uid="{00000000-0005-0000-0000-0000AD590000}"/>
    <cellStyle name="Normal 3 3 6 3 6 2 2" xfId="57751" xr:uid="{00000000-0005-0000-0000-0000AE590000}"/>
    <cellStyle name="Normal 3 3 6 3 6 3" xfId="37888" xr:uid="{00000000-0005-0000-0000-0000AF590000}"/>
    <cellStyle name="Normal 3 3 6 3 7" xfId="18002" xr:uid="{00000000-0005-0000-0000-0000B0590000}"/>
    <cellStyle name="Normal 3 3 6 3 7 2" xfId="49873" xr:uid="{00000000-0005-0000-0000-0000B1590000}"/>
    <cellStyle name="Normal 3 3 6 3 8" xfId="37857" xr:uid="{00000000-0005-0000-0000-0000B2590000}"/>
    <cellStyle name="Normal 3 3 6 4" xfId="6010" xr:uid="{00000000-0005-0000-0000-0000B3590000}"/>
    <cellStyle name="Normal 3 3 6 4 2" xfId="6011" xr:uid="{00000000-0005-0000-0000-0000B4590000}"/>
    <cellStyle name="Normal 3 3 6 4 2 2" xfId="6012" xr:uid="{00000000-0005-0000-0000-0000B5590000}"/>
    <cellStyle name="Normal 3 3 6 4 2 2 2" xfId="6013" xr:uid="{00000000-0005-0000-0000-0000B6590000}"/>
    <cellStyle name="Normal 3 3 6 4 2 2 2 2" xfId="6014" xr:uid="{00000000-0005-0000-0000-0000B7590000}"/>
    <cellStyle name="Normal 3 3 6 4 2 2 2 2 2" xfId="29829" xr:uid="{00000000-0005-0000-0000-0000B8590000}"/>
    <cellStyle name="Normal 3 3 6 4 2 2 2 2 2 2" xfId="61700" xr:uid="{00000000-0005-0000-0000-0000B9590000}"/>
    <cellStyle name="Normal 3 3 6 4 2 2 2 2 3" xfId="37893" xr:uid="{00000000-0005-0000-0000-0000BA590000}"/>
    <cellStyle name="Normal 3 3 6 4 2 2 2 3" xfId="21951" xr:uid="{00000000-0005-0000-0000-0000BB590000}"/>
    <cellStyle name="Normal 3 3 6 4 2 2 2 3 2" xfId="53822" xr:uid="{00000000-0005-0000-0000-0000BC590000}"/>
    <cellStyle name="Normal 3 3 6 4 2 2 2 4" xfId="37892" xr:uid="{00000000-0005-0000-0000-0000BD590000}"/>
    <cellStyle name="Normal 3 3 6 4 2 2 3" xfId="6015" xr:uid="{00000000-0005-0000-0000-0000BE590000}"/>
    <cellStyle name="Normal 3 3 6 4 2 2 3 2" xfId="25890" xr:uid="{00000000-0005-0000-0000-0000BF590000}"/>
    <cellStyle name="Normal 3 3 6 4 2 2 3 2 2" xfId="57761" xr:uid="{00000000-0005-0000-0000-0000C0590000}"/>
    <cellStyle name="Normal 3 3 6 4 2 2 3 3" xfId="37894" xr:uid="{00000000-0005-0000-0000-0000C1590000}"/>
    <cellStyle name="Normal 3 3 6 4 2 2 4" xfId="18012" xr:uid="{00000000-0005-0000-0000-0000C2590000}"/>
    <cellStyle name="Normal 3 3 6 4 2 2 4 2" xfId="49883" xr:uid="{00000000-0005-0000-0000-0000C3590000}"/>
    <cellStyle name="Normal 3 3 6 4 2 2 5" xfId="37891" xr:uid="{00000000-0005-0000-0000-0000C4590000}"/>
    <cellStyle name="Normal 3 3 6 4 2 3" xfId="6016" xr:uid="{00000000-0005-0000-0000-0000C5590000}"/>
    <cellStyle name="Normal 3 3 6 4 2 3 2" xfId="6017" xr:uid="{00000000-0005-0000-0000-0000C6590000}"/>
    <cellStyle name="Normal 3 3 6 4 2 3 2 2" xfId="29828" xr:uid="{00000000-0005-0000-0000-0000C7590000}"/>
    <cellStyle name="Normal 3 3 6 4 2 3 2 2 2" xfId="61699" xr:uid="{00000000-0005-0000-0000-0000C8590000}"/>
    <cellStyle name="Normal 3 3 6 4 2 3 2 3" xfId="37896" xr:uid="{00000000-0005-0000-0000-0000C9590000}"/>
    <cellStyle name="Normal 3 3 6 4 2 3 3" xfId="21950" xr:uid="{00000000-0005-0000-0000-0000CA590000}"/>
    <cellStyle name="Normal 3 3 6 4 2 3 3 2" xfId="53821" xr:uid="{00000000-0005-0000-0000-0000CB590000}"/>
    <cellStyle name="Normal 3 3 6 4 2 3 4" xfId="37895" xr:uid="{00000000-0005-0000-0000-0000CC590000}"/>
    <cellStyle name="Normal 3 3 6 4 2 4" xfId="6018" xr:uid="{00000000-0005-0000-0000-0000CD590000}"/>
    <cellStyle name="Normal 3 3 6 4 2 4 2" xfId="25889" xr:uid="{00000000-0005-0000-0000-0000CE590000}"/>
    <cellStyle name="Normal 3 3 6 4 2 4 2 2" xfId="57760" xr:uid="{00000000-0005-0000-0000-0000CF590000}"/>
    <cellStyle name="Normal 3 3 6 4 2 4 3" xfId="37897" xr:uid="{00000000-0005-0000-0000-0000D0590000}"/>
    <cellStyle name="Normal 3 3 6 4 2 5" xfId="18011" xr:uid="{00000000-0005-0000-0000-0000D1590000}"/>
    <cellStyle name="Normal 3 3 6 4 2 5 2" xfId="49882" xr:uid="{00000000-0005-0000-0000-0000D2590000}"/>
    <cellStyle name="Normal 3 3 6 4 2 6" xfId="37890" xr:uid="{00000000-0005-0000-0000-0000D3590000}"/>
    <cellStyle name="Normal 3 3 6 4 3" xfId="6019" xr:uid="{00000000-0005-0000-0000-0000D4590000}"/>
    <cellStyle name="Normal 3 3 6 4 3 2" xfId="6020" xr:uid="{00000000-0005-0000-0000-0000D5590000}"/>
    <cellStyle name="Normal 3 3 6 4 3 2 2" xfId="6021" xr:uid="{00000000-0005-0000-0000-0000D6590000}"/>
    <cellStyle name="Normal 3 3 6 4 3 2 2 2" xfId="29830" xr:uid="{00000000-0005-0000-0000-0000D7590000}"/>
    <cellStyle name="Normal 3 3 6 4 3 2 2 2 2" xfId="61701" xr:uid="{00000000-0005-0000-0000-0000D8590000}"/>
    <cellStyle name="Normal 3 3 6 4 3 2 2 3" xfId="37900" xr:uid="{00000000-0005-0000-0000-0000D9590000}"/>
    <cellStyle name="Normal 3 3 6 4 3 2 3" xfId="21952" xr:uid="{00000000-0005-0000-0000-0000DA590000}"/>
    <cellStyle name="Normal 3 3 6 4 3 2 3 2" xfId="53823" xr:uid="{00000000-0005-0000-0000-0000DB590000}"/>
    <cellStyle name="Normal 3 3 6 4 3 2 4" xfId="37899" xr:uid="{00000000-0005-0000-0000-0000DC590000}"/>
    <cellStyle name="Normal 3 3 6 4 3 3" xfId="6022" xr:uid="{00000000-0005-0000-0000-0000DD590000}"/>
    <cellStyle name="Normal 3 3 6 4 3 3 2" xfId="25891" xr:uid="{00000000-0005-0000-0000-0000DE590000}"/>
    <cellStyle name="Normal 3 3 6 4 3 3 2 2" xfId="57762" xr:uid="{00000000-0005-0000-0000-0000DF590000}"/>
    <cellStyle name="Normal 3 3 6 4 3 3 3" xfId="37901" xr:uid="{00000000-0005-0000-0000-0000E0590000}"/>
    <cellStyle name="Normal 3 3 6 4 3 4" xfId="18013" xr:uid="{00000000-0005-0000-0000-0000E1590000}"/>
    <cellStyle name="Normal 3 3 6 4 3 4 2" xfId="49884" xr:uid="{00000000-0005-0000-0000-0000E2590000}"/>
    <cellStyle name="Normal 3 3 6 4 3 5" xfId="37898" xr:uid="{00000000-0005-0000-0000-0000E3590000}"/>
    <cellStyle name="Normal 3 3 6 4 4" xfId="6023" xr:uid="{00000000-0005-0000-0000-0000E4590000}"/>
    <cellStyle name="Normal 3 3 6 4 4 2" xfId="6024" xr:uid="{00000000-0005-0000-0000-0000E5590000}"/>
    <cellStyle name="Normal 3 3 6 4 4 2 2" xfId="29827" xr:uid="{00000000-0005-0000-0000-0000E6590000}"/>
    <cellStyle name="Normal 3 3 6 4 4 2 2 2" xfId="61698" xr:uid="{00000000-0005-0000-0000-0000E7590000}"/>
    <cellStyle name="Normal 3 3 6 4 4 2 3" xfId="37903" xr:uid="{00000000-0005-0000-0000-0000E8590000}"/>
    <cellStyle name="Normal 3 3 6 4 4 3" xfId="21949" xr:uid="{00000000-0005-0000-0000-0000E9590000}"/>
    <cellStyle name="Normal 3 3 6 4 4 3 2" xfId="53820" xr:uid="{00000000-0005-0000-0000-0000EA590000}"/>
    <cellStyle name="Normal 3 3 6 4 4 4" xfId="37902" xr:uid="{00000000-0005-0000-0000-0000EB590000}"/>
    <cellStyle name="Normal 3 3 6 4 5" xfId="6025" xr:uid="{00000000-0005-0000-0000-0000EC590000}"/>
    <cellStyle name="Normal 3 3 6 4 5 2" xfId="25888" xr:uid="{00000000-0005-0000-0000-0000ED590000}"/>
    <cellStyle name="Normal 3 3 6 4 5 2 2" xfId="57759" xr:uid="{00000000-0005-0000-0000-0000EE590000}"/>
    <cellStyle name="Normal 3 3 6 4 5 3" xfId="37904" xr:uid="{00000000-0005-0000-0000-0000EF590000}"/>
    <cellStyle name="Normal 3 3 6 4 6" xfId="18010" xr:uid="{00000000-0005-0000-0000-0000F0590000}"/>
    <cellStyle name="Normal 3 3 6 4 6 2" xfId="49881" xr:uid="{00000000-0005-0000-0000-0000F1590000}"/>
    <cellStyle name="Normal 3 3 6 4 7" xfId="37889" xr:uid="{00000000-0005-0000-0000-0000F2590000}"/>
    <cellStyle name="Normal 3 3 6 5" xfId="6026" xr:uid="{00000000-0005-0000-0000-0000F3590000}"/>
    <cellStyle name="Normal 3 3 6 5 2" xfId="6027" xr:uid="{00000000-0005-0000-0000-0000F4590000}"/>
    <cellStyle name="Normal 3 3 6 5 2 2" xfId="6028" xr:uid="{00000000-0005-0000-0000-0000F5590000}"/>
    <cellStyle name="Normal 3 3 6 5 2 2 2" xfId="6029" xr:uid="{00000000-0005-0000-0000-0000F6590000}"/>
    <cellStyle name="Normal 3 3 6 5 2 2 2 2" xfId="29832" xr:uid="{00000000-0005-0000-0000-0000F7590000}"/>
    <cellStyle name="Normal 3 3 6 5 2 2 2 2 2" xfId="61703" xr:uid="{00000000-0005-0000-0000-0000F8590000}"/>
    <cellStyle name="Normal 3 3 6 5 2 2 2 3" xfId="37908" xr:uid="{00000000-0005-0000-0000-0000F9590000}"/>
    <cellStyle name="Normal 3 3 6 5 2 2 3" xfId="21954" xr:uid="{00000000-0005-0000-0000-0000FA590000}"/>
    <cellStyle name="Normal 3 3 6 5 2 2 3 2" xfId="53825" xr:uid="{00000000-0005-0000-0000-0000FB590000}"/>
    <cellStyle name="Normal 3 3 6 5 2 2 4" xfId="37907" xr:uid="{00000000-0005-0000-0000-0000FC590000}"/>
    <cellStyle name="Normal 3 3 6 5 2 3" xfId="6030" xr:uid="{00000000-0005-0000-0000-0000FD590000}"/>
    <cellStyle name="Normal 3 3 6 5 2 3 2" xfId="25893" xr:uid="{00000000-0005-0000-0000-0000FE590000}"/>
    <cellStyle name="Normal 3 3 6 5 2 3 2 2" xfId="57764" xr:uid="{00000000-0005-0000-0000-0000FF590000}"/>
    <cellStyle name="Normal 3 3 6 5 2 3 3" xfId="37909" xr:uid="{00000000-0005-0000-0000-0000005A0000}"/>
    <cellStyle name="Normal 3 3 6 5 2 4" xfId="18015" xr:uid="{00000000-0005-0000-0000-0000015A0000}"/>
    <cellStyle name="Normal 3 3 6 5 2 4 2" xfId="49886" xr:uid="{00000000-0005-0000-0000-0000025A0000}"/>
    <cellStyle name="Normal 3 3 6 5 2 5" xfId="37906" xr:uid="{00000000-0005-0000-0000-0000035A0000}"/>
    <cellStyle name="Normal 3 3 6 5 3" xfId="6031" xr:uid="{00000000-0005-0000-0000-0000045A0000}"/>
    <cellStyle name="Normal 3 3 6 5 3 2" xfId="6032" xr:uid="{00000000-0005-0000-0000-0000055A0000}"/>
    <cellStyle name="Normal 3 3 6 5 3 2 2" xfId="29831" xr:uid="{00000000-0005-0000-0000-0000065A0000}"/>
    <cellStyle name="Normal 3 3 6 5 3 2 2 2" xfId="61702" xr:uid="{00000000-0005-0000-0000-0000075A0000}"/>
    <cellStyle name="Normal 3 3 6 5 3 2 3" xfId="37911" xr:uid="{00000000-0005-0000-0000-0000085A0000}"/>
    <cellStyle name="Normal 3 3 6 5 3 3" xfId="21953" xr:uid="{00000000-0005-0000-0000-0000095A0000}"/>
    <cellStyle name="Normal 3 3 6 5 3 3 2" xfId="53824" xr:uid="{00000000-0005-0000-0000-00000A5A0000}"/>
    <cellStyle name="Normal 3 3 6 5 3 4" xfId="37910" xr:uid="{00000000-0005-0000-0000-00000B5A0000}"/>
    <cellStyle name="Normal 3 3 6 5 4" xfId="6033" xr:uid="{00000000-0005-0000-0000-00000C5A0000}"/>
    <cellStyle name="Normal 3 3 6 5 4 2" xfId="25892" xr:uid="{00000000-0005-0000-0000-00000D5A0000}"/>
    <cellStyle name="Normal 3 3 6 5 4 2 2" xfId="57763" xr:uid="{00000000-0005-0000-0000-00000E5A0000}"/>
    <cellStyle name="Normal 3 3 6 5 4 3" xfId="37912" xr:uid="{00000000-0005-0000-0000-00000F5A0000}"/>
    <cellStyle name="Normal 3 3 6 5 5" xfId="18014" xr:uid="{00000000-0005-0000-0000-0000105A0000}"/>
    <cellStyle name="Normal 3 3 6 5 5 2" xfId="49885" xr:uid="{00000000-0005-0000-0000-0000115A0000}"/>
    <cellStyle name="Normal 3 3 6 5 6" xfId="37905" xr:uid="{00000000-0005-0000-0000-0000125A0000}"/>
    <cellStyle name="Normal 3 3 6 6" xfId="6034" xr:uid="{00000000-0005-0000-0000-0000135A0000}"/>
    <cellStyle name="Normal 3 3 6 6 2" xfId="6035" xr:uid="{00000000-0005-0000-0000-0000145A0000}"/>
    <cellStyle name="Normal 3 3 6 6 2 2" xfId="6036" xr:uid="{00000000-0005-0000-0000-0000155A0000}"/>
    <cellStyle name="Normal 3 3 6 6 2 2 2" xfId="29833" xr:uid="{00000000-0005-0000-0000-0000165A0000}"/>
    <cellStyle name="Normal 3 3 6 6 2 2 2 2" xfId="61704" xr:uid="{00000000-0005-0000-0000-0000175A0000}"/>
    <cellStyle name="Normal 3 3 6 6 2 2 3" xfId="37915" xr:uid="{00000000-0005-0000-0000-0000185A0000}"/>
    <cellStyle name="Normal 3 3 6 6 2 3" xfId="21955" xr:uid="{00000000-0005-0000-0000-0000195A0000}"/>
    <cellStyle name="Normal 3 3 6 6 2 3 2" xfId="53826" xr:uid="{00000000-0005-0000-0000-00001A5A0000}"/>
    <cellStyle name="Normal 3 3 6 6 2 4" xfId="37914" xr:uid="{00000000-0005-0000-0000-00001B5A0000}"/>
    <cellStyle name="Normal 3 3 6 6 3" xfId="6037" xr:uid="{00000000-0005-0000-0000-00001C5A0000}"/>
    <cellStyle name="Normal 3 3 6 6 3 2" xfId="25894" xr:uid="{00000000-0005-0000-0000-00001D5A0000}"/>
    <cellStyle name="Normal 3 3 6 6 3 2 2" xfId="57765" xr:uid="{00000000-0005-0000-0000-00001E5A0000}"/>
    <cellStyle name="Normal 3 3 6 6 3 3" xfId="37916" xr:uid="{00000000-0005-0000-0000-00001F5A0000}"/>
    <cellStyle name="Normal 3 3 6 6 4" xfId="18016" xr:uid="{00000000-0005-0000-0000-0000205A0000}"/>
    <cellStyle name="Normal 3 3 6 6 4 2" xfId="49887" xr:uid="{00000000-0005-0000-0000-0000215A0000}"/>
    <cellStyle name="Normal 3 3 6 6 5" xfId="37913" xr:uid="{00000000-0005-0000-0000-0000225A0000}"/>
    <cellStyle name="Normal 3 3 6 7" xfId="6038" xr:uid="{00000000-0005-0000-0000-0000235A0000}"/>
    <cellStyle name="Normal 3 3 6 7 2" xfId="6039" xr:uid="{00000000-0005-0000-0000-0000245A0000}"/>
    <cellStyle name="Normal 3 3 6 7 2 2" xfId="28344" xr:uid="{00000000-0005-0000-0000-0000255A0000}"/>
    <cellStyle name="Normal 3 3 6 7 2 2 2" xfId="60215" xr:uid="{00000000-0005-0000-0000-0000265A0000}"/>
    <cellStyle name="Normal 3 3 6 7 2 3" xfId="37918" xr:uid="{00000000-0005-0000-0000-0000275A0000}"/>
    <cellStyle name="Normal 3 3 6 7 3" xfId="20466" xr:uid="{00000000-0005-0000-0000-0000285A0000}"/>
    <cellStyle name="Normal 3 3 6 7 3 2" xfId="52337" xr:uid="{00000000-0005-0000-0000-0000295A0000}"/>
    <cellStyle name="Normal 3 3 6 7 4" xfId="37917" xr:uid="{00000000-0005-0000-0000-00002A5A0000}"/>
    <cellStyle name="Normal 3 3 6 8" xfId="6040" xr:uid="{00000000-0005-0000-0000-00002B5A0000}"/>
    <cellStyle name="Normal 3 3 6 8 2" xfId="24405" xr:uid="{00000000-0005-0000-0000-00002C5A0000}"/>
    <cellStyle name="Normal 3 3 6 8 2 2" xfId="56276" xr:uid="{00000000-0005-0000-0000-00002D5A0000}"/>
    <cellStyle name="Normal 3 3 6 8 3" xfId="37919" xr:uid="{00000000-0005-0000-0000-00002E5A0000}"/>
    <cellStyle name="Normal 3 3 6 9" xfId="16527" xr:uid="{00000000-0005-0000-0000-00002F5A0000}"/>
    <cellStyle name="Normal 3 3 6 9 2" xfId="48398" xr:uid="{00000000-0005-0000-0000-0000305A0000}"/>
    <cellStyle name="Normal 3 3 7" xfId="6041" xr:uid="{00000000-0005-0000-0000-0000315A0000}"/>
    <cellStyle name="Normal 3 3 7 2" xfId="6042" xr:uid="{00000000-0005-0000-0000-0000325A0000}"/>
    <cellStyle name="Normal 3 3 7 2 2" xfId="6043" xr:uid="{00000000-0005-0000-0000-0000335A0000}"/>
    <cellStyle name="Normal 3 3 7 2 2 2" xfId="6044" xr:uid="{00000000-0005-0000-0000-0000345A0000}"/>
    <cellStyle name="Normal 3 3 7 2 2 2 2" xfId="6045" xr:uid="{00000000-0005-0000-0000-0000355A0000}"/>
    <cellStyle name="Normal 3 3 7 2 2 2 2 2" xfId="6046" xr:uid="{00000000-0005-0000-0000-0000365A0000}"/>
    <cellStyle name="Normal 3 3 7 2 2 2 2 2 2" xfId="6047" xr:uid="{00000000-0005-0000-0000-0000375A0000}"/>
    <cellStyle name="Normal 3 3 7 2 2 2 2 2 2 2" xfId="29837" xr:uid="{00000000-0005-0000-0000-0000385A0000}"/>
    <cellStyle name="Normal 3 3 7 2 2 2 2 2 2 2 2" xfId="61708" xr:uid="{00000000-0005-0000-0000-0000395A0000}"/>
    <cellStyle name="Normal 3 3 7 2 2 2 2 2 2 3" xfId="37926" xr:uid="{00000000-0005-0000-0000-00003A5A0000}"/>
    <cellStyle name="Normal 3 3 7 2 2 2 2 2 3" xfId="21959" xr:uid="{00000000-0005-0000-0000-00003B5A0000}"/>
    <cellStyle name="Normal 3 3 7 2 2 2 2 2 3 2" xfId="53830" xr:uid="{00000000-0005-0000-0000-00003C5A0000}"/>
    <cellStyle name="Normal 3 3 7 2 2 2 2 2 4" xfId="37925" xr:uid="{00000000-0005-0000-0000-00003D5A0000}"/>
    <cellStyle name="Normal 3 3 7 2 2 2 2 3" xfId="6048" xr:uid="{00000000-0005-0000-0000-00003E5A0000}"/>
    <cellStyle name="Normal 3 3 7 2 2 2 2 3 2" xfId="25898" xr:uid="{00000000-0005-0000-0000-00003F5A0000}"/>
    <cellStyle name="Normal 3 3 7 2 2 2 2 3 2 2" xfId="57769" xr:uid="{00000000-0005-0000-0000-0000405A0000}"/>
    <cellStyle name="Normal 3 3 7 2 2 2 2 3 3" xfId="37927" xr:uid="{00000000-0005-0000-0000-0000415A0000}"/>
    <cellStyle name="Normal 3 3 7 2 2 2 2 4" xfId="18020" xr:uid="{00000000-0005-0000-0000-0000425A0000}"/>
    <cellStyle name="Normal 3 3 7 2 2 2 2 4 2" xfId="49891" xr:uid="{00000000-0005-0000-0000-0000435A0000}"/>
    <cellStyle name="Normal 3 3 7 2 2 2 2 5" xfId="37924" xr:uid="{00000000-0005-0000-0000-0000445A0000}"/>
    <cellStyle name="Normal 3 3 7 2 2 2 3" xfId="6049" xr:uid="{00000000-0005-0000-0000-0000455A0000}"/>
    <cellStyle name="Normal 3 3 7 2 2 2 3 2" xfId="6050" xr:uid="{00000000-0005-0000-0000-0000465A0000}"/>
    <cellStyle name="Normal 3 3 7 2 2 2 3 2 2" xfId="29836" xr:uid="{00000000-0005-0000-0000-0000475A0000}"/>
    <cellStyle name="Normal 3 3 7 2 2 2 3 2 2 2" xfId="61707" xr:uid="{00000000-0005-0000-0000-0000485A0000}"/>
    <cellStyle name="Normal 3 3 7 2 2 2 3 2 3" xfId="37929" xr:uid="{00000000-0005-0000-0000-0000495A0000}"/>
    <cellStyle name="Normal 3 3 7 2 2 2 3 3" xfId="21958" xr:uid="{00000000-0005-0000-0000-00004A5A0000}"/>
    <cellStyle name="Normal 3 3 7 2 2 2 3 3 2" xfId="53829" xr:uid="{00000000-0005-0000-0000-00004B5A0000}"/>
    <cellStyle name="Normal 3 3 7 2 2 2 3 4" xfId="37928" xr:uid="{00000000-0005-0000-0000-00004C5A0000}"/>
    <cellStyle name="Normal 3 3 7 2 2 2 4" xfId="6051" xr:uid="{00000000-0005-0000-0000-00004D5A0000}"/>
    <cellStyle name="Normal 3 3 7 2 2 2 4 2" xfId="25897" xr:uid="{00000000-0005-0000-0000-00004E5A0000}"/>
    <cellStyle name="Normal 3 3 7 2 2 2 4 2 2" xfId="57768" xr:uid="{00000000-0005-0000-0000-00004F5A0000}"/>
    <cellStyle name="Normal 3 3 7 2 2 2 4 3" xfId="37930" xr:uid="{00000000-0005-0000-0000-0000505A0000}"/>
    <cellStyle name="Normal 3 3 7 2 2 2 5" xfId="18019" xr:uid="{00000000-0005-0000-0000-0000515A0000}"/>
    <cellStyle name="Normal 3 3 7 2 2 2 5 2" xfId="49890" xr:uid="{00000000-0005-0000-0000-0000525A0000}"/>
    <cellStyle name="Normal 3 3 7 2 2 2 6" xfId="37923" xr:uid="{00000000-0005-0000-0000-0000535A0000}"/>
    <cellStyle name="Normal 3 3 7 2 2 3" xfId="6052" xr:uid="{00000000-0005-0000-0000-0000545A0000}"/>
    <cellStyle name="Normal 3 3 7 2 2 3 2" xfId="6053" xr:uid="{00000000-0005-0000-0000-0000555A0000}"/>
    <cellStyle name="Normal 3 3 7 2 2 3 2 2" xfId="6054" xr:uid="{00000000-0005-0000-0000-0000565A0000}"/>
    <cellStyle name="Normal 3 3 7 2 2 3 2 2 2" xfId="29838" xr:uid="{00000000-0005-0000-0000-0000575A0000}"/>
    <cellStyle name="Normal 3 3 7 2 2 3 2 2 2 2" xfId="61709" xr:uid="{00000000-0005-0000-0000-0000585A0000}"/>
    <cellStyle name="Normal 3 3 7 2 2 3 2 2 3" xfId="37933" xr:uid="{00000000-0005-0000-0000-0000595A0000}"/>
    <cellStyle name="Normal 3 3 7 2 2 3 2 3" xfId="21960" xr:uid="{00000000-0005-0000-0000-00005A5A0000}"/>
    <cellStyle name="Normal 3 3 7 2 2 3 2 3 2" xfId="53831" xr:uid="{00000000-0005-0000-0000-00005B5A0000}"/>
    <cellStyle name="Normal 3 3 7 2 2 3 2 4" xfId="37932" xr:uid="{00000000-0005-0000-0000-00005C5A0000}"/>
    <cellStyle name="Normal 3 3 7 2 2 3 3" xfId="6055" xr:uid="{00000000-0005-0000-0000-00005D5A0000}"/>
    <cellStyle name="Normal 3 3 7 2 2 3 3 2" xfId="25899" xr:uid="{00000000-0005-0000-0000-00005E5A0000}"/>
    <cellStyle name="Normal 3 3 7 2 2 3 3 2 2" xfId="57770" xr:uid="{00000000-0005-0000-0000-00005F5A0000}"/>
    <cellStyle name="Normal 3 3 7 2 2 3 3 3" xfId="37934" xr:uid="{00000000-0005-0000-0000-0000605A0000}"/>
    <cellStyle name="Normal 3 3 7 2 2 3 4" xfId="18021" xr:uid="{00000000-0005-0000-0000-0000615A0000}"/>
    <cellStyle name="Normal 3 3 7 2 2 3 4 2" xfId="49892" xr:uid="{00000000-0005-0000-0000-0000625A0000}"/>
    <cellStyle name="Normal 3 3 7 2 2 3 5" xfId="37931" xr:uid="{00000000-0005-0000-0000-0000635A0000}"/>
    <cellStyle name="Normal 3 3 7 2 2 4" xfId="6056" xr:uid="{00000000-0005-0000-0000-0000645A0000}"/>
    <cellStyle name="Normal 3 3 7 2 2 4 2" xfId="6057" xr:uid="{00000000-0005-0000-0000-0000655A0000}"/>
    <cellStyle name="Normal 3 3 7 2 2 4 2 2" xfId="29835" xr:uid="{00000000-0005-0000-0000-0000665A0000}"/>
    <cellStyle name="Normal 3 3 7 2 2 4 2 2 2" xfId="61706" xr:uid="{00000000-0005-0000-0000-0000675A0000}"/>
    <cellStyle name="Normal 3 3 7 2 2 4 2 3" xfId="37936" xr:uid="{00000000-0005-0000-0000-0000685A0000}"/>
    <cellStyle name="Normal 3 3 7 2 2 4 3" xfId="21957" xr:uid="{00000000-0005-0000-0000-0000695A0000}"/>
    <cellStyle name="Normal 3 3 7 2 2 4 3 2" xfId="53828" xr:uid="{00000000-0005-0000-0000-00006A5A0000}"/>
    <cellStyle name="Normal 3 3 7 2 2 4 4" xfId="37935" xr:uid="{00000000-0005-0000-0000-00006B5A0000}"/>
    <cellStyle name="Normal 3 3 7 2 2 5" xfId="6058" xr:uid="{00000000-0005-0000-0000-00006C5A0000}"/>
    <cellStyle name="Normal 3 3 7 2 2 5 2" xfId="25896" xr:uid="{00000000-0005-0000-0000-00006D5A0000}"/>
    <cellStyle name="Normal 3 3 7 2 2 5 2 2" xfId="57767" xr:uid="{00000000-0005-0000-0000-00006E5A0000}"/>
    <cellStyle name="Normal 3 3 7 2 2 5 3" xfId="37937" xr:uid="{00000000-0005-0000-0000-00006F5A0000}"/>
    <cellStyle name="Normal 3 3 7 2 2 6" xfId="18018" xr:uid="{00000000-0005-0000-0000-0000705A0000}"/>
    <cellStyle name="Normal 3 3 7 2 2 6 2" xfId="49889" xr:uid="{00000000-0005-0000-0000-0000715A0000}"/>
    <cellStyle name="Normal 3 3 7 2 2 7" xfId="37922" xr:uid="{00000000-0005-0000-0000-0000725A0000}"/>
    <cellStyle name="Normal 3 3 7 2 3" xfId="6059" xr:uid="{00000000-0005-0000-0000-0000735A0000}"/>
    <cellStyle name="Normal 3 3 7 2 3 2" xfId="6060" xr:uid="{00000000-0005-0000-0000-0000745A0000}"/>
    <cellStyle name="Normal 3 3 7 2 3 2 2" xfId="6061" xr:uid="{00000000-0005-0000-0000-0000755A0000}"/>
    <cellStyle name="Normal 3 3 7 2 3 2 2 2" xfId="6062" xr:uid="{00000000-0005-0000-0000-0000765A0000}"/>
    <cellStyle name="Normal 3 3 7 2 3 2 2 2 2" xfId="29840" xr:uid="{00000000-0005-0000-0000-0000775A0000}"/>
    <cellStyle name="Normal 3 3 7 2 3 2 2 2 2 2" xfId="61711" xr:uid="{00000000-0005-0000-0000-0000785A0000}"/>
    <cellStyle name="Normal 3 3 7 2 3 2 2 2 3" xfId="37941" xr:uid="{00000000-0005-0000-0000-0000795A0000}"/>
    <cellStyle name="Normal 3 3 7 2 3 2 2 3" xfId="21962" xr:uid="{00000000-0005-0000-0000-00007A5A0000}"/>
    <cellStyle name="Normal 3 3 7 2 3 2 2 3 2" xfId="53833" xr:uid="{00000000-0005-0000-0000-00007B5A0000}"/>
    <cellStyle name="Normal 3 3 7 2 3 2 2 4" xfId="37940" xr:uid="{00000000-0005-0000-0000-00007C5A0000}"/>
    <cellStyle name="Normal 3 3 7 2 3 2 3" xfId="6063" xr:uid="{00000000-0005-0000-0000-00007D5A0000}"/>
    <cellStyle name="Normal 3 3 7 2 3 2 3 2" xfId="25901" xr:uid="{00000000-0005-0000-0000-00007E5A0000}"/>
    <cellStyle name="Normal 3 3 7 2 3 2 3 2 2" xfId="57772" xr:uid="{00000000-0005-0000-0000-00007F5A0000}"/>
    <cellStyle name="Normal 3 3 7 2 3 2 3 3" xfId="37942" xr:uid="{00000000-0005-0000-0000-0000805A0000}"/>
    <cellStyle name="Normal 3 3 7 2 3 2 4" xfId="18023" xr:uid="{00000000-0005-0000-0000-0000815A0000}"/>
    <cellStyle name="Normal 3 3 7 2 3 2 4 2" xfId="49894" xr:uid="{00000000-0005-0000-0000-0000825A0000}"/>
    <cellStyle name="Normal 3 3 7 2 3 2 5" xfId="37939" xr:uid="{00000000-0005-0000-0000-0000835A0000}"/>
    <cellStyle name="Normal 3 3 7 2 3 3" xfId="6064" xr:uid="{00000000-0005-0000-0000-0000845A0000}"/>
    <cellStyle name="Normal 3 3 7 2 3 3 2" xfId="6065" xr:uid="{00000000-0005-0000-0000-0000855A0000}"/>
    <cellStyle name="Normal 3 3 7 2 3 3 2 2" xfId="29839" xr:uid="{00000000-0005-0000-0000-0000865A0000}"/>
    <cellStyle name="Normal 3 3 7 2 3 3 2 2 2" xfId="61710" xr:uid="{00000000-0005-0000-0000-0000875A0000}"/>
    <cellStyle name="Normal 3 3 7 2 3 3 2 3" xfId="37944" xr:uid="{00000000-0005-0000-0000-0000885A0000}"/>
    <cellStyle name="Normal 3 3 7 2 3 3 3" xfId="21961" xr:uid="{00000000-0005-0000-0000-0000895A0000}"/>
    <cellStyle name="Normal 3 3 7 2 3 3 3 2" xfId="53832" xr:uid="{00000000-0005-0000-0000-00008A5A0000}"/>
    <cellStyle name="Normal 3 3 7 2 3 3 4" xfId="37943" xr:uid="{00000000-0005-0000-0000-00008B5A0000}"/>
    <cellStyle name="Normal 3 3 7 2 3 4" xfId="6066" xr:uid="{00000000-0005-0000-0000-00008C5A0000}"/>
    <cellStyle name="Normal 3 3 7 2 3 4 2" xfId="25900" xr:uid="{00000000-0005-0000-0000-00008D5A0000}"/>
    <cellStyle name="Normal 3 3 7 2 3 4 2 2" xfId="57771" xr:uid="{00000000-0005-0000-0000-00008E5A0000}"/>
    <cellStyle name="Normal 3 3 7 2 3 4 3" xfId="37945" xr:uid="{00000000-0005-0000-0000-00008F5A0000}"/>
    <cellStyle name="Normal 3 3 7 2 3 5" xfId="18022" xr:uid="{00000000-0005-0000-0000-0000905A0000}"/>
    <cellStyle name="Normal 3 3 7 2 3 5 2" xfId="49893" xr:uid="{00000000-0005-0000-0000-0000915A0000}"/>
    <cellStyle name="Normal 3 3 7 2 3 6" xfId="37938" xr:uid="{00000000-0005-0000-0000-0000925A0000}"/>
    <cellStyle name="Normal 3 3 7 2 4" xfId="6067" xr:uid="{00000000-0005-0000-0000-0000935A0000}"/>
    <cellStyle name="Normal 3 3 7 2 4 2" xfId="6068" xr:uid="{00000000-0005-0000-0000-0000945A0000}"/>
    <cellStyle name="Normal 3 3 7 2 4 2 2" xfId="6069" xr:uid="{00000000-0005-0000-0000-0000955A0000}"/>
    <cellStyle name="Normal 3 3 7 2 4 2 2 2" xfId="29841" xr:uid="{00000000-0005-0000-0000-0000965A0000}"/>
    <cellStyle name="Normal 3 3 7 2 4 2 2 2 2" xfId="61712" xr:uid="{00000000-0005-0000-0000-0000975A0000}"/>
    <cellStyle name="Normal 3 3 7 2 4 2 2 3" xfId="37948" xr:uid="{00000000-0005-0000-0000-0000985A0000}"/>
    <cellStyle name="Normal 3 3 7 2 4 2 3" xfId="21963" xr:uid="{00000000-0005-0000-0000-0000995A0000}"/>
    <cellStyle name="Normal 3 3 7 2 4 2 3 2" xfId="53834" xr:uid="{00000000-0005-0000-0000-00009A5A0000}"/>
    <cellStyle name="Normal 3 3 7 2 4 2 4" xfId="37947" xr:uid="{00000000-0005-0000-0000-00009B5A0000}"/>
    <cellStyle name="Normal 3 3 7 2 4 3" xfId="6070" xr:uid="{00000000-0005-0000-0000-00009C5A0000}"/>
    <cellStyle name="Normal 3 3 7 2 4 3 2" xfId="25902" xr:uid="{00000000-0005-0000-0000-00009D5A0000}"/>
    <cellStyle name="Normal 3 3 7 2 4 3 2 2" xfId="57773" xr:uid="{00000000-0005-0000-0000-00009E5A0000}"/>
    <cellStyle name="Normal 3 3 7 2 4 3 3" xfId="37949" xr:uid="{00000000-0005-0000-0000-00009F5A0000}"/>
    <cellStyle name="Normal 3 3 7 2 4 4" xfId="18024" xr:uid="{00000000-0005-0000-0000-0000A05A0000}"/>
    <cellStyle name="Normal 3 3 7 2 4 4 2" xfId="49895" xr:uid="{00000000-0005-0000-0000-0000A15A0000}"/>
    <cellStyle name="Normal 3 3 7 2 4 5" xfId="37946" xr:uid="{00000000-0005-0000-0000-0000A25A0000}"/>
    <cellStyle name="Normal 3 3 7 2 5" xfId="6071" xr:uid="{00000000-0005-0000-0000-0000A35A0000}"/>
    <cellStyle name="Normal 3 3 7 2 5 2" xfId="6072" xr:uid="{00000000-0005-0000-0000-0000A45A0000}"/>
    <cellStyle name="Normal 3 3 7 2 5 2 2" xfId="29834" xr:uid="{00000000-0005-0000-0000-0000A55A0000}"/>
    <cellStyle name="Normal 3 3 7 2 5 2 2 2" xfId="61705" xr:uid="{00000000-0005-0000-0000-0000A65A0000}"/>
    <cellStyle name="Normal 3 3 7 2 5 2 3" xfId="37951" xr:uid="{00000000-0005-0000-0000-0000A75A0000}"/>
    <cellStyle name="Normal 3 3 7 2 5 3" xfId="21956" xr:uid="{00000000-0005-0000-0000-0000A85A0000}"/>
    <cellStyle name="Normal 3 3 7 2 5 3 2" xfId="53827" xr:uid="{00000000-0005-0000-0000-0000A95A0000}"/>
    <cellStyle name="Normal 3 3 7 2 5 4" xfId="37950" xr:uid="{00000000-0005-0000-0000-0000AA5A0000}"/>
    <cellStyle name="Normal 3 3 7 2 6" xfId="6073" xr:uid="{00000000-0005-0000-0000-0000AB5A0000}"/>
    <cellStyle name="Normal 3 3 7 2 6 2" xfId="25895" xr:uid="{00000000-0005-0000-0000-0000AC5A0000}"/>
    <cellStyle name="Normal 3 3 7 2 6 2 2" xfId="57766" xr:uid="{00000000-0005-0000-0000-0000AD5A0000}"/>
    <cellStyle name="Normal 3 3 7 2 6 3" xfId="37952" xr:uid="{00000000-0005-0000-0000-0000AE5A0000}"/>
    <cellStyle name="Normal 3 3 7 2 7" xfId="18017" xr:uid="{00000000-0005-0000-0000-0000AF5A0000}"/>
    <cellStyle name="Normal 3 3 7 2 7 2" xfId="49888" xr:uid="{00000000-0005-0000-0000-0000B05A0000}"/>
    <cellStyle name="Normal 3 3 7 2 8" xfId="37921" xr:uid="{00000000-0005-0000-0000-0000B15A0000}"/>
    <cellStyle name="Normal 3 3 7 3" xfId="6074" xr:uid="{00000000-0005-0000-0000-0000B25A0000}"/>
    <cellStyle name="Normal 3 3 7 3 2" xfId="6075" xr:uid="{00000000-0005-0000-0000-0000B35A0000}"/>
    <cellStyle name="Normal 3 3 7 3 2 2" xfId="6076" xr:uid="{00000000-0005-0000-0000-0000B45A0000}"/>
    <cellStyle name="Normal 3 3 7 3 2 2 2" xfId="6077" xr:uid="{00000000-0005-0000-0000-0000B55A0000}"/>
    <cellStyle name="Normal 3 3 7 3 2 2 2 2" xfId="6078" xr:uid="{00000000-0005-0000-0000-0000B65A0000}"/>
    <cellStyle name="Normal 3 3 7 3 2 2 2 2 2" xfId="29844" xr:uid="{00000000-0005-0000-0000-0000B75A0000}"/>
    <cellStyle name="Normal 3 3 7 3 2 2 2 2 2 2" xfId="61715" xr:uid="{00000000-0005-0000-0000-0000B85A0000}"/>
    <cellStyle name="Normal 3 3 7 3 2 2 2 2 3" xfId="37957" xr:uid="{00000000-0005-0000-0000-0000B95A0000}"/>
    <cellStyle name="Normal 3 3 7 3 2 2 2 3" xfId="21966" xr:uid="{00000000-0005-0000-0000-0000BA5A0000}"/>
    <cellStyle name="Normal 3 3 7 3 2 2 2 3 2" xfId="53837" xr:uid="{00000000-0005-0000-0000-0000BB5A0000}"/>
    <cellStyle name="Normal 3 3 7 3 2 2 2 4" xfId="37956" xr:uid="{00000000-0005-0000-0000-0000BC5A0000}"/>
    <cellStyle name="Normal 3 3 7 3 2 2 3" xfId="6079" xr:uid="{00000000-0005-0000-0000-0000BD5A0000}"/>
    <cellStyle name="Normal 3 3 7 3 2 2 3 2" xfId="25905" xr:uid="{00000000-0005-0000-0000-0000BE5A0000}"/>
    <cellStyle name="Normal 3 3 7 3 2 2 3 2 2" xfId="57776" xr:uid="{00000000-0005-0000-0000-0000BF5A0000}"/>
    <cellStyle name="Normal 3 3 7 3 2 2 3 3" xfId="37958" xr:uid="{00000000-0005-0000-0000-0000C05A0000}"/>
    <cellStyle name="Normal 3 3 7 3 2 2 4" xfId="18027" xr:uid="{00000000-0005-0000-0000-0000C15A0000}"/>
    <cellStyle name="Normal 3 3 7 3 2 2 4 2" xfId="49898" xr:uid="{00000000-0005-0000-0000-0000C25A0000}"/>
    <cellStyle name="Normal 3 3 7 3 2 2 5" xfId="37955" xr:uid="{00000000-0005-0000-0000-0000C35A0000}"/>
    <cellStyle name="Normal 3 3 7 3 2 3" xfId="6080" xr:uid="{00000000-0005-0000-0000-0000C45A0000}"/>
    <cellStyle name="Normal 3 3 7 3 2 3 2" xfId="6081" xr:uid="{00000000-0005-0000-0000-0000C55A0000}"/>
    <cellStyle name="Normal 3 3 7 3 2 3 2 2" xfId="29843" xr:uid="{00000000-0005-0000-0000-0000C65A0000}"/>
    <cellStyle name="Normal 3 3 7 3 2 3 2 2 2" xfId="61714" xr:uid="{00000000-0005-0000-0000-0000C75A0000}"/>
    <cellStyle name="Normal 3 3 7 3 2 3 2 3" xfId="37960" xr:uid="{00000000-0005-0000-0000-0000C85A0000}"/>
    <cellStyle name="Normal 3 3 7 3 2 3 3" xfId="21965" xr:uid="{00000000-0005-0000-0000-0000C95A0000}"/>
    <cellStyle name="Normal 3 3 7 3 2 3 3 2" xfId="53836" xr:uid="{00000000-0005-0000-0000-0000CA5A0000}"/>
    <cellStyle name="Normal 3 3 7 3 2 3 4" xfId="37959" xr:uid="{00000000-0005-0000-0000-0000CB5A0000}"/>
    <cellStyle name="Normal 3 3 7 3 2 4" xfId="6082" xr:uid="{00000000-0005-0000-0000-0000CC5A0000}"/>
    <cellStyle name="Normal 3 3 7 3 2 4 2" xfId="25904" xr:uid="{00000000-0005-0000-0000-0000CD5A0000}"/>
    <cellStyle name="Normal 3 3 7 3 2 4 2 2" xfId="57775" xr:uid="{00000000-0005-0000-0000-0000CE5A0000}"/>
    <cellStyle name="Normal 3 3 7 3 2 4 3" xfId="37961" xr:uid="{00000000-0005-0000-0000-0000CF5A0000}"/>
    <cellStyle name="Normal 3 3 7 3 2 5" xfId="18026" xr:uid="{00000000-0005-0000-0000-0000D05A0000}"/>
    <cellStyle name="Normal 3 3 7 3 2 5 2" xfId="49897" xr:uid="{00000000-0005-0000-0000-0000D15A0000}"/>
    <cellStyle name="Normal 3 3 7 3 2 6" xfId="37954" xr:uid="{00000000-0005-0000-0000-0000D25A0000}"/>
    <cellStyle name="Normal 3 3 7 3 3" xfId="6083" xr:uid="{00000000-0005-0000-0000-0000D35A0000}"/>
    <cellStyle name="Normal 3 3 7 3 3 2" xfId="6084" xr:uid="{00000000-0005-0000-0000-0000D45A0000}"/>
    <cellStyle name="Normal 3 3 7 3 3 2 2" xfId="6085" xr:uid="{00000000-0005-0000-0000-0000D55A0000}"/>
    <cellStyle name="Normal 3 3 7 3 3 2 2 2" xfId="29845" xr:uid="{00000000-0005-0000-0000-0000D65A0000}"/>
    <cellStyle name="Normal 3 3 7 3 3 2 2 2 2" xfId="61716" xr:uid="{00000000-0005-0000-0000-0000D75A0000}"/>
    <cellStyle name="Normal 3 3 7 3 3 2 2 3" xfId="37964" xr:uid="{00000000-0005-0000-0000-0000D85A0000}"/>
    <cellStyle name="Normal 3 3 7 3 3 2 3" xfId="21967" xr:uid="{00000000-0005-0000-0000-0000D95A0000}"/>
    <cellStyle name="Normal 3 3 7 3 3 2 3 2" xfId="53838" xr:uid="{00000000-0005-0000-0000-0000DA5A0000}"/>
    <cellStyle name="Normal 3 3 7 3 3 2 4" xfId="37963" xr:uid="{00000000-0005-0000-0000-0000DB5A0000}"/>
    <cellStyle name="Normal 3 3 7 3 3 3" xfId="6086" xr:uid="{00000000-0005-0000-0000-0000DC5A0000}"/>
    <cellStyle name="Normal 3 3 7 3 3 3 2" xfId="25906" xr:uid="{00000000-0005-0000-0000-0000DD5A0000}"/>
    <cellStyle name="Normal 3 3 7 3 3 3 2 2" xfId="57777" xr:uid="{00000000-0005-0000-0000-0000DE5A0000}"/>
    <cellStyle name="Normal 3 3 7 3 3 3 3" xfId="37965" xr:uid="{00000000-0005-0000-0000-0000DF5A0000}"/>
    <cellStyle name="Normal 3 3 7 3 3 4" xfId="18028" xr:uid="{00000000-0005-0000-0000-0000E05A0000}"/>
    <cellStyle name="Normal 3 3 7 3 3 4 2" xfId="49899" xr:uid="{00000000-0005-0000-0000-0000E15A0000}"/>
    <cellStyle name="Normal 3 3 7 3 3 5" xfId="37962" xr:uid="{00000000-0005-0000-0000-0000E25A0000}"/>
    <cellStyle name="Normal 3 3 7 3 4" xfId="6087" xr:uid="{00000000-0005-0000-0000-0000E35A0000}"/>
    <cellStyle name="Normal 3 3 7 3 4 2" xfId="6088" xr:uid="{00000000-0005-0000-0000-0000E45A0000}"/>
    <cellStyle name="Normal 3 3 7 3 4 2 2" xfId="29842" xr:uid="{00000000-0005-0000-0000-0000E55A0000}"/>
    <cellStyle name="Normal 3 3 7 3 4 2 2 2" xfId="61713" xr:uid="{00000000-0005-0000-0000-0000E65A0000}"/>
    <cellStyle name="Normal 3 3 7 3 4 2 3" xfId="37967" xr:uid="{00000000-0005-0000-0000-0000E75A0000}"/>
    <cellStyle name="Normal 3 3 7 3 4 3" xfId="21964" xr:uid="{00000000-0005-0000-0000-0000E85A0000}"/>
    <cellStyle name="Normal 3 3 7 3 4 3 2" xfId="53835" xr:uid="{00000000-0005-0000-0000-0000E95A0000}"/>
    <cellStyle name="Normal 3 3 7 3 4 4" xfId="37966" xr:uid="{00000000-0005-0000-0000-0000EA5A0000}"/>
    <cellStyle name="Normal 3 3 7 3 5" xfId="6089" xr:uid="{00000000-0005-0000-0000-0000EB5A0000}"/>
    <cellStyle name="Normal 3 3 7 3 5 2" xfId="25903" xr:uid="{00000000-0005-0000-0000-0000EC5A0000}"/>
    <cellStyle name="Normal 3 3 7 3 5 2 2" xfId="57774" xr:uid="{00000000-0005-0000-0000-0000ED5A0000}"/>
    <cellStyle name="Normal 3 3 7 3 5 3" xfId="37968" xr:uid="{00000000-0005-0000-0000-0000EE5A0000}"/>
    <cellStyle name="Normal 3 3 7 3 6" xfId="18025" xr:uid="{00000000-0005-0000-0000-0000EF5A0000}"/>
    <cellStyle name="Normal 3 3 7 3 6 2" xfId="49896" xr:uid="{00000000-0005-0000-0000-0000F05A0000}"/>
    <cellStyle name="Normal 3 3 7 3 7" xfId="37953" xr:uid="{00000000-0005-0000-0000-0000F15A0000}"/>
    <cellStyle name="Normal 3 3 7 4" xfId="6090" xr:uid="{00000000-0005-0000-0000-0000F25A0000}"/>
    <cellStyle name="Normal 3 3 7 4 2" xfId="6091" xr:uid="{00000000-0005-0000-0000-0000F35A0000}"/>
    <cellStyle name="Normal 3 3 7 4 2 2" xfId="6092" xr:uid="{00000000-0005-0000-0000-0000F45A0000}"/>
    <cellStyle name="Normal 3 3 7 4 2 2 2" xfId="6093" xr:uid="{00000000-0005-0000-0000-0000F55A0000}"/>
    <cellStyle name="Normal 3 3 7 4 2 2 2 2" xfId="29847" xr:uid="{00000000-0005-0000-0000-0000F65A0000}"/>
    <cellStyle name="Normal 3 3 7 4 2 2 2 2 2" xfId="61718" xr:uid="{00000000-0005-0000-0000-0000F75A0000}"/>
    <cellStyle name="Normal 3 3 7 4 2 2 2 3" xfId="37972" xr:uid="{00000000-0005-0000-0000-0000F85A0000}"/>
    <cellStyle name="Normal 3 3 7 4 2 2 3" xfId="21969" xr:uid="{00000000-0005-0000-0000-0000F95A0000}"/>
    <cellStyle name="Normal 3 3 7 4 2 2 3 2" xfId="53840" xr:uid="{00000000-0005-0000-0000-0000FA5A0000}"/>
    <cellStyle name="Normal 3 3 7 4 2 2 4" xfId="37971" xr:uid="{00000000-0005-0000-0000-0000FB5A0000}"/>
    <cellStyle name="Normal 3 3 7 4 2 3" xfId="6094" xr:uid="{00000000-0005-0000-0000-0000FC5A0000}"/>
    <cellStyle name="Normal 3 3 7 4 2 3 2" xfId="25908" xr:uid="{00000000-0005-0000-0000-0000FD5A0000}"/>
    <cellStyle name="Normal 3 3 7 4 2 3 2 2" xfId="57779" xr:uid="{00000000-0005-0000-0000-0000FE5A0000}"/>
    <cellStyle name="Normal 3 3 7 4 2 3 3" xfId="37973" xr:uid="{00000000-0005-0000-0000-0000FF5A0000}"/>
    <cellStyle name="Normal 3 3 7 4 2 4" xfId="18030" xr:uid="{00000000-0005-0000-0000-0000005B0000}"/>
    <cellStyle name="Normal 3 3 7 4 2 4 2" xfId="49901" xr:uid="{00000000-0005-0000-0000-0000015B0000}"/>
    <cellStyle name="Normal 3 3 7 4 2 5" xfId="37970" xr:uid="{00000000-0005-0000-0000-0000025B0000}"/>
    <cellStyle name="Normal 3 3 7 4 3" xfId="6095" xr:uid="{00000000-0005-0000-0000-0000035B0000}"/>
    <cellStyle name="Normal 3 3 7 4 3 2" xfId="6096" xr:uid="{00000000-0005-0000-0000-0000045B0000}"/>
    <cellStyle name="Normal 3 3 7 4 3 2 2" xfId="29846" xr:uid="{00000000-0005-0000-0000-0000055B0000}"/>
    <cellStyle name="Normal 3 3 7 4 3 2 2 2" xfId="61717" xr:uid="{00000000-0005-0000-0000-0000065B0000}"/>
    <cellStyle name="Normal 3 3 7 4 3 2 3" xfId="37975" xr:uid="{00000000-0005-0000-0000-0000075B0000}"/>
    <cellStyle name="Normal 3 3 7 4 3 3" xfId="21968" xr:uid="{00000000-0005-0000-0000-0000085B0000}"/>
    <cellStyle name="Normal 3 3 7 4 3 3 2" xfId="53839" xr:uid="{00000000-0005-0000-0000-0000095B0000}"/>
    <cellStyle name="Normal 3 3 7 4 3 4" xfId="37974" xr:uid="{00000000-0005-0000-0000-00000A5B0000}"/>
    <cellStyle name="Normal 3 3 7 4 4" xfId="6097" xr:uid="{00000000-0005-0000-0000-00000B5B0000}"/>
    <cellStyle name="Normal 3 3 7 4 4 2" xfId="25907" xr:uid="{00000000-0005-0000-0000-00000C5B0000}"/>
    <cellStyle name="Normal 3 3 7 4 4 2 2" xfId="57778" xr:uid="{00000000-0005-0000-0000-00000D5B0000}"/>
    <cellStyle name="Normal 3 3 7 4 4 3" xfId="37976" xr:uid="{00000000-0005-0000-0000-00000E5B0000}"/>
    <cellStyle name="Normal 3 3 7 4 5" xfId="18029" xr:uid="{00000000-0005-0000-0000-00000F5B0000}"/>
    <cellStyle name="Normal 3 3 7 4 5 2" xfId="49900" xr:uid="{00000000-0005-0000-0000-0000105B0000}"/>
    <cellStyle name="Normal 3 3 7 4 6" xfId="37969" xr:uid="{00000000-0005-0000-0000-0000115B0000}"/>
    <cellStyle name="Normal 3 3 7 5" xfId="6098" xr:uid="{00000000-0005-0000-0000-0000125B0000}"/>
    <cellStyle name="Normal 3 3 7 5 2" xfId="6099" xr:uid="{00000000-0005-0000-0000-0000135B0000}"/>
    <cellStyle name="Normal 3 3 7 5 2 2" xfId="6100" xr:uid="{00000000-0005-0000-0000-0000145B0000}"/>
    <cellStyle name="Normal 3 3 7 5 2 2 2" xfId="29848" xr:uid="{00000000-0005-0000-0000-0000155B0000}"/>
    <cellStyle name="Normal 3 3 7 5 2 2 2 2" xfId="61719" xr:uid="{00000000-0005-0000-0000-0000165B0000}"/>
    <cellStyle name="Normal 3 3 7 5 2 2 3" xfId="37979" xr:uid="{00000000-0005-0000-0000-0000175B0000}"/>
    <cellStyle name="Normal 3 3 7 5 2 3" xfId="21970" xr:uid="{00000000-0005-0000-0000-0000185B0000}"/>
    <cellStyle name="Normal 3 3 7 5 2 3 2" xfId="53841" xr:uid="{00000000-0005-0000-0000-0000195B0000}"/>
    <cellStyle name="Normal 3 3 7 5 2 4" xfId="37978" xr:uid="{00000000-0005-0000-0000-00001A5B0000}"/>
    <cellStyle name="Normal 3 3 7 5 3" xfId="6101" xr:uid="{00000000-0005-0000-0000-00001B5B0000}"/>
    <cellStyle name="Normal 3 3 7 5 3 2" xfId="25909" xr:uid="{00000000-0005-0000-0000-00001C5B0000}"/>
    <cellStyle name="Normal 3 3 7 5 3 2 2" xfId="57780" xr:uid="{00000000-0005-0000-0000-00001D5B0000}"/>
    <cellStyle name="Normal 3 3 7 5 3 3" xfId="37980" xr:uid="{00000000-0005-0000-0000-00001E5B0000}"/>
    <cellStyle name="Normal 3 3 7 5 4" xfId="18031" xr:uid="{00000000-0005-0000-0000-00001F5B0000}"/>
    <cellStyle name="Normal 3 3 7 5 4 2" xfId="49902" xr:uid="{00000000-0005-0000-0000-0000205B0000}"/>
    <cellStyle name="Normal 3 3 7 5 5" xfId="37977" xr:uid="{00000000-0005-0000-0000-0000215B0000}"/>
    <cellStyle name="Normal 3 3 7 6" xfId="6102" xr:uid="{00000000-0005-0000-0000-0000225B0000}"/>
    <cellStyle name="Normal 3 3 7 6 2" xfId="6103" xr:uid="{00000000-0005-0000-0000-0000235B0000}"/>
    <cellStyle name="Normal 3 3 7 6 2 2" xfId="28385" xr:uid="{00000000-0005-0000-0000-0000245B0000}"/>
    <cellStyle name="Normal 3 3 7 6 2 2 2" xfId="60256" xr:uid="{00000000-0005-0000-0000-0000255B0000}"/>
    <cellStyle name="Normal 3 3 7 6 2 3" xfId="37982" xr:uid="{00000000-0005-0000-0000-0000265B0000}"/>
    <cellStyle name="Normal 3 3 7 6 3" xfId="20507" xr:uid="{00000000-0005-0000-0000-0000275B0000}"/>
    <cellStyle name="Normal 3 3 7 6 3 2" xfId="52378" xr:uid="{00000000-0005-0000-0000-0000285B0000}"/>
    <cellStyle name="Normal 3 3 7 6 4" xfId="37981" xr:uid="{00000000-0005-0000-0000-0000295B0000}"/>
    <cellStyle name="Normal 3 3 7 7" xfId="6104" xr:uid="{00000000-0005-0000-0000-00002A5B0000}"/>
    <cellStyle name="Normal 3 3 7 7 2" xfId="24446" xr:uid="{00000000-0005-0000-0000-00002B5B0000}"/>
    <cellStyle name="Normal 3 3 7 7 2 2" xfId="56317" xr:uid="{00000000-0005-0000-0000-00002C5B0000}"/>
    <cellStyle name="Normal 3 3 7 7 3" xfId="37983" xr:uid="{00000000-0005-0000-0000-00002D5B0000}"/>
    <cellStyle name="Normal 3 3 7 8" xfId="16568" xr:uid="{00000000-0005-0000-0000-00002E5B0000}"/>
    <cellStyle name="Normal 3 3 7 8 2" xfId="48439" xr:uid="{00000000-0005-0000-0000-00002F5B0000}"/>
    <cellStyle name="Normal 3 3 7 9" xfId="37920" xr:uid="{00000000-0005-0000-0000-0000305B0000}"/>
    <cellStyle name="Normal 3 3 8" xfId="6105" xr:uid="{00000000-0005-0000-0000-0000315B0000}"/>
    <cellStyle name="Normal 3 3 8 2" xfId="6106" xr:uid="{00000000-0005-0000-0000-0000325B0000}"/>
    <cellStyle name="Normal 3 3 8 2 2" xfId="6107" xr:uid="{00000000-0005-0000-0000-0000335B0000}"/>
    <cellStyle name="Normal 3 3 8 2 2 2" xfId="6108" xr:uid="{00000000-0005-0000-0000-0000345B0000}"/>
    <cellStyle name="Normal 3 3 8 2 2 2 2" xfId="6109" xr:uid="{00000000-0005-0000-0000-0000355B0000}"/>
    <cellStyle name="Normal 3 3 8 2 2 2 2 2" xfId="6110" xr:uid="{00000000-0005-0000-0000-0000365B0000}"/>
    <cellStyle name="Normal 3 3 8 2 2 2 2 2 2" xfId="29851" xr:uid="{00000000-0005-0000-0000-0000375B0000}"/>
    <cellStyle name="Normal 3 3 8 2 2 2 2 2 2 2" xfId="61722" xr:uid="{00000000-0005-0000-0000-0000385B0000}"/>
    <cellStyle name="Normal 3 3 8 2 2 2 2 2 3" xfId="37989" xr:uid="{00000000-0005-0000-0000-0000395B0000}"/>
    <cellStyle name="Normal 3 3 8 2 2 2 2 3" xfId="21973" xr:uid="{00000000-0005-0000-0000-00003A5B0000}"/>
    <cellStyle name="Normal 3 3 8 2 2 2 2 3 2" xfId="53844" xr:uid="{00000000-0005-0000-0000-00003B5B0000}"/>
    <cellStyle name="Normal 3 3 8 2 2 2 2 4" xfId="37988" xr:uid="{00000000-0005-0000-0000-00003C5B0000}"/>
    <cellStyle name="Normal 3 3 8 2 2 2 3" xfId="6111" xr:uid="{00000000-0005-0000-0000-00003D5B0000}"/>
    <cellStyle name="Normal 3 3 8 2 2 2 3 2" xfId="25912" xr:uid="{00000000-0005-0000-0000-00003E5B0000}"/>
    <cellStyle name="Normal 3 3 8 2 2 2 3 2 2" xfId="57783" xr:uid="{00000000-0005-0000-0000-00003F5B0000}"/>
    <cellStyle name="Normal 3 3 8 2 2 2 3 3" xfId="37990" xr:uid="{00000000-0005-0000-0000-0000405B0000}"/>
    <cellStyle name="Normal 3 3 8 2 2 2 4" xfId="18034" xr:uid="{00000000-0005-0000-0000-0000415B0000}"/>
    <cellStyle name="Normal 3 3 8 2 2 2 4 2" xfId="49905" xr:uid="{00000000-0005-0000-0000-0000425B0000}"/>
    <cellStyle name="Normal 3 3 8 2 2 2 5" xfId="37987" xr:uid="{00000000-0005-0000-0000-0000435B0000}"/>
    <cellStyle name="Normal 3 3 8 2 2 3" xfId="6112" xr:uid="{00000000-0005-0000-0000-0000445B0000}"/>
    <cellStyle name="Normal 3 3 8 2 2 3 2" xfId="6113" xr:uid="{00000000-0005-0000-0000-0000455B0000}"/>
    <cellStyle name="Normal 3 3 8 2 2 3 2 2" xfId="29850" xr:uid="{00000000-0005-0000-0000-0000465B0000}"/>
    <cellStyle name="Normal 3 3 8 2 2 3 2 2 2" xfId="61721" xr:uid="{00000000-0005-0000-0000-0000475B0000}"/>
    <cellStyle name="Normal 3 3 8 2 2 3 2 3" xfId="37992" xr:uid="{00000000-0005-0000-0000-0000485B0000}"/>
    <cellStyle name="Normal 3 3 8 2 2 3 3" xfId="21972" xr:uid="{00000000-0005-0000-0000-0000495B0000}"/>
    <cellStyle name="Normal 3 3 8 2 2 3 3 2" xfId="53843" xr:uid="{00000000-0005-0000-0000-00004A5B0000}"/>
    <cellStyle name="Normal 3 3 8 2 2 3 4" xfId="37991" xr:uid="{00000000-0005-0000-0000-00004B5B0000}"/>
    <cellStyle name="Normal 3 3 8 2 2 4" xfId="6114" xr:uid="{00000000-0005-0000-0000-00004C5B0000}"/>
    <cellStyle name="Normal 3 3 8 2 2 4 2" xfId="25911" xr:uid="{00000000-0005-0000-0000-00004D5B0000}"/>
    <cellStyle name="Normal 3 3 8 2 2 4 2 2" xfId="57782" xr:uid="{00000000-0005-0000-0000-00004E5B0000}"/>
    <cellStyle name="Normal 3 3 8 2 2 4 3" xfId="37993" xr:uid="{00000000-0005-0000-0000-00004F5B0000}"/>
    <cellStyle name="Normal 3 3 8 2 2 5" xfId="18033" xr:uid="{00000000-0005-0000-0000-0000505B0000}"/>
    <cellStyle name="Normal 3 3 8 2 2 5 2" xfId="49904" xr:uid="{00000000-0005-0000-0000-0000515B0000}"/>
    <cellStyle name="Normal 3 3 8 2 2 6" xfId="37986" xr:uid="{00000000-0005-0000-0000-0000525B0000}"/>
    <cellStyle name="Normal 3 3 8 2 3" xfId="6115" xr:uid="{00000000-0005-0000-0000-0000535B0000}"/>
    <cellStyle name="Normal 3 3 8 2 3 2" xfId="6116" xr:uid="{00000000-0005-0000-0000-0000545B0000}"/>
    <cellStyle name="Normal 3 3 8 2 3 2 2" xfId="6117" xr:uid="{00000000-0005-0000-0000-0000555B0000}"/>
    <cellStyle name="Normal 3 3 8 2 3 2 2 2" xfId="29852" xr:uid="{00000000-0005-0000-0000-0000565B0000}"/>
    <cellStyle name="Normal 3 3 8 2 3 2 2 2 2" xfId="61723" xr:uid="{00000000-0005-0000-0000-0000575B0000}"/>
    <cellStyle name="Normal 3 3 8 2 3 2 2 3" xfId="37996" xr:uid="{00000000-0005-0000-0000-0000585B0000}"/>
    <cellStyle name="Normal 3 3 8 2 3 2 3" xfId="21974" xr:uid="{00000000-0005-0000-0000-0000595B0000}"/>
    <cellStyle name="Normal 3 3 8 2 3 2 3 2" xfId="53845" xr:uid="{00000000-0005-0000-0000-00005A5B0000}"/>
    <cellStyle name="Normal 3 3 8 2 3 2 4" xfId="37995" xr:uid="{00000000-0005-0000-0000-00005B5B0000}"/>
    <cellStyle name="Normal 3 3 8 2 3 3" xfId="6118" xr:uid="{00000000-0005-0000-0000-00005C5B0000}"/>
    <cellStyle name="Normal 3 3 8 2 3 3 2" xfId="25913" xr:uid="{00000000-0005-0000-0000-00005D5B0000}"/>
    <cellStyle name="Normal 3 3 8 2 3 3 2 2" xfId="57784" xr:uid="{00000000-0005-0000-0000-00005E5B0000}"/>
    <cellStyle name="Normal 3 3 8 2 3 3 3" xfId="37997" xr:uid="{00000000-0005-0000-0000-00005F5B0000}"/>
    <cellStyle name="Normal 3 3 8 2 3 4" xfId="18035" xr:uid="{00000000-0005-0000-0000-0000605B0000}"/>
    <cellStyle name="Normal 3 3 8 2 3 4 2" xfId="49906" xr:uid="{00000000-0005-0000-0000-0000615B0000}"/>
    <cellStyle name="Normal 3 3 8 2 3 5" xfId="37994" xr:uid="{00000000-0005-0000-0000-0000625B0000}"/>
    <cellStyle name="Normal 3 3 8 2 4" xfId="6119" xr:uid="{00000000-0005-0000-0000-0000635B0000}"/>
    <cellStyle name="Normal 3 3 8 2 4 2" xfId="6120" xr:uid="{00000000-0005-0000-0000-0000645B0000}"/>
    <cellStyle name="Normal 3 3 8 2 4 2 2" xfId="29849" xr:uid="{00000000-0005-0000-0000-0000655B0000}"/>
    <cellStyle name="Normal 3 3 8 2 4 2 2 2" xfId="61720" xr:uid="{00000000-0005-0000-0000-0000665B0000}"/>
    <cellStyle name="Normal 3 3 8 2 4 2 3" xfId="37999" xr:uid="{00000000-0005-0000-0000-0000675B0000}"/>
    <cellStyle name="Normal 3 3 8 2 4 3" xfId="21971" xr:uid="{00000000-0005-0000-0000-0000685B0000}"/>
    <cellStyle name="Normal 3 3 8 2 4 3 2" xfId="53842" xr:uid="{00000000-0005-0000-0000-0000695B0000}"/>
    <cellStyle name="Normal 3 3 8 2 4 4" xfId="37998" xr:uid="{00000000-0005-0000-0000-00006A5B0000}"/>
    <cellStyle name="Normal 3 3 8 2 5" xfId="6121" xr:uid="{00000000-0005-0000-0000-00006B5B0000}"/>
    <cellStyle name="Normal 3 3 8 2 5 2" xfId="25910" xr:uid="{00000000-0005-0000-0000-00006C5B0000}"/>
    <cellStyle name="Normal 3 3 8 2 5 2 2" xfId="57781" xr:uid="{00000000-0005-0000-0000-00006D5B0000}"/>
    <cellStyle name="Normal 3 3 8 2 5 3" xfId="38000" xr:uid="{00000000-0005-0000-0000-00006E5B0000}"/>
    <cellStyle name="Normal 3 3 8 2 6" xfId="18032" xr:uid="{00000000-0005-0000-0000-00006F5B0000}"/>
    <cellStyle name="Normal 3 3 8 2 6 2" xfId="49903" xr:uid="{00000000-0005-0000-0000-0000705B0000}"/>
    <cellStyle name="Normal 3 3 8 2 7" xfId="37985" xr:uid="{00000000-0005-0000-0000-0000715B0000}"/>
    <cellStyle name="Normal 3 3 8 3" xfId="6122" xr:uid="{00000000-0005-0000-0000-0000725B0000}"/>
    <cellStyle name="Normal 3 3 8 3 2" xfId="6123" xr:uid="{00000000-0005-0000-0000-0000735B0000}"/>
    <cellStyle name="Normal 3 3 8 3 2 2" xfId="6124" xr:uid="{00000000-0005-0000-0000-0000745B0000}"/>
    <cellStyle name="Normal 3 3 8 3 2 2 2" xfId="6125" xr:uid="{00000000-0005-0000-0000-0000755B0000}"/>
    <cellStyle name="Normal 3 3 8 3 2 2 2 2" xfId="29854" xr:uid="{00000000-0005-0000-0000-0000765B0000}"/>
    <cellStyle name="Normal 3 3 8 3 2 2 2 2 2" xfId="61725" xr:uid="{00000000-0005-0000-0000-0000775B0000}"/>
    <cellStyle name="Normal 3 3 8 3 2 2 2 3" xfId="38004" xr:uid="{00000000-0005-0000-0000-0000785B0000}"/>
    <cellStyle name="Normal 3 3 8 3 2 2 3" xfId="21976" xr:uid="{00000000-0005-0000-0000-0000795B0000}"/>
    <cellStyle name="Normal 3 3 8 3 2 2 3 2" xfId="53847" xr:uid="{00000000-0005-0000-0000-00007A5B0000}"/>
    <cellStyle name="Normal 3 3 8 3 2 2 4" xfId="38003" xr:uid="{00000000-0005-0000-0000-00007B5B0000}"/>
    <cellStyle name="Normal 3 3 8 3 2 3" xfId="6126" xr:uid="{00000000-0005-0000-0000-00007C5B0000}"/>
    <cellStyle name="Normal 3 3 8 3 2 3 2" xfId="25915" xr:uid="{00000000-0005-0000-0000-00007D5B0000}"/>
    <cellStyle name="Normal 3 3 8 3 2 3 2 2" xfId="57786" xr:uid="{00000000-0005-0000-0000-00007E5B0000}"/>
    <cellStyle name="Normal 3 3 8 3 2 3 3" xfId="38005" xr:uid="{00000000-0005-0000-0000-00007F5B0000}"/>
    <cellStyle name="Normal 3 3 8 3 2 4" xfId="18037" xr:uid="{00000000-0005-0000-0000-0000805B0000}"/>
    <cellStyle name="Normal 3 3 8 3 2 4 2" xfId="49908" xr:uid="{00000000-0005-0000-0000-0000815B0000}"/>
    <cellStyle name="Normal 3 3 8 3 2 5" xfId="38002" xr:uid="{00000000-0005-0000-0000-0000825B0000}"/>
    <cellStyle name="Normal 3 3 8 3 3" xfId="6127" xr:uid="{00000000-0005-0000-0000-0000835B0000}"/>
    <cellStyle name="Normal 3 3 8 3 3 2" xfId="6128" xr:uid="{00000000-0005-0000-0000-0000845B0000}"/>
    <cellStyle name="Normal 3 3 8 3 3 2 2" xfId="29853" xr:uid="{00000000-0005-0000-0000-0000855B0000}"/>
    <cellStyle name="Normal 3 3 8 3 3 2 2 2" xfId="61724" xr:uid="{00000000-0005-0000-0000-0000865B0000}"/>
    <cellStyle name="Normal 3 3 8 3 3 2 3" xfId="38007" xr:uid="{00000000-0005-0000-0000-0000875B0000}"/>
    <cellStyle name="Normal 3 3 8 3 3 3" xfId="21975" xr:uid="{00000000-0005-0000-0000-0000885B0000}"/>
    <cellStyle name="Normal 3 3 8 3 3 3 2" xfId="53846" xr:uid="{00000000-0005-0000-0000-0000895B0000}"/>
    <cellStyle name="Normal 3 3 8 3 3 4" xfId="38006" xr:uid="{00000000-0005-0000-0000-00008A5B0000}"/>
    <cellStyle name="Normal 3 3 8 3 4" xfId="6129" xr:uid="{00000000-0005-0000-0000-00008B5B0000}"/>
    <cellStyle name="Normal 3 3 8 3 4 2" xfId="25914" xr:uid="{00000000-0005-0000-0000-00008C5B0000}"/>
    <cellStyle name="Normal 3 3 8 3 4 2 2" xfId="57785" xr:uid="{00000000-0005-0000-0000-00008D5B0000}"/>
    <cellStyle name="Normal 3 3 8 3 4 3" xfId="38008" xr:uid="{00000000-0005-0000-0000-00008E5B0000}"/>
    <cellStyle name="Normal 3 3 8 3 5" xfId="18036" xr:uid="{00000000-0005-0000-0000-00008F5B0000}"/>
    <cellStyle name="Normal 3 3 8 3 5 2" xfId="49907" xr:uid="{00000000-0005-0000-0000-0000905B0000}"/>
    <cellStyle name="Normal 3 3 8 3 6" xfId="38001" xr:uid="{00000000-0005-0000-0000-0000915B0000}"/>
    <cellStyle name="Normal 3 3 8 4" xfId="6130" xr:uid="{00000000-0005-0000-0000-0000925B0000}"/>
    <cellStyle name="Normal 3 3 8 4 2" xfId="6131" xr:uid="{00000000-0005-0000-0000-0000935B0000}"/>
    <cellStyle name="Normal 3 3 8 4 2 2" xfId="6132" xr:uid="{00000000-0005-0000-0000-0000945B0000}"/>
    <cellStyle name="Normal 3 3 8 4 2 2 2" xfId="29855" xr:uid="{00000000-0005-0000-0000-0000955B0000}"/>
    <cellStyle name="Normal 3 3 8 4 2 2 2 2" xfId="61726" xr:uid="{00000000-0005-0000-0000-0000965B0000}"/>
    <cellStyle name="Normal 3 3 8 4 2 2 3" xfId="38011" xr:uid="{00000000-0005-0000-0000-0000975B0000}"/>
    <cellStyle name="Normal 3 3 8 4 2 3" xfId="21977" xr:uid="{00000000-0005-0000-0000-0000985B0000}"/>
    <cellStyle name="Normal 3 3 8 4 2 3 2" xfId="53848" xr:uid="{00000000-0005-0000-0000-0000995B0000}"/>
    <cellStyle name="Normal 3 3 8 4 2 4" xfId="38010" xr:uid="{00000000-0005-0000-0000-00009A5B0000}"/>
    <cellStyle name="Normal 3 3 8 4 3" xfId="6133" xr:uid="{00000000-0005-0000-0000-00009B5B0000}"/>
    <cellStyle name="Normal 3 3 8 4 3 2" xfId="25916" xr:uid="{00000000-0005-0000-0000-00009C5B0000}"/>
    <cellStyle name="Normal 3 3 8 4 3 2 2" xfId="57787" xr:uid="{00000000-0005-0000-0000-00009D5B0000}"/>
    <cellStyle name="Normal 3 3 8 4 3 3" xfId="38012" xr:uid="{00000000-0005-0000-0000-00009E5B0000}"/>
    <cellStyle name="Normal 3 3 8 4 4" xfId="18038" xr:uid="{00000000-0005-0000-0000-00009F5B0000}"/>
    <cellStyle name="Normal 3 3 8 4 4 2" xfId="49909" xr:uid="{00000000-0005-0000-0000-0000A05B0000}"/>
    <cellStyle name="Normal 3 3 8 4 5" xfId="38009" xr:uid="{00000000-0005-0000-0000-0000A15B0000}"/>
    <cellStyle name="Normal 3 3 8 5" xfId="6134" xr:uid="{00000000-0005-0000-0000-0000A25B0000}"/>
    <cellStyle name="Normal 3 3 8 5 2" xfId="6135" xr:uid="{00000000-0005-0000-0000-0000A35B0000}"/>
    <cellStyle name="Normal 3 3 8 5 2 2" xfId="28262" xr:uid="{00000000-0005-0000-0000-0000A45B0000}"/>
    <cellStyle name="Normal 3 3 8 5 2 2 2" xfId="60133" xr:uid="{00000000-0005-0000-0000-0000A55B0000}"/>
    <cellStyle name="Normal 3 3 8 5 2 3" xfId="38014" xr:uid="{00000000-0005-0000-0000-0000A65B0000}"/>
    <cellStyle name="Normal 3 3 8 5 3" xfId="20384" xr:uid="{00000000-0005-0000-0000-0000A75B0000}"/>
    <cellStyle name="Normal 3 3 8 5 3 2" xfId="52255" xr:uid="{00000000-0005-0000-0000-0000A85B0000}"/>
    <cellStyle name="Normal 3 3 8 5 4" xfId="38013" xr:uid="{00000000-0005-0000-0000-0000A95B0000}"/>
    <cellStyle name="Normal 3 3 8 6" xfId="6136" xr:uid="{00000000-0005-0000-0000-0000AA5B0000}"/>
    <cellStyle name="Normal 3 3 8 6 2" xfId="24323" xr:uid="{00000000-0005-0000-0000-0000AB5B0000}"/>
    <cellStyle name="Normal 3 3 8 6 2 2" xfId="56194" xr:uid="{00000000-0005-0000-0000-0000AC5B0000}"/>
    <cellStyle name="Normal 3 3 8 6 3" xfId="38015" xr:uid="{00000000-0005-0000-0000-0000AD5B0000}"/>
    <cellStyle name="Normal 3 3 8 7" xfId="16445" xr:uid="{00000000-0005-0000-0000-0000AE5B0000}"/>
    <cellStyle name="Normal 3 3 8 7 2" xfId="48316" xr:uid="{00000000-0005-0000-0000-0000AF5B0000}"/>
    <cellStyle name="Normal 3 3 8 8" xfId="37984" xr:uid="{00000000-0005-0000-0000-0000B05B0000}"/>
    <cellStyle name="Normal 3 3 9" xfId="6137" xr:uid="{00000000-0005-0000-0000-0000B15B0000}"/>
    <cellStyle name="Normal 3 3 9 2" xfId="6138" xr:uid="{00000000-0005-0000-0000-0000B25B0000}"/>
    <cellStyle name="Normal 3 3 9 2 2" xfId="6139" xr:uid="{00000000-0005-0000-0000-0000B35B0000}"/>
    <cellStyle name="Normal 3 3 9 2 2 2" xfId="6140" xr:uid="{00000000-0005-0000-0000-0000B45B0000}"/>
    <cellStyle name="Normal 3 3 9 2 2 2 2" xfId="6141" xr:uid="{00000000-0005-0000-0000-0000B55B0000}"/>
    <cellStyle name="Normal 3 3 9 2 2 2 2 2" xfId="29858" xr:uid="{00000000-0005-0000-0000-0000B65B0000}"/>
    <cellStyle name="Normal 3 3 9 2 2 2 2 2 2" xfId="61729" xr:uid="{00000000-0005-0000-0000-0000B75B0000}"/>
    <cellStyle name="Normal 3 3 9 2 2 2 2 3" xfId="38020" xr:uid="{00000000-0005-0000-0000-0000B85B0000}"/>
    <cellStyle name="Normal 3 3 9 2 2 2 3" xfId="21980" xr:uid="{00000000-0005-0000-0000-0000B95B0000}"/>
    <cellStyle name="Normal 3 3 9 2 2 2 3 2" xfId="53851" xr:uid="{00000000-0005-0000-0000-0000BA5B0000}"/>
    <cellStyle name="Normal 3 3 9 2 2 2 4" xfId="38019" xr:uid="{00000000-0005-0000-0000-0000BB5B0000}"/>
    <cellStyle name="Normal 3 3 9 2 2 3" xfId="6142" xr:uid="{00000000-0005-0000-0000-0000BC5B0000}"/>
    <cellStyle name="Normal 3 3 9 2 2 3 2" xfId="25919" xr:uid="{00000000-0005-0000-0000-0000BD5B0000}"/>
    <cellStyle name="Normal 3 3 9 2 2 3 2 2" xfId="57790" xr:uid="{00000000-0005-0000-0000-0000BE5B0000}"/>
    <cellStyle name="Normal 3 3 9 2 2 3 3" xfId="38021" xr:uid="{00000000-0005-0000-0000-0000BF5B0000}"/>
    <cellStyle name="Normal 3 3 9 2 2 4" xfId="18041" xr:uid="{00000000-0005-0000-0000-0000C05B0000}"/>
    <cellStyle name="Normal 3 3 9 2 2 4 2" xfId="49912" xr:uid="{00000000-0005-0000-0000-0000C15B0000}"/>
    <cellStyle name="Normal 3 3 9 2 2 5" xfId="38018" xr:uid="{00000000-0005-0000-0000-0000C25B0000}"/>
    <cellStyle name="Normal 3 3 9 2 3" xfId="6143" xr:uid="{00000000-0005-0000-0000-0000C35B0000}"/>
    <cellStyle name="Normal 3 3 9 2 3 2" xfId="6144" xr:uid="{00000000-0005-0000-0000-0000C45B0000}"/>
    <cellStyle name="Normal 3 3 9 2 3 2 2" xfId="29857" xr:uid="{00000000-0005-0000-0000-0000C55B0000}"/>
    <cellStyle name="Normal 3 3 9 2 3 2 2 2" xfId="61728" xr:uid="{00000000-0005-0000-0000-0000C65B0000}"/>
    <cellStyle name="Normal 3 3 9 2 3 2 3" xfId="38023" xr:uid="{00000000-0005-0000-0000-0000C75B0000}"/>
    <cellStyle name="Normal 3 3 9 2 3 3" xfId="21979" xr:uid="{00000000-0005-0000-0000-0000C85B0000}"/>
    <cellStyle name="Normal 3 3 9 2 3 3 2" xfId="53850" xr:uid="{00000000-0005-0000-0000-0000C95B0000}"/>
    <cellStyle name="Normal 3 3 9 2 3 4" xfId="38022" xr:uid="{00000000-0005-0000-0000-0000CA5B0000}"/>
    <cellStyle name="Normal 3 3 9 2 4" xfId="6145" xr:uid="{00000000-0005-0000-0000-0000CB5B0000}"/>
    <cellStyle name="Normal 3 3 9 2 4 2" xfId="25918" xr:uid="{00000000-0005-0000-0000-0000CC5B0000}"/>
    <cellStyle name="Normal 3 3 9 2 4 2 2" xfId="57789" xr:uid="{00000000-0005-0000-0000-0000CD5B0000}"/>
    <cellStyle name="Normal 3 3 9 2 4 3" xfId="38024" xr:uid="{00000000-0005-0000-0000-0000CE5B0000}"/>
    <cellStyle name="Normal 3 3 9 2 5" xfId="18040" xr:uid="{00000000-0005-0000-0000-0000CF5B0000}"/>
    <cellStyle name="Normal 3 3 9 2 5 2" xfId="49911" xr:uid="{00000000-0005-0000-0000-0000D05B0000}"/>
    <cellStyle name="Normal 3 3 9 2 6" xfId="38017" xr:uid="{00000000-0005-0000-0000-0000D15B0000}"/>
    <cellStyle name="Normal 3 3 9 3" xfId="6146" xr:uid="{00000000-0005-0000-0000-0000D25B0000}"/>
    <cellStyle name="Normal 3 3 9 3 2" xfId="6147" xr:uid="{00000000-0005-0000-0000-0000D35B0000}"/>
    <cellStyle name="Normal 3 3 9 3 2 2" xfId="6148" xr:uid="{00000000-0005-0000-0000-0000D45B0000}"/>
    <cellStyle name="Normal 3 3 9 3 2 2 2" xfId="29859" xr:uid="{00000000-0005-0000-0000-0000D55B0000}"/>
    <cellStyle name="Normal 3 3 9 3 2 2 2 2" xfId="61730" xr:uid="{00000000-0005-0000-0000-0000D65B0000}"/>
    <cellStyle name="Normal 3 3 9 3 2 2 3" xfId="38027" xr:uid="{00000000-0005-0000-0000-0000D75B0000}"/>
    <cellStyle name="Normal 3 3 9 3 2 3" xfId="21981" xr:uid="{00000000-0005-0000-0000-0000D85B0000}"/>
    <cellStyle name="Normal 3 3 9 3 2 3 2" xfId="53852" xr:uid="{00000000-0005-0000-0000-0000D95B0000}"/>
    <cellStyle name="Normal 3 3 9 3 2 4" xfId="38026" xr:uid="{00000000-0005-0000-0000-0000DA5B0000}"/>
    <cellStyle name="Normal 3 3 9 3 3" xfId="6149" xr:uid="{00000000-0005-0000-0000-0000DB5B0000}"/>
    <cellStyle name="Normal 3 3 9 3 3 2" xfId="25920" xr:uid="{00000000-0005-0000-0000-0000DC5B0000}"/>
    <cellStyle name="Normal 3 3 9 3 3 2 2" xfId="57791" xr:uid="{00000000-0005-0000-0000-0000DD5B0000}"/>
    <cellStyle name="Normal 3 3 9 3 3 3" xfId="38028" xr:uid="{00000000-0005-0000-0000-0000DE5B0000}"/>
    <cellStyle name="Normal 3 3 9 3 4" xfId="18042" xr:uid="{00000000-0005-0000-0000-0000DF5B0000}"/>
    <cellStyle name="Normal 3 3 9 3 4 2" xfId="49913" xr:uid="{00000000-0005-0000-0000-0000E05B0000}"/>
    <cellStyle name="Normal 3 3 9 3 5" xfId="38025" xr:uid="{00000000-0005-0000-0000-0000E15B0000}"/>
    <cellStyle name="Normal 3 3 9 4" xfId="6150" xr:uid="{00000000-0005-0000-0000-0000E25B0000}"/>
    <cellStyle name="Normal 3 3 9 4 2" xfId="6151" xr:uid="{00000000-0005-0000-0000-0000E35B0000}"/>
    <cellStyle name="Normal 3 3 9 4 2 2" xfId="29856" xr:uid="{00000000-0005-0000-0000-0000E45B0000}"/>
    <cellStyle name="Normal 3 3 9 4 2 2 2" xfId="61727" xr:uid="{00000000-0005-0000-0000-0000E55B0000}"/>
    <cellStyle name="Normal 3 3 9 4 2 3" xfId="38030" xr:uid="{00000000-0005-0000-0000-0000E65B0000}"/>
    <cellStyle name="Normal 3 3 9 4 3" xfId="21978" xr:uid="{00000000-0005-0000-0000-0000E75B0000}"/>
    <cellStyle name="Normal 3 3 9 4 3 2" xfId="53849" xr:uid="{00000000-0005-0000-0000-0000E85B0000}"/>
    <cellStyle name="Normal 3 3 9 4 4" xfId="38029" xr:uid="{00000000-0005-0000-0000-0000E95B0000}"/>
    <cellStyle name="Normal 3 3 9 5" xfId="6152" xr:uid="{00000000-0005-0000-0000-0000EA5B0000}"/>
    <cellStyle name="Normal 3 3 9 5 2" xfId="25917" xr:uid="{00000000-0005-0000-0000-0000EB5B0000}"/>
    <cellStyle name="Normal 3 3 9 5 2 2" xfId="57788" xr:uid="{00000000-0005-0000-0000-0000EC5B0000}"/>
    <cellStyle name="Normal 3 3 9 5 3" xfId="38031" xr:uid="{00000000-0005-0000-0000-0000ED5B0000}"/>
    <cellStyle name="Normal 3 3 9 6" xfId="18039" xr:uid="{00000000-0005-0000-0000-0000EE5B0000}"/>
    <cellStyle name="Normal 3 3 9 6 2" xfId="49910" xr:uid="{00000000-0005-0000-0000-0000EF5B0000}"/>
    <cellStyle name="Normal 3 3 9 7" xfId="38016" xr:uid="{00000000-0005-0000-0000-0000F05B0000}"/>
    <cellStyle name="Normal 3 4" xfId="143" xr:uid="{00000000-0005-0000-0000-0000F15B0000}"/>
    <cellStyle name="Normal 3 4 10" xfId="6154" xr:uid="{00000000-0005-0000-0000-0000F25B0000}"/>
    <cellStyle name="Normal 3 4 10 2" xfId="6155" xr:uid="{00000000-0005-0000-0000-0000F35B0000}"/>
    <cellStyle name="Normal 3 4 10 2 2" xfId="28242" xr:uid="{00000000-0005-0000-0000-0000F45B0000}"/>
    <cellStyle name="Normal 3 4 10 2 2 2" xfId="60113" xr:uid="{00000000-0005-0000-0000-0000F55B0000}"/>
    <cellStyle name="Normal 3 4 10 2 3" xfId="38034" xr:uid="{00000000-0005-0000-0000-0000F65B0000}"/>
    <cellStyle name="Normal 3 4 10 3" xfId="20364" xr:uid="{00000000-0005-0000-0000-0000F75B0000}"/>
    <cellStyle name="Normal 3 4 10 3 2" xfId="52235" xr:uid="{00000000-0005-0000-0000-0000F85B0000}"/>
    <cellStyle name="Normal 3 4 10 4" xfId="38033" xr:uid="{00000000-0005-0000-0000-0000F95B0000}"/>
    <cellStyle name="Normal 3 4 11" xfId="6156" xr:uid="{00000000-0005-0000-0000-0000FA5B0000}"/>
    <cellStyle name="Normal 3 4 11 2" xfId="24303" xr:uid="{00000000-0005-0000-0000-0000FB5B0000}"/>
    <cellStyle name="Normal 3 4 11 2 2" xfId="56174" xr:uid="{00000000-0005-0000-0000-0000FC5B0000}"/>
    <cellStyle name="Normal 3 4 11 3" xfId="38035" xr:uid="{00000000-0005-0000-0000-0000FD5B0000}"/>
    <cellStyle name="Normal 3 4 12" xfId="16425" xr:uid="{00000000-0005-0000-0000-0000FE5B0000}"/>
    <cellStyle name="Normal 3 4 12 2" xfId="48296" xr:uid="{00000000-0005-0000-0000-0000FF5B0000}"/>
    <cellStyle name="Normal 3 4 13" xfId="6153" xr:uid="{00000000-0005-0000-0000-0000005C0000}"/>
    <cellStyle name="Normal 3 4 13 2" xfId="38032" xr:uid="{00000000-0005-0000-0000-0000015C0000}"/>
    <cellStyle name="Normal 3 4 2" xfId="269" xr:uid="{00000000-0005-0000-0000-0000025C0000}"/>
    <cellStyle name="Normal 3 4 2 10" xfId="6158" xr:uid="{00000000-0005-0000-0000-0000035C0000}"/>
    <cellStyle name="Normal 3 4 2 10 2" xfId="24344" xr:uid="{00000000-0005-0000-0000-0000045C0000}"/>
    <cellStyle name="Normal 3 4 2 10 2 2" xfId="56215" xr:uid="{00000000-0005-0000-0000-0000055C0000}"/>
    <cellStyle name="Normal 3 4 2 10 3" xfId="38037" xr:uid="{00000000-0005-0000-0000-0000065C0000}"/>
    <cellStyle name="Normal 3 4 2 11" xfId="16466" xr:uid="{00000000-0005-0000-0000-0000075C0000}"/>
    <cellStyle name="Normal 3 4 2 11 2" xfId="48337" xr:uid="{00000000-0005-0000-0000-0000085C0000}"/>
    <cellStyle name="Normal 3 4 2 12" xfId="6157" xr:uid="{00000000-0005-0000-0000-0000095C0000}"/>
    <cellStyle name="Normal 3 4 2 12 2" xfId="38036" xr:uid="{00000000-0005-0000-0000-00000A5C0000}"/>
    <cellStyle name="Normal 3 4 2 2" xfId="6159" xr:uid="{00000000-0005-0000-0000-00000B5C0000}"/>
    <cellStyle name="Normal 3 4 2 2 10" xfId="38038" xr:uid="{00000000-0005-0000-0000-00000C5C0000}"/>
    <cellStyle name="Normal 3 4 2 2 2" xfId="6160" xr:uid="{00000000-0005-0000-0000-00000D5C0000}"/>
    <cellStyle name="Normal 3 4 2 2 2 2" xfId="6161" xr:uid="{00000000-0005-0000-0000-00000E5C0000}"/>
    <cellStyle name="Normal 3 4 2 2 2 2 2" xfId="6162" xr:uid="{00000000-0005-0000-0000-00000F5C0000}"/>
    <cellStyle name="Normal 3 4 2 2 2 2 2 2" xfId="6163" xr:uid="{00000000-0005-0000-0000-0000105C0000}"/>
    <cellStyle name="Normal 3 4 2 2 2 2 2 2 2" xfId="6164" xr:uid="{00000000-0005-0000-0000-0000115C0000}"/>
    <cellStyle name="Normal 3 4 2 2 2 2 2 2 2 2" xfId="6165" xr:uid="{00000000-0005-0000-0000-0000125C0000}"/>
    <cellStyle name="Normal 3 4 2 2 2 2 2 2 2 2 2" xfId="6166" xr:uid="{00000000-0005-0000-0000-0000135C0000}"/>
    <cellStyle name="Normal 3 4 2 2 2 2 2 2 2 2 2 2" xfId="29863" xr:uid="{00000000-0005-0000-0000-0000145C0000}"/>
    <cellStyle name="Normal 3 4 2 2 2 2 2 2 2 2 2 2 2" xfId="61734" xr:uid="{00000000-0005-0000-0000-0000155C0000}"/>
    <cellStyle name="Normal 3 4 2 2 2 2 2 2 2 2 2 3" xfId="38045" xr:uid="{00000000-0005-0000-0000-0000165C0000}"/>
    <cellStyle name="Normal 3 4 2 2 2 2 2 2 2 2 3" xfId="21985" xr:uid="{00000000-0005-0000-0000-0000175C0000}"/>
    <cellStyle name="Normal 3 4 2 2 2 2 2 2 2 2 3 2" xfId="53856" xr:uid="{00000000-0005-0000-0000-0000185C0000}"/>
    <cellStyle name="Normal 3 4 2 2 2 2 2 2 2 2 4" xfId="38044" xr:uid="{00000000-0005-0000-0000-0000195C0000}"/>
    <cellStyle name="Normal 3 4 2 2 2 2 2 2 2 3" xfId="6167" xr:uid="{00000000-0005-0000-0000-00001A5C0000}"/>
    <cellStyle name="Normal 3 4 2 2 2 2 2 2 2 3 2" xfId="25924" xr:uid="{00000000-0005-0000-0000-00001B5C0000}"/>
    <cellStyle name="Normal 3 4 2 2 2 2 2 2 2 3 2 2" xfId="57795" xr:uid="{00000000-0005-0000-0000-00001C5C0000}"/>
    <cellStyle name="Normal 3 4 2 2 2 2 2 2 2 3 3" xfId="38046" xr:uid="{00000000-0005-0000-0000-00001D5C0000}"/>
    <cellStyle name="Normal 3 4 2 2 2 2 2 2 2 4" xfId="18046" xr:uid="{00000000-0005-0000-0000-00001E5C0000}"/>
    <cellStyle name="Normal 3 4 2 2 2 2 2 2 2 4 2" xfId="49917" xr:uid="{00000000-0005-0000-0000-00001F5C0000}"/>
    <cellStyle name="Normal 3 4 2 2 2 2 2 2 2 5" xfId="38043" xr:uid="{00000000-0005-0000-0000-0000205C0000}"/>
    <cellStyle name="Normal 3 4 2 2 2 2 2 2 3" xfId="6168" xr:uid="{00000000-0005-0000-0000-0000215C0000}"/>
    <cellStyle name="Normal 3 4 2 2 2 2 2 2 3 2" xfId="6169" xr:uid="{00000000-0005-0000-0000-0000225C0000}"/>
    <cellStyle name="Normal 3 4 2 2 2 2 2 2 3 2 2" xfId="29862" xr:uid="{00000000-0005-0000-0000-0000235C0000}"/>
    <cellStyle name="Normal 3 4 2 2 2 2 2 2 3 2 2 2" xfId="61733" xr:uid="{00000000-0005-0000-0000-0000245C0000}"/>
    <cellStyle name="Normal 3 4 2 2 2 2 2 2 3 2 3" xfId="38048" xr:uid="{00000000-0005-0000-0000-0000255C0000}"/>
    <cellStyle name="Normal 3 4 2 2 2 2 2 2 3 3" xfId="21984" xr:uid="{00000000-0005-0000-0000-0000265C0000}"/>
    <cellStyle name="Normal 3 4 2 2 2 2 2 2 3 3 2" xfId="53855" xr:uid="{00000000-0005-0000-0000-0000275C0000}"/>
    <cellStyle name="Normal 3 4 2 2 2 2 2 2 3 4" xfId="38047" xr:uid="{00000000-0005-0000-0000-0000285C0000}"/>
    <cellStyle name="Normal 3 4 2 2 2 2 2 2 4" xfId="6170" xr:uid="{00000000-0005-0000-0000-0000295C0000}"/>
    <cellStyle name="Normal 3 4 2 2 2 2 2 2 4 2" xfId="25923" xr:uid="{00000000-0005-0000-0000-00002A5C0000}"/>
    <cellStyle name="Normal 3 4 2 2 2 2 2 2 4 2 2" xfId="57794" xr:uid="{00000000-0005-0000-0000-00002B5C0000}"/>
    <cellStyle name="Normal 3 4 2 2 2 2 2 2 4 3" xfId="38049" xr:uid="{00000000-0005-0000-0000-00002C5C0000}"/>
    <cellStyle name="Normal 3 4 2 2 2 2 2 2 5" xfId="18045" xr:uid="{00000000-0005-0000-0000-00002D5C0000}"/>
    <cellStyle name="Normal 3 4 2 2 2 2 2 2 5 2" xfId="49916" xr:uid="{00000000-0005-0000-0000-00002E5C0000}"/>
    <cellStyle name="Normal 3 4 2 2 2 2 2 2 6" xfId="38042" xr:uid="{00000000-0005-0000-0000-00002F5C0000}"/>
    <cellStyle name="Normal 3 4 2 2 2 2 2 3" xfId="6171" xr:uid="{00000000-0005-0000-0000-0000305C0000}"/>
    <cellStyle name="Normal 3 4 2 2 2 2 2 3 2" xfId="6172" xr:uid="{00000000-0005-0000-0000-0000315C0000}"/>
    <cellStyle name="Normal 3 4 2 2 2 2 2 3 2 2" xfId="6173" xr:uid="{00000000-0005-0000-0000-0000325C0000}"/>
    <cellStyle name="Normal 3 4 2 2 2 2 2 3 2 2 2" xfId="29864" xr:uid="{00000000-0005-0000-0000-0000335C0000}"/>
    <cellStyle name="Normal 3 4 2 2 2 2 2 3 2 2 2 2" xfId="61735" xr:uid="{00000000-0005-0000-0000-0000345C0000}"/>
    <cellStyle name="Normal 3 4 2 2 2 2 2 3 2 2 3" xfId="38052" xr:uid="{00000000-0005-0000-0000-0000355C0000}"/>
    <cellStyle name="Normal 3 4 2 2 2 2 2 3 2 3" xfId="21986" xr:uid="{00000000-0005-0000-0000-0000365C0000}"/>
    <cellStyle name="Normal 3 4 2 2 2 2 2 3 2 3 2" xfId="53857" xr:uid="{00000000-0005-0000-0000-0000375C0000}"/>
    <cellStyle name="Normal 3 4 2 2 2 2 2 3 2 4" xfId="38051" xr:uid="{00000000-0005-0000-0000-0000385C0000}"/>
    <cellStyle name="Normal 3 4 2 2 2 2 2 3 3" xfId="6174" xr:uid="{00000000-0005-0000-0000-0000395C0000}"/>
    <cellStyle name="Normal 3 4 2 2 2 2 2 3 3 2" xfId="25925" xr:uid="{00000000-0005-0000-0000-00003A5C0000}"/>
    <cellStyle name="Normal 3 4 2 2 2 2 2 3 3 2 2" xfId="57796" xr:uid="{00000000-0005-0000-0000-00003B5C0000}"/>
    <cellStyle name="Normal 3 4 2 2 2 2 2 3 3 3" xfId="38053" xr:uid="{00000000-0005-0000-0000-00003C5C0000}"/>
    <cellStyle name="Normal 3 4 2 2 2 2 2 3 4" xfId="18047" xr:uid="{00000000-0005-0000-0000-00003D5C0000}"/>
    <cellStyle name="Normal 3 4 2 2 2 2 2 3 4 2" xfId="49918" xr:uid="{00000000-0005-0000-0000-00003E5C0000}"/>
    <cellStyle name="Normal 3 4 2 2 2 2 2 3 5" xfId="38050" xr:uid="{00000000-0005-0000-0000-00003F5C0000}"/>
    <cellStyle name="Normal 3 4 2 2 2 2 2 4" xfId="6175" xr:uid="{00000000-0005-0000-0000-0000405C0000}"/>
    <cellStyle name="Normal 3 4 2 2 2 2 2 4 2" xfId="6176" xr:uid="{00000000-0005-0000-0000-0000415C0000}"/>
    <cellStyle name="Normal 3 4 2 2 2 2 2 4 2 2" xfId="29861" xr:uid="{00000000-0005-0000-0000-0000425C0000}"/>
    <cellStyle name="Normal 3 4 2 2 2 2 2 4 2 2 2" xfId="61732" xr:uid="{00000000-0005-0000-0000-0000435C0000}"/>
    <cellStyle name="Normal 3 4 2 2 2 2 2 4 2 3" xfId="38055" xr:uid="{00000000-0005-0000-0000-0000445C0000}"/>
    <cellStyle name="Normal 3 4 2 2 2 2 2 4 3" xfId="21983" xr:uid="{00000000-0005-0000-0000-0000455C0000}"/>
    <cellStyle name="Normal 3 4 2 2 2 2 2 4 3 2" xfId="53854" xr:uid="{00000000-0005-0000-0000-0000465C0000}"/>
    <cellStyle name="Normal 3 4 2 2 2 2 2 4 4" xfId="38054" xr:uid="{00000000-0005-0000-0000-0000475C0000}"/>
    <cellStyle name="Normal 3 4 2 2 2 2 2 5" xfId="6177" xr:uid="{00000000-0005-0000-0000-0000485C0000}"/>
    <cellStyle name="Normal 3 4 2 2 2 2 2 5 2" xfId="25922" xr:uid="{00000000-0005-0000-0000-0000495C0000}"/>
    <cellStyle name="Normal 3 4 2 2 2 2 2 5 2 2" xfId="57793" xr:uid="{00000000-0005-0000-0000-00004A5C0000}"/>
    <cellStyle name="Normal 3 4 2 2 2 2 2 5 3" xfId="38056" xr:uid="{00000000-0005-0000-0000-00004B5C0000}"/>
    <cellStyle name="Normal 3 4 2 2 2 2 2 6" xfId="18044" xr:uid="{00000000-0005-0000-0000-00004C5C0000}"/>
    <cellStyle name="Normal 3 4 2 2 2 2 2 6 2" xfId="49915" xr:uid="{00000000-0005-0000-0000-00004D5C0000}"/>
    <cellStyle name="Normal 3 4 2 2 2 2 2 7" xfId="38041" xr:uid="{00000000-0005-0000-0000-00004E5C0000}"/>
    <cellStyle name="Normal 3 4 2 2 2 2 3" xfId="6178" xr:uid="{00000000-0005-0000-0000-00004F5C0000}"/>
    <cellStyle name="Normal 3 4 2 2 2 2 3 2" xfId="6179" xr:uid="{00000000-0005-0000-0000-0000505C0000}"/>
    <cellStyle name="Normal 3 4 2 2 2 2 3 2 2" xfId="6180" xr:uid="{00000000-0005-0000-0000-0000515C0000}"/>
    <cellStyle name="Normal 3 4 2 2 2 2 3 2 2 2" xfId="6181" xr:uid="{00000000-0005-0000-0000-0000525C0000}"/>
    <cellStyle name="Normal 3 4 2 2 2 2 3 2 2 2 2" xfId="29866" xr:uid="{00000000-0005-0000-0000-0000535C0000}"/>
    <cellStyle name="Normal 3 4 2 2 2 2 3 2 2 2 2 2" xfId="61737" xr:uid="{00000000-0005-0000-0000-0000545C0000}"/>
    <cellStyle name="Normal 3 4 2 2 2 2 3 2 2 2 3" xfId="38060" xr:uid="{00000000-0005-0000-0000-0000555C0000}"/>
    <cellStyle name="Normal 3 4 2 2 2 2 3 2 2 3" xfId="21988" xr:uid="{00000000-0005-0000-0000-0000565C0000}"/>
    <cellStyle name="Normal 3 4 2 2 2 2 3 2 2 3 2" xfId="53859" xr:uid="{00000000-0005-0000-0000-0000575C0000}"/>
    <cellStyle name="Normal 3 4 2 2 2 2 3 2 2 4" xfId="38059" xr:uid="{00000000-0005-0000-0000-0000585C0000}"/>
    <cellStyle name="Normal 3 4 2 2 2 2 3 2 3" xfId="6182" xr:uid="{00000000-0005-0000-0000-0000595C0000}"/>
    <cellStyle name="Normal 3 4 2 2 2 2 3 2 3 2" xfId="25927" xr:uid="{00000000-0005-0000-0000-00005A5C0000}"/>
    <cellStyle name="Normal 3 4 2 2 2 2 3 2 3 2 2" xfId="57798" xr:uid="{00000000-0005-0000-0000-00005B5C0000}"/>
    <cellStyle name="Normal 3 4 2 2 2 2 3 2 3 3" xfId="38061" xr:uid="{00000000-0005-0000-0000-00005C5C0000}"/>
    <cellStyle name="Normal 3 4 2 2 2 2 3 2 4" xfId="18049" xr:uid="{00000000-0005-0000-0000-00005D5C0000}"/>
    <cellStyle name="Normal 3 4 2 2 2 2 3 2 4 2" xfId="49920" xr:uid="{00000000-0005-0000-0000-00005E5C0000}"/>
    <cellStyle name="Normal 3 4 2 2 2 2 3 2 5" xfId="38058" xr:uid="{00000000-0005-0000-0000-00005F5C0000}"/>
    <cellStyle name="Normal 3 4 2 2 2 2 3 3" xfId="6183" xr:uid="{00000000-0005-0000-0000-0000605C0000}"/>
    <cellStyle name="Normal 3 4 2 2 2 2 3 3 2" xfId="6184" xr:uid="{00000000-0005-0000-0000-0000615C0000}"/>
    <cellStyle name="Normal 3 4 2 2 2 2 3 3 2 2" xfId="29865" xr:uid="{00000000-0005-0000-0000-0000625C0000}"/>
    <cellStyle name="Normal 3 4 2 2 2 2 3 3 2 2 2" xfId="61736" xr:uid="{00000000-0005-0000-0000-0000635C0000}"/>
    <cellStyle name="Normal 3 4 2 2 2 2 3 3 2 3" xfId="38063" xr:uid="{00000000-0005-0000-0000-0000645C0000}"/>
    <cellStyle name="Normal 3 4 2 2 2 2 3 3 3" xfId="21987" xr:uid="{00000000-0005-0000-0000-0000655C0000}"/>
    <cellStyle name="Normal 3 4 2 2 2 2 3 3 3 2" xfId="53858" xr:uid="{00000000-0005-0000-0000-0000665C0000}"/>
    <cellStyle name="Normal 3 4 2 2 2 2 3 3 4" xfId="38062" xr:uid="{00000000-0005-0000-0000-0000675C0000}"/>
    <cellStyle name="Normal 3 4 2 2 2 2 3 4" xfId="6185" xr:uid="{00000000-0005-0000-0000-0000685C0000}"/>
    <cellStyle name="Normal 3 4 2 2 2 2 3 4 2" xfId="25926" xr:uid="{00000000-0005-0000-0000-0000695C0000}"/>
    <cellStyle name="Normal 3 4 2 2 2 2 3 4 2 2" xfId="57797" xr:uid="{00000000-0005-0000-0000-00006A5C0000}"/>
    <cellStyle name="Normal 3 4 2 2 2 2 3 4 3" xfId="38064" xr:uid="{00000000-0005-0000-0000-00006B5C0000}"/>
    <cellStyle name="Normal 3 4 2 2 2 2 3 5" xfId="18048" xr:uid="{00000000-0005-0000-0000-00006C5C0000}"/>
    <cellStyle name="Normal 3 4 2 2 2 2 3 5 2" xfId="49919" xr:uid="{00000000-0005-0000-0000-00006D5C0000}"/>
    <cellStyle name="Normal 3 4 2 2 2 2 3 6" xfId="38057" xr:uid="{00000000-0005-0000-0000-00006E5C0000}"/>
    <cellStyle name="Normal 3 4 2 2 2 2 4" xfId="6186" xr:uid="{00000000-0005-0000-0000-00006F5C0000}"/>
    <cellStyle name="Normal 3 4 2 2 2 2 4 2" xfId="6187" xr:uid="{00000000-0005-0000-0000-0000705C0000}"/>
    <cellStyle name="Normal 3 4 2 2 2 2 4 2 2" xfId="6188" xr:uid="{00000000-0005-0000-0000-0000715C0000}"/>
    <cellStyle name="Normal 3 4 2 2 2 2 4 2 2 2" xfId="29867" xr:uid="{00000000-0005-0000-0000-0000725C0000}"/>
    <cellStyle name="Normal 3 4 2 2 2 2 4 2 2 2 2" xfId="61738" xr:uid="{00000000-0005-0000-0000-0000735C0000}"/>
    <cellStyle name="Normal 3 4 2 2 2 2 4 2 2 3" xfId="38067" xr:uid="{00000000-0005-0000-0000-0000745C0000}"/>
    <cellStyle name="Normal 3 4 2 2 2 2 4 2 3" xfId="21989" xr:uid="{00000000-0005-0000-0000-0000755C0000}"/>
    <cellStyle name="Normal 3 4 2 2 2 2 4 2 3 2" xfId="53860" xr:uid="{00000000-0005-0000-0000-0000765C0000}"/>
    <cellStyle name="Normal 3 4 2 2 2 2 4 2 4" xfId="38066" xr:uid="{00000000-0005-0000-0000-0000775C0000}"/>
    <cellStyle name="Normal 3 4 2 2 2 2 4 3" xfId="6189" xr:uid="{00000000-0005-0000-0000-0000785C0000}"/>
    <cellStyle name="Normal 3 4 2 2 2 2 4 3 2" xfId="25928" xr:uid="{00000000-0005-0000-0000-0000795C0000}"/>
    <cellStyle name="Normal 3 4 2 2 2 2 4 3 2 2" xfId="57799" xr:uid="{00000000-0005-0000-0000-00007A5C0000}"/>
    <cellStyle name="Normal 3 4 2 2 2 2 4 3 3" xfId="38068" xr:uid="{00000000-0005-0000-0000-00007B5C0000}"/>
    <cellStyle name="Normal 3 4 2 2 2 2 4 4" xfId="18050" xr:uid="{00000000-0005-0000-0000-00007C5C0000}"/>
    <cellStyle name="Normal 3 4 2 2 2 2 4 4 2" xfId="49921" xr:uid="{00000000-0005-0000-0000-00007D5C0000}"/>
    <cellStyle name="Normal 3 4 2 2 2 2 4 5" xfId="38065" xr:uid="{00000000-0005-0000-0000-00007E5C0000}"/>
    <cellStyle name="Normal 3 4 2 2 2 2 5" xfId="6190" xr:uid="{00000000-0005-0000-0000-00007F5C0000}"/>
    <cellStyle name="Normal 3 4 2 2 2 2 5 2" xfId="6191" xr:uid="{00000000-0005-0000-0000-0000805C0000}"/>
    <cellStyle name="Normal 3 4 2 2 2 2 5 2 2" xfId="29860" xr:uid="{00000000-0005-0000-0000-0000815C0000}"/>
    <cellStyle name="Normal 3 4 2 2 2 2 5 2 2 2" xfId="61731" xr:uid="{00000000-0005-0000-0000-0000825C0000}"/>
    <cellStyle name="Normal 3 4 2 2 2 2 5 2 3" xfId="38070" xr:uid="{00000000-0005-0000-0000-0000835C0000}"/>
    <cellStyle name="Normal 3 4 2 2 2 2 5 3" xfId="21982" xr:uid="{00000000-0005-0000-0000-0000845C0000}"/>
    <cellStyle name="Normal 3 4 2 2 2 2 5 3 2" xfId="53853" xr:uid="{00000000-0005-0000-0000-0000855C0000}"/>
    <cellStyle name="Normal 3 4 2 2 2 2 5 4" xfId="38069" xr:uid="{00000000-0005-0000-0000-0000865C0000}"/>
    <cellStyle name="Normal 3 4 2 2 2 2 6" xfId="6192" xr:uid="{00000000-0005-0000-0000-0000875C0000}"/>
    <cellStyle name="Normal 3 4 2 2 2 2 6 2" xfId="25921" xr:uid="{00000000-0005-0000-0000-0000885C0000}"/>
    <cellStyle name="Normal 3 4 2 2 2 2 6 2 2" xfId="57792" xr:uid="{00000000-0005-0000-0000-0000895C0000}"/>
    <cellStyle name="Normal 3 4 2 2 2 2 6 3" xfId="38071" xr:uid="{00000000-0005-0000-0000-00008A5C0000}"/>
    <cellStyle name="Normal 3 4 2 2 2 2 7" xfId="18043" xr:uid="{00000000-0005-0000-0000-00008B5C0000}"/>
    <cellStyle name="Normal 3 4 2 2 2 2 7 2" xfId="49914" xr:uid="{00000000-0005-0000-0000-00008C5C0000}"/>
    <cellStyle name="Normal 3 4 2 2 2 2 8" xfId="38040" xr:uid="{00000000-0005-0000-0000-00008D5C0000}"/>
    <cellStyle name="Normal 3 4 2 2 2 3" xfId="6193" xr:uid="{00000000-0005-0000-0000-00008E5C0000}"/>
    <cellStyle name="Normal 3 4 2 2 2 3 2" xfId="6194" xr:uid="{00000000-0005-0000-0000-00008F5C0000}"/>
    <cellStyle name="Normal 3 4 2 2 2 3 2 2" xfId="6195" xr:uid="{00000000-0005-0000-0000-0000905C0000}"/>
    <cellStyle name="Normal 3 4 2 2 2 3 2 2 2" xfId="6196" xr:uid="{00000000-0005-0000-0000-0000915C0000}"/>
    <cellStyle name="Normal 3 4 2 2 2 3 2 2 2 2" xfId="6197" xr:uid="{00000000-0005-0000-0000-0000925C0000}"/>
    <cellStyle name="Normal 3 4 2 2 2 3 2 2 2 2 2" xfId="29870" xr:uid="{00000000-0005-0000-0000-0000935C0000}"/>
    <cellStyle name="Normal 3 4 2 2 2 3 2 2 2 2 2 2" xfId="61741" xr:uid="{00000000-0005-0000-0000-0000945C0000}"/>
    <cellStyle name="Normal 3 4 2 2 2 3 2 2 2 2 3" xfId="38076" xr:uid="{00000000-0005-0000-0000-0000955C0000}"/>
    <cellStyle name="Normal 3 4 2 2 2 3 2 2 2 3" xfId="21992" xr:uid="{00000000-0005-0000-0000-0000965C0000}"/>
    <cellStyle name="Normal 3 4 2 2 2 3 2 2 2 3 2" xfId="53863" xr:uid="{00000000-0005-0000-0000-0000975C0000}"/>
    <cellStyle name="Normal 3 4 2 2 2 3 2 2 2 4" xfId="38075" xr:uid="{00000000-0005-0000-0000-0000985C0000}"/>
    <cellStyle name="Normal 3 4 2 2 2 3 2 2 3" xfId="6198" xr:uid="{00000000-0005-0000-0000-0000995C0000}"/>
    <cellStyle name="Normal 3 4 2 2 2 3 2 2 3 2" xfId="25931" xr:uid="{00000000-0005-0000-0000-00009A5C0000}"/>
    <cellStyle name="Normal 3 4 2 2 2 3 2 2 3 2 2" xfId="57802" xr:uid="{00000000-0005-0000-0000-00009B5C0000}"/>
    <cellStyle name="Normal 3 4 2 2 2 3 2 2 3 3" xfId="38077" xr:uid="{00000000-0005-0000-0000-00009C5C0000}"/>
    <cellStyle name="Normal 3 4 2 2 2 3 2 2 4" xfId="18053" xr:uid="{00000000-0005-0000-0000-00009D5C0000}"/>
    <cellStyle name="Normal 3 4 2 2 2 3 2 2 4 2" xfId="49924" xr:uid="{00000000-0005-0000-0000-00009E5C0000}"/>
    <cellStyle name="Normal 3 4 2 2 2 3 2 2 5" xfId="38074" xr:uid="{00000000-0005-0000-0000-00009F5C0000}"/>
    <cellStyle name="Normal 3 4 2 2 2 3 2 3" xfId="6199" xr:uid="{00000000-0005-0000-0000-0000A05C0000}"/>
    <cellStyle name="Normal 3 4 2 2 2 3 2 3 2" xfId="6200" xr:uid="{00000000-0005-0000-0000-0000A15C0000}"/>
    <cellStyle name="Normal 3 4 2 2 2 3 2 3 2 2" xfId="29869" xr:uid="{00000000-0005-0000-0000-0000A25C0000}"/>
    <cellStyle name="Normal 3 4 2 2 2 3 2 3 2 2 2" xfId="61740" xr:uid="{00000000-0005-0000-0000-0000A35C0000}"/>
    <cellStyle name="Normal 3 4 2 2 2 3 2 3 2 3" xfId="38079" xr:uid="{00000000-0005-0000-0000-0000A45C0000}"/>
    <cellStyle name="Normal 3 4 2 2 2 3 2 3 3" xfId="21991" xr:uid="{00000000-0005-0000-0000-0000A55C0000}"/>
    <cellStyle name="Normal 3 4 2 2 2 3 2 3 3 2" xfId="53862" xr:uid="{00000000-0005-0000-0000-0000A65C0000}"/>
    <cellStyle name="Normal 3 4 2 2 2 3 2 3 4" xfId="38078" xr:uid="{00000000-0005-0000-0000-0000A75C0000}"/>
    <cellStyle name="Normal 3 4 2 2 2 3 2 4" xfId="6201" xr:uid="{00000000-0005-0000-0000-0000A85C0000}"/>
    <cellStyle name="Normal 3 4 2 2 2 3 2 4 2" xfId="25930" xr:uid="{00000000-0005-0000-0000-0000A95C0000}"/>
    <cellStyle name="Normal 3 4 2 2 2 3 2 4 2 2" xfId="57801" xr:uid="{00000000-0005-0000-0000-0000AA5C0000}"/>
    <cellStyle name="Normal 3 4 2 2 2 3 2 4 3" xfId="38080" xr:uid="{00000000-0005-0000-0000-0000AB5C0000}"/>
    <cellStyle name="Normal 3 4 2 2 2 3 2 5" xfId="18052" xr:uid="{00000000-0005-0000-0000-0000AC5C0000}"/>
    <cellStyle name="Normal 3 4 2 2 2 3 2 5 2" xfId="49923" xr:uid="{00000000-0005-0000-0000-0000AD5C0000}"/>
    <cellStyle name="Normal 3 4 2 2 2 3 2 6" xfId="38073" xr:uid="{00000000-0005-0000-0000-0000AE5C0000}"/>
    <cellStyle name="Normal 3 4 2 2 2 3 3" xfId="6202" xr:uid="{00000000-0005-0000-0000-0000AF5C0000}"/>
    <cellStyle name="Normal 3 4 2 2 2 3 3 2" xfId="6203" xr:uid="{00000000-0005-0000-0000-0000B05C0000}"/>
    <cellStyle name="Normal 3 4 2 2 2 3 3 2 2" xfId="6204" xr:uid="{00000000-0005-0000-0000-0000B15C0000}"/>
    <cellStyle name="Normal 3 4 2 2 2 3 3 2 2 2" xfId="29871" xr:uid="{00000000-0005-0000-0000-0000B25C0000}"/>
    <cellStyle name="Normal 3 4 2 2 2 3 3 2 2 2 2" xfId="61742" xr:uid="{00000000-0005-0000-0000-0000B35C0000}"/>
    <cellStyle name="Normal 3 4 2 2 2 3 3 2 2 3" xfId="38083" xr:uid="{00000000-0005-0000-0000-0000B45C0000}"/>
    <cellStyle name="Normal 3 4 2 2 2 3 3 2 3" xfId="21993" xr:uid="{00000000-0005-0000-0000-0000B55C0000}"/>
    <cellStyle name="Normal 3 4 2 2 2 3 3 2 3 2" xfId="53864" xr:uid="{00000000-0005-0000-0000-0000B65C0000}"/>
    <cellStyle name="Normal 3 4 2 2 2 3 3 2 4" xfId="38082" xr:uid="{00000000-0005-0000-0000-0000B75C0000}"/>
    <cellStyle name="Normal 3 4 2 2 2 3 3 3" xfId="6205" xr:uid="{00000000-0005-0000-0000-0000B85C0000}"/>
    <cellStyle name="Normal 3 4 2 2 2 3 3 3 2" xfId="25932" xr:uid="{00000000-0005-0000-0000-0000B95C0000}"/>
    <cellStyle name="Normal 3 4 2 2 2 3 3 3 2 2" xfId="57803" xr:uid="{00000000-0005-0000-0000-0000BA5C0000}"/>
    <cellStyle name="Normal 3 4 2 2 2 3 3 3 3" xfId="38084" xr:uid="{00000000-0005-0000-0000-0000BB5C0000}"/>
    <cellStyle name="Normal 3 4 2 2 2 3 3 4" xfId="18054" xr:uid="{00000000-0005-0000-0000-0000BC5C0000}"/>
    <cellStyle name="Normal 3 4 2 2 2 3 3 4 2" xfId="49925" xr:uid="{00000000-0005-0000-0000-0000BD5C0000}"/>
    <cellStyle name="Normal 3 4 2 2 2 3 3 5" xfId="38081" xr:uid="{00000000-0005-0000-0000-0000BE5C0000}"/>
    <cellStyle name="Normal 3 4 2 2 2 3 4" xfId="6206" xr:uid="{00000000-0005-0000-0000-0000BF5C0000}"/>
    <cellStyle name="Normal 3 4 2 2 2 3 4 2" xfId="6207" xr:uid="{00000000-0005-0000-0000-0000C05C0000}"/>
    <cellStyle name="Normal 3 4 2 2 2 3 4 2 2" xfId="29868" xr:uid="{00000000-0005-0000-0000-0000C15C0000}"/>
    <cellStyle name="Normal 3 4 2 2 2 3 4 2 2 2" xfId="61739" xr:uid="{00000000-0005-0000-0000-0000C25C0000}"/>
    <cellStyle name="Normal 3 4 2 2 2 3 4 2 3" xfId="38086" xr:uid="{00000000-0005-0000-0000-0000C35C0000}"/>
    <cellStyle name="Normal 3 4 2 2 2 3 4 3" xfId="21990" xr:uid="{00000000-0005-0000-0000-0000C45C0000}"/>
    <cellStyle name="Normal 3 4 2 2 2 3 4 3 2" xfId="53861" xr:uid="{00000000-0005-0000-0000-0000C55C0000}"/>
    <cellStyle name="Normal 3 4 2 2 2 3 4 4" xfId="38085" xr:uid="{00000000-0005-0000-0000-0000C65C0000}"/>
    <cellStyle name="Normal 3 4 2 2 2 3 5" xfId="6208" xr:uid="{00000000-0005-0000-0000-0000C75C0000}"/>
    <cellStyle name="Normal 3 4 2 2 2 3 5 2" xfId="25929" xr:uid="{00000000-0005-0000-0000-0000C85C0000}"/>
    <cellStyle name="Normal 3 4 2 2 2 3 5 2 2" xfId="57800" xr:uid="{00000000-0005-0000-0000-0000C95C0000}"/>
    <cellStyle name="Normal 3 4 2 2 2 3 5 3" xfId="38087" xr:uid="{00000000-0005-0000-0000-0000CA5C0000}"/>
    <cellStyle name="Normal 3 4 2 2 2 3 6" xfId="18051" xr:uid="{00000000-0005-0000-0000-0000CB5C0000}"/>
    <cellStyle name="Normal 3 4 2 2 2 3 6 2" xfId="49922" xr:uid="{00000000-0005-0000-0000-0000CC5C0000}"/>
    <cellStyle name="Normal 3 4 2 2 2 3 7" xfId="38072" xr:uid="{00000000-0005-0000-0000-0000CD5C0000}"/>
    <cellStyle name="Normal 3 4 2 2 2 4" xfId="6209" xr:uid="{00000000-0005-0000-0000-0000CE5C0000}"/>
    <cellStyle name="Normal 3 4 2 2 2 4 2" xfId="6210" xr:uid="{00000000-0005-0000-0000-0000CF5C0000}"/>
    <cellStyle name="Normal 3 4 2 2 2 4 2 2" xfId="6211" xr:uid="{00000000-0005-0000-0000-0000D05C0000}"/>
    <cellStyle name="Normal 3 4 2 2 2 4 2 2 2" xfId="6212" xr:uid="{00000000-0005-0000-0000-0000D15C0000}"/>
    <cellStyle name="Normal 3 4 2 2 2 4 2 2 2 2" xfId="29873" xr:uid="{00000000-0005-0000-0000-0000D25C0000}"/>
    <cellStyle name="Normal 3 4 2 2 2 4 2 2 2 2 2" xfId="61744" xr:uid="{00000000-0005-0000-0000-0000D35C0000}"/>
    <cellStyle name="Normal 3 4 2 2 2 4 2 2 2 3" xfId="38091" xr:uid="{00000000-0005-0000-0000-0000D45C0000}"/>
    <cellStyle name="Normal 3 4 2 2 2 4 2 2 3" xfId="21995" xr:uid="{00000000-0005-0000-0000-0000D55C0000}"/>
    <cellStyle name="Normal 3 4 2 2 2 4 2 2 3 2" xfId="53866" xr:uid="{00000000-0005-0000-0000-0000D65C0000}"/>
    <cellStyle name="Normal 3 4 2 2 2 4 2 2 4" xfId="38090" xr:uid="{00000000-0005-0000-0000-0000D75C0000}"/>
    <cellStyle name="Normal 3 4 2 2 2 4 2 3" xfId="6213" xr:uid="{00000000-0005-0000-0000-0000D85C0000}"/>
    <cellStyle name="Normal 3 4 2 2 2 4 2 3 2" xfId="25934" xr:uid="{00000000-0005-0000-0000-0000D95C0000}"/>
    <cellStyle name="Normal 3 4 2 2 2 4 2 3 2 2" xfId="57805" xr:uid="{00000000-0005-0000-0000-0000DA5C0000}"/>
    <cellStyle name="Normal 3 4 2 2 2 4 2 3 3" xfId="38092" xr:uid="{00000000-0005-0000-0000-0000DB5C0000}"/>
    <cellStyle name="Normal 3 4 2 2 2 4 2 4" xfId="18056" xr:uid="{00000000-0005-0000-0000-0000DC5C0000}"/>
    <cellStyle name="Normal 3 4 2 2 2 4 2 4 2" xfId="49927" xr:uid="{00000000-0005-0000-0000-0000DD5C0000}"/>
    <cellStyle name="Normal 3 4 2 2 2 4 2 5" xfId="38089" xr:uid="{00000000-0005-0000-0000-0000DE5C0000}"/>
    <cellStyle name="Normal 3 4 2 2 2 4 3" xfId="6214" xr:uid="{00000000-0005-0000-0000-0000DF5C0000}"/>
    <cellStyle name="Normal 3 4 2 2 2 4 3 2" xfId="6215" xr:uid="{00000000-0005-0000-0000-0000E05C0000}"/>
    <cellStyle name="Normal 3 4 2 2 2 4 3 2 2" xfId="29872" xr:uid="{00000000-0005-0000-0000-0000E15C0000}"/>
    <cellStyle name="Normal 3 4 2 2 2 4 3 2 2 2" xfId="61743" xr:uid="{00000000-0005-0000-0000-0000E25C0000}"/>
    <cellStyle name="Normal 3 4 2 2 2 4 3 2 3" xfId="38094" xr:uid="{00000000-0005-0000-0000-0000E35C0000}"/>
    <cellStyle name="Normal 3 4 2 2 2 4 3 3" xfId="21994" xr:uid="{00000000-0005-0000-0000-0000E45C0000}"/>
    <cellStyle name="Normal 3 4 2 2 2 4 3 3 2" xfId="53865" xr:uid="{00000000-0005-0000-0000-0000E55C0000}"/>
    <cellStyle name="Normal 3 4 2 2 2 4 3 4" xfId="38093" xr:uid="{00000000-0005-0000-0000-0000E65C0000}"/>
    <cellStyle name="Normal 3 4 2 2 2 4 4" xfId="6216" xr:uid="{00000000-0005-0000-0000-0000E75C0000}"/>
    <cellStyle name="Normal 3 4 2 2 2 4 4 2" xfId="25933" xr:uid="{00000000-0005-0000-0000-0000E85C0000}"/>
    <cellStyle name="Normal 3 4 2 2 2 4 4 2 2" xfId="57804" xr:uid="{00000000-0005-0000-0000-0000E95C0000}"/>
    <cellStyle name="Normal 3 4 2 2 2 4 4 3" xfId="38095" xr:uid="{00000000-0005-0000-0000-0000EA5C0000}"/>
    <cellStyle name="Normal 3 4 2 2 2 4 5" xfId="18055" xr:uid="{00000000-0005-0000-0000-0000EB5C0000}"/>
    <cellStyle name="Normal 3 4 2 2 2 4 5 2" xfId="49926" xr:uid="{00000000-0005-0000-0000-0000EC5C0000}"/>
    <cellStyle name="Normal 3 4 2 2 2 4 6" xfId="38088" xr:uid="{00000000-0005-0000-0000-0000ED5C0000}"/>
    <cellStyle name="Normal 3 4 2 2 2 5" xfId="6217" xr:uid="{00000000-0005-0000-0000-0000EE5C0000}"/>
    <cellStyle name="Normal 3 4 2 2 2 5 2" xfId="6218" xr:uid="{00000000-0005-0000-0000-0000EF5C0000}"/>
    <cellStyle name="Normal 3 4 2 2 2 5 2 2" xfId="6219" xr:uid="{00000000-0005-0000-0000-0000F05C0000}"/>
    <cellStyle name="Normal 3 4 2 2 2 5 2 2 2" xfId="29874" xr:uid="{00000000-0005-0000-0000-0000F15C0000}"/>
    <cellStyle name="Normal 3 4 2 2 2 5 2 2 2 2" xfId="61745" xr:uid="{00000000-0005-0000-0000-0000F25C0000}"/>
    <cellStyle name="Normal 3 4 2 2 2 5 2 2 3" xfId="38098" xr:uid="{00000000-0005-0000-0000-0000F35C0000}"/>
    <cellStyle name="Normal 3 4 2 2 2 5 2 3" xfId="21996" xr:uid="{00000000-0005-0000-0000-0000F45C0000}"/>
    <cellStyle name="Normal 3 4 2 2 2 5 2 3 2" xfId="53867" xr:uid="{00000000-0005-0000-0000-0000F55C0000}"/>
    <cellStyle name="Normal 3 4 2 2 2 5 2 4" xfId="38097" xr:uid="{00000000-0005-0000-0000-0000F65C0000}"/>
    <cellStyle name="Normal 3 4 2 2 2 5 3" xfId="6220" xr:uid="{00000000-0005-0000-0000-0000F75C0000}"/>
    <cellStyle name="Normal 3 4 2 2 2 5 3 2" xfId="25935" xr:uid="{00000000-0005-0000-0000-0000F85C0000}"/>
    <cellStyle name="Normal 3 4 2 2 2 5 3 2 2" xfId="57806" xr:uid="{00000000-0005-0000-0000-0000F95C0000}"/>
    <cellStyle name="Normal 3 4 2 2 2 5 3 3" xfId="38099" xr:uid="{00000000-0005-0000-0000-0000FA5C0000}"/>
    <cellStyle name="Normal 3 4 2 2 2 5 4" xfId="18057" xr:uid="{00000000-0005-0000-0000-0000FB5C0000}"/>
    <cellStyle name="Normal 3 4 2 2 2 5 4 2" xfId="49928" xr:uid="{00000000-0005-0000-0000-0000FC5C0000}"/>
    <cellStyle name="Normal 3 4 2 2 2 5 5" xfId="38096" xr:uid="{00000000-0005-0000-0000-0000FD5C0000}"/>
    <cellStyle name="Normal 3 4 2 2 2 6" xfId="6221" xr:uid="{00000000-0005-0000-0000-0000FE5C0000}"/>
    <cellStyle name="Normal 3 4 2 2 2 6 2" xfId="6222" xr:uid="{00000000-0005-0000-0000-0000FF5C0000}"/>
    <cellStyle name="Normal 3 4 2 2 2 6 2 2" xfId="28447" xr:uid="{00000000-0005-0000-0000-0000005D0000}"/>
    <cellStyle name="Normal 3 4 2 2 2 6 2 2 2" xfId="60318" xr:uid="{00000000-0005-0000-0000-0000015D0000}"/>
    <cellStyle name="Normal 3 4 2 2 2 6 2 3" xfId="38101" xr:uid="{00000000-0005-0000-0000-0000025D0000}"/>
    <cellStyle name="Normal 3 4 2 2 2 6 3" xfId="20569" xr:uid="{00000000-0005-0000-0000-0000035D0000}"/>
    <cellStyle name="Normal 3 4 2 2 2 6 3 2" xfId="52440" xr:uid="{00000000-0005-0000-0000-0000045D0000}"/>
    <cellStyle name="Normal 3 4 2 2 2 6 4" xfId="38100" xr:uid="{00000000-0005-0000-0000-0000055D0000}"/>
    <cellStyle name="Normal 3 4 2 2 2 7" xfId="6223" xr:uid="{00000000-0005-0000-0000-0000065D0000}"/>
    <cellStyle name="Normal 3 4 2 2 2 7 2" xfId="24508" xr:uid="{00000000-0005-0000-0000-0000075D0000}"/>
    <cellStyle name="Normal 3 4 2 2 2 7 2 2" xfId="56379" xr:uid="{00000000-0005-0000-0000-0000085D0000}"/>
    <cellStyle name="Normal 3 4 2 2 2 7 3" xfId="38102" xr:uid="{00000000-0005-0000-0000-0000095D0000}"/>
    <cellStyle name="Normal 3 4 2 2 2 8" xfId="16630" xr:uid="{00000000-0005-0000-0000-00000A5D0000}"/>
    <cellStyle name="Normal 3 4 2 2 2 8 2" xfId="48501" xr:uid="{00000000-0005-0000-0000-00000B5D0000}"/>
    <cellStyle name="Normal 3 4 2 2 2 9" xfId="38039" xr:uid="{00000000-0005-0000-0000-00000C5D0000}"/>
    <cellStyle name="Normal 3 4 2 2 3" xfId="6224" xr:uid="{00000000-0005-0000-0000-00000D5D0000}"/>
    <cellStyle name="Normal 3 4 2 2 3 2" xfId="6225" xr:uid="{00000000-0005-0000-0000-00000E5D0000}"/>
    <cellStyle name="Normal 3 4 2 2 3 2 2" xfId="6226" xr:uid="{00000000-0005-0000-0000-00000F5D0000}"/>
    <cellStyle name="Normal 3 4 2 2 3 2 2 2" xfId="6227" xr:uid="{00000000-0005-0000-0000-0000105D0000}"/>
    <cellStyle name="Normal 3 4 2 2 3 2 2 2 2" xfId="6228" xr:uid="{00000000-0005-0000-0000-0000115D0000}"/>
    <cellStyle name="Normal 3 4 2 2 3 2 2 2 2 2" xfId="6229" xr:uid="{00000000-0005-0000-0000-0000125D0000}"/>
    <cellStyle name="Normal 3 4 2 2 3 2 2 2 2 2 2" xfId="29878" xr:uid="{00000000-0005-0000-0000-0000135D0000}"/>
    <cellStyle name="Normal 3 4 2 2 3 2 2 2 2 2 2 2" xfId="61749" xr:uid="{00000000-0005-0000-0000-0000145D0000}"/>
    <cellStyle name="Normal 3 4 2 2 3 2 2 2 2 2 3" xfId="38108" xr:uid="{00000000-0005-0000-0000-0000155D0000}"/>
    <cellStyle name="Normal 3 4 2 2 3 2 2 2 2 3" xfId="22000" xr:uid="{00000000-0005-0000-0000-0000165D0000}"/>
    <cellStyle name="Normal 3 4 2 2 3 2 2 2 2 3 2" xfId="53871" xr:uid="{00000000-0005-0000-0000-0000175D0000}"/>
    <cellStyle name="Normal 3 4 2 2 3 2 2 2 2 4" xfId="38107" xr:uid="{00000000-0005-0000-0000-0000185D0000}"/>
    <cellStyle name="Normal 3 4 2 2 3 2 2 2 3" xfId="6230" xr:uid="{00000000-0005-0000-0000-0000195D0000}"/>
    <cellStyle name="Normal 3 4 2 2 3 2 2 2 3 2" xfId="25939" xr:uid="{00000000-0005-0000-0000-00001A5D0000}"/>
    <cellStyle name="Normal 3 4 2 2 3 2 2 2 3 2 2" xfId="57810" xr:uid="{00000000-0005-0000-0000-00001B5D0000}"/>
    <cellStyle name="Normal 3 4 2 2 3 2 2 2 3 3" xfId="38109" xr:uid="{00000000-0005-0000-0000-00001C5D0000}"/>
    <cellStyle name="Normal 3 4 2 2 3 2 2 2 4" xfId="18061" xr:uid="{00000000-0005-0000-0000-00001D5D0000}"/>
    <cellStyle name="Normal 3 4 2 2 3 2 2 2 4 2" xfId="49932" xr:uid="{00000000-0005-0000-0000-00001E5D0000}"/>
    <cellStyle name="Normal 3 4 2 2 3 2 2 2 5" xfId="38106" xr:uid="{00000000-0005-0000-0000-00001F5D0000}"/>
    <cellStyle name="Normal 3 4 2 2 3 2 2 3" xfId="6231" xr:uid="{00000000-0005-0000-0000-0000205D0000}"/>
    <cellStyle name="Normal 3 4 2 2 3 2 2 3 2" xfId="6232" xr:uid="{00000000-0005-0000-0000-0000215D0000}"/>
    <cellStyle name="Normal 3 4 2 2 3 2 2 3 2 2" xfId="29877" xr:uid="{00000000-0005-0000-0000-0000225D0000}"/>
    <cellStyle name="Normal 3 4 2 2 3 2 2 3 2 2 2" xfId="61748" xr:uid="{00000000-0005-0000-0000-0000235D0000}"/>
    <cellStyle name="Normal 3 4 2 2 3 2 2 3 2 3" xfId="38111" xr:uid="{00000000-0005-0000-0000-0000245D0000}"/>
    <cellStyle name="Normal 3 4 2 2 3 2 2 3 3" xfId="21999" xr:uid="{00000000-0005-0000-0000-0000255D0000}"/>
    <cellStyle name="Normal 3 4 2 2 3 2 2 3 3 2" xfId="53870" xr:uid="{00000000-0005-0000-0000-0000265D0000}"/>
    <cellStyle name="Normal 3 4 2 2 3 2 2 3 4" xfId="38110" xr:uid="{00000000-0005-0000-0000-0000275D0000}"/>
    <cellStyle name="Normal 3 4 2 2 3 2 2 4" xfId="6233" xr:uid="{00000000-0005-0000-0000-0000285D0000}"/>
    <cellStyle name="Normal 3 4 2 2 3 2 2 4 2" xfId="25938" xr:uid="{00000000-0005-0000-0000-0000295D0000}"/>
    <cellStyle name="Normal 3 4 2 2 3 2 2 4 2 2" xfId="57809" xr:uid="{00000000-0005-0000-0000-00002A5D0000}"/>
    <cellStyle name="Normal 3 4 2 2 3 2 2 4 3" xfId="38112" xr:uid="{00000000-0005-0000-0000-00002B5D0000}"/>
    <cellStyle name="Normal 3 4 2 2 3 2 2 5" xfId="18060" xr:uid="{00000000-0005-0000-0000-00002C5D0000}"/>
    <cellStyle name="Normal 3 4 2 2 3 2 2 5 2" xfId="49931" xr:uid="{00000000-0005-0000-0000-00002D5D0000}"/>
    <cellStyle name="Normal 3 4 2 2 3 2 2 6" xfId="38105" xr:uid="{00000000-0005-0000-0000-00002E5D0000}"/>
    <cellStyle name="Normal 3 4 2 2 3 2 3" xfId="6234" xr:uid="{00000000-0005-0000-0000-00002F5D0000}"/>
    <cellStyle name="Normal 3 4 2 2 3 2 3 2" xfId="6235" xr:uid="{00000000-0005-0000-0000-0000305D0000}"/>
    <cellStyle name="Normal 3 4 2 2 3 2 3 2 2" xfId="6236" xr:uid="{00000000-0005-0000-0000-0000315D0000}"/>
    <cellStyle name="Normal 3 4 2 2 3 2 3 2 2 2" xfId="29879" xr:uid="{00000000-0005-0000-0000-0000325D0000}"/>
    <cellStyle name="Normal 3 4 2 2 3 2 3 2 2 2 2" xfId="61750" xr:uid="{00000000-0005-0000-0000-0000335D0000}"/>
    <cellStyle name="Normal 3 4 2 2 3 2 3 2 2 3" xfId="38115" xr:uid="{00000000-0005-0000-0000-0000345D0000}"/>
    <cellStyle name="Normal 3 4 2 2 3 2 3 2 3" xfId="22001" xr:uid="{00000000-0005-0000-0000-0000355D0000}"/>
    <cellStyle name="Normal 3 4 2 2 3 2 3 2 3 2" xfId="53872" xr:uid="{00000000-0005-0000-0000-0000365D0000}"/>
    <cellStyle name="Normal 3 4 2 2 3 2 3 2 4" xfId="38114" xr:uid="{00000000-0005-0000-0000-0000375D0000}"/>
    <cellStyle name="Normal 3 4 2 2 3 2 3 3" xfId="6237" xr:uid="{00000000-0005-0000-0000-0000385D0000}"/>
    <cellStyle name="Normal 3 4 2 2 3 2 3 3 2" xfId="25940" xr:uid="{00000000-0005-0000-0000-0000395D0000}"/>
    <cellStyle name="Normal 3 4 2 2 3 2 3 3 2 2" xfId="57811" xr:uid="{00000000-0005-0000-0000-00003A5D0000}"/>
    <cellStyle name="Normal 3 4 2 2 3 2 3 3 3" xfId="38116" xr:uid="{00000000-0005-0000-0000-00003B5D0000}"/>
    <cellStyle name="Normal 3 4 2 2 3 2 3 4" xfId="18062" xr:uid="{00000000-0005-0000-0000-00003C5D0000}"/>
    <cellStyle name="Normal 3 4 2 2 3 2 3 4 2" xfId="49933" xr:uid="{00000000-0005-0000-0000-00003D5D0000}"/>
    <cellStyle name="Normal 3 4 2 2 3 2 3 5" xfId="38113" xr:uid="{00000000-0005-0000-0000-00003E5D0000}"/>
    <cellStyle name="Normal 3 4 2 2 3 2 4" xfId="6238" xr:uid="{00000000-0005-0000-0000-00003F5D0000}"/>
    <cellStyle name="Normal 3 4 2 2 3 2 4 2" xfId="6239" xr:uid="{00000000-0005-0000-0000-0000405D0000}"/>
    <cellStyle name="Normal 3 4 2 2 3 2 4 2 2" xfId="29876" xr:uid="{00000000-0005-0000-0000-0000415D0000}"/>
    <cellStyle name="Normal 3 4 2 2 3 2 4 2 2 2" xfId="61747" xr:uid="{00000000-0005-0000-0000-0000425D0000}"/>
    <cellStyle name="Normal 3 4 2 2 3 2 4 2 3" xfId="38118" xr:uid="{00000000-0005-0000-0000-0000435D0000}"/>
    <cellStyle name="Normal 3 4 2 2 3 2 4 3" xfId="21998" xr:uid="{00000000-0005-0000-0000-0000445D0000}"/>
    <cellStyle name="Normal 3 4 2 2 3 2 4 3 2" xfId="53869" xr:uid="{00000000-0005-0000-0000-0000455D0000}"/>
    <cellStyle name="Normal 3 4 2 2 3 2 4 4" xfId="38117" xr:uid="{00000000-0005-0000-0000-0000465D0000}"/>
    <cellStyle name="Normal 3 4 2 2 3 2 5" xfId="6240" xr:uid="{00000000-0005-0000-0000-0000475D0000}"/>
    <cellStyle name="Normal 3 4 2 2 3 2 5 2" xfId="25937" xr:uid="{00000000-0005-0000-0000-0000485D0000}"/>
    <cellStyle name="Normal 3 4 2 2 3 2 5 2 2" xfId="57808" xr:uid="{00000000-0005-0000-0000-0000495D0000}"/>
    <cellStyle name="Normal 3 4 2 2 3 2 5 3" xfId="38119" xr:uid="{00000000-0005-0000-0000-00004A5D0000}"/>
    <cellStyle name="Normal 3 4 2 2 3 2 6" xfId="18059" xr:uid="{00000000-0005-0000-0000-00004B5D0000}"/>
    <cellStyle name="Normal 3 4 2 2 3 2 6 2" xfId="49930" xr:uid="{00000000-0005-0000-0000-00004C5D0000}"/>
    <cellStyle name="Normal 3 4 2 2 3 2 7" xfId="38104" xr:uid="{00000000-0005-0000-0000-00004D5D0000}"/>
    <cellStyle name="Normal 3 4 2 2 3 3" xfId="6241" xr:uid="{00000000-0005-0000-0000-00004E5D0000}"/>
    <cellStyle name="Normal 3 4 2 2 3 3 2" xfId="6242" xr:uid="{00000000-0005-0000-0000-00004F5D0000}"/>
    <cellStyle name="Normal 3 4 2 2 3 3 2 2" xfId="6243" xr:uid="{00000000-0005-0000-0000-0000505D0000}"/>
    <cellStyle name="Normal 3 4 2 2 3 3 2 2 2" xfId="6244" xr:uid="{00000000-0005-0000-0000-0000515D0000}"/>
    <cellStyle name="Normal 3 4 2 2 3 3 2 2 2 2" xfId="29881" xr:uid="{00000000-0005-0000-0000-0000525D0000}"/>
    <cellStyle name="Normal 3 4 2 2 3 3 2 2 2 2 2" xfId="61752" xr:uid="{00000000-0005-0000-0000-0000535D0000}"/>
    <cellStyle name="Normal 3 4 2 2 3 3 2 2 2 3" xfId="38123" xr:uid="{00000000-0005-0000-0000-0000545D0000}"/>
    <cellStyle name="Normal 3 4 2 2 3 3 2 2 3" xfId="22003" xr:uid="{00000000-0005-0000-0000-0000555D0000}"/>
    <cellStyle name="Normal 3 4 2 2 3 3 2 2 3 2" xfId="53874" xr:uid="{00000000-0005-0000-0000-0000565D0000}"/>
    <cellStyle name="Normal 3 4 2 2 3 3 2 2 4" xfId="38122" xr:uid="{00000000-0005-0000-0000-0000575D0000}"/>
    <cellStyle name="Normal 3 4 2 2 3 3 2 3" xfId="6245" xr:uid="{00000000-0005-0000-0000-0000585D0000}"/>
    <cellStyle name="Normal 3 4 2 2 3 3 2 3 2" xfId="25942" xr:uid="{00000000-0005-0000-0000-0000595D0000}"/>
    <cellStyle name="Normal 3 4 2 2 3 3 2 3 2 2" xfId="57813" xr:uid="{00000000-0005-0000-0000-00005A5D0000}"/>
    <cellStyle name="Normal 3 4 2 2 3 3 2 3 3" xfId="38124" xr:uid="{00000000-0005-0000-0000-00005B5D0000}"/>
    <cellStyle name="Normal 3 4 2 2 3 3 2 4" xfId="18064" xr:uid="{00000000-0005-0000-0000-00005C5D0000}"/>
    <cellStyle name="Normal 3 4 2 2 3 3 2 4 2" xfId="49935" xr:uid="{00000000-0005-0000-0000-00005D5D0000}"/>
    <cellStyle name="Normal 3 4 2 2 3 3 2 5" xfId="38121" xr:uid="{00000000-0005-0000-0000-00005E5D0000}"/>
    <cellStyle name="Normal 3 4 2 2 3 3 3" xfId="6246" xr:uid="{00000000-0005-0000-0000-00005F5D0000}"/>
    <cellStyle name="Normal 3 4 2 2 3 3 3 2" xfId="6247" xr:uid="{00000000-0005-0000-0000-0000605D0000}"/>
    <cellStyle name="Normal 3 4 2 2 3 3 3 2 2" xfId="29880" xr:uid="{00000000-0005-0000-0000-0000615D0000}"/>
    <cellStyle name="Normal 3 4 2 2 3 3 3 2 2 2" xfId="61751" xr:uid="{00000000-0005-0000-0000-0000625D0000}"/>
    <cellStyle name="Normal 3 4 2 2 3 3 3 2 3" xfId="38126" xr:uid="{00000000-0005-0000-0000-0000635D0000}"/>
    <cellStyle name="Normal 3 4 2 2 3 3 3 3" xfId="22002" xr:uid="{00000000-0005-0000-0000-0000645D0000}"/>
    <cellStyle name="Normal 3 4 2 2 3 3 3 3 2" xfId="53873" xr:uid="{00000000-0005-0000-0000-0000655D0000}"/>
    <cellStyle name="Normal 3 4 2 2 3 3 3 4" xfId="38125" xr:uid="{00000000-0005-0000-0000-0000665D0000}"/>
    <cellStyle name="Normal 3 4 2 2 3 3 4" xfId="6248" xr:uid="{00000000-0005-0000-0000-0000675D0000}"/>
    <cellStyle name="Normal 3 4 2 2 3 3 4 2" xfId="25941" xr:uid="{00000000-0005-0000-0000-0000685D0000}"/>
    <cellStyle name="Normal 3 4 2 2 3 3 4 2 2" xfId="57812" xr:uid="{00000000-0005-0000-0000-0000695D0000}"/>
    <cellStyle name="Normal 3 4 2 2 3 3 4 3" xfId="38127" xr:uid="{00000000-0005-0000-0000-00006A5D0000}"/>
    <cellStyle name="Normal 3 4 2 2 3 3 5" xfId="18063" xr:uid="{00000000-0005-0000-0000-00006B5D0000}"/>
    <cellStyle name="Normal 3 4 2 2 3 3 5 2" xfId="49934" xr:uid="{00000000-0005-0000-0000-00006C5D0000}"/>
    <cellStyle name="Normal 3 4 2 2 3 3 6" xfId="38120" xr:uid="{00000000-0005-0000-0000-00006D5D0000}"/>
    <cellStyle name="Normal 3 4 2 2 3 4" xfId="6249" xr:uid="{00000000-0005-0000-0000-00006E5D0000}"/>
    <cellStyle name="Normal 3 4 2 2 3 4 2" xfId="6250" xr:uid="{00000000-0005-0000-0000-00006F5D0000}"/>
    <cellStyle name="Normal 3 4 2 2 3 4 2 2" xfId="6251" xr:uid="{00000000-0005-0000-0000-0000705D0000}"/>
    <cellStyle name="Normal 3 4 2 2 3 4 2 2 2" xfId="29882" xr:uid="{00000000-0005-0000-0000-0000715D0000}"/>
    <cellStyle name="Normal 3 4 2 2 3 4 2 2 2 2" xfId="61753" xr:uid="{00000000-0005-0000-0000-0000725D0000}"/>
    <cellStyle name="Normal 3 4 2 2 3 4 2 2 3" xfId="38130" xr:uid="{00000000-0005-0000-0000-0000735D0000}"/>
    <cellStyle name="Normal 3 4 2 2 3 4 2 3" xfId="22004" xr:uid="{00000000-0005-0000-0000-0000745D0000}"/>
    <cellStyle name="Normal 3 4 2 2 3 4 2 3 2" xfId="53875" xr:uid="{00000000-0005-0000-0000-0000755D0000}"/>
    <cellStyle name="Normal 3 4 2 2 3 4 2 4" xfId="38129" xr:uid="{00000000-0005-0000-0000-0000765D0000}"/>
    <cellStyle name="Normal 3 4 2 2 3 4 3" xfId="6252" xr:uid="{00000000-0005-0000-0000-0000775D0000}"/>
    <cellStyle name="Normal 3 4 2 2 3 4 3 2" xfId="25943" xr:uid="{00000000-0005-0000-0000-0000785D0000}"/>
    <cellStyle name="Normal 3 4 2 2 3 4 3 2 2" xfId="57814" xr:uid="{00000000-0005-0000-0000-0000795D0000}"/>
    <cellStyle name="Normal 3 4 2 2 3 4 3 3" xfId="38131" xr:uid="{00000000-0005-0000-0000-00007A5D0000}"/>
    <cellStyle name="Normal 3 4 2 2 3 4 4" xfId="18065" xr:uid="{00000000-0005-0000-0000-00007B5D0000}"/>
    <cellStyle name="Normal 3 4 2 2 3 4 4 2" xfId="49936" xr:uid="{00000000-0005-0000-0000-00007C5D0000}"/>
    <cellStyle name="Normal 3 4 2 2 3 4 5" xfId="38128" xr:uid="{00000000-0005-0000-0000-00007D5D0000}"/>
    <cellStyle name="Normal 3 4 2 2 3 5" xfId="6253" xr:uid="{00000000-0005-0000-0000-00007E5D0000}"/>
    <cellStyle name="Normal 3 4 2 2 3 5 2" xfId="6254" xr:uid="{00000000-0005-0000-0000-00007F5D0000}"/>
    <cellStyle name="Normal 3 4 2 2 3 5 2 2" xfId="29875" xr:uid="{00000000-0005-0000-0000-0000805D0000}"/>
    <cellStyle name="Normal 3 4 2 2 3 5 2 2 2" xfId="61746" xr:uid="{00000000-0005-0000-0000-0000815D0000}"/>
    <cellStyle name="Normal 3 4 2 2 3 5 2 3" xfId="38133" xr:uid="{00000000-0005-0000-0000-0000825D0000}"/>
    <cellStyle name="Normal 3 4 2 2 3 5 3" xfId="21997" xr:uid="{00000000-0005-0000-0000-0000835D0000}"/>
    <cellStyle name="Normal 3 4 2 2 3 5 3 2" xfId="53868" xr:uid="{00000000-0005-0000-0000-0000845D0000}"/>
    <cellStyle name="Normal 3 4 2 2 3 5 4" xfId="38132" xr:uid="{00000000-0005-0000-0000-0000855D0000}"/>
    <cellStyle name="Normal 3 4 2 2 3 6" xfId="6255" xr:uid="{00000000-0005-0000-0000-0000865D0000}"/>
    <cellStyle name="Normal 3 4 2 2 3 6 2" xfId="25936" xr:uid="{00000000-0005-0000-0000-0000875D0000}"/>
    <cellStyle name="Normal 3 4 2 2 3 6 2 2" xfId="57807" xr:uid="{00000000-0005-0000-0000-0000885D0000}"/>
    <cellStyle name="Normal 3 4 2 2 3 6 3" xfId="38134" xr:uid="{00000000-0005-0000-0000-0000895D0000}"/>
    <cellStyle name="Normal 3 4 2 2 3 7" xfId="18058" xr:uid="{00000000-0005-0000-0000-00008A5D0000}"/>
    <cellStyle name="Normal 3 4 2 2 3 7 2" xfId="49929" xr:uid="{00000000-0005-0000-0000-00008B5D0000}"/>
    <cellStyle name="Normal 3 4 2 2 3 8" xfId="38103" xr:uid="{00000000-0005-0000-0000-00008C5D0000}"/>
    <cellStyle name="Normal 3 4 2 2 4" xfId="6256" xr:uid="{00000000-0005-0000-0000-00008D5D0000}"/>
    <cellStyle name="Normal 3 4 2 2 4 2" xfId="6257" xr:uid="{00000000-0005-0000-0000-00008E5D0000}"/>
    <cellStyle name="Normal 3 4 2 2 4 2 2" xfId="6258" xr:uid="{00000000-0005-0000-0000-00008F5D0000}"/>
    <cellStyle name="Normal 3 4 2 2 4 2 2 2" xfId="6259" xr:uid="{00000000-0005-0000-0000-0000905D0000}"/>
    <cellStyle name="Normal 3 4 2 2 4 2 2 2 2" xfId="6260" xr:uid="{00000000-0005-0000-0000-0000915D0000}"/>
    <cellStyle name="Normal 3 4 2 2 4 2 2 2 2 2" xfId="29885" xr:uid="{00000000-0005-0000-0000-0000925D0000}"/>
    <cellStyle name="Normal 3 4 2 2 4 2 2 2 2 2 2" xfId="61756" xr:uid="{00000000-0005-0000-0000-0000935D0000}"/>
    <cellStyle name="Normal 3 4 2 2 4 2 2 2 2 3" xfId="38139" xr:uid="{00000000-0005-0000-0000-0000945D0000}"/>
    <cellStyle name="Normal 3 4 2 2 4 2 2 2 3" xfId="22007" xr:uid="{00000000-0005-0000-0000-0000955D0000}"/>
    <cellStyle name="Normal 3 4 2 2 4 2 2 2 3 2" xfId="53878" xr:uid="{00000000-0005-0000-0000-0000965D0000}"/>
    <cellStyle name="Normal 3 4 2 2 4 2 2 2 4" xfId="38138" xr:uid="{00000000-0005-0000-0000-0000975D0000}"/>
    <cellStyle name="Normal 3 4 2 2 4 2 2 3" xfId="6261" xr:uid="{00000000-0005-0000-0000-0000985D0000}"/>
    <cellStyle name="Normal 3 4 2 2 4 2 2 3 2" xfId="25946" xr:uid="{00000000-0005-0000-0000-0000995D0000}"/>
    <cellStyle name="Normal 3 4 2 2 4 2 2 3 2 2" xfId="57817" xr:uid="{00000000-0005-0000-0000-00009A5D0000}"/>
    <cellStyle name="Normal 3 4 2 2 4 2 2 3 3" xfId="38140" xr:uid="{00000000-0005-0000-0000-00009B5D0000}"/>
    <cellStyle name="Normal 3 4 2 2 4 2 2 4" xfId="18068" xr:uid="{00000000-0005-0000-0000-00009C5D0000}"/>
    <cellStyle name="Normal 3 4 2 2 4 2 2 4 2" xfId="49939" xr:uid="{00000000-0005-0000-0000-00009D5D0000}"/>
    <cellStyle name="Normal 3 4 2 2 4 2 2 5" xfId="38137" xr:uid="{00000000-0005-0000-0000-00009E5D0000}"/>
    <cellStyle name="Normal 3 4 2 2 4 2 3" xfId="6262" xr:uid="{00000000-0005-0000-0000-00009F5D0000}"/>
    <cellStyle name="Normal 3 4 2 2 4 2 3 2" xfId="6263" xr:uid="{00000000-0005-0000-0000-0000A05D0000}"/>
    <cellStyle name="Normal 3 4 2 2 4 2 3 2 2" xfId="29884" xr:uid="{00000000-0005-0000-0000-0000A15D0000}"/>
    <cellStyle name="Normal 3 4 2 2 4 2 3 2 2 2" xfId="61755" xr:uid="{00000000-0005-0000-0000-0000A25D0000}"/>
    <cellStyle name="Normal 3 4 2 2 4 2 3 2 3" xfId="38142" xr:uid="{00000000-0005-0000-0000-0000A35D0000}"/>
    <cellStyle name="Normal 3 4 2 2 4 2 3 3" xfId="22006" xr:uid="{00000000-0005-0000-0000-0000A45D0000}"/>
    <cellStyle name="Normal 3 4 2 2 4 2 3 3 2" xfId="53877" xr:uid="{00000000-0005-0000-0000-0000A55D0000}"/>
    <cellStyle name="Normal 3 4 2 2 4 2 3 4" xfId="38141" xr:uid="{00000000-0005-0000-0000-0000A65D0000}"/>
    <cellStyle name="Normal 3 4 2 2 4 2 4" xfId="6264" xr:uid="{00000000-0005-0000-0000-0000A75D0000}"/>
    <cellStyle name="Normal 3 4 2 2 4 2 4 2" xfId="25945" xr:uid="{00000000-0005-0000-0000-0000A85D0000}"/>
    <cellStyle name="Normal 3 4 2 2 4 2 4 2 2" xfId="57816" xr:uid="{00000000-0005-0000-0000-0000A95D0000}"/>
    <cellStyle name="Normal 3 4 2 2 4 2 4 3" xfId="38143" xr:uid="{00000000-0005-0000-0000-0000AA5D0000}"/>
    <cellStyle name="Normal 3 4 2 2 4 2 5" xfId="18067" xr:uid="{00000000-0005-0000-0000-0000AB5D0000}"/>
    <cellStyle name="Normal 3 4 2 2 4 2 5 2" xfId="49938" xr:uid="{00000000-0005-0000-0000-0000AC5D0000}"/>
    <cellStyle name="Normal 3 4 2 2 4 2 6" xfId="38136" xr:uid="{00000000-0005-0000-0000-0000AD5D0000}"/>
    <cellStyle name="Normal 3 4 2 2 4 3" xfId="6265" xr:uid="{00000000-0005-0000-0000-0000AE5D0000}"/>
    <cellStyle name="Normal 3 4 2 2 4 3 2" xfId="6266" xr:uid="{00000000-0005-0000-0000-0000AF5D0000}"/>
    <cellStyle name="Normal 3 4 2 2 4 3 2 2" xfId="6267" xr:uid="{00000000-0005-0000-0000-0000B05D0000}"/>
    <cellStyle name="Normal 3 4 2 2 4 3 2 2 2" xfId="29886" xr:uid="{00000000-0005-0000-0000-0000B15D0000}"/>
    <cellStyle name="Normal 3 4 2 2 4 3 2 2 2 2" xfId="61757" xr:uid="{00000000-0005-0000-0000-0000B25D0000}"/>
    <cellStyle name="Normal 3 4 2 2 4 3 2 2 3" xfId="38146" xr:uid="{00000000-0005-0000-0000-0000B35D0000}"/>
    <cellStyle name="Normal 3 4 2 2 4 3 2 3" xfId="22008" xr:uid="{00000000-0005-0000-0000-0000B45D0000}"/>
    <cellStyle name="Normal 3 4 2 2 4 3 2 3 2" xfId="53879" xr:uid="{00000000-0005-0000-0000-0000B55D0000}"/>
    <cellStyle name="Normal 3 4 2 2 4 3 2 4" xfId="38145" xr:uid="{00000000-0005-0000-0000-0000B65D0000}"/>
    <cellStyle name="Normal 3 4 2 2 4 3 3" xfId="6268" xr:uid="{00000000-0005-0000-0000-0000B75D0000}"/>
    <cellStyle name="Normal 3 4 2 2 4 3 3 2" xfId="25947" xr:uid="{00000000-0005-0000-0000-0000B85D0000}"/>
    <cellStyle name="Normal 3 4 2 2 4 3 3 2 2" xfId="57818" xr:uid="{00000000-0005-0000-0000-0000B95D0000}"/>
    <cellStyle name="Normal 3 4 2 2 4 3 3 3" xfId="38147" xr:uid="{00000000-0005-0000-0000-0000BA5D0000}"/>
    <cellStyle name="Normal 3 4 2 2 4 3 4" xfId="18069" xr:uid="{00000000-0005-0000-0000-0000BB5D0000}"/>
    <cellStyle name="Normal 3 4 2 2 4 3 4 2" xfId="49940" xr:uid="{00000000-0005-0000-0000-0000BC5D0000}"/>
    <cellStyle name="Normal 3 4 2 2 4 3 5" xfId="38144" xr:uid="{00000000-0005-0000-0000-0000BD5D0000}"/>
    <cellStyle name="Normal 3 4 2 2 4 4" xfId="6269" xr:uid="{00000000-0005-0000-0000-0000BE5D0000}"/>
    <cellStyle name="Normal 3 4 2 2 4 4 2" xfId="6270" xr:uid="{00000000-0005-0000-0000-0000BF5D0000}"/>
    <cellStyle name="Normal 3 4 2 2 4 4 2 2" xfId="29883" xr:uid="{00000000-0005-0000-0000-0000C05D0000}"/>
    <cellStyle name="Normal 3 4 2 2 4 4 2 2 2" xfId="61754" xr:uid="{00000000-0005-0000-0000-0000C15D0000}"/>
    <cellStyle name="Normal 3 4 2 2 4 4 2 3" xfId="38149" xr:uid="{00000000-0005-0000-0000-0000C25D0000}"/>
    <cellStyle name="Normal 3 4 2 2 4 4 3" xfId="22005" xr:uid="{00000000-0005-0000-0000-0000C35D0000}"/>
    <cellStyle name="Normal 3 4 2 2 4 4 3 2" xfId="53876" xr:uid="{00000000-0005-0000-0000-0000C45D0000}"/>
    <cellStyle name="Normal 3 4 2 2 4 4 4" xfId="38148" xr:uid="{00000000-0005-0000-0000-0000C55D0000}"/>
    <cellStyle name="Normal 3 4 2 2 4 5" xfId="6271" xr:uid="{00000000-0005-0000-0000-0000C65D0000}"/>
    <cellStyle name="Normal 3 4 2 2 4 5 2" xfId="25944" xr:uid="{00000000-0005-0000-0000-0000C75D0000}"/>
    <cellStyle name="Normal 3 4 2 2 4 5 2 2" xfId="57815" xr:uid="{00000000-0005-0000-0000-0000C85D0000}"/>
    <cellStyle name="Normal 3 4 2 2 4 5 3" xfId="38150" xr:uid="{00000000-0005-0000-0000-0000C95D0000}"/>
    <cellStyle name="Normal 3 4 2 2 4 6" xfId="18066" xr:uid="{00000000-0005-0000-0000-0000CA5D0000}"/>
    <cellStyle name="Normal 3 4 2 2 4 6 2" xfId="49937" xr:uid="{00000000-0005-0000-0000-0000CB5D0000}"/>
    <cellStyle name="Normal 3 4 2 2 4 7" xfId="38135" xr:uid="{00000000-0005-0000-0000-0000CC5D0000}"/>
    <cellStyle name="Normal 3 4 2 2 5" xfId="6272" xr:uid="{00000000-0005-0000-0000-0000CD5D0000}"/>
    <cellStyle name="Normal 3 4 2 2 5 2" xfId="6273" xr:uid="{00000000-0005-0000-0000-0000CE5D0000}"/>
    <cellStyle name="Normal 3 4 2 2 5 2 2" xfId="6274" xr:uid="{00000000-0005-0000-0000-0000CF5D0000}"/>
    <cellStyle name="Normal 3 4 2 2 5 2 2 2" xfId="6275" xr:uid="{00000000-0005-0000-0000-0000D05D0000}"/>
    <cellStyle name="Normal 3 4 2 2 5 2 2 2 2" xfId="29888" xr:uid="{00000000-0005-0000-0000-0000D15D0000}"/>
    <cellStyle name="Normal 3 4 2 2 5 2 2 2 2 2" xfId="61759" xr:uid="{00000000-0005-0000-0000-0000D25D0000}"/>
    <cellStyle name="Normal 3 4 2 2 5 2 2 2 3" xfId="38154" xr:uid="{00000000-0005-0000-0000-0000D35D0000}"/>
    <cellStyle name="Normal 3 4 2 2 5 2 2 3" xfId="22010" xr:uid="{00000000-0005-0000-0000-0000D45D0000}"/>
    <cellStyle name="Normal 3 4 2 2 5 2 2 3 2" xfId="53881" xr:uid="{00000000-0005-0000-0000-0000D55D0000}"/>
    <cellStyle name="Normal 3 4 2 2 5 2 2 4" xfId="38153" xr:uid="{00000000-0005-0000-0000-0000D65D0000}"/>
    <cellStyle name="Normal 3 4 2 2 5 2 3" xfId="6276" xr:uid="{00000000-0005-0000-0000-0000D75D0000}"/>
    <cellStyle name="Normal 3 4 2 2 5 2 3 2" xfId="25949" xr:uid="{00000000-0005-0000-0000-0000D85D0000}"/>
    <cellStyle name="Normal 3 4 2 2 5 2 3 2 2" xfId="57820" xr:uid="{00000000-0005-0000-0000-0000D95D0000}"/>
    <cellStyle name="Normal 3 4 2 2 5 2 3 3" xfId="38155" xr:uid="{00000000-0005-0000-0000-0000DA5D0000}"/>
    <cellStyle name="Normal 3 4 2 2 5 2 4" xfId="18071" xr:uid="{00000000-0005-0000-0000-0000DB5D0000}"/>
    <cellStyle name="Normal 3 4 2 2 5 2 4 2" xfId="49942" xr:uid="{00000000-0005-0000-0000-0000DC5D0000}"/>
    <cellStyle name="Normal 3 4 2 2 5 2 5" xfId="38152" xr:uid="{00000000-0005-0000-0000-0000DD5D0000}"/>
    <cellStyle name="Normal 3 4 2 2 5 3" xfId="6277" xr:uid="{00000000-0005-0000-0000-0000DE5D0000}"/>
    <cellStyle name="Normal 3 4 2 2 5 3 2" xfId="6278" xr:uid="{00000000-0005-0000-0000-0000DF5D0000}"/>
    <cellStyle name="Normal 3 4 2 2 5 3 2 2" xfId="29887" xr:uid="{00000000-0005-0000-0000-0000E05D0000}"/>
    <cellStyle name="Normal 3 4 2 2 5 3 2 2 2" xfId="61758" xr:uid="{00000000-0005-0000-0000-0000E15D0000}"/>
    <cellStyle name="Normal 3 4 2 2 5 3 2 3" xfId="38157" xr:uid="{00000000-0005-0000-0000-0000E25D0000}"/>
    <cellStyle name="Normal 3 4 2 2 5 3 3" xfId="22009" xr:uid="{00000000-0005-0000-0000-0000E35D0000}"/>
    <cellStyle name="Normal 3 4 2 2 5 3 3 2" xfId="53880" xr:uid="{00000000-0005-0000-0000-0000E45D0000}"/>
    <cellStyle name="Normal 3 4 2 2 5 3 4" xfId="38156" xr:uid="{00000000-0005-0000-0000-0000E55D0000}"/>
    <cellStyle name="Normal 3 4 2 2 5 4" xfId="6279" xr:uid="{00000000-0005-0000-0000-0000E65D0000}"/>
    <cellStyle name="Normal 3 4 2 2 5 4 2" xfId="25948" xr:uid="{00000000-0005-0000-0000-0000E75D0000}"/>
    <cellStyle name="Normal 3 4 2 2 5 4 2 2" xfId="57819" xr:uid="{00000000-0005-0000-0000-0000E85D0000}"/>
    <cellStyle name="Normal 3 4 2 2 5 4 3" xfId="38158" xr:uid="{00000000-0005-0000-0000-0000E95D0000}"/>
    <cellStyle name="Normal 3 4 2 2 5 5" xfId="18070" xr:uid="{00000000-0005-0000-0000-0000EA5D0000}"/>
    <cellStyle name="Normal 3 4 2 2 5 5 2" xfId="49941" xr:uid="{00000000-0005-0000-0000-0000EB5D0000}"/>
    <cellStyle name="Normal 3 4 2 2 5 6" xfId="38151" xr:uid="{00000000-0005-0000-0000-0000EC5D0000}"/>
    <cellStyle name="Normal 3 4 2 2 6" xfId="6280" xr:uid="{00000000-0005-0000-0000-0000ED5D0000}"/>
    <cellStyle name="Normal 3 4 2 2 6 2" xfId="6281" xr:uid="{00000000-0005-0000-0000-0000EE5D0000}"/>
    <cellStyle name="Normal 3 4 2 2 6 2 2" xfId="6282" xr:uid="{00000000-0005-0000-0000-0000EF5D0000}"/>
    <cellStyle name="Normal 3 4 2 2 6 2 2 2" xfId="29889" xr:uid="{00000000-0005-0000-0000-0000F05D0000}"/>
    <cellStyle name="Normal 3 4 2 2 6 2 2 2 2" xfId="61760" xr:uid="{00000000-0005-0000-0000-0000F15D0000}"/>
    <cellStyle name="Normal 3 4 2 2 6 2 2 3" xfId="38161" xr:uid="{00000000-0005-0000-0000-0000F25D0000}"/>
    <cellStyle name="Normal 3 4 2 2 6 2 3" xfId="22011" xr:uid="{00000000-0005-0000-0000-0000F35D0000}"/>
    <cellStyle name="Normal 3 4 2 2 6 2 3 2" xfId="53882" xr:uid="{00000000-0005-0000-0000-0000F45D0000}"/>
    <cellStyle name="Normal 3 4 2 2 6 2 4" xfId="38160" xr:uid="{00000000-0005-0000-0000-0000F55D0000}"/>
    <cellStyle name="Normal 3 4 2 2 6 3" xfId="6283" xr:uid="{00000000-0005-0000-0000-0000F65D0000}"/>
    <cellStyle name="Normal 3 4 2 2 6 3 2" xfId="25950" xr:uid="{00000000-0005-0000-0000-0000F75D0000}"/>
    <cellStyle name="Normal 3 4 2 2 6 3 2 2" xfId="57821" xr:uid="{00000000-0005-0000-0000-0000F85D0000}"/>
    <cellStyle name="Normal 3 4 2 2 6 3 3" xfId="38162" xr:uid="{00000000-0005-0000-0000-0000F95D0000}"/>
    <cellStyle name="Normal 3 4 2 2 6 4" xfId="18072" xr:uid="{00000000-0005-0000-0000-0000FA5D0000}"/>
    <cellStyle name="Normal 3 4 2 2 6 4 2" xfId="49943" xr:uid="{00000000-0005-0000-0000-0000FB5D0000}"/>
    <cellStyle name="Normal 3 4 2 2 6 5" xfId="38159" xr:uid="{00000000-0005-0000-0000-0000FC5D0000}"/>
    <cellStyle name="Normal 3 4 2 2 7" xfId="6284" xr:uid="{00000000-0005-0000-0000-0000FD5D0000}"/>
    <cellStyle name="Normal 3 4 2 2 7 2" xfId="6285" xr:uid="{00000000-0005-0000-0000-0000FE5D0000}"/>
    <cellStyle name="Normal 3 4 2 2 7 2 2" xfId="28324" xr:uid="{00000000-0005-0000-0000-0000FF5D0000}"/>
    <cellStyle name="Normal 3 4 2 2 7 2 2 2" xfId="60195" xr:uid="{00000000-0005-0000-0000-0000005E0000}"/>
    <cellStyle name="Normal 3 4 2 2 7 2 3" xfId="38164" xr:uid="{00000000-0005-0000-0000-0000015E0000}"/>
    <cellStyle name="Normal 3 4 2 2 7 3" xfId="20446" xr:uid="{00000000-0005-0000-0000-0000025E0000}"/>
    <cellStyle name="Normal 3 4 2 2 7 3 2" xfId="52317" xr:uid="{00000000-0005-0000-0000-0000035E0000}"/>
    <cellStyle name="Normal 3 4 2 2 7 4" xfId="38163" xr:uid="{00000000-0005-0000-0000-0000045E0000}"/>
    <cellStyle name="Normal 3 4 2 2 8" xfId="6286" xr:uid="{00000000-0005-0000-0000-0000055E0000}"/>
    <cellStyle name="Normal 3 4 2 2 8 2" xfId="24385" xr:uid="{00000000-0005-0000-0000-0000065E0000}"/>
    <cellStyle name="Normal 3 4 2 2 8 2 2" xfId="56256" xr:uid="{00000000-0005-0000-0000-0000075E0000}"/>
    <cellStyle name="Normal 3 4 2 2 8 3" xfId="38165" xr:uid="{00000000-0005-0000-0000-0000085E0000}"/>
    <cellStyle name="Normal 3 4 2 2 9" xfId="16507" xr:uid="{00000000-0005-0000-0000-0000095E0000}"/>
    <cellStyle name="Normal 3 4 2 2 9 2" xfId="48378" xr:uid="{00000000-0005-0000-0000-00000A5E0000}"/>
    <cellStyle name="Normal 3 4 2 3" xfId="6287" xr:uid="{00000000-0005-0000-0000-00000B5E0000}"/>
    <cellStyle name="Normal 3 4 2 3 10" xfId="38166" xr:uid="{00000000-0005-0000-0000-00000C5E0000}"/>
    <cellStyle name="Normal 3 4 2 3 2" xfId="6288" xr:uid="{00000000-0005-0000-0000-00000D5E0000}"/>
    <cellStyle name="Normal 3 4 2 3 2 2" xfId="6289" xr:uid="{00000000-0005-0000-0000-00000E5E0000}"/>
    <cellStyle name="Normal 3 4 2 3 2 2 2" xfId="6290" xr:uid="{00000000-0005-0000-0000-00000F5E0000}"/>
    <cellStyle name="Normal 3 4 2 3 2 2 2 2" xfId="6291" xr:uid="{00000000-0005-0000-0000-0000105E0000}"/>
    <cellStyle name="Normal 3 4 2 3 2 2 2 2 2" xfId="6292" xr:uid="{00000000-0005-0000-0000-0000115E0000}"/>
    <cellStyle name="Normal 3 4 2 3 2 2 2 2 2 2" xfId="6293" xr:uid="{00000000-0005-0000-0000-0000125E0000}"/>
    <cellStyle name="Normal 3 4 2 3 2 2 2 2 2 2 2" xfId="6294" xr:uid="{00000000-0005-0000-0000-0000135E0000}"/>
    <cellStyle name="Normal 3 4 2 3 2 2 2 2 2 2 2 2" xfId="29893" xr:uid="{00000000-0005-0000-0000-0000145E0000}"/>
    <cellStyle name="Normal 3 4 2 3 2 2 2 2 2 2 2 2 2" xfId="61764" xr:uid="{00000000-0005-0000-0000-0000155E0000}"/>
    <cellStyle name="Normal 3 4 2 3 2 2 2 2 2 2 2 3" xfId="38173" xr:uid="{00000000-0005-0000-0000-0000165E0000}"/>
    <cellStyle name="Normal 3 4 2 3 2 2 2 2 2 2 3" xfId="22015" xr:uid="{00000000-0005-0000-0000-0000175E0000}"/>
    <cellStyle name="Normal 3 4 2 3 2 2 2 2 2 2 3 2" xfId="53886" xr:uid="{00000000-0005-0000-0000-0000185E0000}"/>
    <cellStyle name="Normal 3 4 2 3 2 2 2 2 2 2 4" xfId="38172" xr:uid="{00000000-0005-0000-0000-0000195E0000}"/>
    <cellStyle name="Normal 3 4 2 3 2 2 2 2 2 3" xfId="6295" xr:uid="{00000000-0005-0000-0000-00001A5E0000}"/>
    <cellStyle name="Normal 3 4 2 3 2 2 2 2 2 3 2" xfId="25954" xr:uid="{00000000-0005-0000-0000-00001B5E0000}"/>
    <cellStyle name="Normal 3 4 2 3 2 2 2 2 2 3 2 2" xfId="57825" xr:uid="{00000000-0005-0000-0000-00001C5E0000}"/>
    <cellStyle name="Normal 3 4 2 3 2 2 2 2 2 3 3" xfId="38174" xr:uid="{00000000-0005-0000-0000-00001D5E0000}"/>
    <cellStyle name="Normal 3 4 2 3 2 2 2 2 2 4" xfId="18076" xr:uid="{00000000-0005-0000-0000-00001E5E0000}"/>
    <cellStyle name="Normal 3 4 2 3 2 2 2 2 2 4 2" xfId="49947" xr:uid="{00000000-0005-0000-0000-00001F5E0000}"/>
    <cellStyle name="Normal 3 4 2 3 2 2 2 2 2 5" xfId="38171" xr:uid="{00000000-0005-0000-0000-0000205E0000}"/>
    <cellStyle name="Normal 3 4 2 3 2 2 2 2 3" xfId="6296" xr:uid="{00000000-0005-0000-0000-0000215E0000}"/>
    <cellStyle name="Normal 3 4 2 3 2 2 2 2 3 2" xfId="6297" xr:uid="{00000000-0005-0000-0000-0000225E0000}"/>
    <cellStyle name="Normal 3 4 2 3 2 2 2 2 3 2 2" xfId="29892" xr:uid="{00000000-0005-0000-0000-0000235E0000}"/>
    <cellStyle name="Normal 3 4 2 3 2 2 2 2 3 2 2 2" xfId="61763" xr:uid="{00000000-0005-0000-0000-0000245E0000}"/>
    <cellStyle name="Normal 3 4 2 3 2 2 2 2 3 2 3" xfId="38176" xr:uid="{00000000-0005-0000-0000-0000255E0000}"/>
    <cellStyle name="Normal 3 4 2 3 2 2 2 2 3 3" xfId="22014" xr:uid="{00000000-0005-0000-0000-0000265E0000}"/>
    <cellStyle name="Normal 3 4 2 3 2 2 2 2 3 3 2" xfId="53885" xr:uid="{00000000-0005-0000-0000-0000275E0000}"/>
    <cellStyle name="Normal 3 4 2 3 2 2 2 2 3 4" xfId="38175" xr:uid="{00000000-0005-0000-0000-0000285E0000}"/>
    <cellStyle name="Normal 3 4 2 3 2 2 2 2 4" xfId="6298" xr:uid="{00000000-0005-0000-0000-0000295E0000}"/>
    <cellStyle name="Normal 3 4 2 3 2 2 2 2 4 2" xfId="25953" xr:uid="{00000000-0005-0000-0000-00002A5E0000}"/>
    <cellStyle name="Normal 3 4 2 3 2 2 2 2 4 2 2" xfId="57824" xr:uid="{00000000-0005-0000-0000-00002B5E0000}"/>
    <cellStyle name="Normal 3 4 2 3 2 2 2 2 4 3" xfId="38177" xr:uid="{00000000-0005-0000-0000-00002C5E0000}"/>
    <cellStyle name="Normal 3 4 2 3 2 2 2 2 5" xfId="18075" xr:uid="{00000000-0005-0000-0000-00002D5E0000}"/>
    <cellStyle name="Normal 3 4 2 3 2 2 2 2 5 2" xfId="49946" xr:uid="{00000000-0005-0000-0000-00002E5E0000}"/>
    <cellStyle name="Normal 3 4 2 3 2 2 2 2 6" xfId="38170" xr:uid="{00000000-0005-0000-0000-00002F5E0000}"/>
    <cellStyle name="Normal 3 4 2 3 2 2 2 3" xfId="6299" xr:uid="{00000000-0005-0000-0000-0000305E0000}"/>
    <cellStyle name="Normal 3 4 2 3 2 2 2 3 2" xfId="6300" xr:uid="{00000000-0005-0000-0000-0000315E0000}"/>
    <cellStyle name="Normal 3 4 2 3 2 2 2 3 2 2" xfId="6301" xr:uid="{00000000-0005-0000-0000-0000325E0000}"/>
    <cellStyle name="Normal 3 4 2 3 2 2 2 3 2 2 2" xfId="29894" xr:uid="{00000000-0005-0000-0000-0000335E0000}"/>
    <cellStyle name="Normal 3 4 2 3 2 2 2 3 2 2 2 2" xfId="61765" xr:uid="{00000000-0005-0000-0000-0000345E0000}"/>
    <cellStyle name="Normal 3 4 2 3 2 2 2 3 2 2 3" xfId="38180" xr:uid="{00000000-0005-0000-0000-0000355E0000}"/>
    <cellStyle name="Normal 3 4 2 3 2 2 2 3 2 3" xfId="22016" xr:uid="{00000000-0005-0000-0000-0000365E0000}"/>
    <cellStyle name="Normal 3 4 2 3 2 2 2 3 2 3 2" xfId="53887" xr:uid="{00000000-0005-0000-0000-0000375E0000}"/>
    <cellStyle name="Normal 3 4 2 3 2 2 2 3 2 4" xfId="38179" xr:uid="{00000000-0005-0000-0000-0000385E0000}"/>
    <cellStyle name="Normal 3 4 2 3 2 2 2 3 3" xfId="6302" xr:uid="{00000000-0005-0000-0000-0000395E0000}"/>
    <cellStyle name="Normal 3 4 2 3 2 2 2 3 3 2" xfId="25955" xr:uid="{00000000-0005-0000-0000-00003A5E0000}"/>
    <cellStyle name="Normal 3 4 2 3 2 2 2 3 3 2 2" xfId="57826" xr:uid="{00000000-0005-0000-0000-00003B5E0000}"/>
    <cellStyle name="Normal 3 4 2 3 2 2 2 3 3 3" xfId="38181" xr:uid="{00000000-0005-0000-0000-00003C5E0000}"/>
    <cellStyle name="Normal 3 4 2 3 2 2 2 3 4" xfId="18077" xr:uid="{00000000-0005-0000-0000-00003D5E0000}"/>
    <cellStyle name="Normal 3 4 2 3 2 2 2 3 4 2" xfId="49948" xr:uid="{00000000-0005-0000-0000-00003E5E0000}"/>
    <cellStyle name="Normal 3 4 2 3 2 2 2 3 5" xfId="38178" xr:uid="{00000000-0005-0000-0000-00003F5E0000}"/>
    <cellStyle name="Normal 3 4 2 3 2 2 2 4" xfId="6303" xr:uid="{00000000-0005-0000-0000-0000405E0000}"/>
    <cellStyle name="Normal 3 4 2 3 2 2 2 4 2" xfId="6304" xr:uid="{00000000-0005-0000-0000-0000415E0000}"/>
    <cellStyle name="Normal 3 4 2 3 2 2 2 4 2 2" xfId="29891" xr:uid="{00000000-0005-0000-0000-0000425E0000}"/>
    <cellStyle name="Normal 3 4 2 3 2 2 2 4 2 2 2" xfId="61762" xr:uid="{00000000-0005-0000-0000-0000435E0000}"/>
    <cellStyle name="Normal 3 4 2 3 2 2 2 4 2 3" xfId="38183" xr:uid="{00000000-0005-0000-0000-0000445E0000}"/>
    <cellStyle name="Normal 3 4 2 3 2 2 2 4 3" xfId="22013" xr:uid="{00000000-0005-0000-0000-0000455E0000}"/>
    <cellStyle name="Normal 3 4 2 3 2 2 2 4 3 2" xfId="53884" xr:uid="{00000000-0005-0000-0000-0000465E0000}"/>
    <cellStyle name="Normal 3 4 2 3 2 2 2 4 4" xfId="38182" xr:uid="{00000000-0005-0000-0000-0000475E0000}"/>
    <cellStyle name="Normal 3 4 2 3 2 2 2 5" xfId="6305" xr:uid="{00000000-0005-0000-0000-0000485E0000}"/>
    <cellStyle name="Normal 3 4 2 3 2 2 2 5 2" xfId="25952" xr:uid="{00000000-0005-0000-0000-0000495E0000}"/>
    <cellStyle name="Normal 3 4 2 3 2 2 2 5 2 2" xfId="57823" xr:uid="{00000000-0005-0000-0000-00004A5E0000}"/>
    <cellStyle name="Normal 3 4 2 3 2 2 2 5 3" xfId="38184" xr:uid="{00000000-0005-0000-0000-00004B5E0000}"/>
    <cellStyle name="Normal 3 4 2 3 2 2 2 6" xfId="18074" xr:uid="{00000000-0005-0000-0000-00004C5E0000}"/>
    <cellStyle name="Normal 3 4 2 3 2 2 2 6 2" xfId="49945" xr:uid="{00000000-0005-0000-0000-00004D5E0000}"/>
    <cellStyle name="Normal 3 4 2 3 2 2 2 7" xfId="38169" xr:uid="{00000000-0005-0000-0000-00004E5E0000}"/>
    <cellStyle name="Normal 3 4 2 3 2 2 3" xfId="6306" xr:uid="{00000000-0005-0000-0000-00004F5E0000}"/>
    <cellStyle name="Normal 3 4 2 3 2 2 3 2" xfId="6307" xr:uid="{00000000-0005-0000-0000-0000505E0000}"/>
    <cellStyle name="Normal 3 4 2 3 2 2 3 2 2" xfId="6308" xr:uid="{00000000-0005-0000-0000-0000515E0000}"/>
    <cellStyle name="Normal 3 4 2 3 2 2 3 2 2 2" xfId="6309" xr:uid="{00000000-0005-0000-0000-0000525E0000}"/>
    <cellStyle name="Normal 3 4 2 3 2 2 3 2 2 2 2" xfId="29896" xr:uid="{00000000-0005-0000-0000-0000535E0000}"/>
    <cellStyle name="Normal 3 4 2 3 2 2 3 2 2 2 2 2" xfId="61767" xr:uid="{00000000-0005-0000-0000-0000545E0000}"/>
    <cellStyle name="Normal 3 4 2 3 2 2 3 2 2 2 3" xfId="38188" xr:uid="{00000000-0005-0000-0000-0000555E0000}"/>
    <cellStyle name="Normal 3 4 2 3 2 2 3 2 2 3" xfId="22018" xr:uid="{00000000-0005-0000-0000-0000565E0000}"/>
    <cellStyle name="Normal 3 4 2 3 2 2 3 2 2 3 2" xfId="53889" xr:uid="{00000000-0005-0000-0000-0000575E0000}"/>
    <cellStyle name="Normal 3 4 2 3 2 2 3 2 2 4" xfId="38187" xr:uid="{00000000-0005-0000-0000-0000585E0000}"/>
    <cellStyle name="Normal 3 4 2 3 2 2 3 2 3" xfId="6310" xr:uid="{00000000-0005-0000-0000-0000595E0000}"/>
    <cellStyle name="Normal 3 4 2 3 2 2 3 2 3 2" xfId="25957" xr:uid="{00000000-0005-0000-0000-00005A5E0000}"/>
    <cellStyle name="Normal 3 4 2 3 2 2 3 2 3 2 2" xfId="57828" xr:uid="{00000000-0005-0000-0000-00005B5E0000}"/>
    <cellStyle name="Normal 3 4 2 3 2 2 3 2 3 3" xfId="38189" xr:uid="{00000000-0005-0000-0000-00005C5E0000}"/>
    <cellStyle name="Normal 3 4 2 3 2 2 3 2 4" xfId="18079" xr:uid="{00000000-0005-0000-0000-00005D5E0000}"/>
    <cellStyle name="Normal 3 4 2 3 2 2 3 2 4 2" xfId="49950" xr:uid="{00000000-0005-0000-0000-00005E5E0000}"/>
    <cellStyle name="Normal 3 4 2 3 2 2 3 2 5" xfId="38186" xr:uid="{00000000-0005-0000-0000-00005F5E0000}"/>
    <cellStyle name="Normal 3 4 2 3 2 2 3 3" xfId="6311" xr:uid="{00000000-0005-0000-0000-0000605E0000}"/>
    <cellStyle name="Normal 3 4 2 3 2 2 3 3 2" xfId="6312" xr:uid="{00000000-0005-0000-0000-0000615E0000}"/>
    <cellStyle name="Normal 3 4 2 3 2 2 3 3 2 2" xfId="29895" xr:uid="{00000000-0005-0000-0000-0000625E0000}"/>
    <cellStyle name="Normal 3 4 2 3 2 2 3 3 2 2 2" xfId="61766" xr:uid="{00000000-0005-0000-0000-0000635E0000}"/>
    <cellStyle name="Normal 3 4 2 3 2 2 3 3 2 3" xfId="38191" xr:uid="{00000000-0005-0000-0000-0000645E0000}"/>
    <cellStyle name="Normal 3 4 2 3 2 2 3 3 3" xfId="22017" xr:uid="{00000000-0005-0000-0000-0000655E0000}"/>
    <cellStyle name="Normal 3 4 2 3 2 2 3 3 3 2" xfId="53888" xr:uid="{00000000-0005-0000-0000-0000665E0000}"/>
    <cellStyle name="Normal 3 4 2 3 2 2 3 3 4" xfId="38190" xr:uid="{00000000-0005-0000-0000-0000675E0000}"/>
    <cellStyle name="Normal 3 4 2 3 2 2 3 4" xfId="6313" xr:uid="{00000000-0005-0000-0000-0000685E0000}"/>
    <cellStyle name="Normal 3 4 2 3 2 2 3 4 2" xfId="25956" xr:uid="{00000000-0005-0000-0000-0000695E0000}"/>
    <cellStyle name="Normal 3 4 2 3 2 2 3 4 2 2" xfId="57827" xr:uid="{00000000-0005-0000-0000-00006A5E0000}"/>
    <cellStyle name="Normal 3 4 2 3 2 2 3 4 3" xfId="38192" xr:uid="{00000000-0005-0000-0000-00006B5E0000}"/>
    <cellStyle name="Normal 3 4 2 3 2 2 3 5" xfId="18078" xr:uid="{00000000-0005-0000-0000-00006C5E0000}"/>
    <cellStyle name="Normal 3 4 2 3 2 2 3 5 2" xfId="49949" xr:uid="{00000000-0005-0000-0000-00006D5E0000}"/>
    <cellStyle name="Normal 3 4 2 3 2 2 3 6" xfId="38185" xr:uid="{00000000-0005-0000-0000-00006E5E0000}"/>
    <cellStyle name="Normal 3 4 2 3 2 2 4" xfId="6314" xr:uid="{00000000-0005-0000-0000-00006F5E0000}"/>
    <cellStyle name="Normal 3 4 2 3 2 2 4 2" xfId="6315" xr:uid="{00000000-0005-0000-0000-0000705E0000}"/>
    <cellStyle name="Normal 3 4 2 3 2 2 4 2 2" xfId="6316" xr:uid="{00000000-0005-0000-0000-0000715E0000}"/>
    <cellStyle name="Normal 3 4 2 3 2 2 4 2 2 2" xfId="29897" xr:uid="{00000000-0005-0000-0000-0000725E0000}"/>
    <cellStyle name="Normal 3 4 2 3 2 2 4 2 2 2 2" xfId="61768" xr:uid="{00000000-0005-0000-0000-0000735E0000}"/>
    <cellStyle name="Normal 3 4 2 3 2 2 4 2 2 3" xfId="38195" xr:uid="{00000000-0005-0000-0000-0000745E0000}"/>
    <cellStyle name="Normal 3 4 2 3 2 2 4 2 3" xfId="22019" xr:uid="{00000000-0005-0000-0000-0000755E0000}"/>
    <cellStyle name="Normal 3 4 2 3 2 2 4 2 3 2" xfId="53890" xr:uid="{00000000-0005-0000-0000-0000765E0000}"/>
    <cellStyle name="Normal 3 4 2 3 2 2 4 2 4" xfId="38194" xr:uid="{00000000-0005-0000-0000-0000775E0000}"/>
    <cellStyle name="Normal 3 4 2 3 2 2 4 3" xfId="6317" xr:uid="{00000000-0005-0000-0000-0000785E0000}"/>
    <cellStyle name="Normal 3 4 2 3 2 2 4 3 2" xfId="25958" xr:uid="{00000000-0005-0000-0000-0000795E0000}"/>
    <cellStyle name="Normal 3 4 2 3 2 2 4 3 2 2" xfId="57829" xr:uid="{00000000-0005-0000-0000-00007A5E0000}"/>
    <cellStyle name="Normal 3 4 2 3 2 2 4 3 3" xfId="38196" xr:uid="{00000000-0005-0000-0000-00007B5E0000}"/>
    <cellStyle name="Normal 3 4 2 3 2 2 4 4" xfId="18080" xr:uid="{00000000-0005-0000-0000-00007C5E0000}"/>
    <cellStyle name="Normal 3 4 2 3 2 2 4 4 2" xfId="49951" xr:uid="{00000000-0005-0000-0000-00007D5E0000}"/>
    <cellStyle name="Normal 3 4 2 3 2 2 4 5" xfId="38193" xr:uid="{00000000-0005-0000-0000-00007E5E0000}"/>
    <cellStyle name="Normal 3 4 2 3 2 2 5" xfId="6318" xr:uid="{00000000-0005-0000-0000-00007F5E0000}"/>
    <cellStyle name="Normal 3 4 2 3 2 2 5 2" xfId="6319" xr:uid="{00000000-0005-0000-0000-0000805E0000}"/>
    <cellStyle name="Normal 3 4 2 3 2 2 5 2 2" xfId="29890" xr:uid="{00000000-0005-0000-0000-0000815E0000}"/>
    <cellStyle name="Normal 3 4 2 3 2 2 5 2 2 2" xfId="61761" xr:uid="{00000000-0005-0000-0000-0000825E0000}"/>
    <cellStyle name="Normal 3 4 2 3 2 2 5 2 3" xfId="38198" xr:uid="{00000000-0005-0000-0000-0000835E0000}"/>
    <cellStyle name="Normal 3 4 2 3 2 2 5 3" xfId="22012" xr:uid="{00000000-0005-0000-0000-0000845E0000}"/>
    <cellStyle name="Normal 3 4 2 3 2 2 5 3 2" xfId="53883" xr:uid="{00000000-0005-0000-0000-0000855E0000}"/>
    <cellStyle name="Normal 3 4 2 3 2 2 5 4" xfId="38197" xr:uid="{00000000-0005-0000-0000-0000865E0000}"/>
    <cellStyle name="Normal 3 4 2 3 2 2 6" xfId="6320" xr:uid="{00000000-0005-0000-0000-0000875E0000}"/>
    <cellStyle name="Normal 3 4 2 3 2 2 6 2" xfId="25951" xr:uid="{00000000-0005-0000-0000-0000885E0000}"/>
    <cellStyle name="Normal 3 4 2 3 2 2 6 2 2" xfId="57822" xr:uid="{00000000-0005-0000-0000-0000895E0000}"/>
    <cellStyle name="Normal 3 4 2 3 2 2 6 3" xfId="38199" xr:uid="{00000000-0005-0000-0000-00008A5E0000}"/>
    <cellStyle name="Normal 3 4 2 3 2 2 7" xfId="18073" xr:uid="{00000000-0005-0000-0000-00008B5E0000}"/>
    <cellStyle name="Normal 3 4 2 3 2 2 7 2" xfId="49944" xr:uid="{00000000-0005-0000-0000-00008C5E0000}"/>
    <cellStyle name="Normal 3 4 2 3 2 2 8" xfId="38168" xr:uid="{00000000-0005-0000-0000-00008D5E0000}"/>
    <cellStyle name="Normal 3 4 2 3 2 3" xfId="6321" xr:uid="{00000000-0005-0000-0000-00008E5E0000}"/>
    <cellStyle name="Normal 3 4 2 3 2 3 2" xfId="6322" xr:uid="{00000000-0005-0000-0000-00008F5E0000}"/>
    <cellStyle name="Normal 3 4 2 3 2 3 2 2" xfId="6323" xr:uid="{00000000-0005-0000-0000-0000905E0000}"/>
    <cellStyle name="Normal 3 4 2 3 2 3 2 2 2" xfId="6324" xr:uid="{00000000-0005-0000-0000-0000915E0000}"/>
    <cellStyle name="Normal 3 4 2 3 2 3 2 2 2 2" xfId="6325" xr:uid="{00000000-0005-0000-0000-0000925E0000}"/>
    <cellStyle name="Normal 3 4 2 3 2 3 2 2 2 2 2" xfId="29900" xr:uid="{00000000-0005-0000-0000-0000935E0000}"/>
    <cellStyle name="Normal 3 4 2 3 2 3 2 2 2 2 2 2" xfId="61771" xr:uid="{00000000-0005-0000-0000-0000945E0000}"/>
    <cellStyle name="Normal 3 4 2 3 2 3 2 2 2 2 3" xfId="38204" xr:uid="{00000000-0005-0000-0000-0000955E0000}"/>
    <cellStyle name="Normal 3 4 2 3 2 3 2 2 2 3" xfId="22022" xr:uid="{00000000-0005-0000-0000-0000965E0000}"/>
    <cellStyle name="Normal 3 4 2 3 2 3 2 2 2 3 2" xfId="53893" xr:uid="{00000000-0005-0000-0000-0000975E0000}"/>
    <cellStyle name="Normal 3 4 2 3 2 3 2 2 2 4" xfId="38203" xr:uid="{00000000-0005-0000-0000-0000985E0000}"/>
    <cellStyle name="Normal 3 4 2 3 2 3 2 2 3" xfId="6326" xr:uid="{00000000-0005-0000-0000-0000995E0000}"/>
    <cellStyle name="Normal 3 4 2 3 2 3 2 2 3 2" xfId="25961" xr:uid="{00000000-0005-0000-0000-00009A5E0000}"/>
    <cellStyle name="Normal 3 4 2 3 2 3 2 2 3 2 2" xfId="57832" xr:uid="{00000000-0005-0000-0000-00009B5E0000}"/>
    <cellStyle name="Normal 3 4 2 3 2 3 2 2 3 3" xfId="38205" xr:uid="{00000000-0005-0000-0000-00009C5E0000}"/>
    <cellStyle name="Normal 3 4 2 3 2 3 2 2 4" xfId="18083" xr:uid="{00000000-0005-0000-0000-00009D5E0000}"/>
    <cellStyle name="Normal 3 4 2 3 2 3 2 2 4 2" xfId="49954" xr:uid="{00000000-0005-0000-0000-00009E5E0000}"/>
    <cellStyle name="Normal 3 4 2 3 2 3 2 2 5" xfId="38202" xr:uid="{00000000-0005-0000-0000-00009F5E0000}"/>
    <cellStyle name="Normal 3 4 2 3 2 3 2 3" xfId="6327" xr:uid="{00000000-0005-0000-0000-0000A05E0000}"/>
    <cellStyle name="Normal 3 4 2 3 2 3 2 3 2" xfId="6328" xr:uid="{00000000-0005-0000-0000-0000A15E0000}"/>
    <cellStyle name="Normal 3 4 2 3 2 3 2 3 2 2" xfId="29899" xr:uid="{00000000-0005-0000-0000-0000A25E0000}"/>
    <cellStyle name="Normal 3 4 2 3 2 3 2 3 2 2 2" xfId="61770" xr:uid="{00000000-0005-0000-0000-0000A35E0000}"/>
    <cellStyle name="Normal 3 4 2 3 2 3 2 3 2 3" xfId="38207" xr:uid="{00000000-0005-0000-0000-0000A45E0000}"/>
    <cellStyle name="Normal 3 4 2 3 2 3 2 3 3" xfId="22021" xr:uid="{00000000-0005-0000-0000-0000A55E0000}"/>
    <cellStyle name="Normal 3 4 2 3 2 3 2 3 3 2" xfId="53892" xr:uid="{00000000-0005-0000-0000-0000A65E0000}"/>
    <cellStyle name="Normal 3 4 2 3 2 3 2 3 4" xfId="38206" xr:uid="{00000000-0005-0000-0000-0000A75E0000}"/>
    <cellStyle name="Normal 3 4 2 3 2 3 2 4" xfId="6329" xr:uid="{00000000-0005-0000-0000-0000A85E0000}"/>
    <cellStyle name="Normal 3 4 2 3 2 3 2 4 2" xfId="25960" xr:uid="{00000000-0005-0000-0000-0000A95E0000}"/>
    <cellStyle name="Normal 3 4 2 3 2 3 2 4 2 2" xfId="57831" xr:uid="{00000000-0005-0000-0000-0000AA5E0000}"/>
    <cellStyle name="Normal 3 4 2 3 2 3 2 4 3" xfId="38208" xr:uid="{00000000-0005-0000-0000-0000AB5E0000}"/>
    <cellStyle name="Normal 3 4 2 3 2 3 2 5" xfId="18082" xr:uid="{00000000-0005-0000-0000-0000AC5E0000}"/>
    <cellStyle name="Normal 3 4 2 3 2 3 2 5 2" xfId="49953" xr:uid="{00000000-0005-0000-0000-0000AD5E0000}"/>
    <cellStyle name="Normal 3 4 2 3 2 3 2 6" xfId="38201" xr:uid="{00000000-0005-0000-0000-0000AE5E0000}"/>
    <cellStyle name="Normal 3 4 2 3 2 3 3" xfId="6330" xr:uid="{00000000-0005-0000-0000-0000AF5E0000}"/>
    <cellStyle name="Normal 3 4 2 3 2 3 3 2" xfId="6331" xr:uid="{00000000-0005-0000-0000-0000B05E0000}"/>
    <cellStyle name="Normal 3 4 2 3 2 3 3 2 2" xfId="6332" xr:uid="{00000000-0005-0000-0000-0000B15E0000}"/>
    <cellStyle name="Normal 3 4 2 3 2 3 3 2 2 2" xfId="29901" xr:uid="{00000000-0005-0000-0000-0000B25E0000}"/>
    <cellStyle name="Normal 3 4 2 3 2 3 3 2 2 2 2" xfId="61772" xr:uid="{00000000-0005-0000-0000-0000B35E0000}"/>
    <cellStyle name="Normal 3 4 2 3 2 3 3 2 2 3" xfId="38211" xr:uid="{00000000-0005-0000-0000-0000B45E0000}"/>
    <cellStyle name="Normal 3 4 2 3 2 3 3 2 3" xfId="22023" xr:uid="{00000000-0005-0000-0000-0000B55E0000}"/>
    <cellStyle name="Normal 3 4 2 3 2 3 3 2 3 2" xfId="53894" xr:uid="{00000000-0005-0000-0000-0000B65E0000}"/>
    <cellStyle name="Normal 3 4 2 3 2 3 3 2 4" xfId="38210" xr:uid="{00000000-0005-0000-0000-0000B75E0000}"/>
    <cellStyle name="Normal 3 4 2 3 2 3 3 3" xfId="6333" xr:uid="{00000000-0005-0000-0000-0000B85E0000}"/>
    <cellStyle name="Normal 3 4 2 3 2 3 3 3 2" xfId="25962" xr:uid="{00000000-0005-0000-0000-0000B95E0000}"/>
    <cellStyle name="Normal 3 4 2 3 2 3 3 3 2 2" xfId="57833" xr:uid="{00000000-0005-0000-0000-0000BA5E0000}"/>
    <cellStyle name="Normal 3 4 2 3 2 3 3 3 3" xfId="38212" xr:uid="{00000000-0005-0000-0000-0000BB5E0000}"/>
    <cellStyle name="Normal 3 4 2 3 2 3 3 4" xfId="18084" xr:uid="{00000000-0005-0000-0000-0000BC5E0000}"/>
    <cellStyle name="Normal 3 4 2 3 2 3 3 4 2" xfId="49955" xr:uid="{00000000-0005-0000-0000-0000BD5E0000}"/>
    <cellStyle name="Normal 3 4 2 3 2 3 3 5" xfId="38209" xr:uid="{00000000-0005-0000-0000-0000BE5E0000}"/>
    <cellStyle name="Normal 3 4 2 3 2 3 4" xfId="6334" xr:uid="{00000000-0005-0000-0000-0000BF5E0000}"/>
    <cellStyle name="Normal 3 4 2 3 2 3 4 2" xfId="6335" xr:uid="{00000000-0005-0000-0000-0000C05E0000}"/>
    <cellStyle name="Normal 3 4 2 3 2 3 4 2 2" xfId="29898" xr:uid="{00000000-0005-0000-0000-0000C15E0000}"/>
    <cellStyle name="Normal 3 4 2 3 2 3 4 2 2 2" xfId="61769" xr:uid="{00000000-0005-0000-0000-0000C25E0000}"/>
    <cellStyle name="Normal 3 4 2 3 2 3 4 2 3" xfId="38214" xr:uid="{00000000-0005-0000-0000-0000C35E0000}"/>
    <cellStyle name="Normal 3 4 2 3 2 3 4 3" xfId="22020" xr:uid="{00000000-0005-0000-0000-0000C45E0000}"/>
    <cellStyle name="Normal 3 4 2 3 2 3 4 3 2" xfId="53891" xr:uid="{00000000-0005-0000-0000-0000C55E0000}"/>
    <cellStyle name="Normal 3 4 2 3 2 3 4 4" xfId="38213" xr:uid="{00000000-0005-0000-0000-0000C65E0000}"/>
    <cellStyle name="Normal 3 4 2 3 2 3 5" xfId="6336" xr:uid="{00000000-0005-0000-0000-0000C75E0000}"/>
    <cellStyle name="Normal 3 4 2 3 2 3 5 2" xfId="25959" xr:uid="{00000000-0005-0000-0000-0000C85E0000}"/>
    <cellStyle name="Normal 3 4 2 3 2 3 5 2 2" xfId="57830" xr:uid="{00000000-0005-0000-0000-0000C95E0000}"/>
    <cellStyle name="Normal 3 4 2 3 2 3 5 3" xfId="38215" xr:uid="{00000000-0005-0000-0000-0000CA5E0000}"/>
    <cellStyle name="Normal 3 4 2 3 2 3 6" xfId="18081" xr:uid="{00000000-0005-0000-0000-0000CB5E0000}"/>
    <cellStyle name="Normal 3 4 2 3 2 3 6 2" xfId="49952" xr:uid="{00000000-0005-0000-0000-0000CC5E0000}"/>
    <cellStyle name="Normal 3 4 2 3 2 3 7" xfId="38200" xr:uid="{00000000-0005-0000-0000-0000CD5E0000}"/>
    <cellStyle name="Normal 3 4 2 3 2 4" xfId="6337" xr:uid="{00000000-0005-0000-0000-0000CE5E0000}"/>
    <cellStyle name="Normal 3 4 2 3 2 4 2" xfId="6338" xr:uid="{00000000-0005-0000-0000-0000CF5E0000}"/>
    <cellStyle name="Normal 3 4 2 3 2 4 2 2" xfId="6339" xr:uid="{00000000-0005-0000-0000-0000D05E0000}"/>
    <cellStyle name="Normal 3 4 2 3 2 4 2 2 2" xfId="6340" xr:uid="{00000000-0005-0000-0000-0000D15E0000}"/>
    <cellStyle name="Normal 3 4 2 3 2 4 2 2 2 2" xfId="29903" xr:uid="{00000000-0005-0000-0000-0000D25E0000}"/>
    <cellStyle name="Normal 3 4 2 3 2 4 2 2 2 2 2" xfId="61774" xr:uid="{00000000-0005-0000-0000-0000D35E0000}"/>
    <cellStyle name="Normal 3 4 2 3 2 4 2 2 2 3" xfId="38219" xr:uid="{00000000-0005-0000-0000-0000D45E0000}"/>
    <cellStyle name="Normal 3 4 2 3 2 4 2 2 3" xfId="22025" xr:uid="{00000000-0005-0000-0000-0000D55E0000}"/>
    <cellStyle name="Normal 3 4 2 3 2 4 2 2 3 2" xfId="53896" xr:uid="{00000000-0005-0000-0000-0000D65E0000}"/>
    <cellStyle name="Normal 3 4 2 3 2 4 2 2 4" xfId="38218" xr:uid="{00000000-0005-0000-0000-0000D75E0000}"/>
    <cellStyle name="Normal 3 4 2 3 2 4 2 3" xfId="6341" xr:uid="{00000000-0005-0000-0000-0000D85E0000}"/>
    <cellStyle name="Normal 3 4 2 3 2 4 2 3 2" xfId="25964" xr:uid="{00000000-0005-0000-0000-0000D95E0000}"/>
    <cellStyle name="Normal 3 4 2 3 2 4 2 3 2 2" xfId="57835" xr:uid="{00000000-0005-0000-0000-0000DA5E0000}"/>
    <cellStyle name="Normal 3 4 2 3 2 4 2 3 3" xfId="38220" xr:uid="{00000000-0005-0000-0000-0000DB5E0000}"/>
    <cellStyle name="Normal 3 4 2 3 2 4 2 4" xfId="18086" xr:uid="{00000000-0005-0000-0000-0000DC5E0000}"/>
    <cellStyle name="Normal 3 4 2 3 2 4 2 4 2" xfId="49957" xr:uid="{00000000-0005-0000-0000-0000DD5E0000}"/>
    <cellStyle name="Normal 3 4 2 3 2 4 2 5" xfId="38217" xr:uid="{00000000-0005-0000-0000-0000DE5E0000}"/>
    <cellStyle name="Normal 3 4 2 3 2 4 3" xfId="6342" xr:uid="{00000000-0005-0000-0000-0000DF5E0000}"/>
    <cellStyle name="Normal 3 4 2 3 2 4 3 2" xfId="6343" xr:uid="{00000000-0005-0000-0000-0000E05E0000}"/>
    <cellStyle name="Normal 3 4 2 3 2 4 3 2 2" xfId="29902" xr:uid="{00000000-0005-0000-0000-0000E15E0000}"/>
    <cellStyle name="Normal 3 4 2 3 2 4 3 2 2 2" xfId="61773" xr:uid="{00000000-0005-0000-0000-0000E25E0000}"/>
    <cellStyle name="Normal 3 4 2 3 2 4 3 2 3" xfId="38222" xr:uid="{00000000-0005-0000-0000-0000E35E0000}"/>
    <cellStyle name="Normal 3 4 2 3 2 4 3 3" xfId="22024" xr:uid="{00000000-0005-0000-0000-0000E45E0000}"/>
    <cellStyle name="Normal 3 4 2 3 2 4 3 3 2" xfId="53895" xr:uid="{00000000-0005-0000-0000-0000E55E0000}"/>
    <cellStyle name="Normal 3 4 2 3 2 4 3 4" xfId="38221" xr:uid="{00000000-0005-0000-0000-0000E65E0000}"/>
    <cellStyle name="Normal 3 4 2 3 2 4 4" xfId="6344" xr:uid="{00000000-0005-0000-0000-0000E75E0000}"/>
    <cellStyle name="Normal 3 4 2 3 2 4 4 2" xfId="25963" xr:uid="{00000000-0005-0000-0000-0000E85E0000}"/>
    <cellStyle name="Normal 3 4 2 3 2 4 4 2 2" xfId="57834" xr:uid="{00000000-0005-0000-0000-0000E95E0000}"/>
    <cellStyle name="Normal 3 4 2 3 2 4 4 3" xfId="38223" xr:uid="{00000000-0005-0000-0000-0000EA5E0000}"/>
    <cellStyle name="Normal 3 4 2 3 2 4 5" xfId="18085" xr:uid="{00000000-0005-0000-0000-0000EB5E0000}"/>
    <cellStyle name="Normal 3 4 2 3 2 4 5 2" xfId="49956" xr:uid="{00000000-0005-0000-0000-0000EC5E0000}"/>
    <cellStyle name="Normal 3 4 2 3 2 4 6" xfId="38216" xr:uid="{00000000-0005-0000-0000-0000ED5E0000}"/>
    <cellStyle name="Normal 3 4 2 3 2 5" xfId="6345" xr:uid="{00000000-0005-0000-0000-0000EE5E0000}"/>
    <cellStyle name="Normal 3 4 2 3 2 5 2" xfId="6346" xr:uid="{00000000-0005-0000-0000-0000EF5E0000}"/>
    <cellStyle name="Normal 3 4 2 3 2 5 2 2" xfId="6347" xr:uid="{00000000-0005-0000-0000-0000F05E0000}"/>
    <cellStyle name="Normal 3 4 2 3 2 5 2 2 2" xfId="29904" xr:uid="{00000000-0005-0000-0000-0000F15E0000}"/>
    <cellStyle name="Normal 3 4 2 3 2 5 2 2 2 2" xfId="61775" xr:uid="{00000000-0005-0000-0000-0000F25E0000}"/>
    <cellStyle name="Normal 3 4 2 3 2 5 2 2 3" xfId="38226" xr:uid="{00000000-0005-0000-0000-0000F35E0000}"/>
    <cellStyle name="Normal 3 4 2 3 2 5 2 3" xfId="22026" xr:uid="{00000000-0005-0000-0000-0000F45E0000}"/>
    <cellStyle name="Normal 3 4 2 3 2 5 2 3 2" xfId="53897" xr:uid="{00000000-0005-0000-0000-0000F55E0000}"/>
    <cellStyle name="Normal 3 4 2 3 2 5 2 4" xfId="38225" xr:uid="{00000000-0005-0000-0000-0000F65E0000}"/>
    <cellStyle name="Normal 3 4 2 3 2 5 3" xfId="6348" xr:uid="{00000000-0005-0000-0000-0000F75E0000}"/>
    <cellStyle name="Normal 3 4 2 3 2 5 3 2" xfId="25965" xr:uid="{00000000-0005-0000-0000-0000F85E0000}"/>
    <cellStyle name="Normal 3 4 2 3 2 5 3 2 2" xfId="57836" xr:uid="{00000000-0005-0000-0000-0000F95E0000}"/>
    <cellStyle name="Normal 3 4 2 3 2 5 3 3" xfId="38227" xr:uid="{00000000-0005-0000-0000-0000FA5E0000}"/>
    <cellStyle name="Normal 3 4 2 3 2 5 4" xfId="18087" xr:uid="{00000000-0005-0000-0000-0000FB5E0000}"/>
    <cellStyle name="Normal 3 4 2 3 2 5 4 2" xfId="49958" xr:uid="{00000000-0005-0000-0000-0000FC5E0000}"/>
    <cellStyle name="Normal 3 4 2 3 2 5 5" xfId="38224" xr:uid="{00000000-0005-0000-0000-0000FD5E0000}"/>
    <cellStyle name="Normal 3 4 2 3 2 6" xfId="6349" xr:uid="{00000000-0005-0000-0000-0000FE5E0000}"/>
    <cellStyle name="Normal 3 4 2 3 2 6 2" xfId="6350" xr:uid="{00000000-0005-0000-0000-0000FF5E0000}"/>
    <cellStyle name="Normal 3 4 2 3 2 6 2 2" xfId="28488" xr:uid="{00000000-0005-0000-0000-0000005F0000}"/>
    <cellStyle name="Normal 3 4 2 3 2 6 2 2 2" xfId="60359" xr:uid="{00000000-0005-0000-0000-0000015F0000}"/>
    <cellStyle name="Normal 3 4 2 3 2 6 2 3" xfId="38229" xr:uid="{00000000-0005-0000-0000-0000025F0000}"/>
    <cellStyle name="Normal 3 4 2 3 2 6 3" xfId="20610" xr:uid="{00000000-0005-0000-0000-0000035F0000}"/>
    <cellStyle name="Normal 3 4 2 3 2 6 3 2" xfId="52481" xr:uid="{00000000-0005-0000-0000-0000045F0000}"/>
    <cellStyle name="Normal 3 4 2 3 2 6 4" xfId="38228" xr:uid="{00000000-0005-0000-0000-0000055F0000}"/>
    <cellStyle name="Normal 3 4 2 3 2 7" xfId="6351" xr:uid="{00000000-0005-0000-0000-0000065F0000}"/>
    <cellStyle name="Normal 3 4 2 3 2 7 2" xfId="24549" xr:uid="{00000000-0005-0000-0000-0000075F0000}"/>
    <cellStyle name="Normal 3 4 2 3 2 7 2 2" xfId="56420" xr:uid="{00000000-0005-0000-0000-0000085F0000}"/>
    <cellStyle name="Normal 3 4 2 3 2 7 3" xfId="38230" xr:uid="{00000000-0005-0000-0000-0000095F0000}"/>
    <cellStyle name="Normal 3 4 2 3 2 8" xfId="16671" xr:uid="{00000000-0005-0000-0000-00000A5F0000}"/>
    <cellStyle name="Normal 3 4 2 3 2 8 2" xfId="48542" xr:uid="{00000000-0005-0000-0000-00000B5F0000}"/>
    <cellStyle name="Normal 3 4 2 3 2 9" xfId="38167" xr:uid="{00000000-0005-0000-0000-00000C5F0000}"/>
    <cellStyle name="Normal 3 4 2 3 3" xfId="6352" xr:uid="{00000000-0005-0000-0000-00000D5F0000}"/>
    <cellStyle name="Normal 3 4 2 3 3 2" xfId="6353" xr:uid="{00000000-0005-0000-0000-00000E5F0000}"/>
    <cellStyle name="Normal 3 4 2 3 3 2 2" xfId="6354" xr:uid="{00000000-0005-0000-0000-00000F5F0000}"/>
    <cellStyle name="Normal 3 4 2 3 3 2 2 2" xfId="6355" xr:uid="{00000000-0005-0000-0000-0000105F0000}"/>
    <cellStyle name="Normal 3 4 2 3 3 2 2 2 2" xfId="6356" xr:uid="{00000000-0005-0000-0000-0000115F0000}"/>
    <cellStyle name="Normal 3 4 2 3 3 2 2 2 2 2" xfId="6357" xr:uid="{00000000-0005-0000-0000-0000125F0000}"/>
    <cellStyle name="Normal 3 4 2 3 3 2 2 2 2 2 2" xfId="29908" xr:uid="{00000000-0005-0000-0000-0000135F0000}"/>
    <cellStyle name="Normal 3 4 2 3 3 2 2 2 2 2 2 2" xfId="61779" xr:uid="{00000000-0005-0000-0000-0000145F0000}"/>
    <cellStyle name="Normal 3 4 2 3 3 2 2 2 2 2 3" xfId="38236" xr:uid="{00000000-0005-0000-0000-0000155F0000}"/>
    <cellStyle name="Normal 3 4 2 3 3 2 2 2 2 3" xfId="22030" xr:uid="{00000000-0005-0000-0000-0000165F0000}"/>
    <cellStyle name="Normal 3 4 2 3 3 2 2 2 2 3 2" xfId="53901" xr:uid="{00000000-0005-0000-0000-0000175F0000}"/>
    <cellStyle name="Normal 3 4 2 3 3 2 2 2 2 4" xfId="38235" xr:uid="{00000000-0005-0000-0000-0000185F0000}"/>
    <cellStyle name="Normal 3 4 2 3 3 2 2 2 3" xfId="6358" xr:uid="{00000000-0005-0000-0000-0000195F0000}"/>
    <cellStyle name="Normal 3 4 2 3 3 2 2 2 3 2" xfId="25969" xr:uid="{00000000-0005-0000-0000-00001A5F0000}"/>
    <cellStyle name="Normal 3 4 2 3 3 2 2 2 3 2 2" xfId="57840" xr:uid="{00000000-0005-0000-0000-00001B5F0000}"/>
    <cellStyle name="Normal 3 4 2 3 3 2 2 2 3 3" xfId="38237" xr:uid="{00000000-0005-0000-0000-00001C5F0000}"/>
    <cellStyle name="Normal 3 4 2 3 3 2 2 2 4" xfId="18091" xr:uid="{00000000-0005-0000-0000-00001D5F0000}"/>
    <cellStyle name="Normal 3 4 2 3 3 2 2 2 4 2" xfId="49962" xr:uid="{00000000-0005-0000-0000-00001E5F0000}"/>
    <cellStyle name="Normal 3 4 2 3 3 2 2 2 5" xfId="38234" xr:uid="{00000000-0005-0000-0000-00001F5F0000}"/>
    <cellStyle name="Normal 3 4 2 3 3 2 2 3" xfId="6359" xr:uid="{00000000-0005-0000-0000-0000205F0000}"/>
    <cellStyle name="Normal 3 4 2 3 3 2 2 3 2" xfId="6360" xr:uid="{00000000-0005-0000-0000-0000215F0000}"/>
    <cellStyle name="Normal 3 4 2 3 3 2 2 3 2 2" xfId="29907" xr:uid="{00000000-0005-0000-0000-0000225F0000}"/>
    <cellStyle name="Normal 3 4 2 3 3 2 2 3 2 2 2" xfId="61778" xr:uid="{00000000-0005-0000-0000-0000235F0000}"/>
    <cellStyle name="Normal 3 4 2 3 3 2 2 3 2 3" xfId="38239" xr:uid="{00000000-0005-0000-0000-0000245F0000}"/>
    <cellStyle name="Normal 3 4 2 3 3 2 2 3 3" xfId="22029" xr:uid="{00000000-0005-0000-0000-0000255F0000}"/>
    <cellStyle name="Normal 3 4 2 3 3 2 2 3 3 2" xfId="53900" xr:uid="{00000000-0005-0000-0000-0000265F0000}"/>
    <cellStyle name="Normal 3 4 2 3 3 2 2 3 4" xfId="38238" xr:uid="{00000000-0005-0000-0000-0000275F0000}"/>
    <cellStyle name="Normal 3 4 2 3 3 2 2 4" xfId="6361" xr:uid="{00000000-0005-0000-0000-0000285F0000}"/>
    <cellStyle name="Normal 3 4 2 3 3 2 2 4 2" xfId="25968" xr:uid="{00000000-0005-0000-0000-0000295F0000}"/>
    <cellStyle name="Normal 3 4 2 3 3 2 2 4 2 2" xfId="57839" xr:uid="{00000000-0005-0000-0000-00002A5F0000}"/>
    <cellStyle name="Normal 3 4 2 3 3 2 2 4 3" xfId="38240" xr:uid="{00000000-0005-0000-0000-00002B5F0000}"/>
    <cellStyle name="Normal 3 4 2 3 3 2 2 5" xfId="18090" xr:uid="{00000000-0005-0000-0000-00002C5F0000}"/>
    <cellStyle name="Normal 3 4 2 3 3 2 2 5 2" xfId="49961" xr:uid="{00000000-0005-0000-0000-00002D5F0000}"/>
    <cellStyle name="Normal 3 4 2 3 3 2 2 6" xfId="38233" xr:uid="{00000000-0005-0000-0000-00002E5F0000}"/>
    <cellStyle name="Normal 3 4 2 3 3 2 3" xfId="6362" xr:uid="{00000000-0005-0000-0000-00002F5F0000}"/>
    <cellStyle name="Normal 3 4 2 3 3 2 3 2" xfId="6363" xr:uid="{00000000-0005-0000-0000-0000305F0000}"/>
    <cellStyle name="Normal 3 4 2 3 3 2 3 2 2" xfId="6364" xr:uid="{00000000-0005-0000-0000-0000315F0000}"/>
    <cellStyle name="Normal 3 4 2 3 3 2 3 2 2 2" xfId="29909" xr:uid="{00000000-0005-0000-0000-0000325F0000}"/>
    <cellStyle name="Normal 3 4 2 3 3 2 3 2 2 2 2" xfId="61780" xr:uid="{00000000-0005-0000-0000-0000335F0000}"/>
    <cellStyle name="Normal 3 4 2 3 3 2 3 2 2 3" xfId="38243" xr:uid="{00000000-0005-0000-0000-0000345F0000}"/>
    <cellStyle name="Normal 3 4 2 3 3 2 3 2 3" xfId="22031" xr:uid="{00000000-0005-0000-0000-0000355F0000}"/>
    <cellStyle name="Normal 3 4 2 3 3 2 3 2 3 2" xfId="53902" xr:uid="{00000000-0005-0000-0000-0000365F0000}"/>
    <cellStyle name="Normal 3 4 2 3 3 2 3 2 4" xfId="38242" xr:uid="{00000000-0005-0000-0000-0000375F0000}"/>
    <cellStyle name="Normal 3 4 2 3 3 2 3 3" xfId="6365" xr:uid="{00000000-0005-0000-0000-0000385F0000}"/>
    <cellStyle name="Normal 3 4 2 3 3 2 3 3 2" xfId="25970" xr:uid="{00000000-0005-0000-0000-0000395F0000}"/>
    <cellStyle name="Normal 3 4 2 3 3 2 3 3 2 2" xfId="57841" xr:uid="{00000000-0005-0000-0000-00003A5F0000}"/>
    <cellStyle name="Normal 3 4 2 3 3 2 3 3 3" xfId="38244" xr:uid="{00000000-0005-0000-0000-00003B5F0000}"/>
    <cellStyle name="Normal 3 4 2 3 3 2 3 4" xfId="18092" xr:uid="{00000000-0005-0000-0000-00003C5F0000}"/>
    <cellStyle name="Normal 3 4 2 3 3 2 3 4 2" xfId="49963" xr:uid="{00000000-0005-0000-0000-00003D5F0000}"/>
    <cellStyle name="Normal 3 4 2 3 3 2 3 5" xfId="38241" xr:uid="{00000000-0005-0000-0000-00003E5F0000}"/>
    <cellStyle name="Normal 3 4 2 3 3 2 4" xfId="6366" xr:uid="{00000000-0005-0000-0000-00003F5F0000}"/>
    <cellStyle name="Normal 3 4 2 3 3 2 4 2" xfId="6367" xr:uid="{00000000-0005-0000-0000-0000405F0000}"/>
    <cellStyle name="Normal 3 4 2 3 3 2 4 2 2" xfId="29906" xr:uid="{00000000-0005-0000-0000-0000415F0000}"/>
    <cellStyle name="Normal 3 4 2 3 3 2 4 2 2 2" xfId="61777" xr:uid="{00000000-0005-0000-0000-0000425F0000}"/>
    <cellStyle name="Normal 3 4 2 3 3 2 4 2 3" xfId="38246" xr:uid="{00000000-0005-0000-0000-0000435F0000}"/>
    <cellStyle name="Normal 3 4 2 3 3 2 4 3" xfId="22028" xr:uid="{00000000-0005-0000-0000-0000445F0000}"/>
    <cellStyle name="Normal 3 4 2 3 3 2 4 3 2" xfId="53899" xr:uid="{00000000-0005-0000-0000-0000455F0000}"/>
    <cellStyle name="Normal 3 4 2 3 3 2 4 4" xfId="38245" xr:uid="{00000000-0005-0000-0000-0000465F0000}"/>
    <cellStyle name="Normal 3 4 2 3 3 2 5" xfId="6368" xr:uid="{00000000-0005-0000-0000-0000475F0000}"/>
    <cellStyle name="Normal 3 4 2 3 3 2 5 2" xfId="25967" xr:uid="{00000000-0005-0000-0000-0000485F0000}"/>
    <cellStyle name="Normal 3 4 2 3 3 2 5 2 2" xfId="57838" xr:uid="{00000000-0005-0000-0000-0000495F0000}"/>
    <cellStyle name="Normal 3 4 2 3 3 2 5 3" xfId="38247" xr:uid="{00000000-0005-0000-0000-00004A5F0000}"/>
    <cellStyle name="Normal 3 4 2 3 3 2 6" xfId="18089" xr:uid="{00000000-0005-0000-0000-00004B5F0000}"/>
    <cellStyle name="Normal 3 4 2 3 3 2 6 2" xfId="49960" xr:uid="{00000000-0005-0000-0000-00004C5F0000}"/>
    <cellStyle name="Normal 3 4 2 3 3 2 7" xfId="38232" xr:uid="{00000000-0005-0000-0000-00004D5F0000}"/>
    <cellStyle name="Normal 3 4 2 3 3 3" xfId="6369" xr:uid="{00000000-0005-0000-0000-00004E5F0000}"/>
    <cellStyle name="Normal 3 4 2 3 3 3 2" xfId="6370" xr:uid="{00000000-0005-0000-0000-00004F5F0000}"/>
    <cellStyle name="Normal 3 4 2 3 3 3 2 2" xfId="6371" xr:uid="{00000000-0005-0000-0000-0000505F0000}"/>
    <cellStyle name="Normal 3 4 2 3 3 3 2 2 2" xfId="6372" xr:uid="{00000000-0005-0000-0000-0000515F0000}"/>
    <cellStyle name="Normal 3 4 2 3 3 3 2 2 2 2" xfId="29911" xr:uid="{00000000-0005-0000-0000-0000525F0000}"/>
    <cellStyle name="Normal 3 4 2 3 3 3 2 2 2 2 2" xfId="61782" xr:uid="{00000000-0005-0000-0000-0000535F0000}"/>
    <cellStyle name="Normal 3 4 2 3 3 3 2 2 2 3" xfId="38251" xr:uid="{00000000-0005-0000-0000-0000545F0000}"/>
    <cellStyle name="Normal 3 4 2 3 3 3 2 2 3" xfId="22033" xr:uid="{00000000-0005-0000-0000-0000555F0000}"/>
    <cellStyle name="Normal 3 4 2 3 3 3 2 2 3 2" xfId="53904" xr:uid="{00000000-0005-0000-0000-0000565F0000}"/>
    <cellStyle name="Normal 3 4 2 3 3 3 2 2 4" xfId="38250" xr:uid="{00000000-0005-0000-0000-0000575F0000}"/>
    <cellStyle name="Normal 3 4 2 3 3 3 2 3" xfId="6373" xr:uid="{00000000-0005-0000-0000-0000585F0000}"/>
    <cellStyle name="Normal 3 4 2 3 3 3 2 3 2" xfId="25972" xr:uid="{00000000-0005-0000-0000-0000595F0000}"/>
    <cellStyle name="Normal 3 4 2 3 3 3 2 3 2 2" xfId="57843" xr:uid="{00000000-0005-0000-0000-00005A5F0000}"/>
    <cellStyle name="Normal 3 4 2 3 3 3 2 3 3" xfId="38252" xr:uid="{00000000-0005-0000-0000-00005B5F0000}"/>
    <cellStyle name="Normal 3 4 2 3 3 3 2 4" xfId="18094" xr:uid="{00000000-0005-0000-0000-00005C5F0000}"/>
    <cellStyle name="Normal 3 4 2 3 3 3 2 4 2" xfId="49965" xr:uid="{00000000-0005-0000-0000-00005D5F0000}"/>
    <cellStyle name="Normal 3 4 2 3 3 3 2 5" xfId="38249" xr:uid="{00000000-0005-0000-0000-00005E5F0000}"/>
    <cellStyle name="Normal 3 4 2 3 3 3 3" xfId="6374" xr:uid="{00000000-0005-0000-0000-00005F5F0000}"/>
    <cellStyle name="Normal 3 4 2 3 3 3 3 2" xfId="6375" xr:uid="{00000000-0005-0000-0000-0000605F0000}"/>
    <cellStyle name="Normal 3 4 2 3 3 3 3 2 2" xfId="29910" xr:uid="{00000000-0005-0000-0000-0000615F0000}"/>
    <cellStyle name="Normal 3 4 2 3 3 3 3 2 2 2" xfId="61781" xr:uid="{00000000-0005-0000-0000-0000625F0000}"/>
    <cellStyle name="Normal 3 4 2 3 3 3 3 2 3" xfId="38254" xr:uid="{00000000-0005-0000-0000-0000635F0000}"/>
    <cellStyle name="Normal 3 4 2 3 3 3 3 3" xfId="22032" xr:uid="{00000000-0005-0000-0000-0000645F0000}"/>
    <cellStyle name="Normal 3 4 2 3 3 3 3 3 2" xfId="53903" xr:uid="{00000000-0005-0000-0000-0000655F0000}"/>
    <cellStyle name="Normal 3 4 2 3 3 3 3 4" xfId="38253" xr:uid="{00000000-0005-0000-0000-0000665F0000}"/>
    <cellStyle name="Normal 3 4 2 3 3 3 4" xfId="6376" xr:uid="{00000000-0005-0000-0000-0000675F0000}"/>
    <cellStyle name="Normal 3 4 2 3 3 3 4 2" xfId="25971" xr:uid="{00000000-0005-0000-0000-0000685F0000}"/>
    <cellStyle name="Normal 3 4 2 3 3 3 4 2 2" xfId="57842" xr:uid="{00000000-0005-0000-0000-0000695F0000}"/>
    <cellStyle name="Normal 3 4 2 3 3 3 4 3" xfId="38255" xr:uid="{00000000-0005-0000-0000-00006A5F0000}"/>
    <cellStyle name="Normal 3 4 2 3 3 3 5" xfId="18093" xr:uid="{00000000-0005-0000-0000-00006B5F0000}"/>
    <cellStyle name="Normal 3 4 2 3 3 3 5 2" xfId="49964" xr:uid="{00000000-0005-0000-0000-00006C5F0000}"/>
    <cellStyle name="Normal 3 4 2 3 3 3 6" xfId="38248" xr:uid="{00000000-0005-0000-0000-00006D5F0000}"/>
    <cellStyle name="Normal 3 4 2 3 3 4" xfId="6377" xr:uid="{00000000-0005-0000-0000-00006E5F0000}"/>
    <cellStyle name="Normal 3 4 2 3 3 4 2" xfId="6378" xr:uid="{00000000-0005-0000-0000-00006F5F0000}"/>
    <cellStyle name="Normal 3 4 2 3 3 4 2 2" xfId="6379" xr:uid="{00000000-0005-0000-0000-0000705F0000}"/>
    <cellStyle name="Normal 3 4 2 3 3 4 2 2 2" xfId="29912" xr:uid="{00000000-0005-0000-0000-0000715F0000}"/>
    <cellStyle name="Normal 3 4 2 3 3 4 2 2 2 2" xfId="61783" xr:uid="{00000000-0005-0000-0000-0000725F0000}"/>
    <cellStyle name="Normal 3 4 2 3 3 4 2 2 3" xfId="38258" xr:uid="{00000000-0005-0000-0000-0000735F0000}"/>
    <cellStyle name="Normal 3 4 2 3 3 4 2 3" xfId="22034" xr:uid="{00000000-0005-0000-0000-0000745F0000}"/>
    <cellStyle name="Normal 3 4 2 3 3 4 2 3 2" xfId="53905" xr:uid="{00000000-0005-0000-0000-0000755F0000}"/>
    <cellStyle name="Normal 3 4 2 3 3 4 2 4" xfId="38257" xr:uid="{00000000-0005-0000-0000-0000765F0000}"/>
    <cellStyle name="Normal 3 4 2 3 3 4 3" xfId="6380" xr:uid="{00000000-0005-0000-0000-0000775F0000}"/>
    <cellStyle name="Normal 3 4 2 3 3 4 3 2" xfId="25973" xr:uid="{00000000-0005-0000-0000-0000785F0000}"/>
    <cellStyle name="Normal 3 4 2 3 3 4 3 2 2" xfId="57844" xr:uid="{00000000-0005-0000-0000-0000795F0000}"/>
    <cellStyle name="Normal 3 4 2 3 3 4 3 3" xfId="38259" xr:uid="{00000000-0005-0000-0000-00007A5F0000}"/>
    <cellStyle name="Normal 3 4 2 3 3 4 4" xfId="18095" xr:uid="{00000000-0005-0000-0000-00007B5F0000}"/>
    <cellStyle name="Normal 3 4 2 3 3 4 4 2" xfId="49966" xr:uid="{00000000-0005-0000-0000-00007C5F0000}"/>
    <cellStyle name="Normal 3 4 2 3 3 4 5" xfId="38256" xr:uid="{00000000-0005-0000-0000-00007D5F0000}"/>
    <cellStyle name="Normal 3 4 2 3 3 5" xfId="6381" xr:uid="{00000000-0005-0000-0000-00007E5F0000}"/>
    <cellStyle name="Normal 3 4 2 3 3 5 2" xfId="6382" xr:uid="{00000000-0005-0000-0000-00007F5F0000}"/>
    <cellStyle name="Normal 3 4 2 3 3 5 2 2" xfId="29905" xr:uid="{00000000-0005-0000-0000-0000805F0000}"/>
    <cellStyle name="Normal 3 4 2 3 3 5 2 2 2" xfId="61776" xr:uid="{00000000-0005-0000-0000-0000815F0000}"/>
    <cellStyle name="Normal 3 4 2 3 3 5 2 3" xfId="38261" xr:uid="{00000000-0005-0000-0000-0000825F0000}"/>
    <cellStyle name="Normal 3 4 2 3 3 5 3" xfId="22027" xr:uid="{00000000-0005-0000-0000-0000835F0000}"/>
    <cellStyle name="Normal 3 4 2 3 3 5 3 2" xfId="53898" xr:uid="{00000000-0005-0000-0000-0000845F0000}"/>
    <cellStyle name="Normal 3 4 2 3 3 5 4" xfId="38260" xr:uid="{00000000-0005-0000-0000-0000855F0000}"/>
    <cellStyle name="Normal 3 4 2 3 3 6" xfId="6383" xr:uid="{00000000-0005-0000-0000-0000865F0000}"/>
    <cellStyle name="Normal 3 4 2 3 3 6 2" xfId="25966" xr:uid="{00000000-0005-0000-0000-0000875F0000}"/>
    <cellStyle name="Normal 3 4 2 3 3 6 2 2" xfId="57837" xr:uid="{00000000-0005-0000-0000-0000885F0000}"/>
    <cellStyle name="Normal 3 4 2 3 3 6 3" xfId="38262" xr:uid="{00000000-0005-0000-0000-0000895F0000}"/>
    <cellStyle name="Normal 3 4 2 3 3 7" xfId="18088" xr:uid="{00000000-0005-0000-0000-00008A5F0000}"/>
    <cellStyle name="Normal 3 4 2 3 3 7 2" xfId="49959" xr:uid="{00000000-0005-0000-0000-00008B5F0000}"/>
    <cellStyle name="Normal 3 4 2 3 3 8" xfId="38231" xr:uid="{00000000-0005-0000-0000-00008C5F0000}"/>
    <cellStyle name="Normal 3 4 2 3 4" xfId="6384" xr:uid="{00000000-0005-0000-0000-00008D5F0000}"/>
    <cellStyle name="Normal 3 4 2 3 4 2" xfId="6385" xr:uid="{00000000-0005-0000-0000-00008E5F0000}"/>
    <cellStyle name="Normal 3 4 2 3 4 2 2" xfId="6386" xr:uid="{00000000-0005-0000-0000-00008F5F0000}"/>
    <cellStyle name="Normal 3 4 2 3 4 2 2 2" xfId="6387" xr:uid="{00000000-0005-0000-0000-0000905F0000}"/>
    <cellStyle name="Normal 3 4 2 3 4 2 2 2 2" xfId="6388" xr:uid="{00000000-0005-0000-0000-0000915F0000}"/>
    <cellStyle name="Normal 3 4 2 3 4 2 2 2 2 2" xfId="29915" xr:uid="{00000000-0005-0000-0000-0000925F0000}"/>
    <cellStyle name="Normal 3 4 2 3 4 2 2 2 2 2 2" xfId="61786" xr:uid="{00000000-0005-0000-0000-0000935F0000}"/>
    <cellStyle name="Normal 3 4 2 3 4 2 2 2 2 3" xfId="38267" xr:uid="{00000000-0005-0000-0000-0000945F0000}"/>
    <cellStyle name="Normal 3 4 2 3 4 2 2 2 3" xfId="22037" xr:uid="{00000000-0005-0000-0000-0000955F0000}"/>
    <cellStyle name="Normal 3 4 2 3 4 2 2 2 3 2" xfId="53908" xr:uid="{00000000-0005-0000-0000-0000965F0000}"/>
    <cellStyle name="Normal 3 4 2 3 4 2 2 2 4" xfId="38266" xr:uid="{00000000-0005-0000-0000-0000975F0000}"/>
    <cellStyle name="Normal 3 4 2 3 4 2 2 3" xfId="6389" xr:uid="{00000000-0005-0000-0000-0000985F0000}"/>
    <cellStyle name="Normal 3 4 2 3 4 2 2 3 2" xfId="25976" xr:uid="{00000000-0005-0000-0000-0000995F0000}"/>
    <cellStyle name="Normal 3 4 2 3 4 2 2 3 2 2" xfId="57847" xr:uid="{00000000-0005-0000-0000-00009A5F0000}"/>
    <cellStyle name="Normal 3 4 2 3 4 2 2 3 3" xfId="38268" xr:uid="{00000000-0005-0000-0000-00009B5F0000}"/>
    <cellStyle name="Normal 3 4 2 3 4 2 2 4" xfId="18098" xr:uid="{00000000-0005-0000-0000-00009C5F0000}"/>
    <cellStyle name="Normal 3 4 2 3 4 2 2 4 2" xfId="49969" xr:uid="{00000000-0005-0000-0000-00009D5F0000}"/>
    <cellStyle name="Normal 3 4 2 3 4 2 2 5" xfId="38265" xr:uid="{00000000-0005-0000-0000-00009E5F0000}"/>
    <cellStyle name="Normal 3 4 2 3 4 2 3" xfId="6390" xr:uid="{00000000-0005-0000-0000-00009F5F0000}"/>
    <cellStyle name="Normal 3 4 2 3 4 2 3 2" xfId="6391" xr:uid="{00000000-0005-0000-0000-0000A05F0000}"/>
    <cellStyle name="Normal 3 4 2 3 4 2 3 2 2" xfId="29914" xr:uid="{00000000-0005-0000-0000-0000A15F0000}"/>
    <cellStyle name="Normal 3 4 2 3 4 2 3 2 2 2" xfId="61785" xr:uid="{00000000-0005-0000-0000-0000A25F0000}"/>
    <cellStyle name="Normal 3 4 2 3 4 2 3 2 3" xfId="38270" xr:uid="{00000000-0005-0000-0000-0000A35F0000}"/>
    <cellStyle name="Normal 3 4 2 3 4 2 3 3" xfId="22036" xr:uid="{00000000-0005-0000-0000-0000A45F0000}"/>
    <cellStyle name="Normal 3 4 2 3 4 2 3 3 2" xfId="53907" xr:uid="{00000000-0005-0000-0000-0000A55F0000}"/>
    <cellStyle name="Normal 3 4 2 3 4 2 3 4" xfId="38269" xr:uid="{00000000-0005-0000-0000-0000A65F0000}"/>
    <cellStyle name="Normal 3 4 2 3 4 2 4" xfId="6392" xr:uid="{00000000-0005-0000-0000-0000A75F0000}"/>
    <cellStyle name="Normal 3 4 2 3 4 2 4 2" xfId="25975" xr:uid="{00000000-0005-0000-0000-0000A85F0000}"/>
    <cellStyle name="Normal 3 4 2 3 4 2 4 2 2" xfId="57846" xr:uid="{00000000-0005-0000-0000-0000A95F0000}"/>
    <cellStyle name="Normal 3 4 2 3 4 2 4 3" xfId="38271" xr:uid="{00000000-0005-0000-0000-0000AA5F0000}"/>
    <cellStyle name="Normal 3 4 2 3 4 2 5" xfId="18097" xr:uid="{00000000-0005-0000-0000-0000AB5F0000}"/>
    <cellStyle name="Normal 3 4 2 3 4 2 5 2" xfId="49968" xr:uid="{00000000-0005-0000-0000-0000AC5F0000}"/>
    <cellStyle name="Normal 3 4 2 3 4 2 6" xfId="38264" xr:uid="{00000000-0005-0000-0000-0000AD5F0000}"/>
    <cellStyle name="Normal 3 4 2 3 4 3" xfId="6393" xr:uid="{00000000-0005-0000-0000-0000AE5F0000}"/>
    <cellStyle name="Normal 3 4 2 3 4 3 2" xfId="6394" xr:uid="{00000000-0005-0000-0000-0000AF5F0000}"/>
    <cellStyle name="Normal 3 4 2 3 4 3 2 2" xfId="6395" xr:uid="{00000000-0005-0000-0000-0000B05F0000}"/>
    <cellStyle name="Normal 3 4 2 3 4 3 2 2 2" xfId="29916" xr:uid="{00000000-0005-0000-0000-0000B15F0000}"/>
    <cellStyle name="Normal 3 4 2 3 4 3 2 2 2 2" xfId="61787" xr:uid="{00000000-0005-0000-0000-0000B25F0000}"/>
    <cellStyle name="Normal 3 4 2 3 4 3 2 2 3" xfId="38274" xr:uid="{00000000-0005-0000-0000-0000B35F0000}"/>
    <cellStyle name="Normal 3 4 2 3 4 3 2 3" xfId="22038" xr:uid="{00000000-0005-0000-0000-0000B45F0000}"/>
    <cellStyle name="Normal 3 4 2 3 4 3 2 3 2" xfId="53909" xr:uid="{00000000-0005-0000-0000-0000B55F0000}"/>
    <cellStyle name="Normal 3 4 2 3 4 3 2 4" xfId="38273" xr:uid="{00000000-0005-0000-0000-0000B65F0000}"/>
    <cellStyle name="Normal 3 4 2 3 4 3 3" xfId="6396" xr:uid="{00000000-0005-0000-0000-0000B75F0000}"/>
    <cellStyle name="Normal 3 4 2 3 4 3 3 2" xfId="25977" xr:uid="{00000000-0005-0000-0000-0000B85F0000}"/>
    <cellStyle name="Normal 3 4 2 3 4 3 3 2 2" xfId="57848" xr:uid="{00000000-0005-0000-0000-0000B95F0000}"/>
    <cellStyle name="Normal 3 4 2 3 4 3 3 3" xfId="38275" xr:uid="{00000000-0005-0000-0000-0000BA5F0000}"/>
    <cellStyle name="Normal 3 4 2 3 4 3 4" xfId="18099" xr:uid="{00000000-0005-0000-0000-0000BB5F0000}"/>
    <cellStyle name="Normal 3 4 2 3 4 3 4 2" xfId="49970" xr:uid="{00000000-0005-0000-0000-0000BC5F0000}"/>
    <cellStyle name="Normal 3 4 2 3 4 3 5" xfId="38272" xr:uid="{00000000-0005-0000-0000-0000BD5F0000}"/>
    <cellStyle name="Normal 3 4 2 3 4 4" xfId="6397" xr:uid="{00000000-0005-0000-0000-0000BE5F0000}"/>
    <cellStyle name="Normal 3 4 2 3 4 4 2" xfId="6398" xr:uid="{00000000-0005-0000-0000-0000BF5F0000}"/>
    <cellStyle name="Normal 3 4 2 3 4 4 2 2" xfId="29913" xr:uid="{00000000-0005-0000-0000-0000C05F0000}"/>
    <cellStyle name="Normal 3 4 2 3 4 4 2 2 2" xfId="61784" xr:uid="{00000000-0005-0000-0000-0000C15F0000}"/>
    <cellStyle name="Normal 3 4 2 3 4 4 2 3" xfId="38277" xr:uid="{00000000-0005-0000-0000-0000C25F0000}"/>
    <cellStyle name="Normal 3 4 2 3 4 4 3" xfId="22035" xr:uid="{00000000-0005-0000-0000-0000C35F0000}"/>
    <cellStyle name="Normal 3 4 2 3 4 4 3 2" xfId="53906" xr:uid="{00000000-0005-0000-0000-0000C45F0000}"/>
    <cellStyle name="Normal 3 4 2 3 4 4 4" xfId="38276" xr:uid="{00000000-0005-0000-0000-0000C55F0000}"/>
    <cellStyle name="Normal 3 4 2 3 4 5" xfId="6399" xr:uid="{00000000-0005-0000-0000-0000C65F0000}"/>
    <cellStyle name="Normal 3 4 2 3 4 5 2" xfId="25974" xr:uid="{00000000-0005-0000-0000-0000C75F0000}"/>
    <cellStyle name="Normal 3 4 2 3 4 5 2 2" xfId="57845" xr:uid="{00000000-0005-0000-0000-0000C85F0000}"/>
    <cellStyle name="Normal 3 4 2 3 4 5 3" xfId="38278" xr:uid="{00000000-0005-0000-0000-0000C95F0000}"/>
    <cellStyle name="Normal 3 4 2 3 4 6" xfId="18096" xr:uid="{00000000-0005-0000-0000-0000CA5F0000}"/>
    <cellStyle name="Normal 3 4 2 3 4 6 2" xfId="49967" xr:uid="{00000000-0005-0000-0000-0000CB5F0000}"/>
    <cellStyle name="Normal 3 4 2 3 4 7" xfId="38263" xr:uid="{00000000-0005-0000-0000-0000CC5F0000}"/>
    <cellStyle name="Normal 3 4 2 3 5" xfId="6400" xr:uid="{00000000-0005-0000-0000-0000CD5F0000}"/>
    <cellStyle name="Normal 3 4 2 3 5 2" xfId="6401" xr:uid="{00000000-0005-0000-0000-0000CE5F0000}"/>
    <cellStyle name="Normal 3 4 2 3 5 2 2" xfId="6402" xr:uid="{00000000-0005-0000-0000-0000CF5F0000}"/>
    <cellStyle name="Normal 3 4 2 3 5 2 2 2" xfId="6403" xr:uid="{00000000-0005-0000-0000-0000D05F0000}"/>
    <cellStyle name="Normal 3 4 2 3 5 2 2 2 2" xfId="29918" xr:uid="{00000000-0005-0000-0000-0000D15F0000}"/>
    <cellStyle name="Normal 3 4 2 3 5 2 2 2 2 2" xfId="61789" xr:uid="{00000000-0005-0000-0000-0000D25F0000}"/>
    <cellStyle name="Normal 3 4 2 3 5 2 2 2 3" xfId="38282" xr:uid="{00000000-0005-0000-0000-0000D35F0000}"/>
    <cellStyle name="Normal 3 4 2 3 5 2 2 3" xfId="22040" xr:uid="{00000000-0005-0000-0000-0000D45F0000}"/>
    <cellStyle name="Normal 3 4 2 3 5 2 2 3 2" xfId="53911" xr:uid="{00000000-0005-0000-0000-0000D55F0000}"/>
    <cellStyle name="Normal 3 4 2 3 5 2 2 4" xfId="38281" xr:uid="{00000000-0005-0000-0000-0000D65F0000}"/>
    <cellStyle name="Normal 3 4 2 3 5 2 3" xfId="6404" xr:uid="{00000000-0005-0000-0000-0000D75F0000}"/>
    <cellStyle name="Normal 3 4 2 3 5 2 3 2" xfId="25979" xr:uid="{00000000-0005-0000-0000-0000D85F0000}"/>
    <cellStyle name="Normal 3 4 2 3 5 2 3 2 2" xfId="57850" xr:uid="{00000000-0005-0000-0000-0000D95F0000}"/>
    <cellStyle name="Normal 3 4 2 3 5 2 3 3" xfId="38283" xr:uid="{00000000-0005-0000-0000-0000DA5F0000}"/>
    <cellStyle name="Normal 3 4 2 3 5 2 4" xfId="18101" xr:uid="{00000000-0005-0000-0000-0000DB5F0000}"/>
    <cellStyle name="Normal 3 4 2 3 5 2 4 2" xfId="49972" xr:uid="{00000000-0005-0000-0000-0000DC5F0000}"/>
    <cellStyle name="Normal 3 4 2 3 5 2 5" xfId="38280" xr:uid="{00000000-0005-0000-0000-0000DD5F0000}"/>
    <cellStyle name="Normal 3 4 2 3 5 3" xfId="6405" xr:uid="{00000000-0005-0000-0000-0000DE5F0000}"/>
    <cellStyle name="Normal 3 4 2 3 5 3 2" xfId="6406" xr:uid="{00000000-0005-0000-0000-0000DF5F0000}"/>
    <cellStyle name="Normal 3 4 2 3 5 3 2 2" xfId="29917" xr:uid="{00000000-0005-0000-0000-0000E05F0000}"/>
    <cellStyle name="Normal 3 4 2 3 5 3 2 2 2" xfId="61788" xr:uid="{00000000-0005-0000-0000-0000E15F0000}"/>
    <cellStyle name="Normal 3 4 2 3 5 3 2 3" xfId="38285" xr:uid="{00000000-0005-0000-0000-0000E25F0000}"/>
    <cellStyle name="Normal 3 4 2 3 5 3 3" xfId="22039" xr:uid="{00000000-0005-0000-0000-0000E35F0000}"/>
    <cellStyle name="Normal 3 4 2 3 5 3 3 2" xfId="53910" xr:uid="{00000000-0005-0000-0000-0000E45F0000}"/>
    <cellStyle name="Normal 3 4 2 3 5 3 4" xfId="38284" xr:uid="{00000000-0005-0000-0000-0000E55F0000}"/>
    <cellStyle name="Normal 3 4 2 3 5 4" xfId="6407" xr:uid="{00000000-0005-0000-0000-0000E65F0000}"/>
    <cellStyle name="Normal 3 4 2 3 5 4 2" xfId="25978" xr:uid="{00000000-0005-0000-0000-0000E75F0000}"/>
    <cellStyle name="Normal 3 4 2 3 5 4 2 2" xfId="57849" xr:uid="{00000000-0005-0000-0000-0000E85F0000}"/>
    <cellStyle name="Normal 3 4 2 3 5 4 3" xfId="38286" xr:uid="{00000000-0005-0000-0000-0000E95F0000}"/>
    <cellStyle name="Normal 3 4 2 3 5 5" xfId="18100" xr:uid="{00000000-0005-0000-0000-0000EA5F0000}"/>
    <cellStyle name="Normal 3 4 2 3 5 5 2" xfId="49971" xr:uid="{00000000-0005-0000-0000-0000EB5F0000}"/>
    <cellStyle name="Normal 3 4 2 3 5 6" xfId="38279" xr:uid="{00000000-0005-0000-0000-0000EC5F0000}"/>
    <cellStyle name="Normal 3 4 2 3 6" xfId="6408" xr:uid="{00000000-0005-0000-0000-0000ED5F0000}"/>
    <cellStyle name="Normal 3 4 2 3 6 2" xfId="6409" xr:uid="{00000000-0005-0000-0000-0000EE5F0000}"/>
    <cellStyle name="Normal 3 4 2 3 6 2 2" xfId="6410" xr:uid="{00000000-0005-0000-0000-0000EF5F0000}"/>
    <cellStyle name="Normal 3 4 2 3 6 2 2 2" xfId="29919" xr:uid="{00000000-0005-0000-0000-0000F05F0000}"/>
    <cellStyle name="Normal 3 4 2 3 6 2 2 2 2" xfId="61790" xr:uid="{00000000-0005-0000-0000-0000F15F0000}"/>
    <cellStyle name="Normal 3 4 2 3 6 2 2 3" xfId="38289" xr:uid="{00000000-0005-0000-0000-0000F25F0000}"/>
    <cellStyle name="Normal 3 4 2 3 6 2 3" xfId="22041" xr:uid="{00000000-0005-0000-0000-0000F35F0000}"/>
    <cellStyle name="Normal 3 4 2 3 6 2 3 2" xfId="53912" xr:uid="{00000000-0005-0000-0000-0000F45F0000}"/>
    <cellStyle name="Normal 3 4 2 3 6 2 4" xfId="38288" xr:uid="{00000000-0005-0000-0000-0000F55F0000}"/>
    <cellStyle name="Normal 3 4 2 3 6 3" xfId="6411" xr:uid="{00000000-0005-0000-0000-0000F65F0000}"/>
    <cellStyle name="Normal 3 4 2 3 6 3 2" xfId="25980" xr:uid="{00000000-0005-0000-0000-0000F75F0000}"/>
    <cellStyle name="Normal 3 4 2 3 6 3 2 2" xfId="57851" xr:uid="{00000000-0005-0000-0000-0000F85F0000}"/>
    <cellStyle name="Normal 3 4 2 3 6 3 3" xfId="38290" xr:uid="{00000000-0005-0000-0000-0000F95F0000}"/>
    <cellStyle name="Normal 3 4 2 3 6 4" xfId="18102" xr:uid="{00000000-0005-0000-0000-0000FA5F0000}"/>
    <cellStyle name="Normal 3 4 2 3 6 4 2" xfId="49973" xr:uid="{00000000-0005-0000-0000-0000FB5F0000}"/>
    <cellStyle name="Normal 3 4 2 3 6 5" xfId="38287" xr:uid="{00000000-0005-0000-0000-0000FC5F0000}"/>
    <cellStyle name="Normal 3 4 2 3 7" xfId="6412" xr:uid="{00000000-0005-0000-0000-0000FD5F0000}"/>
    <cellStyle name="Normal 3 4 2 3 7 2" xfId="6413" xr:uid="{00000000-0005-0000-0000-0000FE5F0000}"/>
    <cellStyle name="Normal 3 4 2 3 7 2 2" xfId="28365" xr:uid="{00000000-0005-0000-0000-0000FF5F0000}"/>
    <cellStyle name="Normal 3 4 2 3 7 2 2 2" xfId="60236" xr:uid="{00000000-0005-0000-0000-000000600000}"/>
    <cellStyle name="Normal 3 4 2 3 7 2 3" xfId="38292" xr:uid="{00000000-0005-0000-0000-000001600000}"/>
    <cellStyle name="Normal 3 4 2 3 7 3" xfId="20487" xr:uid="{00000000-0005-0000-0000-000002600000}"/>
    <cellStyle name="Normal 3 4 2 3 7 3 2" xfId="52358" xr:uid="{00000000-0005-0000-0000-000003600000}"/>
    <cellStyle name="Normal 3 4 2 3 7 4" xfId="38291" xr:uid="{00000000-0005-0000-0000-000004600000}"/>
    <cellStyle name="Normal 3 4 2 3 8" xfId="6414" xr:uid="{00000000-0005-0000-0000-000005600000}"/>
    <cellStyle name="Normal 3 4 2 3 8 2" xfId="24426" xr:uid="{00000000-0005-0000-0000-000006600000}"/>
    <cellStyle name="Normal 3 4 2 3 8 2 2" xfId="56297" xr:uid="{00000000-0005-0000-0000-000007600000}"/>
    <cellStyle name="Normal 3 4 2 3 8 3" xfId="38293" xr:uid="{00000000-0005-0000-0000-000008600000}"/>
    <cellStyle name="Normal 3 4 2 3 9" xfId="16548" xr:uid="{00000000-0005-0000-0000-000009600000}"/>
    <cellStyle name="Normal 3 4 2 3 9 2" xfId="48419" xr:uid="{00000000-0005-0000-0000-00000A600000}"/>
    <cellStyle name="Normal 3 4 2 4" xfId="6415" xr:uid="{00000000-0005-0000-0000-00000B600000}"/>
    <cellStyle name="Normal 3 4 2 4 2" xfId="6416" xr:uid="{00000000-0005-0000-0000-00000C600000}"/>
    <cellStyle name="Normal 3 4 2 4 2 2" xfId="6417" xr:uid="{00000000-0005-0000-0000-00000D600000}"/>
    <cellStyle name="Normal 3 4 2 4 2 2 2" xfId="6418" xr:uid="{00000000-0005-0000-0000-00000E600000}"/>
    <cellStyle name="Normal 3 4 2 4 2 2 2 2" xfId="6419" xr:uid="{00000000-0005-0000-0000-00000F600000}"/>
    <cellStyle name="Normal 3 4 2 4 2 2 2 2 2" xfId="6420" xr:uid="{00000000-0005-0000-0000-000010600000}"/>
    <cellStyle name="Normal 3 4 2 4 2 2 2 2 2 2" xfId="6421" xr:uid="{00000000-0005-0000-0000-000011600000}"/>
    <cellStyle name="Normal 3 4 2 4 2 2 2 2 2 2 2" xfId="29923" xr:uid="{00000000-0005-0000-0000-000012600000}"/>
    <cellStyle name="Normal 3 4 2 4 2 2 2 2 2 2 2 2" xfId="61794" xr:uid="{00000000-0005-0000-0000-000013600000}"/>
    <cellStyle name="Normal 3 4 2 4 2 2 2 2 2 2 3" xfId="38300" xr:uid="{00000000-0005-0000-0000-000014600000}"/>
    <cellStyle name="Normal 3 4 2 4 2 2 2 2 2 3" xfId="22045" xr:uid="{00000000-0005-0000-0000-000015600000}"/>
    <cellStyle name="Normal 3 4 2 4 2 2 2 2 2 3 2" xfId="53916" xr:uid="{00000000-0005-0000-0000-000016600000}"/>
    <cellStyle name="Normal 3 4 2 4 2 2 2 2 2 4" xfId="38299" xr:uid="{00000000-0005-0000-0000-000017600000}"/>
    <cellStyle name="Normal 3 4 2 4 2 2 2 2 3" xfId="6422" xr:uid="{00000000-0005-0000-0000-000018600000}"/>
    <cellStyle name="Normal 3 4 2 4 2 2 2 2 3 2" xfId="25984" xr:uid="{00000000-0005-0000-0000-000019600000}"/>
    <cellStyle name="Normal 3 4 2 4 2 2 2 2 3 2 2" xfId="57855" xr:uid="{00000000-0005-0000-0000-00001A600000}"/>
    <cellStyle name="Normal 3 4 2 4 2 2 2 2 3 3" xfId="38301" xr:uid="{00000000-0005-0000-0000-00001B600000}"/>
    <cellStyle name="Normal 3 4 2 4 2 2 2 2 4" xfId="18106" xr:uid="{00000000-0005-0000-0000-00001C600000}"/>
    <cellStyle name="Normal 3 4 2 4 2 2 2 2 4 2" xfId="49977" xr:uid="{00000000-0005-0000-0000-00001D600000}"/>
    <cellStyle name="Normal 3 4 2 4 2 2 2 2 5" xfId="38298" xr:uid="{00000000-0005-0000-0000-00001E600000}"/>
    <cellStyle name="Normal 3 4 2 4 2 2 2 3" xfId="6423" xr:uid="{00000000-0005-0000-0000-00001F600000}"/>
    <cellStyle name="Normal 3 4 2 4 2 2 2 3 2" xfId="6424" xr:uid="{00000000-0005-0000-0000-000020600000}"/>
    <cellStyle name="Normal 3 4 2 4 2 2 2 3 2 2" xfId="29922" xr:uid="{00000000-0005-0000-0000-000021600000}"/>
    <cellStyle name="Normal 3 4 2 4 2 2 2 3 2 2 2" xfId="61793" xr:uid="{00000000-0005-0000-0000-000022600000}"/>
    <cellStyle name="Normal 3 4 2 4 2 2 2 3 2 3" xfId="38303" xr:uid="{00000000-0005-0000-0000-000023600000}"/>
    <cellStyle name="Normal 3 4 2 4 2 2 2 3 3" xfId="22044" xr:uid="{00000000-0005-0000-0000-000024600000}"/>
    <cellStyle name="Normal 3 4 2 4 2 2 2 3 3 2" xfId="53915" xr:uid="{00000000-0005-0000-0000-000025600000}"/>
    <cellStyle name="Normal 3 4 2 4 2 2 2 3 4" xfId="38302" xr:uid="{00000000-0005-0000-0000-000026600000}"/>
    <cellStyle name="Normal 3 4 2 4 2 2 2 4" xfId="6425" xr:uid="{00000000-0005-0000-0000-000027600000}"/>
    <cellStyle name="Normal 3 4 2 4 2 2 2 4 2" xfId="25983" xr:uid="{00000000-0005-0000-0000-000028600000}"/>
    <cellStyle name="Normal 3 4 2 4 2 2 2 4 2 2" xfId="57854" xr:uid="{00000000-0005-0000-0000-000029600000}"/>
    <cellStyle name="Normal 3 4 2 4 2 2 2 4 3" xfId="38304" xr:uid="{00000000-0005-0000-0000-00002A600000}"/>
    <cellStyle name="Normal 3 4 2 4 2 2 2 5" xfId="18105" xr:uid="{00000000-0005-0000-0000-00002B600000}"/>
    <cellStyle name="Normal 3 4 2 4 2 2 2 5 2" xfId="49976" xr:uid="{00000000-0005-0000-0000-00002C600000}"/>
    <cellStyle name="Normal 3 4 2 4 2 2 2 6" xfId="38297" xr:uid="{00000000-0005-0000-0000-00002D600000}"/>
    <cellStyle name="Normal 3 4 2 4 2 2 3" xfId="6426" xr:uid="{00000000-0005-0000-0000-00002E600000}"/>
    <cellStyle name="Normal 3 4 2 4 2 2 3 2" xfId="6427" xr:uid="{00000000-0005-0000-0000-00002F600000}"/>
    <cellStyle name="Normal 3 4 2 4 2 2 3 2 2" xfId="6428" xr:uid="{00000000-0005-0000-0000-000030600000}"/>
    <cellStyle name="Normal 3 4 2 4 2 2 3 2 2 2" xfId="29924" xr:uid="{00000000-0005-0000-0000-000031600000}"/>
    <cellStyle name="Normal 3 4 2 4 2 2 3 2 2 2 2" xfId="61795" xr:uid="{00000000-0005-0000-0000-000032600000}"/>
    <cellStyle name="Normal 3 4 2 4 2 2 3 2 2 3" xfId="38307" xr:uid="{00000000-0005-0000-0000-000033600000}"/>
    <cellStyle name="Normal 3 4 2 4 2 2 3 2 3" xfId="22046" xr:uid="{00000000-0005-0000-0000-000034600000}"/>
    <cellStyle name="Normal 3 4 2 4 2 2 3 2 3 2" xfId="53917" xr:uid="{00000000-0005-0000-0000-000035600000}"/>
    <cellStyle name="Normal 3 4 2 4 2 2 3 2 4" xfId="38306" xr:uid="{00000000-0005-0000-0000-000036600000}"/>
    <cellStyle name="Normal 3 4 2 4 2 2 3 3" xfId="6429" xr:uid="{00000000-0005-0000-0000-000037600000}"/>
    <cellStyle name="Normal 3 4 2 4 2 2 3 3 2" xfId="25985" xr:uid="{00000000-0005-0000-0000-000038600000}"/>
    <cellStyle name="Normal 3 4 2 4 2 2 3 3 2 2" xfId="57856" xr:uid="{00000000-0005-0000-0000-000039600000}"/>
    <cellStyle name="Normal 3 4 2 4 2 2 3 3 3" xfId="38308" xr:uid="{00000000-0005-0000-0000-00003A600000}"/>
    <cellStyle name="Normal 3 4 2 4 2 2 3 4" xfId="18107" xr:uid="{00000000-0005-0000-0000-00003B600000}"/>
    <cellStyle name="Normal 3 4 2 4 2 2 3 4 2" xfId="49978" xr:uid="{00000000-0005-0000-0000-00003C600000}"/>
    <cellStyle name="Normal 3 4 2 4 2 2 3 5" xfId="38305" xr:uid="{00000000-0005-0000-0000-00003D600000}"/>
    <cellStyle name="Normal 3 4 2 4 2 2 4" xfId="6430" xr:uid="{00000000-0005-0000-0000-00003E600000}"/>
    <cellStyle name="Normal 3 4 2 4 2 2 4 2" xfId="6431" xr:uid="{00000000-0005-0000-0000-00003F600000}"/>
    <cellStyle name="Normal 3 4 2 4 2 2 4 2 2" xfId="29921" xr:uid="{00000000-0005-0000-0000-000040600000}"/>
    <cellStyle name="Normal 3 4 2 4 2 2 4 2 2 2" xfId="61792" xr:uid="{00000000-0005-0000-0000-000041600000}"/>
    <cellStyle name="Normal 3 4 2 4 2 2 4 2 3" xfId="38310" xr:uid="{00000000-0005-0000-0000-000042600000}"/>
    <cellStyle name="Normal 3 4 2 4 2 2 4 3" xfId="22043" xr:uid="{00000000-0005-0000-0000-000043600000}"/>
    <cellStyle name="Normal 3 4 2 4 2 2 4 3 2" xfId="53914" xr:uid="{00000000-0005-0000-0000-000044600000}"/>
    <cellStyle name="Normal 3 4 2 4 2 2 4 4" xfId="38309" xr:uid="{00000000-0005-0000-0000-000045600000}"/>
    <cellStyle name="Normal 3 4 2 4 2 2 5" xfId="6432" xr:uid="{00000000-0005-0000-0000-000046600000}"/>
    <cellStyle name="Normal 3 4 2 4 2 2 5 2" xfId="25982" xr:uid="{00000000-0005-0000-0000-000047600000}"/>
    <cellStyle name="Normal 3 4 2 4 2 2 5 2 2" xfId="57853" xr:uid="{00000000-0005-0000-0000-000048600000}"/>
    <cellStyle name="Normal 3 4 2 4 2 2 5 3" xfId="38311" xr:uid="{00000000-0005-0000-0000-000049600000}"/>
    <cellStyle name="Normal 3 4 2 4 2 2 6" xfId="18104" xr:uid="{00000000-0005-0000-0000-00004A600000}"/>
    <cellStyle name="Normal 3 4 2 4 2 2 6 2" xfId="49975" xr:uid="{00000000-0005-0000-0000-00004B600000}"/>
    <cellStyle name="Normal 3 4 2 4 2 2 7" xfId="38296" xr:uid="{00000000-0005-0000-0000-00004C600000}"/>
    <cellStyle name="Normal 3 4 2 4 2 3" xfId="6433" xr:uid="{00000000-0005-0000-0000-00004D600000}"/>
    <cellStyle name="Normal 3 4 2 4 2 3 2" xfId="6434" xr:uid="{00000000-0005-0000-0000-00004E600000}"/>
    <cellStyle name="Normal 3 4 2 4 2 3 2 2" xfId="6435" xr:uid="{00000000-0005-0000-0000-00004F600000}"/>
    <cellStyle name="Normal 3 4 2 4 2 3 2 2 2" xfId="6436" xr:uid="{00000000-0005-0000-0000-000050600000}"/>
    <cellStyle name="Normal 3 4 2 4 2 3 2 2 2 2" xfId="29926" xr:uid="{00000000-0005-0000-0000-000051600000}"/>
    <cellStyle name="Normal 3 4 2 4 2 3 2 2 2 2 2" xfId="61797" xr:uid="{00000000-0005-0000-0000-000052600000}"/>
    <cellStyle name="Normal 3 4 2 4 2 3 2 2 2 3" xfId="38315" xr:uid="{00000000-0005-0000-0000-000053600000}"/>
    <cellStyle name="Normal 3 4 2 4 2 3 2 2 3" xfId="22048" xr:uid="{00000000-0005-0000-0000-000054600000}"/>
    <cellStyle name="Normal 3 4 2 4 2 3 2 2 3 2" xfId="53919" xr:uid="{00000000-0005-0000-0000-000055600000}"/>
    <cellStyle name="Normal 3 4 2 4 2 3 2 2 4" xfId="38314" xr:uid="{00000000-0005-0000-0000-000056600000}"/>
    <cellStyle name="Normal 3 4 2 4 2 3 2 3" xfId="6437" xr:uid="{00000000-0005-0000-0000-000057600000}"/>
    <cellStyle name="Normal 3 4 2 4 2 3 2 3 2" xfId="25987" xr:uid="{00000000-0005-0000-0000-000058600000}"/>
    <cellStyle name="Normal 3 4 2 4 2 3 2 3 2 2" xfId="57858" xr:uid="{00000000-0005-0000-0000-000059600000}"/>
    <cellStyle name="Normal 3 4 2 4 2 3 2 3 3" xfId="38316" xr:uid="{00000000-0005-0000-0000-00005A600000}"/>
    <cellStyle name="Normal 3 4 2 4 2 3 2 4" xfId="18109" xr:uid="{00000000-0005-0000-0000-00005B600000}"/>
    <cellStyle name="Normal 3 4 2 4 2 3 2 4 2" xfId="49980" xr:uid="{00000000-0005-0000-0000-00005C600000}"/>
    <cellStyle name="Normal 3 4 2 4 2 3 2 5" xfId="38313" xr:uid="{00000000-0005-0000-0000-00005D600000}"/>
    <cellStyle name="Normal 3 4 2 4 2 3 3" xfId="6438" xr:uid="{00000000-0005-0000-0000-00005E600000}"/>
    <cellStyle name="Normal 3 4 2 4 2 3 3 2" xfId="6439" xr:uid="{00000000-0005-0000-0000-00005F600000}"/>
    <cellStyle name="Normal 3 4 2 4 2 3 3 2 2" xfId="29925" xr:uid="{00000000-0005-0000-0000-000060600000}"/>
    <cellStyle name="Normal 3 4 2 4 2 3 3 2 2 2" xfId="61796" xr:uid="{00000000-0005-0000-0000-000061600000}"/>
    <cellStyle name="Normal 3 4 2 4 2 3 3 2 3" xfId="38318" xr:uid="{00000000-0005-0000-0000-000062600000}"/>
    <cellStyle name="Normal 3 4 2 4 2 3 3 3" xfId="22047" xr:uid="{00000000-0005-0000-0000-000063600000}"/>
    <cellStyle name="Normal 3 4 2 4 2 3 3 3 2" xfId="53918" xr:uid="{00000000-0005-0000-0000-000064600000}"/>
    <cellStyle name="Normal 3 4 2 4 2 3 3 4" xfId="38317" xr:uid="{00000000-0005-0000-0000-000065600000}"/>
    <cellStyle name="Normal 3 4 2 4 2 3 4" xfId="6440" xr:uid="{00000000-0005-0000-0000-000066600000}"/>
    <cellStyle name="Normal 3 4 2 4 2 3 4 2" xfId="25986" xr:uid="{00000000-0005-0000-0000-000067600000}"/>
    <cellStyle name="Normal 3 4 2 4 2 3 4 2 2" xfId="57857" xr:uid="{00000000-0005-0000-0000-000068600000}"/>
    <cellStyle name="Normal 3 4 2 4 2 3 4 3" xfId="38319" xr:uid="{00000000-0005-0000-0000-000069600000}"/>
    <cellStyle name="Normal 3 4 2 4 2 3 5" xfId="18108" xr:uid="{00000000-0005-0000-0000-00006A600000}"/>
    <cellStyle name="Normal 3 4 2 4 2 3 5 2" xfId="49979" xr:uid="{00000000-0005-0000-0000-00006B600000}"/>
    <cellStyle name="Normal 3 4 2 4 2 3 6" xfId="38312" xr:uid="{00000000-0005-0000-0000-00006C600000}"/>
    <cellStyle name="Normal 3 4 2 4 2 4" xfId="6441" xr:uid="{00000000-0005-0000-0000-00006D600000}"/>
    <cellStyle name="Normal 3 4 2 4 2 4 2" xfId="6442" xr:uid="{00000000-0005-0000-0000-00006E600000}"/>
    <cellStyle name="Normal 3 4 2 4 2 4 2 2" xfId="6443" xr:uid="{00000000-0005-0000-0000-00006F600000}"/>
    <cellStyle name="Normal 3 4 2 4 2 4 2 2 2" xfId="29927" xr:uid="{00000000-0005-0000-0000-000070600000}"/>
    <cellStyle name="Normal 3 4 2 4 2 4 2 2 2 2" xfId="61798" xr:uid="{00000000-0005-0000-0000-000071600000}"/>
    <cellStyle name="Normal 3 4 2 4 2 4 2 2 3" xfId="38322" xr:uid="{00000000-0005-0000-0000-000072600000}"/>
    <cellStyle name="Normal 3 4 2 4 2 4 2 3" xfId="22049" xr:uid="{00000000-0005-0000-0000-000073600000}"/>
    <cellStyle name="Normal 3 4 2 4 2 4 2 3 2" xfId="53920" xr:uid="{00000000-0005-0000-0000-000074600000}"/>
    <cellStyle name="Normal 3 4 2 4 2 4 2 4" xfId="38321" xr:uid="{00000000-0005-0000-0000-000075600000}"/>
    <cellStyle name="Normal 3 4 2 4 2 4 3" xfId="6444" xr:uid="{00000000-0005-0000-0000-000076600000}"/>
    <cellStyle name="Normal 3 4 2 4 2 4 3 2" xfId="25988" xr:uid="{00000000-0005-0000-0000-000077600000}"/>
    <cellStyle name="Normal 3 4 2 4 2 4 3 2 2" xfId="57859" xr:uid="{00000000-0005-0000-0000-000078600000}"/>
    <cellStyle name="Normal 3 4 2 4 2 4 3 3" xfId="38323" xr:uid="{00000000-0005-0000-0000-000079600000}"/>
    <cellStyle name="Normal 3 4 2 4 2 4 4" xfId="18110" xr:uid="{00000000-0005-0000-0000-00007A600000}"/>
    <cellStyle name="Normal 3 4 2 4 2 4 4 2" xfId="49981" xr:uid="{00000000-0005-0000-0000-00007B600000}"/>
    <cellStyle name="Normal 3 4 2 4 2 4 5" xfId="38320" xr:uid="{00000000-0005-0000-0000-00007C600000}"/>
    <cellStyle name="Normal 3 4 2 4 2 5" xfId="6445" xr:uid="{00000000-0005-0000-0000-00007D600000}"/>
    <cellStyle name="Normal 3 4 2 4 2 5 2" xfId="6446" xr:uid="{00000000-0005-0000-0000-00007E600000}"/>
    <cellStyle name="Normal 3 4 2 4 2 5 2 2" xfId="29920" xr:uid="{00000000-0005-0000-0000-00007F600000}"/>
    <cellStyle name="Normal 3 4 2 4 2 5 2 2 2" xfId="61791" xr:uid="{00000000-0005-0000-0000-000080600000}"/>
    <cellStyle name="Normal 3 4 2 4 2 5 2 3" xfId="38325" xr:uid="{00000000-0005-0000-0000-000081600000}"/>
    <cellStyle name="Normal 3 4 2 4 2 5 3" xfId="22042" xr:uid="{00000000-0005-0000-0000-000082600000}"/>
    <cellStyle name="Normal 3 4 2 4 2 5 3 2" xfId="53913" xr:uid="{00000000-0005-0000-0000-000083600000}"/>
    <cellStyle name="Normal 3 4 2 4 2 5 4" xfId="38324" xr:uid="{00000000-0005-0000-0000-000084600000}"/>
    <cellStyle name="Normal 3 4 2 4 2 6" xfId="6447" xr:uid="{00000000-0005-0000-0000-000085600000}"/>
    <cellStyle name="Normal 3 4 2 4 2 6 2" xfId="25981" xr:uid="{00000000-0005-0000-0000-000086600000}"/>
    <cellStyle name="Normal 3 4 2 4 2 6 2 2" xfId="57852" xr:uid="{00000000-0005-0000-0000-000087600000}"/>
    <cellStyle name="Normal 3 4 2 4 2 6 3" xfId="38326" xr:uid="{00000000-0005-0000-0000-000088600000}"/>
    <cellStyle name="Normal 3 4 2 4 2 7" xfId="18103" xr:uid="{00000000-0005-0000-0000-000089600000}"/>
    <cellStyle name="Normal 3 4 2 4 2 7 2" xfId="49974" xr:uid="{00000000-0005-0000-0000-00008A600000}"/>
    <cellStyle name="Normal 3 4 2 4 2 8" xfId="38295" xr:uid="{00000000-0005-0000-0000-00008B600000}"/>
    <cellStyle name="Normal 3 4 2 4 3" xfId="6448" xr:uid="{00000000-0005-0000-0000-00008C600000}"/>
    <cellStyle name="Normal 3 4 2 4 3 2" xfId="6449" xr:uid="{00000000-0005-0000-0000-00008D600000}"/>
    <cellStyle name="Normal 3 4 2 4 3 2 2" xfId="6450" xr:uid="{00000000-0005-0000-0000-00008E600000}"/>
    <cellStyle name="Normal 3 4 2 4 3 2 2 2" xfId="6451" xr:uid="{00000000-0005-0000-0000-00008F600000}"/>
    <cellStyle name="Normal 3 4 2 4 3 2 2 2 2" xfId="6452" xr:uid="{00000000-0005-0000-0000-000090600000}"/>
    <cellStyle name="Normal 3 4 2 4 3 2 2 2 2 2" xfId="29930" xr:uid="{00000000-0005-0000-0000-000091600000}"/>
    <cellStyle name="Normal 3 4 2 4 3 2 2 2 2 2 2" xfId="61801" xr:uid="{00000000-0005-0000-0000-000092600000}"/>
    <cellStyle name="Normal 3 4 2 4 3 2 2 2 2 3" xfId="38331" xr:uid="{00000000-0005-0000-0000-000093600000}"/>
    <cellStyle name="Normal 3 4 2 4 3 2 2 2 3" xfId="22052" xr:uid="{00000000-0005-0000-0000-000094600000}"/>
    <cellStyle name="Normal 3 4 2 4 3 2 2 2 3 2" xfId="53923" xr:uid="{00000000-0005-0000-0000-000095600000}"/>
    <cellStyle name="Normal 3 4 2 4 3 2 2 2 4" xfId="38330" xr:uid="{00000000-0005-0000-0000-000096600000}"/>
    <cellStyle name="Normal 3 4 2 4 3 2 2 3" xfId="6453" xr:uid="{00000000-0005-0000-0000-000097600000}"/>
    <cellStyle name="Normal 3 4 2 4 3 2 2 3 2" xfId="25991" xr:uid="{00000000-0005-0000-0000-000098600000}"/>
    <cellStyle name="Normal 3 4 2 4 3 2 2 3 2 2" xfId="57862" xr:uid="{00000000-0005-0000-0000-000099600000}"/>
    <cellStyle name="Normal 3 4 2 4 3 2 2 3 3" xfId="38332" xr:uid="{00000000-0005-0000-0000-00009A600000}"/>
    <cellStyle name="Normal 3 4 2 4 3 2 2 4" xfId="18113" xr:uid="{00000000-0005-0000-0000-00009B600000}"/>
    <cellStyle name="Normal 3 4 2 4 3 2 2 4 2" xfId="49984" xr:uid="{00000000-0005-0000-0000-00009C600000}"/>
    <cellStyle name="Normal 3 4 2 4 3 2 2 5" xfId="38329" xr:uid="{00000000-0005-0000-0000-00009D600000}"/>
    <cellStyle name="Normal 3 4 2 4 3 2 3" xfId="6454" xr:uid="{00000000-0005-0000-0000-00009E600000}"/>
    <cellStyle name="Normal 3 4 2 4 3 2 3 2" xfId="6455" xr:uid="{00000000-0005-0000-0000-00009F600000}"/>
    <cellStyle name="Normal 3 4 2 4 3 2 3 2 2" xfId="29929" xr:uid="{00000000-0005-0000-0000-0000A0600000}"/>
    <cellStyle name="Normal 3 4 2 4 3 2 3 2 2 2" xfId="61800" xr:uid="{00000000-0005-0000-0000-0000A1600000}"/>
    <cellStyle name="Normal 3 4 2 4 3 2 3 2 3" xfId="38334" xr:uid="{00000000-0005-0000-0000-0000A2600000}"/>
    <cellStyle name="Normal 3 4 2 4 3 2 3 3" xfId="22051" xr:uid="{00000000-0005-0000-0000-0000A3600000}"/>
    <cellStyle name="Normal 3 4 2 4 3 2 3 3 2" xfId="53922" xr:uid="{00000000-0005-0000-0000-0000A4600000}"/>
    <cellStyle name="Normal 3 4 2 4 3 2 3 4" xfId="38333" xr:uid="{00000000-0005-0000-0000-0000A5600000}"/>
    <cellStyle name="Normal 3 4 2 4 3 2 4" xfId="6456" xr:uid="{00000000-0005-0000-0000-0000A6600000}"/>
    <cellStyle name="Normal 3 4 2 4 3 2 4 2" xfId="25990" xr:uid="{00000000-0005-0000-0000-0000A7600000}"/>
    <cellStyle name="Normal 3 4 2 4 3 2 4 2 2" xfId="57861" xr:uid="{00000000-0005-0000-0000-0000A8600000}"/>
    <cellStyle name="Normal 3 4 2 4 3 2 4 3" xfId="38335" xr:uid="{00000000-0005-0000-0000-0000A9600000}"/>
    <cellStyle name="Normal 3 4 2 4 3 2 5" xfId="18112" xr:uid="{00000000-0005-0000-0000-0000AA600000}"/>
    <cellStyle name="Normal 3 4 2 4 3 2 5 2" xfId="49983" xr:uid="{00000000-0005-0000-0000-0000AB600000}"/>
    <cellStyle name="Normal 3 4 2 4 3 2 6" xfId="38328" xr:uid="{00000000-0005-0000-0000-0000AC600000}"/>
    <cellStyle name="Normal 3 4 2 4 3 3" xfId="6457" xr:uid="{00000000-0005-0000-0000-0000AD600000}"/>
    <cellStyle name="Normal 3 4 2 4 3 3 2" xfId="6458" xr:uid="{00000000-0005-0000-0000-0000AE600000}"/>
    <cellStyle name="Normal 3 4 2 4 3 3 2 2" xfId="6459" xr:uid="{00000000-0005-0000-0000-0000AF600000}"/>
    <cellStyle name="Normal 3 4 2 4 3 3 2 2 2" xfId="29931" xr:uid="{00000000-0005-0000-0000-0000B0600000}"/>
    <cellStyle name="Normal 3 4 2 4 3 3 2 2 2 2" xfId="61802" xr:uid="{00000000-0005-0000-0000-0000B1600000}"/>
    <cellStyle name="Normal 3 4 2 4 3 3 2 2 3" xfId="38338" xr:uid="{00000000-0005-0000-0000-0000B2600000}"/>
    <cellStyle name="Normal 3 4 2 4 3 3 2 3" xfId="22053" xr:uid="{00000000-0005-0000-0000-0000B3600000}"/>
    <cellStyle name="Normal 3 4 2 4 3 3 2 3 2" xfId="53924" xr:uid="{00000000-0005-0000-0000-0000B4600000}"/>
    <cellStyle name="Normal 3 4 2 4 3 3 2 4" xfId="38337" xr:uid="{00000000-0005-0000-0000-0000B5600000}"/>
    <cellStyle name="Normal 3 4 2 4 3 3 3" xfId="6460" xr:uid="{00000000-0005-0000-0000-0000B6600000}"/>
    <cellStyle name="Normal 3 4 2 4 3 3 3 2" xfId="25992" xr:uid="{00000000-0005-0000-0000-0000B7600000}"/>
    <cellStyle name="Normal 3 4 2 4 3 3 3 2 2" xfId="57863" xr:uid="{00000000-0005-0000-0000-0000B8600000}"/>
    <cellStyle name="Normal 3 4 2 4 3 3 3 3" xfId="38339" xr:uid="{00000000-0005-0000-0000-0000B9600000}"/>
    <cellStyle name="Normal 3 4 2 4 3 3 4" xfId="18114" xr:uid="{00000000-0005-0000-0000-0000BA600000}"/>
    <cellStyle name="Normal 3 4 2 4 3 3 4 2" xfId="49985" xr:uid="{00000000-0005-0000-0000-0000BB600000}"/>
    <cellStyle name="Normal 3 4 2 4 3 3 5" xfId="38336" xr:uid="{00000000-0005-0000-0000-0000BC600000}"/>
    <cellStyle name="Normal 3 4 2 4 3 4" xfId="6461" xr:uid="{00000000-0005-0000-0000-0000BD600000}"/>
    <cellStyle name="Normal 3 4 2 4 3 4 2" xfId="6462" xr:uid="{00000000-0005-0000-0000-0000BE600000}"/>
    <cellStyle name="Normal 3 4 2 4 3 4 2 2" xfId="29928" xr:uid="{00000000-0005-0000-0000-0000BF600000}"/>
    <cellStyle name="Normal 3 4 2 4 3 4 2 2 2" xfId="61799" xr:uid="{00000000-0005-0000-0000-0000C0600000}"/>
    <cellStyle name="Normal 3 4 2 4 3 4 2 3" xfId="38341" xr:uid="{00000000-0005-0000-0000-0000C1600000}"/>
    <cellStyle name="Normal 3 4 2 4 3 4 3" xfId="22050" xr:uid="{00000000-0005-0000-0000-0000C2600000}"/>
    <cellStyle name="Normal 3 4 2 4 3 4 3 2" xfId="53921" xr:uid="{00000000-0005-0000-0000-0000C3600000}"/>
    <cellStyle name="Normal 3 4 2 4 3 4 4" xfId="38340" xr:uid="{00000000-0005-0000-0000-0000C4600000}"/>
    <cellStyle name="Normal 3 4 2 4 3 5" xfId="6463" xr:uid="{00000000-0005-0000-0000-0000C5600000}"/>
    <cellStyle name="Normal 3 4 2 4 3 5 2" xfId="25989" xr:uid="{00000000-0005-0000-0000-0000C6600000}"/>
    <cellStyle name="Normal 3 4 2 4 3 5 2 2" xfId="57860" xr:uid="{00000000-0005-0000-0000-0000C7600000}"/>
    <cellStyle name="Normal 3 4 2 4 3 5 3" xfId="38342" xr:uid="{00000000-0005-0000-0000-0000C8600000}"/>
    <cellStyle name="Normal 3 4 2 4 3 6" xfId="18111" xr:uid="{00000000-0005-0000-0000-0000C9600000}"/>
    <cellStyle name="Normal 3 4 2 4 3 6 2" xfId="49982" xr:uid="{00000000-0005-0000-0000-0000CA600000}"/>
    <cellStyle name="Normal 3 4 2 4 3 7" xfId="38327" xr:uid="{00000000-0005-0000-0000-0000CB600000}"/>
    <cellStyle name="Normal 3 4 2 4 4" xfId="6464" xr:uid="{00000000-0005-0000-0000-0000CC600000}"/>
    <cellStyle name="Normal 3 4 2 4 4 2" xfId="6465" xr:uid="{00000000-0005-0000-0000-0000CD600000}"/>
    <cellStyle name="Normal 3 4 2 4 4 2 2" xfId="6466" xr:uid="{00000000-0005-0000-0000-0000CE600000}"/>
    <cellStyle name="Normal 3 4 2 4 4 2 2 2" xfId="6467" xr:uid="{00000000-0005-0000-0000-0000CF600000}"/>
    <cellStyle name="Normal 3 4 2 4 4 2 2 2 2" xfId="29933" xr:uid="{00000000-0005-0000-0000-0000D0600000}"/>
    <cellStyle name="Normal 3 4 2 4 4 2 2 2 2 2" xfId="61804" xr:uid="{00000000-0005-0000-0000-0000D1600000}"/>
    <cellStyle name="Normal 3 4 2 4 4 2 2 2 3" xfId="38346" xr:uid="{00000000-0005-0000-0000-0000D2600000}"/>
    <cellStyle name="Normal 3 4 2 4 4 2 2 3" xfId="22055" xr:uid="{00000000-0005-0000-0000-0000D3600000}"/>
    <cellStyle name="Normal 3 4 2 4 4 2 2 3 2" xfId="53926" xr:uid="{00000000-0005-0000-0000-0000D4600000}"/>
    <cellStyle name="Normal 3 4 2 4 4 2 2 4" xfId="38345" xr:uid="{00000000-0005-0000-0000-0000D5600000}"/>
    <cellStyle name="Normal 3 4 2 4 4 2 3" xfId="6468" xr:uid="{00000000-0005-0000-0000-0000D6600000}"/>
    <cellStyle name="Normal 3 4 2 4 4 2 3 2" xfId="25994" xr:uid="{00000000-0005-0000-0000-0000D7600000}"/>
    <cellStyle name="Normal 3 4 2 4 4 2 3 2 2" xfId="57865" xr:uid="{00000000-0005-0000-0000-0000D8600000}"/>
    <cellStyle name="Normal 3 4 2 4 4 2 3 3" xfId="38347" xr:uid="{00000000-0005-0000-0000-0000D9600000}"/>
    <cellStyle name="Normal 3 4 2 4 4 2 4" xfId="18116" xr:uid="{00000000-0005-0000-0000-0000DA600000}"/>
    <cellStyle name="Normal 3 4 2 4 4 2 4 2" xfId="49987" xr:uid="{00000000-0005-0000-0000-0000DB600000}"/>
    <cellStyle name="Normal 3 4 2 4 4 2 5" xfId="38344" xr:uid="{00000000-0005-0000-0000-0000DC600000}"/>
    <cellStyle name="Normal 3 4 2 4 4 3" xfId="6469" xr:uid="{00000000-0005-0000-0000-0000DD600000}"/>
    <cellStyle name="Normal 3 4 2 4 4 3 2" xfId="6470" xr:uid="{00000000-0005-0000-0000-0000DE600000}"/>
    <cellStyle name="Normal 3 4 2 4 4 3 2 2" xfId="29932" xr:uid="{00000000-0005-0000-0000-0000DF600000}"/>
    <cellStyle name="Normal 3 4 2 4 4 3 2 2 2" xfId="61803" xr:uid="{00000000-0005-0000-0000-0000E0600000}"/>
    <cellStyle name="Normal 3 4 2 4 4 3 2 3" xfId="38349" xr:uid="{00000000-0005-0000-0000-0000E1600000}"/>
    <cellStyle name="Normal 3 4 2 4 4 3 3" xfId="22054" xr:uid="{00000000-0005-0000-0000-0000E2600000}"/>
    <cellStyle name="Normal 3 4 2 4 4 3 3 2" xfId="53925" xr:uid="{00000000-0005-0000-0000-0000E3600000}"/>
    <cellStyle name="Normal 3 4 2 4 4 3 4" xfId="38348" xr:uid="{00000000-0005-0000-0000-0000E4600000}"/>
    <cellStyle name="Normal 3 4 2 4 4 4" xfId="6471" xr:uid="{00000000-0005-0000-0000-0000E5600000}"/>
    <cellStyle name="Normal 3 4 2 4 4 4 2" xfId="25993" xr:uid="{00000000-0005-0000-0000-0000E6600000}"/>
    <cellStyle name="Normal 3 4 2 4 4 4 2 2" xfId="57864" xr:uid="{00000000-0005-0000-0000-0000E7600000}"/>
    <cellStyle name="Normal 3 4 2 4 4 4 3" xfId="38350" xr:uid="{00000000-0005-0000-0000-0000E8600000}"/>
    <cellStyle name="Normal 3 4 2 4 4 5" xfId="18115" xr:uid="{00000000-0005-0000-0000-0000E9600000}"/>
    <cellStyle name="Normal 3 4 2 4 4 5 2" xfId="49986" xr:uid="{00000000-0005-0000-0000-0000EA600000}"/>
    <cellStyle name="Normal 3 4 2 4 4 6" xfId="38343" xr:uid="{00000000-0005-0000-0000-0000EB600000}"/>
    <cellStyle name="Normal 3 4 2 4 5" xfId="6472" xr:uid="{00000000-0005-0000-0000-0000EC600000}"/>
    <cellStyle name="Normal 3 4 2 4 5 2" xfId="6473" xr:uid="{00000000-0005-0000-0000-0000ED600000}"/>
    <cellStyle name="Normal 3 4 2 4 5 2 2" xfId="6474" xr:uid="{00000000-0005-0000-0000-0000EE600000}"/>
    <cellStyle name="Normal 3 4 2 4 5 2 2 2" xfId="29934" xr:uid="{00000000-0005-0000-0000-0000EF600000}"/>
    <cellStyle name="Normal 3 4 2 4 5 2 2 2 2" xfId="61805" xr:uid="{00000000-0005-0000-0000-0000F0600000}"/>
    <cellStyle name="Normal 3 4 2 4 5 2 2 3" xfId="38353" xr:uid="{00000000-0005-0000-0000-0000F1600000}"/>
    <cellStyle name="Normal 3 4 2 4 5 2 3" xfId="22056" xr:uid="{00000000-0005-0000-0000-0000F2600000}"/>
    <cellStyle name="Normal 3 4 2 4 5 2 3 2" xfId="53927" xr:uid="{00000000-0005-0000-0000-0000F3600000}"/>
    <cellStyle name="Normal 3 4 2 4 5 2 4" xfId="38352" xr:uid="{00000000-0005-0000-0000-0000F4600000}"/>
    <cellStyle name="Normal 3 4 2 4 5 3" xfId="6475" xr:uid="{00000000-0005-0000-0000-0000F5600000}"/>
    <cellStyle name="Normal 3 4 2 4 5 3 2" xfId="25995" xr:uid="{00000000-0005-0000-0000-0000F6600000}"/>
    <cellStyle name="Normal 3 4 2 4 5 3 2 2" xfId="57866" xr:uid="{00000000-0005-0000-0000-0000F7600000}"/>
    <cellStyle name="Normal 3 4 2 4 5 3 3" xfId="38354" xr:uid="{00000000-0005-0000-0000-0000F8600000}"/>
    <cellStyle name="Normal 3 4 2 4 5 4" xfId="18117" xr:uid="{00000000-0005-0000-0000-0000F9600000}"/>
    <cellStyle name="Normal 3 4 2 4 5 4 2" xfId="49988" xr:uid="{00000000-0005-0000-0000-0000FA600000}"/>
    <cellStyle name="Normal 3 4 2 4 5 5" xfId="38351" xr:uid="{00000000-0005-0000-0000-0000FB600000}"/>
    <cellStyle name="Normal 3 4 2 4 6" xfId="6476" xr:uid="{00000000-0005-0000-0000-0000FC600000}"/>
    <cellStyle name="Normal 3 4 2 4 6 2" xfId="6477" xr:uid="{00000000-0005-0000-0000-0000FD600000}"/>
    <cellStyle name="Normal 3 4 2 4 6 2 2" xfId="28406" xr:uid="{00000000-0005-0000-0000-0000FE600000}"/>
    <cellStyle name="Normal 3 4 2 4 6 2 2 2" xfId="60277" xr:uid="{00000000-0005-0000-0000-0000FF600000}"/>
    <cellStyle name="Normal 3 4 2 4 6 2 3" xfId="38356" xr:uid="{00000000-0005-0000-0000-000000610000}"/>
    <cellStyle name="Normal 3 4 2 4 6 3" xfId="20528" xr:uid="{00000000-0005-0000-0000-000001610000}"/>
    <cellStyle name="Normal 3 4 2 4 6 3 2" xfId="52399" xr:uid="{00000000-0005-0000-0000-000002610000}"/>
    <cellStyle name="Normal 3 4 2 4 6 4" xfId="38355" xr:uid="{00000000-0005-0000-0000-000003610000}"/>
    <cellStyle name="Normal 3 4 2 4 7" xfId="6478" xr:uid="{00000000-0005-0000-0000-000004610000}"/>
    <cellStyle name="Normal 3 4 2 4 7 2" xfId="24467" xr:uid="{00000000-0005-0000-0000-000005610000}"/>
    <cellStyle name="Normal 3 4 2 4 7 2 2" xfId="56338" xr:uid="{00000000-0005-0000-0000-000006610000}"/>
    <cellStyle name="Normal 3 4 2 4 7 3" xfId="38357" xr:uid="{00000000-0005-0000-0000-000007610000}"/>
    <cellStyle name="Normal 3 4 2 4 8" xfId="16589" xr:uid="{00000000-0005-0000-0000-000008610000}"/>
    <cellStyle name="Normal 3 4 2 4 8 2" xfId="48460" xr:uid="{00000000-0005-0000-0000-000009610000}"/>
    <cellStyle name="Normal 3 4 2 4 9" xfId="38294" xr:uid="{00000000-0005-0000-0000-00000A610000}"/>
    <cellStyle name="Normal 3 4 2 5" xfId="6479" xr:uid="{00000000-0005-0000-0000-00000B610000}"/>
    <cellStyle name="Normal 3 4 2 5 2" xfId="6480" xr:uid="{00000000-0005-0000-0000-00000C610000}"/>
    <cellStyle name="Normal 3 4 2 5 2 2" xfId="6481" xr:uid="{00000000-0005-0000-0000-00000D610000}"/>
    <cellStyle name="Normal 3 4 2 5 2 2 2" xfId="6482" xr:uid="{00000000-0005-0000-0000-00000E610000}"/>
    <cellStyle name="Normal 3 4 2 5 2 2 2 2" xfId="6483" xr:uid="{00000000-0005-0000-0000-00000F610000}"/>
    <cellStyle name="Normal 3 4 2 5 2 2 2 2 2" xfId="6484" xr:uid="{00000000-0005-0000-0000-000010610000}"/>
    <cellStyle name="Normal 3 4 2 5 2 2 2 2 2 2" xfId="29938" xr:uid="{00000000-0005-0000-0000-000011610000}"/>
    <cellStyle name="Normal 3 4 2 5 2 2 2 2 2 2 2" xfId="61809" xr:uid="{00000000-0005-0000-0000-000012610000}"/>
    <cellStyle name="Normal 3 4 2 5 2 2 2 2 2 3" xfId="38363" xr:uid="{00000000-0005-0000-0000-000013610000}"/>
    <cellStyle name="Normal 3 4 2 5 2 2 2 2 3" xfId="22060" xr:uid="{00000000-0005-0000-0000-000014610000}"/>
    <cellStyle name="Normal 3 4 2 5 2 2 2 2 3 2" xfId="53931" xr:uid="{00000000-0005-0000-0000-000015610000}"/>
    <cellStyle name="Normal 3 4 2 5 2 2 2 2 4" xfId="38362" xr:uid="{00000000-0005-0000-0000-000016610000}"/>
    <cellStyle name="Normal 3 4 2 5 2 2 2 3" xfId="6485" xr:uid="{00000000-0005-0000-0000-000017610000}"/>
    <cellStyle name="Normal 3 4 2 5 2 2 2 3 2" xfId="25999" xr:uid="{00000000-0005-0000-0000-000018610000}"/>
    <cellStyle name="Normal 3 4 2 5 2 2 2 3 2 2" xfId="57870" xr:uid="{00000000-0005-0000-0000-000019610000}"/>
    <cellStyle name="Normal 3 4 2 5 2 2 2 3 3" xfId="38364" xr:uid="{00000000-0005-0000-0000-00001A610000}"/>
    <cellStyle name="Normal 3 4 2 5 2 2 2 4" xfId="18121" xr:uid="{00000000-0005-0000-0000-00001B610000}"/>
    <cellStyle name="Normal 3 4 2 5 2 2 2 4 2" xfId="49992" xr:uid="{00000000-0005-0000-0000-00001C610000}"/>
    <cellStyle name="Normal 3 4 2 5 2 2 2 5" xfId="38361" xr:uid="{00000000-0005-0000-0000-00001D610000}"/>
    <cellStyle name="Normal 3 4 2 5 2 2 3" xfId="6486" xr:uid="{00000000-0005-0000-0000-00001E610000}"/>
    <cellStyle name="Normal 3 4 2 5 2 2 3 2" xfId="6487" xr:uid="{00000000-0005-0000-0000-00001F610000}"/>
    <cellStyle name="Normal 3 4 2 5 2 2 3 2 2" xfId="29937" xr:uid="{00000000-0005-0000-0000-000020610000}"/>
    <cellStyle name="Normal 3 4 2 5 2 2 3 2 2 2" xfId="61808" xr:uid="{00000000-0005-0000-0000-000021610000}"/>
    <cellStyle name="Normal 3 4 2 5 2 2 3 2 3" xfId="38366" xr:uid="{00000000-0005-0000-0000-000022610000}"/>
    <cellStyle name="Normal 3 4 2 5 2 2 3 3" xfId="22059" xr:uid="{00000000-0005-0000-0000-000023610000}"/>
    <cellStyle name="Normal 3 4 2 5 2 2 3 3 2" xfId="53930" xr:uid="{00000000-0005-0000-0000-000024610000}"/>
    <cellStyle name="Normal 3 4 2 5 2 2 3 4" xfId="38365" xr:uid="{00000000-0005-0000-0000-000025610000}"/>
    <cellStyle name="Normal 3 4 2 5 2 2 4" xfId="6488" xr:uid="{00000000-0005-0000-0000-000026610000}"/>
    <cellStyle name="Normal 3 4 2 5 2 2 4 2" xfId="25998" xr:uid="{00000000-0005-0000-0000-000027610000}"/>
    <cellStyle name="Normal 3 4 2 5 2 2 4 2 2" xfId="57869" xr:uid="{00000000-0005-0000-0000-000028610000}"/>
    <cellStyle name="Normal 3 4 2 5 2 2 4 3" xfId="38367" xr:uid="{00000000-0005-0000-0000-000029610000}"/>
    <cellStyle name="Normal 3 4 2 5 2 2 5" xfId="18120" xr:uid="{00000000-0005-0000-0000-00002A610000}"/>
    <cellStyle name="Normal 3 4 2 5 2 2 5 2" xfId="49991" xr:uid="{00000000-0005-0000-0000-00002B610000}"/>
    <cellStyle name="Normal 3 4 2 5 2 2 6" xfId="38360" xr:uid="{00000000-0005-0000-0000-00002C610000}"/>
    <cellStyle name="Normal 3 4 2 5 2 3" xfId="6489" xr:uid="{00000000-0005-0000-0000-00002D610000}"/>
    <cellStyle name="Normal 3 4 2 5 2 3 2" xfId="6490" xr:uid="{00000000-0005-0000-0000-00002E610000}"/>
    <cellStyle name="Normal 3 4 2 5 2 3 2 2" xfId="6491" xr:uid="{00000000-0005-0000-0000-00002F610000}"/>
    <cellStyle name="Normal 3 4 2 5 2 3 2 2 2" xfId="29939" xr:uid="{00000000-0005-0000-0000-000030610000}"/>
    <cellStyle name="Normal 3 4 2 5 2 3 2 2 2 2" xfId="61810" xr:uid="{00000000-0005-0000-0000-000031610000}"/>
    <cellStyle name="Normal 3 4 2 5 2 3 2 2 3" xfId="38370" xr:uid="{00000000-0005-0000-0000-000032610000}"/>
    <cellStyle name="Normal 3 4 2 5 2 3 2 3" xfId="22061" xr:uid="{00000000-0005-0000-0000-000033610000}"/>
    <cellStyle name="Normal 3 4 2 5 2 3 2 3 2" xfId="53932" xr:uid="{00000000-0005-0000-0000-000034610000}"/>
    <cellStyle name="Normal 3 4 2 5 2 3 2 4" xfId="38369" xr:uid="{00000000-0005-0000-0000-000035610000}"/>
    <cellStyle name="Normal 3 4 2 5 2 3 3" xfId="6492" xr:uid="{00000000-0005-0000-0000-000036610000}"/>
    <cellStyle name="Normal 3 4 2 5 2 3 3 2" xfId="26000" xr:uid="{00000000-0005-0000-0000-000037610000}"/>
    <cellStyle name="Normal 3 4 2 5 2 3 3 2 2" xfId="57871" xr:uid="{00000000-0005-0000-0000-000038610000}"/>
    <cellStyle name="Normal 3 4 2 5 2 3 3 3" xfId="38371" xr:uid="{00000000-0005-0000-0000-000039610000}"/>
    <cellStyle name="Normal 3 4 2 5 2 3 4" xfId="18122" xr:uid="{00000000-0005-0000-0000-00003A610000}"/>
    <cellStyle name="Normal 3 4 2 5 2 3 4 2" xfId="49993" xr:uid="{00000000-0005-0000-0000-00003B610000}"/>
    <cellStyle name="Normal 3 4 2 5 2 3 5" xfId="38368" xr:uid="{00000000-0005-0000-0000-00003C610000}"/>
    <cellStyle name="Normal 3 4 2 5 2 4" xfId="6493" xr:uid="{00000000-0005-0000-0000-00003D610000}"/>
    <cellStyle name="Normal 3 4 2 5 2 4 2" xfId="6494" xr:uid="{00000000-0005-0000-0000-00003E610000}"/>
    <cellStyle name="Normal 3 4 2 5 2 4 2 2" xfId="29936" xr:uid="{00000000-0005-0000-0000-00003F610000}"/>
    <cellStyle name="Normal 3 4 2 5 2 4 2 2 2" xfId="61807" xr:uid="{00000000-0005-0000-0000-000040610000}"/>
    <cellStyle name="Normal 3 4 2 5 2 4 2 3" xfId="38373" xr:uid="{00000000-0005-0000-0000-000041610000}"/>
    <cellStyle name="Normal 3 4 2 5 2 4 3" xfId="22058" xr:uid="{00000000-0005-0000-0000-000042610000}"/>
    <cellStyle name="Normal 3 4 2 5 2 4 3 2" xfId="53929" xr:uid="{00000000-0005-0000-0000-000043610000}"/>
    <cellStyle name="Normal 3 4 2 5 2 4 4" xfId="38372" xr:uid="{00000000-0005-0000-0000-000044610000}"/>
    <cellStyle name="Normal 3 4 2 5 2 5" xfId="6495" xr:uid="{00000000-0005-0000-0000-000045610000}"/>
    <cellStyle name="Normal 3 4 2 5 2 5 2" xfId="25997" xr:uid="{00000000-0005-0000-0000-000046610000}"/>
    <cellStyle name="Normal 3 4 2 5 2 5 2 2" xfId="57868" xr:uid="{00000000-0005-0000-0000-000047610000}"/>
    <cellStyle name="Normal 3 4 2 5 2 5 3" xfId="38374" xr:uid="{00000000-0005-0000-0000-000048610000}"/>
    <cellStyle name="Normal 3 4 2 5 2 6" xfId="18119" xr:uid="{00000000-0005-0000-0000-000049610000}"/>
    <cellStyle name="Normal 3 4 2 5 2 6 2" xfId="49990" xr:uid="{00000000-0005-0000-0000-00004A610000}"/>
    <cellStyle name="Normal 3 4 2 5 2 7" xfId="38359" xr:uid="{00000000-0005-0000-0000-00004B610000}"/>
    <cellStyle name="Normal 3 4 2 5 3" xfId="6496" xr:uid="{00000000-0005-0000-0000-00004C610000}"/>
    <cellStyle name="Normal 3 4 2 5 3 2" xfId="6497" xr:uid="{00000000-0005-0000-0000-00004D610000}"/>
    <cellStyle name="Normal 3 4 2 5 3 2 2" xfId="6498" xr:uid="{00000000-0005-0000-0000-00004E610000}"/>
    <cellStyle name="Normal 3 4 2 5 3 2 2 2" xfId="6499" xr:uid="{00000000-0005-0000-0000-00004F610000}"/>
    <cellStyle name="Normal 3 4 2 5 3 2 2 2 2" xfId="29941" xr:uid="{00000000-0005-0000-0000-000050610000}"/>
    <cellStyle name="Normal 3 4 2 5 3 2 2 2 2 2" xfId="61812" xr:uid="{00000000-0005-0000-0000-000051610000}"/>
    <cellStyle name="Normal 3 4 2 5 3 2 2 2 3" xfId="38378" xr:uid="{00000000-0005-0000-0000-000052610000}"/>
    <cellStyle name="Normal 3 4 2 5 3 2 2 3" xfId="22063" xr:uid="{00000000-0005-0000-0000-000053610000}"/>
    <cellStyle name="Normal 3 4 2 5 3 2 2 3 2" xfId="53934" xr:uid="{00000000-0005-0000-0000-000054610000}"/>
    <cellStyle name="Normal 3 4 2 5 3 2 2 4" xfId="38377" xr:uid="{00000000-0005-0000-0000-000055610000}"/>
    <cellStyle name="Normal 3 4 2 5 3 2 3" xfId="6500" xr:uid="{00000000-0005-0000-0000-000056610000}"/>
    <cellStyle name="Normal 3 4 2 5 3 2 3 2" xfId="26002" xr:uid="{00000000-0005-0000-0000-000057610000}"/>
    <cellStyle name="Normal 3 4 2 5 3 2 3 2 2" xfId="57873" xr:uid="{00000000-0005-0000-0000-000058610000}"/>
    <cellStyle name="Normal 3 4 2 5 3 2 3 3" xfId="38379" xr:uid="{00000000-0005-0000-0000-000059610000}"/>
    <cellStyle name="Normal 3 4 2 5 3 2 4" xfId="18124" xr:uid="{00000000-0005-0000-0000-00005A610000}"/>
    <cellStyle name="Normal 3 4 2 5 3 2 4 2" xfId="49995" xr:uid="{00000000-0005-0000-0000-00005B610000}"/>
    <cellStyle name="Normal 3 4 2 5 3 2 5" xfId="38376" xr:uid="{00000000-0005-0000-0000-00005C610000}"/>
    <cellStyle name="Normal 3 4 2 5 3 3" xfId="6501" xr:uid="{00000000-0005-0000-0000-00005D610000}"/>
    <cellStyle name="Normal 3 4 2 5 3 3 2" xfId="6502" xr:uid="{00000000-0005-0000-0000-00005E610000}"/>
    <cellStyle name="Normal 3 4 2 5 3 3 2 2" xfId="29940" xr:uid="{00000000-0005-0000-0000-00005F610000}"/>
    <cellStyle name="Normal 3 4 2 5 3 3 2 2 2" xfId="61811" xr:uid="{00000000-0005-0000-0000-000060610000}"/>
    <cellStyle name="Normal 3 4 2 5 3 3 2 3" xfId="38381" xr:uid="{00000000-0005-0000-0000-000061610000}"/>
    <cellStyle name="Normal 3 4 2 5 3 3 3" xfId="22062" xr:uid="{00000000-0005-0000-0000-000062610000}"/>
    <cellStyle name="Normal 3 4 2 5 3 3 3 2" xfId="53933" xr:uid="{00000000-0005-0000-0000-000063610000}"/>
    <cellStyle name="Normal 3 4 2 5 3 3 4" xfId="38380" xr:uid="{00000000-0005-0000-0000-000064610000}"/>
    <cellStyle name="Normal 3 4 2 5 3 4" xfId="6503" xr:uid="{00000000-0005-0000-0000-000065610000}"/>
    <cellStyle name="Normal 3 4 2 5 3 4 2" xfId="26001" xr:uid="{00000000-0005-0000-0000-000066610000}"/>
    <cellStyle name="Normal 3 4 2 5 3 4 2 2" xfId="57872" xr:uid="{00000000-0005-0000-0000-000067610000}"/>
    <cellStyle name="Normal 3 4 2 5 3 4 3" xfId="38382" xr:uid="{00000000-0005-0000-0000-000068610000}"/>
    <cellStyle name="Normal 3 4 2 5 3 5" xfId="18123" xr:uid="{00000000-0005-0000-0000-000069610000}"/>
    <cellStyle name="Normal 3 4 2 5 3 5 2" xfId="49994" xr:uid="{00000000-0005-0000-0000-00006A610000}"/>
    <cellStyle name="Normal 3 4 2 5 3 6" xfId="38375" xr:uid="{00000000-0005-0000-0000-00006B610000}"/>
    <cellStyle name="Normal 3 4 2 5 4" xfId="6504" xr:uid="{00000000-0005-0000-0000-00006C610000}"/>
    <cellStyle name="Normal 3 4 2 5 4 2" xfId="6505" xr:uid="{00000000-0005-0000-0000-00006D610000}"/>
    <cellStyle name="Normal 3 4 2 5 4 2 2" xfId="6506" xr:uid="{00000000-0005-0000-0000-00006E610000}"/>
    <cellStyle name="Normal 3 4 2 5 4 2 2 2" xfId="29942" xr:uid="{00000000-0005-0000-0000-00006F610000}"/>
    <cellStyle name="Normal 3 4 2 5 4 2 2 2 2" xfId="61813" xr:uid="{00000000-0005-0000-0000-000070610000}"/>
    <cellStyle name="Normal 3 4 2 5 4 2 2 3" xfId="38385" xr:uid="{00000000-0005-0000-0000-000071610000}"/>
    <cellStyle name="Normal 3 4 2 5 4 2 3" xfId="22064" xr:uid="{00000000-0005-0000-0000-000072610000}"/>
    <cellStyle name="Normal 3 4 2 5 4 2 3 2" xfId="53935" xr:uid="{00000000-0005-0000-0000-000073610000}"/>
    <cellStyle name="Normal 3 4 2 5 4 2 4" xfId="38384" xr:uid="{00000000-0005-0000-0000-000074610000}"/>
    <cellStyle name="Normal 3 4 2 5 4 3" xfId="6507" xr:uid="{00000000-0005-0000-0000-000075610000}"/>
    <cellStyle name="Normal 3 4 2 5 4 3 2" xfId="26003" xr:uid="{00000000-0005-0000-0000-000076610000}"/>
    <cellStyle name="Normal 3 4 2 5 4 3 2 2" xfId="57874" xr:uid="{00000000-0005-0000-0000-000077610000}"/>
    <cellStyle name="Normal 3 4 2 5 4 3 3" xfId="38386" xr:uid="{00000000-0005-0000-0000-000078610000}"/>
    <cellStyle name="Normal 3 4 2 5 4 4" xfId="18125" xr:uid="{00000000-0005-0000-0000-000079610000}"/>
    <cellStyle name="Normal 3 4 2 5 4 4 2" xfId="49996" xr:uid="{00000000-0005-0000-0000-00007A610000}"/>
    <cellStyle name="Normal 3 4 2 5 4 5" xfId="38383" xr:uid="{00000000-0005-0000-0000-00007B610000}"/>
    <cellStyle name="Normal 3 4 2 5 5" xfId="6508" xr:uid="{00000000-0005-0000-0000-00007C610000}"/>
    <cellStyle name="Normal 3 4 2 5 5 2" xfId="6509" xr:uid="{00000000-0005-0000-0000-00007D610000}"/>
    <cellStyle name="Normal 3 4 2 5 5 2 2" xfId="29935" xr:uid="{00000000-0005-0000-0000-00007E610000}"/>
    <cellStyle name="Normal 3 4 2 5 5 2 2 2" xfId="61806" xr:uid="{00000000-0005-0000-0000-00007F610000}"/>
    <cellStyle name="Normal 3 4 2 5 5 2 3" xfId="38388" xr:uid="{00000000-0005-0000-0000-000080610000}"/>
    <cellStyle name="Normal 3 4 2 5 5 3" xfId="22057" xr:uid="{00000000-0005-0000-0000-000081610000}"/>
    <cellStyle name="Normal 3 4 2 5 5 3 2" xfId="53928" xr:uid="{00000000-0005-0000-0000-000082610000}"/>
    <cellStyle name="Normal 3 4 2 5 5 4" xfId="38387" xr:uid="{00000000-0005-0000-0000-000083610000}"/>
    <cellStyle name="Normal 3 4 2 5 6" xfId="6510" xr:uid="{00000000-0005-0000-0000-000084610000}"/>
    <cellStyle name="Normal 3 4 2 5 6 2" xfId="25996" xr:uid="{00000000-0005-0000-0000-000085610000}"/>
    <cellStyle name="Normal 3 4 2 5 6 2 2" xfId="57867" xr:uid="{00000000-0005-0000-0000-000086610000}"/>
    <cellStyle name="Normal 3 4 2 5 6 3" xfId="38389" xr:uid="{00000000-0005-0000-0000-000087610000}"/>
    <cellStyle name="Normal 3 4 2 5 7" xfId="18118" xr:uid="{00000000-0005-0000-0000-000088610000}"/>
    <cellStyle name="Normal 3 4 2 5 7 2" xfId="49989" xr:uid="{00000000-0005-0000-0000-000089610000}"/>
    <cellStyle name="Normal 3 4 2 5 8" xfId="38358" xr:uid="{00000000-0005-0000-0000-00008A610000}"/>
    <cellStyle name="Normal 3 4 2 6" xfId="6511" xr:uid="{00000000-0005-0000-0000-00008B610000}"/>
    <cellStyle name="Normal 3 4 2 6 2" xfId="6512" xr:uid="{00000000-0005-0000-0000-00008C610000}"/>
    <cellStyle name="Normal 3 4 2 6 2 2" xfId="6513" xr:uid="{00000000-0005-0000-0000-00008D610000}"/>
    <cellStyle name="Normal 3 4 2 6 2 2 2" xfId="6514" xr:uid="{00000000-0005-0000-0000-00008E610000}"/>
    <cellStyle name="Normal 3 4 2 6 2 2 2 2" xfId="6515" xr:uid="{00000000-0005-0000-0000-00008F610000}"/>
    <cellStyle name="Normal 3 4 2 6 2 2 2 2 2" xfId="29945" xr:uid="{00000000-0005-0000-0000-000090610000}"/>
    <cellStyle name="Normal 3 4 2 6 2 2 2 2 2 2" xfId="61816" xr:uid="{00000000-0005-0000-0000-000091610000}"/>
    <cellStyle name="Normal 3 4 2 6 2 2 2 2 3" xfId="38394" xr:uid="{00000000-0005-0000-0000-000092610000}"/>
    <cellStyle name="Normal 3 4 2 6 2 2 2 3" xfId="22067" xr:uid="{00000000-0005-0000-0000-000093610000}"/>
    <cellStyle name="Normal 3 4 2 6 2 2 2 3 2" xfId="53938" xr:uid="{00000000-0005-0000-0000-000094610000}"/>
    <cellStyle name="Normal 3 4 2 6 2 2 2 4" xfId="38393" xr:uid="{00000000-0005-0000-0000-000095610000}"/>
    <cellStyle name="Normal 3 4 2 6 2 2 3" xfId="6516" xr:uid="{00000000-0005-0000-0000-000096610000}"/>
    <cellStyle name="Normal 3 4 2 6 2 2 3 2" xfId="26006" xr:uid="{00000000-0005-0000-0000-000097610000}"/>
    <cellStyle name="Normal 3 4 2 6 2 2 3 2 2" xfId="57877" xr:uid="{00000000-0005-0000-0000-000098610000}"/>
    <cellStyle name="Normal 3 4 2 6 2 2 3 3" xfId="38395" xr:uid="{00000000-0005-0000-0000-000099610000}"/>
    <cellStyle name="Normal 3 4 2 6 2 2 4" xfId="18128" xr:uid="{00000000-0005-0000-0000-00009A610000}"/>
    <cellStyle name="Normal 3 4 2 6 2 2 4 2" xfId="49999" xr:uid="{00000000-0005-0000-0000-00009B610000}"/>
    <cellStyle name="Normal 3 4 2 6 2 2 5" xfId="38392" xr:uid="{00000000-0005-0000-0000-00009C610000}"/>
    <cellStyle name="Normal 3 4 2 6 2 3" xfId="6517" xr:uid="{00000000-0005-0000-0000-00009D610000}"/>
    <cellStyle name="Normal 3 4 2 6 2 3 2" xfId="6518" xr:uid="{00000000-0005-0000-0000-00009E610000}"/>
    <cellStyle name="Normal 3 4 2 6 2 3 2 2" xfId="29944" xr:uid="{00000000-0005-0000-0000-00009F610000}"/>
    <cellStyle name="Normal 3 4 2 6 2 3 2 2 2" xfId="61815" xr:uid="{00000000-0005-0000-0000-0000A0610000}"/>
    <cellStyle name="Normal 3 4 2 6 2 3 2 3" xfId="38397" xr:uid="{00000000-0005-0000-0000-0000A1610000}"/>
    <cellStyle name="Normal 3 4 2 6 2 3 3" xfId="22066" xr:uid="{00000000-0005-0000-0000-0000A2610000}"/>
    <cellStyle name="Normal 3 4 2 6 2 3 3 2" xfId="53937" xr:uid="{00000000-0005-0000-0000-0000A3610000}"/>
    <cellStyle name="Normal 3 4 2 6 2 3 4" xfId="38396" xr:uid="{00000000-0005-0000-0000-0000A4610000}"/>
    <cellStyle name="Normal 3 4 2 6 2 4" xfId="6519" xr:uid="{00000000-0005-0000-0000-0000A5610000}"/>
    <cellStyle name="Normal 3 4 2 6 2 4 2" xfId="26005" xr:uid="{00000000-0005-0000-0000-0000A6610000}"/>
    <cellStyle name="Normal 3 4 2 6 2 4 2 2" xfId="57876" xr:uid="{00000000-0005-0000-0000-0000A7610000}"/>
    <cellStyle name="Normal 3 4 2 6 2 4 3" xfId="38398" xr:uid="{00000000-0005-0000-0000-0000A8610000}"/>
    <cellStyle name="Normal 3 4 2 6 2 5" xfId="18127" xr:uid="{00000000-0005-0000-0000-0000A9610000}"/>
    <cellStyle name="Normal 3 4 2 6 2 5 2" xfId="49998" xr:uid="{00000000-0005-0000-0000-0000AA610000}"/>
    <cellStyle name="Normal 3 4 2 6 2 6" xfId="38391" xr:uid="{00000000-0005-0000-0000-0000AB610000}"/>
    <cellStyle name="Normal 3 4 2 6 3" xfId="6520" xr:uid="{00000000-0005-0000-0000-0000AC610000}"/>
    <cellStyle name="Normal 3 4 2 6 3 2" xfId="6521" xr:uid="{00000000-0005-0000-0000-0000AD610000}"/>
    <cellStyle name="Normal 3 4 2 6 3 2 2" xfId="6522" xr:uid="{00000000-0005-0000-0000-0000AE610000}"/>
    <cellStyle name="Normal 3 4 2 6 3 2 2 2" xfId="29946" xr:uid="{00000000-0005-0000-0000-0000AF610000}"/>
    <cellStyle name="Normal 3 4 2 6 3 2 2 2 2" xfId="61817" xr:uid="{00000000-0005-0000-0000-0000B0610000}"/>
    <cellStyle name="Normal 3 4 2 6 3 2 2 3" xfId="38401" xr:uid="{00000000-0005-0000-0000-0000B1610000}"/>
    <cellStyle name="Normal 3 4 2 6 3 2 3" xfId="22068" xr:uid="{00000000-0005-0000-0000-0000B2610000}"/>
    <cellStyle name="Normal 3 4 2 6 3 2 3 2" xfId="53939" xr:uid="{00000000-0005-0000-0000-0000B3610000}"/>
    <cellStyle name="Normal 3 4 2 6 3 2 4" xfId="38400" xr:uid="{00000000-0005-0000-0000-0000B4610000}"/>
    <cellStyle name="Normal 3 4 2 6 3 3" xfId="6523" xr:uid="{00000000-0005-0000-0000-0000B5610000}"/>
    <cellStyle name="Normal 3 4 2 6 3 3 2" xfId="26007" xr:uid="{00000000-0005-0000-0000-0000B6610000}"/>
    <cellStyle name="Normal 3 4 2 6 3 3 2 2" xfId="57878" xr:uid="{00000000-0005-0000-0000-0000B7610000}"/>
    <cellStyle name="Normal 3 4 2 6 3 3 3" xfId="38402" xr:uid="{00000000-0005-0000-0000-0000B8610000}"/>
    <cellStyle name="Normal 3 4 2 6 3 4" xfId="18129" xr:uid="{00000000-0005-0000-0000-0000B9610000}"/>
    <cellStyle name="Normal 3 4 2 6 3 4 2" xfId="50000" xr:uid="{00000000-0005-0000-0000-0000BA610000}"/>
    <cellStyle name="Normal 3 4 2 6 3 5" xfId="38399" xr:uid="{00000000-0005-0000-0000-0000BB610000}"/>
    <cellStyle name="Normal 3 4 2 6 4" xfId="6524" xr:uid="{00000000-0005-0000-0000-0000BC610000}"/>
    <cellStyle name="Normal 3 4 2 6 4 2" xfId="6525" xr:uid="{00000000-0005-0000-0000-0000BD610000}"/>
    <cellStyle name="Normal 3 4 2 6 4 2 2" xfId="29943" xr:uid="{00000000-0005-0000-0000-0000BE610000}"/>
    <cellStyle name="Normal 3 4 2 6 4 2 2 2" xfId="61814" xr:uid="{00000000-0005-0000-0000-0000BF610000}"/>
    <cellStyle name="Normal 3 4 2 6 4 2 3" xfId="38404" xr:uid="{00000000-0005-0000-0000-0000C0610000}"/>
    <cellStyle name="Normal 3 4 2 6 4 3" xfId="22065" xr:uid="{00000000-0005-0000-0000-0000C1610000}"/>
    <cellStyle name="Normal 3 4 2 6 4 3 2" xfId="53936" xr:uid="{00000000-0005-0000-0000-0000C2610000}"/>
    <cellStyle name="Normal 3 4 2 6 4 4" xfId="38403" xr:uid="{00000000-0005-0000-0000-0000C3610000}"/>
    <cellStyle name="Normal 3 4 2 6 5" xfId="6526" xr:uid="{00000000-0005-0000-0000-0000C4610000}"/>
    <cellStyle name="Normal 3 4 2 6 5 2" xfId="26004" xr:uid="{00000000-0005-0000-0000-0000C5610000}"/>
    <cellStyle name="Normal 3 4 2 6 5 2 2" xfId="57875" xr:uid="{00000000-0005-0000-0000-0000C6610000}"/>
    <cellStyle name="Normal 3 4 2 6 5 3" xfId="38405" xr:uid="{00000000-0005-0000-0000-0000C7610000}"/>
    <cellStyle name="Normal 3 4 2 6 6" xfId="18126" xr:uid="{00000000-0005-0000-0000-0000C8610000}"/>
    <cellStyle name="Normal 3 4 2 6 6 2" xfId="49997" xr:uid="{00000000-0005-0000-0000-0000C9610000}"/>
    <cellStyle name="Normal 3 4 2 6 7" xfId="38390" xr:uid="{00000000-0005-0000-0000-0000CA610000}"/>
    <cellStyle name="Normal 3 4 2 7" xfId="6527" xr:uid="{00000000-0005-0000-0000-0000CB610000}"/>
    <cellStyle name="Normal 3 4 2 7 2" xfId="6528" xr:uid="{00000000-0005-0000-0000-0000CC610000}"/>
    <cellStyle name="Normal 3 4 2 7 2 2" xfId="6529" xr:uid="{00000000-0005-0000-0000-0000CD610000}"/>
    <cellStyle name="Normal 3 4 2 7 2 2 2" xfId="6530" xr:uid="{00000000-0005-0000-0000-0000CE610000}"/>
    <cellStyle name="Normal 3 4 2 7 2 2 2 2" xfId="29948" xr:uid="{00000000-0005-0000-0000-0000CF610000}"/>
    <cellStyle name="Normal 3 4 2 7 2 2 2 2 2" xfId="61819" xr:uid="{00000000-0005-0000-0000-0000D0610000}"/>
    <cellStyle name="Normal 3 4 2 7 2 2 2 3" xfId="38409" xr:uid="{00000000-0005-0000-0000-0000D1610000}"/>
    <cellStyle name="Normal 3 4 2 7 2 2 3" xfId="22070" xr:uid="{00000000-0005-0000-0000-0000D2610000}"/>
    <cellStyle name="Normal 3 4 2 7 2 2 3 2" xfId="53941" xr:uid="{00000000-0005-0000-0000-0000D3610000}"/>
    <cellStyle name="Normal 3 4 2 7 2 2 4" xfId="38408" xr:uid="{00000000-0005-0000-0000-0000D4610000}"/>
    <cellStyle name="Normal 3 4 2 7 2 3" xfId="6531" xr:uid="{00000000-0005-0000-0000-0000D5610000}"/>
    <cellStyle name="Normal 3 4 2 7 2 3 2" xfId="26009" xr:uid="{00000000-0005-0000-0000-0000D6610000}"/>
    <cellStyle name="Normal 3 4 2 7 2 3 2 2" xfId="57880" xr:uid="{00000000-0005-0000-0000-0000D7610000}"/>
    <cellStyle name="Normal 3 4 2 7 2 3 3" xfId="38410" xr:uid="{00000000-0005-0000-0000-0000D8610000}"/>
    <cellStyle name="Normal 3 4 2 7 2 4" xfId="18131" xr:uid="{00000000-0005-0000-0000-0000D9610000}"/>
    <cellStyle name="Normal 3 4 2 7 2 4 2" xfId="50002" xr:uid="{00000000-0005-0000-0000-0000DA610000}"/>
    <cellStyle name="Normal 3 4 2 7 2 5" xfId="38407" xr:uid="{00000000-0005-0000-0000-0000DB610000}"/>
    <cellStyle name="Normal 3 4 2 7 3" xfId="6532" xr:uid="{00000000-0005-0000-0000-0000DC610000}"/>
    <cellStyle name="Normal 3 4 2 7 3 2" xfId="6533" xr:uid="{00000000-0005-0000-0000-0000DD610000}"/>
    <cellStyle name="Normal 3 4 2 7 3 2 2" xfId="29947" xr:uid="{00000000-0005-0000-0000-0000DE610000}"/>
    <cellStyle name="Normal 3 4 2 7 3 2 2 2" xfId="61818" xr:uid="{00000000-0005-0000-0000-0000DF610000}"/>
    <cellStyle name="Normal 3 4 2 7 3 2 3" xfId="38412" xr:uid="{00000000-0005-0000-0000-0000E0610000}"/>
    <cellStyle name="Normal 3 4 2 7 3 3" xfId="22069" xr:uid="{00000000-0005-0000-0000-0000E1610000}"/>
    <cellStyle name="Normal 3 4 2 7 3 3 2" xfId="53940" xr:uid="{00000000-0005-0000-0000-0000E2610000}"/>
    <cellStyle name="Normal 3 4 2 7 3 4" xfId="38411" xr:uid="{00000000-0005-0000-0000-0000E3610000}"/>
    <cellStyle name="Normal 3 4 2 7 4" xfId="6534" xr:uid="{00000000-0005-0000-0000-0000E4610000}"/>
    <cellStyle name="Normal 3 4 2 7 4 2" xfId="26008" xr:uid="{00000000-0005-0000-0000-0000E5610000}"/>
    <cellStyle name="Normal 3 4 2 7 4 2 2" xfId="57879" xr:uid="{00000000-0005-0000-0000-0000E6610000}"/>
    <cellStyle name="Normal 3 4 2 7 4 3" xfId="38413" xr:uid="{00000000-0005-0000-0000-0000E7610000}"/>
    <cellStyle name="Normal 3 4 2 7 5" xfId="18130" xr:uid="{00000000-0005-0000-0000-0000E8610000}"/>
    <cellStyle name="Normal 3 4 2 7 5 2" xfId="50001" xr:uid="{00000000-0005-0000-0000-0000E9610000}"/>
    <cellStyle name="Normal 3 4 2 7 6" xfId="38406" xr:uid="{00000000-0005-0000-0000-0000EA610000}"/>
    <cellStyle name="Normal 3 4 2 8" xfId="6535" xr:uid="{00000000-0005-0000-0000-0000EB610000}"/>
    <cellStyle name="Normal 3 4 2 8 2" xfId="6536" xr:uid="{00000000-0005-0000-0000-0000EC610000}"/>
    <cellStyle name="Normal 3 4 2 8 2 2" xfId="6537" xr:uid="{00000000-0005-0000-0000-0000ED610000}"/>
    <cellStyle name="Normal 3 4 2 8 2 2 2" xfId="29949" xr:uid="{00000000-0005-0000-0000-0000EE610000}"/>
    <cellStyle name="Normal 3 4 2 8 2 2 2 2" xfId="61820" xr:uid="{00000000-0005-0000-0000-0000EF610000}"/>
    <cellStyle name="Normal 3 4 2 8 2 2 3" xfId="38416" xr:uid="{00000000-0005-0000-0000-0000F0610000}"/>
    <cellStyle name="Normal 3 4 2 8 2 3" xfId="22071" xr:uid="{00000000-0005-0000-0000-0000F1610000}"/>
    <cellStyle name="Normal 3 4 2 8 2 3 2" xfId="53942" xr:uid="{00000000-0005-0000-0000-0000F2610000}"/>
    <cellStyle name="Normal 3 4 2 8 2 4" xfId="38415" xr:uid="{00000000-0005-0000-0000-0000F3610000}"/>
    <cellStyle name="Normal 3 4 2 8 3" xfId="6538" xr:uid="{00000000-0005-0000-0000-0000F4610000}"/>
    <cellStyle name="Normal 3 4 2 8 3 2" xfId="26010" xr:uid="{00000000-0005-0000-0000-0000F5610000}"/>
    <cellStyle name="Normal 3 4 2 8 3 2 2" xfId="57881" xr:uid="{00000000-0005-0000-0000-0000F6610000}"/>
    <cellStyle name="Normal 3 4 2 8 3 3" xfId="38417" xr:uid="{00000000-0005-0000-0000-0000F7610000}"/>
    <cellStyle name="Normal 3 4 2 8 4" xfId="18132" xr:uid="{00000000-0005-0000-0000-0000F8610000}"/>
    <cellStyle name="Normal 3 4 2 8 4 2" xfId="50003" xr:uid="{00000000-0005-0000-0000-0000F9610000}"/>
    <cellStyle name="Normal 3 4 2 8 5" xfId="38414" xr:uid="{00000000-0005-0000-0000-0000FA610000}"/>
    <cellStyle name="Normal 3 4 2 9" xfId="6539" xr:uid="{00000000-0005-0000-0000-0000FB610000}"/>
    <cellStyle name="Normal 3 4 2 9 2" xfId="6540" xr:uid="{00000000-0005-0000-0000-0000FC610000}"/>
    <cellStyle name="Normal 3 4 2 9 2 2" xfId="28283" xr:uid="{00000000-0005-0000-0000-0000FD610000}"/>
    <cellStyle name="Normal 3 4 2 9 2 2 2" xfId="60154" xr:uid="{00000000-0005-0000-0000-0000FE610000}"/>
    <cellStyle name="Normal 3 4 2 9 2 3" xfId="38419" xr:uid="{00000000-0005-0000-0000-0000FF610000}"/>
    <cellStyle name="Normal 3 4 2 9 3" xfId="20405" xr:uid="{00000000-0005-0000-0000-000000620000}"/>
    <cellStyle name="Normal 3 4 2 9 3 2" xfId="52276" xr:uid="{00000000-0005-0000-0000-000001620000}"/>
    <cellStyle name="Normal 3 4 2 9 4" xfId="38418" xr:uid="{00000000-0005-0000-0000-000002620000}"/>
    <cellStyle name="Normal 3 4 3" xfId="6541" xr:uid="{00000000-0005-0000-0000-000003620000}"/>
    <cellStyle name="Normal 3 4 3 10" xfId="38420" xr:uid="{00000000-0005-0000-0000-000004620000}"/>
    <cellStyle name="Normal 3 4 3 2" xfId="6542" xr:uid="{00000000-0005-0000-0000-000005620000}"/>
    <cellStyle name="Normal 3 4 3 2 2" xfId="6543" xr:uid="{00000000-0005-0000-0000-000006620000}"/>
    <cellStyle name="Normal 3 4 3 2 2 2" xfId="6544" xr:uid="{00000000-0005-0000-0000-000007620000}"/>
    <cellStyle name="Normal 3 4 3 2 2 2 2" xfId="6545" xr:uid="{00000000-0005-0000-0000-000008620000}"/>
    <cellStyle name="Normal 3 4 3 2 2 2 2 2" xfId="6546" xr:uid="{00000000-0005-0000-0000-000009620000}"/>
    <cellStyle name="Normal 3 4 3 2 2 2 2 2 2" xfId="6547" xr:uid="{00000000-0005-0000-0000-00000A620000}"/>
    <cellStyle name="Normal 3 4 3 2 2 2 2 2 2 2" xfId="6548" xr:uid="{00000000-0005-0000-0000-00000B620000}"/>
    <cellStyle name="Normal 3 4 3 2 2 2 2 2 2 2 2" xfId="29953" xr:uid="{00000000-0005-0000-0000-00000C620000}"/>
    <cellStyle name="Normal 3 4 3 2 2 2 2 2 2 2 2 2" xfId="61824" xr:uid="{00000000-0005-0000-0000-00000D620000}"/>
    <cellStyle name="Normal 3 4 3 2 2 2 2 2 2 2 3" xfId="38427" xr:uid="{00000000-0005-0000-0000-00000E620000}"/>
    <cellStyle name="Normal 3 4 3 2 2 2 2 2 2 3" xfId="22075" xr:uid="{00000000-0005-0000-0000-00000F620000}"/>
    <cellStyle name="Normal 3 4 3 2 2 2 2 2 2 3 2" xfId="53946" xr:uid="{00000000-0005-0000-0000-000010620000}"/>
    <cellStyle name="Normal 3 4 3 2 2 2 2 2 2 4" xfId="38426" xr:uid="{00000000-0005-0000-0000-000011620000}"/>
    <cellStyle name="Normal 3 4 3 2 2 2 2 2 3" xfId="6549" xr:uid="{00000000-0005-0000-0000-000012620000}"/>
    <cellStyle name="Normal 3 4 3 2 2 2 2 2 3 2" xfId="26014" xr:uid="{00000000-0005-0000-0000-000013620000}"/>
    <cellStyle name="Normal 3 4 3 2 2 2 2 2 3 2 2" xfId="57885" xr:uid="{00000000-0005-0000-0000-000014620000}"/>
    <cellStyle name="Normal 3 4 3 2 2 2 2 2 3 3" xfId="38428" xr:uid="{00000000-0005-0000-0000-000015620000}"/>
    <cellStyle name="Normal 3 4 3 2 2 2 2 2 4" xfId="18136" xr:uid="{00000000-0005-0000-0000-000016620000}"/>
    <cellStyle name="Normal 3 4 3 2 2 2 2 2 4 2" xfId="50007" xr:uid="{00000000-0005-0000-0000-000017620000}"/>
    <cellStyle name="Normal 3 4 3 2 2 2 2 2 5" xfId="38425" xr:uid="{00000000-0005-0000-0000-000018620000}"/>
    <cellStyle name="Normal 3 4 3 2 2 2 2 3" xfId="6550" xr:uid="{00000000-0005-0000-0000-000019620000}"/>
    <cellStyle name="Normal 3 4 3 2 2 2 2 3 2" xfId="6551" xr:uid="{00000000-0005-0000-0000-00001A620000}"/>
    <cellStyle name="Normal 3 4 3 2 2 2 2 3 2 2" xfId="29952" xr:uid="{00000000-0005-0000-0000-00001B620000}"/>
    <cellStyle name="Normal 3 4 3 2 2 2 2 3 2 2 2" xfId="61823" xr:uid="{00000000-0005-0000-0000-00001C620000}"/>
    <cellStyle name="Normal 3 4 3 2 2 2 2 3 2 3" xfId="38430" xr:uid="{00000000-0005-0000-0000-00001D620000}"/>
    <cellStyle name="Normal 3 4 3 2 2 2 2 3 3" xfId="22074" xr:uid="{00000000-0005-0000-0000-00001E620000}"/>
    <cellStyle name="Normal 3 4 3 2 2 2 2 3 3 2" xfId="53945" xr:uid="{00000000-0005-0000-0000-00001F620000}"/>
    <cellStyle name="Normal 3 4 3 2 2 2 2 3 4" xfId="38429" xr:uid="{00000000-0005-0000-0000-000020620000}"/>
    <cellStyle name="Normal 3 4 3 2 2 2 2 4" xfId="6552" xr:uid="{00000000-0005-0000-0000-000021620000}"/>
    <cellStyle name="Normal 3 4 3 2 2 2 2 4 2" xfId="26013" xr:uid="{00000000-0005-0000-0000-000022620000}"/>
    <cellStyle name="Normal 3 4 3 2 2 2 2 4 2 2" xfId="57884" xr:uid="{00000000-0005-0000-0000-000023620000}"/>
    <cellStyle name="Normal 3 4 3 2 2 2 2 4 3" xfId="38431" xr:uid="{00000000-0005-0000-0000-000024620000}"/>
    <cellStyle name="Normal 3 4 3 2 2 2 2 5" xfId="18135" xr:uid="{00000000-0005-0000-0000-000025620000}"/>
    <cellStyle name="Normal 3 4 3 2 2 2 2 5 2" xfId="50006" xr:uid="{00000000-0005-0000-0000-000026620000}"/>
    <cellStyle name="Normal 3 4 3 2 2 2 2 6" xfId="38424" xr:uid="{00000000-0005-0000-0000-000027620000}"/>
    <cellStyle name="Normal 3 4 3 2 2 2 3" xfId="6553" xr:uid="{00000000-0005-0000-0000-000028620000}"/>
    <cellStyle name="Normal 3 4 3 2 2 2 3 2" xfId="6554" xr:uid="{00000000-0005-0000-0000-000029620000}"/>
    <cellStyle name="Normal 3 4 3 2 2 2 3 2 2" xfId="6555" xr:uid="{00000000-0005-0000-0000-00002A620000}"/>
    <cellStyle name="Normal 3 4 3 2 2 2 3 2 2 2" xfId="29954" xr:uid="{00000000-0005-0000-0000-00002B620000}"/>
    <cellStyle name="Normal 3 4 3 2 2 2 3 2 2 2 2" xfId="61825" xr:uid="{00000000-0005-0000-0000-00002C620000}"/>
    <cellStyle name="Normal 3 4 3 2 2 2 3 2 2 3" xfId="38434" xr:uid="{00000000-0005-0000-0000-00002D620000}"/>
    <cellStyle name="Normal 3 4 3 2 2 2 3 2 3" xfId="22076" xr:uid="{00000000-0005-0000-0000-00002E620000}"/>
    <cellStyle name="Normal 3 4 3 2 2 2 3 2 3 2" xfId="53947" xr:uid="{00000000-0005-0000-0000-00002F620000}"/>
    <cellStyle name="Normal 3 4 3 2 2 2 3 2 4" xfId="38433" xr:uid="{00000000-0005-0000-0000-000030620000}"/>
    <cellStyle name="Normal 3 4 3 2 2 2 3 3" xfId="6556" xr:uid="{00000000-0005-0000-0000-000031620000}"/>
    <cellStyle name="Normal 3 4 3 2 2 2 3 3 2" xfId="26015" xr:uid="{00000000-0005-0000-0000-000032620000}"/>
    <cellStyle name="Normal 3 4 3 2 2 2 3 3 2 2" xfId="57886" xr:uid="{00000000-0005-0000-0000-000033620000}"/>
    <cellStyle name="Normal 3 4 3 2 2 2 3 3 3" xfId="38435" xr:uid="{00000000-0005-0000-0000-000034620000}"/>
    <cellStyle name="Normal 3 4 3 2 2 2 3 4" xfId="18137" xr:uid="{00000000-0005-0000-0000-000035620000}"/>
    <cellStyle name="Normal 3 4 3 2 2 2 3 4 2" xfId="50008" xr:uid="{00000000-0005-0000-0000-000036620000}"/>
    <cellStyle name="Normal 3 4 3 2 2 2 3 5" xfId="38432" xr:uid="{00000000-0005-0000-0000-000037620000}"/>
    <cellStyle name="Normal 3 4 3 2 2 2 4" xfId="6557" xr:uid="{00000000-0005-0000-0000-000038620000}"/>
    <cellStyle name="Normal 3 4 3 2 2 2 4 2" xfId="6558" xr:uid="{00000000-0005-0000-0000-000039620000}"/>
    <cellStyle name="Normal 3 4 3 2 2 2 4 2 2" xfId="29951" xr:uid="{00000000-0005-0000-0000-00003A620000}"/>
    <cellStyle name="Normal 3 4 3 2 2 2 4 2 2 2" xfId="61822" xr:uid="{00000000-0005-0000-0000-00003B620000}"/>
    <cellStyle name="Normal 3 4 3 2 2 2 4 2 3" xfId="38437" xr:uid="{00000000-0005-0000-0000-00003C620000}"/>
    <cellStyle name="Normal 3 4 3 2 2 2 4 3" xfId="22073" xr:uid="{00000000-0005-0000-0000-00003D620000}"/>
    <cellStyle name="Normal 3 4 3 2 2 2 4 3 2" xfId="53944" xr:uid="{00000000-0005-0000-0000-00003E620000}"/>
    <cellStyle name="Normal 3 4 3 2 2 2 4 4" xfId="38436" xr:uid="{00000000-0005-0000-0000-00003F620000}"/>
    <cellStyle name="Normal 3 4 3 2 2 2 5" xfId="6559" xr:uid="{00000000-0005-0000-0000-000040620000}"/>
    <cellStyle name="Normal 3 4 3 2 2 2 5 2" xfId="26012" xr:uid="{00000000-0005-0000-0000-000041620000}"/>
    <cellStyle name="Normal 3 4 3 2 2 2 5 2 2" xfId="57883" xr:uid="{00000000-0005-0000-0000-000042620000}"/>
    <cellStyle name="Normal 3 4 3 2 2 2 5 3" xfId="38438" xr:uid="{00000000-0005-0000-0000-000043620000}"/>
    <cellStyle name="Normal 3 4 3 2 2 2 6" xfId="18134" xr:uid="{00000000-0005-0000-0000-000044620000}"/>
    <cellStyle name="Normal 3 4 3 2 2 2 6 2" xfId="50005" xr:uid="{00000000-0005-0000-0000-000045620000}"/>
    <cellStyle name="Normal 3 4 3 2 2 2 7" xfId="38423" xr:uid="{00000000-0005-0000-0000-000046620000}"/>
    <cellStyle name="Normal 3 4 3 2 2 3" xfId="6560" xr:uid="{00000000-0005-0000-0000-000047620000}"/>
    <cellStyle name="Normal 3 4 3 2 2 3 2" xfId="6561" xr:uid="{00000000-0005-0000-0000-000048620000}"/>
    <cellStyle name="Normal 3 4 3 2 2 3 2 2" xfId="6562" xr:uid="{00000000-0005-0000-0000-000049620000}"/>
    <cellStyle name="Normal 3 4 3 2 2 3 2 2 2" xfId="6563" xr:uid="{00000000-0005-0000-0000-00004A620000}"/>
    <cellStyle name="Normal 3 4 3 2 2 3 2 2 2 2" xfId="29956" xr:uid="{00000000-0005-0000-0000-00004B620000}"/>
    <cellStyle name="Normal 3 4 3 2 2 3 2 2 2 2 2" xfId="61827" xr:uid="{00000000-0005-0000-0000-00004C620000}"/>
    <cellStyle name="Normal 3 4 3 2 2 3 2 2 2 3" xfId="38442" xr:uid="{00000000-0005-0000-0000-00004D620000}"/>
    <cellStyle name="Normal 3 4 3 2 2 3 2 2 3" xfId="22078" xr:uid="{00000000-0005-0000-0000-00004E620000}"/>
    <cellStyle name="Normal 3 4 3 2 2 3 2 2 3 2" xfId="53949" xr:uid="{00000000-0005-0000-0000-00004F620000}"/>
    <cellStyle name="Normal 3 4 3 2 2 3 2 2 4" xfId="38441" xr:uid="{00000000-0005-0000-0000-000050620000}"/>
    <cellStyle name="Normal 3 4 3 2 2 3 2 3" xfId="6564" xr:uid="{00000000-0005-0000-0000-000051620000}"/>
    <cellStyle name="Normal 3 4 3 2 2 3 2 3 2" xfId="26017" xr:uid="{00000000-0005-0000-0000-000052620000}"/>
    <cellStyle name="Normal 3 4 3 2 2 3 2 3 2 2" xfId="57888" xr:uid="{00000000-0005-0000-0000-000053620000}"/>
    <cellStyle name="Normal 3 4 3 2 2 3 2 3 3" xfId="38443" xr:uid="{00000000-0005-0000-0000-000054620000}"/>
    <cellStyle name="Normal 3 4 3 2 2 3 2 4" xfId="18139" xr:uid="{00000000-0005-0000-0000-000055620000}"/>
    <cellStyle name="Normal 3 4 3 2 2 3 2 4 2" xfId="50010" xr:uid="{00000000-0005-0000-0000-000056620000}"/>
    <cellStyle name="Normal 3 4 3 2 2 3 2 5" xfId="38440" xr:uid="{00000000-0005-0000-0000-000057620000}"/>
    <cellStyle name="Normal 3 4 3 2 2 3 3" xfId="6565" xr:uid="{00000000-0005-0000-0000-000058620000}"/>
    <cellStyle name="Normal 3 4 3 2 2 3 3 2" xfId="6566" xr:uid="{00000000-0005-0000-0000-000059620000}"/>
    <cellStyle name="Normal 3 4 3 2 2 3 3 2 2" xfId="29955" xr:uid="{00000000-0005-0000-0000-00005A620000}"/>
    <cellStyle name="Normal 3 4 3 2 2 3 3 2 2 2" xfId="61826" xr:uid="{00000000-0005-0000-0000-00005B620000}"/>
    <cellStyle name="Normal 3 4 3 2 2 3 3 2 3" xfId="38445" xr:uid="{00000000-0005-0000-0000-00005C620000}"/>
    <cellStyle name="Normal 3 4 3 2 2 3 3 3" xfId="22077" xr:uid="{00000000-0005-0000-0000-00005D620000}"/>
    <cellStyle name="Normal 3 4 3 2 2 3 3 3 2" xfId="53948" xr:uid="{00000000-0005-0000-0000-00005E620000}"/>
    <cellStyle name="Normal 3 4 3 2 2 3 3 4" xfId="38444" xr:uid="{00000000-0005-0000-0000-00005F620000}"/>
    <cellStyle name="Normal 3 4 3 2 2 3 4" xfId="6567" xr:uid="{00000000-0005-0000-0000-000060620000}"/>
    <cellStyle name="Normal 3 4 3 2 2 3 4 2" xfId="26016" xr:uid="{00000000-0005-0000-0000-000061620000}"/>
    <cellStyle name="Normal 3 4 3 2 2 3 4 2 2" xfId="57887" xr:uid="{00000000-0005-0000-0000-000062620000}"/>
    <cellStyle name="Normal 3 4 3 2 2 3 4 3" xfId="38446" xr:uid="{00000000-0005-0000-0000-000063620000}"/>
    <cellStyle name="Normal 3 4 3 2 2 3 5" xfId="18138" xr:uid="{00000000-0005-0000-0000-000064620000}"/>
    <cellStyle name="Normal 3 4 3 2 2 3 5 2" xfId="50009" xr:uid="{00000000-0005-0000-0000-000065620000}"/>
    <cellStyle name="Normal 3 4 3 2 2 3 6" xfId="38439" xr:uid="{00000000-0005-0000-0000-000066620000}"/>
    <cellStyle name="Normal 3 4 3 2 2 4" xfId="6568" xr:uid="{00000000-0005-0000-0000-000067620000}"/>
    <cellStyle name="Normal 3 4 3 2 2 4 2" xfId="6569" xr:uid="{00000000-0005-0000-0000-000068620000}"/>
    <cellStyle name="Normal 3 4 3 2 2 4 2 2" xfId="6570" xr:uid="{00000000-0005-0000-0000-000069620000}"/>
    <cellStyle name="Normal 3 4 3 2 2 4 2 2 2" xfId="29957" xr:uid="{00000000-0005-0000-0000-00006A620000}"/>
    <cellStyle name="Normal 3 4 3 2 2 4 2 2 2 2" xfId="61828" xr:uid="{00000000-0005-0000-0000-00006B620000}"/>
    <cellStyle name="Normal 3 4 3 2 2 4 2 2 3" xfId="38449" xr:uid="{00000000-0005-0000-0000-00006C620000}"/>
    <cellStyle name="Normal 3 4 3 2 2 4 2 3" xfId="22079" xr:uid="{00000000-0005-0000-0000-00006D620000}"/>
    <cellStyle name="Normal 3 4 3 2 2 4 2 3 2" xfId="53950" xr:uid="{00000000-0005-0000-0000-00006E620000}"/>
    <cellStyle name="Normal 3 4 3 2 2 4 2 4" xfId="38448" xr:uid="{00000000-0005-0000-0000-00006F620000}"/>
    <cellStyle name="Normal 3 4 3 2 2 4 3" xfId="6571" xr:uid="{00000000-0005-0000-0000-000070620000}"/>
    <cellStyle name="Normal 3 4 3 2 2 4 3 2" xfId="26018" xr:uid="{00000000-0005-0000-0000-000071620000}"/>
    <cellStyle name="Normal 3 4 3 2 2 4 3 2 2" xfId="57889" xr:uid="{00000000-0005-0000-0000-000072620000}"/>
    <cellStyle name="Normal 3 4 3 2 2 4 3 3" xfId="38450" xr:uid="{00000000-0005-0000-0000-000073620000}"/>
    <cellStyle name="Normal 3 4 3 2 2 4 4" xfId="18140" xr:uid="{00000000-0005-0000-0000-000074620000}"/>
    <cellStyle name="Normal 3 4 3 2 2 4 4 2" xfId="50011" xr:uid="{00000000-0005-0000-0000-000075620000}"/>
    <cellStyle name="Normal 3 4 3 2 2 4 5" xfId="38447" xr:uid="{00000000-0005-0000-0000-000076620000}"/>
    <cellStyle name="Normal 3 4 3 2 2 5" xfId="6572" xr:uid="{00000000-0005-0000-0000-000077620000}"/>
    <cellStyle name="Normal 3 4 3 2 2 5 2" xfId="6573" xr:uid="{00000000-0005-0000-0000-000078620000}"/>
    <cellStyle name="Normal 3 4 3 2 2 5 2 2" xfId="29950" xr:uid="{00000000-0005-0000-0000-000079620000}"/>
    <cellStyle name="Normal 3 4 3 2 2 5 2 2 2" xfId="61821" xr:uid="{00000000-0005-0000-0000-00007A620000}"/>
    <cellStyle name="Normal 3 4 3 2 2 5 2 3" xfId="38452" xr:uid="{00000000-0005-0000-0000-00007B620000}"/>
    <cellStyle name="Normal 3 4 3 2 2 5 3" xfId="22072" xr:uid="{00000000-0005-0000-0000-00007C620000}"/>
    <cellStyle name="Normal 3 4 3 2 2 5 3 2" xfId="53943" xr:uid="{00000000-0005-0000-0000-00007D620000}"/>
    <cellStyle name="Normal 3 4 3 2 2 5 4" xfId="38451" xr:uid="{00000000-0005-0000-0000-00007E620000}"/>
    <cellStyle name="Normal 3 4 3 2 2 6" xfId="6574" xr:uid="{00000000-0005-0000-0000-00007F620000}"/>
    <cellStyle name="Normal 3 4 3 2 2 6 2" xfId="26011" xr:uid="{00000000-0005-0000-0000-000080620000}"/>
    <cellStyle name="Normal 3 4 3 2 2 6 2 2" xfId="57882" xr:uid="{00000000-0005-0000-0000-000081620000}"/>
    <cellStyle name="Normal 3 4 3 2 2 6 3" xfId="38453" xr:uid="{00000000-0005-0000-0000-000082620000}"/>
    <cellStyle name="Normal 3 4 3 2 2 7" xfId="18133" xr:uid="{00000000-0005-0000-0000-000083620000}"/>
    <cellStyle name="Normal 3 4 3 2 2 7 2" xfId="50004" xr:uid="{00000000-0005-0000-0000-000084620000}"/>
    <cellStyle name="Normal 3 4 3 2 2 8" xfId="38422" xr:uid="{00000000-0005-0000-0000-000085620000}"/>
    <cellStyle name="Normal 3 4 3 2 3" xfId="6575" xr:uid="{00000000-0005-0000-0000-000086620000}"/>
    <cellStyle name="Normal 3 4 3 2 3 2" xfId="6576" xr:uid="{00000000-0005-0000-0000-000087620000}"/>
    <cellStyle name="Normal 3 4 3 2 3 2 2" xfId="6577" xr:uid="{00000000-0005-0000-0000-000088620000}"/>
    <cellStyle name="Normal 3 4 3 2 3 2 2 2" xfId="6578" xr:uid="{00000000-0005-0000-0000-000089620000}"/>
    <cellStyle name="Normal 3 4 3 2 3 2 2 2 2" xfId="6579" xr:uid="{00000000-0005-0000-0000-00008A620000}"/>
    <cellStyle name="Normal 3 4 3 2 3 2 2 2 2 2" xfId="29960" xr:uid="{00000000-0005-0000-0000-00008B620000}"/>
    <cellStyle name="Normal 3 4 3 2 3 2 2 2 2 2 2" xfId="61831" xr:uid="{00000000-0005-0000-0000-00008C620000}"/>
    <cellStyle name="Normal 3 4 3 2 3 2 2 2 2 3" xfId="38458" xr:uid="{00000000-0005-0000-0000-00008D620000}"/>
    <cellStyle name="Normal 3 4 3 2 3 2 2 2 3" xfId="22082" xr:uid="{00000000-0005-0000-0000-00008E620000}"/>
    <cellStyle name="Normal 3 4 3 2 3 2 2 2 3 2" xfId="53953" xr:uid="{00000000-0005-0000-0000-00008F620000}"/>
    <cellStyle name="Normal 3 4 3 2 3 2 2 2 4" xfId="38457" xr:uid="{00000000-0005-0000-0000-000090620000}"/>
    <cellStyle name="Normal 3 4 3 2 3 2 2 3" xfId="6580" xr:uid="{00000000-0005-0000-0000-000091620000}"/>
    <cellStyle name="Normal 3 4 3 2 3 2 2 3 2" xfId="26021" xr:uid="{00000000-0005-0000-0000-000092620000}"/>
    <cellStyle name="Normal 3 4 3 2 3 2 2 3 2 2" xfId="57892" xr:uid="{00000000-0005-0000-0000-000093620000}"/>
    <cellStyle name="Normal 3 4 3 2 3 2 2 3 3" xfId="38459" xr:uid="{00000000-0005-0000-0000-000094620000}"/>
    <cellStyle name="Normal 3 4 3 2 3 2 2 4" xfId="18143" xr:uid="{00000000-0005-0000-0000-000095620000}"/>
    <cellStyle name="Normal 3 4 3 2 3 2 2 4 2" xfId="50014" xr:uid="{00000000-0005-0000-0000-000096620000}"/>
    <cellStyle name="Normal 3 4 3 2 3 2 2 5" xfId="38456" xr:uid="{00000000-0005-0000-0000-000097620000}"/>
    <cellStyle name="Normal 3 4 3 2 3 2 3" xfId="6581" xr:uid="{00000000-0005-0000-0000-000098620000}"/>
    <cellStyle name="Normal 3 4 3 2 3 2 3 2" xfId="6582" xr:uid="{00000000-0005-0000-0000-000099620000}"/>
    <cellStyle name="Normal 3 4 3 2 3 2 3 2 2" xfId="29959" xr:uid="{00000000-0005-0000-0000-00009A620000}"/>
    <cellStyle name="Normal 3 4 3 2 3 2 3 2 2 2" xfId="61830" xr:uid="{00000000-0005-0000-0000-00009B620000}"/>
    <cellStyle name="Normal 3 4 3 2 3 2 3 2 3" xfId="38461" xr:uid="{00000000-0005-0000-0000-00009C620000}"/>
    <cellStyle name="Normal 3 4 3 2 3 2 3 3" xfId="22081" xr:uid="{00000000-0005-0000-0000-00009D620000}"/>
    <cellStyle name="Normal 3 4 3 2 3 2 3 3 2" xfId="53952" xr:uid="{00000000-0005-0000-0000-00009E620000}"/>
    <cellStyle name="Normal 3 4 3 2 3 2 3 4" xfId="38460" xr:uid="{00000000-0005-0000-0000-00009F620000}"/>
    <cellStyle name="Normal 3 4 3 2 3 2 4" xfId="6583" xr:uid="{00000000-0005-0000-0000-0000A0620000}"/>
    <cellStyle name="Normal 3 4 3 2 3 2 4 2" xfId="26020" xr:uid="{00000000-0005-0000-0000-0000A1620000}"/>
    <cellStyle name="Normal 3 4 3 2 3 2 4 2 2" xfId="57891" xr:uid="{00000000-0005-0000-0000-0000A2620000}"/>
    <cellStyle name="Normal 3 4 3 2 3 2 4 3" xfId="38462" xr:uid="{00000000-0005-0000-0000-0000A3620000}"/>
    <cellStyle name="Normal 3 4 3 2 3 2 5" xfId="18142" xr:uid="{00000000-0005-0000-0000-0000A4620000}"/>
    <cellStyle name="Normal 3 4 3 2 3 2 5 2" xfId="50013" xr:uid="{00000000-0005-0000-0000-0000A5620000}"/>
    <cellStyle name="Normal 3 4 3 2 3 2 6" xfId="38455" xr:uid="{00000000-0005-0000-0000-0000A6620000}"/>
    <cellStyle name="Normal 3 4 3 2 3 3" xfId="6584" xr:uid="{00000000-0005-0000-0000-0000A7620000}"/>
    <cellStyle name="Normal 3 4 3 2 3 3 2" xfId="6585" xr:uid="{00000000-0005-0000-0000-0000A8620000}"/>
    <cellStyle name="Normal 3 4 3 2 3 3 2 2" xfId="6586" xr:uid="{00000000-0005-0000-0000-0000A9620000}"/>
    <cellStyle name="Normal 3 4 3 2 3 3 2 2 2" xfId="29961" xr:uid="{00000000-0005-0000-0000-0000AA620000}"/>
    <cellStyle name="Normal 3 4 3 2 3 3 2 2 2 2" xfId="61832" xr:uid="{00000000-0005-0000-0000-0000AB620000}"/>
    <cellStyle name="Normal 3 4 3 2 3 3 2 2 3" xfId="38465" xr:uid="{00000000-0005-0000-0000-0000AC620000}"/>
    <cellStyle name="Normal 3 4 3 2 3 3 2 3" xfId="22083" xr:uid="{00000000-0005-0000-0000-0000AD620000}"/>
    <cellStyle name="Normal 3 4 3 2 3 3 2 3 2" xfId="53954" xr:uid="{00000000-0005-0000-0000-0000AE620000}"/>
    <cellStyle name="Normal 3 4 3 2 3 3 2 4" xfId="38464" xr:uid="{00000000-0005-0000-0000-0000AF620000}"/>
    <cellStyle name="Normal 3 4 3 2 3 3 3" xfId="6587" xr:uid="{00000000-0005-0000-0000-0000B0620000}"/>
    <cellStyle name="Normal 3 4 3 2 3 3 3 2" xfId="26022" xr:uid="{00000000-0005-0000-0000-0000B1620000}"/>
    <cellStyle name="Normal 3 4 3 2 3 3 3 2 2" xfId="57893" xr:uid="{00000000-0005-0000-0000-0000B2620000}"/>
    <cellStyle name="Normal 3 4 3 2 3 3 3 3" xfId="38466" xr:uid="{00000000-0005-0000-0000-0000B3620000}"/>
    <cellStyle name="Normal 3 4 3 2 3 3 4" xfId="18144" xr:uid="{00000000-0005-0000-0000-0000B4620000}"/>
    <cellStyle name="Normal 3 4 3 2 3 3 4 2" xfId="50015" xr:uid="{00000000-0005-0000-0000-0000B5620000}"/>
    <cellStyle name="Normal 3 4 3 2 3 3 5" xfId="38463" xr:uid="{00000000-0005-0000-0000-0000B6620000}"/>
    <cellStyle name="Normal 3 4 3 2 3 4" xfId="6588" xr:uid="{00000000-0005-0000-0000-0000B7620000}"/>
    <cellStyle name="Normal 3 4 3 2 3 4 2" xfId="6589" xr:uid="{00000000-0005-0000-0000-0000B8620000}"/>
    <cellStyle name="Normal 3 4 3 2 3 4 2 2" xfId="29958" xr:uid="{00000000-0005-0000-0000-0000B9620000}"/>
    <cellStyle name="Normal 3 4 3 2 3 4 2 2 2" xfId="61829" xr:uid="{00000000-0005-0000-0000-0000BA620000}"/>
    <cellStyle name="Normal 3 4 3 2 3 4 2 3" xfId="38468" xr:uid="{00000000-0005-0000-0000-0000BB620000}"/>
    <cellStyle name="Normal 3 4 3 2 3 4 3" xfId="22080" xr:uid="{00000000-0005-0000-0000-0000BC620000}"/>
    <cellStyle name="Normal 3 4 3 2 3 4 3 2" xfId="53951" xr:uid="{00000000-0005-0000-0000-0000BD620000}"/>
    <cellStyle name="Normal 3 4 3 2 3 4 4" xfId="38467" xr:uid="{00000000-0005-0000-0000-0000BE620000}"/>
    <cellStyle name="Normal 3 4 3 2 3 5" xfId="6590" xr:uid="{00000000-0005-0000-0000-0000BF620000}"/>
    <cellStyle name="Normal 3 4 3 2 3 5 2" xfId="26019" xr:uid="{00000000-0005-0000-0000-0000C0620000}"/>
    <cellStyle name="Normal 3 4 3 2 3 5 2 2" xfId="57890" xr:uid="{00000000-0005-0000-0000-0000C1620000}"/>
    <cellStyle name="Normal 3 4 3 2 3 5 3" xfId="38469" xr:uid="{00000000-0005-0000-0000-0000C2620000}"/>
    <cellStyle name="Normal 3 4 3 2 3 6" xfId="18141" xr:uid="{00000000-0005-0000-0000-0000C3620000}"/>
    <cellStyle name="Normal 3 4 3 2 3 6 2" xfId="50012" xr:uid="{00000000-0005-0000-0000-0000C4620000}"/>
    <cellStyle name="Normal 3 4 3 2 3 7" xfId="38454" xr:uid="{00000000-0005-0000-0000-0000C5620000}"/>
    <cellStyle name="Normal 3 4 3 2 4" xfId="6591" xr:uid="{00000000-0005-0000-0000-0000C6620000}"/>
    <cellStyle name="Normal 3 4 3 2 4 2" xfId="6592" xr:uid="{00000000-0005-0000-0000-0000C7620000}"/>
    <cellStyle name="Normal 3 4 3 2 4 2 2" xfId="6593" xr:uid="{00000000-0005-0000-0000-0000C8620000}"/>
    <cellStyle name="Normal 3 4 3 2 4 2 2 2" xfId="6594" xr:uid="{00000000-0005-0000-0000-0000C9620000}"/>
    <cellStyle name="Normal 3 4 3 2 4 2 2 2 2" xfId="29963" xr:uid="{00000000-0005-0000-0000-0000CA620000}"/>
    <cellStyle name="Normal 3 4 3 2 4 2 2 2 2 2" xfId="61834" xr:uid="{00000000-0005-0000-0000-0000CB620000}"/>
    <cellStyle name="Normal 3 4 3 2 4 2 2 2 3" xfId="38473" xr:uid="{00000000-0005-0000-0000-0000CC620000}"/>
    <cellStyle name="Normal 3 4 3 2 4 2 2 3" xfId="22085" xr:uid="{00000000-0005-0000-0000-0000CD620000}"/>
    <cellStyle name="Normal 3 4 3 2 4 2 2 3 2" xfId="53956" xr:uid="{00000000-0005-0000-0000-0000CE620000}"/>
    <cellStyle name="Normal 3 4 3 2 4 2 2 4" xfId="38472" xr:uid="{00000000-0005-0000-0000-0000CF620000}"/>
    <cellStyle name="Normal 3 4 3 2 4 2 3" xfId="6595" xr:uid="{00000000-0005-0000-0000-0000D0620000}"/>
    <cellStyle name="Normal 3 4 3 2 4 2 3 2" xfId="26024" xr:uid="{00000000-0005-0000-0000-0000D1620000}"/>
    <cellStyle name="Normal 3 4 3 2 4 2 3 2 2" xfId="57895" xr:uid="{00000000-0005-0000-0000-0000D2620000}"/>
    <cellStyle name="Normal 3 4 3 2 4 2 3 3" xfId="38474" xr:uid="{00000000-0005-0000-0000-0000D3620000}"/>
    <cellStyle name="Normal 3 4 3 2 4 2 4" xfId="18146" xr:uid="{00000000-0005-0000-0000-0000D4620000}"/>
    <cellStyle name="Normal 3 4 3 2 4 2 4 2" xfId="50017" xr:uid="{00000000-0005-0000-0000-0000D5620000}"/>
    <cellStyle name="Normal 3 4 3 2 4 2 5" xfId="38471" xr:uid="{00000000-0005-0000-0000-0000D6620000}"/>
    <cellStyle name="Normal 3 4 3 2 4 3" xfId="6596" xr:uid="{00000000-0005-0000-0000-0000D7620000}"/>
    <cellStyle name="Normal 3 4 3 2 4 3 2" xfId="6597" xr:uid="{00000000-0005-0000-0000-0000D8620000}"/>
    <cellStyle name="Normal 3 4 3 2 4 3 2 2" xfId="29962" xr:uid="{00000000-0005-0000-0000-0000D9620000}"/>
    <cellStyle name="Normal 3 4 3 2 4 3 2 2 2" xfId="61833" xr:uid="{00000000-0005-0000-0000-0000DA620000}"/>
    <cellStyle name="Normal 3 4 3 2 4 3 2 3" xfId="38476" xr:uid="{00000000-0005-0000-0000-0000DB620000}"/>
    <cellStyle name="Normal 3 4 3 2 4 3 3" xfId="22084" xr:uid="{00000000-0005-0000-0000-0000DC620000}"/>
    <cellStyle name="Normal 3 4 3 2 4 3 3 2" xfId="53955" xr:uid="{00000000-0005-0000-0000-0000DD620000}"/>
    <cellStyle name="Normal 3 4 3 2 4 3 4" xfId="38475" xr:uid="{00000000-0005-0000-0000-0000DE620000}"/>
    <cellStyle name="Normal 3 4 3 2 4 4" xfId="6598" xr:uid="{00000000-0005-0000-0000-0000DF620000}"/>
    <cellStyle name="Normal 3 4 3 2 4 4 2" xfId="26023" xr:uid="{00000000-0005-0000-0000-0000E0620000}"/>
    <cellStyle name="Normal 3 4 3 2 4 4 2 2" xfId="57894" xr:uid="{00000000-0005-0000-0000-0000E1620000}"/>
    <cellStyle name="Normal 3 4 3 2 4 4 3" xfId="38477" xr:uid="{00000000-0005-0000-0000-0000E2620000}"/>
    <cellStyle name="Normal 3 4 3 2 4 5" xfId="18145" xr:uid="{00000000-0005-0000-0000-0000E3620000}"/>
    <cellStyle name="Normal 3 4 3 2 4 5 2" xfId="50016" xr:uid="{00000000-0005-0000-0000-0000E4620000}"/>
    <cellStyle name="Normal 3 4 3 2 4 6" xfId="38470" xr:uid="{00000000-0005-0000-0000-0000E5620000}"/>
    <cellStyle name="Normal 3 4 3 2 5" xfId="6599" xr:uid="{00000000-0005-0000-0000-0000E6620000}"/>
    <cellStyle name="Normal 3 4 3 2 5 2" xfId="6600" xr:uid="{00000000-0005-0000-0000-0000E7620000}"/>
    <cellStyle name="Normal 3 4 3 2 5 2 2" xfId="6601" xr:uid="{00000000-0005-0000-0000-0000E8620000}"/>
    <cellStyle name="Normal 3 4 3 2 5 2 2 2" xfId="29964" xr:uid="{00000000-0005-0000-0000-0000E9620000}"/>
    <cellStyle name="Normal 3 4 3 2 5 2 2 2 2" xfId="61835" xr:uid="{00000000-0005-0000-0000-0000EA620000}"/>
    <cellStyle name="Normal 3 4 3 2 5 2 2 3" xfId="38480" xr:uid="{00000000-0005-0000-0000-0000EB620000}"/>
    <cellStyle name="Normal 3 4 3 2 5 2 3" xfId="22086" xr:uid="{00000000-0005-0000-0000-0000EC620000}"/>
    <cellStyle name="Normal 3 4 3 2 5 2 3 2" xfId="53957" xr:uid="{00000000-0005-0000-0000-0000ED620000}"/>
    <cellStyle name="Normal 3 4 3 2 5 2 4" xfId="38479" xr:uid="{00000000-0005-0000-0000-0000EE620000}"/>
    <cellStyle name="Normal 3 4 3 2 5 3" xfId="6602" xr:uid="{00000000-0005-0000-0000-0000EF620000}"/>
    <cellStyle name="Normal 3 4 3 2 5 3 2" xfId="26025" xr:uid="{00000000-0005-0000-0000-0000F0620000}"/>
    <cellStyle name="Normal 3 4 3 2 5 3 2 2" xfId="57896" xr:uid="{00000000-0005-0000-0000-0000F1620000}"/>
    <cellStyle name="Normal 3 4 3 2 5 3 3" xfId="38481" xr:uid="{00000000-0005-0000-0000-0000F2620000}"/>
    <cellStyle name="Normal 3 4 3 2 5 4" xfId="18147" xr:uid="{00000000-0005-0000-0000-0000F3620000}"/>
    <cellStyle name="Normal 3 4 3 2 5 4 2" xfId="50018" xr:uid="{00000000-0005-0000-0000-0000F4620000}"/>
    <cellStyle name="Normal 3 4 3 2 5 5" xfId="38478" xr:uid="{00000000-0005-0000-0000-0000F5620000}"/>
    <cellStyle name="Normal 3 4 3 2 6" xfId="6603" xr:uid="{00000000-0005-0000-0000-0000F6620000}"/>
    <cellStyle name="Normal 3 4 3 2 6 2" xfId="6604" xr:uid="{00000000-0005-0000-0000-0000F7620000}"/>
    <cellStyle name="Normal 3 4 3 2 6 2 2" xfId="28430" xr:uid="{00000000-0005-0000-0000-0000F8620000}"/>
    <cellStyle name="Normal 3 4 3 2 6 2 2 2" xfId="60301" xr:uid="{00000000-0005-0000-0000-0000F9620000}"/>
    <cellStyle name="Normal 3 4 3 2 6 2 3" xfId="38483" xr:uid="{00000000-0005-0000-0000-0000FA620000}"/>
    <cellStyle name="Normal 3 4 3 2 6 3" xfId="20552" xr:uid="{00000000-0005-0000-0000-0000FB620000}"/>
    <cellStyle name="Normal 3 4 3 2 6 3 2" xfId="52423" xr:uid="{00000000-0005-0000-0000-0000FC620000}"/>
    <cellStyle name="Normal 3 4 3 2 6 4" xfId="38482" xr:uid="{00000000-0005-0000-0000-0000FD620000}"/>
    <cellStyle name="Normal 3 4 3 2 7" xfId="6605" xr:uid="{00000000-0005-0000-0000-0000FE620000}"/>
    <cellStyle name="Normal 3 4 3 2 7 2" xfId="24491" xr:uid="{00000000-0005-0000-0000-0000FF620000}"/>
    <cellStyle name="Normal 3 4 3 2 7 2 2" xfId="56362" xr:uid="{00000000-0005-0000-0000-000000630000}"/>
    <cellStyle name="Normal 3 4 3 2 7 3" xfId="38484" xr:uid="{00000000-0005-0000-0000-000001630000}"/>
    <cellStyle name="Normal 3 4 3 2 8" xfId="16613" xr:uid="{00000000-0005-0000-0000-000002630000}"/>
    <cellStyle name="Normal 3 4 3 2 8 2" xfId="48484" xr:uid="{00000000-0005-0000-0000-000003630000}"/>
    <cellStyle name="Normal 3 4 3 2 9" xfId="38421" xr:uid="{00000000-0005-0000-0000-000004630000}"/>
    <cellStyle name="Normal 3 4 3 3" xfId="6606" xr:uid="{00000000-0005-0000-0000-000005630000}"/>
    <cellStyle name="Normal 3 4 3 3 2" xfId="6607" xr:uid="{00000000-0005-0000-0000-000006630000}"/>
    <cellStyle name="Normal 3 4 3 3 2 2" xfId="6608" xr:uid="{00000000-0005-0000-0000-000007630000}"/>
    <cellStyle name="Normal 3 4 3 3 2 2 2" xfId="6609" xr:uid="{00000000-0005-0000-0000-000008630000}"/>
    <cellStyle name="Normal 3 4 3 3 2 2 2 2" xfId="6610" xr:uid="{00000000-0005-0000-0000-000009630000}"/>
    <cellStyle name="Normal 3 4 3 3 2 2 2 2 2" xfId="6611" xr:uid="{00000000-0005-0000-0000-00000A630000}"/>
    <cellStyle name="Normal 3 4 3 3 2 2 2 2 2 2" xfId="29968" xr:uid="{00000000-0005-0000-0000-00000B630000}"/>
    <cellStyle name="Normal 3 4 3 3 2 2 2 2 2 2 2" xfId="61839" xr:uid="{00000000-0005-0000-0000-00000C630000}"/>
    <cellStyle name="Normal 3 4 3 3 2 2 2 2 2 3" xfId="38490" xr:uid="{00000000-0005-0000-0000-00000D630000}"/>
    <cellStyle name="Normal 3 4 3 3 2 2 2 2 3" xfId="22090" xr:uid="{00000000-0005-0000-0000-00000E630000}"/>
    <cellStyle name="Normal 3 4 3 3 2 2 2 2 3 2" xfId="53961" xr:uid="{00000000-0005-0000-0000-00000F630000}"/>
    <cellStyle name="Normal 3 4 3 3 2 2 2 2 4" xfId="38489" xr:uid="{00000000-0005-0000-0000-000010630000}"/>
    <cellStyle name="Normal 3 4 3 3 2 2 2 3" xfId="6612" xr:uid="{00000000-0005-0000-0000-000011630000}"/>
    <cellStyle name="Normal 3 4 3 3 2 2 2 3 2" xfId="26029" xr:uid="{00000000-0005-0000-0000-000012630000}"/>
    <cellStyle name="Normal 3 4 3 3 2 2 2 3 2 2" xfId="57900" xr:uid="{00000000-0005-0000-0000-000013630000}"/>
    <cellStyle name="Normal 3 4 3 3 2 2 2 3 3" xfId="38491" xr:uid="{00000000-0005-0000-0000-000014630000}"/>
    <cellStyle name="Normal 3 4 3 3 2 2 2 4" xfId="18151" xr:uid="{00000000-0005-0000-0000-000015630000}"/>
    <cellStyle name="Normal 3 4 3 3 2 2 2 4 2" xfId="50022" xr:uid="{00000000-0005-0000-0000-000016630000}"/>
    <cellStyle name="Normal 3 4 3 3 2 2 2 5" xfId="38488" xr:uid="{00000000-0005-0000-0000-000017630000}"/>
    <cellStyle name="Normal 3 4 3 3 2 2 3" xfId="6613" xr:uid="{00000000-0005-0000-0000-000018630000}"/>
    <cellStyle name="Normal 3 4 3 3 2 2 3 2" xfId="6614" xr:uid="{00000000-0005-0000-0000-000019630000}"/>
    <cellStyle name="Normal 3 4 3 3 2 2 3 2 2" xfId="29967" xr:uid="{00000000-0005-0000-0000-00001A630000}"/>
    <cellStyle name="Normal 3 4 3 3 2 2 3 2 2 2" xfId="61838" xr:uid="{00000000-0005-0000-0000-00001B630000}"/>
    <cellStyle name="Normal 3 4 3 3 2 2 3 2 3" xfId="38493" xr:uid="{00000000-0005-0000-0000-00001C630000}"/>
    <cellStyle name="Normal 3 4 3 3 2 2 3 3" xfId="22089" xr:uid="{00000000-0005-0000-0000-00001D630000}"/>
    <cellStyle name="Normal 3 4 3 3 2 2 3 3 2" xfId="53960" xr:uid="{00000000-0005-0000-0000-00001E630000}"/>
    <cellStyle name="Normal 3 4 3 3 2 2 3 4" xfId="38492" xr:uid="{00000000-0005-0000-0000-00001F630000}"/>
    <cellStyle name="Normal 3 4 3 3 2 2 4" xfId="6615" xr:uid="{00000000-0005-0000-0000-000020630000}"/>
    <cellStyle name="Normal 3 4 3 3 2 2 4 2" xfId="26028" xr:uid="{00000000-0005-0000-0000-000021630000}"/>
    <cellStyle name="Normal 3 4 3 3 2 2 4 2 2" xfId="57899" xr:uid="{00000000-0005-0000-0000-000022630000}"/>
    <cellStyle name="Normal 3 4 3 3 2 2 4 3" xfId="38494" xr:uid="{00000000-0005-0000-0000-000023630000}"/>
    <cellStyle name="Normal 3 4 3 3 2 2 5" xfId="18150" xr:uid="{00000000-0005-0000-0000-000024630000}"/>
    <cellStyle name="Normal 3 4 3 3 2 2 5 2" xfId="50021" xr:uid="{00000000-0005-0000-0000-000025630000}"/>
    <cellStyle name="Normal 3 4 3 3 2 2 6" xfId="38487" xr:uid="{00000000-0005-0000-0000-000026630000}"/>
    <cellStyle name="Normal 3 4 3 3 2 3" xfId="6616" xr:uid="{00000000-0005-0000-0000-000027630000}"/>
    <cellStyle name="Normal 3 4 3 3 2 3 2" xfId="6617" xr:uid="{00000000-0005-0000-0000-000028630000}"/>
    <cellStyle name="Normal 3 4 3 3 2 3 2 2" xfId="6618" xr:uid="{00000000-0005-0000-0000-000029630000}"/>
    <cellStyle name="Normal 3 4 3 3 2 3 2 2 2" xfId="29969" xr:uid="{00000000-0005-0000-0000-00002A630000}"/>
    <cellStyle name="Normal 3 4 3 3 2 3 2 2 2 2" xfId="61840" xr:uid="{00000000-0005-0000-0000-00002B630000}"/>
    <cellStyle name="Normal 3 4 3 3 2 3 2 2 3" xfId="38497" xr:uid="{00000000-0005-0000-0000-00002C630000}"/>
    <cellStyle name="Normal 3 4 3 3 2 3 2 3" xfId="22091" xr:uid="{00000000-0005-0000-0000-00002D630000}"/>
    <cellStyle name="Normal 3 4 3 3 2 3 2 3 2" xfId="53962" xr:uid="{00000000-0005-0000-0000-00002E630000}"/>
    <cellStyle name="Normal 3 4 3 3 2 3 2 4" xfId="38496" xr:uid="{00000000-0005-0000-0000-00002F630000}"/>
    <cellStyle name="Normal 3 4 3 3 2 3 3" xfId="6619" xr:uid="{00000000-0005-0000-0000-000030630000}"/>
    <cellStyle name="Normal 3 4 3 3 2 3 3 2" xfId="26030" xr:uid="{00000000-0005-0000-0000-000031630000}"/>
    <cellStyle name="Normal 3 4 3 3 2 3 3 2 2" xfId="57901" xr:uid="{00000000-0005-0000-0000-000032630000}"/>
    <cellStyle name="Normal 3 4 3 3 2 3 3 3" xfId="38498" xr:uid="{00000000-0005-0000-0000-000033630000}"/>
    <cellStyle name="Normal 3 4 3 3 2 3 4" xfId="18152" xr:uid="{00000000-0005-0000-0000-000034630000}"/>
    <cellStyle name="Normal 3 4 3 3 2 3 4 2" xfId="50023" xr:uid="{00000000-0005-0000-0000-000035630000}"/>
    <cellStyle name="Normal 3 4 3 3 2 3 5" xfId="38495" xr:uid="{00000000-0005-0000-0000-000036630000}"/>
    <cellStyle name="Normal 3 4 3 3 2 4" xfId="6620" xr:uid="{00000000-0005-0000-0000-000037630000}"/>
    <cellStyle name="Normal 3 4 3 3 2 4 2" xfId="6621" xr:uid="{00000000-0005-0000-0000-000038630000}"/>
    <cellStyle name="Normal 3 4 3 3 2 4 2 2" xfId="29966" xr:uid="{00000000-0005-0000-0000-000039630000}"/>
    <cellStyle name="Normal 3 4 3 3 2 4 2 2 2" xfId="61837" xr:uid="{00000000-0005-0000-0000-00003A630000}"/>
    <cellStyle name="Normal 3 4 3 3 2 4 2 3" xfId="38500" xr:uid="{00000000-0005-0000-0000-00003B630000}"/>
    <cellStyle name="Normal 3 4 3 3 2 4 3" xfId="22088" xr:uid="{00000000-0005-0000-0000-00003C630000}"/>
    <cellStyle name="Normal 3 4 3 3 2 4 3 2" xfId="53959" xr:uid="{00000000-0005-0000-0000-00003D630000}"/>
    <cellStyle name="Normal 3 4 3 3 2 4 4" xfId="38499" xr:uid="{00000000-0005-0000-0000-00003E630000}"/>
    <cellStyle name="Normal 3 4 3 3 2 5" xfId="6622" xr:uid="{00000000-0005-0000-0000-00003F630000}"/>
    <cellStyle name="Normal 3 4 3 3 2 5 2" xfId="26027" xr:uid="{00000000-0005-0000-0000-000040630000}"/>
    <cellStyle name="Normal 3 4 3 3 2 5 2 2" xfId="57898" xr:uid="{00000000-0005-0000-0000-000041630000}"/>
    <cellStyle name="Normal 3 4 3 3 2 5 3" xfId="38501" xr:uid="{00000000-0005-0000-0000-000042630000}"/>
    <cellStyle name="Normal 3 4 3 3 2 6" xfId="18149" xr:uid="{00000000-0005-0000-0000-000043630000}"/>
    <cellStyle name="Normal 3 4 3 3 2 6 2" xfId="50020" xr:uid="{00000000-0005-0000-0000-000044630000}"/>
    <cellStyle name="Normal 3 4 3 3 2 7" xfId="38486" xr:uid="{00000000-0005-0000-0000-000045630000}"/>
    <cellStyle name="Normal 3 4 3 3 3" xfId="6623" xr:uid="{00000000-0005-0000-0000-000046630000}"/>
    <cellStyle name="Normal 3 4 3 3 3 2" xfId="6624" xr:uid="{00000000-0005-0000-0000-000047630000}"/>
    <cellStyle name="Normal 3 4 3 3 3 2 2" xfId="6625" xr:uid="{00000000-0005-0000-0000-000048630000}"/>
    <cellStyle name="Normal 3 4 3 3 3 2 2 2" xfId="6626" xr:uid="{00000000-0005-0000-0000-000049630000}"/>
    <cellStyle name="Normal 3 4 3 3 3 2 2 2 2" xfId="29971" xr:uid="{00000000-0005-0000-0000-00004A630000}"/>
    <cellStyle name="Normal 3 4 3 3 3 2 2 2 2 2" xfId="61842" xr:uid="{00000000-0005-0000-0000-00004B630000}"/>
    <cellStyle name="Normal 3 4 3 3 3 2 2 2 3" xfId="38505" xr:uid="{00000000-0005-0000-0000-00004C630000}"/>
    <cellStyle name="Normal 3 4 3 3 3 2 2 3" xfId="22093" xr:uid="{00000000-0005-0000-0000-00004D630000}"/>
    <cellStyle name="Normal 3 4 3 3 3 2 2 3 2" xfId="53964" xr:uid="{00000000-0005-0000-0000-00004E630000}"/>
    <cellStyle name="Normal 3 4 3 3 3 2 2 4" xfId="38504" xr:uid="{00000000-0005-0000-0000-00004F630000}"/>
    <cellStyle name="Normal 3 4 3 3 3 2 3" xfId="6627" xr:uid="{00000000-0005-0000-0000-000050630000}"/>
    <cellStyle name="Normal 3 4 3 3 3 2 3 2" xfId="26032" xr:uid="{00000000-0005-0000-0000-000051630000}"/>
    <cellStyle name="Normal 3 4 3 3 3 2 3 2 2" xfId="57903" xr:uid="{00000000-0005-0000-0000-000052630000}"/>
    <cellStyle name="Normal 3 4 3 3 3 2 3 3" xfId="38506" xr:uid="{00000000-0005-0000-0000-000053630000}"/>
    <cellStyle name="Normal 3 4 3 3 3 2 4" xfId="18154" xr:uid="{00000000-0005-0000-0000-000054630000}"/>
    <cellStyle name="Normal 3 4 3 3 3 2 4 2" xfId="50025" xr:uid="{00000000-0005-0000-0000-000055630000}"/>
    <cellStyle name="Normal 3 4 3 3 3 2 5" xfId="38503" xr:uid="{00000000-0005-0000-0000-000056630000}"/>
    <cellStyle name="Normal 3 4 3 3 3 3" xfId="6628" xr:uid="{00000000-0005-0000-0000-000057630000}"/>
    <cellStyle name="Normal 3 4 3 3 3 3 2" xfId="6629" xr:uid="{00000000-0005-0000-0000-000058630000}"/>
    <cellStyle name="Normal 3 4 3 3 3 3 2 2" xfId="29970" xr:uid="{00000000-0005-0000-0000-000059630000}"/>
    <cellStyle name="Normal 3 4 3 3 3 3 2 2 2" xfId="61841" xr:uid="{00000000-0005-0000-0000-00005A630000}"/>
    <cellStyle name="Normal 3 4 3 3 3 3 2 3" xfId="38508" xr:uid="{00000000-0005-0000-0000-00005B630000}"/>
    <cellStyle name="Normal 3 4 3 3 3 3 3" xfId="22092" xr:uid="{00000000-0005-0000-0000-00005C630000}"/>
    <cellStyle name="Normal 3 4 3 3 3 3 3 2" xfId="53963" xr:uid="{00000000-0005-0000-0000-00005D630000}"/>
    <cellStyle name="Normal 3 4 3 3 3 3 4" xfId="38507" xr:uid="{00000000-0005-0000-0000-00005E630000}"/>
    <cellStyle name="Normal 3 4 3 3 3 4" xfId="6630" xr:uid="{00000000-0005-0000-0000-00005F630000}"/>
    <cellStyle name="Normal 3 4 3 3 3 4 2" xfId="26031" xr:uid="{00000000-0005-0000-0000-000060630000}"/>
    <cellStyle name="Normal 3 4 3 3 3 4 2 2" xfId="57902" xr:uid="{00000000-0005-0000-0000-000061630000}"/>
    <cellStyle name="Normal 3 4 3 3 3 4 3" xfId="38509" xr:uid="{00000000-0005-0000-0000-000062630000}"/>
    <cellStyle name="Normal 3 4 3 3 3 5" xfId="18153" xr:uid="{00000000-0005-0000-0000-000063630000}"/>
    <cellStyle name="Normal 3 4 3 3 3 5 2" xfId="50024" xr:uid="{00000000-0005-0000-0000-000064630000}"/>
    <cellStyle name="Normal 3 4 3 3 3 6" xfId="38502" xr:uid="{00000000-0005-0000-0000-000065630000}"/>
    <cellStyle name="Normal 3 4 3 3 4" xfId="6631" xr:uid="{00000000-0005-0000-0000-000066630000}"/>
    <cellStyle name="Normal 3 4 3 3 4 2" xfId="6632" xr:uid="{00000000-0005-0000-0000-000067630000}"/>
    <cellStyle name="Normal 3 4 3 3 4 2 2" xfId="6633" xr:uid="{00000000-0005-0000-0000-000068630000}"/>
    <cellStyle name="Normal 3 4 3 3 4 2 2 2" xfId="29972" xr:uid="{00000000-0005-0000-0000-000069630000}"/>
    <cellStyle name="Normal 3 4 3 3 4 2 2 2 2" xfId="61843" xr:uid="{00000000-0005-0000-0000-00006A630000}"/>
    <cellStyle name="Normal 3 4 3 3 4 2 2 3" xfId="38512" xr:uid="{00000000-0005-0000-0000-00006B630000}"/>
    <cellStyle name="Normal 3 4 3 3 4 2 3" xfId="22094" xr:uid="{00000000-0005-0000-0000-00006C630000}"/>
    <cellStyle name="Normal 3 4 3 3 4 2 3 2" xfId="53965" xr:uid="{00000000-0005-0000-0000-00006D630000}"/>
    <cellStyle name="Normal 3 4 3 3 4 2 4" xfId="38511" xr:uid="{00000000-0005-0000-0000-00006E630000}"/>
    <cellStyle name="Normal 3 4 3 3 4 3" xfId="6634" xr:uid="{00000000-0005-0000-0000-00006F630000}"/>
    <cellStyle name="Normal 3 4 3 3 4 3 2" xfId="26033" xr:uid="{00000000-0005-0000-0000-000070630000}"/>
    <cellStyle name="Normal 3 4 3 3 4 3 2 2" xfId="57904" xr:uid="{00000000-0005-0000-0000-000071630000}"/>
    <cellStyle name="Normal 3 4 3 3 4 3 3" xfId="38513" xr:uid="{00000000-0005-0000-0000-000072630000}"/>
    <cellStyle name="Normal 3 4 3 3 4 4" xfId="18155" xr:uid="{00000000-0005-0000-0000-000073630000}"/>
    <cellStyle name="Normal 3 4 3 3 4 4 2" xfId="50026" xr:uid="{00000000-0005-0000-0000-000074630000}"/>
    <cellStyle name="Normal 3 4 3 3 4 5" xfId="38510" xr:uid="{00000000-0005-0000-0000-000075630000}"/>
    <cellStyle name="Normal 3 4 3 3 5" xfId="6635" xr:uid="{00000000-0005-0000-0000-000076630000}"/>
    <cellStyle name="Normal 3 4 3 3 5 2" xfId="6636" xr:uid="{00000000-0005-0000-0000-000077630000}"/>
    <cellStyle name="Normal 3 4 3 3 5 2 2" xfId="29965" xr:uid="{00000000-0005-0000-0000-000078630000}"/>
    <cellStyle name="Normal 3 4 3 3 5 2 2 2" xfId="61836" xr:uid="{00000000-0005-0000-0000-000079630000}"/>
    <cellStyle name="Normal 3 4 3 3 5 2 3" xfId="38515" xr:uid="{00000000-0005-0000-0000-00007A630000}"/>
    <cellStyle name="Normal 3 4 3 3 5 3" xfId="22087" xr:uid="{00000000-0005-0000-0000-00007B630000}"/>
    <cellStyle name="Normal 3 4 3 3 5 3 2" xfId="53958" xr:uid="{00000000-0005-0000-0000-00007C630000}"/>
    <cellStyle name="Normal 3 4 3 3 5 4" xfId="38514" xr:uid="{00000000-0005-0000-0000-00007D630000}"/>
    <cellStyle name="Normal 3 4 3 3 6" xfId="6637" xr:uid="{00000000-0005-0000-0000-00007E630000}"/>
    <cellStyle name="Normal 3 4 3 3 6 2" xfId="26026" xr:uid="{00000000-0005-0000-0000-00007F630000}"/>
    <cellStyle name="Normal 3 4 3 3 6 2 2" xfId="57897" xr:uid="{00000000-0005-0000-0000-000080630000}"/>
    <cellStyle name="Normal 3 4 3 3 6 3" xfId="38516" xr:uid="{00000000-0005-0000-0000-000081630000}"/>
    <cellStyle name="Normal 3 4 3 3 7" xfId="18148" xr:uid="{00000000-0005-0000-0000-000082630000}"/>
    <cellStyle name="Normal 3 4 3 3 7 2" xfId="50019" xr:uid="{00000000-0005-0000-0000-000083630000}"/>
    <cellStyle name="Normal 3 4 3 3 8" xfId="38485" xr:uid="{00000000-0005-0000-0000-000084630000}"/>
    <cellStyle name="Normal 3 4 3 4" xfId="6638" xr:uid="{00000000-0005-0000-0000-000085630000}"/>
    <cellStyle name="Normal 3 4 3 4 2" xfId="6639" xr:uid="{00000000-0005-0000-0000-000086630000}"/>
    <cellStyle name="Normal 3 4 3 4 2 2" xfId="6640" xr:uid="{00000000-0005-0000-0000-000087630000}"/>
    <cellStyle name="Normal 3 4 3 4 2 2 2" xfId="6641" xr:uid="{00000000-0005-0000-0000-000088630000}"/>
    <cellStyle name="Normal 3 4 3 4 2 2 2 2" xfId="6642" xr:uid="{00000000-0005-0000-0000-000089630000}"/>
    <cellStyle name="Normal 3 4 3 4 2 2 2 2 2" xfId="29975" xr:uid="{00000000-0005-0000-0000-00008A630000}"/>
    <cellStyle name="Normal 3 4 3 4 2 2 2 2 2 2" xfId="61846" xr:uid="{00000000-0005-0000-0000-00008B630000}"/>
    <cellStyle name="Normal 3 4 3 4 2 2 2 2 3" xfId="38521" xr:uid="{00000000-0005-0000-0000-00008C630000}"/>
    <cellStyle name="Normal 3 4 3 4 2 2 2 3" xfId="22097" xr:uid="{00000000-0005-0000-0000-00008D630000}"/>
    <cellStyle name="Normal 3 4 3 4 2 2 2 3 2" xfId="53968" xr:uid="{00000000-0005-0000-0000-00008E630000}"/>
    <cellStyle name="Normal 3 4 3 4 2 2 2 4" xfId="38520" xr:uid="{00000000-0005-0000-0000-00008F630000}"/>
    <cellStyle name="Normal 3 4 3 4 2 2 3" xfId="6643" xr:uid="{00000000-0005-0000-0000-000090630000}"/>
    <cellStyle name="Normal 3 4 3 4 2 2 3 2" xfId="26036" xr:uid="{00000000-0005-0000-0000-000091630000}"/>
    <cellStyle name="Normal 3 4 3 4 2 2 3 2 2" xfId="57907" xr:uid="{00000000-0005-0000-0000-000092630000}"/>
    <cellStyle name="Normal 3 4 3 4 2 2 3 3" xfId="38522" xr:uid="{00000000-0005-0000-0000-000093630000}"/>
    <cellStyle name="Normal 3 4 3 4 2 2 4" xfId="18158" xr:uid="{00000000-0005-0000-0000-000094630000}"/>
    <cellStyle name="Normal 3 4 3 4 2 2 4 2" xfId="50029" xr:uid="{00000000-0005-0000-0000-000095630000}"/>
    <cellStyle name="Normal 3 4 3 4 2 2 5" xfId="38519" xr:uid="{00000000-0005-0000-0000-000096630000}"/>
    <cellStyle name="Normal 3 4 3 4 2 3" xfId="6644" xr:uid="{00000000-0005-0000-0000-000097630000}"/>
    <cellStyle name="Normal 3 4 3 4 2 3 2" xfId="6645" xr:uid="{00000000-0005-0000-0000-000098630000}"/>
    <cellStyle name="Normal 3 4 3 4 2 3 2 2" xfId="29974" xr:uid="{00000000-0005-0000-0000-000099630000}"/>
    <cellStyle name="Normal 3 4 3 4 2 3 2 2 2" xfId="61845" xr:uid="{00000000-0005-0000-0000-00009A630000}"/>
    <cellStyle name="Normal 3 4 3 4 2 3 2 3" xfId="38524" xr:uid="{00000000-0005-0000-0000-00009B630000}"/>
    <cellStyle name="Normal 3 4 3 4 2 3 3" xfId="22096" xr:uid="{00000000-0005-0000-0000-00009C630000}"/>
    <cellStyle name="Normal 3 4 3 4 2 3 3 2" xfId="53967" xr:uid="{00000000-0005-0000-0000-00009D630000}"/>
    <cellStyle name="Normal 3 4 3 4 2 3 4" xfId="38523" xr:uid="{00000000-0005-0000-0000-00009E630000}"/>
    <cellStyle name="Normal 3 4 3 4 2 4" xfId="6646" xr:uid="{00000000-0005-0000-0000-00009F630000}"/>
    <cellStyle name="Normal 3 4 3 4 2 4 2" xfId="26035" xr:uid="{00000000-0005-0000-0000-0000A0630000}"/>
    <cellStyle name="Normal 3 4 3 4 2 4 2 2" xfId="57906" xr:uid="{00000000-0005-0000-0000-0000A1630000}"/>
    <cellStyle name="Normal 3 4 3 4 2 4 3" xfId="38525" xr:uid="{00000000-0005-0000-0000-0000A2630000}"/>
    <cellStyle name="Normal 3 4 3 4 2 5" xfId="18157" xr:uid="{00000000-0005-0000-0000-0000A3630000}"/>
    <cellStyle name="Normal 3 4 3 4 2 5 2" xfId="50028" xr:uid="{00000000-0005-0000-0000-0000A4630000}"/>
    <cellStyle name="Normal 3 4 3 4 2 6" xfId="38518" xr:uid="{00000000-0005-0000-0000-0000A5630000}"/>
    <cellStyle name="Normal 3 4 3 4 3" xfId="6647" xr:uid="{00000000-0005-0000-0000-0000A6630000}"/>
    <cellStyle name="Normal 3 4 3 4 3 2" xfId="6648" xr:uid="{00000000-0005-0000-0000-0000A7630000}"/>
    <cellStyle name="Normal 3 4 3 4 3 2 2" xfId="6649" xr:uid="{00000000-0005-0000-0000-0000A8630000}"/>
    <cellStyle name="Normal 3 4 3 4 3 2 2 2" xfId="29976" xr:uid="{00000000-0005-0000-0000-0000A9630000}"/>
    <cellStyle name="Normal 3 4 3 4 3 2 2 2 2" xfId="61847" xr:uid="{00000000-0005-0000-0000-0000AA630000}"/>
    <cellStyle name="Normal 3 4 3 4 3 2 2 3" xfId="38528" xr:uid="{00000000-0005-0000-0000-0000AB630000}"/>
    <cellStyle name="Normal 3 4 3 4 3 2 3" xfId="22098" xr:uid="{00000000-0005-0000-0000-0000AC630000}"/>
    <cellStyle name="Normal 3 4 3 4 3 2 3 2" xfId="53969" xr:uid="{00000000-0005-0000-0000-0000AD630000}"/>
    <cellStyle name="Normal 3 4 3 4 3 2 4" xfId="38527" xr:uid="{00000000-0005-0000-0000-0000AE630000}"/>
    <cellStyle name="Normal 3 4 3 4 3 3" xfId="6650" xr:uid="{00000000-0005-0000-0000-0000AF630000}"/>
    <cellStyle name="Normal 3 4 3 4 3 3 2" xfId="26037" xr:uid="{00000000-0005-0000-0000-0000B0630000}"/>
    <cellStyle name="Normal 3 4 3 4 3 3 2 2" xfId="57908" xr:uid="{00000000-0005-0000-0000-0000B1630000}"/>
    <cellStyle name="Normal 3 4 3 4 3 3 3" xfId="38529" xr:uid="{00000000-0005-0000-0000-0000B2630000}"/>
    <cellStyle name="Normal 3 4 3 4 3 4" xfId="18159" xr:uid="{00000000-0005-0000-0000-0000B3630000}"/>
    <cellStyle name="Normal 3 4 3 4 3 4 2" xfId="50030" xr:uid="{00000000-0005-0000-0000-0000B4630000}"/>
    <cellStyle name="Normal 3 4 3 4 3 5" xfId="38526" xr:uid="{00000000-0005-0000-0000-0000B5630000}"/>
    <cellStyle name="Normal 3 4 3 4 4" xfId="6651" xr:uid="{00000000-0005-0000-0000-0000B6630000}"/>
    <cellStyle name="Normal 3 4 3 4 4 2" xfId="6652" xr:uid="{00000000-0005-0000-0000-0000B7630000}"/>
    <cellStyle name="Normal 3 4 3 4 4 2 2" xfId="29973" xr:uid="{00000000-0005-0000-0000-0000B8630000}"/>
    <cellStyle name="Normal 3 4 3 4 4 2 2 2" xfId="61844" xr:uid="{00000000-0005-0000-0000-0000B9630000}"/>
    <cellStyle name="Normal 3 4 3 4 4 2 3" xfId="38531" xr:uid="{00000000-0005-0000-0000-0000BA630000}"/>
    <cellStyle name="Normal 3 4 3 4 4 3" xfId="22095" xr:uid="{00000000-0005-0000-0000-0000BB630000}"/>
    <cellStyle name="Normal 3 4 3 4 4 3 2" xfId="53966" xr:uid="{00000000-0005-0000-0000-0000BC630000}"/>
    <cellStyle name="Normal 3 4 3 4 4 4" xfId="38530" xr:uid="{00000000-0005-0000-0000-0000BD630000}"/>
    <cellStyle name="Normal 3 4 3 4 5" xfId="6653" xr:uid="{00000000-0005-0000-0000-0000BE630000}"/>
    <cellStyle name="Normal 3 4 3 4 5 2" xfId="26034" xr:uid="{00000000-0005-0000-0000-0000BF630000}"/>
    <cellStyle name="Normal 3 4 3 4 5 2 2" xfId="57905" xr:uid="{00000000-0005-0000-0000-0000C0630000}"/>
    <cellStyle name="Normal 3 4 3 4 5 3" xfId="38532" xr:uid="{00000000-0005-0000-0000-0000C1630000}"/>
    <cellStyle name="Normal 3 4 3 4 6" xfId="18156" xr:uid="{00000000-0005-0000-0000-0000C2630000}"/>
    <cellStyle name="Normal 3 4 3 4 6 2" xfId="50027" xr:uid="{00000000-0005-0000-0000-0000C3630000}"/>
    <cellStyle name="Normal 3 4 3 4 7" xfId="38517" xr:uid="{00000000-0005-0000-0000-0000C4630000}"/>
    <cellStyle name="Normal 3 4 3 5" xfId="6654" xr:uid="{00000000-0005-0000-0000-0000C5630000}"/>
    <cellStyle name="Normal 3 4 3 5 2" xfId="6655" xr:uid="{00000000-0005-0000-0000-0000C6630000}"/>
    <cellStyle name="Normal 3 4 3 5 2 2" xfId="6656" xr:uid="{00000000-0005-0000-0000-0000C7630000}"/>
    <cellStyle name="Normal 3 4 3 5 2 2 2" xfId="6657" xr:uid="{00000000-0005-0000-0000-0000C8630000}"/>
    <cellStyle name="Normal 3 4 3 5 2 2 2 2" xfId="29978" xr:uid="{00000000-0005-0000-0000-0000C9630000}"/>
    <cellStyle name="Normal 3 4 3 5 2 2 2 2 2" xfId="61849" xr:uid="{00000000-0005-0000-0000-0000CA630000}"/>
    <cellStyle name="Normal 3 4 3 5 2 2 2 3" xfId="38536" xr:uid="{00000000-0005-0000-0000-0000CB630000}"/>
    <cellStyle name="Normal 3 4 3 5 2 2 3" xfId="22100" xr:uid="{00000000-0005-0000-0000-0000CC630000}"/>
    <cellStyle name="Normal 3 4 3 5 2 2 3 2" xfId="53971" xr:uid="{00000000-0005-0000-0000-0000CD630000}"/>
    <cellStyle name="Normal 3 4 3 5 2 2 4" xfId="38535" xr:uid="{00000000-0005-0000-0000-0000CE630000}"/>
    <cellStyle name="Normal 3 4 3 5 2 3" xfId="6658" xr:uid="{00000000-0005-0000-0000-0000CF630000}"/>
    <cellStyle name="Normal 3 4 3 5 2 3 2" xfId="26039" xr:uid="{00000000-0005-0000-0000-0000D0630000}"/>
    <cellStyle name="Normal 3 4 3 5 2 3 2 2" xfId="57910" xr:uid="{00000000-0005-0000-0000-0000D1630000}"/>
    <cellStyle name="Normal 3 4 3 5 2 3 3" xfId="38537" xr:uid="{00000000-0005-0000-0000-0000D2630000}"/>
    <cellStyle name="Normal 3 4 3 5 2 4" xfId="18161" xr:uid="{00000000-0005-0000-0000-0000D3630000}"/>
    <cellStyle name="Normal 3 4 3 5 2 4 2" xfId="50032" xr:uid="{00000000-0005-0000-0000-0000D4630000}"/>
    <cellStyle name="Normal 3 4 3 5 2 5" xfId="38534" xr:uid="{00000000-0005-0000-0000-0000D5630000}"/>
    <cellStyle name="Normal 3 4 3 5 3" xfId="6659" xr:uid="{00000000-0005-0000-0000-0000D6630000}"/>
    <cellStyle name="Normal 3 4 3 5 3 2" xfId="6660" xr:uid="{00000000-0005-0000-0000-0000D7630000}"/>
    <cellStyle name="Normal 3 4 3 5 3 2 2" xfId="29977" xr:uid="{00000000-0005-0000-0000-0000D8630000}"/>
    <cellStyle name="Normal 3 4 3 5 3 2 2 2" xfId="61848" xr:uid="{00000000-0005-0000-0000-0000D9630000}"/>
    <cellStyle name="Normal 3 4 3 5 3 2 3" xfId="38539" xr:uid="{00000000-0005-0000-0000-0000DA630000}"/>
    <cellStyle name="Normal 3 4 3 5 3 3" xfId="22099" xr:uid="{00000000-0005-0000-0000-0000DB630000}"/>
    <cellStyle name="Normal 3 4 3 5 3 3 2" xfId="53970" xr:uid="{00000000-0005-0000-0000-0000DC630000}"/>
    <cellStyle name="Normal 3 4 3 5 3 4" xfId="38538" xr:uid="{00000000-0005-0000-0000-0000DD630000}"/>
    <cellStyle name="Normal 3 4 3 5 4" xfId="6661" xr:uid="{00000000-0005-0000-0000-0000DE630000}"/>
    <cellStyle name="Normal 3 4 3 5 4 2" xfId="26038" xr:uid="{00000000-0005-0000-0000-0000DF630000}"/>
    <cellStyle name="Normal 3 4 3 5 4 2 2" xfId="57909" xr:uid="{00000000-0005-0000-0000-0000E0630000}"/>
    <cellStyle name="Normal 3 4 3 5 4 3" xfId="38540" xr:uid="{00000000-0005-0000-0000-0000E1630000}"/>
    <cellStyle name="Normal 3 4 3 5 5" xfId="18160" xr:uid="{00000000-0005-0000-0000-0000E2630000}"/>
    <cellStyle name="Normal 3 4 3 5 5 2" xfId="50031" xr:uid="{00000000-0005-0000-0000-0000E3630000}"/>
    <cellStyle name="Normal 3 4 3 5 6" xfId="38533" xr:uid="{00000000-0005-0000-0000-0000E4630000}"/>
    <cellStyle name="Normal 3 4 3 6" xfId="6662" xr:uid="{00000000-0005-0000-0000-0000E5630000}"/>
    <cellStyle name="Normal 3 4 3 6 2" xfId="6663" xr:uid="{00000000-0005-0000-0000-0000E6630000}"/>
    <cellStyle name="Normal 3 4 3 6 2 2" xfId="6664" xr:uid="{00000000-0005-0000-0000-0000E7630000}"/>
    <cellStyle name="Normal 3 4 3 6 2 2 2" xfId="29979" xr:uid="{00000000-0005-0000-0000-0000E8630000}"/>
    <cellStyle name="Normal 3 4 3 6 2 2 2 2" xfId="61850" xr:uid="{00000000-0005-0000-0000-0000E9630000}"/>
    <cellStyle name="Normal 3 4 3 6 2 2 3" xfId="38543" xr:uid="{00000000-0005-0000-0000-0000EA630000}"/>
    <cellStyle name="Normal 3 4 3 6 2 3" xfId="22101" xr:uid="{00000000-0005-0000-0000-0000EB630000}"/>
    <cellStyle name="Normal 3 4 3 6 2 3 2" xfId="53972" xr:uid="{00000000-0005-0000-0000-0000EC630000}"/>
    <cellStyle name="Normal 3 4 3 6 2 4" xfId="38542" xr:uid="{00000000-0005-0000-0000-0000ED630000}"/>
    <cellStyle name="Normal 3 4 3 6 3" xfId="6665" xr:uid="{00000000-0005-0000-0000-0000EE630000}"/>
    <cellStyle name="Normal 3 4 3 6 3 2" xfId="26040" xr:uid="{00000000-0005-0000-0000-0000EF630000}"/>
    <cellStyle name="Normal 3 4 3 6 3 2 2" xfId="57911" xr:uid="{00000000-0005-0000-0000-0000F0630000}"/>
    <cellStyle name="Normal 3 4 3 6 3 3" xfId="38544" xr:uid="{00000000-0005-0000-0000-0000F1630000}"/>
    <cellStyle name="Normal 3 4 3 6 4" xfId="18162" xr:uid="{00000000-0005-0000-0000-0000F2630000}"/>
    <cellStyle name="Normal 3 4 3 6 4 2" xfId="50033" xr:uid="{00000000-0005-0000-0000-0000F3630000}"/>
    <cellStyle name="Normal 3 4 3 6 5" xfId="38541" xr:uid="{00000000-0005-0000-0000-0000F4630000}"/>
    <cellStyle name="Normal 3 4 3 7" xfId="6666" xr:uid="{00000000-0005-0000-0000-0000F5630000}"/>
    <cellStyle name="Normal 3 4 3 7 2" xfId="6667" xr:uid="{00000000-0005-0000-0000-0000F6630000}"/>
    <cellStyle name="Normal 3 4 3 7 2 2" xfId="28307" xr:uid="{00000000-0005-0000-0000-0000F7630000}"/>
    <cellStyle name="Normal 3 4 3 7 2 2 2" xfId="60178" xr:uid="{00000000-0005-0000-0000-0000F8630000}"/>
    <cellStyle name="Normal 3 4 3 7 2 3" xfId="38546" xr:uid="{00000000-0005-0000-0000-0000F9630000}"/>
    <cellStyle name="Normal 3 4 3 7 3" xfId="20429" xr:uid="{00000000-0005-0000-0000-0000FA630000}"/>
    <cellStyle name="Normal 3 4 3 7 3 2" xfId="52300" xr:uid="{00000000-0005-0000-0000-0000FB630000}"/>
    <cellStyle name="Normal 3 4 3 7 4" xfId="38545" xr:uid="{00000000-0005-0000-0000-0000FC630000}"/>
    <cellStyle name="Normal 3 4 3 8" xfId="6668" xr:uid="{00000000-0005-0000-0000-0000FD630000}"/>
    <cellStyle name="Normal 3 4 3 8 2" xfId="24368" xr:uid="{00000000-0005-0000-0000-0000FE630000}"/>
    <cellStyle name="Normal 3 4 3 8 2 2" xfId="56239" xr:uid="{00000000-0005-0000-0000-0000FF630000}"/>
    <cellStyle name="Normal 3 4 3 8 3" xfId="38547" xr:uid="{00000000-0005-0000-0000-000000640000}"/>
    <cellStyle name="Normal 3 4 3 9" xfId="16490" xr:uid="{00000000-0005-0000-0000-000001640000}"/>
    <cellStyle name="Normal 3 4 3 9 2" xfId="48361" xr:uid="{00000000-0005-0000-0000-000002640000}"/>
    <cellStyle name="Normal 3 4 4" xfId="6669" xr:uid="{00000000-0005-0000-0000-000003640000}"/>
    <cellStyle name="Normal 3 4 4 10" xfId="38548" xr:uid="{00000000-0005-0000-0000-000004640000}"/>
    <cellStyle name="Normal 3 4 4 2" xfId="6670" xr:uid="{00000000-0005-0000-0000-000005640000}"/>
    <cellStyle name="Normal 3 4 4 2 2" xfId="6671" xr:uid="{00000000-0005-0000-0000-000006640000}"/>
    <cellStyle name="Normal 3 4 4 2 2 2" xfId="6672" xr:uid="{00000000-0005-0000-0000-000007640000}"/>
    <cellStyle name="Normal 3 4 4 2 2 2 2" xfId="6673" xr:uid="{00000000-0005-0000-0000-000008640000}"/>
    <cellStyle name="Normal 3 4 4 2 2 2 2 2" xfId="6674" xr:uid="{00000000-0005-0000-0000-000009640000}"/>
    <cellStyle name="Normal 3 4 4 2 2 2 2 2 2" xfId="6675" xr:uid="{00000000-0005-0000-0000-00000A640000}"/>
    <cellStyle name="Normal 3 4 4 2 2 2 2 2 2 2" xfId="6676" xr:uid="{00000000-0005-0000-0000-00000B640000}"/>
    <cellStyle name="Normal 3 4 4 2 2 2 2 2 2 2 2" xfId="29983" xr:uid="{00000000-0005-0000-0000-00000C640000}"/>
    <cellStyle name="Normal 3 4 4 2 2 2 2 2 2 2 2 2" xfId="61854" xr:uid="{00000000-0005-0000-0000-00000D640000}"/>
    <cellStyle name="Normal 3 4 4 2 2 2 2 2 2 2 3" xfId="38555" xr:uid="{00000000-0005-0000-0000-00000E640000}"/>
    <cellStyle name="Normal 3 4 4 2 2 2 2 2 2 3" xfId="22105" xr:uid="{00000000-0005-0000-0000-00000F640000}"/>
    <cellStyle name="Normal 3 4 4 2 2 2 2 2 2 3 2" xfId="53976" xr:uid="{00000000-0005-0000-0000-000010640000}"/>
    <cellStyle name="Normal 3 4 4 2 2 2 2 2 2 4" xfId="38554" xr:uid="{00000000-0005-0000-0000-000011640000}"/>
    <cellStyle name="Normal 3 4 4 2 2 2 2 2 3" xfId="6677" xr:uid="{00000000-0005-0000-0000-000012640000}"/>
    <cellStyle name="Normal 3 4 4 2 2 2 2 2 3 2" xfId="26044" xr:uid="{00000000-0005-0000-0000-000013640000}"/>
    <cellStyle name="Normal 3 4 4 2 2 2 2 2 3 2 2" xfId="57915" xr:uid="{00000000-0005-0000-0000-000014640000}"/>
    <cellStyle name="Normal 3 4 4 2 2 2 2 2 3 3" xfId="38556" xr:uid="{00000000-0005-0000-0000-000015640000}"/>
    <cellStyle name="Normal 3 4 4 2 2 2 2 2 4" xfId="18166" xr:uid="{00000000-0005-0000-0000-000016640000}"/>
    <cellStyle name="Normal 3 4 4 2 2 2 2 2 4 2" xfId="50037" xr:uid="{00000000-0005-0000-0000-000017640000}"/>
    <cellStyle name="Normal 3 4 4 2 2 2 2 2 5" xfId="38553" xr:uid="{00000000-0005-0000-0000-000018640000}"/>
    <cellStyle name="Normal 3 4 4 2 2 2 2 3" xfId="6678" xr:uid="{00000000-0005-0000-0000-000019640000}"/>
    <cellStyle name="Normal 3 4 4 2 2 2 2 3 2" xfId="6679" xr:uid="{00000000-0005-0000-0000-00001A640000}"/>
    <cellStyle name="Normal 3 4 4 2 2 2 2 3 2 2" xfId="29982" xr:uid="{00000000-0005-0000-0000-00001B640000}"/>
    <cellStyle name="Normal 3 4 4 2 2 2 2 3 2 2 2" xfId="61853" xr:uid="{00000000-0005-0000-0000-00001C640000}"/>
    <cellStyle name="Normal 3 4 4 2 2 2 2 3 2 3" xfId="38558" xr:uid="{00000000-0005-0000-0000-00001D640000}"/>
    <cellStyle name="Normal 3 4 4 2 2 2 2 3 3" xfId="22104" xr:uid="{00000000-0005-0000-0000-00001E640000}"/>
    <cellStyle name="Normal 3 4 4 2 2 2 2 3 3 2" xfId="53975" xr:uid="{00000000-0005-0000-0000-00001F640000}"/>
    <cellStyle name="Normal 3 4 4 2 2 2 2 3 4" xfId="38557" xr:uid="{00000000-0005-0000-0000-000020640000}"/>
    <cellStyle name="Normal 3 4 4 2 2 2 2 4" xfId="6680" xr:uid="{00000000-0005-0000-0000-000021640000}"/>
    <cellStyle name="Normal 3 4 4 2 2 2 2 4 2" xfId="26043" xr:uid="{00000000-0005-0000-0000-000022640000}"/>
    <cellStyle name="Normal 3 4 4 2 2 2 2 4 2 2" xfId="57914" xr:uid="{00000000-0005-0000-0000-000023640000}"/>
    <cellStyle name="Normal 3 4 4 2 2 2 2 4 3" xfId="38559" xr:uid="{00000000-0005-0000-0000-000024640000}"/>
    <cellStyle name="Normal 3 4 4 2 2 2 2 5" xfId="18165" xr:uid="{00000000-0005-0000-0000-000025640000}"/>
    <cellStyle name="Normal 3 4 4 2 2 2 2 5 2" xfId="50036" xr:uid="{00000000-0005-0000-0000-000026640000}"/>
    <cellStyle name="Normal 3 4 4 2 2 2 2 6" xfId="38552" xr:uid="{00000000-0005-0000-0000-000027640000}"/>
    <cellStyle name="Normal 3 4 4 2 2 2 3" xfId="6681" xr:uid="{00000000-0005-0000-0000-000028640000}"/>
    <cellStyle name="Normal 3 4 4 2 2 2 3 2" xfId="6682" xr:uid="{00000000-0005-0000-0000-000029640000}"/>
    <cellStyle name="Normal 3 4 4 2 2 2 3 2 2" xfId="6683" xr:uid="{00000000-0005-0000-0000-00002A640000}"/>
    <cellStyle name="Normal 3 4 4 2 2 2 3 2 2 2" xfId="29984" xr:uid="{00000000-0005-0000-0000-00002B640000}"/>
    <cellStyle name="Normal 3 4 4 2 2 2 3 2 2 2 2" xfId="61855" xr:uid="{00000000-0005-0000-0000-00002C640000}"/>
    <cellStyle name="Normal 3 4 4 2 2 2 3 2 2 3" xfId="38562" xr:uid="{00000000-0005-0000-0000-00002D640000}"/>
    <cellStyle name="Normal 3 4 4 2 2 2 3 2 3" xfId="22106" xr:uid="{00000000-0005-0000-0000-00002E640000}"/>
    <cellStyle name="Normal 3 4 4 2 2 2 3 2 3 2" xfId="53977" xr:uid="{00000000-0005-0000-0000-00002F640000}"/>
    <cellStyle name="Normal 3 4 4 2 2 2 3 2 4" xfId="38561" xr:uid="{00000000-0005-0000-0000-000030640000}"/>
    <cellStyle name="Normal 3 4 4 2 2 2 3 3" xfId="6684" xr:uid="{00000000-0005-0000-0000-000031640000}"/>
    <cellStyle name="Normal 3 4 4 2 2 2 3 3 2" xfId="26045" xr:uid="{00000000-0005-0000-0000-000032640000}"/>
    <cellStyle name="Normal 3 4 4 2 2 2 3 3 2 2" xfId="57916" xr:uid="{00000000-0005-0000-0000-000033640000}"/>
    <cellStyle name="Normal 3 4 4 2 2 2 3 3 3" xfId="38563" xr:uid="{00000000-0005-0000-0000-000034640000}"/>
    <cellStyle name="Normal 3 4 4 2 2 2 3 4" xfId="18167" xr:uid="{00000000-0005-0000-0000-000035640000}"/>
    <cellStyle name="Normal 3 4 4 2 2 2 3 4 2" xfId="50038" xr:uid="{00000000-0005-0000-0000-000036640000}"/>
    <cellStyle name="Normal 3 4 4 2 2 2 3 5" xfId="38560" xr:uid="{00000000-0005-0000-0000-000037640000}"/>
    <cellStyle name="Normal 3 4 4 2 2 2 4" xfId="6685" xr:uid="{00000000-0005-0000-0000-000038640000}"/>
    <cellStyle name="Normal 3 4 4 2 2 2 4 2" xfId="6686" xr:uid="{00000000-0005-0000-0000-000039640000}"/>
    <cellStyle name="Normal 3 4 4 2 2 2 4 2 2" xfId="29981" xr:uid="{00000000-0005-0000-0000-00003A640000}"/>
    <cellStyle name="Normal 3 4 4 2 2 2 4 2 2 2" xfId="61852" xr:uid="{00000000-0005-0000-0000-00003B640000}"/>
    <cellStyle name="Normal 3 4 4 2 2 2 4 2 3" xfId="38565" xr:uid="{00000000-0005-0000-0000-00003C640000}"/>
    <cellStyle name="Normal 3 4 4 2 2 2 4 3" xfId="22103" xr:uid="{00000000-0005-0000-0000-00003D640000}"/>
    <cellStyle name="Normal 3 4 4 2 2 2 4 3 2" xfId="53974" xr:uid="{00000000-0005-0000-0000-00003E640000}"/>
    <cellStyle name="Normal 3 4 4 2 2 2 4 4" xfId="38564" xr:uid="{00000000-0005-0000-0000-00003F640000}"/>
    <cellStyle name="Normal 3 4 4 2 2 2 5" xfId="6687" xr:uid="{00000000-0005-0000-0000-000040640000}"/>
    <cellStyle name="Normal 3 4 4 2 2 2 5 2" xfId="26042" xr:uid="{00000000-0005-0000-0000-000041640000}"/>
    <cellStyle name="Normal 3 4 4 2 2 2 5 2 2" xfId="57913" xr:uid="{00000000-0005-0000-0000-000042640000}"/>
    <cellStyle name="Normal 3 4 4 2 2 2 5 3" xfId="38566" xr:uid="{00000000-0005-0000-0000-000043640000}"/>
    <cellStyle name="Normal 3 4 4 2 2 2 6" xfId="18164" xr:uid="{00000000-0005-0000-0000-000044640000}"/>
    <cellStyle name="Normal 3 4 4 2 2 2 6 2" xfId="50035" xr:uid="{00000000-0005-0000-0000-000045640000}"/>
    <cellStyle name="Normal 3 4 4 2 2 2 7" xfId="38551" xr:uid="{00000000-0005-0000-0000-000046640000}"/>
    <cellStyle name="Normal 3 4 4 2 2 3" xfId="6688" xr:uid="{00000000-0005-0000-0000-000047640000}"/>
    <cellStyle name="Normal 3 4 4 2 2 3 2" xfId="6689" xr:uid="{00000000-0005-0000-0000-000048640000}"/>
    <cellStyle name="Normal 3 4 4 2 2 3 2 2" xfId="6690" xr:uid="{00000000-0005-0000-0000-000049640000}"/>
    <cellStyle name="Normal 3 4 4 2 2 3 2 2 2" xfId="6691" xr:uid="{00000000-0005-0000-0000-00004A640000}"/>
    <cellStyle name="Normal 3 4 4 2 2 3 2 2 2 2" xfId="29986" xr:uid="{00000000-0005-0000-0000-00004B640000}"/>
    <cellStyle name="Normal 3 4 4 2 2 3 2 2 2 2 2" xfId="61857" xr:uid="{00000000-0005-0000-0000-00004C640000}"/>
    <cellStyle name="Normal 3 4 4 2 2 3 2 2 2 3" xfId="38570" xr:uid="{00000000-0005-0000-0000-00004D640000}"/>
    <cellStyle name="Normal 3 4 4 2 2 3 2 2 3" xfId="22108" xr:uid="{00000000-0005-0000-0000-00004E640000}"/>
    <cellStyle name="Normal 3 4 4 2 2 3 2 2 3 2" xfId="53979" xr:uid="{00000000-0005-0000-0000-00004F640000}"/>
    <cellStyle name="Normal 3 4 4 2 2 3 2 2 4" xfId="38569" xr:uid="{00000000-0005-0000-0000-000050640000}"/>
    <cellStyle name="Normal 3 4 4 2 2 3 2 3" xfId="6692" xr:uid="{00000000-0005-0000-0000-000051640000}"/>
    <cellStyle name="Normal 3 4 4 2 2 3 2 3 2" xfId="26047" xr:uid="{00000000-0005-0000-0000-000052640000}"/>
    <cellStyle name="Normal 3 4 4 2 2 3 2 3 2 2" xfId="57918" xr:uid="{00000000-0005-0000-0000-000053640000}"/>
    <cellStyle name="Normal 3 4 4 2 2 3 2 3 3" xfId="38571" xr:uid="{00000000-0005-0000-0000-000054640000}"/>
    <cellStyle name="Normal 3 4 4 2 2 3 2 4" xfId="18169" xr:uid="{00000000-0005-0000-0000-000055640000}"/>
    <cellStyle name="Normal 3 4 4 2 2 3 2 4 2" xfId="50040" xr:uid="{00000000-0005-0000-0000-000056640000}"/>
    <cellStyle name="Normal 3 4 4 2 2 3 2 5" xfId="38568" xr:uid="{00000000-0005-0000-0000-000057640000}"/>
    <cellStyle name="Normal 3 4 4 2 2 3 3" xfId="6693" xr:uid="{00000000-0005-0000-0000-000058640000}"/>
    <cellStyle name="Normal 3 4 4 2 2 3 3 2" xfId="6694" xr:uid="{00000000-0005-0000-0000-000059640000}"/>
    <cellStyle name="Normal 3 4 4 2 2 3 3 2 2" xfId="29985" xr:uid="{00000000-0005-0000-0000-00005A640000}"/>
    <cellStyle name="Normal 3 4 4 2 2 3 3 2 2 2" xfId="61856" xr:uid="{00000000-0005-0000-0000-00005B640000}"/>
    <cellStyle name="Normal 3 4 4 2 2 3 3 2 3" xfId="38573" xr:uid="{00000000-0005-0000-0000-00005C640000}"/>
    <cellStyle name="Normal 3 4 4 2 2 3 3 3" xfId="22107" xr:uid="{00000000-0005-0000-0000-00005D640000}"/>
    <cellStyle name="Normal 3 4 4 2 2 3 3 3 2" xfId="53978" xr:uid="{00000000-0005-0000-0000-00005E640000}"/>
    <cellStyle name="Normal 3 4 4 2 2 3 3 4" xfId="38572" xr:uid="{00000000-0005-0000-0000-00005F640000}"/>
    <cellStyle name="Normal 3 4 4 2 2 3 4" xfId="6695" xr:uid="{00000000-0005-0000-0000-000060640000}"/>
    <cellStyle name="Normal 3 4 4 2 2 3 4 2" xfId="26046" xr:uid="{00000000-0005-0000-0000-000061640000}"/>
    <cellStyle name="Normal 3 4 4 2 2 3 4 2 2" xfId="57917" xr:uid="{00000000-0005-0000-0000-000062640000}"/>
    <cellStyle name="Normal 3 4 4 2 2 3 4 3" xfId="38574" xr:uid="{00000000-0005-0000-0000-000063640000}"/>
    <cellStyle name="Normal 3 4 4 2 2 3 5" xfId="18168" xr:uid="{00000000-0005-0000-0000-000064640000}"/>
    <cellStyle name="Normal 3 4 4 2 2 3 5 2" xfId="50039" xr:uid="{00000000-0005-0000-0000-000065640000}"/>
    <cellStyle name="Normal 3 4 4 2 2 3 6" xfId="38567" xr:uid="{00000000-0005-0000-0000-000066640000}"/>
    <cellStyle name="Normal 3 4 4 2 2 4" xfId="6696" xr:uid="{00000000-0005-0000-0000-000067640000}"/>
    <cellStyle name="Normal 3 4 4 2 2 4 2" xfId="6697" xr:uid="{00000000-0005-0000-0000-000068640000}"/>
    <cellStyle name="Normal 3 4 4 2 2 4 2 2" xfId="6698" xr:uid="{00000000-0005-0000-0000-000069640000}"/>
    <cellStyle name="Normal 3 4 4 2 2 4 2 2 2" xfId="29987" xr:uid="{00000000-0005-0000-0000-00006A640000}"/>
    <cellStyle name="Normal 3 4 4 2 2 4 2 2 2 2" xfId="61858" xr:uid="{00000000-0005-0000-0000-00006B640000}"/>
    <cellStyle name="Normal 3 4 4 2 2 4 2 2 3" xfId="38577" xr:uid="{00000000-0005-0000-0000-00006C640000}"/>
    <cellStyle name="Normal 3 4 4 2 2 4 2 3" xfId="22109" xr:uid="{00000000-0005-0000-0000-00006D640000}"/>
    <cellStyle name="Normal 3 4 4 2 2 4 2 3 2" xfId="53980" xr:uid="{00000000-0005-0000-0000-00006E640000}"/>
    <cellStyle name="Normal 3 4 4 2 2 4 2 4" xfId="38576" xr:uid="{00000000-0005-0000-0000-00006F640000}"/>
    <cellStyle name="Normal 3 4 4 2 2 4 3" xfId="6699" xr:uid="{00000000-0005-0000-0000-000070640000}"/>
    <cellStyle name="Normal 3 4 4 2 2 4 3 2" xfId="26048" xr:uid="{00000000-0005-0000-0000-000071640000}"/>
    <cellStyle name="Normal 3 4 4 2 2 4 3 2 2" xfId="57919" xr:uid="{00000000-0005-0000-0000-000072640000}"/>
    <cellStyle name="Normal 3 4 4 2 2 4 3 3" xfId="38578" xr:uid="{00000000-0005-0000-0000-000073640000}"/>
    <cellStyle name="Normal 3 4 4 2 2 4 4" xfId="18170" xr:uid="{00000000-0005-0000-0000-000074640000}"/>
    <cellStyle name="Normal 3 4 4 2 2 4 4 2" xfId="50041" xr:uid="{00000000-0005-0000-0000-000075640000}"/>
    <cellStyle name="Normal 3 4 4 2 2 4 5" xfId="38575" xr:uid="{00000000-0005-0000-0000-000076640000}"/>
    <cellStyle name="Normal 3 4 4 2 2 5" xfId="6700" xr:uid="{00000000-0005-0000-0000-000077640000}"/>
    <cellStyle name="Normal 3 4 4 2 2 5 2" xfId="6701" xr:uid="{00000000-0005-0000-0000-000078640000}"/>
    <cellStyle name="Normal 3 4 4 2 2 5 2 2" xfId="29980" xr:uid="{00000000-0005-0000-0000-000079640000}"/>
    <cellStyle name="Normal 3 4 4 2 2 5 2 2 2" xfId="61851" xr:uid="{00000000-0005-0000-0000-00007A640000}"/>
    <cellStyle name="Normal 3 4 4 2 2 5 2 3" xfId="38580" xr:uid="{00000000-0005-0000-0000-00007B640000}"/>
    <cellStyle name="Normal 3 4 4 2 2 5 3" xfId="22102" xr:uid="{00000000-0005-0000-0000-00007C640000}"/>
    <cellStyle name="Normal 3 4 4 2 2 5 3 2" xfId="53973" xr:uid="{00000000-0005-0000-0000-00007D640000}"/>
    <cellStyle name="Normal 3 4 4 2 2 5 4" xfId="38579" xr:uid="{00000000-0005-0000-0000-00007E640000}"/>
    <cellStyle name="Normal 3 4 4 2 2 6" xfId="6702" xr:uid="{00000000-0005-0000-0000-00007F640000}"/>
    <cellStyle name="Normal 3 4 4 2 2 6 2" xfId="26041" xr:uid="{00000000-0005-0000-0000-000080640000}"/>
    <cellStyle name="Normal 3 4 4 2 2 6 2 2" xfId="57912" xr:uid="{00000000-0005-0000-0000-000081640000}"/>
    <cellStyle name="Normal 3 4 4 2 2 6 3" xfId="38581" xr:uid="{00000000-0005-0000-0000-000082640000}"/>
    <cellStyle name="Normal 3 4 4 2 2 7" xfId="18163" xr:uid="{00000000-0005-0000-0000-000083640000}"/>
    <cellStyle name="Normal 3 4 4 2 2 7 2" xfId="50034" xr:uid="{00000000-0005-0000-0000-000084640000}"/>
    <cellStyle name="Normal 3 4 4 2 2 8" xfId="38550" xr:uid="{00000000-0005-0000-0000-000085640000}"/>
    <cellStyle name="Normal 3 4 4 2 3" xfId="6703" xr:uid="{00000000-0005-0000-0000-000086640000}"/>
    <cellStyle name="Normal 3 4 4 2 3 2" xfId="6704" xr:uid="{00000000-0005-0000-0000-000087640000}"/>
    <cellStyle name="Normal 3 4 4 2 3 2 2" xfId="6705" xr:uid="{00000000-0005-0000-0000-000088640000}"/>
    <cellStyle name="Normal 3 4 4 2 3 2 2 2" xfId="6706" xr:uid="{00000000-0005-0000-0000-000089640000}"/>
    <cellStyle name="Normal 3 4 4 2 3 2 2 2 2" xfId="6707" xr:uid="{00000000-0005-0000-0000-00008A640000}"/>
    <cellStyle name="Normal 3 4 4 2 3 2 2 2 2 2" xfId="29990" xr:uid="{00000000-0005-0000-0000-00008B640000}"/>
    <cellStyle name="Normal 3 4 4 2 3 2 2 2 2 2 2" xfId="61861" xr:uid="{00000000-0005-0000-0000-00008C640000}"/>
    <cellStyle name="Normal 3 4 4 2 3 2 2 2 2 3" xfId="38586" xr:uid="{00000000-0005-0000-0000-00008D640000}"/>
    <cellStyle name="Normal 3 4 4 2 3 2 2 2 3" xfId="22112" xr:uid="{00000000-0005-0000-0000-00008E640000}"/>
    <cellStyle name="Normal 3 4 4 2 3 2 2 2 3 2" xfId="53983" xr:uid="{00000000-0005-0000-0000-00008F640000}"/>
    <cellStyle name="Normal 3 4 4 2 3 2 2 2 4" xfId="38585" xr:uid="{00000000-0005-0000-0000-000090640000}"/>
    <cellStyle name="Normal 3 4 4 2 3 2 2 3" xfId="6708" xr:uid="{00000000-0005-0000-0000-000091640000}"/>
    <cellStyle name="Normal 3 4 4 2 3 2 2 3 2" xfId="26051" xr:uid="{00000000-0005-0000-0000-000092640000}"/>
    <cellStyle name="Normal 3 4 4 2 3 2 2 3 2 2" xfId="57922" xr:uid="{00000000-0005-0000-0000-000093640000}"/>
    <cellStyle name="Normal 3 4 4 2 3 2 2 3 3" xfId="38587" xr:uid="{00000000-0005-0000-0000-000094640000}"/>
    <cellStyle name="Normal 3 4 4 2 3 2 2 4" xfId="18173" xr:uid="{00000000-0005-0000-0000-000095640000}"/>
    <cellStyle name="Normal 3 4 4 2 3 2 2 4 2" xfId="50044" xr:uid="{00000000-0005-0000-0000-000096640000}"/>
    <cellStyle name="Normal 3 4 4 2 3 2 2 5" xfId="38584" xr:uid="{00000000-0005-0000-0000-000097640000}"/>
    <cellStyle name="Normal 3 4 4 2 3 2 3" xfId="6709" xr:uid="{00000000-0005-0000-0000-000098640000}"/>
    <cellStyle name="Normal 3 4 4 2 3 2 3 2" xfId="6710" xr:uid="{00000000-0005-0000-0000-000099640000}"/>
    <cellStyle name="Normal 3 4 4 2 3 2 3 2 2" xfId="29989" xr:uid="{00000000-0005-0000-0000-00009A640000}"/>
    <cellStyle name="Normal 3 4 4 2 3 2 3 2 2 2" xfId="61860" xr:uid="{00000000-0005-0000-0000-00009B640000}"/>
    <cellStyle name="Normal 3 4 4 2 3 2 3 2 3" xfId="38589" xr:uid="{00000000-0005-0000-0000-00009C640000}"/>
    <cellStyle name="Normal 3 4 4 2 3 2 3 3" xfId="22111" xr:uid="{00000000-0005-0000-0000-00009D640000}"/>
    <cellStyle name="Normal 3 4 4 2 3 2 3 3 2" xfId="53982" xr:uid="{00000000-0005-0000-0000-00009E640000}"/>
    <cellStyle name="Normal 3 4 4 2 3 2 3 4" xfId="38588" xr:uid="{00000000-0005-0000-0000-00009F640000}"/>
    <cellStyle name="Normal 3 4 4 2 3 2 4" xfId="6711" xr:uid="{00000000-0005-0000-0000-0000A0640000}"/>
    <cellStyle name="Normal 3 4 4 2 3 2 4 2" xfId="26050" xr:uid="{00000000-0005-0000-0000-0000A1640000}"/>
    <cellStyle name="Normal 3 4 4 2 3 2 4 2 2" xfId="57921" xr:uid="{00000000-0005-0000-0000-0000A2640000}"/>
    <cellStyle name="Normal 3 4 4 2 3 2 4 3" xfId="38590" xr:uid="{00000000-0005-0000-0000-0000A3640000}"/>
    <cellStyle name="Normal 3 4 4 2 3 2 5" xfId="18172" xr:uid="{00000000-0005-0000-0000-0000A4640000}"/>
    <cellStyle name="Normal 3 4 4 2 3 2 5 2" xfId="50043" xr:uid="{00000000-0005-0000-0000-0000A5640000}"/>
    <cellStyle name="Normal 3 4 4 2 3 2 6" xfId="38583" xr:uid="{00000000-0005-0000-0000-0000A6640000}"/>
    <cellStyle name="Normal 3 4 4 2 3 3" xfId="6712" xr:uid="{00000000-0005-0000-0000-0000A7640000}"/>
    <cellStyle name="Normal 3 4 4 2 3 3 2" xfId="6713" xr:uid="{00000000-0005-0000-0000-0000A8640000}"/>
    <cellStyle name="Normal 3 4 4 2 3 3 2 2" xfId="6714" xr:uid="{00000000-0005-0000-0000-0000A9640000}"/>
    <cellStyle name="Normal 3 4 4 2 3 3 2 2 2" xfId="29991" xr:uid="{00000000-0005-0000-0000-0000AA640000}"/>
    <cellStyle name="Normal 3 4 4 2 3 3 2 2 2 2" xfId="61862" xr:uid="{00000000-0005-0000-0000-0000AB640000}"/>
    <cellStyle name="Normal 3 4 4 2 3 3 2 2 3" xfId="38593" xr:uid="{00000000-0005-0000-0000-0000AC640000}"/>
    <cellStyle name="Normal 3 4 4 2 3 3 2 3" xfId="22113" xr:uid="{00000000-0005-0000-0000-0000AD640000}"/>
    <cellStyle name="Normal 3 4 4 2 3 3 2 3 2" xfId="53984" xr:uid="{00000000-0005-0000-0000-0000AE640000}"/>
    <cellStyle name="Normal 3 4 4 2 3 3 2 4" xfId="38592" xr:uid="{00000000-0005-0000-0000-0000AF640000}"/>
    <cellStyle name="Normal 3 4 4 2 3 3 3" xfId="6715" xr:uid="{00000000-0005-0000-0000-0000B0640000}"/>
    <cellStyle name="Normal 3 4 4 2 3 3 3 2" xfId="26052" xr:uid="{00000000-0005-0000-0000-0000B1640000}"/>
    <cellStyle name="Normal 3 4 4 2 3 3 3 2 2" xfId="57923" xr:uid="{00000000-0005-0000-0000-0000B2640000}"/>
    <cellStyle name="Normal 3 4 4 2 3 3 3 3" xfId="38594" xr:uid="{00000000-0005-0000-0000-0000B3640000}"/>
    <cellStyle name="Normal 3 4 4 2 3 3 4" xfId="18174" xr:uid="{00000000-0005-0000-0000-0000B4640000}"/>
    <cellStyle name="Normal 3 4 4 2 3 3 4 2" xfId="50045" xr:uid="{00000000-0005-0000-0000-0000B5640000}"/>
    <cellStyle name="Normal 3 4 4 2 3 3 5" xfId="38591" xr:uid="{00000000-0005-0000-0000-0000B6640000}"/>
    <cellStyle name="Normal 3 4 4 2 3 4" xfId="6716" xr:uid="{00000000-0005-0000-0000-0000B7640000}"/>
    <cellStyle name="Normal 3 4 4 2 3 4 2" xfId="6717" xr:uid="{00000000-0005-0000-0000-0000B8640000}"/>
    <cellStyle name="Normal 3 4 4 2 3 4 2 2" xfId="29988" xr:uid="{00000000-0005-0000-0000-0000B9640000}"/>
    <cellStyle name="Normal 3 4 4 2 3 4 2 2 2" xfId="61859" xr:uid="{00000000-0005-0000-0000-0000BA640000}"/>
    <cellStyle name="Normal 3 4 4 2 3 4 2 3" xfId="38596" xr:uid="{00000000-0005-0000-0000-0000BB640000}"/>
    <cellStyle name="Normal 3 4 4 2 3 4 3" xfId="22110" xr:uid="{00000000-0005-0000-0000-0000BC640000}"/>
    <cellStyle name="Normal 3 4 4 2 3 4 3 2" xfId="53981" xr:uid="{00000000-0005-0000-0000-0000BD640000}"/>
    <cellStyle name="Normal 3 4 4 2 3 4 4" xfId="38595" xr:uid="{00000000-0005-0000-0000-0000BE640000}"/>
    <cellStyle name="Normal 3 4 4 2 3 5" xfId="6718" xr:uid="{00000000-0005-0000-0000-0000BF640000}"/>
    <cellStyle name="Normal 3 4 4 2 3 5 2" xfId="26049" xr:uid="{00000000-0005-0000-0000-0000C0640000}"/>
    <cellStyle name="Normal 3 4 4 2 3 5 2 2" xfId="57920" xr:uid="{00000000-0005-0000-0000-0000C1640000}"/>
    <cellStyle name="Normal 3 4 4 2 3 5 3" xfId="38597" xr:uid="{00000000-0005-0000-0000-0000C2640000}"/>
    <cellStyle name="Normal 3 4 4 2 3 6" xfId="18171" xr:uid="{00000000-0005-0000-0000-0000C3640000}"/>
    <cellStyle name="Normal 3 4 4 2 3 6 2" xfId="50042" xr:uid="{00000000-0005-0000-0000-0000C4640000}"/>
    <cellStyle name="Normal 3 4 4 2 3 7" xfId="38582" xr:uid="{00000000-0005-0000-0000-0000C5640000}"/>
    <cellStyle name="Normal 3 4 4 2 4" xfId="6719" xr:uid="{00000000-0005-0000-0000-0000C6640000}"/>
    <cellStyle name="Normal 3 4 4 2 4 2" xfId="6720" xr:uid="{00000000-0005-0000-0000-0000C7640000}"/>
    <cellStyle name="Normal 3 4 4 2 4 2 2" xfId="6721" xr:uid="{00000000-0005-0000-0000-0000C8640000}"/>
    <cellStyle name="Normal 3 4 4 2 4 2 2 2" xfId="6722" xr:uid="{00000000-0005-0000-0000-0000C9640000}"/>
    <cellStyle name="Normal 3 4 4 2 4 2 2 2 2" xfId="29993" xr:uid="{00000000-0005-0000-0000-0000CA640000}"/>
    <cellStyle name="Normal 3 4 4 2 4 2 2 2 2 2" xfId="61864" xr:uid="{00000000-0005-0000-0000-0000CB640000}"/>
    <cellStyle name="Normal 3 4 4 2 4 2 2 2 3" xfId="38601" xr:uid="{00000000-0005-0000-0000-0000CC640000}"/>
    <cellStyle name="Normal 3 4 4 2 4 2 2 3" xfId="22115" xr:uid="{00000000-0005-0000-0000-0000CD640000}"/>
    <cellStyle name="Normal 3 4 4 2 4 2 2 3 2" xfId="53986" xr:uid="{00000000-0005-0000-0000-0000CE640000}"/>
    <cellStyle name="Normal 3 4 4 2 4 2 2 4" xfId="38600" xr:uid="{00000000-0005-0000-0000-0000CF640000}"/>
    <cellStyle name="Normal 3 4 4 2 4 2 3" xfId="6723" xr:uid="{00000000-0005-0000-0000-0000D0640000}"/>
    <cellStyle name="Normal 3 4 4 2 4 2 3 2" xfId="26054" xr:uid="{00000000-0005-0000-0000-0000D1640000}"/>
    <cellStyle name="Normal 3 4 4 2 4 2 3 2 2" xfId="57925" xr:uid="{00000000-0005-0000-0000-0000D2640000}"/>
    <cellStyle name="Normal 3 4 4 2 4 2 3 3" xfId="38602" xr:uid="{00000000-0005-0000-0000-0000D3640000}"/>
    <cellStyle name="Normal 3 4 4 2 4 2 4" xfId="18176" xr:uid="{00000000-0005-0000-0000-0000D4640000}"/>
    <cellStyle name="Normal 3 4 4 2 4 2 4 2" xfId="50047" xr:uid="{00000000-0005-0000-0000-0000D5640000}"/>
    <cellStyle name="Normal 3 4 4 2 4 2 5" xfId="38599" xr:uid="{00000000-0005-0000-0000-0000D6640000}"/>
    <cellStyle name="Normal 3 4 4 2 4 3" xfId="6724" xr:uid="{00000000-0005-0000-0000-0000D7640000}"/>
    <cellStyle name="Normal 3 4 4 2 4 3 2" xfId="6725" xr:uid="{00000000-0005-0000-0000-0000D8640000}"/>
    <cellStyle name="Normal 3 4 4 2 4 3 2 2" xfId="29992" xr:uid="{00000000-0005-0000-0000-0000D9640000}"/>
    <cellStyle name="Normal 3 4 4 2 4 3 2 2 2" xfId="61863" xr:uid="{00000000-0005-0000-0000-0000DA640000}"/>
    <cellStyle name="Normal 3 4 4 2 4 3 2 3" xfId="38604" xr:uid="{00000000-0005-0000-0000-0000DB640000}"/>
    <cellStyle name="Normal 3 4 4 2 4 3 3" xfId="22114" xr:uid="{00000000-0005-0000-0000-0000DC640000}"/>
    <cellStyle name="Normal 3 4 4 2 4 3 3 2" xfId="53985" xr:uid="{00000000-0005-0000-0000-0000DD640000}"/>
    <cellStyle name="Normal 3 4 4 2 4 3 4" xfId="38603" xr:uid="{00000000-0005-0000-0000-0000DE640000}"/>
    <cellStyle name="Normal 3 4 4 2 4 4" xfId="6726" xr:uid="{00000000-0005-0000-0000-0000DF640000}"/>
    <cellStyle name="Normal 3 4 4 2 4 4 2" xfId="26053" xr:uid="{00000000-0005-0000-0000-0000E0640000}"/>
    <cellStyle name="Normal 3 4 4 2 4 4 2 2" xfId="57924" xr:uid="{00000000-0005-0000-0000-0000E1640000}"/>
    <cellStyle name="Normal 3 4 4 2 4 4 3" xfId="38605" xr:uid="{00000000-0005-0000-0000-0000E2640000}"/>
    <cellStyle name="Normal 3 4 4 2 4 5" xfId="18175" xr:uid="{00000000-0005-0000-0000-0000E3640000}"/>
    <cellStyle name="Normal 3 4 4 2 4 5 2" xfId="50046" xr:uid="{00000000-0005-0000-0000-0000E4640000}"/>
    <cellStyle name="Normal 3 4 4 2 4 6" xfId="38598" xr:uid="{00000000-0005-0000-0000-0000E5640000}"/>
    <cellStyle name="Normal 3 4 4 2 5" xfId="6727" xr:uid="{00000000-0005-0000-0000-0000E6640000}"/>
    <cellStyle name="Normal 3 4 4 2 5 2" xfId="6728" xr:uid="{00000000-0005-0000-0000-0000E7640000}"/>
    <cellStyle name="Normal 3 4 4 2 5 2 2" xfId="6729" xr:uid="{00000000-0005-0000-0000-0000E8640000}"/>
    <cellStyle name="Normal 3 4 4 2 5 2 2 2" xfId="29994" xr:uid="{00000000-0005-0000-0000-0000E9640000}"/>
    <cellStyle name="Normal 3 4 4 2 5 2 2 2 2" xfId="61865" xr:uid="{00000000-0005-0000-0000-0000EA640000}"/>
    <cellStyle name="Normal 3 4 4 2 5 2 2 3" xfId="38608" xr:uid="{00000000-0005-0000-0000-0000EB640000}"/>
    <cellStyle name="Normal 3 4 4 2 5 2 3" xfId="22116" xr:uid="{00000000-0005-0000-0000-0000EC640000}"/>
    <cellStyle name="Normal 3 4 4 2 5 2 3 2" xfId="53987" xr:uid="{00000000-0005-0000-0000-0000ED640000}"/>
    <cellStyle name="Normal 3 4 4 2 5 2 4" xfId="38607" xr:uid="{00000000-0005-0000-0000-0000EE640000}"/>
    <cellStyle name="Normal 3 4 4 2 5 3" xfId="6730" xr:uid="{00000000-0005-0000-0000-0000EF640000}"/>
    <cellStyle name="Normal 3 4 4 2 5 3 2" xfId="26055" xr:uid="{00000000-0005-0000-0000-0000F0640000}"/>
    <cellStyle name="Normal 3 4 4 2 5 3 2 2" xfId="57926" xr:uid="{00000000-0005-0000-0000-0000F1640000}"/>
    <cellStyle name="Normal 3 4 4 2 5 3 3" xfId="38609" xr:uid="{00000000-0005-0000-0000-0000F2640000}"/>
    <cellStyle name="Normal 3 4 4 2 5 4" xfId="18177" xr:uid="{00000000-0005-0000-0000-0000F3640000}"/>
    <cellStyle name="Normal 3 4 4 2 5 4 2" xfId="50048" xr:uid="{00000000-0005-0000-0000-0000F4640000}"/>
    <cellStyle name="Normal 3 4 4 2 5 5" xfId="38606" xr:uid="{00000000-0005-0000-0000-0000F5640000}"/>
    <cellStyle name="Normal 3 4 4 2 6" xfId="6731" xr:uid="{00000000-0005-0000-0000-0000F6640000}"/>
    <cellStyle name="Normal 3 4 4 2 6 2" xfId="6732" xr:uid="{00000000-0005-0000-0000-0000F7640000}"/>
    <cellStyle name="Normal 3 4 4 2 6 2 2" xfId="28471" xr:uid="{00000000-0005-0000-0000-0000F8640000}"/>
    <cellStyle name="Normal 3 4 4 2 6 2 2 2" xfId="60342" xr:uid="{00000000-0005-0000-0000-0000F9640000}"/>
    <cellStyle name="Normal 3 4 4 2 6 2 3" xfId="38611" xr:uid="{00000000-0005-0000-0000-0000FA640000}"/>
    <cellStyle name="Normal 3 4 4 2 6 3" xfId="20593" xr:uid="{00000000-0005-0000-0000-0000FB640000}"/>
    <cellStyle name="Normal 3 4 4 2 6 3 2" xfId="52464" xr:uid="{00000000-0005-0000-0000-0000FC640000}"/>
    <cellStyle name="Normal 3 4 4 2 6 4" xfId="38610" xr:uid="{00000000-0005-0000-0000-0000FD640000}"/>
    <cellStyle name="Normal 3 4 4 2 7" xfId="6733" xr:uid="{00000000-0005-0000-0000-0000FE640000}"/>
    <cellStyle name="Normal 3 4 4 2 7 2" xfId="24532" xr:uid="{00000000-0005-0000-0000-0000FF640000}"/>
    <cellStyle name="Normal 3 4 4 2 7 2 2" xfId="56403" xr:uid="{00000000-0005-0000-0000-000000650000}"/>
    <cellStyle name="Normal 3 4 4 2 7 3" xfId="38612" xr:uid="{00000000-0005-0000-0000-000001650000}"/>
    <cellStyle name="Normal 3 4 4 2 8" xfId="16654" xr:uid="{00000000-0005-0000-0000-000002650000}"/>
    <cellStyle name="Normal 3 4 4 2 8 2" xfId="48525" xr:uid="{00000000-0005-0000-0000-000003650000}"/>
    <cellStyle name="Normal 3 4 4 2 9" xfId="38549" xr:uid="{00000000-0005-0000-0000-000004650000}"/>
    <cellStyle name="Normal 3 4 4 3" xfId="6734" xr:uid="{00000000-0005-0000-0000-000005650000}"/>
    <cellStyle name="Normal 3 4 4 3 2" xfId="6735" xr:uid="{00000000-0005-0000-0000-000006650000}"/>
    <cellStyle name="Normal 3 4 4 3 2 2" xfId="6736" xr:uid="{00000000-0005-0000-0000-000007650000}"/>
    <cellStyle name="Normal 3 4 4 3 2 2 2" xfId="6737" xr:uid="{00000000-0005-0000-0000-000008650000}"/>
    <cellStyle name="Normal 3 4 4 3 2 2 2 2" xfId="6738" xr:uid="{00000000-0005-0000-0000-000009650000}"/>
    <cellStyle name="Normal 3 4 4 3 2 2 2 2 2" xfId="6739" xr:uid="{00000000-0005-0000-0000-00000A650000}"/>
    <cellStyle name="Normal 3 4 4 3 2 2 2 2 2 2" xfId="29998" xr:uid="{00000000-0005-0000-0000-00000B650000}"/>
    <cellStyle name="Normal 3 4 4 3 2 2 2 2 2 2 2" xfId="61869" xr:uid="{00000000-0005-0000-0000-00000C650000}"/>
    <cellStyle name="Normal 3 4 4 3 2 2 2 2 2 3" xfId="38618" xr:uid="{00000000-0005-0000-0000-00000D650000}"/>
    <cellStyle name="Normal 3 4 4 3 2 2 2 2 3" xfId="22120" xr:uid="{00000000-0005-0000-0000-00000E650000}"/>
    <cellStyle name="Normal 3 4 4 3 2 2 2 2 3 2" xfId="53991" xr:uid="{00000000-0005-0000-0000-00000F650000}"/>
    <cellStyle name="Normal 3 4 4 3 2 2 2 2 4" xfId="38617" xr:uid="{00000000-0005-0000-0000-000010650000}"/>
    <cellStyle name="Normal 3 4 4 3 2 2 2 3" xfId="6740" xr:uid="{00000000-0005-0000-0000-000011650000}"/>
    <cellStyle name="Normal 3 4 4 3 2 2 2 3 2" xfId="26059" xr:uid="{00000000-0005-0000-0000-000012650000}"/>
    <cellStyle name="Normal 3 4 4 3 2 2 2 3 2 2" xfId="57930" xr:uid="{00000000-0005-0000-0000-000013650000}"/>
    <cellStyle name="Normal 3 4 4 3 2 2 2 3 3" xfId="38619" xr:uid="{00000000-0005-0000-0000-000014650000}"/>
    <cellStyle name="Normal 3 4 4 3 2 2 2 4" xfId="18181" xr:uid="{00000000-0005-0000-0000-000015650000}"/>
    <cellStyle name="Normal 3 4 4 3 2 2 2 4 2" xfId="50052" xr:uid="{00000000-0005-0000-0000-000016650000}"/>
    <cellStyle name="Normal 3 4 4 3 2 2 2 5" xfId="38616" xr:uid="{00000000-0005-0000-0000-000017650000}"/>
    <cellStyle name="Normal 3 4 4 3 2 2 3" xfId="6741" xr:uid="{00000000-0005-0000-0000-000018650000}"/>
    <cellStyle name="Normal 3 4 4 3 2 2 3 2" xfId="6742" xr:uid="{00000000-0005-0000-0000-000019650000}"/>
    <cellStyle name="Normal 3 4 4 3 2 2 3 2 2" xfId="29997" xr:uid="{00000000-0005-0000-0000-00001A650000}"/>
    <cellStyle name="Normal 3 4 4 3 2 2 3 2 2 2" xfId="61868" xr:uid="{00000000-0005-0000-0000-00001B650000}"/>
    <cellStyle name="Normal 3 4 4 3 2 2 3 2 3" xfId="38621" xr:uid="{00000000-0005-0000-0000-00001C650000}"/>
    <cellStyle name="Normal 3 4 4 3 2 2 3 3" xfId="22119" xr:uid="{00000000-0005-0000-0000-00001D650000}"/>
    <cellStyle name="Normal 3 4 4 3 2 2 3 3 2" xfId="53990" xr:uid="{00000000-0005-0000-0000-00001E650000}"/>
    <cellStyle name="Normal 3 4 4 3 2 2 3 4" xfId="38620" xr:uid="{00000000-0005-0000-0000-00001F650000}"/>
    <cellStyle name="Normal 3 4 4 3 2 2 4" xfId="6743" xr:uid="{00000000-0005-0000-0000-000020650000}"/>
    <cellStyle name="Normal 3 4 4 3 2 2 4 2" xfId="26058" xr:uid="{00000000-0005-0000-0000-000021650000}"/>
    <cellStyle name="Normal 3 4 4 3 2 2 4 2 2" xfId="57929" xr:uid="{00000000-0005-0000-0000-000022650000}"/>
    <cellStyle name="Normal 3 4 4 3 2 2 4 3" xfId="38622" xr:uid="{00000000-0005-0000-0000-000023650000}"/>
    <cellStyle name="Normal 3 4 4 3 2 2 5" xfId="18180" xr:uid="{00000000-0005-0000-0000-000024650000}"/>
    <cellStyle name="Normal 3 4 4 3 2 2 5 2" xfId="50051" xr:uid="{00000000-0005-0000-0000-000025650000}"/>
    <cellStyle name="Normal 3 4 4 3 2 2 6" xfId="38615" xr:uid="{00000000-0005-0000-0000-000026650000}"/>
    <cellStyle name="Normal 3 4 4 3 2 3" xfId="6744" xr:uid="{00000000-0005-0000-0000-000027650000}"/>
    <cellStyle name="Normal 3 4 4 3 2 3 2" xfId="6745" xr:uid="{00000000-0005-0000-0000-000028650000}"/>
    <cellStyle name="Normal 3 4 4 3 2 3 2 2" xfId="6746" xr:uid="{00000000-0005-0000-0000-000029650000}"/>
    <cellStyle name="Normal 3 4 4 3 2 3 2 2 2" xfId="29999" xr:uid="{00000000-0005-0000-0000-00002A650000}"/>
    <cellStyle name="Normal 3 4 4 3 2 3 2 2 2 2" xfId="61870" xr:uid="{00000000-0005-0000-0000-00002B650000}"/>
    <cellStyle name="Normal 3 4 4 3 2 3 2 2 3" xfId="38625" xr:uid="{00000000-0005-0000-0000-00002C650000}"/>
    <cellStyle name="Normal 3 4 4 3 2 3 2 3" xfId="22121" xr:uid="{00000000-0005-0000-0000-00002D650000}"/>
    <cellStyle name="Normal 3 4 4 3 2 3 2 3 2" xfId="53992" xr:uid="{00000000-0005-0000-0000-00002E650000}"/>
    <cellStyle name="Normal 3 4 4 3 2 3 2 4" xfId="38624" xr:uid="{00000000-0005-0000-0000-00002F650000}"/>
    <cellStyle name="Normal 3 4 4 3 2 3 3" xfId="6747" xr:uid="{00000000-0005-0000-0000-000030650000}"/>
    <cellStyle name="Normal 3 4 4 3 2 3 3 2" xfId="26060" xr:uid="{00000000-0005-0000-0000-000031650000}"/>
    <cellStyle name="Normal 3 4 4 3 2 3 3 2 2" xfId="57931" xr:uid="{00000000-0005-0000-0000-000032650000}"/>
    <cellStyle name="Normal 3 4 4 3 2 3 3 3" xfId="38626" xr:uid="{00000000-0005-0000-0000-000033650000}"/>
    <cellStyle name="Normal 3 4 4 3 2 3 4" xfId="18182" xr:uid="{00000000-0005-0000-0000-000034650000}"/>
    <cellStyle name="Normal 3 4 4 3 2 3 4 2" xfId="50053" xr:uid="{00000000-0005-0000-0000-000035650000}"/>
    <cellStyle name="Normal 3 4 4 3 2 3 5" xfId="38623" xr:uid="{00000000-0005-0000-0000-000036650000}"/>
    <cellStyle name="Normal 3 4 4 3 2 4" xfId="6748" xr:uid="{00000000-0005-0000-0000-000037650000}"/>
    <cellStyle name="Normal 3 4 4 3 2 4 2" xfId="6749" xr:uid="{00000000-0005-0000-0000-000038650000}"/>
    <cellStyle name="Normal 3 4 4 3 2 4 2 2" xfId="29996" xr:uid="{00000000-0005-0000-0000-000039650000}"/>
    <cellStyle name="Normal 3 4 4 3 2 4 2 2 2" xfId="61867" xr:uid="{00000000-0005-0000-0000-00003A650000}"/>
    <cellStyle name="Normal 3 4 4 3 2 4 2 3" xfId="38628" xr:uid="{00000000-0005-0000-0000-00003B650000}"/>
    <cellStyle name="Normal 3 4 4 3 2 4 3" xfId="22118" xr:uid="{00000000-0005-0000-0000-00003C650000}"/>
    <cellStyle name="Normal 3 4 4 3 2 4 3 2" xfId="53989" xr:uid="{00000000-0005-0000-0000-00003D650000}"/>
    <cellStyle name="Normal 3 4 4 3 2 4 4" xfId="38627" xr:uid="{00000000-0005-0000-0000-00003E650000}"/>
    <cellStyle name="Normal 3 4 4 3 2 5" xfId="6750" xr:uid="{00000000-0005-0000-0000-00003F650000}"/>
    <cellStyle name="Normal 3 4 4 3 2 5 2" xfId="26057" xr:uid="{00000000-0005-0000-0000-000040650000}"/>
    <cellStyle name="Normal 3 4 4 3 2 5 2 2" xfId="57928" xr:uid="{00000000-0005-0000-0000-000041650000}"/>
    <cellStyle name="Normal 3 4 4 3 2 5 3" xfId="38629" xr:uid="{00000000-0005-0000-0000-000042650000}"/>
    <cellStyle name="Normal 3 4 4 3 2 6" xfId="18179" xr:uid="{00000000-0005-0000-0000-000043650000}"/>
    <cellStyle name="Normal 3 4 4 3 2 6 2" xfId="50050" xr:uid="{00000000-0005-0000-0000-000044650000}"/>
    <cellStyle name="Normal 3 4 4 3 2 7" xfId="38614" xr:uid="{00000000-0005-0000-0000-000045650000}"/>
    <cellStyle name="Normal 3 4 4 3 3" xfId="6751" xr:uid="{00000000-0005-0000-0000-000046650000}"/>
    <cellStyle name="Normal 3 4 4 3 3 2" xfId="6752" xr:uid="{00000000-0005-0000-0000-000047650000}"/>
    <cellStyle name="Normal 3 4 4 3 3 2 2" xfId="6753" xr:uid="{00000000-0005-0000-0000-000048650000}"/>
    <cellStyle name="Normal 3 4 4 3 3 2 2 2" xfId="6754" xr:uid="{00000000-0005-0000-0000-000049650000}"/>
    <cellStyle name="Normal 3 4 4 3 3 2 2 2 2" xfId="30001" xr:uid="{00000000-0005-0000-0000-00004A650000}"/>
    <cellStyle name="Normal 3 4 4 3 3 2 2 2 2 2" xfId="61872" xr:uid="{00000000-0005-0000-0000-00004B650000}"/>
    <cellStyle name="Normal 3 4 4 3 3 2 2 2 3" xfId="38633" xr:uid="{00000000-0005-0000-0000-00004C650000}"/>
    <cellStyle name="Normal 3 4 4 3 3 2 2 3" xfId="22123" xr:uid="{00000000-0005-0000-0000-00004D650000}"/>
    <cellStyle name="Normal 3 4 4 3 3 2 2 3 2" xfId="53994" xr:uid="{00000000-0005-0000-0000-00004E650000}"/>
    <cellStyle name="Normal 3 4 4 3 3 2 2 4" xfId="38632" xr:uid="{00000000-0005-0000-0000-00004F650000}"/>
    <cellStyle name="Normal 3 4 4 3 3 2 3" xfId="6755" xr:uid="{00000000-0005-0000-0000-000050650000}"/>
    <cellStyle name="Normal 3 4 4 3 3 2 3 2" xfId="26062" xr:uid="{00000000-0005-0000-0000-000051650000}"/>
    <cellStyle name="Normal 3 4 4 3 3 2 3 2 2" xfId="57933" xr:uid="{00000000-0005-0000-0000-000052650000}"/>
    <cellStyle name="Normal 3 4 4 3 3 2 3 3" xfId="38634" xr:uid="{00000000-0005-0000-0000-000053650000}"/>
    <cellStyle name="Normal 3 4 4 3 3 2 4" xfId="18184" xr:uid="{00000000-0005-0000-0000-000054650000}"/>
    <cellStyle name="Normal 3 4 4 3 3 2 4 2" xfId="50055" xr:uid="{00000000-0005-0000-0000-000055650000}"/>
    <cellStyle name="Normal 3 4 4 3 3 2 5" xfId="38631" xr:uid="{00000000-0005-0000-0000-000056650000}"/>
    <cellStyle name="Normal 3 4 4 3 3 3" xfId="6756" xr:uid="{00000000-0005-0000-0000-000057650000}"/>
    <cellStyle name="Normal 3 4 4 3 3 3 2" xfId="6757" xr:uid="{00000000-0005-0000-0000-000058650000}"/>
    <cellStyle name="Normal 3 4 4 3 3 3 2 2" xfId="30000" xr:uid="{00000000-0005-0000-0000-000059650000}"/>
    <cellStyle name="Normal 3 4 4 3 3 3 2 2 2" xfId="61871" xr:uid="{00000000-0005-0000-0000-00005A650000}"/>
    <cellStyle name="Normal 3 4 4 3 3 3 2 3" xfId="38636" xr:uid="{00000000-0005-0000-0000-00005B650000}"/>
    <cellStyle name="Normal 3 4 4 3 3 3 3" xfId="22122" xr:uid="{00000000-0005-0000-0000-00005C650000}"/>
    <cellStyle name="Normal 3 4 4 3 3 3 3 2" xfId="53993" xr:uid="{00000000-0005-0000-0000-00005D650000}"/>
    <cellStyle name="Normal 3 4 4 3 3 3 4" xfId="38635" xr:uid="{00000000-0005-0000-0000-00005E650000}"/>
    <cellStyle name="Normal 3 4 4 3 3 4" xfId="6758" xr:uid="{00000000-0005-0000-0000-00005F650000}"/>
    <cellStyle name="Normal 3 4 4 3 3 4 2" xfId="26061" xr:uid="{00000000-0005-0000-0000-000060650000}"/>
    <cellStyle name="Normal 3 4 4 3 3 4 2 2" xfId="57932" xr:uid="{00000000-0005-0000-0000-000061650000}"/>
    <cellStyle name="Normal 3 4 4 3 3 4 3" xfId="38637" xr:uid="{00000000-0005-0000-0000-000062650000}"/>
    <cellStyle name="Normal 3 4 4 3 3 5" xfId="18183" xr:uid="{00000000-0005-0000-0000-000063650000}"/>
    <cellStyle name="Normal 3 4 4 3 3 5 2" xfId="50054" xr:uid="{00000000-0005-0000-0000-000064650000}"/>
    <cellStyle name="Normal 3 4 4 3 3 6" xfId="38630" xr:uid="{00000000-0005-0000-0000-000065650000}"/>
    <cellStyle name="Normal 3 4 4 3 4" xfId="6759" xr:uid="{00000000-0005-0000-0000-000066650000}"/>
    <cellStyle name="Normal 3 4 4 3 4 2" xfId="6760" xr:uid="{00000000-0005-0000-0000-000067650000}"/>
    <cellStyle name="Normal 3 4 4 3 4 2 2" xfId="6761" xr:uid="{00000000-0005-0000-0000-000068650000}"/>
    <cellStyle name="Normal 3 4 4 3 4 2 2 2" xfId="30002" xr:uid="{00000000-0005-0000-0000-000069650000}"/>
    <cellStyle name="Normal 3 4 4 3 4 2 2 2 2" xfId="61873" xr:uid="{00000000-0005-0000-0000-00006A650000}"/>
    <cellStyle name="Normal 3 4 4 3 4 2 2 3" xfId="38640" xr:uid="{00000000-0005-0000-0000-00006B650000}"/>
    <cellStyle name="Normal 3 4 4 3 4 2 3" xfId="22124" xr:uid="{00000000-0005-0000-0000-00006C650000}"/>
    <cellStyle name="Normal 3 4 4 3 4 2 3 2" xfId="53995" xr:uid="{00000000-0005-0000-0000-00006D650000}"/>
    <cellStyle name="Normal 3 4 4 3 4 2 4" xfId="38639" xr:uid="{00000000-0005-0000-0000-00006E650000}"/>
    <cellStyle name="Normal 3 4 4 3 4 3" xfId="6762" xr:uid="{00000000-0005-0000-0000-00006F650000}"/>
    <cellStyle name="Normal 3 4 4 3 4 3 2" xfId="26063" xr:uid="{00000000-0005-0000-0000-000070650000}"/>
    <cellStyle name="Normal 3 4 4 3 4 3 2 2" xfId="57934" xr:uid="{00000000-0005-0000-0000-000071650000}"/>
    <cellStyle name="Normal 3 4 4 3 4 3 3" xfId="38641" xr:uid="{00000000-0005-0000-0000-000072650000}"/>
    <cellStyle name="Normal 3 4 4 3 4 4" xfId="18185" xr:uid="{00000000-0005-0000-0000-000073650000}"/>
    <cellStyle name="Normal 3 4 4 3 4 4 2" xfId="50056" xr:uid="{00000000-0005-0000-0000-000074650000}"/>
    <cellStyle name="Normal 3 4 4 3 4 5" xfId="38638" xr:uid="{00000000-0005-0000-0000-000075650000}"/>
    <cellStyle name="Normal 3 4 4 3 5" xfId="6763" xr:uid="{00000000-0005-0000-0000-000076650000}"/>
    <cellStyle name="Normal 3 4 4 3 5 2" xfId="6764" xr:uid="{00000000-0005-0000-0000-000077650000}"/>
    <cellStyle name="Normal 3 4 4 3 5 2 2" xfId="29995" xr:uid="{00000000-0005-0000-0000-000078650000}"/>
    <cellStyle name="Normal 3 4 4 3 5 2 2 2" xfId="61866" xr:uid="{00000000-0005-0000-0000-000079650000}"/>
    <cellStyle name="Normal 3 4 4 3 5 2 3" xfId="38643" xr:uid="{00000000-0005-0000-0000-00007A650000}"/>
    <cellStyle name="Normal 3 4 4 3 5 3" xfId="22117" xr:uid="{00000000-0005-0000-0000-00007B650000}"/>
    <cellStyle name="Normal 3 4 4 3 5 3 2" xfId="53988" xr:uid="{00000000-0005-0000-0000-00007C650000}"/>
    <cellStyle name="Normal 3 4 4 3 5 4" xfId="38642" xr:uid="{00000000-0005-0000-0000-00007D650000}"/>
    <cellStyle name="Normal 3 4 4 3 6" xfId="6765" xr:uid="{00000000-0005-0000-0000-00007E650000}"/>
    <cellStyle name="Normal 3 4 4 3 6 2" xfId="26056" xr:uid="{00000000-0005-0000-0000-00007F650000}"/>
    <cellStyle name="Normal 3 4 4 3 6 2 2" xfId="57927" xr:uid="{00000000-0005-0000-0000-000080650000}"/>
    <cellStyle name="Normal 3 4 4 3 6 3" xfId="38644" xr:uid="{00000000-0005-0000-0000-000081650000}"/>
    <cellStyle name="Normal 3 4 4 3 7" xfId="18178" xr:uid="{00000000-0005-0000-0000-000082650000}"/>
    <cellStyle name="Normal 3 4 4 3 7 2" xfId="50049" xr:uid="{00000000-0005-0000-0000-000083650000}"/>
    <cellStyle name="Normal 3 4 4 3 8" xfId="38613" xr:uid="{00000000-0005-0000-0000-000084650000}"/>
    <cellStyle name="Normal 3 4 4 4" xfId="6766" xr:uid="{00000000-0005-0000-0000-000085650000}"/>
    <cellStyle name="Normal 3 4 4 4 2" xfId="6767" xr:uid="{00000000-0005-0000-0000-000086650000}"/>
    <cellStyle name="Normal 3 4 4 4 2 2" xfId="6768" xr:uid="{00000000-0005-0000-0000-000087650000}"/>
    <cellStyle name="Normal 3 4 4 4 2 2 2" xfId="6769" xr:uid="{00000000-0005-0000-0000-000088650000}"/>
    <cellStyle name="Normal 3 4 4 4 2 2 2 2" xfId="6770" xr:uid="{00000000-0005-0000-0000-000089650000}"/>
    <cellStyle name="Normal 3 4 4 4 2 2 2 2 2" xfId="30005" xr:uid="{00000000-0005-0000-0000-00008A650000}"/>
    <cellStyle name="Normal 3 4 4 4 2 2 2 2 2 2" xfId="61876" xr:uid="{00000000-0005-0000-0000-00008B650000}"/>
    <cellStyle name="Normal 3 4 4 4 2 2 2 2 3" xfId="38649" xr:uid="{00000000-0005-0000-0000-00008C650000}"/>
    <cellStyle name="Normal 3 4 4 4 2 2 2 3" xfId="22127" xr:uid="{00000000-0005-0000-0000-00008D650000}"/>
    <cellStyle name="Normal 3 4 4 4 2 2 2 3 2" xfId="53998" xr:uid="{00000000-0005-0000-0000-00008E650000}"/>
    <cellStyle name="Normal 3 4 4 4 2 2 2 4" xfId="38648" xr:uid="{00000000-0005-0000-0000-00008F650000}"/>
    <cellStyle name="Normal 3 4 4 4 2 2 3" xfId="6771" xr:uid="{00000000-0005-0000-0000-000090650000}"/>
    <cellStyle name="Normal 3 4 4 4 2 2 3 2" xfId="26066" xr:uid="{00000000-0005-0000-0000-000091650000}"/>
    <cellStyle name="Normal 3 4 4 4 2 2 3 2 2" xfId="57937" xr:uid="{00000000-0005-0000-0000-000092650000}"/>
    <cellStyle name="Normal 3 4 4 4 2 2 3 3" xfId="38650" xr:uid="{00000000-0005-0000-0000-000093650000}"/>
    <cellStyle name="Normal 3 4 4 4 2 2 4" xfId="18188" xr:uid="{00000000-0005-0000-0000-000094650000}"/>
    <cellStyle name="Normal 3 4 4 4 2 2 4 2" xfId="50059" xr:uid="{00000000-0005-0000-0000-000095650000}"/>
    <cellStyle name="Normal 3 4 4 4 2 2 5" xfId="38647" xr:uid="{00000000-0005-0000-0000-000096650000}"/>
    <cellStyle name="Normal 3 4 4 4 2 3" xfId="6772" xr:uid="{00000000-0005-0000-0000-000097650000}"/>
    <cellStyle name="Normal 3 4 4 4 2 3 2" xfId="6773" xr:uid="{00000000-0005-0000-0000-000098650000}"/>
    <cellStyle name="Normal 3 4 4 4 2 3 2 2" xfId="30004" xr:uid="{00000000-0005-0000-0000-000099650000}"/>
    <cellStyle name="Normal 3 4 4 4 2 3 2 2 2" xfId="61875" xr:uid="{00000000-0005-0000-0000-00009A650000}"/>
    <cellStyle name="Normal 3 4 4 4 2 3 2 3" xfId="38652" xr:uid="{00000000-0005-0000-0000-00009B650000}"/>
    <cellStyle name="Normal 3 4 4 4 2 3 3" xfId="22126" xr:uid="{00000000-0005-0000-0000-00009C650000}"/>
    <cellStyle name="Normal 3 4 4 4 2 3 3 2" xfId="53997" xr:uid="{00000000-0005-0000-0000-00009D650000}"/>
    <cellStyle name="Normal 3 4 4 4 2 3 4" xfId="38651" xr:uid="{00000000-0005-0000-0000-00009E650000}"/>
    <cellStyle name="Normal 3 4 4 4 2 4" xfId="6774" xr:uid="{00000000-0005-0000-0000-00009F650000}"/>
    <cellStyle name="Normal 3 4 4 4 2 4 2" xfId="26065" xr:uid="{00000000-0005-0000-0000-0000A0650000}"/>
    <cellStyle name="Normal 3 4 4 4 2 4 2 2" xfId="57936" xr:uid="{00000000-0005-0000-0000-0000A1650000}"/>
    <cellStyle name="Normal 3 4 4 4 2 4 3" xfId="38653" xr:uid="{00000000-0005-0000-0000-0000A2650000}"/>
    <cellStyle name="Normal 3 4 4 4 2 5" xfId="18187" xr:uid="{00000000-0005-0000-0000-0000A3650000}"/>
    <cellStyle name="Normal 3 4 4 4 2 5 2" xfId="50058" xr:uid="{00000000-0005-0000-0000-0000A4650000}"/>
    <cellStyle name="Normal 3 4 4 4 2 6" xfId="38646" xr:uid="{00000000-0005-0000-0000-0000A5650000}"/>
    <cellStyle name="Normal 3 4 4 4 3" xfId="6775" xr:uid="{00000000-0005-0000-0000-0000A6650000}"/>
    <cellStyle name="Normal 3 4 4 4 3 2" xfId="6776" xr:uid="{00000000-0005-0000-0000-0000A7650000}"/>
    <cellStyle name="Normal 3 4 4 4 3 2 2" xfId="6777" xr:uid="{00000000-0005-0000-0000-0000A8650000}"/>
    <cellStyle name="Normal 3 4 4 4 3 2 2 2" xfId="30006" xr:uid="{00000000-0005-0000-0000-0000A9650000}"/>
    <cellStyle name="Normal 3 4 4 4 3 2 2 2 2" xfId="61877" xr:uid="{00000000-0005-0000-0000-0000AA650000}"/>
    <cellStyle name="Normal 3 4 4 4 3 2 2 3" xfId="38656" xr:uid="{00000000-0005-0000-0000-0000AB650000}"/>
    <cellStyle name="Normal 3 4 4 4 3 2 3" xfId="22128" xr:uid="{00000000-0005-0000-0000-0000AC650000}"/>
    <cellStyle name="Normal 3 4 4 4 3 2 3 2" xfId="53999" xr:uid="{00000000-0005-0000-0000-0000AD650000}"/>
    <cellStyle name="Normal 3 4 4 4 3 2 4" xfId="38655" xr:uid="{00000000-0005-0000-0000-0000AE650000}"/>
    <cellStyle name="Normal 3 4 4 4 3 3" xfId="6778" xr:uid="{00000000-0005-0000-0000-0000AF650000}"/>
    <cellStyle name="Normal 3 4 4 4 3 3 2" xfId="26067" xr:uid="{00000000-0005-0000-0000-0000B0650000}"/>
    <cellStyle name="Normal 3 4 4 4 3 3 2 2" xfId="57938" xr:uid="{00000000-0005-0000-0000-0000B1650000}"/>
    <cellStyle name="Normal 3 4 4 4 3 3 3" xfId="38657" xr:uid="{00000000-0005-0000-0000-0000B2650000}"/>
    <cellStyle name="Normal 3 4 4 4 3 4" xfId="18189" xr:uid="{00000000-0005-0000-0000-0000B3650000}"/>
    <cellStyle name="Normal 3 4 4 4 3 4 2" xfId="50060" xr:uid="{00000000-0005-0000-0000-0000B4650000}"/>
    <cellStyle name="Normal 3 4 4 4 3 5" xfId="38654" xr:uid="{00000000-0005-0000-0000-0000B5650000}"/>
    <cellStyle name="Normal 3 4 4 4 4" xfId="6779" xr:uid="{00000000-0005-0000-0000-0000B6650000}"/>
    <cellStyle name="Normal 3 4 4 4 4 2" xfId="6780" xr:uid="{00000000-0005-0000-0000-0000B7650000}"/>
    <cellStyle name="Normal 3 4 4 4 4 2 2" xfId="30003" xr:uid="{00000000-0005-0000-0000-0000B8650000}"/>
    <cellStyle name="Normal 3 4 4 4 4 2 2 2" xfId="61874" xr:uid="{00000000-0005-0000-0000-0000B9650000}"/>
    <cellStyle name="Normal 3 4 4 4 4 2 3" xfId="38659" xr:uid="{00000000-0005-0000-0000-0000BA650000}"/>
    <cellStyle name="Normal 3 4 4 4 4 3" xfId="22125" xr:uid="{00000000-0005-0000-0000-0000BB650000}"/>
    <cellStyle name="Normal 3 4 4 4 4 3 2" xfId="53996" xr:uid="{00000000-0005-0000-0000-0000BC650000}"/>
    <cellStyle name="Normal 3 4 4 4 4 4" xfId="38658" xr:uid="{00000000-0005-0000-0000-0000BD650000}"/>
    <cellStyle name="Normal 3 4 4 4 5" xfId="6781" xr:uid="{00000000-0005-0000-0000-0000BE650000}"/>
    <cellStyle name="Normal 3 4 4 4 5 2" xfId="26064" xr:uid="{00000000-0005-0000-0000-0000BF650000}"/>
    <cellStyle name="Normal 3 4 4 4 5 2 2" xfId="57935" xr:uid="{00000000-0005-0000-0000-0000C0650000}"/>
    <cellStyle name="Normal 3 4 4 4 5 3" xfId="38660" xr:uid="{00000000-0005-0000-0000-0000C1650000}"/>
    <cellStyle name="Normal 3 4 4 4 6" xfId="18186" xr:uid="{00000000-0005-0000-0000-0000C2650000}"/>
    <cellStyle name="Normal 3 4 4 4 6 2" xfId="50057" xr:uid="{00000000-0005-0000-0000-0000C3650000}"/>
    <cellStyle name="Normal 3 4 4 4 7" xfId="38645" xr:uid="{00000000-0005-0000-0000-0000C4650000}"/>
    <cellStyle name="Normal 3 4 4 5" xfId="6782" xr:uid="{00000000-0005-0000-0000-0000C5650000}"/>
    <cellStyle name="Normal 3 4 4 5 2" xfId="6783" xr:uid="{00000000-0005-0000-0000-0000C6650000}"/>
    <cellStyle name="Normal 3 4 4 5 2 2" xfId="6784" xr:uid="{00000000-0005-0000-0000-0000C7650000}"/>
    <cellStyle name="Normal 3 4 4 5 2 2 2" xfId="6785" xr:uid="{00000000-0005-0000-0000-0000C8650000}"/>
    <cellStyle name="Normal 3 4 4 5 2 2 2 2" xfId="30008" xr:uid="{00000000-0005-0000-0000-0000C9650000}"/>
    <cellStyle name="Normal 3 4 4 5 2 2 2 2 2" xfId="61879" xr:uid="{00000000-0005-0000-0000-0000CA650000}"/>
    <cellStyle name="Normal 3 4 4 5 2 2 2 3" xfId="38664" xr:uid="{00000000-0005-0000-0000-0000CB650000}"/>
    <cellStyle name="Normal 3 4 4 5 2 2 3" xfId="22130" xr:uid="{00000000-0005-0000-0000-0000CC650000}"/>
    <cellStyle name="Normal 3 4 4 5 2 2 3 2" xfId="54001" xr:uid="{00000000-0005-0000-0000-0000CD650000}"/>
    <cellStyle name="Normal 3 4 4 5 2 2 4" xfId="38663" xr:uid="{00000000-0005-0000-0000-0000CE650000}"/>
    <cellStyle name="Normal 3 4 4 5 2 3" xfId="6786" xr:uid="{00000000-0005-0000-0000-0000CF650000}"/>
    <cellStyle name="Normal 3 4 4 5 2 3 2" xfId="26069" xr:uid="{00000000-0005-0000-0000-0000D0650000}"/>
    <cellStyle name="Normal 3 4 4 5 2 3 2 2" xfId="57940" xr:uid="{00000000-0005-0000-0000-0000D1650000}"/>
    <cellStyle name="Normal 3 4 4 5 2 3 3" xfId="38665" xr:uid="{00000000-0005-0000-0000-0000D2650000}"/>
    <cellStyle name="Normal 3 4 4 5 2 4" xfId="18191" xr:uid="{00000000-0005-0000-0000-0000D3650000}"/>
    <cellStyle name="Normal 3 4 4 5 2 4 2" xfId="50062" xr:uid="{00000000-0005-0000-0000-0000D4650000}"/>
    <cellStyle name="Normal 3 4 4 5 2 5" xfId="38662" xr:uid="{00000000-0005-0000-0000-0000D5650000}"/>
    <cellStyle name="Normal 3 4 4 5 3" xfId="6787" xr:uid="{00000000-0005-0000-0000-0000D6650000}"/>
    <cellStyle name="Normal 3 4 4 5 3 2" xfId="6788" xr:uid="{00000000-0005-0000-0000-0000D7650000}"/>
    <cellStyle name="Normal 3 4 4 5 3 2 2" xfId="30007" xr:uid="{00000000-0005-0000-0000-0000D8650000}"/>
    <cellStyle name="Normal 3 4 4 5 3 2 2 2" xfId="61878" xr:uid="{00000000-0005-0000-0000-0000D9650000}"/>
    <cellStyle name="Normal 3 4 4 5 3 2 3" xfId="38667" xr:uid="{00000000-0005-0000-0000-0000DA650000}"/>
    <cellStyle name="Normal 3 4 4 5 3 3" xfId="22129" xr:uid="{00000000-0005-0000-0000-0000DB650000}"/>
    <cellStyle name="Normal 3 4 4 5 3 3 2" xfId="54000" xr:uid="{00000000-0005-0000-0000-0000DC650000}"/>
    <cellStyle name="Normal 3 4 4 5 3 4" xfId="38666" xr:uid="{00000000-0005-0000-0000-0000DD650000}"/>
    <cellStyle name="Normal 3 4 4 5 4" xfId="6789" xr:uid="{00000000-0005-0000-0000-0000DE650000}"/>
    <cellStyle name="Normal 3 4 4 5 4 2" xfId="26068" xr:uid="{00000000-0005-0000-0000-0000DF650000}"/>
    <cellStyle name="Normal 3 4 4 5 4 2 2" xfId="57939" xr:uid="{00000000-0005-0000-0000-0000E0650000}"/>
    <cellStyle name="Normal 3 4 4 5 4 3" xfId="38668" xr:uid="{00000000-0005-0000-0000-0000E1650000}"/>
    <cellStyle name="Normal 3 4 4 5 5" xfId="18190" xr:uid="{00000000-0005-0000-0000-0000E2650000}"/>
    <cellStyle name="Normal 3 4 4 5 5 2" xfId="50061" xr:uid="{00000000-0005-0000-0000-0000E3650000}"/>
    <cellStyle name="Normal 3 4 4 5 6" xfId="38661" xr:uid="{00000000-0005-0000-0000-0000E4650000}"/>
    <cellStyle name="Normal 3 4 4 6" xfId="6790" xr:uid="{00000000-0005-0000-0000-0000E5650000}"/>
    <cellStyle name="Normal 3 4 4 6 2" xfId="6791" xr:uid="{00000000-0005-0000-0000-0000E6650000}"/>
    <cellStyle name="Normal 3 4 4 6 2 2" xfId="6792" xr:uid="{00000000-0005-0000-0000-0000E7650000}"/>
    <cellStyle name="Normal 3 4 4 6 2 2 2" xfId="30009" xr:uid="{00000000-0005-0000-0000-0000E8650000}"/>
    <cellStyle name="Normal 3 4 4 6 2 2 2 2" xfId="61880" xr:uid="{00000000-0005-0000-0000-0000E9650000}"/>
    <cellStyle name="Normal 3 4 4 6 2 2 3" xfId="38671" xr:uid="{00000000-0005-0000-0000-0000EA650000}"/>
    <cellStyle name="Normal 3 4 4 6 2 3" xfId="22131" xr:uid="{00000000-0005-0000-0000-0000EB650000}"/>
    <cellStyle name="Normal 3 4 4 6 2 3 2" xfId="54002" xr:uid="{00000000-0005-0000-0000-0000EC650000}"/>
    <cellStyle name="Normal 3 4 4 6 2 4" xfId="38670" xr:uid="{00000000-0005-0000-0000-0000ED650000}"/>
    <cellStyle name="Normal 3 4 4 6 3" xfId="6793" xr:uid="{00000000-0005-0000-0000-0000EE650000}"/>
    <cellStyle name="Normal 3 4 4 6 3 2" xfId="26070" xr:uid="{00000000-0005-0000-0000-0000EF650000}"/>
    <cellStyle name="Normal 3 4 4 6 3 2 2" xfId="57941" xr:uid="{00000000-0005-0000-0000-0000F0650000}"/>
    <cellStyle name="Normal 3 4 4 6 3 3" xfId="38672" xr:uid="{00000000-0005-0000-0000-0000F1650000}"/>
    <cellStyle name="Normal 3 4 4 6 4" xfId="18192" xr:uid="{00000000-0005-0000-0000-0000F2650000}"/>
    <cellStyle name="Normal 3 4 4 6 4 2" xfId="50063" xr:uid="{00000000-0005-0000-0000-0000F3650000}"/>
    <cellStyle name="Normal 3 4 4 6 5" xfId="38669" xr:uid="{00000000-0005-0000-0000-0000F4650000}"/>
    <cellStyle name="Normal 3 4 4 7" xfId="6794" xr:uid="{00000000-0005-0000-0000-0000F5650000}"/>
    <cellStyle name="Normal 3 4 4 7 2" xfId="6795" xr:uid="{00000000-0005-0000-0000-0000F6650000}"/>
    <cellStyle name="Normal 3 4 4 7 2 2" xfId="28348" xr:uid="{00000000-0005-0000-0000-0000F7650000}"/>
    <cellStyle name="Normal 3 4 4 7 2 2 2" xfId="60219" xr:uid="{00000000-0005-0000-0000-0000F8650000}"/>
    <cellStyle name="Normal 3 4 4 7 2 3" xfId="38674" xr:uid="{00000000-0005-0000-0000-0000F9650000}"/>
    <cellStyle name="Normal 3 4 4 7 3" xfId="20470" xr:uid="{00000000-0005-0000-0000-0000FA650000}"/>
    <cellStyle name="Normal 3 4 4 7 3 2" xfId="52341" xr:uid="{00000000-0005-0000-0000-0000FB650000}"/>
    <cellStyle name="Normal 3 4 4 7 4" xfId="38673" xr:uid="{00000000-0005-0000-0000-0000FC650000}"/>
    <cellStyle name="Normal 3 4 4 8" xfId="6796" xr:uid="{00000000-0005-0000-0000-0000FD650000}"/>
    <cellStyle name="Normal 3 4 4 8 2" xfId="24409" xr:uid="{00000000-0005-0000-0000-0000FE650000}"/>
    <cellStyle name="Normal 3 4 4 8 2 2" xfId="56280" xr:uid="{00000000-0005-0000-0000-0000FF650000}"/>
    <cellStyle name="Normal 3 4 4 8 3" xfId="38675" xr:uid="{00000000-0005-0000-0000-000000660000}"/>
    <cellStyle name="Normal 3 4 4 9" xfId="16531" xr:uid="{00000000-0005-0000-0000-000001660000}"/>
    <cellStyle name="Normal 3 4 4 9 2" xfId="48402" xr:uid="{00000000-0005-0000-0000-000002660000}"/>
    <cellStyle name="Normal 3 4 5" xfId="6797" xr:uid="{00000000-0005-0000-0000-000003660000}"/>
    <cellStyle name="Normal 3 4 5 2" xfId="6798" xr:uid="{00000000-0005-0000-0000-000004660000}"/>
    <cellStyle name="Normal 3 4 5 2 2" xfId="6799" xr:uid="{00000000-0005-0000-0000-000005660000}"/>
    <cellStyle name="Normal 3 4 5 2 2 2" xfId="6800" xr:uid="{00000000-0005-0000-0000-000006660000}"/>
    <cellStyle name="Normal 3 4 5 2 2 2 2" xfId="6801" xr:uid="{00000000-0005-0000-0000-000007660000}"/>
    <cellStyle name="Normal 3 4 5 2 2 2 2 2" xfId="6802" xr:uid="{00000000-0005-0000-0000-000008660000}"/>
    <cellStyle name="Normal 3 4 5 2 2 2 2 2 2" xfId="6803" xr:uid="{00000000-0005-0000-0000-000009660000}"/>
    <cellStyle name="Normal 3 4 5 2 2 2 2 2 2 2" xfId="30013" xr:uid="{00000000-0005-0000-0000-00000A660000}"/>
    <cellStyle name="Normal 3 4 5 2 2 2 2 2 2 2 2" xfId="61884" xr:uid="{00000000-0005-0000-0000-00000B660000}"/>
    <cellStyle name="Normal 3 4 5 2 2 2 2 2 2 3" xfId="38682" xr:uid="{00000000-0005-0000-0000-00000C660000}"/>
    <cellStyle name="Normal 3 4 5 2 2 2 2 2 3" xfId="22135" xr:uid="{00000000-0005-0000-0000-00000D660000}"/>
    <cellStyle name="Normal 3 4 5 2 2 2 2 2 3 2" xfId="54006" xr:uid="{00000000-0005-0000-0000-00000E660000}"/>
    <cellStyle name="Normal 3 4 5 2 2 2 2 2 4" xfId="38681" xr:uid="{00000000-0005-0000-0000-00000F660000}"/>
    <cellStyle name="Normal 3 4 5 2 2 2 2 3" xfId="6804" xr:uid="{00000000-0005-0000-0000-000010660000}"/>
    <cellStyle name="Normal 3 4 5 2 2 2 2 3 2" xfId="26074" xr:uid="{00000000-0005-0000-0000-000011660000}"/>
    <cellStyle name="Normal 3 4 5 2 2 2 2 3 2 2" xfId="57945" xr:uid="{00000000-0005-0000-0000-000012660000}"/>
    <cellStyle name="Normal 3 4 5 2 2 2 2 3 3" xfId="38683" xr:uid="{00000000-0005-0000-0000-000013660000}"/>
    <cellStyle name="Normal 3 4 5 2 2 2 2 4" xfId="18196" xr:uid="{00000000-0005-0000-0000-000014660000}"/>
    <cellStyle name="Normal 3 4 5 2 2 2 2 4 2" xfId="50067" xr:uid="{00000000-0005-0000-0000-000015660000}"/>
    <cellStyle name="Normal 3 4 5 2 2 2 2 5" xfId="38680" xr:uid="{00000000-0005-0000-0000-000016660000}"/>
    <cellStyle name="Normal 3 4 5 2 2 2 3" xfId="6805" xr:uid="{00000000-0005-0000-0000-000017660000}"/>
    <cellStyle name="Normal 3 4 5 2 2 2 3 2" xfId="6806" xr:uid="{00000000-0005-0000-0000-000018660000}"/>
    <cellStyle name="Normal 3 4 5 2 2 2 3 2 2" xfId="30012" xr:uid="{00000000-0005-0000-0000-000019660000}"/>
    <cellStyle name="Normal 3 4 5 2 2 2 3 2 2 2" xfId="61883" xr:uid="{00000000-0005-0000-0000-00001A660000}"/>
    <cellStyle name="Normal 3 4 5 2 2 2 3 2 3" xfId="38685" xr:uid="{00000000-0005-0000-0000-00001B660000}"/>
    <cellStyle name="Normal 3 4 5 2 2 2 3 3" xfId="22134" xr:uid="{00000000-0005-0000-0000-00001C660000}"/>
    <cellStyle name="Normal 3 4 5 2 2 2 3 3 2" xfId="54005" xr:uid="{00000000-0005-0000-0000-00001D660000}"/>
    <cellStyle name="Normal 3 4 5 2 2 2 3 4" xfId="38684" xr:uid="{00000000-0005-0000-0000-00001E660000}"/>
    <cellStyle name="Normal 3 4 5 2 2 2 4" xfId="6807" xr:uid="{00000000-0005-0000-0000-00001F660000}"/>
    <cellStyle name="Normal 3 4 5 2 2 2 4 2" xfId="26073" xr:uid="{00000000-0005-0000-0000-000020660000}"/>
    <cellStyle name="Normal 3 4 5 2 2 2 4 2 2" xfId="57944" xr:uid="{00000000-0005-0000-0000-000021660000}"/>
    <cellStyle name="Normal 3 4 5 2 2 2 4 3" xfId="38686" xr:uid="{00000000-0005-0000-0000-000022660000}"/>
    <cellStyle name="Normal 3 4 5 2 2 2 5" xfId="18195" xr:uid="{00000000-0005-0000-0000-000023660000}"/>
    <cellStyle name="Normal 3 4 5 2 2 2 5 2" xfId="50066" xr:uid="{00000000-0005-0000-0000-000024660000}"/>
    <cellStyle name="Normal 3 4 5 2 2 2 6" xfId="38679" xr:uid="{00000000-0005-0000-0000-000025660000}"/>
    <cellStyle name="Normal 3 4 5 2 2 3" xfId="6808" xr:uid="{00000000-0005-0000-0000-000026660000}"/>
    <cellStyle name="Normal 3 4 5 2 2 3 2" xfId="6809" xr:uid="{00000000-0005-0000-0000-000027660000}"/>
    <cellStyle name="Normal 3 4 5 2 2 3 2 2" xfId="6810" xr:uid="{00000000-0005-0000-0000-000028660000}"/>
    <cellStyle name="Normal 3 4 5 2 2 3 2 2 2" xfId="30014" xr:uid="{00000000-0005-0000-0000-000029660000}"/>
    <cellStyle name="Normal 3 4 5 2 2 3 2 2 2 2" xfId="61885" xr:uid="{00000000-0005-0000-0000-00002A660000}"/>
    <cellStyle name="Normal 3 4 5 2 2 3 2 2 3" xfId="38689" xr:uid="{00000000-0005-0000-0000-00002B660000}"/>
    <cellStyle name="Normal 3 4 5 2 2 3 2 3" xfId="22136" xr:uid="{00000000-0005-0000-0000-00002C660000}"/>
    <cellStyle name="Normal 3 4 5 2 2 3 2 3 2" xfId="54007" xr:uid="{00000000-0005-0000-0000-00002D660000}"/>
    <cellStyle name="Normal 3 4 5 2 2 3 2 4" xfId="38688" xr:uid="{00000000-0005-0000-0000-00002E660000}"/>
    <cellStyle name="Normal 3 4 5 2 2 3 3" xfId="6811" xr:uid="{00000000-0005-0000-0000-00002F660000}"/>
    <cellStyle name="Normal 3 4 5 2 2 3 3 2" xfId="26075" xr:uid="{00000000-0005-0000-0000-000030660000}"/>
    <cellStyle name="Normal 3 4 5 2 2 3 3 2 2" xfId="57946" xr:uid="{00000000-0005-0000-0000-000031660000}"/>
    <cellStyle name="Normal 3 4 5 2 2 3 3 3" xfId="38690" xr:uid="{00000000-0005-0000-0000-000032660000}"/>
    <cellStyle name="Normal 3 4 5 2 2 3 4" xfId="18197" xr:uid="{00000000-0005-0000-0000-000033660000}"/>
    <cellStyle name="Normal 3 4 5 2 2 3 4 2" xfId="50068" xr:uid="{00000000-0005-0000-0000-000034660000}"/>
    <cellStyle name="Normal 3 4 5 2 2 3 5" xfId="38687" xr:uid="{00000000-0005-0000-0000-000035660000}"/>
    <cellStyle name="Normal 3 4 5 2 2 4" xfId="6812" xr:uid="{00000000-0005-0000-0000-000036660000}"/>
    <cellStyle name="Normal 3 4 5 2 2 4 2" xfId="6813" xr:uid="{00000000-0005-0000-0000-000037660000}"/>
    <cellStyle name="Normal 3 4 5 2 2 4 2 2" xfId="30011" xr:uid="{00000000-0005-0000-0000-000038660000}"/>
    <cellStyle name="Normal 3 4 5 2 2 4 2 2 2" xfId="61882" xr:uid="{00000000-0005-0000-0000-000039660000}"/>
    <cellStyle name="Normal 3 4 5 2 2 4 2 3" xfId="38692" xr:uid="{00000000-0005-0000-0000-00003A660000}"/>
    <cellStyle name="Normal 3 4 5 2 2 4 3" xfId="22133" xr:uid="{00000000-0005-0000-0000-00003B660000}"/>
    <cellStyle name="Normal 3 4 5 2 2 4 3 2" xfId="54004" xr:uid="{00000000-0005-0000-0000-00003C660000}"/>
    <cellStyle name="Normal 3 4 5 2 2 4 4" xfId="38691" xr:uid="{00000000-0005-0000-0000-00003D660000}"/>
    <cellStyle name="Normal 3 4 5 2 2 5" xfId="6814" xr:uid="{00000000-0005-0000-0000-00003E660000}"/>
    <cellStyle name="Normal 3 4 5 2 2 5 2" xfId="26072" xr:uid="{00000000-0005-0000-0000-00003F660000}"/>
    <cellStyle name="Normal 3 4 5 2 2 5 2 2" xfId="57943" xr:uid="{00000000-0005-0000-0000-000040660000}"/>
    <cellStyle name="Normal 3 4 5 2 2 5 3" xfId="38693" xr:uid="{00000000-0005-0000-0000-000041660000}"/>
    <cellStyle name="Normal 3 4 5 2 2 6" xfId="18194" xr:uid="{00000000-0005-0000-0000-000042660000}"/>
    <cellStyle name="Normal 3 4 5 2 2 6 2" xfId="50065" xr:uid="{00000000-0005-0000-0000-000043660000}"/>
    <cellStyle name="Normal 3 4 5 2 2 7" xfId="38678" xr:uid="{00000000-0005-0000-0000-000044660000}"/>
    <cellStyle name="Normal 3 4 5 2 3" xfId="6815" xr:uid="{00000000-0005-0000-0000-000045660000}"/>
    <cellStyle name="Normal 3 4 5 2 3 2" xfId="6816" xr:uid="{00000000-0005-0000-0000-000046660000}"/>
    <cellStyle name="Normal 3 4 5 2 3 2 2" xfId="6817" xr:uid="{00000000-0005-0000-0000-000047660000}"/>
    <cellStyle name="Normal 3 4 5 2 3 2 2 2" xfId="6818" xr:uid="{00000000-0005-0000-0000-000048660000}"/>
    <cellStyle name="Normal 3 4 5 2 3 2 2 2 2" xfId="30016" xr:uid="{00000000-0005-0000-0000-000049660000}"/>
    <cellStyle name="Normal 3 4 5 2 3 2 2 2 2 2" xfId="61887" xr:uid="{00000000-0005-0000-0000-00004A660000}"/>
    <cellStyle name="Normal 3 4 5 2 3 2 2 2 3" xfId="38697" xr:uid="{00000000-0005-0000-0000-00004B660000}"/>
    <cellStyle name="Normal 3 4 5 2 3 2 2 3" xfId="22138" xr:uid="{00000000-0005-0000-0000-00004C660000}"/>
    <cellStyle name="Normal 3 4 5 2 3 2 2 3 2" xfId="54009" xr:uid="{00000000-0005-0000-0000-00004D660000}"/>
    <cellStyle name="Normal 3 4 5 2 3 2 2 4" xfId="38696" xr:uid="{00000000-0005-0000-0000-00004E660000}"/>
    <cellStyle name="Normal 3 4 5 2 3 2 3" xfId="6819" xr:uid="{00000000-0005-0000-0000-00004F660000}"/>
    <cellStyle name="Normal 3 4 5 2 3 2 3 2" xfId="26077" xr:uid="{00000000-0005-0000-0000-000050660000}"/>
    <cellStyle name="Normal 3 4 5 2 3 2 3 2 2" xfId="57948" xr:uid="{00000000-0005-0000-0000-000051660000}"/>
    <cellStyle name="Normal 3 4 5 2 3 2 3 3" xfId="38698" xr:uid="{00000000-0005-0000-0000-000052660000}"/>
    <cellStyle name="Normal 3 4 5 2 3 2 4" xfId="18199" xr:uid="{00000000-0005-0000-0000-000053660000}"/>
    <cellStyle name="Normal 3 4 5 2 3 2 4 2" xfId="50070" xr:uid="{00000000-0005-0000-0000-000054660000}"/>
    <cellStyle name="Normal 3 4 5 2 3 2 5" xfId="38695" xr:uid="{00000000-0005-0000-0000-000055660000}"/>
    <cellStyle name="Normal 3 4 5 2 3 3" xfId="6820" xr:uid="{00000000-0005-0000-0000-000056660000}"/>
    <cellStyle name="Normal 3 4 5 2 3 3 2" xfId="6821" xr:uid="{00000000-0005-0000-0000-000057660000}"/>
    <cellStyle name="Normal 3 4 5 2 3 3 2 2" xfId="30015" xr:uid="{00000000-0005-0000-0000-000058660000}"/>
    <cellStyle name="Normal 3 4 5 2 3 3 2 2 2" xfId="61886" xr:uid="{00000000-0005-0000-0000-000059660000}"/>
    <cellStyle name="Normal 3 4 5 2 3 3 2 3" xfId="38700" xr:uid="{00000000-0005-0000-0000-00005A660000}"/>
    <cellStyle name="Normal 3 4 5 2 3 3 3" xfId="22137" xr:uid="{00000000-0005-0000-0000-00005B660000}"/>
    <cellStyle name="Normal 3 4 5 2 3 3 3 2" xfId="54008" xr:uid="{00000000-0005-0000-0000-00005C660000}"/>
    <cellStyle name="Normal 3 4 5 2 3 3 4" xfId="38699" xr:uid="{00000000-0005-0000-0000-00005D660000}"/>
    <cellStyle name="Normal 3 4 5 2 3 4" xfId="6822" xr:uid="{00000000-0005-0000-0000-00005E660000}"/>
    <cellStyle name="Normal 3 4 5 2 3 4 2" xfId="26076" xr:uid="{00000000-0005-0000-0000-00005F660000}"/>
    <cellStyle name="Normal 3 4 5 2 3 4 2 2" xfId="57947" xr:uid="{00000000-0005-0000-0000-000060660000}"/>
    <cellStyle name="Normal 3 4 5 2 3 4 3" xfId="38701" xr:uid="{00000000-0005-0000-0000-000061660000}"/>
    <cellStyle name="Normal 3 4 5 2 3 5" xfId="18198" xr:uid="{00000000-0005-0000-0000-000062660000}"/>
    <cellStyle name="Normal 3 4 5 2 3 5 2" xfId="50069" xr:uid="{00000000-0005-0000-0000-000063660000}"/>
    <cellStyle name="Normal 3 4 5 2 3 6" xfId="38694" xr:uid="{00000000-0005-0000-0000-000064660000}"/>
    <cellStyle name="Normal 3 4 5 2 4" xfId="6823" xr:uid="{00000000-0005-0000-0000-000065660000}"/>
    <cellStyle name="Normal 3 4 5 2 4 2" xfId="6824" xr:uid="{00000000-0005-0000-0000-000066660000}"/>
    <cellStyle name="Normal 3 4 5 2 4 2 2" xfId="6825" xr:uid="{00000000-0005-0000-0000-000067660000}"/>
    <cellStyle name="Normal 3 4 5 2 4 2 2 2" xfId="30017" xr:uid="{00000000-0005-0000-0000-000068660000}"/>
    <cellStyle name="Normal 3 4 5 2 4 2 2 2 2" xfId="61888" xr:uid="{00000000-0005-0000-0000-000069660000}"/>
    <cellStyle name="Normal 3 4 5 2 4 2 2 3" xfId="38704" xr:uid="{00000000-0005-0000-0000-00006A660000}"/>
    <cellStyle name="Normal 3 4 5 2 4 2 3" xfId="22139" xr:uid="{00000000-0005-0000-0000-00006B660000}"/>
    <cellStyle name="Normal 3 4 5 2 4 2 3 2" xfId="54010" xr:uid="{00000000-0005-0000-0000-00006C660000}"/>
    <cellStyle name="Normal 3 4 5 2 4 2 4" xfId="38703" xr:uid="{00000000-0005-0000-0000-00006D660000}"/>
    <cellStyle name="Normal 3 4 5 2 4 3" xfId="6826" xr:uid="{00000000-0005-0000-0000-00006E660000}"/>
    <cellStyle name="Normal 3 4 5 2 4 3 2" xfId="26078" xr:uid="{00000000-0005-0000-0000-00006F660000}"/>
    <cellStyle name="Normal 3 4 5 2 4 3 2 2" xfId="57949" xr:uid="{00000000-0005-0000-0000-000070660000}"/>
    <cellStyle name="Normal 3 4 5 2 4 3 3" xfId="38705" xr:uid="{00000000-0005-0000-0000-000071660000}"/>
    <cellStyle name="Normal 3 4 5 2 4 4" xfId="18200" xr:uid="{00000000-0005-0000-0000-000072660000}"/>
    <cellStyle name="Normal 3 4 5 2 4 4 2" xfId="50071" xr:uid="{00000000-0005-0000-0000-000073660000}"/>
    <cellStyle name="Normal 3 4 5 2 4 5" xfId="38702" xr:uid="{00000000-0005-0000-0000-000074660000}"/>
    <cellStyle name="Normal 3 4 5 2 5" xfId="6827" xr:uid="{00000000-0005-0000-0000-000075660000}"/>
    <cellStyle name="Normal 3 4 5 2 5 2" xfId="6828" xr:uid="{00000000-0005-0000-0000-000076660000}"/>
    <cellStyle name="Normal 3 4 5 2 5 2 2" xfId="30010" xr:uid="{00000000-0005-0000-0000-000077660000}"/>
    <cellStyle name="Normal 3 4 5 2 5 2 2 2" xfId="61881" xr:uid="{00000000-0005-0000-0000-000078660000}"/>
    <cellStyle name="Normal 3 4 5 2 5 2 3" xfId="38707" xr:uid="{00000000-0005-0000-0000-000079660000}"/>
    <cellStyle name="Normal 3 4 5 2 5 3" xfId="22132" xr:uid="{00000000-0005-0000-0000-00007A660000}"/>
    <cellStyle name="Normal 3 4 5 2 5 3 2" xfId="54003" xr:uid="{00000000-0005-0000-0000-00007B660000}"/>
    <cellStyle name="Normal 3 4 5 2 5 4" xfId="38706" xr:uid="{00000000-0005-0000-0000-00007C660000}"/>
    <cellStyle name="Normal 3 4 5 2 6" xfId="6829" xr:uid="{00000000-0005-0000-0000-00007D660000}"/>
    <cellStyle name="Normal 3 4 5 2 6 2" xfId="26071" xr:uid="{00000000-0005-0000-0000-00007E660000}"/>
    <cellStyle name="Normal 3 4 5 2 6 2 2" xfId="57942" xr:uid="{00000000-0005-0000-0000-00007F660000}"/>
    <cellStyle name="Normal 3 4 5 2 6 3" xfId="38708" xr:uid="{00000000-0005-0000-0000-000080660000}"/>
    <cellStyle name="Normal 3 4 5 2 7" xfId="18193" xr:uid="{00000000-0005-0000-0000-000081660000}"/>
    <cellStyle name="Normal 3 4 5 2 7 2" xfId="50064" xr:uid="{00000000-0005-0000-0000-000082660000}"/>
    <cellStyle name="Normal 3 4 5 2 8" xfId="38677" xr:uid="{00000000-0005-0000-0000-000083660000}"/>
    <cellStyle name="Normal 3 4 5 3" xfId="6830" xr:uid="{00000000-0005-0000-0000-000084660000}"/>
    <cellStyle name="Normal 3 4 5 3 2" xfId="6831" xr:uid="{00000000-0005-0000-0000-000085660000}"/>
    <cellStyle name="Normal 3 4 5 3 2 2" xfId="6832" xr:uid="{00000000-0005-0000-0000-000086660000}"/>
    <cellStyle name="Normal 3 4 5 3 2 2 2" xfId="6833" xr:uid="{00000000-0005-0000-0000-000087660000}"/>
    <cellStyle name="Normal 3 4 5 3 2 2 2 2" xfId="6834" xr:uid="{00000000-0005-0000-0000-000088660000}"/>
    <cellStyle name="Normal 3 4 5 3 2 2 2 2 2" xfId="30020" xr:uid="{00000000-0005-0000-0000-000089660000}"/>
    <cellStyle name="Normal 3 4 5 3 2 2 2 2 2 2" xfId="61891" xr:uid="{00000000-0005-0000-0000-00008A660000}"/>
    <cellStyle name="Normal 3 4 5 3 2 2 2 2 3" xfId="38713" xr:uid="{00000000-0005-0000-0000-00008B660000}"/>
    <cellStyle name="Normal 3 4 5 3 2 2 2 3" xfId="22142" xr:uid="{00000000-0005-0000-0000-00008C660000}"/>
    <cellStyle name="Normal 3 4 5 3 2 2 2 3 2" xfId="54013" xr:uid="{00000000-0005-0000-0000-00008D660000}"/>
    <cellStyle name="Normal 3 4 5 3 2 2 2 4" xfId="38712" xr:uid="{00000000-0005-0000-0000-00008E660000}"/>
    <cellStyle name="Normal 3 4 5 3 2 2 3" xfId="6835" xr:uid="{00000000-0005-0000-0000-00008F660000}"/>
    <cellStyle name="Normal 3 4 5 3 2 2 3 2" xfId="26081" xr:uid="{00000000-0005-0000-0000-000090660000}"/>
    <cellStyle name="Normal 3 4 5 3 2 2 3 2 2" xfId="57952" xr:uid="{00000000-0005-0000-0000-000091660000}"/>
    <cellStyle name="Normal 3 4 5 3 2 2 3 3" xfId="38714" xr:uid="{00000000-0005-0000-0000-000092660000}"/>
    <cellStyle name="Normal 3 4 5 3 2 2 4" xfId="18203" xr:uid="{00000000-0005-0000-0000-000093660000}"/>
    <cellStyle name="Normal 3 4 5 3 2 2 4 2" xfId="50074" xr:uid="{00000000-0005-0000-0000-000094660000}"/>
    <cellStyle name="Normal 3 4 5 3 2 2 5" xfId="38711" xr:uid="{00000000-0005-0000-0000-000095660000}"/>
    <cellStyle name="Normal 3 4 5 3 2 3" xfId="6836" xr:uid="{00000000-0005-0000-0000-000096660000}"/>
    <cellStyle name="Normal 3 4 5 3 2 3 2" xfId="6837" xr:uid="{00000000-0005-0000-0000-000097660000}"/>
    <cellStyle name="Normal 3 4 5 3 2 3 2 2" xfId="30019" xr:uid="{00000000-0005-0000-0000-000098660000}"/>
    <cellStyle name="Normal 3 4 5 3 2 3 2 2 2" xfId="61890" xr:uid="{00000000-0005-0000-0000-000099660000}"/>
    <cellStyle name="Normal 3 4 5 3 2 3 2 3" xfId="38716" xr:uid="{00000000-0005-0000-0000-00009A660000}"/>
    <cellStyle name="Normal 3 4 5 3 2 3 3" xfId="22141" xr:uid="{00000000-0005-0000-0000-00009B660000}"/>
    <cellStyle name="Normal 3 4 5 3 2 3 3 2" xfId="54012" xr:uid="{00000000-0005-0000-0000-00009C660000}"/>
    <cellStyle name="Normal 3 4 5 3 2 3 4" xfId="38715" xr:uid="{00000000-0005-0000-0000-00009D660000}"/>
    <cellStyle name="Normal 3 4 5 3 2 4" xfId="6838" xr:uid="{00000000-0005-0000-0000-00009E660000}"/>
    <cellStyle name="Normal 3 4 5 3 2 4 2" xfId="26080" xr:uid="{00000000-0005-0000-0000-00009F660000}"/>
    <cellStyle name="Normal 3 4 5 3 2 4 2 2" xfId="57951" xr:uid="{00000000-0005-0000-0000-0000A0660000}"/>
    <cellStyle name="Normal 3 4 5 3 2 4 3" xfId="38717" xr:uid="{00000000-0005-0000-0000-0000A1660000}"/>
    <cellStyle name="Normal 3 4 5 3 2 5" xfId="18202" xr:uid="{00000000-0005-0000-0000-0000A2660000}"/>
    <cellStyle name="Normal 3 4 5 3 2 5 2" xfId="50073" xr:uid="{00000000-0005-0000-0000-0000A3660000}"/>
    <cellStyle name="Normal 3 4 5 3 2 6" xfId="38710" xr:uid="{00000000-0005-0000-0000-0000A4660000}"/>
    <cellStyle name="Normal 3 4 5 3 3" xfId="6839" xr:uid="{00000000-0005-0000-0000-0000A5660000}"/>
    <cellStyle name="Normal 3 4 5 3 3 2" xfId="6840" xr:uid="{00000000-0005-0000-0000-0000A6660000}"/>
    <cellStyle name="Normal 3 4 5 3 3 2 2" xfId="6841" xr:uid="{00000000-0005-0000-0000-0000A7660000}"/>
    <cellStyle name="Normal 3 4 5 3 3 2 2 2" xfId="30021" xr:uid="{00000000-0005-0000-0000-0000A8660000}"/>
    <cellStyle name="Normal 3 4 5 3 3 2 2 2 2" xfId="61892" xr:uid="{00000000-0005-0000-0000-0000A9660000}"/>
    <cellStyle name="Normal 3 4 5 3 3 2 2 3" xfId="38720" xr:uid="{00000000-0005-0000-0000-0000AA660000}"/>
    <cellStyle name="Normal 3 4 5 3 3 2 3" xfId="22143" xr:uid="{00000000-0005-0000-0000-0000AB660000}"/>
    <cellStyle name="Normal 3 4 5 3 3 2 3 2" xfId="54014" xr:uid="{00000000-0005-0000-0000-0000AC660000}"/>
    <cellStyle name="Normal 3 4 5 3 3 2 4" xfId="38719" xr:uid="{00000000-0005-0000-0000-0000AD660000}"/>
    <cellStyle name="Normal 3 4 5 3 3 3" xfId="6842" xr:uid="{00000000-0005-0000-0000-0000AE660000}"/>
    <cellStyle name="Normal 3 4 5 3 3 3 2" xfId="26082" xr:uid="{00000000-0005-0000-0000-0000AF660000}"/>
    <cellStyle name="Normal 3 4 5 3 3 3 2 2" xfId="57953" xr:uid="{00000000-0005-0000-0000-0000B0660000}"/>
    <cellStyle name="Normal 3 4 5 3 3 3 3" xfId="38721" xr:uid="{00000000-0005-0000-0000-0000B1660000}"/>
    <cellStyle name="Normal 3 4 5 3 3 4" xfId="18204" xr:uid="{00000000-0005-0000-0000-0000B2660000}"/>
    <cellStyle name="Normal 3 4 5 3 3 4 2" xfId="50075" xr:uid="{00000000-0005-0000-0000-0000B3660000}"/>
    <cellStyle name="Normal 3 4 5 3 3 5" xfId="38718" xr:uid="{00000000-0005-0000-0000-0000B4660000}"/>
    <cellStyle name="Normal 3 4 5 3 4" xfId="6843" xr:uid="{00000000-0005-0000-0000-0000B5660000}"/>
    <cellStyle name="Normal 3 4 5 3 4 2" xfId="6844" xr:uid="{00000000-0005-0000-0000-0000B6660000}"/>
    <cellStyle name="Normal 3 4 5 3 4 2 2" xfId="30018" xr:uid="{00000000-0005-0000-0000-0000B7660000}"/>
    <cellStyle name="Normal 3 4 5 3 4 2 2 2" xfId="61889" xr:uid="{00000000-0005-0000-0000-0000B8660000}"/>
    <cellStyle name="Normal 3 4 5 3 4 2 3" xfId="38723" xr:uid="{00000000-0005-0000-0000-0000B9660000}"/>
    <cellStyle name="Normal 3 4 5 3 4 3" xfId="22140" xr:uid="{00000000-0005-0000-0000-0000BA660000}"/>
    <cellStyle name="Normal 3 4 5 3 4 3 2" xfId="54011" xr:uid="{00000000-0005-0000-0000-0000BB660000}"/>
    <cellStyle name="Normal 3 4 5 3 4 4" xfId="38722" xr:uid="{00000000-0005-0000-0000-0000BC660000}"/>
    <cellStyle name="Normal 3 4 5 3 5" xfId="6845" xr:uid="{00000000-0005-0000-0000-0000BD660000}"/>
    <cellStyle name="Normal 3 4 5 3 5 2" xfId="26079" xr:uid="{00000000-0005-0000-0000-0000BE660000}"/>
    <cellStyle name="Normal 3 4 5 3 5 2 2" xfId="57950" xr:uid="{00000000-0005-0000-0000-0000BF660000}"/>
    <cellStyle name="Normal 3 4 5 3 5 3" xfId="38724" xr:uid="{00000000-0005-0000-0000-0000C0660000}"/>
    <cellStyle name="Normal 3 4 5 3 6" xfId="18201" xr:uid="{00000000-0005-0000-0000-0000C1660000}"/>
    <cellStyle name="Normal 3 4 5 3 6 2" xfId="50072" xr:uid="{00000000-0005-0000-0000-0000C2660000}"/>
    <cellStyle name="Normal 3 4 5 3 7" xfId="38709" xr:uid="{00000000-0005-0000-0000-0000C3660000}"/>
    <cellStyle name="Normal 3 4 5 4" xfId="6846" xr:uid="{00000000-0005-0000-0000-0000C4660000}"/>
    <cellStyle name="Normal 3 4 5 4 2" xfId="6847" xr:uid="{00000000-0005-0000-0000-0000C5660000}"/>
    <cellStyle name="Normal 3 4 5 4 2 2" xfId="6848" xr:uid="{00000000-0005-0000-0000-0000C6660000}"/>
    <cellStyle name="Normal 3 4 5 4 2 2 2" xfId="6849" xr:uid="{00000000-0005-0000-0000-0000C7660000}"/>
    <cellStyle name="Normal 3 4 5 4 2 2 2 2" xfId="30023" xr:uid="{00000000-0005-0000-0000-0000C8660000}"/>
    <cellStyle name="Normal 3 4 5 4 2 2 2 2 2" xfId="61894" xr:uid="{00000000-0005-0000-0000-0000C9660000}"/>
    <cellStyle name="Normal 3 4 5 4 2 2 2 3" xfId="38728" xr:uid="{00000000-0005-0000-0000-0000CA660000}"/>
    <cellStyle name="Normal 3 4 5 4 2 2 3" xfId="22145" xr:uid="{00000000-0005-0000-0000-0000CB660000}"/>
    <cellStyle name="Normal 3 4 5 4 2 2 3 2" xfId="54016" xr:uid="{00000000-0005-0000-0000-0000CC660000}"/>
    <cellStyle name="Normal 3 4 5 4 2 2 4" xfId="38727" xr:uid="{00000000-0005-0000-0000-0000CD660000}"/>
    <cellStyle name="Normal 3 4 5 4 2 3" xfId="6850" xr:uid="{00000000-0005-0000-0000-0000CE660000}"/>
    <cellStyle name="Normal 3 4 5 4 2 3 2" xfId="26084" xr:uid="{00000000-0005-0000-0000-0000CF660000}"/>
    <cellStyle name="Normal 3 4 5 4 2 3 2 2" xfId="57955" xr:uid="{00000000-0005-0000-0000-0000D0660000}"/>
    <cellStyle name="Normal 3 4 5 4 2 3 3" xfId="38729" xr:uid="{00000000-0005-0000-0000-0000D1660000}"/>
    <cellStyle name="Normal 3 4 5 4 2 4" xfId="18206" xr:uid="{00000000-0005-0000-0000-0000D2660000}"/>
    <cellStyle name="Normal 3 4 5 4 2 4 2" xfId="50077" xr:uid="{00000000-0005-0000-0000-0000D3660000}"/>
    <cellStyle name="Normal 3 4 5 4 2 5" xfId="38726" xr:uid="{00000000-0005-0000-0000-0000D4660000}"/>
    <cellStyle name="Normal 3 4 5 4 3" xfId="6851" xr:uid="{00000000-0005-0000-0000-0000D5660000}"/>
    <cellStyle name="Normal 3 4 5 4 3 2" xfId="6852" xr:uid="{00000000-0005-0000-0000-0000D6660000}"/>
    <cellStyle name="Normal 3 4 5 4 3 2 2" xfId="30022" xr:uid="{00000000-0005-0000-0000-0000D7660000}"/>
    <cellStyle name="Normal 3 4 5 4 3 2 2 2" xfId="61893" xr:uid="{00000000-0005-0000-0000-0000D8660000}"/>
    <cellStyle name="Normal 3 4 5 4 3 2 3" xfId="38731" xr:uid="{00000000-0005-0000-0000-0000D9660000}"/>
    <cellStyle name="Normal 3 4 5 4 3 3" xfId="22144" xr:uid="{00000000-0005-0000-0000-0000DA660000}"/>
    <cellStyle name="Normal 3 4 5 4 3 3 2" xfId="54015" xr:uid="{00000000-0005-0000-0000-0000DB660000}"/>
    <cellStyle name="Normal 3 4 5 4 3 4" xfId="38730" xr:uid="{00000000-0005-0000-0000-0000DC660000}"/>
    <cellStyle name="Normal 3 4 5 4 4" xfId="6853" xr:uid="{00000000-0005-0000-0000-0000DD660000}"/>
    <cellStyle name="Normal 3 4 5 4 4 2" xfId="26083" xr:uid="{00000000-0005-0000-0000-0000DE660000}"/>
    <cellStyle name="Normal 3 4 5 4 4 2 2" xfId="57954" xr:uid="{00000000-0005-0000-0000-0000DF660000}"/>
    <cellStyle name="Normal 3 4 5 4 4 3" xfId="38732" xr:uid="{00000000-0005-0000-0000-0000E0660000}"/>
    <cellStyle name="Normal 3 4 5 4 5" xfId="18205" xr:uid="{00000000-0005-0000-0000-0000E1660000}"/>
    <cellStyle name="Normal 3 4 5 4 5 2" xfId="50076" xr:uid="{00000000-0005-0000-0000-0000E2660000}"/>
    <cellStyle name="Normal 3 4 5 4 6" xfId="38725" xr:uid="{00000000-0005-0000-0000-0000E3660000}"/>
    <cellStyle name="Normal 3 4 5 5" xfId="6854" xr:uid="{00000000-0005-0000-0000-0000E4660000}"/>
    <cellStyle name="Normal 3 4 5 5 2" xfId="6855" xr:uid="{00000000-0005-0000-0000-0000E5660000}"/>
    <cellStyle name="Normal 3 4 5 5 2 2" xfId="6856" xr:uid="{00000000-0005-0000-0000-0000E6660000}"/>
    <cellStyle name="Normal 3 4 5 5 2 2 2" xfId="30024" xr:uid="{00000000-0005-0000-0000-0000E7660000}"/>
    <cellStyle name="Normal 3 4 5 5 2 2 2 2" xfId="61895" xr:uid="{00000000-0005-0000-0000-0000E8660000}"/>
    <cellStyle name="Normal 3 4 5 5 2 2 3" xfId="38735" xr:uid="{00000000-0005-0000-0000-0000E9660000}"/>
    <cellStyle name="Normal 3 4 5 5 2 3" xfId="22146" xr:uid="{00000000-0005-0000-0000-0000EA660000}"/>
    <cellStyle name="Normal 3 4 5 5 2 3 2" xfId="54017" xr:uid="{00000000-0005-0000-0000-0000EB660000}"/>
    <cellStyle name="Normal 3 4 5 5 2 4" xfId="38734" xr:uid="{00000000-0005-0000-0000-0000EC660000}"/>
    <cellStyle name="Normal 3 4 5 5 3" xfId="6857" xr:uid="{00000000-0005-0000-0000-0000ED660000}"/>
    <cellStyle name="Normal 3 4 5 5 3 2" xfId="26085" xr:uid="{00000000-0005-0000-0000-0000EE660000}"/>
    <cellStyle name="Normal 3 4 5 5 3 2 2" xfId="57956" xr:uid="{00000000-0005-0000-0000-0000EF660000}"/>
    <cellStyle name="Normal 3 4 5 5 3 3" xfId="38736" xr:uid="{00000000-0005-0000-0000-0000F0660000}"/>
    <cellStyle name="Normal 3 4 5 5 4" xfId="18207" xr:uid="{00000000-0005-0000-0000-0000F1660000}"/>
    <cellStyle name="Normal 3 4 5 5 4 2" xfId="50078" xr:uid="{00000000-0005-0000-0000-0000F2660000}"/>
    <cellStyle name="Normal 3 4 5 5 5" xfId="38733" xr:uid="{00000000-0005-0000-0000-0000F3660000}"/>
    <cellStyle name="Normal 3 4 5 6" xfId="6858" xr:uid="{00000000-0005-0000-0000-0000F4660000}"/>
    <cellStyle name="Normal 3 4 5 6 2" xfId="6859" xr:uid="{00000000-0005-0000-0000-0000F5660000}"/>
    <cellStyle name="Normal 3 4 5 6 2 2" xfId="28389" xr:uid="{00000000-0005-0000-0000-0000F6660000}"/>
    <cellStyle name="Normal 3 4 5 6 2 2 2" xfId="60260" xr:uid="{00000000-0005-0000-0000-0000F7660000}"/>
    <cellStyle name="Normal 3 4 5 6 2 3" xfId="38738" xr:uid="{00000000-0005-0000-0000-0000F8660000}"/>
    <cellStyle name="Normal 3 4 5 6 3" xfId="20511" xr:uid="{00000000-0005-0000-0000-0000F9660000}"/>
    <cellStyle name="Normal 3 4 5 6 3 2" xfId="52382" xr:uid="{00000000-0005-0000-0000-0000FA660000}"/>
    <cellStyle name="Normal 3 4 5 6 4" xfId="38737" xr:uid="{00000000-0005-0000-0000-0000FB660000}"/>
    <cellStyle name="Normal 3 4 5 7" xfId="6860" xr:uid="{00000000-0005-0000-0000-0000FC660000}"/>
    <cellStyle name="Normal 3 4 5 7 2" xfId="24450" xr:uid="{00000000-0005-0000-0000-0000FD660000}"/>
    <cellStyle name="Normal 3 4 5 7 2 2" xfId="56321" xr:uid="{00000000-0005-0000-0000-0000FE660000}"/>
    <cellStyle name="Normal 3 4 5 7 3" xfId="38739" xr:uid="{00000000-0005-0000-0000-0000FF660000}"/>
    <cellStyle name="Normal 3 4 5 8" xfId="16572" xr:uid="{00000000-0005-0000-0000-000000670000}"/>
    <cellStyle name="Normal 3 4 5 8 2" xfId="48443" xr:uid="{00000000-0005-0000-0000-000001670000}"/>
    <cellStyle name="Normal 3 4 5 9" xfId="38676" xr:uid="{00000000-0005-0000-0000-000002670000}"/>
    <cellStyle name="Normal 3 4 6" xfId="6861" xr:uid="{00000000-0005-0000-0000-000003670000}"/>
    <cellStyle name="Normal 3 4 6 2" xfId="6862" xr:uid="{00000000-0005-0000-0000-000004670000}"/>
    <cellStyle name="Normal 3 4 6 2 2" xfId="6863" xr:uid="{00000000-0005-0000-0000-000005670000}"/>
    <cellStyle name="Normal 3 4 6 2 2 2" xfId="6864" xr:uid="{00000000-0005-0000-0000-000006670000}"/>
    <cellStyle name="Normal 3 4 6 2 2 2 2" xfId="6865" xr:uid="{00000000-0005-0000-0000-000007670000}"/>
    <cellStyle name="Normal 3 4 6 2 2 2 2 2" xfId="6866" xr:uid="{00000000-0005-0000-0000-000008670000}"/>
    <cellStyle name="Normal 3 4 6 2 2 2 2 2 2" xfId="30027" xr:uid="{00000000-0005-0000-0000-000009670000}"/>
    <cellStyle name="Normal 3 4 6 2 2 2 2 2 2 2" xfId="61898" xr:uid="{00000000-0005-0000-0000-00000A670000}"/>
    <cellStyle name="Normal 3 4 6 2 2 2 2 2 3" xfId="38745" xr:uid="{00000000-0005-0000-0000-00000B670000}"/>
    <cellStyle name="Normal 3 4 6 2 2 2 2 3" xfId="22149" xr:uid="{00000000-0005-0000-0000-00000C670000}"/>
    <cellStyle name="Normal 3 4 6 2 2 2 2 3 2" xfId="54020" xr:uid="{00000000-0005-0000-0000-00000D670000}"/>
    <cellStyle name="Normal 3 4 6 2 2 2 2 4" xfId="38744" xr:uid="{00000000-0005-0000-0000-00000E670000}"/>
    <cellStyle name="Normal 3 4 6 2 2 2 3" xfId="6867" xr:uid="{00000000-0005-0000-0000-00000F670000}"/>
    <cellStyle name="Normal 3 4 6 2 2 2 3 2" xfId="26088" xr:uid="{00000000-0005-0000-0000-000010670000}"/>
    <cellStyle name="Normal 3 4 6 2 2 2 3 2 2" xfId="57959" xr:uid="{00000000-0005-0000-0000-000011670000}"/>
    <cellStyle name="Normal 3 4 6 2 2 2 3 3" xfId="38746" xr:uid="{00000000-0005-0000-0000-000012670000}"/>
    <cellStyle name="Normal 3 4 6 2 2 2 4" xfId="18210" xr:uid="{00000000-0005-0000-0000-000013670000}"/>
    <cellStyle name="Normal 3 4 6 2 2 2 4 2" xfId="50081" xr:uid="{00000000-0005-0000-0000-000014670000}"/>
    <cellStyle name="Normal 3 4 6 2 2 2 5" xfId="38743" xr:uid="{00000000-0005-0000-0000-000015670000}"/>
    <cellStyle name="Normal 3 4 6 2 2 3" xfId="6868" xr:uid="{00000000-0005-0000-0000-000016670000}"/>
    <cellStyle name="Normal 3 4 6 2 2 3 2" xfId="6869" xr:uid="{00000000-0005-0000-0000-000017670000}"/>
    <cellStyle name="Normal 3 4 6 2 2 3 2 2" xfId="30026" xr:uid="{00000000-0005-0000-0000-000018670000}"/>
    <cellStyle name="Normal 3 4 6 2 2 3 2 2 2" xfId="61897" xr:uid="{00000000-0005-0000-0000-000019670000}"/>
    <cellStyle name="Normal 3 4 6 2 2 3 2 3" xfId="38748" xr:uid="{00000000-0005-0000-0000-00001A670000}"/>
    <cellStyle name="Normal 3 4 6 2 2 3 3" xfId="22148" xr:uid="{00000000-0005-0000-0000-00001B670000}"/>
    <cellStyle name="Normal 3 4 6 2 2 3 3 2" xfId="54019" xr:uid="{00000000-0005-0000-0000-00001C670000}"/>
    <cellStyle name="Normal 3 4 6 2 2 3 4" xfId="38747" xr:uid="{00000000-0005-0000-0000-00001D670000}"/>
    <cellStyle name="Normal 3 4 6 2 2 4" xfId="6870" xr:uid="{00000000-0005-0000-0000-00001E670000}"/>
    <cellStyle name="Normal 3 4 6 2 2 4 2" xfId="26087" xr:uid="{00000000-0005-0000-0000-00001F670000}"/>
    <cellStyle name="Normal 3 4 6 2 2 4 2 2" xfId="57958" xr:uid="{00000000-0005-0000-0000-000020670000}"/>
    <cellStyle name="Normal 3 4 6 2 2 4 3" xfId="38749" xr:uid="{00000000-0005-0000-0000-000021670000}"/>
    <cellStyle name="Normal 3 4 6 2 2 5" xfId="18209" xr:uid="{00000000-0005-0000-0000-000022670000}"/>
    <cellStyle name="Normal 3 4 6 2 2 5 2" xfId="50080" xr:uid="{00000000-0005-0000-0000-000023670000}"/>
    <cellStyle name="Normal 3 4 6 2 2 6" xfId="38742" xr:uid="{00000000-0005-0000-0000-000024670000}"/>
    <cellStyle name="Normal 3 4 6 2 3" xfId="6871" xr:uid="{00000000-0005-0000-0000-000025670000}"/>
    <cellStyle name="Normal 3 4 6 2 3 2" xfId="6872" xr:uid="{00000000-0005-0000-0000-000026670000}"/>
    <cellStyle name="Normal 3 4 6 2 3 2 2" xfId="6873" xr:uid="{00000000-0005-0000-0000-000027670000}"/>
    <cellStyle name="Normal 3 4 6 2 3 2 2 2" xfId="30028" xr:uid="{00000000-0005-0000-0000-000028670000}"/>
    <cellStyle name="Normal 3 4 6 2 3 2 2 2 2" xfId="61899" xr:uid="{00000000-0005-0000-0000-000029670000}"/>
    <cellStyle name="Normal 3 4 6 2 3 2 2 3" xfId="38752" xr:uid="{00000000-0005-0000-0000-00002A670000}"/>
    <cellStyle name="Normal 3 4 6 2 3 2 3" xfId="22150" xr:uid="{00000000-0005-0000-0000-00002B670000}"/>
    <cellStyle name="Normal 3 4 6 2 3 2 3 2" xfId="54021" xr:uid="{00000000-0005-0000-0000-00002C670000}"/>
    <cellStyle name="Normal 3 4 6 2 3 2 4" xfId="38751" xr:uid="{00000000-0005-0000-0000-00002D670000}"/>
    <cellStyle name="Normal 3 4 6 2 3 3" xfId="6874" xr:uid="{00000000-0005-0000-0000-00002E670000}"/>
    <cellStyle name="Normal 3 4 6 2 3 3 2" xfId="26089" xr:uid="{00000000-0005-0000-0000-00002F670000}"/>
    <cellStyle name="Normal 3 4 6 2 3 3 2 2" xfId="57960" xr:uid="{00000000-0005-0000-0000-000030670000}"/>
    <cellStyle name="Normal 3 4 6 2 3 3 3" xfId="38753" xr:uid="{00000000-0005-0000-0000-000031670000}"/>
    <cellStyle name="Normal 3 4 6 2 3 4" xfId="18211" xr:uid="{00000000-0005-0000-0000-000032670000}"/>
    <cellStyle name="Normal 3 4 6 2 3 4 2" xfId="50082" xr:uid="{00000000-0005-0000-0000-000033670000}"/>
    <cellStyle name="Normal 3 4 6 2 3 5" xfId="38750" xr:uid="{00000000-0005-0000-0000-000034670000}"/>
    <cellStyle name="Normal 3 4 6 2 4" xfId="6875" xr:uid="{00000000-0005-0000-0000-000035670000}"/>
    <cellStyle name="Normal 3 4 6 2 4 2" xfId="6876" xr:uid="{00000000-0005-0000-0000-000036670000}"/>
    <cellStyle name="Normal 3 4 6 2 4 2 2" xfId="30025" xr:uid="{00000000-0005-0000-0000-000037670000}"/>
    <cellStyle name="Normal 3 4 6 2 4 2 2 2" xfId="61896" xr:uid="{00000000-0005-0000-0000-000038670000}"/>
    <cellStyle name="Normal 3 4 6 2 4 2 3" xfId="38755" xr:uid="{00000000-0005-0000-0000-000039670000}"/>
    <cellStyle name="Normal 3 4 6 2 4 3" xfId="22147" xr:uid="{00000000-0005-0000-0000-00003A670000}"/>
    <cellStyle name="Normal 3 4 6 2 4 3 2" xfId="54018" xr:uid="{00000000-0005-0000-0000-00003B670000}"/>
    <cellStyle name="Normal 3 4 6 2 4 4" xfId="38754" xr:uid="{00000000-0005-0000-0000-00003C670000}"/>
    <cellStyle name="Normal 3 4 6 2 5" xfId="6877" xr:uid="{00000000-0005-0000-0000-00003D670000}"/>
    <cellStyle name="Normal 3 4 6 2 5 2" xfId="26086" xr:uid="{00000000-0005-0000-0000-00003E670000}"/>
    <cellStyle name="Normal 3 4 6 2 5 2 2" xfId="57957" xr:uid="{00000000-0005-0000-0000-00003F670000}"/>
    <cellStyle name="Normal 3 4 6 2 5 3" xfId="38756" xr:uid="{00000000-0005-0000-0000-000040670000}"/>
    <cellStyle name="Normal 3 4 6 2 6" xfId="18208" xr:uid="{00000000-0005-0000-0000-000041670000}"/>
    <cellStyle name="Normal 3 4 6 2 6 2" xfId="50079" xr:uid="{00000000-0005-0000-0000-000042670000}"/>
    <cellStyle name="Normal 3 4 6 2 7" xfId="38741" xr:uid="{00000000-0005-0000-0000-000043670000}"/>
    <cellStyle name="Normal 3 4 6 3" xfId="6878" xr:uid="{00000000-0005-0000-0000-000044670000}"/>
    <cellStyle name="Normal 3 4 6 3 2" xfId="6879" xr:uid="{00000000-0005-0000-0000-000045670000}"/>
    <cellStyle name="Normal 3 4 6 3 2 2" xfId="6880" xr:uid="{00000000-0005-0000-0000-000046670000}"/>
    <cellStyle name="Normal 3 4 6 3 2 2 2" xfId="6881" xr:uid="{00000000-0005-0000-0000-000047670000}"/>
    <cellStyle name="Normal 3 4 6 3 2 2 2 2" xfId="30030" xr:uid="{00000000-0005-0000-0000-000048670000}"/>
    <cellStyle name="Normal 3 4 6 3 2 2 2 2 2" xfId="61901" xr:uid="{00000000-0005-0000-0000-000049670000}"/>
    <cellStyle name="Normal 3 4 6 3 2 2 2 3" xfId="38760" xr:uid="{00000000-0005-0000-0000-00004A670000}"/>
    <cellStyle name="Normal 3 4 6 3 2 2 3" xfId="22152" xr:uid="{00000000-0005-0000-0000-00004B670000}"/>
    <cellStyle name="Normal 3 4 6 3 2 2 3 2" xfId="54023" xr:uid="{00000000-0005-0000-0000-00004C670000}"/>
    <cellStyle name="Normal 3 4 6 3 2 2 4" xfId="38759" xr:uid="{00000000-0005-0000-0000-00004D670000}"/>
    <cellStyle name="Normal 3 4 6 3 2 3" xfId="6882" xr:uid="{00000000-0005-0000-0000-00004E670000}"/>
    <cellStyle name="Normal 3 4 6 3 2 3 2" xfId="26091" xr:uid="{00000000-0005-0000-0000-00004F670000}"/>
    <cellStyle name="Normal 3 4 6 3 2 3 2 2" xfId="57962" xr:uid="{00000000-0005-0000-0000-000050670000}"/>
    <cellStyle name="Normal 3 4 6 3 2 3 3" xfId="38761" xr:uid="{00000000-0005-0000-0000-000051670000}"/>
    <cellStyle name="Normal 3 4 6 3 2 4" xfId="18213" xr:uid="{00000000-0005-0000-0000-000052670000}"/>
    <cellStyle name="Normal 3 4 6 3 2 4 2" xfId="50084" xr:uid="{00000000-0005-0000-0000-000053670000}"/>
    <cellStyle name="Normal 3 4 6 3 2 5" xfId="38758" xr:uid="{00000000-0005-0000-0000-000054670000}"/>
    <cellStyle name="Normal 3 4 6 3 3" xfId="6883" xr:uid="{00000000-0005-0000-0000-000055670000}"/>
    <cellStyle name="Normal 3 4 6 3 3 2" xfId="6884" xr:uid="{00000000-0005-0000-0000-000056670000}"/>
    <cellStyle name="Normal 3 4 6 3 3 2 2" xfId="30029" xr:uid="{00000000-0005-0000-0000-000057670000}"/>
    <cellStyle name="Normal 3 4 6 3 3 2 2 2" xfId="61900" xr:uid="{00000000-0005-0000-0000-000058670000}"/>
    <cellStyle name="Normal 3 4 6 3 3 2 3" xfId="38763" xr:uid="{00000000-0005-0000-0000-000059670000}"/>
    <cellStyle name="Normal 3 4 6 3 3 3" xfId="22151" xr:uid="{00000000-0005-0000-0000-00005A670000}"/>
    <cellStyle name="Normal 3 4 6 3 3 3 2" xfId="54022" xr:uid="{00000000-0005-0000-0000-00005B670000}"/>
    <cellStyle name="Normal 3 4 6 3 3 4" xfId="38762" xr:uid="{00000000-0005-0000-0000-00005C670000}"/>
    <cellStyle name="Normal 3 4 6 3 4" xfId="6885" xr:uid="{00000000-0005-0000-0000-00005D670000}"/>
    <cellStyle name="Normal 3 4 6 3 4 2" xfId="26090" xr:uid="{00000000-0005-0000-0000-00005E670000}"/>
    <cellStyle name="Normal 3 4 6 3 4 2 2" xfId="57961" xr:uid="{00000000-0005-0000-0000-00005F670000}"/>
    <cellStyle name="Normal 3 4 6 3 4 3" xfId="38764" xr:uid="{00000000-0005-0000-0000-000060670000}"/>
    <cellStyle name="Normal 3 4 6 3 5" xfId="18212" xr:uid="{00000000-0005-0000-0000-000061670000}"/>
    <cellStyle name="Normal 3 4 6 3 5 2" xfId="50083" xr:uid="{00000000-0005-0000-0000-000062670000}"/>
    <cellStyle name="Normal 3 4 6 3 6" xfId="38757" xr:uid="{00000000-0005-0000-0000-000063670000}"/>
    <cellStyle name="Normal 3 4 6 4" xfId="6886" xr:uid="{00000000-0005-0000-0000-000064670000}"/>
    <cellStyle name="Normal 3 4 6 4 2" xfId="6887" xr:uid="{00000000-0005-0000-0000-000065670000}"/>
    <cellStyle name="Normal 3 4 6 4 2 2" xfId="6888" xr:uid="{00000000-0005-0000-0000-000066670000}"/>
    <cellStyle name="Normal 3 4 6 4 2 2 2" xfId="30031" xr:uid="{00000000-0005-0000-0000-000067670000}"/>
    <cellStyle name="Normal 3 4 6 4 2 2 2 2" xfId="61902" xr:uid="{00000000-0005-0000-0000-000068670000}"/>
    <cellStyle name="Normal 3 4 6 4 2 2 3" xfId="38767" xr:uid="{00000000-0005-0000-0000-000069670000}"/>
    <cellStyle name="Normal 3 4 6 4 2 3" xfId="22153" xr:uid="{00000000-0005-0000-0000-00006A670000}"/>
    <cellStyle name="Normal 3 4 6 4 2 3 2" xfId="54024" xr:uid="{00000000-0005-0000-0000-00006B670000}"/>
    <cellStyle name="Normal 3 4 6 4 2 4" xfId="38766" xr:uid="{00000000-0005-0000-0000-00006C670000}"/>
    <cellStyle name="Normal 3 4 6 4 3" xfId="6889" xr:uid="{00000000-0005-0000-0000-00006D670000}"/>
    <cellStyle name="Normal 3 4 6 4 3 2" xfId="26092" xr:uid="{00000000-0005-0000-0000-00006E670000}"/>
    <cellStyle name="Normal 3 4 6 4 3 2 2" xfId="57963" xr:uid="{00000000-0005-0000-0000-00006F670000}"/>
    <cellStyle name="Normal 3 4 6 4 3 3" xfId="38768" xr:uid="{00000000-0005-0000-0000-000070670000}"/>
    <cellStyle name="Normal 3 4 6 4 4" xfId="18214" xr:uid="{00000000-0005-0000-0000-000071670000}"/>
    <cellStyle name="Normal 3 4 6 4 4 2" xfId="50085" xr:uid="{00000000-0005-0000-0000-000072670000}"/>
    <cellStyle name="Normal 3 4 6 4 5" xfId="38765" xr:uid="{00000000-0005-0000-0000-000073670000}"/>
    <cellStyle name="Normal 3 4 6 5" xfId="6890" xr:uid="{00000000-0005-0000-0000-000074670000}"/>
    <cellStyle name="Normal 3 4 6 5 2" xfId="6891" xr:uid="{00000000-0005-0000-0000-000075670000}"/>
    <cellStyle name="Normal 3 4 6 5 2 2" xfId="28266" xr:uid="{00000000-0005-0000-0000-000076670000}"/>
    <cellStyle name="Normal 3 4 6 5 2 2 2" xfId="60137" xr:uid="{00000000-0005-0000-0000-000077670000}"/>
    <cellStyle name="Normal 3 4 6 5 2 3" xfId="38770" xr:uid="{00000000-0005-0000-0000-000078670000}"/>
    <cellStyle name="Normal 3 4 6 5 3" xfId="20388" xr:uid="{00000000-0005-0000-0000-000079670000}"/>
    <cellStyle name="Normal 3 4 6 5 3 2" xfId="52259" xr:uid="{00000000-0005-0000-0000-00007A670000}"/>
    <cellStyle name="Normal 3 4 6 5 4" xfId="38769" xr:uid="{00000000-0005-0000-0000-00007B670000}"/>
    <cellStyle name="Normal 3 4 6 6" xfId="6892" xr:uid="{00000000-0005-0000-0000-00007C670000}"/>
    <cellStyle name="Normal 3 4 6 6 2" xfId="24327" xr:uid="{00000000-0005-0000-0000-00007D670000}"/>
    <cellStyle name="Normal 3 4 6 6 2 2" xfId="56198" xr:uid="{00000000-0005-0000-0000-00007E670000}"/>
    <cellStyle name="Normal 3 4 6 6 3" xfId="38771" xr:uid="{00000000-0005-0000-0000-00007F670000}"/>
    <cellStyle name="Normal 3 4 6 7" xfId="16449" xr:uid="{00000000-0005-0000-0000-000080670000}"/>
    <cellStyle name="Normal 3 4 6 7 2" xfId="48320" xr:uid="{00000000-0005-0000-0000-000081670000}"/>
    <cellStyle name="Normal 3 4 6 8" xfId="38740" xr:uid="{00000000-0005-0000-0000-000082670000}"/>
    <cellStyle name="Normal 3 4 7" xfId="6893" xr:uid="{00000000-0005-0000-0000-000083670000}"/>
    <cellStyle name="Normal 3 4 7 2" xfId="6894" xr:uid="{00000000-0005-0000-0000-000084670000}"/>
    <cellStyle name="Normal 3 4 7 2 2" xfId="6895" xr:uid="{00000000-0005-0000-0000-000085670000}"/>
    <cellStyle name="Normal 3 4 7 2 2 2" xfId="6896" xr:uid="{00000000-0005-0000-0000-000086670000}"/>
    <cellStyle name="Normal 3 4 7 2 2 2 2" xfId="6897" xr:uid="{00000000-0005-0000-0000-000087670000}"/>
    <cellStyle name="Normal 3 4 7 2 2 2 2 2" xfId="30034" xr:uid="{00000000-0005-0000-0000-000088670000}"/>
    <cellStyle name="Normal 3 4 7 2 2 2 2 2 2" xfId="61905" xr:uid="{00000000-0005-0000-0000-000089670000}"/>
    <cellStyle name="Normal 3 4 7 2 2 2 2 3" xfId="38776" xr:uid="{00000000-0005-0000-0000-00008A670000}"/>
    <cellStyle name="Normal 3 4 7 2 2 2 3" xfId="22156" xr:uid="{00000000-0005-0000-0000-00008B670000}"/>
    <cellStyle name="Normal 3 4 7 2 2 2 3 2" xfId="54027" xr:uid="{00000000-0005-0000-0000-00008C670000}"/>
    <cellStyle name="Normal 3 4 7 2 2 2 4" xfId="38775" xr:uid="{00000000-0005-0000-0000-00008D670000}"/>
    <cellStyle name="Normal 3 4 7 2 2 3" xfId="6898" xr:uid="{00000000-0005-0000-0000-00008E670000}"/>
    <cellStyle name="Normal 3 4 7 2 2 3 2" xfId="26095" xr:uid="{00000000-0005-0000-0000-00008F670000}"/>
    <cellStyle name="Normal 3 4 7 2 2 3 2 2" xfId="57966" xr:uid="{00000000-0005-0000-0000-000090670000}"/>
    <cellStyle name="Normal 3 4 7 2 2 3 3" xfId="38777" xr:uid="{00000000-0005-0000-0000-000091670000}"/>
    <cellStyle name="Normal 3 4 7 2 2 4" xfId="18217" xr:uid="{00000000-0005-0000-0000-000092670000}"/>
    <cellStyle name="Normal 3 4 7 2 2 4 2" xfId="50088" xr:uid="{00000000-0005-0000-0000-000093670000}"/>
    <cellStyle name="Normal 3 4 7 2 2 5" xfId="38774" xr:uid="{00000000-0005-0000-0000-000094670000}"/>
    <cellStyle name="Normal 3 4 7 2 3" xfId="6899" xr:uid="{00000000-0005-0000-0000-000095670000}"/>
    <cellStyle name="Normal 3 4 7 2 3 2" xfId="6900" xr:uid="{00000000-0005-0000-0000-000096670000}"/>
    <cellStyle name="Normal 3 4 7 2 3 2 2" xfId="30033" xr:uid="{00000000-0005-0000-0000-000097670000}"/>
    <cellStyle name="Normal 3 4 7 2 3 2 2 2" xfId="61904" xr:uid="{00000000-0005-0000-0000-000098670000}"/>
    <cellStyle name="Normal 3 4 7 2 3 2 3" xfId="38779" xr:uid="{00000000-0005-0000-0000-000099670000}"/>
    <cellStyle name="Normal 3 4 7 2 3 3" xfId="22155" xr:uid="{00000000-0005-0000-0000-00009A670000}"/>
    <cellStyle name="Normal 3 4 7 2 3 3 2" xfId="54026" xr:uid="{00000000-0005-0000-0000-00009B670000}"/>
    <cellStyle name="Normal 3 4 7 2 3 4" xfId="38778" xr:uid="{00000000-0005-0000-0000-00009C670000}"/>
    <cellStyle name="Normal 3 4 7 2 4" xfId="6901" xr:uid="{00000000-0005-0000-0000-00009D670000}"/>
    <cellStyle name="Normal 3 4 7 2 4 2" xfId="26094" xr:uid="{00000000-0005-0000-0000-00009E670000}"/>
    <cellStyle name="Normal 3 4 7 2 4 2 2" xfId="57965" xr:uid="{00000000-0005-0000-0000-00009F670000}"/>
    <cellStyle name="Normal 3 4 7 2 4 3" xfId="38780" xr:uid="{00000000-0005-0000-0000-0000A0670000}"/>
    <cellStyle name="Normal 3 4 7 2 5" xfId="18216" xr:uid="{00000000-0005-0000-0000-0000A1670000}"/>
    <cellStyle name="Normal 3 4 7 2 5 2" xfId="50087" xr:uid="{00000000-0005-0000-0000-0000A2670000}"/>
    <cellStyle name="Normal 3 4 7 2 6" xfId="38773" xr:uid="{00000000-0005-0000-0000-0000A3670000}"/>
    <cellStyle name="Normal 3 4 7 3" xfId="6902" xr:uid="{00000000-0005-0000-0000-0000A4670000}"/>
    <cellStyle name="Normal 3 4 7 3 2" xfId="6903" xr:uid="{00000000-0005-0000-0000-0000A5670000}"/>
    <cellStyle name="Normal 3 4 7 3 2 2" xfId="6904" xr:uid="{00000000-0005-0000-0000-0000A6670000}"/>
    <cellStyle name="Normal 3 4 7 3 2 2 2" xfId="30035" xr:uid="{00000000-0005-0000-0000-0000A7670000}"/>
    <cellStyle name="Normal 3 4 7 3 2 2 2 2" xfId="61906" xr:uid="{00000000-0005-0000-0000-0000A8670000}"/>
    <cellStyle name="Normal 3 4 7 3 2 2 3" xfId="38783" xr:uid="{00000000-0005-0000-0000-0000A9670000}"/>
    <cellStyle name="Normal 3 4 7 3 2 3" xfId="22157" xr:uid="{00000000-0005-0000-0000-0000AA670000}"/>
    <cellStyle name="Normal 3 4 7 3 2 3 2" xfId="54028" xr:uid="{00000000-0005-0000-0000-0000AB670000}"/>
    <cellStyle name="Normal 3 4 7 3 2 4" xfId="38782" xr:uid="{00000000-0005-0000-0000-0000AC670000}"/>
    <cellStyle name="Normal 3 4 7 3 3" xfId="6905" xr:uid="{00000000-0005-0000-0000-0000AD670000}"/>
    <cellStyle name="Normal 3 4 7 3 3 2" xfId="26096" xr:uid="{00000000-0005-0000-0000-0000AE670000}"/>
    <cellStyle name="Normal 3 4 7 3 3 2 2" xfId="57967" xr:uid="{00000000-0005-0000-0000-0000AF670000}"/>
    <cellStyle name="Normal 3 4 7 3 3 3" xfId="38784" xr:uid="{00000000-0005-0000-0000-0000B0670000}"/>
    <cellStyle name="Normal 3 4 7 3 4" xfId="18218" xr:uid="{00000000-0005-0000-0000-0000B1670000}"/>
    <cellStyle name="Normal 3 4 7 3 4 2" xfId="50089" xr:uid="{00000000-0005-0000-0000-0000B2670000}"/>
    <cellStyle name="Normal 3 4 7 3 5" xfId="38781" xr:uid="{00000000-0005-0000-0000-0000B3670000}"/>
    <cellStyle name="Normal 3 4 7 4" xfId="6906" xr:uid="{00000000-0005-0000-0000-0000B4670000}"/>
    <cellStyle name="Normal 3 4 7 4 2" xfId="6907" xr:uid="{00000000-0005-0000-0000-0000B5670000}"/>
    <cellStyle name="Normal 3 4 7 4 2 2" xfId="30032" xr:uid="{00000000-0005-0000-0000-0000B6670000}"/>
    <cellStyle name="Normal 3 4 7 4 2 2 2" xfId="61903" xr:uid="{00000000-0005-0000-0000-0000B7670000}"/>
    <cellStyle name="Normal 3 4 7 4 2 3" xfId="38786" xr:uid="{00000000-0005-0000-0000-0000B8670000}"/>
    <cellStyle name="Normal 3 4 7 4 3" xfId="22154" xr:uid="{00000000-0005-0000-0000-0000B9670000}"/>
    <cellStyle name="Normal 3 4 7 4 3 2" xfId="54025" xr:uid="{00000000-0005-0000-0000-0000BA670000}"/>
    <cellStyle name="Normal 3 4 7 4 4" xfId="38785" xr:uid="{00000000-0005-0000-0000-0000BB670000}"/>
    <cellStyle name="Normal 3 4 7 5" xfId="6908" xr:uid="{00000000-0005-0000-0000-0000BC670000}"/>
    <cellStyle name="Normal 3 4 7 5 2" xfId="26093" xr:uid="{00000000-0005-0000-0000-0000BD670000}"/>
    <cellStyle name="Normal 3 4 7 5 2 2" xfId="57964" xr:uid="{00000000-0005-0000-0000-0000BE670000}"/>
    <cellStyle name="Normal 3 4 7 5 3" xfId="38787" xr:uid="{00000000-0005-0000-0000-0000BF670000}"/>
    <cellStyle name="Normal 3 4 7 6" xfId="18215" xr:uid="{00000000-0005-0000-0000-0000C0670000}"/>
    <cellStyle name="Normal 3 4 7 6 2" xfId="50086" xr:uid="{00000000-0005-0000-0000-0000C1670000}"/>
    <cellStyle name="Normal 3 4 7 7" xfId="38772" xr:uid="{00000000-0005-0000-0000-0000C2670000}"/>
    <cellStyle name="Normal 3 4 8" xfId="6909" xr:uid="{00000000-0005-0000-0000-0000C3670000}"/>
    <cellStyle name="Normal 3 4 8 2" xfId="6910" xr:uid="{00000000-0005-0000-0000-0000C4670000}"/>
    <cellStyle name="Normal 3 4 8 2 2" xfId="6911" xr:uid="{00000000-0005-0000-0000-0000C5670000}"/>
    <cellStyle name="Normal 3 4 8 2 2 2" xfId="6912" xr:uid="{00000000-0005-0000-0000-0000C6670000}"/>
    <cellStyle name="Normal 3 4 8 2 2 2 2" xfId="30037" xr:uid="{00000000-0005-0000-0000-0000C7670000}"/>
    <cellStyle name="Normal 3 4 8 2 2 2 2 2" xfId="61908" xr:uid="{00000000-0005-0000-0000-0000C8670000}"/>
    <cellStyle name="Normal 3 4 8 2 2 2 3" xfId="38791" xr:uid="{00000000-0005-0000-0000-0000C9670000}"/>
    <cellStyle name="Normal 3 4 8 2 2 3" xfId="22159" xr:uid="{00000000-0005-0000-0000-0000CA670000}"/>
    <cellStyle name="Normal 3 4 8 2 2 3 2" xfId="54030" xr:uid="{00000000-0005-0000-0000-0000CB670000}"/>
    <cellStyle name="Normal 3 4 8 2 2 4" xfId="38790" xr:uid="{00000000-0005-0000-0000-0000CC670000}"/>
    <cellStyle name="Normal 3 4 8 2 3" xfId="6913" xr:uid="{00000000-0005-0000-0000-0000CD670000}"/>
    <cellStyle name="Normal 3 4 8 2 3 2" xfId="26098" xr:uid="{00000000-0005-0000-0000-0000CE670000}"/>
    <cellStyle name="Normal 3 4 8 2 3 2 2" xfId="57969" xr:uid="{00000000-0005-0000-0000-0000CF670000}"/>
    <cellStyle name="Normal 3 4 8 2 3 3" xfId="38792" xr:uid="{00000000-0005-0000-0000-0000D0670000}"/>
    <cellStyle name="Normal 3 4 8 2 4" xfId="18220" xr:uid="{00000000-0005-0000-0000-0000D1670000}"/>
    <cellStyle name="Normal 3 4 8 2 4 2" xfId="50091" xr:uid="{00000000-0005-0000-0000-0000D2670000}"/>
    <cellStyle name="Normal 3 4 8 2 5" xfId="38789" xr:uid="{00000000-0005-0000-0000-0000D3670000}"/>
    <cellStyle name="Normal 3 4 8 3" xfId="6914" xr:uid="{00000000-0005-0000-0000-0000D4670000}"/>
    <cellStyle name="Normal 3 4 8 3 2" xfId="6915" xr:uid="{00000000-0005-0000-0000-0000D5670000}"/>
    <cellStyle name="Normal 3 4 8 3 2 2" xfId="30036" xr:uid="{00000000-0005-0000-0000-0000D6670000}"/>
    <cellStyle name="Normal 3 4 8 3 2 2 2" xfId="61907" xr:uid="{00000000-0005-0000-0000-0000D7670000}"/>
    <cellStyle name="Normal 3 4 8 3 2 3" xfId="38794" xr:uid="{00000000-0005-0000-0000-0000D8670000}"/>
    <cellStyle name="Normal 3 4 8 3 3" xfId="22158" xr:uid="{00000000-0005-0000-0000-0000D9670000}"/>
    <cellStyle name="Normal 3 4 8 3 3 2" xfId="54029" xr:uid="{00000000-0005-0000-0000-0000DA670000}"/>
    <cellStyle name="Normal 3 4 8 3 4" xfId="38793" xr:uid="{00000000-0005-0000-0000-0000DB670000}"/>
    <cellStyle name="Normal 3 4 8 4" xfId="6916" xr:uid="{00000000-0005-0000-0000-0000DC670000}"/>
    <cellStyle name="Normal 3 4 8 4 2" xfId="26097" xr:uid="{00000000-0005-0000-0000-0000DD670000}"/>
    <cellStyle name="Normal 3 4 8 4 2 2" xfId="57968" xr:uid="{00000000-0005-0000-0000-0000DE670000}"/>
    <cellStyle name="Normal 3 4 8 4 3" xfId="38795" xr:uid="{00000000-0005-0000-0000-0000DF670000}"/>
    <cellStyle name="Normal 3 4 8 5" xfId="18219" xr:uid="{00000000-0005-0000-0000-0000E0670000}"/>
    <cellStyle name="Normal 3 4 8 5 2" xfId="50090" xr:uid="{00000000-0005-0000-0000-0000E1670000}"/>
    <cellStyle name="Normal 3 4 8 6" xfId="38788" xr:uid="{00000000-0005-0000-0000-0000E2670000}"/>
    <cellStyle name="Normal 3 4 9" xfId="6917" xr:uid="{00000000-0005-0000-0000-0000E3670000}"/>
    <cellStyle name="Normal 3 4 9 2" xfId="6918" xr:uid="{00000000-0005-0000-0000-0000E4670000}"/>
    <cellStyle name="Normal 3 4 9 2 2" xfId="6919" xr:uid="{00000000-0005-0000-0000-0000E5670000}"/>
    <cellStyle name="Normal 3 4 9 2 2 2" xfId="30038" xr:uid="{00000000-0005-0000-0000-0000E6670000}"/>
    <cellStyle name="Normal 3 4 9 2 2 2 2" xfId="61909" xr:uid="{00000000-0005-0000-0000-0000E7670000}"/>
    <cellStyle name="Normal 3 4 9 2 2 3" xfId="38798" xr:uid="{00000000-0005-0000-0000-0000E8670000}"/>
    <cellStyle name="Normal 3 4 9 2 3" xfId="22160" xr:uid="{00000000-0005-0000-0000-0000E9670000}"/>
    <cellStyle name="Normal 3 4 9 2 3 2" xfId="54031" xr:uid="{00000000-0005-0000-0000-0000EA670000}"/>
    <cellStyle name="Normal 3 4 9 2 4" xfId="38797" xr:uid="{00000000-0005-0000-0000-0000EB670000}"/>
    <cellStyle name="Normal 3 4 9 3" xfId="6920" xr:uid="{00000000-0005-0000-0000-0000EC670000}"/>
    <cellStyle name="Normal 3 4 9 3 2" xfId="26099" xr:uid="{00000000-0005-0000-0000-0000ED670000}"/>
    <cellStyle name="Normal 3 4 9 3 2 2" xfId="57970" xr:uid="{00000000-0005-0000-0000-0000EE670000}"/>
    <cellStyle name="Normal 3 4 9 3 3" xfId="38799" xr:uid="{00000000-0005-0000-0000-0000EF670000}"/>
    <cellStyle name="Normal 3 4 9 4" xfId="18221" xr:uid="{00000000-0005-0000-0000-0000F0670000}"/>
    <cellStyle name="Normal 3 4 9 4 2" xfId="50092" xr:uid="{00000000-0005-0000-0000-0000F1670000}"/>
    <cellStyle name="Normal 3 4 9 5" xfId="38796" xr:uid="{00000000-0005-0000-0000-0000F2670000}"/>
    <cellStyle name="Normal 3 5" xfId="144" xr:uid="{00000000-0005-0000-0000-0000F3670000}"/>
    <cellStyle name="Normal 3 5 10" xfId="6922" xr:uid="{00000000-0005-0000-0000-0000F4670000}"/>
    <cellStyle name="Normal 3 5 10 2" xfId="24311" xr:uid="{00000000-0005-0000-0000-0000F5670000}"/>
    <cellStyle name="Normal 3 5 10 2 2" xfId="56182" xr:uid="{00000000-0005-0000-0000-0000F6670000}"/>
    <cellStyle name="Normal 3 5 10 3" xfId="38801" xr:uid="{00000000-0005-0000-0000-0000F7670000}"/>
    <cellStyle name="Normal 3 5 11" xfId="16433" xr:uid="{00000000-0005-0000-0000-0000F8670000}"/>
    <cellStyle name="Normal 3 5 11 2" xfId="48304" xr:uid="{00000000-0005-0000-0000-0000F9670000}"/>
    <cellStyle name="Normal 3 5 12" xfId="6921" xr:uid="{00000000-0005-0000-0000-0000FA670000}"/>
    <cellStyle name="Normal 3 5 12 2" xfId="38800" xr:uid="{00000000-0005-0000-0000-0000FB670000}"/>
    <cellStyle name="Normal 3 5 13" xfId="32181" xr:uid="{00000000-0005-0000-0000-0000FC670000}"/>
    <cellStyle name="Normal 3 5 2" xfId="196" xr:uid="{00000000-0005-0000-0000-0000FD670000}"/>
    <cellStyle name="Normal 3 5 2 10" xfId="6923" xr:uid="{00000000-0005-0000-0000-0000FE670000}"/>
    <cellStyle name="Normal 3 5 2 10 2" xfId="38802" xr:uid="{00000000-0005-0000-0000-0000FF670000}"/>
    <cellStyle name="Normal 3 5 2 11" xfId="32186" xr:uid="{00000000-0005-0000-0000-000000680000}"/>
    <cellStyle name="Normal 3 5 2 2" xfId="215" xr:uid="{00000000-0005-0000-0000-000001680000}"/>
    <cellStyle name="Normal 3 5 2 2 10" xfId="32195" xr:uid="{00000000-0005-0000-0000-000002680000}"/>
    <cellStyle name="Normal 3 5 2 2 2" xfId="6925" xr:uid="{00000000-0005-0000-0000-000003680000}"/>
    <cellStyle name="Normal 3 5 2 2 2 2" xfId="6926" xr:uid="{00000000-0005-0000-0000-000004680000}"/>
    <cellStyle name="Normal 3 5 2 2 2 2 2" xfId="6927" xr:uid="{00000000-0005-0000-0000-000005680000}"/>
    <cellStyle name="Normal 3 5 2 2 2 2 2 2" xfId="6928" xr:uid="{00000000-0005-0000-0000-000006680000}"/>
    <cellStyle name="Normal 3 5 2 2 2 2 2 2 2" xfId="6929" xr:uid="{00000000-0005-0000-0000-000007680000}"/>
    <cellStyle name="Normal 3 5 2 2 2 2 2 2 2 2" xfId="6930" xr:uid="{00000000-0005-0000-0000-000008680000}"/>
    <cellStyle name="Normal 3 5 2 2 2 2 2 2 2 2 2" xfId="30042" xr:uid="{00000000-0005-0000-0000-000009680000}"/>
    <cellStyle name="Normal 3 5 2 2 2 2 2 2 2 2 2 2" xfId="61913" xr:uid="{00000000-0005-0000-0000-00000A680000}"/>
    <cellStyle name="Normal 3 5 2 2 2 2 2 2 2 2 3" xfId="38809" xr:uid="{00000000-0005-0000-0000-00000B680000}"/>
    <cellStyle name="Normal 3 5 2 2 2 2 2 2 2 3" xfId="22164" xr:uid="{00000000-0005-0000-0000-00000C680000}"/>
    <cellStyle name="Normal 3 5 2 2 2 2 2 2 2 3 2" xfId="54035" xr:uid="{00000000-0005-0000-0000-00000D680000}"/>
    <cellStyle name="Normal 3 5 2 2 2 2 2 2 2 4" xfId="38808" xr:uid="{00000000-0005-0000-0000-00000E680000}"/>
    <cellStyle name="Normal 3 5 2 2 2 2 2 2 3" xfId="6931" xr:uid="{00000000-0005-0000-0000-00000F680000}"/>
    <cellStyle name="Normal 3 5 2 2 2 2 2 2 3 2" xfId="26103" xr:uid="{00000000-0005-0000-0000-000010680000}"/>
    <cellStyle name="Normal 3 5 2 2 2 2 2 2 3 2 2" xfId="57974" xr:uid="{00000000-0005-0000-0000-000011680000}"/>
    <cellStyle name="Normal 3 5 2 2 2 2 2 2 3 3" xfId="38810" xr:uid="{00000000-0005-0000-0000-000012680000}"/>
    <cellStyle name="Normal 3 5 2 2 2 2 2 2 4" xfId="18225" xr:uid="{00000000-0005-0000-0000-000013680000}"/>
    <cellStyle name="Normal 3 5 2 2 2 2 2 2 4 2" xfId="50096" xr:uid="{00000000-0005-0000-0000-000014680000}"/>
    <cellStyle name="Normal 3 5 2 2 2 2 2 2 5" xfId="38807" xr:uid="{00000000-0005-0000-0000-000015680000}"/>
    <cellStyle name="Normal 3 5 2 2 2 2 2 3" xfId="6932" xr:uid="{00000000-0005-0000-0000-000016680000}"/>
    <cellStyle name="Normal 3 5 2 2 2 2 2 3 2" xfId="6933" xr:uid="{00000000-0005-0000-0000-000017680000}"/>
    <cellStyle name="Normal 3 5 2 2 2 2 2 3 2 2" xfId="30041" xr:uid="{00000000-0005-0000-0000-000018680000}"/>
    <cellStyle name="Normal 3 5 2 2 2 2 2 3 2 2 2" xfId="61912" xr:uid="{00000000-0005-0000-0000-000019680000}"/>
    <cellStyle name="Normal 3 5 2 2 2 2 2 3 2 3" xfId="38812" xr:uid="{00000000-0005-0000-0000-00001A680000}"/>
    <cellStyle name="Normal 3 5 2 2 2 2 2 3 3" xfId="22163" xr:uid="{00000000-0005-0000-0000-00001B680000}"/>
    <cellStyle name="Normal 3 5 2 2 2 2 2 3 3 2" xfId="54034" xr:uid="{00000000-0005-0000-0000-00001C680000}"/>
    <cellStyle name="Normal 3 5 2 2 2 2 2 3 4" xfId="38811" xr:uid="{00000000-0005-0000-0000-00001D680000}"/>
    <cellStyle name="Normal 3 5 2 2 2 2 2 4" xfId="6934" xr:uid="{00000000-0005-0000-0000-00001E680000}"/>
    <cellStyle name="Normal 3 5 2 2 2 2 2 4 2" xfId="26102" xr:uid="{00000000-0005-0000-0000-00001F680000}"/>
    <cellStyle name="Normal 3 5 2 2 2 2 2 4 2 2" xfId="57973" xr:uid="{00000000-0005-0000-0000-000020680000}"/>
    <cellStyle name="Normal 3 5 2 2 2 2 2 4 3" xfId="38813" xr:uid="{00000000-0005-0000-0000-000021680000}"/>
    <cellStyle name="Normal 3 5 2 2 2 2 2 5" xfId="18224" xr:uid="{00000000-0005-0000-0000-000022680000}"/>
    <cellStyle name="Normal 3 5 2 2 2 2 2 5 2" xfId="50095" xr:uid="{00000000-0005-0000-0000-000023680000}"/>
    <cellStyle name="Normal 3 5 2 2 2 2 2 6" xfId="38806" xr:uid="{00000000-0005-0000-0000-000024680000}"/>
    <cellStyle name="Normal 3 5 2 2 2 2 3" xfId="6935" xr:uid="{00000000-0005-0000-0000-000025680000}"/>
    <cellStyle name="Normal 3 5 2 2 2 2 3 2" xfId="6936" xr:uid="{00000000-0005-0000-0000-000026680000}"/>
    <cellStyle name="Normal 3 5 2 2 2 2 3 2 2" xfId="6937" xr:uid="{00000000-0005-0000-0000-000027680000}"/>
    <cellStyle name="Normal 3 5 2 2 2 2 3 2 2 2" xfId="30043" xr:uid="{00000000-0005-0000-0000-000028680000}"/>
    <cellStyle name="Normal 3 5 2 2 2 2 3 2 2 2 2" xfId="61914" xr:uid="{00000000-0005-0000-0000-000029680000}"/>
    <cellStyle name="Normal 3 5 2 2 2 2 3 2 2 3" xfId="38816" xr:uid="{00000000-0005-0000-0000-00002A680000}"/>
    <cellStyle name="Normal 3 5 2 2 2 2 3 2 3" xfId="22165" xr:uid="{00000000-0005-0000-0000-00002B680000}"/>
    <cellStyle name="Normal 3 5 2 2 2 2 3 2 3 2" xfId="54036" xr:uid="{00000000-0005-0000-0000-00002C680000}"/>
    <cellStyle name="Normal 3 5 2 2 2 2 3 2 4" xfId="38815" xr:uid="{00000000-0005-0000-0000-00002D680000}"/>
    <cellStyle name="Normal 3 5 2 2 2 2 3 3" xfId="6938" xr:uid="{00000000-0005-0000-0000-00002E680000}"/>
    <cellStyle name="Normal 3 5 2 2 2 2 3 3 2" xfId="26104" xr:uid="{00000000-0005-0000-0000-00002F680000}"/>
    <cellStyle name="Normal 3 5 2 2 2 2 3 3 2 2" xfId="57975" xr:uid="{00000000-0005-0000-0000-000030680000}"/>
    <cellStyle name="Normal 3 5 2 2 2 2 3 3 3" xfId="38817" xr:uid="{00000000-0005-0000-0000-000031680000}"/>
    <cellStyle name="Normal 3 5 2 2 2 2 3 4" xfId="18226" xr:uid="{00000000-0005-0000-0000-000032680000}"/>
    <cellStyle name="Normal 3 5 2 2 2 2 3 4 2" xfId="50097" xr:uid="{00000000-0005-0000-0000-000033680000}"/>
    <cellStyle name="Normal 3 5 2 2 2 2 3 5" xfId="38814" xr:uid="{00000000-0005-0000-0000-000034680000}"/>
    <cellStyle name="Normal 3 5 2 2 2 2 4" xfId="6939" xr:uid="{00000000-0005-0000-0000-000035680000}"/>
    <cellStyle name="Normal 3 5 2 2 2 2 4 2" xfId="6940" xr:uid="{00000000-0005-0000-0000-000036680000}"/>
    <cellStyle name="Normal 3 5 2 2 2 2 4 2 2" xfId="30040" xr:uid="{00000000-0005-0000-0000-000037680000}"/>
    <cellStyle name="Normal 3 5 2 2 2 2 4 2 2 2" xfId="61911" xr:uid="{00000000-0005-0000-0000-000038680000}"/>
    <cellStyle name="Normal 3 5 2 2 2 2 4 2 3" xfId="38819" xr:uid="{00000000-0005-0000-0000-000039680000}"/>
    <cellStyle name="Normal 3 5 2 2 2 2 4 3" xfId="22162" xr:uid="{00000000-0005-0000-0000-00003A680000}"/>
    <cellStyle name="Normal 3 5 2 2 2 2 4 3 2" xfId="54033" xr:uid="{00000000-0005-0000-0000-00003B680000}"/>
    <cellStyle name="Normal 3 5 2 2 2 2 4 4" xfId="38818" xr:uid="{00000000-0005-0000-0000-00003C680000}"/>
    <cellStyle name="Normal 3 5 2 2 2 2 5" xfId="6941" xr:uid="{00000000-0005-0000-0000-00003D680000}"/>
    <cellStyle name="Normal 3 5 2 2 2 2 5 2" xfId="26101" xr:uid="{00000000-0005-0000-0000-00003E680000}"/>
    <cellStyle name="Normal 3 5 2 2 2 2 5 2 2" xfId="57972" xr:uid="{00000000-0005-0000-0000-00003F680000}"/>
    <cellStyle name="Normal 3 5 2 2 2 2 5 3" xfId="38820" xr:uid="{00000000-0005-0000-0000-000040680000}"/>
    <cellStyle name="Normal 3 5 2 2 2 2 6" xfId="18223" xr:uid="{00000000-0005-0000-0000-000041680000}"/>
    <cellStyle name="Normal 3 5 2 2 2 2 6 2" xfId="50094" xr:uid="{00000000-0005-0000-0000-000042680000}"/>
    <cellStyle name="Normal 3 5 2 2 2 2 7" xfId="38805" xr:uid="{00000000-0005-0000-0000-000043680000}"/>
    <cellStyle name="Normal 3 5 2 2 2 3" xfId="6942" xr:uid="{00000000-0005-0000-0000-000044680000}"/>
    <cellStyle name="Normal 3 5 2 2 2 3 2" xfId="6943" xr:uid="{00000000-0005-0000-0000-000045680000}"/>
    <cellStyle name="Normal 3 5 2 2 2 3 2 2" xfId="6944" xr:uid="{00000000-0005-0000-0000-000046680000}"/>
    <cellStyle name="Normal 3 5 2 2 2 3 2 2 2" xfId="6945" xr:uid="{00000000-0005-0000-0000-000047680000}"/>
    <cellStyle name="Normal 3 5 2 2 2 3 2 2 2 2" xfId="30045" xr:uid="{00000000-0005-0000-0000-000048680000}"/>
    <cellStyle name="Normal 3 5 2 2 2 3 2 2 2 2 2" xfId="61916" xr:uid="{00000000-0005-0000-0000-000049680000}"/>
    <cellStyle name="Normal 3 5 2 2 2 3 2 2 2 3" xfId="38824" xr:uid="{00000000-0005-0000-0000-00004A680000}"/>
    <cellStyle name="Normal 3 5 2 2 2 3 2 2 3" xfId="22167" xr:uid="{00000000-0005-0000-0000-00004B680000}"/>
    <cellStyle name="Normal 3 5 2 2 2 3 2 2 3 2" xfId="54038" xr:uid="{00000000-0005-0000-0000-00004C680000}"/>
    <cellStyle name="Normal 3 5 2 2 2 3 2 2 4" xfId="38823" xr:uid="{00000000-0005-0000-0000-00004D680000}"/>
    <cellStyle name="Normal 3 5 2 2 2 3 2 3" xfId="6946" xr:uid="{00000000-0005-0000-0000-00004E680000}"/>
    <cellStyle name="Normal 3 5 2 2 2 3 2 3 2" xfId="26106" xr:uid="{00000000-0005-0000-0000-00004F680000}"/>
    <cellStyle name="Normal 3 5 2 2 2 3 2 3 2 2" xfId="57977" xr:uid="{00000000-0005-0000-0000-000050680000}"/>
    <cellStyle name="Normal 3 5 2 2 2 3 2 3 3" xfId="38825" xr:uid="{00000000-0005-0000-0000-000051680000}"/>
    <cellStyle name="Normal 3 5 2 2 2 3 2 4" xfId="18228" xr:uid="{00000000-0005-0000-0000-000052680000}"/>
    <cellStyle name="Normal 3 5 2 2 2 3 2 4 2" xfId="50099" xr:uid="{00000000-0005-0000-0000-000053680000}"/>
    <cellStyle name="Normal 3 5 2 2 2 3 2 5" xfId="38822" xr:uid="{00000000-0005-0000-0000-000054680000}"/>
    <cellStyle name="Normal 3 5 2 2 2 3 3" xfId="6947" xr:uid="{00000000-0005-0000-0000-000055680000}"/>
    <cellStyle name="Normal 3 5 2 2 2 3 3 2" xfId="6948" xr:uid="{00000000-0005-0000-0000-000056680000}"/>
    <cellStyle name="Normal 3 5 2 2 2 3 3 2 2" xfId="30044" xr:uid="{00000000-0005-0000-0000-000057680000}"/>
    <cellStyle name="Normal 3 5 2 2 2 3 3 2 2 2" xfId="61915" xr:uid="{00000000-0005-0000-0000-000058680000}"/>
    <cellStyle name="Normal 3 5 2 2 2 3 3 2 3" xfId="38827" xr:uid="{00000000-0005-0000-0000-000059680000}"/>
    <cellStyle name="Normal 3 5 2 2 2 3 3 3" xfId="22166" xr:uid="{00000000-0005-0000-0000-00005A680000}"/>
    <cellStyle name="Normal 3 5 2 2 2 3 3 3 2" xfId="54037" xr:uid="{00000000-0005-0000-0000-00005B680000}"/>
    <cellStyle name="Normal 3 5 2 2 2 3 3 4" xfId="38826" xr:uid="{00000000-0005-0000-0000-00005C680000}"/>
    <cellStyle name="Normal 3 5 2 2 2 3 4" xfId="6949" xr:uid="{00000000-0005-0000-0000-00005D680000}"/>
    <cellStyle name="Normal 3 5 2 2 2 3 4 2" xfId="26105" xr:uid="{00000000-0005-0000-0000-00005E680000}"/>
    <cellStyle name="Normal 3 5 2 2 2 3 4 2 2" xfId="57976" xr:uid="{00000000-0005-0000-0000-00005F680000}"/>
    <cellStyle name="Normal 3 5 2 2 2 3 4 3" xfId="38828" xr:uid="{00000000-0005-0000-0000-000060680000}"/>
    <cellStyle name="Normal 3 5 2 2 2 3 5" xfId="18227" xr:uid="{00000000-0005-0000-0000-000061680000}"/>
    <cellStyle name="Normal 3 5 2 2 2 3 5 2" xfId="50098" xr:uid="{00000000-0005-0000-0000-000062680000}"/>
    <cellStyle name="Normal 3 5 2 2 2 3 6" xfId="38821" xr:uid="{00000000-0005-0000-0000-000063680000}"/>
    <cellStyle name="Normal 3 5 2 2 2 4" xfId="6950" xr:uid="{00000000-0005-0000-0000-000064680000}"/>
    <cellStyle name="Normal 3 5 2 2 2 4 2" xfId="6951" xr:uid="{00000000-0005-0000-0000-000065680000}"/>
    <cellStyle name="Normal 3 5 2 2 2 4 2 2" xfId="6952" xr:uid="{00000000-0005-0000-0000-000066680000}"/>
    <cellStyle name="Normal 3 5 2 2 2 4 2 2 2" xfId="30046" xr:uid="{00000000-0005-0000-0000-000067680000}"/>
    <cellStyle name="Normal 3 5 2 2 2 4 2 2 2 2" xfId="61917" xr:uid="{00000000-0005-0000-0000-000068680000}"/>
    <cellStyle name="Normal 3 5 2 2 2 4 2 2 3" xfId="38831" xr:uid="{00000000-0005-0000-0000-000069680000}"/>
    <cellStyle name="Normal 3 5 2 2 2 4 2 3" xfId="22168" xr:uid="{00000000-0005-0000-0000-00006A680000}"/>
    <cellStyle name="Normal 3 5 2 2 2 4 2 3 2" xfId="54039" xr:uid="{00000000-0005-0000-0000-00006B680000}"/>
    <cellStyle name="Normal 3 5 2 2 2 4 2 4" xfId="38830" xr:uid="{00000000-0005-0000-0000-00006C680000}"/>
    <cellStyle name="Normal 3 5 2 2 2 4 3" xfId="6953" xr:uid="{00000000-0005-0000-0000-00006D680000}"/>
    <cellStyle name="Normal 3 5 2 2 2 4 3 2" xfId="26107" xr:uid="{00000000-0005-0000-0000-00006E680000}"/>
    <cellStyle name="Normal 3 5 2 2 2 4 3 2 2" xfId="57978" xr:uid="{00000000-0005-0000-0000-00006F680000}"/>
    <cellStyle name="Normal 3 5 2 2 2 4 3 3" xfId="38832" xr:uid="{00000000-0005-0000-0000-000070680000}"/>
    <cellStyle name="Normal 3 5 2 2 2 4 4" xfId="18229" xr:uid="{00000000-0005-0000-0000-000071680000}"/>
    <cellStyle name="Normal 3 5 2 2 2 4 4 2" xfId="50100" xr:uid="{00000000-0005-0000-0000-000072680000}"/>
    <cellStyle name="Normal 3 5 2 2 2 4 5" xfId="38829" xr:uid="{00000000-0005-0000-0000-000073680000}"/>
    <cellStyle name="Normal 3 5 2 2 2 5" xfId="6954" xr:uid="{00000000-0005-0000-0000-000074680000}"/>
    <cellStyle name="Normal 3 5 2 2 2 5 2" xfId="6955" xr:uid="{00000000-0005-0000-0000-000075680000}"/>
    <cellStyle name="Normal 3 5 2 2 2 5 2 2" xfId="30039" xr:uid="{00000000-0005-0000-0000-000076680000}"/>
    <cellStyle name="Normal 3 5 2 2 2 5 2 2 2" xfId="61910" xr:uid="{00000000-0005-0000-0000-000077680000}"/>
    <cellStyle name="Normal 3 5 2 2 2 5 2 3" xfId="38834" xr:uid="{00000000-0005-0000-0000-000078680000}"/>
    <cellStyle name="Normal 3 5 2 2 2 5 3" xfId="22161" xr:uid="{00000000-0005-0000-0000-000079680000}"/>
    <cellStyle name="Normal 3 5 2 2 2 5 3 2" xfId="54032" xr:uid="{00000000-0005-0000-0000-00007A680000}"/>
    <cellStyle name="Normal 3 5 2 2 2 5 4" xfId="38833" xr:uid="{00000000-0005-0000-0000-00007B680000}"/>
    <cellStyle name="Normal 3 5 2 2 2 6" xfId="6956" xr:uid="{00000000-0005-0000-0000-00007C680000}"/>
    <cellStyle name="Normal 3 5 2 2 2 6 2" xfId="26100" xr:uid="{00000000-0005-0000-0000-00007D680000}"/>
    <cellStyle name="Normal 3 5 2 2 2 6 2 2" xfId="57971" xr:uid="{00000000-0005-0000-0000-00007E680000}"/>
    <cellStyle name="Normal 3 5 2 2 2 6 3" xfId="38835" xr:uid="{00000000-0005-0000-0000-00007F680000}"/>
    <cellStyle name="Normal 3 5 2 2 2 7" xfId="18222" xr:uid="{00000000-0005-0000-0000-000080680000}"/>
    <cellStyle name="Normal 3 5 2 2 2 7 2" xfId="50093" xr:uid="{00000000-0005-0000-0000-000081680000}"/>
    <cellStyle name="Normal 3 5 2 2 2 8" xfId="38804" xr:uid="{00000000-0005-0000-0000-000082680000}"/>
    <cellStyle name="Normal 3 5 2 2 3" xfId="6957" xr:uid="{00000000-0005-0000-0000-000083680000}"/>
    <cellStyle name="Normal 3 5 2 2 3 2" xfId="6958" xr:uid="{00000000-0005-0000-0000-000084680000}"/>
    <cellStyle name="Normal 3 5 2 2 3 2 2" xfId="6959" xr:uid="{00000000-0005-0000-0000-000085680000}"/>
    <cellStyle name="Normal 3 5 2 2 3 2 2 2" xfId="6960" xr:uid="{00000000-0005-0000-0000-000086680000}"/>
    <cellStyle name="Normal 3 5 2 2 3 2 2 2 2" xfId="6961" xr:uid="{00000000-0005-0000-0000-000087680000}"/>
    <cellStyle name="Normal 3 5 2 2 3 2 2 2 2 2" xfId="30049" xr:uid="{00000000-0005-0000-0000-000088680000}"/>
    <cellStyle name="Normal 3 5 2 2 3 2 2 2 2 2 2" xfId="61920" xr:uid="{00000000-0005-0000-0000-000089680000}"/>
    <cellStyle name="Normal 3 5 2 2 3 2 2 2 2 3" xfId="38840" xr:uid="{00000000-0005-0000-0000-00008A680000}"/>
    <cellStyle name="Normal 3 5 2 2 3 2 2 2 3" xfId="22171" xr:uid="{00000000-0005-0000-0000-00008B680000}"/>
    <cellStyle name="Normal 3 5 2 2 3 2 2 2 3 2" xfId="54042" xr:uid="{00000000-0005-0000-0000-00008C680000}"/>
    <cellStyle name="Normal 3 5 2 2 3 2 2 2 4" xfId="38839" xr:uid="{00000000-0005-0000-0000-00008D680000}"/>
    <cellStyle name="Normal 3 5 2 2 3 2 2 3" xfId="6962" xr:uid="{00000000-0005-0000-0000-00008E680000}"/>
    <cellStyle name="Normal 3 5 2 2 3 2 2 3 2" xfId="26110" xr:uid="{00000000-0005-0000-0000-00008F680000}"/>
    <cellStyle name="Normal 3 5 2 2 3 2 2 3 2 2" xfId="57981" xr:uid="{00000000-0005-0000-0000-000090680000}"/>
    <cellStyle name="Normal 3 5 2 2 3 2 2 3 3" xfId="38841" xr:uid="{00000000-0005-0000-0000-000091680000}"/>
    <cellStyle name="Normal 3 5 2 2 3 2 2 4" xfId="18232" xr:uid="{00000000-0005-0000-0000-000092680000}"/>
    <cellStyle name="Normal 3 5 2 2 3 2 2 4 2" xfId="50103" xr:uid="{00000000-0005-0000-0000-000093680000}"/>
    <cellStyle name="Normal 3 5 2 2 3 2 2 5" xfId="38838" xr:uid="{00000000-0005-0000-0000-000094680000}"/>
    <cellStyle name="Normal 3 5 2 2 3 2 3" xfId="6963" xr:uid="{00000000-0005-0000-0000-000095680000}"/>
    <cellStyle name="Normal 3 5 2 2 3 2 3 2" xfId="6964" xr:uid="{00000000-0005-0000-0000-000096680000}"/>
    <cellStyle name="Normal 3 5 2 2 3 2 3 2 2" xfId="30048" xr:uid="{00000000-0005-0000-0000-000097680000}"/>
    <cellStyle name="Normal 3 5 2 2 3 2 3 2 2 2" xfId="61919" xr:uid="{00000000-0005-0000-0000-000098680000}"/>
    <cellStyle name="Normal 3 5 2 2 3 2 3 2 3" xfId="38843" xr:uid="{00000000-0005-0000-0000-000099680000}"/>
    <cellStyle name="Normal 3 5 2 2 3 2 3 3" xfId="22170" xr:uid="{00000000-0005-0000-0000-00009A680000}"/>
    <cellStyle name="Normal 3 5 2 2 3 2 3 3 2" xfId="54041" xr:uid="{00000000-0005-0000-0000-00009B680000}"/>
    <cellStyle name="Normal 3 5 2 2 3 2 3 4" xfId="38842" xr:uid="{00000000-0005-0000-0000-00009C680000}"/>
    <cellStyle name="Normal 3 5 2 2 3 2 4" xfId="6965" xr:uid="{00000000-0005-0000-0000-00009D680000}"/>
    <cellStyle name="Normal 3 5 2 2 3 2 4 2" xfId="26109" xr:uid="{00000000-0005-0000-0000-00009E680000}"/>
    <cellStyle name="Normal 3 5 2 2 3 2 4 2 2" xfId="57980" xr:uid="{00000000-0005-0000-0000-00009F680000}"/>
    <cellStyle name="Normal 3 5 2 2 3 2 4 3" xfId="38844" xr:uid="{00000000-0005-0000-0000-0000A0680000}"/>
    <cellStyle name="Normal 3 5 2 2 3 2 5" xfId="18231" xr:uid="{00000000-0005-0000-0000-0000A1680000}"/>
    <cellStyle name="Normal 3 5 2 2 3 2 5 2" xfId="50102" xr:uid="{00000000-0005-0000-0000-0000A2680000}"/>
    <cellStyle name="Normal 3 5 2 2 3 2 6" xfId="38837" xr:uid="{00000000-0005-0000-0000-0000A3680000}"/>
    <cellStyle name="Normal 3 5 2 2 3 3" xfId="6966" xr:uid="{00000000-0005-0000-0000-0000A4680000}"/>
    <cellStyle name="Normal 3 5 2 2 3 3 2" xfId="6967" xr:uid="{00000000-0005-0000-0000-0000A5680000}"/>
    <cellStyle name="Normal 3 5 2 2 3 3 2 2" xfId="6968" xr:uid="{00000000-0005-0000-0000-0000A6680000}"/>
    <cellStyle name="Normal 3 5 2 2 3 3 2 2 2" xfId="30050" xr:uid="{00000000-0005-0000-0000-0000A7680000}"/>
    <cellStyle name="Normal 3 5 2 2 3 3 2 2 2 2" xfId="61921" xr:uid="{00000000-0005-0000-0000-0000A8680000}"/>
    <cellStyle name="Normal 3 5 2 2 3 3 2 2 3" xfId="38847" xr:uid="{00000000-0005-0000-0000-0000A9680000}"/>
    <cellStyle name="Normal 3 5 2 2 3 3 2 3" xfId="22172" xr:uid="{00000000-0005-0000-0000-0000AA680000}"/>
    <cellStyle name="Normal 3 5 2 2 3 3 2 3 2" xfId="54043" xr:uid="{00000000-0005-0000-0000-0000AB680000}"/>
    <cellStyle name="Normal 3 5 2 2 3 3 2 4" xfId="38846" xr:uid="{00000000-0005-0000-0000-0000AC680000}"/>
    <cellStyle name="Normal 3 5 2 2 3 3 3" xfId="6969" xr:uid="{00000000-0005-0000-0000-0000AD680000}"/>
    <cellStyle name="Normal 3 5 2 2 3 3 3 2" xfId="26111" xr:uid="{00000000-0005-0000-0000-0000AE680000}"/>
    <cellStyle name="Normal 3 5 2 2 3 3 3 2 2" xfId="57982" xr:uid="{00000000-0005-0000-0000-0000AF680000}"/>
    <cellStyle name="Normal 3 5 2 2 3 3 3 3" xfId="38848" xr:uid="{00000000-0005-0000-0000-0000B0680000}"/>
    <cellStyle name="Normal 3 5 2 2 3 3 4" xfId="18233" xr:uid="{00000000-0005-0000-0000-0000B1680000}"/>
    <cellStyle name="Normal 3 5 2 2 3 3 4 2" xfId="50104" xr:uid="{00000000-0005-0000-0000-0000B2680000}"/>
    <cellStyle name="Normal 3 5 2 2 3 3 5" xfId="38845" xr:uid="{00000000-0005-0000-0000-0000B3680000}"/>
    <cellStyle name="Normal 3 5 2 2 3 4" xfId="6970" xr:uid="{00000000-0005-0000-0000-0000B4680000}"/>
    <cellStyle name="Normal 3 5 2 2 3 4 2" xfId="6971" xr:uid="{00000000-0005-0000-0000-0000B5680000}"/>
    <cellStyle name="Normal 3 5 2 2 3 4 2 2" xfId="30047" xr:uid="{00000000-0005-0000-0000-0000B6680000}"/>
    <cellStyle name="Normal 3 5 2 2 3 4 2 2 2" xfId="61918" xr:uid="{00000000-0005-0000-0000-0000B7680000}"/>
    <cellStyle name="Normal 3 5 2 2 3 4 2 3" xfId="38850" xr:uid="{00000000-0005-0000-0000-0000B8680000}"/>
    <cellStyle name="Normal 3 5 2 2 3 4 3" xfId="22169" xr:uid="{00000000-0005-0000-0000-0000B9680000}"/>
    <cellStyle name="Normal 3 5 2 2 3 4 3 2" xfId="54040" xr:uid="{00000000-0005-0000-0000-0000BA680000}"/>
    <cellStyle name="Normal 3 5 2 2 3 4 4" xfId="38849" xr:uid="{00000000-0005-0000-0000-0000BB680000}"/>
    <cellStyle name="Normal 3 5 2 2 3 5" xfId="6972" xr:uid="{00000000-0005-0000-0000-0000BC680000}"/>
    <cellStyle name="Normal 3 5 2 2 3 5 2" xfId="26108" xr:uid="{00000000-0005-0000-0000-0000BD680000}"/>
    <cellStyle name="Normal 3 5 2 2 3 5 2 2" xfId="57979" xr:uid="{00000000-0005-0000-0000-0000BE680000}"/>
    <cellStyle name="Normal 3 5 2 2 3 5 3" xfId="38851" xr:uid="{00000000-0005-0000-0000-0000BF680000}"/>
    <cellStyle name="Normal 3 5 2 2 3 6" xfId="18230" xr:uid="{00000000-0005-0000-0000-0000C0680000}"/>
    <cellStyle name="Normal 3 5 2 2 3 6 2" xfId="50101" xr:uid="{00000000-0005-0000-0000-0000C1680000}"/>
    <cellStyle name="Normal 3 5 2 2 3 7" xfId="38836" xr:uid="{00000000-0005-0000-0000-0000C2680000}"/>
    <cellStyle name="Normal 3 5 2 2 4" xfId="6973" xr:uid="{00000000-0005-0000-0000-0000C3680000}"/>
    <cellStyle name="Normal 3 5 2 2 4 2" xfId="6974" xr:uid="{00000000-0005-0000-0000-0000C4680000}"/>
    <cellStyle name="Normal 3 5 2 2 4 2 2" xfId="6975" xr:uid="{00000000-0005-0000-0000-0000C5680000}"/>
    <cellStyle name="Normal 3 5 2 2 4 2 2 2" xfId="6976" xr:uid="{00000000-0005-0000-0000-0000C6680000}"/>
    <cellStyle name="Normal 3 5 2 2 4 2 2 2 2" xfId="30052" xr:uid="{00000000-0005-0000-0000-0000C7680000}"/>
    <cellStyle name="Normal 3 5 2 2 4 2 2 2 2 2" xfId="61923" xr:uid="{00000000-0005-0000-0000-0000C8680000}"/>
    <cellStyle name="Normal 3 5 2 2 4 2 2 2 3" xfId="38855" xr:uid="{00000000-0005-0000-0000-0000C9680000}"/>
    <cellStyle name="Normal 3 5 2 2 4 2 2 3" xfId="22174" xr:uid="{00000000-0005-0000-0000-0000CA680000}"/>
    <cellStyle name="Normal 3 5 2 2 4 2 2 3 2" xfId="54045" xr:uid="{00000000-0005-0000-0000-0000CB680000}"/>
    <cellStyle name="Normal 3 5 2 2 4 2 2 4" xfId="38854" xr:uid="{00000000-0005-0000-0000-0000CC680000}"/>
    <cellStyle name="Normal 3 5 2 2 4 2 3" xfId="6977" xr:uid="{00000000-0005-0000-0000-0000CD680000}"/>
    <cellStyle name="Normal 3 5 2 2 4 2 3 2" xfId="26113" xr:uid="{00000000-0005-0000-0000-0000CE680000}"/>
    <cellStyle name="Normal 3 5 2 2 4 2 3 2 2" xfId="57984" xr:uid="{00000000-0005-0000-0000-0000CF680000}"/>
    <cellStyle name="Normal 3 5 2 2 4 2 3 3" xfId="38856" xr:uid="{00000000-0005-0000-0000-0000D0680000}"/>
    <cellStyle name="Normal 3 5 2 2 4 2 4" xfId="18235" xr:uid="{00000000-0005-0000-0000-0000D1680000}"/>
    <cellStyle name="Normal 3 5 2 2 4 2 4 2" xfId="50106" xr:uid="{00000000-0005-0000-0000-0000D2680000}"/>
    <cellStyle name="Normal 3 5 2 2 4 2 5" xfId="38853" xr:uid="{00000000-0005-0000-0000-0000D3680000}"/>
    <cellStyle name="Normal 3 5 2 2 4 3" xfId="6978" xr:uid="{00000000-0005-0000-0000-0000D4680000}"/>
    <cellStyle name="Normal 3 5 2 2 4 3 2" xfId="6979" xr:uid="{00000000-0005-0000-0000-0000D5680000}"/>
    <cellStyle name="Normal 3 5 2 2 4 3 2 2" xfId="30051" xr:uid="{00000000-0005-0000-0000-0000D6680000}"/>
    <cellStyle name="Normal 3 5 2 2 4 3 2 2 2" xfId="61922" xr:uid="{00000000-0005-0000-0000-0000D7680000}"/>
    <cellStyle name="Normal 3 5 2 2 4 3 2 3" xfId="38858" xr:uid="{00000000-0005-0000-0000-0000D8680000}"/>
    <cellStyle name="Normal 3 5 2 2 4 3 3" xfId="22173" xr:uid="{00000000-0005-0000-0000-0000D9680000}"/>
    <cellStyle name="Normal 3 5 2 2 4 3 3 2" xfId="54044" xr:uid="{00000000-0005-0000-0000-0000DA680000}"/>
    <cellStyle name="Normal 3 5 2 2 4 3 4" xfId="38857" xr:uid="{00000000-0005-0000-0000-0000DB680000}"/>
    <cellStyle name="Normal 3 5 2 2 4 4" xfId="6980" xr:uid="{00000000-0005-0000-0000-0000DC680000}"/>
    <cellStyle name="Normal 3 5 2 2 4 4 2" xfId="26112" xr:uid="{00000000-0005-0000-0000-0000DD680000}"/>
    <cellStyle name="Normal 3 5 2 2 4 4 2 2" xfId="57983" xr:uid="{00000000-0005-0000-0000-0000DE680000}"/>
    <cellStyle name="Normal 3 5 2 2 4 4 3" xfId="38859" xr:uid="{00000000-0005-0000-0000-0000DF680000}"/>
    <cellStyle name="Normal 3 5 2 2 4 5" xfId="18234" xr:uid="{00000000-0005-0000-0000-0000E0680000}"/>
    <cellStyle name="Normal 3 5 2 2 4 5 2" xfId="50105" xr:uid="{00000000-0005-0000-0000-0000E1680000}"/>
    <cellStyle name="Normal 3 5 2 2 4 6" xfId="38852" xr:uid="{00000000-0005-0000-0000-0000E2680000}"/>
    <cellStyle name="Normal 3 5 2 2 5" xfId="6981" xr:uid="{00000000-0005-0000-0000-0000E3680000}"/>
    <cellStyle name="Normal 3 5 2 2 5 2" xfId="6982" xr:uid="{00000000-0005-0000-0000-0000E4680000}"/>
    <cellStyle name="Normal 3 5 2 2 5 2 2" xfId="6983" xr:uid="{00000000-0005-0000-0000-0000E5680000}"/>
    <cellStyle name="Normal 3 5 2 2 5 2 2 2" xfId="30053" xr:uid="{00000000-0005-0000-0000-0000E6680000}"/>
    <cellStyle name="Normal 3 5 2 2 5 2 2 2 2" xfId="61924" xr:uid="{00000000-0005-0000-0000-0000E7680000}"/>
    <cellStyle name="Normal 3 5 2 2 5 2 2 3" xfId="38862" xr:uid="{00000000-0005-0000-0000-0000E8680000}"/>
    <cellStyle name="Normal 3 5 2 2 5 2 3" xfId="22175" xr:uid="{00000000-0005-0000-0000-0000E9680000}"/>
    <cellStyle name="Normal 3 5 2 2 5 2 3 2" xfId="54046" xr:uid="{00000000-0005-0000-0000-0000EA680000}"/>
    <cellStyle name="Normal 3 5 2 2 5 2 4" xfId="38861" xr:uid="{00000000-0005-0000-0000-0000EB680000}"/>
    <cellStyle name="Normal 3 5 2 2 5 3" xfId="6984" xr:uid="{00000000-0005-0000-0000-0000EC680000}"/>
    <cellStyle name="Normal 3 5 2 2 5 3 2" xfId="26114" xr:uid="{00000000-0005-0000-0000-0000ED680000}"/>
    <cellStyle name="Normal 3 5 2 2 5 3 2 2" xfId="57985" xr:uid="{00000000-0005-0000-0000-0000EE680000}"/>
    <cellStyle name="Normal 3 5 2 2 5 3 3" xfId="38863" xr:uid="{00000000-0005-0000-0000-0000EF680000}"/>
    <cellStyle name="Normal 3 5 2 2 5 4" xfId="18236" xr:uid="{00000000-0005-0000-0000-0000F0680000}"/>
    <cellStyle name="Normal 3 5 2 2 5 4 2" xfId="50107" xr:uid="{00000000-0005-0000-0000-0000F1680000}"/>
    <cellStyle name="Normal 3 5 2 2 5 5" xfId="38860" xr:uid="{00000000-0005-0000-0000-0000F2680000}"/>
    <cellStyle name="Normal 3 5 2 2 6" xfId="6985" xr:uid="{00000000-0005-0000-0000-0000F3680000}"/>
    <cellStyle name="Normal 3 5 2 2 6 2" xfId="6986" xr:uid="{00000000-0005-0000-0000-0000F4680000}"/>
    <cellStyle name="Normal 3 5 2 2 6 2 2" xfId="28455" xr:uid="{00000000-0005-0000-0000-0000F5680000}"/>
    <cellStyle name="Normal 3 5 2 2 6 2 2 2" xfId="60326" xr:uid="{00000000-0005-0000-0000-0000F6680000}"/>
    <cellStyle name="Normal 3 5 2 2 6 2 3" xfId="38865" xr:uid="{00000000-0005-0000-0000-0000F7680000}"/>
    <cellStyle name="Normal 3 5 2 2 6 3" xfId="20577" xr:uid="{00000000-0005-0000-0000-0000F8680000}"/>
    <cellStyle name="Normal 3 5 2 2 6 3 2" xfId="52448" xr:uid="{00000000-0005-0000-0000-0000F9680000}"/>
    <cellStyle name="Normal 3 5 2 2 6 4" xfId="38864" xr:uid="{00000000-0005-0000-0000-0000FA680000}"/>
    <cellStyle name="Normal 3 5 2 2 7" xfId="6987" xr:uid="{00000000-0005-0000-0000-0000FB680000}"/>
    <cellStyle name="Normal 3 5 2 2 7 2" xfId="24516" xr:uid="{00000000-0005-0000-0000-0000FC680000}"/>
    <cellStyle name="Normal 3 5 2 2 7 2 2" xfId="56387" xr:uid="{00000000-0005-0000-0000-0000FD680000}"/>
    <cellStyle name="Normal 3 5 2 2 7 3" xfId="38866" xr:uid="{00000000-0005-0000-0000-0000FE680000}"/>
    <cellStyle name="Normal 3 5 2 2 8" xfId="16638" xr:uid="{00000000-0005-0000-0000-0000FF680000}"/>
    <cellStyle name="Normal 3 5 2 2 8 2" xfId="48509" xr:uid="{00000000-0005-0000-0000-000000690000}"/>
    <cellStyle name="Normal 3 5 2 2 9" xfId="6924" xr:uid="{00000000-0005-0000-0000-000001690000}"/>
    <cellStyle name="Normal 3 5 2 2 9 2" xfId="38803" xr:uid="{00000000-0005-0000-0000-000002690000}"/>
    <cellStyle name="Normal 3 5 2 3" xfId="6988" xr:uid="{00000000-0005-0000-0000-000003690000}"/>
    <cellStyle name="Normal 3 5 2 3 2" xfId="6989" xr:uid="{00000000-0005-0000-0000-000004690000}"/>
    <cellStyle name="Normal 3 5 2 3 2 2" xfId="6990" xr:uid="{00000000-0005-0000-0000-000005690000}"/>
    <cellStyle name="Normal 3 5 2 3 2 2 2" xfId="6991" xr:uid="{00000000-0005-0000-0000-000006690000}"/>
    <cellStyle name="Normal 3 5 2 3 2 2 2 2" xfId="6992" xr:uid="{00000000-0005-0000-0000-000007690000}"/>
    <cellStyle name="Normal 3 5 2 3 2 2 2 2 2" xfId="6993" xr:uid="{00000000-0005-0000-0000-000008690000}"/>
    <cellStyle name="Normal 3 5 2 3 2 2 2 2 2 2" xfId="30057" xr:uid="{00000000-0005-0000-0000-000009690000}"/>
    <cellStyle name="Normal 3 5 2 3 2 2 2 2 2 2 2" xfId="61928" xr:uid="{00000000-0005-0000-0000-00000A690000}"/>
    <cellStyle name="Normal 3 5 2 3 2 2 2 2 2 3" xfId="38872" xr:uid="{00000000-0005-0000-0000-00000B690000}"/>
    <cellStyle name="Normal 3 5 2 3 2 2 2 2 3" xfId="22179" xr:uid="{00000000-0005-0000-0000-00000C690000}"/>
    <cellStyle name="Normal 3 5 2 3 2 2 2 2 3 2" xfId="54050" xr:uid="{00000000-0005-0000-0000-00000D690000}"/>
    <cellStyle name="Normal 3 5 2 3 2 2 2 2 4" xfId="38871" xr:uid="{00000000-0005-0000-0000-00000E690000}"/>
    <cellStyle name="Normal 3 5 2 3 2 2 2 3" xfId="6994" xr:uid="{00000000-0005-0000-0000-00000F690000}"/>
    <cellStyle name="Normal 3 5 2 3 2 2 2 3 2" xfId="26118" xr:uid="{00000000-0005-0000-0000-000010690000}"/>
    <cellStyle name="Normal 3 5 2 3 2 2 2 3 2 2" xfId="57989" xr:uid="{00000000-0005-0000-0000-000011690000}"/>
    <cellStyle name="Normal 3 5 2 3 2 2 2 3 3" xfId="38873" xr:uid="{00000000-0005-0000-0000-000012690000}"/>
    <cellStyle name="Normal 3 5 2 3 2 2 2 4" xfId="18240" xr:uid="{00000000-0005-0000-0000-000013690000}"/>
    <cellStyle name="Normal 3 5 2 3 2 2 2 4 2" xfId="50111" xr:uid="{00000000-0005-0000-0000-000014690000}"/>
    <cellStyle name="Normal 3 5 2 3 2 2 2 5" xfId="38870" xr:uid="{00000000-0005-0000-0000-000015690000}"/>
    <cellStyle name="Normal 3 5 2 3 2 2 3" xfId="6995" xr:uid="{00000000-0005-0000-0000-000016690000}"/>
    <cellStyle name="Normal 3 5 2 3 2 2 3 2" xfId="6996" xr:uid="{00000000-0005-0000-0000-000017690000}"/>
    <cellStyle name="Normal 3 5 2 3 2 2 3 2 2" xfId="30056" xr:uid="{00000000-0005-0000-0000-000018690000}"/>
    <cellStyle name="Normal 3 5 2 3 2 2 3 2 2 2" xfId="61927" xr:uid="{00000000-0005-0000-0000-000019690000}"/>
    <cellStyle name="Normal 3 5 2 3 2 2 3 2 3" xfId="38875" xr:uid="{00000000-0005-0000-0000-00001A690000}"/>
    <cellStyle name="Normal 3 5 2 3 2 2 3 3" xfId="22178" xr:uid="{00000000-0005-0000-0000-00001B690000}"/>
    <cellStyle name="Normal 3 5 2 3 2 2 3 3 2" xfId="54049" xr:uid="{00000000-0005-0000-0000-00001C690000}"/>
    <cellStyle name="Normal 3 5 2 3 2 2 3 4" xfId="38874" xr:uid="{00000000-0005-0000-0000-00001D690000}"/>
    <cellStyle name="Normal 3 5 2 3 2 2 4" xfId="6997" xr:uid="{00000000-0005-0000-0000-00001E690000}"/>
    <cellStyle name="Normal 3 5 2 3 2 2 4 2" xfId="26117" xr:uid="{00000000-0005-0000-0000-00001F690000}"/>
    <cellStyle name="Normal 3 5 2 3 2 2 4 2 2" xfId="57988" xr:uid="{00000000-0005-0000-0000-000020690000}"/>
    <cellStyle name="Normal 3 5 2 3 2 2 4 3" xfId="38876" xr:uid="{00000000-0005-0000-0000-000021690000}"/>
    <cellStyle name="Normal 3 5 2 3 2 2 5" xfId="18239" xr:uid="{00000000-0005-0000-0000-000022690000}"/>
    <cellStyle name="Normal 3 5 2 3 2 2 5 2" xfId="50110" xr:uid="{00000000-0005-0000-0000-000023690000}"/>
    <cellStyle name="Normal 3 5 2 3 2 2 6" xfId="38869" xr:uid="{00000000-0005-0000-0000-000024690000}"/>
    <cellStyle name="Normal 3 5 2 3 2 3" xfId="6998" xr:uid="{00000000-0005-0000-0000-000025690000}"/>
    <cellStyle name="Normal 3 5 2 3 2 3 2" xfId="6999" xr:uid="{00000000-0005-0000-0000-000026690000}"/>
    <cellStyle name="Normal 3 5 2 3 2 3 2 2" xfId="7000" xr:uid="{00000000-0005-0000-0000-000027690000}"/>
    <cellStyle name="Normal 3 5 2 3 2 3 2 2 2" xfId="30058" xr:uid="{00000000-0005-0000-0000-000028690000}"/>
    <cellStyle name="Normal 3 5 2 3 2 3 2 2 2 2" xfId="61929" xr:uid="{00000000-0005-0000-0000-000029690000}"/>
    <cellStyle name="Normal 3 5 2 3 2 3 2 2 3" xfId="38879" xr:uid="{00000000-0005-0000-0000-00002A690000}"/>
    <cellStyle name="Normal 3 5 2 3 2 3 2 3" xfId="22180" xr:uid="{00000000-0005-0000-0000-00002B690000}"/>
    <cellStyle name="Normal 3 5 2 3 2 3 2 3 2" xfId="54051" xr:uid="{00000000-0005-0000-0000-00002C690000}"/>
    <cellStyle name="Normal 3 5 2 3 2 3 2 4" xfId="38878" xr:uid="{00000000-0005-0000-0000-00002D690000}"/>
    <cellStyle name="Normal 3 5 2 3 2 3 3" xfId="7001" xr:uid="{00000000-0005-0000-0000-00002E690000}"/>
    <cellStyle name="Normal 3 5 2 3 2 3 3 2" xfId="26119" xr:uid="{00000000-0005-0000-0000-00002F690000}"/>
    <cellStyle name="Normal 3 5 2 3 2 3 3 2 2" xfId="57990" xr:uid="{00000000-0005-0000-0000-000030690000}"/>
    <cellStyle name="Normal 3 5 2 3 2 3 3 3" xfId="38880" xr:uid="{00000000-0005-0000-0000-000031690000}"/>
    <cellStyle name="Normal 3 5 2 3 2 3 4" xfId="18241" xr:uid="{00000000-0005-0000-0000-000032690000}"/>
    <cellStyle name="Normal 3 5 2 3 2 3 4 2" xfId="50112" xr:uid="{00000000-0005-0000-0000-000033690000}"/>
    <cellStyle name="Normal 3 5 2 3 2 3 5" xfId="38877" xr:uid="{00000000-0005-0000-0000-000034690000}"/>
    <cellStyle name="Normal 3 5 2 3 2 4" xfId="7002" xr:uid="{00000000-0005-0000-0000-000035690000}"/>
    <cellStyle name="Normal 3 5 2 3 2 4 2" xfId="7003" xr:uid="{00000000-0005-0000-0000-000036690000}"/>
    <cellStyle name="Normal 3 5 2 3 2 4 2 2" xfId="30055" xr:uid="{00000000-0005-0000-0000-000037690000}"/>
    <cellStyle name="Normal 3 5 2 3 2 4 2 2 2" xfId="61926" xr:uid="{00000000-0005-0000-0000-000038690000}"/>
    <cellStyle name="Normal 3 5 2 3 2 4 2 3" xfId="38882" xr:uid="{00000000-0005-0000-0000-000039690000}"/>
    <cellStyle name="Normal 3 5 2 3 2 4 3" xfId="22177" xr:uid="{00000000-0005-0000-0000-00003A690000}"/>
    <cellStyle name="Normal 3 5 2 3 2 4 3 2" xfId="54048" xr:uid="{00000000-0005-0000-0000-00003B690000}"/>
    <cellStyle name="Normal 3 5 2 3 2 4 4" xfId="38881" xr:uid="{00000000-0005-0000-0000-00003C690000}"/>
    <cellStyle name="Normal 3 5 2 3 2 5" xfId="7004" xr:uid="{00000000-0005-0000-0000-00003D690000}"/>
    <cellStyle name="Normal 3 5 2 3 2 5 2" xfId="26116" xr:uid="{00000000-0005-0000-0000-00003E690000}"/>
    <cellStyle name="Normal 3 5 2 3 2 5 2 2" xfId="57987" xr:uid="{00000000-0005-0000-0000-00003F690000}"/>
    <cellStyle name="Normal 3 5 2 3 2 5 3" xfId="38883" xr:uid="{00000000-0005-0000-0000-000040690000}"/>
    <cellStyle name="Normal 3 5 2 3 2 6" xfId="18238" xr:uid="{00000000-0005-0000-0000-000041690000}"/>
    <cellStyle name="Normal 3 5 2 3 2 6 2" xfId="50109" xr:uid="{00000000-0005-0000-0000-000042690000}"/>
    <cellStyle name="Normal 3 5 2 3 2 7" xfId="38868" xr:uid="{00000000-0005-0000-0000-000043690000}"/>
    <cellStyle name="Normal 3 5 2 3 3" xfId="7005" xr:uid="{00000000-0005-0000-0000-000044690000}"/>
    <cellStyle name="Normal 3 5 2 3 3 2" xfId="7006" xr:uid="{00000000-0005-0000-0000-000045690000}"/>
    <cellStyle name="Normal 3 5 2 3 3 2 2" xfId="7007" xr:uid="{00000000-0005-0000-0000-000046690000}"/>
    <cellStyle name="Normal 3 5 2 3 3 2 2 2" xfId="7008" xr:uid="{00000000-0005-0000-0000-000047690000}"/>
    <cellStyle name="Normal 3 5 2 3 3 2 2 2 2" xfId="30060" xr:uid="{00000000-0005-0000-0000-000048690000}"/>
    <cellStyle name="Normal 3 5 2 3 3 2 2 2 2 2" xfId="61931" xr:uid="{00000000-0005-0000-0000-000049690000}"/>
    <cellStyle name="Normal 3 5 2 3 3 2 2 2 3" xfId="38887" xr:uid="{00000000-0005-0000-0000-00004A690000}"/>
    <cellStyle name="Normal 3 5 2 3 3 2 2 3" xfId="22182" xr:uid="{00000000-0005-0000-0000-00004B690000}"/>
    <cellStyle name="Normal 3 5 2 3 3 2 2 3 2" xfId="54053" xr:uid="{00000000-0005-0000-0000-00004C690000}"/>
    <cellStyle name="Normal 3 5 2 3 3 2 2 4" xfId="38886" xr:uid="{00000000-0005-0000-0000-00004D690000}"/>
    <cellStyle name="Normal 3 5 2 3 3 2 3" xfId="7009" xr:uid="{00000000-0005-0000-0000-00004E690000}"/>
    <cellStyle name="Normal 3 5 2 3 3 2 3 2" xfId="26121" xr:uid="{00000000-0005-0000-0000-00004F690000}"/>
    <cellStyle name="Normal 3 5 2 3 3 2 3 2 2" xfId="57992" xr:uid="{00000000-0005-0000-0000-000050690000}"/>
    <cellStyle name="Normal 3 5 2 3 3 2 3 3" xfId="38888" xr:uid="{00000000-0005-0000-0000-000051690000}"/>
    <cellStyle name="Normal 3 5 2 3 3 2 4" xfId="18243" xr:uid="{00000000-0005-0000-0000-000052690000}"/>
    <cellStyle name="Normal 3 5 2 3 3 2 4 2" xfId="50114" xr:uid="{00000000-0005-0000-0000-000053690000}"/>
    <cellStyle name="Normal 3 5 2 3 3 2 5" xfId="38885" xr:uid="{00000000-0005-0000-0000-000054690000}"/>
    <cellStyle name="Normal 3 5 2 3 3 3" xfId="7010" xr:uid="{00000000-0005-0000-0000-000055690000}"/>
    <cellStyle name="Normal 3 5 2 3 3 3 2" xfId="7011" xr:uid="{00000000-0005-0000-0000-000056690000}"/>
    <cellStyle name="Normal 3 5 2 3 3 3 2 2" xfId="30059" xr:uid="{00000000-0005-0000-0000-000057690000}"/>
    <cellStyle name="Normal 3 5 2 3 3 3 2 2 2" xfId="61930" xr:uid="{00000000-0005-0000-0000-000058690000}"/>
    <cellStyle name="Normal 3 5 2 3 3 3 2 3" xfId="38890" xr:uid="{00000000-0005-0000-0000-000059690000}"/>
    <cellStyle name="Normal 3 5 2 3 3 3 3" xfId="22181" xr:uid="{00000000-0005-0000-0000-00005A690000}"/>
    <cellStyle name="Normal 3 5 2 3 3 3 3 2" xfId="54052" xr:uid="{00000000-0005-0000-0000-00005B690000}"/>
    <cellStyle name="Normal 3 5 2 3 3 3 4" xfId="38889" xr:uid="{00000000-0005-0000-0000-00005C690000}"/>
    <cellStyle name="Normal 3 5 2 3 3 4" xfId="7012" xr:uid="{00000000-0005-0000-0000-00005D690000}"/>
    <cellStyle name="Normal 3 5 2 3 3 4 2" xfId="26120" xr:uid="{00000000-0005-0000-0000-00005E690000}"/>
    <cellStyle name="Normal 3 5 2 3 3 4 2 2" xfId="57991" xr:uid="{00000000-0005-0000-0000-00005F690000}"/>
    <cellStyle name="Normal 3 5 2 3 3 4 3" xfId="38891" xr:uid="{00000000-0005-0000-0000-000060690000}"/>
    <cellStyle name="Normal 3 5 2 3 3 5" xfId="18242" xr:uid="{00000000-0005-0000-0000-000061690000}"/>
    <cellStyle name="Normal 3 5 2 3 3 5 2" xfId="50113" xr:uid="{00000000-0005-0000-0000-000062690000}"/>
    <cellStyle name="Normal 3 5 2 3 3 6" xfId="38884" xr:uid="{00000000-0005-0000-0000-000063690000}"/>
    <cellStyle name="Normal 3 5 2 3 4" xfId="7013" xr:uid="{00000000-0005-0000-0000-000064690000}"/>
    <cellStyle name="Normal 3 5 2 3 4 2" xfId="7014" xr:uid="{00000000-0005-0000-0000-000065690000}"/>
    <cellStyle name="Normal 3 5 2 3 4 2 2" xfId="7015" xr:uid="{00000000-0005-0000-0000-000066690000}"/>
    <cellStyle name="Normal 3 5 2 3 4 2 2 2" xfId="30061" xr:uid="{00000000-0005-0000-0000-000067690000}"/>
    <cellStyle name="Normal 3 5 2 3 4 2 2 2 2" xfId="61932" xr:uid="{00000000-0005-0000-0000-000068690000}"/>
    <cellStyle name="Normal 3 5 2 3 4 2 2 3" xfId="38894" xr:uid="{00000000-0005-0000-0000-000069690000}"/>
    <cellStyle name="Normal 3 5 2 3 4 2 3" xfId="22183" xr:uid="{00000000-0005-0000-0000-00006A690000}"/>
    <cellStyle name="Normal 3 5 2 3 4 2 3 2" xfId="54054" xr:uid="{00000000-0005-0000-0000-00006B690000}"/>
    <cellStyle name="Normal 3 5 2 3 4 2 4" xfId="38893" xr:uid="{00000000-0005-0000-0000-00006C690000}"/>
    <cellStyle name="Normal 3 5 2 3 4 3" xfId="7016" xr:uid="{00000000-0005-0000-0000-00006D690000}"/>
    <cellStyle name="Normal 3 5 2 3 4 3 2" xfId="26122" xr:uid="{00000000-0005-0000-0000-00006E690000}"/>
    <cellStyle name="Normal 3 5 2 3 4 3 2 2" xfId="57993" xr:uid="{00000000-0005-0000-0000-00006F690000}"/>
    <cellStyle name="Normal 3 5 2 3 4 3 3" xfId="38895" xr:uid="{00000000-0005-0000-0000-000070690000}"/>
    <cellStyle name="Normal 3 5 2 3 4 4" xfId="18244" xr:uid="{00000000-0005-0000-0000-000071690000}"/>
    <cellStyle name="Normal 3 5 2 3 4 4 2" xfId="50115" xr:uid="{00000000-0005-0000-0000-000072690000}"/>
    <cellStyle name="Normal 3 5 2 3 4 5" xfId="38892" xr:uid="{00000000-0005-0000-0000-000073690000}"/>
    <cellStyle name="Normal 3 5 2 3 5" xfId="7017" xr:uid="{00000000-0005-0000-0000-000074690000}"/>
    <cellStyle name="Normal 3 5 2 3 5 2" xfId="7018" xr:uid="{00000000-0005-0000-0000-000075690000}"/>
    <cellStyle name="Normal 3 5 2 3 5 2 2" xfId="30054" xr:uid="{00000000-0005-0000-0000-000076690000}"/>
    <cellStyle name="Normal 3 5 2 3 5 2 2 2" xfId="61925" xr:uid="{00000000-0005-0000-0000-000077690000}"/>
    <cellStyle name="Normal 3 5 2 3 5 2 3" xfId="38897" xr:uid="{00000000-0005-0000-0000-000078690000}"/>
    <cellStyle name="Normal 3 5 2 3 5 3" xfId="22176" xr:uid="{00000000-0005-0000-0000-000079690000}"/>
    <cellStyle name="Normal 3 5 2 3 5 3 2" xfId="54047" xr:uid="{00000000-0005-0000-0000-00007A690000}"/>
    <cellStyle name="Normal 3 5 2 3 5 4" xfId="38896" xr:uid="{00000000-0005-0000-0000-00007B690000}"/>
    <cellStyle name="Normal 3 5 2 3 6" xfId="7019" xr:uid="{00000000-0005-0000-0000-00007C690000}"/>
    <cellStyle name="Normal 3 5 2 3 6 2" xfId="26115" xr:uid="{00000000-0005-0000-0000-00007D690000}"/>
    <cellStyle name="Normal 3 5 2 3 6 2 2" xfId="57986" xr:uid="{00000000-0005-0000-0000-00007E690000}"/>
    <cellStyle name="Normal 3 5 2 3 6 3" xfId="38898" xr:uid="{00000000-0005-0000-0000-00007F690000}"/>
    <cellStyle name="Normal 3 5 2 3 7" xfId="18237" xr:uid="{00000000-0005-0000-0000-000080690000}"/>
    <cellStyle name="Normal 3 5 2 3 7 2" xfId="50108" xr:uid="{00000000-0005-0000-0000-000081690000}"/>
    <cellStyle name="Normal 3 5 2 3 8" xfId="38867" xr:uid="{00000000-0005-0000-0000-000082690000}"/>
    <cellStyle name="Normal 3 5 2 4" xfId="7020" xr:uid="{00000000-0005-0000-0000-000083690000}"/>
    <cellStyle name="Normal 3 5 2 4 2" xfId="7021" xr:uid="{00000000-0005-0000-0000-000084690000}"/>
    <cellStyle name="Normal 3 5 2 4 2 2" xfId="7022" xr:uid="{00000000-0005-0000-0000-000085690000}"/>
    <cellStyle name="Normal 3 5 2 4 2 2 2" xfId="7023" xr:uid="{00000000-0005-0000-0000-000086690000}"/>
    <cellStyle name="Normal 3 5 2 4 2 2 2 2" xfId="7024" xr:uid="{00000000-0005-0000-0000-000087690000}"/>
    <cellStyle name="Normal 3 5 2 4 2 2 2 2 2" xfId="30064" xr:uid="{00000000-0005-0000-0000-000088690000}"/>
    <cellStyle name="Normal 3 5 2 4 2 2 2 2 2 2" xfId="61935" xr:uid="{00000000-0005-0000-0000-000089690000}"/>
    <cellStyle name="Normal 3 5 2 4 2 2 2 2 3" xfId="38903" xr:uid="{00000000-0005-0000-0000-00008A690000}"/>
    <cellStyle name="Normal 3 5 2 4 2 2 2 3" xfId="22186" xr:uid="{00000000-0005-0000-0000-00008B690000}"/>
    <cellStyle name="Normal 3 5 2 4 2 2 2 3 2" xfId="54057" xr:uid="{00000000-0005-0000-0000-00008C690000}"/>
    <cellStyle name="Normal 3 5 2 4 2 2 2 4" xfId="38902" xr:uid="{00000000-0005-0000-0000-00008D690000}"/>
    <cellStyle name="Normal 3 5 2 4 2 2 3" xfId="7025" xr:uid="{00000000-0005-0000-0000-00008E690000}"/>
    <cellStyle name="Normal 3 5 2 4 2 2 3 2" xfId="26125" xr:uid="{00000000-0005-0000-0000-00008F690000}"/>
    <cellStyle name="Normal 3 5 2 4 2 2 3 2 2" xfId="57996" xr:uid="{00000000-0005-0000-0000-000090690000}"/>
    <cellStyle name="Normal 3 5 2 4 2 2 3 3" xfId="38904" xr:uid="{00000000-0005-0000-0000-000091690000}"/>
    <cellStyle name="Normal 3 5 2 4 2 2 4" xfId="18247" xr:uid="{00000000-0005-0000-0000-000092690000}"/>
    <cellStyle name="Normal 3 5 2 4 2 2 4 2" xfId="50118" xr:uid="{00000000-0005-0000-0000-000093690000}"/>
    <cellStyle name="Normal 3 5 2 4 2 2 5" xfId="38901" xr:uid="{00000000-0005-0000-0000-000094690000}"/>
    <cellStyle name="Normal 3 5 2 4 2 3" xfId="7026" xr:uid="{00000000-0005-0000-0000-000095690000}"/>
    <cellStyle name="Normal 3 5 2 4 2 3 2" xfId="7027" xr:uid="{00000000-0005-0000-0000-000096690000}"/>
    <cellStyle name="Normal 3 5 2 4 2 3 2 2" xfId="30063" xr:uid="{00000000-0005-0000-0000-000097690000}"/>
    <cellStyle name="Normal 3 5 2 4 2 3 2 2 2" xfId="61934" xr:uid="{00000000-0005-0000-0000-000098690000}"/>
    <cellStyle name="Normal 3 5 2 4 2 3 2 3" xfId="38906" xr:uid="{00000000-0005-0000-0000-000099690000}"/>
    <cellStyle name="Normal 3 5 2 4 2 3 3" xfId="22185" xr:uid="{00000000-0005-0000-0000-00009A690000}"/>
    <cellStyle name="Normal 3 5 2 4 2 3 3 2" xfId="54056" xr:uid="{00000000-0005-0000-0000-00009B690000}"/>
    <cellStyle name="Normal 3 5 2 4 2 3 4" xfId="38905" xr:uid="{00000000-0005-0000-0000-00009C690000}"/>
    <cellStyle name="Normal 3 5 2 4 2 4" xfId="7028" xr:uid="{00000000-0005-0000-0000-00009D690000}"/>
    <cellStyle name="Normal 3 5 2 4 2 4 2" xfId="26124" xr:uid="{00000000-0005-0000-0000-00009E690000}"/>
    <cellStyle name="Normal 3 5 2 4 2 4 2 2" xfId="57995" xr:uid="{00000000-0005-0000-0000-00009F690000}"/>
    <cellStyle name="Normal 3 5 2 4 2 4 3" xfId="38907" xr:uid="{00000000-0005-0000-0000-0000A0690000}"/>
    <cellStyle name="Normal 3 5 2 4 2 5" xfId="18246" xr:uid="{00000000-0005-0000-0000-0000A1690000}"/>
    <cellStyle name="Normal 3 5 2 4 2 5 2" xfId="50117" xr:uid="{00000000-0005-0000-0000-0000A2690000}"/>
    <cellStyle name="Normal 3 5 2 4 2 6" xfId="38900" xr:uid="{00000000-0005-0000-0000-0000A3690000}"/>
    <cellStyle name="Normal 3 5 2 4 3" xfId="7029" xr:uid="{00000000-0005-0000-0000-0000A4690000}"/>
    <cellStyle name="Normal 3 5 2 4 3 2" xfId="7030" xr:uid="{00000000-0005-0000-0000-0000A5690000}"/>
    <cellStyle name="Normal 3 5 2 4 3 2 2" xfId="7031" xr:uid="{00000000-0005-0000-0000-0000A6690000}"/>
    <cellStyle name="Normal 3 5 2 4 3 2 2 2" xfId="30065" xr:uid="{00000000-0005-0000-0000-0000A7690000}"/>
    <cellStyle name="Normal 3 5 2 4 3 2 2 2 2" xfId="61936" xr:uid="{00000000-0005-0000-0000-0000A8690000}"/>
    <cellStyle name="Normal 3 5 2 4 3 2 2 3" xfId="38910" xr:uid="{00000000-0005-0000-0000-0000A9690000}"/>
    <cellStyle name="Normal 3 5 2 4 3 2 3" xfId="22187" xr:uid="{00000000-0005-0000-0000-0000AA690000}"/>
    <cellStyle name="Normal 3 5 2 4 3 2 3 2" xfId="54058" xr:uid="{00000000-0005-0000-0000-0000AB690000}"/>
    <cellStyle name="Normal 3 5 2 4 3 2 4" xfId="38909" xr:uid="{00000000-0005-0000-0000-0000AC690000}"/>
    <cellStyle name="Normal 3 5 2 4 3 3" xfId="7032" xr:uid="{00000000-0005-0000-0000-0000AD690000}"/>
    <cellStyle name="Normal 3 5 2 4 3 3 2" xfId="26126" xr:uid="{00000000-0005-0000-0000-0000AE690000}"/>
    <cellStyle name="Normal 3 5 2 4 3 3 2 2" xfId="57997" xr:uid="{00000000-0005-0000-0000-0000AF690000}"/>
    <cellStyle name="Normal 3 5 2 4 3 3 3" xfId="38911" xr:uid="{00000000-0005-0000-0000-0000B0690000}"/>
    <cellStyle name="Normal 3 5 2 4 3 4" xfId="18248" xr:uid="{00000000-0005-0000-0000-0000B1690000}"/>
    <cellStyle name="Normal 3 5 2 4 3 4 2" xfId="50119" xr:uid="{00000000-0005-0000-0000-0000B2690000}"/>
    <cellStyle name="Normal 3 5 2 4 3 5" xfId="38908" xr:uid="{00000000-0005-0000-0000-0000B3690000}"/>
    <cellStyle name="Normal 3 5 2 4 4" xfId="7033" xr:uid="{00000000-0005-0000-0000-0000B4690000}"/>
    <cellStyle name="Normal 3 5 2 4 4 2" xfId="7034" xr:uid="{00000000-0005-0000-0000-0000B5690000}"/>
    <cellStyle name="Normal 3 5 2 4 4 2 2" xfId="30062" xr:uid="{00000000-0005-0000-0000-0000B6690000}"/>
    <cellStyle name="Normal 3 5 2 4 4 2 2 2" xfId="61933" xr:uid="{00000000-0005-0000-0000-0000B7690000}"/>
    <cellStyle name="Normal 3 5 2 4 4 2 3" xfId="38913" xr:uid="{00000000-0005-0000-0000-0000B8690000}"/>
    <cellStyle name="Normal 3 5 2 4 4 3" xfId="22184" xr:uid="{00000000-0005-0000-0000-0000B9690000}"/>
    <cellStyle name="Normal 3 5 2 4 4 3 2" xfId="54055" xr:uid="{00000000-0005-0000-0000-0000BA690000}"/>
    <cellStyle name="Normal 3 5 2 4 4 4" xfId="38912" xr:uid="{00000000-0005-0000-0000-0000BB690000}"/>
    <cellStyle name="Normal 3 5 2 4 5" xfId="7035" xr:uid="{00000000-0005-0000-0000-0000BC690000}"/>
    <cellStyle name="Normal 3 5 2 4 5 2" xfId="26123" xr:uid="{00000000-0005-0000-0000-0000BD690000}"/>
    <cellStyle name="Normal 3 5 2 4 5 2 2" xfId="57994" xr:uid="{00000000-0005-0000-0000-0000BE690000}"/>
    <cellStyle name="Normal 3 5 2 4 5 3" xfId="38914" xr:uid="{00000000-0005-0000-0000-0000BF690000}"/>
    <cellStyle name="Normal 3 5 2 4 6" xfId="18245" xr:uid="{00000000-0005-0000-0000-0000C0690000}"/>
    <cellStyle name="Normal 3 5 2 4 6 2" xfId="50116" xr:uid="{00000000-0005-0000-0000-0000C1690000}"/>
    <cellStyle name="Normal 3 5 2 4 7" xfId="38899" xr:uid="{00000000-0005-0000-0000-0000C2690000}"/>
    <cellStyle name="Normal 3 5 2 5" xfId="7036" xr:uid="{00000000-0005-0000-0000-0000C3690000}"/>
    <cellStyle name="Normal 3 5 2 5 2" xfId="7037" xr:uid="{00000000-0005-0000-0000-0000C4690000}"/>
    <cellStyle name="Normal 3 5 2 5 2 2" xfId="7038" xr:uid="{00000000-0005-0000-0000-0000C5690000}"/>
    <cellStyle name="Normal 3 5 2 5 2 2 2" xfId="7039" xr:uid="{00000000-0005-0000-0000-0000C6690000}"/>
    <cellStyle name="Normal 3 5 2 5 2 2 2 2" xfId="30067" xr:uid="{00000000-0005-0000-0000-0000C7690000}"/>
    <cellStyle name="Normal 3 5 2 5 2 2 2 2 2" xfId="61938" xr:uid="{00000000-0005-0000-0000-0000C8690000}"/>
    <cellStyle name="Normal 3 5 2 5 2 2 2 3" xfId="38918" xr:uid="{00000000-0005-0000-0000-0000C9690000}"/>
    <cellStyle name="Normal 3 5 2 5 2 2 3" xfId="22189" xr:uid="{00000000-0005-0000-0000-0000CA690000}"/>
    <cellStyle name="Normal 3 5 2 5 2 2 3 2" xfId="54060" xr:uid="{00000000-0005-0000-0000-0000CB690000}"/>
    <cellStyle name="Normal 3 5 2 5 2 2 4" xfId="38917" xr:uid="{00000000-0005-0000-0000-0000CC690000}"/>
    <cellStyle name="Normal 3 5 2 5 2 3" xfId="7040" xr:uid="{00000000-0005-0000-0000-0000CD690000}"/>
    <cellStyle name="Normal 3 5 2 5 2 3 2" xfId="26128" xr:uid="{00000000-0005-0000-0000-0000CE690000}"/>
    <cellStyle name="Normal 3 5 2 5 2 3 2 2" xfId="57999" xr:uid="{00000000-0005-0000-0000-0000CF690000}"/>
    <cellStyle name="Normal 3 5 2 5 2 3 3" xfId="38919" xr:uid="{00000000-0005-0000-0000-0000D0690000}"/>
    <cellStyle name="Normal 3 5 2 5 2 4" xfId="18250" xr:uid="{00000000-0005-0000-0000-0000D1690000}"/>
    <cellStyle name="Normal 3 5 2 5 2 4 2" xfId="50121" xr:uid="{00000000-0005-0000-0000-0000D2690000}"/>
    <cellStyle name="Normal 3 5 2 5 2 5" xfId="38916" xr:uid="{00000000-0005-0000-0000-0000D3690000}"/>
    <cellStyle name="Normal 3 5 2 5 3" xfId="7041" xr:uid="{00000000-0005-0000-0000-0000D4690000}"/>
    <cellStyle name="Normal 3 5 2 5 3 2" xfId="7042" xr:uid="{00000000-0005-0000-0000-0000D5690000}"/>
    <cellStyle name="Normal 3 5 2 5 3 2 2" xfId="30066" xr:uid="{00000000-0005-0000-0000-0000D6690000}"/>
    <cellStyle name="Normal 3 5 2 5 3 2 2 2" xfId="61937" xr:uid="{00000000-0005-0000-0000-0000D7690000}"/>
    <cellStyle name="Normal 3 5 2 5 3 2 3" xfId="38921" xr:uid="{00000000-0005-0000-0000-0000D8690000}"/>
    <cellStyle name="Normal 3 5 2 5 3 3" xfId="22188" xr:uid="{00000000-0005-0000-0000-0000D9690000}"/>
    <cellStyle name="Normal 3 5 2 5 3 3 2" xfId="54059" xr:uid="{00000000-0005-0000-0000-0000DA690000}"/>
    <cellStyle name="Normal 3 5 2 5 3 4" xfId="38920" xr:uid="{00000000-0005-0000-0000-0000DB690000}"/>
    <cellStyle name="Normal 3 5 2 5 4" xfId="7043" xr:uid="{00000000-0005-0000-0000-0000DC690000}"/>
    <cellStyle name="Normal 3 5 2 5 4 2" xfId="26127" xr:uid="{00000000-0005-0000-0000-0000DD690000}"/>
    <cellStyle name="Normal 3 5 2 5 4 2 2" xfId="57998" xr:uid="{00000000-0005-0000-0000-0000DE690000}"/>
    <cellStyle name="Normal 3 5 2 5 4 3" xfId="38922" xr:uid="{00000000-0005-0000-0000-0000DF690000}"/>
    <cellStyle name="Normal 3 5 2 5 5" xfId="18249" xr:uid="{00000000-0005-0000-0000-0000E0690000}"/>
    <cellStyle name="Normal 3 5 2 5 5 2" xfId="50120" xr:uid="{00000000-0005-0000-0000-0000E1690000}"/>
    <cellStyle name="Normal 3 5 2 5 6" xfId="38915" xr:uid="{00000000-0005-0000-0000-0000E2690000}"/>
    <cellStyle name="Normal 3 5 2 6" xfId="7044" xr:uid="{00000000-0005-0000-0000-0000E3690000}"/>
    <cellStyle name="Normal 3 5 2 6 2" xfId="7045" xr:uid="{00000000-0005-0000-0000-0000E4690000}"/>
    <cellStyle name="Normal 3 5 2 6 2 2" xfId="7046" xr:uid="{00000000-0005-0000-0000-0000E5690000}"/>
    <cellStyle name="Normal 3 5 2 6 2 2 2" xfId="30068" xr:uid="{00000000-0005-0000-0000-0000E6690000}"/>
    <cellStyle name="Normal 3 5 2 6 2 2 2 2" xfId="61939" xr:uid="{00000000-0005-0000-0000-0000E7690000}"/>
    <cellStyle name="Normal 3 5 2 6 2 2 3" xfId="38925" xr:uid="{00000000-0005-0000-0000-0000E8690000}"/>
    <cellStyle name="Normal 3 5 2 6 2 3" xfId="22190" xr:uid="{00000000-0005-0000-0000-0000E9690000}"/>
    <cellStyle name="Normal 3 5 2 6 2 3 2" xfId="54061" xr:uid="{00000000-0005-0000-0000-0000EA690000}"/>
    <cellStyle name="Normal 3 5 2 6 2 4" xfId="38924" xr:uid="{00000000-0005-0000-0000-0000EB690000}"/>
    <cellStyle name="Normal 3 5 2 6 3" xfId="7047" xr:uid="{00000000-0005-0000-0000-0000EC690000}"/>
    <cellStyle name="Normal 3 5 2 6 3 2" xfId="26129" xr:uid="{00000000-0005-0000-0000-0000ED690000}"/>
    <cellStyle name="Normal 3 5 2 6 3 2 2" xfId="58000" xr:uid="{00000000-0005-0000-0000-0000EE690000}"/>
    <cellStyle name="Normal 3 5 2 6 3 3" xfId="38926" xr:uid="{00000000-0005-0000-0000-0000EF690000}"/>
    <cellStyle name="Normal 3 5 2 6 4" xfId="18251" xr:uid="{00000000-0005-0000-0000-0000F0690000}"/>
    <cellStyle name="Normal 3 5 2 6 4 2" xfId="50122" xr:uid="{00000000-0005-0000-0000-0000F1690000}"/>
    <cellStyle name="Normal 3 5 2 6 5" xfId="38923" xr:uid="{00000000-0005-0000-0000-0000F2690000}"/>
    <cellStyle name="Normal 3 5 2 7" xfId="7048" xr:uid="{00000000-0005-0000-0000-0000F3690000}"/>
    <cellStyle name="Normal 3 5 2 7 2" xfId="7049" xr:uid="{00000000-0005-0000-0000-0000F4690000}"/>
    <cellStyle name="Normal 3 5 2 7 2 2" xfId="28332" xr:uid="{00000000-0005-0000-0000-0000F5690000}"/>
    <cellStyle name="Normal 3 5 2 7 2 2 2" xfId="60203" xr:uid="{00000000-0005-0000-0000-0000F6690000}"/>
    <cellStyle name="Normal 3 5 2 7 2 3" xfId="38928" xr:uid="{00000000-0005-0000-0000-0000F7690000}"/>
    <cellStyle name="Normal 3 5 2 7 3" xfId="20454" xr:uid="{00000000-0005-0000-0000-0000F8690000}"/>
    <cellStyle name="Normal 3 5 2 7 3 2" xfId="52325" xr:uid="{00000000-0005-0000-0000-0000F9690000}"/>
    <cellStyle name="Normal 3 5 2 7 4" xfId="38927" xr:uid="{00000000-0005-0000-0000-0000FA690000}"/>
    <cellStyle name="Normal 3 5 2 8" xfId="7050" xr:uid="{00000000-0005-0000-0000-0000FB690000}"/>
    <cellStyle name="Normal 3 5 2 8 2" xfId="24393" xr:uid="{00000000-0005-0000-0000-0000FC690000}"/>
    <cellStyle name="Normal 3 5 2 8 2 2" xfId="56264" xr:uid="{00000000-0005-0000-0000-0000FD690000}"/>
    <cellStyle name="Normal 3 5 2 8 3" xfId="38929" xr:uid="{00000000-0005-0000-0000-0000FE690000}"/>
    <cellStyle name="Normal 3 5 2 9" xfId="16515" xr:uid="{00000000-0005-0000-0000-0000FF690000}"/>
    <cellStyle name="Normal 3 5 2 9 2" xfId="48386" xr:uid="{00000000-0005-0000-0000-0000006A0000}"/>
    <cellStyle name="Normal 3 5 3" xfId="213" xr:uid="{00000000-0005-0000-0000-0000016A0000}"/>
    <cellStyle name="Normal 3 5 3 10" xfId="7051" xr:uid="{00000000-0005-0000-0000-0000026A0000}"/>
    <cellStyle name="Normal 3 5 3 10 2" xfId="38930" xr:uid="{00000000-0005-0000-0000-0000036A0000}"/>
    <cellStyle name="Normal 3 5 3 11" xfId="32193" xr:uid="{00000000-0005-0000-0000-0000046A0000}"/>
    <cellStyle name="Normal 3 5 3 2" xfId="7052" xr:uid="{00000000-0005-0000-0000-0000056A0000}"/>
    <cellStyle name="Normal 3 5 3 2 2" xfId="7053" xr:uid="{00000000-0005-0000-0000-0000066A0000}"/>
    <cellStyle name="Normal 3 5 3 2 2 2" xfId="7054" xr:uid="{00000000-0005-0000-0000-0000076A0000}"/>
    <cellStyle name="Normal 3 5 3 2 2 2 2" xfId="7055" xr:uid="{00000000-0005-0000-0000-0000086A0000}"/>
    <cellStyle name="Normal 3 5 3 2 2 2 2 2" xfId="7056" xr:uid="{00000000-0005-0000-0000-0000096A0000}"/>
    <cellStyle name="Normal 3 5 3 2 2 2 2 2 2" xfId="7057" xr:uid="{00000000-0005-0000-0000-00000A6A0000}"/>
    <cellStyle name="Normal 3 5 3 2 2 2 2 2 2 2" xfId="7058" xr:uid="{00000000-0005-0000-0000-00000B6A0000}"/>
    <cellStyle name="Normal 3 5 3 2 2 2 2 2 2 2 2" xfId="30072" xr:uid="{00000000-0005-0000-0000-00000C6A0000}"/>
    <cellStyle name="Normal 3 5 3 2 2 2 2 2 2 2 2 2" xfId="61943" xr:uid="{00000000-0005-0000-0000-00000D6A0000}"/>
    <cellStyle name="Normal 3 5 3 2 2 2 2 2 2 2 3" xfId="38937" xr:uid="{00000000-0005-0000-0000-00000E6A0000}"/>
    <cellStyle name="Normal 3 5 3 2 2 2 2 2 2 3" xfId="22194" xr:uid="{00000000-0005-0000-0000-00000F6A0000}"/>
    <cellStyle name="Normal 3 5 3 2 2 2 2 2 2 3 2" xfId="54065" xr:uid="{00000000-0005-0000-0000-0000106A0000}"/>
    <cellStyle name="Normal 3 5 3 2 2 2 2 2 2 4" xfId="38936" xr:uid="{00000000-0005-0000-0000-0000116A0000}"/>
    <cellStyle name="Normal 3 5 3 2 2 2 2 2 3" xfId="7059" xr:uid="{00000000-0005-0000-0000-0000126A0000}"/>
    <cellStyle name="Normal 3 5 3 2 2 2 2 2 3 2" xfId="26133" xr:uid="{00000000-0005-0000-0000-0000136A0000}"/>
    <cellStyle name="Normal 3 5 3 2 2 2 2 2 3 2 2" xfId="58004" xr:uid="{00000000-0005-0000-0000-0000146A0000}"/>
    <cellStyle name="Normal 3 5 3 2 2 2 2 2 3 3" xfId="38938" xr:uid="{00000000-0005-0000-0000-0000156A0000}"/>
    <cellStyle name="Normal 3 5 3 2 2 2 2 2 4" xfId="18255" xr:uid="{00000000-0005-0000-0000-0000166A0000}"/>
    <cellStyle name="Normal 3 5 3 2 2 2 2 2 4 2" xfId="50126" xr:uid="{00000000-0005-0000-0000-0000176A0000}"/>
    <cellStyle name="Normal 3 5 3 2 2 2 2 2 5" xfId="38935" xr:uid="{00000000-0005-0000-0000-0000186A0000}"/>
    <cellStyle name="Normal 3 5 3 2 2 2 2 3" xfId="7060" xr:uid="{00000000-0005-0000-0000-0000196A0000}"/>
    <cellStyle name="Normal 3 5 3 2 2 2 2 3 2" xfId="7061" xr:uid="{00000000-0005-0000-0000-00001A6A0000}"/>
    <cellStyle name="Normal 3 5 3 2 2 2 2 3 2 2" xfId="30071" xr:uid="{00000000-0005-0000-0000-00001B6A0000}"/>
    <cellStyle name="Normal 3 5 3 2 2 2 2 3 2 2 2" xfId="61942" xr:uid="{00000000-0005-0000-0000-00001C6A0000}"/>
    <cellStyle name="Normal 3 5 3 2 2 2 2 3 2 3" xfId="38940" xr:uid="{00000000-0005-0000-0000-00001D6A0000}"/>
    <cellStyle name="Normal 3 5 3 2 2 2 2 3 3" xfId="22193" xr:uid="{00000000-0005-0000-0000-00001E6A0000}"/>
    <cellStyle name="Normal 3 5 3 2 2 2 2 3 3 2" xfId="54064" xr:uid="{00000000-0005-0000-0000-00001F6A0000}"/>
    <cellStyle name="Normal 3 5 3 2 2 2 2 3 4" xfId="38939" xr:uid="{00000000-0005-0000-0000-0000206A0000}"/>
    <cellStyle name="Normal 3 5 3 2 2 2 2 4" xfId="7062" xr:uid="{00000000-0005-0000-0000-0000216A0000}"/>
    <cellStyle name="Normal 3 5 3 2 2 2 2 4 2" xfId="26132" xr:uid="{00000000-0005-0000-0000-0000226A0000}"/>
    <cellStyle name="Normal 3 5 3 2 2 2 2 4 2 2" xfId="58003" xr:uid="{00000000-0005-0000-0000-0000236A0000}"/>
    <cellStyle name="Normal 3 5 3 2 2 2 2 4 3" xfId="38941" xr:uid="{00000000-0005-0000-0000-0000246A0000}"/>
    <cellStyle name="Normal 3 5 3 2 2 2 2 5" xfId="18254" xr:uid="{00000000-0005-0000-0000-0000256A0000}"/>
    <cellStyle name="Normal 3 5 3 2 2 2 2 5 2" xfId="50125" xr:uid="{00000000-0005-0000-0000-0000266A0000}"/>
    <cellStyle name="Normal 3 5 3 2 2 2 2 6" xfId="38934" xr:uid="{00000000-0005-0000-0000-0000276A0000}"/>
    <cellStyle name="Normal 3 5 3 2 2 2 3" xfId="7063" xr:uid="{00000000-0005-0000-0000-0000286A0000}"/>
    <cellStyle name="Normal 3 5 3 2 2 2 3 2" xfId="7064" xr:uid="{00000000-0005-0000-0000-0000296A0000}"/>
    <cellStyle name="Normal 3 5 3 2 2 2 3 2 2" xfId="7065" xr:uid="{00000000-0005-0000-0000-00002A6A0000}"/>
    <cellStyle name="Normal 3 5 3 2 2 2 3 2 2 2" xfId="30073" xr:uid="{00000000-0005-0000-0000-00002B6A0000}"/>
    <cellStyle name="Normal 3 5 3 2 2 2 3 2 2 2 2" xfId="61944" xr:uid="{00000000-0005-0000-0000-00002C6A0000}"/>
    <cellStyle name="Normal 3 5 3 2 2 2 3 2 2 3" xfId="38944" xr:uid="{00000000-0005-0000-0000-00002D6A0000}"/>
    <cellStyle name="Normal 3 5 3 2 2 2 3 2 3" xfId="22195" xr:uid="{00000000-0005-0000-0000-00002E6A0000}"/>
    <cellStyle name="Normal 3 5 3 2 2 2 3 2 3 2" xfId="54066" xr:uid="{00000000-0005-0000-0000-00002F6A0000}"/>
    <cellStyle name="Normal 3 5 3 2 2 2 3 2 4" xfId="38943" xr:uid="{00000000-0005-0000-0000-0000306A0000}"/>
    <cellStyle name="Normal 3 5 3 2 2 2 3 3" xfId="7066" xr:uid="{00000000-0005-0000-0000-0000316A0000}"/>
    <cellStyle name="Normal 3 5 3 2 2 2 3 3 2" xfId="26134" xr:uid="{00000000-0005-0000-0000-0000326A0000}"/>
    <cellStyle name="Normal 3 5 3 2 2 2 3 3 2 2" xfId="58005" xr:uid="{00000000-0005-0000-0000-0000336A0000}"/>
    <cellStyle name="Normal 3 5 3 2 2 2 3 3 3" xfId="38945" xr:uid="{00000000-0005-0000-0000-0000346A0000}"/>
    <cellStyle name="Normal 3 5 3 2 2 2 3 4" xfId="18256" xr:uid="{00000000-0005-0000-0000-0000356A0000}"/>
    <cellStyle name="Normal 3 5 3 2 2 2 3 4 2" xfId="50127" xr:uid="{00000000-0005-0000-0000-0000366A0000}"/>
    <cellStyle name="Normal 3 5 3 2 2 2 3 5" xfId="38942" xr:uid="{00000000-0005-0000-0000-0000376A0000}"/>
    <cellStyle name="Normal 3 5 3 2 2 2 4" xfId="7067" xr:uid="{00000000-0005-0000-0000-0000386A0000}"/>
    <cellStyle name="Normal 3 5 3 2 2 2 4 2" xfId="7068" xr:uid="{00000000-0005-0000-0000-0000396A0000}"/>
    <cellStyle name="Normal 3 5 3 2 2 2 4 2 2" xfId="30070" xr:uid="{00000000-0005-0000-0000-00003A6A0000}"/>
    <cellStyle name="Normal 3 5 3 2 2 2 4 2 2 2" xfId="61941" xr:uid="{00000000-0005-0000-0000-00003B6A0000}"/>
    <cellStyle name="Normal 3 5 3 2 2 2 4 2 3" xfId="38947" xr:uid="{00000000-0005-0000-0000-00003C6A0000}"/>
    <cellStyle name="Normal 3 5 3 2 2 2 4 3" xfId="22192" xr:uid="{00000000-0005-0000-0000-00003D6A0000}"/>
    <cellStyle name="Normal 3 5 3 2 2 2 4 3 2" xfId="54063" xr:uid="{00000000-0005-0000-0000-00003E6A0000}"/>
    <cellStyle name="Normal 3 5 3 2 2 2 4 4" xfId="38946" xr:uid="{00000000-0005-0000-0000-00003F6A0000}"/>
    <cellStyle name="Normal 3 5 3 2 2 2 5" xfId="7069" xr:uid="{00000000-0005-0000-0000-0000406A0000}"/>
    <cellStyle name="Normal 3 5 3 2 2 2 5 2" xfId="26131" xr:uid="{00000000-0005-0000-0000-0000416A0000}"/>
    <cellStyle name="Normal 3 5 3 2 2 2 5 2 2" xfId="58002" xr:uid="{00000000-0005-0000-0000-0000426A0000}"/>
    <cellStyle name="Normal 3 5 3 2 2 2 5 3" xfId="38948" xr:uid="{00000000-0005-0000-0000-0000436A0000}"/>
    <cellStyle name="Normal 3 5 3 2 2 2 6" xfId="18253" xr:uid="{00000000-0005-0000-0000-0000446A0000}"/>
    <cellStyle name="Normal 3 5 3 2 2 2 6 2" xfId="50124" xr:uid="{00000000-0005-0000-0000-0000456A0000}"/>
    <cellStyle name="Normal 3 5 3 2 2 2 7" xfId="38933" xr:uid="{00000000-0005-0000-0000-0000466A0000}"/>
    <cellStyle name="Normal 3 5 3 2 2 3" xfId="7070" xr:uid="{00000000-0005-0000-0000-0000476A0000}"/>
    <cellStyle name="Normal 3 5 3 2 2 3 2" xfId="7071" xr:uid="{00000000-0005-0000-0000-0000486A0000}"/>
    <cellStyle name="Normal 3 5 3 2 2 3 2 2" xfId="7072" xr:uid="{00000000-0005-0000-0000-0000496A0000}"/>
    <cellStyle name="Normal 3 5 3 2 2 3 2 2 2" xfId="7073" xr:uid="{00000000-0005-0000-0000-00004A6A0000}"/>
    <cellStyle name="Normal 3 5 3 2 2 3 2 2 2 2" xfId="30075" xr:uid="{00000000-0005-0000-0000-00004B6A0000}"/>
    <cellStyle name="Normal 3 5 3 2 2 3 2 2 2 2 2" xfId="61946" xr:uid="{00000000-0005-0000-0000-00004C6A0000}"/>
    <cellStyle name="Normal 3 5 3 2 2 3 2 2 2 3" xfId="38952" xr:uid="{00000000-0005-0000-0000-00004D6A0000}"/>
    <cellStyle name="Normal 3 5 3 2 2 3 2 2 3" xfId="22197" xr:uid="{00000000-0005-0000-0000-00004E6A0000}"/>
    <cellStyle name="Normal 3 5 3 2 2 3 2 2 3 2" xfId="54068" xr:uid="{00000000-0005-0000-0000-00004F6A0000}"/>
    <cellStyle name="Normal 3 5 3 2 2 3 2 2 4" xfId="38951" xr:uid="{00000000-0005-0000-0000-0000506A0000}"/>
    <cellStyle name="Normal 3 5 3 2 2 3 2 3" xfId="7074" xr:uid="{00000000-0005-0000-0000-0000516A0000}"/>
    <cellStyle name="Normal 3 5 3 2 2 3 2 3 2" xfId="26136" xr:uid="{00000000-0005-0000-0000-0000526A0000}"/>
    <cellStyle name="Normal 3 5 3 2 2 3 2 3 2 2" xfId="58007" xr:uid="{00000000-0005-0000-0000-0000536A0000}"/>
    <cellStyle name="Normal 3 5 3 2 2 3 2 3 3" xfId="38953" xr:uid="{00000000-0005-0000-0000-0000546A0000}"/>
    <cellStyle name="Normal 3 5 3 2 2 3 2 4" xfId="18258" xr:uid="{00000000-0005-0000-0000-0000556A0000}"/>
    <cellStyle name="Normal 3 5 3 2 2 3 2 4 2" xfId="50129" xr:uid="{00000000-0005-0000-0000-0000566A0000}"/>
    <cellStyle name="Normal 3 5 3 2 2 3 2 5" xfId="38950" xr:uid="{00000000-0005-0000-0000-0000576A0000}"/>
    <cellStyle name="Normal 3 5 3 2 2 3 3" xfId="7075" xr:uid="{00000000-0005-0000-0000-0000586A0000}"/>
    <cellStyle name="Normal 3 5 3 2 2 3 3 2" xfId="7076" xr:uid="{00000000-0005-0000-0000-0000596A0000}"/>
    <cellStyle name="Normal 3 5 3 2 2 3 3 2 2" xfId="30074" xr:uid="{00000000-0005-0000-0000-00005A6A0000}"/>
    <cellStyle name="Normal 3 5 3 2 2 3 3 2 2 2" xfId="61945" xr:uid="{00000000-0005-0000-0000-00005B6A0000}"/>
    <cellStyle name="Normal 3 5 3 2 2 3 3 2 3" xfId="38955" xr:uid="{00000000-0005-0000-0000-00005C6A0000}"/>
    <cellStyle name="Normal 3 5 3 2 2 3 3 3" xfId="22196" xr:uid="{00000000-0005-0000-0000-00005D6A0000}"/>
    <cellStyle name="Normal 3 5 3 2 2 3 3 3 2" xfId="54067" xr:uid="{00000000-0005-0000-0000-00005E6A0000}"/>
    <cellStyle name="Normal 3 5 3 2 2 3 3 4" xfId="38954" xr:uid="{00000000-0005-0000-0000-00005F6A0000}"/>
    <cellStyle name="Normal 3 5 3 2 2 3 4" xfId="7077" xr:uid="{00000000-0005-0000-0000-0000606A0000}"/>
    <cellStyle name="Normal 3 5 3 2 2 3 4 2" xfId="26135" xr:uid="{00000000-0005-0000-0000-0000616A0000}"/>
    <cellStyle name="Normal 3 5 3 2 2 3 4 2 2" xfId="58006" xr:uid="{00000000-0005-0000-0000-0000626A0000}"/>
    <cellStyle name="Normal 3 5 3 2 2 3 4 3" xfId="38956" xr:uid="{00000000-0005-0000-0000-0000636A0000}"/>
    <cellStyle name="Normal 3 5 3 2 2 3 5" xfId="18257" xr:uid="{00000000-0005-0000-0000-0000646A0000}"/>
    <cellStyle name="Normal 3 5 3 2 2 3 5 2" xfId="50128" xr:uid="{00000000-0005-0000-0000-0000656A0000}"/>
    <cellStyle name="Normal 3 5 3 2 2 3 6" xfId="38949" xr:uid="{00000000-0005-0000-0000-0000666A0000}"/>
    <cellStyle name="Normal 3 5 3 2 2 4" xfId="7078" xr:uid="{00000000-0005-0000-0000-0000676A0000}"/>
    <cellStyle name="Normal 3 5 3 2 2 4 2" xfId="7079" xr:uid="{00000000-0005-0000-0000-0000686A0000}"/>
    <cellStyle name="Normal 3 5 3 2 2 4 2 2" xfId="7080" xr:uid="{00000000-0005-0000-0000-0000696A0000}"/>
    <cellStyle name="Normal 3 5 3 2 2 4 2 2 2" xfId="30076" xr:uid="{00000000-0005-0000-0000-00006A6A0000}"/>
    <cellStyle name="Normal 3 5 3 2 2 4 2 2 2 2" xfId="61947" xr:uid="{00000000-0005-0000-0000-00006B6A0000}"/>
    <cellStyle name="Normal 3 5 3 2 2 4 2 2 3" xfId="38959" xr:uid="{00000000-0005-0000-0000-00006C6A0000}"/>
    <cellStyle name="Normal 3 5 3 2 2 4 2 3" xfId="22198" xr:uid="{00000000-0005-0000-0000-00006D6A0000}"/>
    <cellStyle name="Normal 3 5 3 2 2 4 2 3 2" xfId="54069" xr:uid="{00000000-0005-0000-0000-00006E6A0000}"/>
    <cellStyle name="Normal 3 5 3 2 2 4 2 4" xfId="38958" xr:uid="{00000000-0005-0000-0000-00006F6A0000}"/>
    <cellStyle name="Normal 3 5 3 2 2 4 3" xfId="7081" xr:uid="{00000000-0005-0000-0000-0000706A0000}"/>
    <cellStyle name="Normal 3 5 3 2 2 4 3 2" xfId="26137" xr:uid="{00000000-0005-0000-0000-0000716A0000}"/>
    <cellStyle name="Normal 3 5 3 2 2 4 3 2 2" xfId="58008" xr:uid="{00000000-0005-0000-0000-0000726A0000}"/>
    <cellStyle name="Normal 3 5 3 2 2 4 3 3" xfId="38960" xr:uid="{00000000-0005-0000-0000-0000736A0000}"/>
    <cellStyle name="Normal 3 5 3 2 2 4 4" xfId="18259" xr:uid="{00000000-0005-0000-0000-0000746A0000}"/>
    <cellStyle name="Normal 3 5 3 2 2 4 4 2" xfId="50130" xr:uid="{00000000-0005-0000-0000-0000756A0000}"/>
    <cellStyle name="Normal 3 5 3 2 2 4 5" xfId="38957" xr:uid="{00000000-0005-0000-0000-0000766A0000}"/>
    <cellStyle name="Normal 3 5 3 2 2 5" xfId="7082" xr:uid="{00000000-0005-0000-0000-0000776A0000}"/>
    <cellStyle name="Normal 3 5 3 2 2 5 2" xfId="7083" xr:uid="{00000000-0005-0000-0000-0000786A0000}"/>
    <cellStyle name="Normal 3 5 3 2 2 5 2 2" xfId="30069" xr:uid="{00000000-0005-0000-0000-0000796A0000}"/>
    <cellStyle name="Normal 3 5 3 2 2 5 2 2 2" xfId="61940" xr:uid="{00000000-0005-0000-0000-00007A6A0000}"/>
    <cellStyle name="Normal 3 5 3 2 2 5 2 3" xfId="38962" xr:uid="{00000000-0005-0000-0000-00007B6A0000}"/>
    <cellStyle name="Normal 3 5 3 2 2 5 3" xfId="22191" xr:uid="{00000000-0005-0000-0000-00007C6A0000}"/>
    <cellStyle name="Normal 3 5 3 2 2 5 3 2" xfId="54062" xr:uid="{00000000-0005-0000-0000-00007D6A0000}"/>
    <cellStyle name="Normal 3 5 3 2 2 5 4" xfId="38961" xr:uid="{00000000-0005-0000-0000-00007E6A0000}"/>
    <cellStyle name="Normal 3 5 3 2 2 6" xfId="7084" xr:uid="{00000000-0005-0000-0000-00007F6A0000}"/>
    <cellStyle name="Normal 3 5 3 2 2 6 2" xfId="26130" xr:uid="{00000000-0005-0000-0000-0000806A0000}"/>
    <cellStyle name="Normal 3 5 3 2 2 6 2 2" xfId="58001" xr:uid="{00000000-0005-0000-0000-0000816A0000}"/>
    <cellStyle name="Normal 3 5 3 2 2 6 3" xfId="38963" xr:uid="{00000000-0005-0000-0000-0000826A0000}"/>
    <cellStyle name="Normal 3 5 3 2 2 7" xfId="18252" xr:uid="{00000000-0005-0000-0000-0000836A0000}"/>
    <cellStyle name="Normal 3 5 3 2 2 7 2" xfId="50123" xr:uid="{00000000-0005-0000-0000-0000846A0000}"/>
    <cellStyle name="Normal 3 5 3 2 2 8" xfId="38932" xr:uid="{00000000-0005-0000-0000-0000856A0000}"/>
    <cellStyle name="Normal 3 5 3 2 3" xfId="7085" xr:uid="{00000000-0005-0000-0000-0000866A0000}"/>
    <cellStyle name="Normal 3 5 3 2 3 2" xfId="7086" xr:uid="{00000000-0005-0000-0000-0000876A0000}"/>
    <cellStyle name="Normal 3 5 3 2 3 2 2" xfId="7087" xr:uid="{00000000-0005-0000-0000-0000886A0000}"/>
    <cellStyle name="Normal 3 5 3 2 3 2 2 2" xfId="7088" xr:uid="{00000000-0005-0000-0000-0000896A0000}"/>
    <cellStyle name="Normal 3 5 3 2 3 2 2 2 2" xfId="7089" xr:uid="{00000000-0005-0000-0000-00008A6A0000}"/>
    <cellStyle name="Normal 3 5 3 2 3 2 2 2 2 2" xfId="30079" xr:uid="{00000000-0005-0000-0000-00008B6A0000}"/>
    <cellStyle name="Normal 3 5 3 2 3 2 2 2 2 2 2" xfId="61950" xr:uid="{00000000-0005-0000-0000-00008C6A0000}"/>
    <cellStyle name="Normal 3 5 3 2 3 2 2 2 2 3" xfId="38968" xr:uid="{00000000-0005-0000-0000-00008D6A0000}"/>
    <cellStyle name="Normal 3 5 3 2 3 2 2 2 3" xfId="22201" xr:uid="{00000000-0005-0000-0000-00008E6A0000}"/>
    <cellStyle name="Normal 3 5 3 2 3 2 2 2 3 2" xfId="54072" xr:uid="{00000000-0005-0000-0000-00008F6A0000}"/>
    <cellStyle name="Normal 3 5 3 2 3 2 2 2 4" xfId="38967" xr:uid="{00000000-0005-0000-0000-0000906A0000}"/>
    <cellStyle name="Normal 3 5 3 2 3 2 2 3" xfId="7090" xr:uid="{00000000-0005-0000-0000-0000916A0000}"/>
    <cellStyle name="Normal 3 5 3 2 3 2 2 3 2" xfId="26140" xr:uid="{00000000-0005-0000-0000-0000926A0000}"/>
    <cellStyle name="Normal 3 5 3 2 3 2 2 3 2 2" xfId="58011" xr:uid="{00000000-0005-0000-0000-0000936A0000}"/>
    <cellStyle name="Normal 3 5 3 2 3 2 2 3 3" xfId="38969" xr:uid="{00000000-0005-0000-0000-0000946A0000}"/>
    <cellStyle name="Normal 3 5 3 2 3 2 2 4" xfId="18262" xr:uid="{00000000-0005-0000-0000-0000956A0000}"/>
    <cellStyle name="Normal 3 5 3 2 3 2 2 4 2" xfId="50133" xr:uid="{00000000-0005-0000-0000-0000966A0000}"/>
    <cellStyle name="Normal 3 5 3 2 3 2 2 5" xfId="38966" xr:uid="{00000000-0005-0000-0000-0000976A0000}"/>
    <cellStyle name="Normal 3 5 3 2 3 2 3" xfId="7091" xr:uid="{00000000-0005-0000-0000-0000986A0000}"/>
    <cellStyle name="Normal 3 5 3 2 3 2 3 2" xfId="7092" xr:uid="{00000000-0005-0000-0000-0000996A0000}"/>
    <cellStyle name="Normal 3 5 3 2 3 2 3 2 2" xfId="30078" xr:uid="{00000000-0005-0000-0000-00009A6A0000}"/>
    <cellStyle name="Normal 3 5 3 2 3 2 3 2 2 2" xfId="61949" xr:uid="{00000000-0005-0000-0000-00009B6A0000}"/>
    <cellStyle name="Normal 3 5 3 2 3 2 3 2 3" xfId="38971" xr:uid="{00000000-0005-0000-0000-00009C6A0000}"/>
    <cellStyle name="Normal 3 5 3 2 3 2 3 3" xfId="22200" xr:uid="{00000000-0005-0000-0000-00009D6A0000}"/>
    <cellStyle name="Normal 3 5 3 2 3 2 3 3 2" xfId="54071" xr:uid="{00000000-0005-0000-0000-00009E6A0000}"/>
    <cellStyle name="Normal 3 5 3 2 3 2 3 4" xfId="38970" xr:uid="{00000000-0005-0000-0000-00009F6A0000}"/>
    <cellStyle name="Normal 3 5 3 2 3 2 4" xfId="7093" xr:uid="{00000000-0005-0000-0000-0000A06A0000}"/>
    <cellStyle name="Normal 3 5 3 2 3 2 4 2" xfId="26139" xr:uid="{00000000-0005-0000-0000-0000A16A0000}"/>
    <cellStyle name="Normal 3 5 3 2 3 2 4 2 2" xfId="58010" xr:uid="{00000000-0005-0000-0000-0000A26A0000}"/>
    <cellStyle name="Normal 3 5 3 2 3 2 4 3" xfId="38972" xr:uid="{00000000-0005-0000-0000-0000A36A0000}"/>
    <cellStyle name="Normal 3 5 3 2 3 2 5" xfId="18261" xr:uid="{00000000-0005-0000-0000-0000A46A0000}"/>
    <cellStyle name="Normal 3 5 3 2 3 2 5 2" xfId="50132" xr:uid="{00000000-0005-0000-0000-0000A56A0000}"/>
    <cellStyle name="Normal 3 5 3 2 3 2 6" xfId="38965" xr:uid="{00000000-0005-0000-0000-0000A66A0000}"/>
    <cellStyle name="Normal 3 5 3 2 3 3" xfId="7094" xr:uid="{00000000-0005-0000-0000-0000A76A0000}"/>
    <cellStyle name="Normal 3 5 3 2 3 3 2" xfId="7095" xr:uid="{00000000-0005-0000-0000-0000A86A0000}"/>
    <cellStyle name="Normal 3 5 3 2 3 3 2 2" xfId="7096" xr:uid="{00000000-0005-0000-0000-0000A96A0000}"/>
    <cellStyle name="Normal 3 5 3 2 3 3 2 2 2" xfId="30080" xr:uid="{00000000-0005-0000-0000-0000AA6A0000}"/>
    <cellStyle name="Normal 3 5 3 2 3 3 2 2 2 2" xfId="61951" xr:uid="{00000000-0005-0000-0000-0000AB6A0000}"/>
    <cellStyle name="Normal 3 5 3 2 3 3 2 2 3" xfId="38975" xr:uid="{00000000-0005-0000-0000-0000AC6A0000}"/>
    <cellStyle name="Normal 3 5 3 2 3 3 2 3" xfId="22202" xr:uid="{00000000-0005-0000-0000-0000AD6A0000}"/>
    <cellStyle name="Normal 3 5 3 2 3 3 2 3 2" xfId="54073" xr:uid="{00000000-0005-0000-0000-0000AE6A0000}"/>
    <cellStyle name="Normal 3 5 3 2 3 3 2 4" xfId="38974" xr:uid="{00000000-0005-0000-0000-0000AF6A0000}"/>
    <cellStyle name="Normal 3 5 3 2 3 3 3" xfId="7097" xr:uid="{00000000-0005-0000-0000-0000B06A0000}"/>
    <cellStyle name="Normal 3 5 3 2 3 3 3 2" xfId="26141" xr:uid="{00000000-0005-0000-0000-0000B16A0000}"/>
    <cellStyle name="Normal 3 5 3 2 3 3 3 2 2" xfId="58012" xr:uid="{00000000-0005-0000-0000-0000B26A0000}"/>
    <cellStyle name="Normal 3 5 3 2 3 3 3 3" xfId="38976" xr:uid="{00000000-0005-0000-0000-0000B36A0000}"/>
    <cellStyle name="Normal 3 5 3 2 3 3 4" xfId="18263" xr:uid="{00000000-0005-0000-0000-0000B46A0000}"/>
    <cellStyle name="Normal 3 5 3 2 3 3 4 2" xfId="50134" xr:uid="{00000000-0005-0000-0000-0000B56A0000}"/>
    <cellStyle name="Normal 3 5 3 2 3 3 5" xfId="38973" xr:uid="{00000000-0005-0000-0000-0000B66A0000}"/>
    <cellStyle name="Normal 3 5 3 2 3 4" xfId="7098" xr:uid="{00000000-0005-0000-0000-0000B76A0000}"/>
    <cellStyle name="Normal 3 5 3 2 3 4 2" xfId="7099" xr:uid="{00000000-0005-0000-0000-0000B86A0000}"/>
    <cellStyle name="Normal 3 5 3 2 3 4 2 2" xfId="30077" xr:uid="{00000000-0005-0000-0000-0000B96A0000}"/>
    <cellStyle name="Normal 3 5 3 2 3 4 2 2 2" xfId="61948" xr:uid="{00000000-0005-0000-0000-0000BA6A0000}"/>
    <cellStyle name="Normal 3 5 3 2 3 4 2 3" xfId="38978" xr:uid="{00000000-0005-0000-0000-0000BB6A0000}"/>
    <cellStyle name="Normal 3 5 3 2 3 4 3" xfId="22199" xr:uid="{00000000-0005-0000-0000-0000BC6A0000}"/>
    <cellStyle name="Normal 3 5 3 2 3 4 3 2" xfId="54070" xr:uid="{00000000-0005-0000-0000-0000BD6A0000}"/>
    <cellStyle name="Normal 3 5 3 2 3 4 4" xfId="38977" xr:uid="{00000000-0005-0000-0000-0000BE6A0000}"/>
    <cellStyle name="Normal 3 5 3 2 3 5" xfId="7100" xr:uid="{00000000-0005-0000-0000-0000BF6A0000}"/>
    <cellStyle name="Normal 3 5 3 2 3 5 2" xfId="26138" xr:uid="{00000000-0005-0000-0000-0000C06A0000}"/>
    <cellStyle name="Normal 3 5 3 2 3 5 2 2" xfId="58009" xr:uid="{00000000-0005-0000-0000-0000C16A0000}"/>
    <cellStyle name="Normal 3 5 3 2 3 5 3" xfId="38979" xr:uid="{00000000-0005-0000-0000-0000C26A0000}"/>
    <cellStyle name="Normal 3 5 3 2 3 6" xfId="18260" xr:uid="{00000000-0005-0000-0000-0000C36A0000}"/>
    <cellStyle name="Normal 3 5 3 2 3 6 2" xfId="50131" xr:uid="{00000000-0005-0000-0000-0000C46A0000}"/>
    <cellStyle name="Normal 3 5 3 2 3 7" xfId="38964" xr:uid="{00000000-0005-0000-0000-0000C56A0000}"/>
    <cellStyle name="Normal 3 5 3 2 4" xfId="7101" xr:uid="{00000000-0005-0000-0000-0000C66A0000}"/>
    <cellStyle name="Normal 3 5 3 2 4 2" xfId="7102" xr:uid="{00000000-0005-0000-0000-0000C76A0000}"/>
    <cellStyle name="Normal 3 5 3 2 4 2 2" xfId="7103" xr:uid="{00000000-0005-0000-0000-0000C86A0000}"/>
    <cellStyle name="Normal 3 5 3 2 4 2 2 2" xfId="7104" xr:uid="{00000000-0005-0000-0000-0000C96A0000}"/>
    <cellStyle name="Normal 3 5 3 2 4 2 2 2 2" xfId="30082" xr:uid="{00000000-0005-0000-0000-0000CA6A0000}"/>
    <cellStyle name="Normal 3 5 3 2 4 2 2 2 2 2" xfId="61953" xr:uid="{00000000-0005-0000-0000-0000CB6A0000}"/>
    <cellStyle name="Normal 3 5 3 2 4 2 2 2 3" xfId="38983" xr:uid="{00000000-0005-0000-0000-0000CC6A0000}"/>
    <cellStyle name="Normal 3 5 3 2 4 2 2 3" xfId="22204" xr:uid="{00000000-0005-0000-0000-0000CD6A0000}"/>
    <cellStyle name="Normal 3 5 3 2 4 2 2 3 2" xfId="54075" xr:uid="{00000000-0005-0000-0000-0000CE6A0000}"/>
    <cellStyle name="Normal 3 5 3 2 4 2 2 4" xfId="38982" xr:uid="{00000000-0005-0000-0000-0000CF6A0000}"/>
    <cellStyle name="Normal 3 5 3 2 4 2 3" xfId="7105" xr:uid="{00000000-0005-0000-0000-0000D06A0000}"/>
    <cellStyle name="Normal 3 5 3 2 4 2 3 2" xfId="26143" xr:uid="{00000000-0005-0000-0000-0000D16A0000}"/>
    <cellStyle name="Normal 3 5 3 2 4 2 3 2 2" xfId="58014" xr:uid="{00000000-0005-0000-0000-0000D26A0000}"/>
    <cellStyle name="Normal 3 5 3 2 4 2 3 3" xfId="38984" xr:uid="{00000000-0005-0000-0000-0000D36A0000}"/>
    <cellStyle name="Normal 3 5 3 2 4 2 4" xfId="18265" xr:uid="{00000000-0005-0000-0000-0000D46A0000}"/>
    <cellStyle name="Normal 3 5 3 2 4 2 4 2" xfId="50136" xr:uid="{00000000-0005-0000-0000-0000D56A0000}"/>
    <cellStyle name="Normal 3 5 3 2 4 2 5" xfId="38981" xr:uid="{00000000-0005-0000-0000-0000D66A0000}"/>
    <cellStyle name="Normal 3 5 3 2 4 3" xfId="7106" xr:uid="{00000000-0005-0000-0000-0000D76A0000}"/>
    <cellStyle name="Normal 3 5 3 2 4 3 2" xfId="7107" xr:uid="{00000000-0005-0000-0000-0000D86A0000}"/>
    <cellStyle name="Normal 3 5 3 2 4 3 2 2" xfId="30081" xr:uid="{00000000-0005-0000-0000-0000D96A0000}"/>
    <cellStyle name="Normal 3 5 3 2 4 3 2 2 2" xfId="61952" xr:uid="{00000000-0005-0000-0000-0000DA6A0000}"/>
    <cellStyle name="Normal 3 5 3 2 4 3 2 3" xfId="38986" xr:uid="{00000000-0005-0000-0000-0000DB6A0000}"/>
    <cellStyle name="Normal 3 5 3 2 4 3 3" xfId="22203" xr:uid="{00000000-0005-0000-0000-0000DC6A0000}"/>
    <cellStyle name="Normal 3 5 3 2 4 3 3 2" xfId="54074" xr:uid="{00000000-0005-0000-0000-0000DD6A0000}"/>
    <cellStyle name="Normal 3 5 3 2 4 3 4" xfId="38985" xr:uid="{00000000-0005-0000-0000-0000DE6A0000}"/>
    <cellStyle name="Normal 3 5 3 2 4 4" xfId="7108" xr:uid="{00000000-0005-0000-0000-0000DF6A0000}"/>
    <cellStyle name="Normal 3 5 3 2 4 4 2" xfId="26142" xr:uid="{00000000-0005-0000-0000-0000E06A0000}"/>
    <cellStyle name="Normal 3 5 3 2 4 4 2 2" xfId="58013" xr:uid="{00000000-0005-0000-0000-0000E16A0000}"/>
    <cellStyle name="Normal 3 5 3 2 4 4 3" xfId="38987" xr:uid="{00000000-0005-0000-0000-0000E26A0000}"/>
    <cellStyle name="Normal 3 5 3 2 4 5" xfId="18264" xr:uid="{00000000-0005-0000-0000-0000E36A0000}"/>
    <cellStyle name="Normal 3 5 3 2 4 5 2" xfId="50135" xr:uid="{00000000-0005-0000-0000-0000E46A0000}"/>
    <cellStyle name="Normal 3 5 3 2 4 6" xfId="38980" xr:uid="{00000000-0005-0000-0000-0000E56A0000}"/>
    <cellStyle name="Normal 3 5 3 2 5" xfId="7109" xr:uid="{00000000-0005-0000-0000-0000E66A0000}"/>
    <cellStyle name="Normal 3 5 3 2 5 2" xfId="7110" xr:uid="{00000000-0005-0000-0000-0000E76A0000}"/>
    <cellStyle name="Normal 3 5 3 2 5 2 2" xfId="7111" xr:uid="{00000000-0005-0000-0000-0000E86A0000}"/>
    <cellStyle name="Normal 3 5 3 2 5 2 2 2" xfId="30083" xr:uid="{00000000-0005-0000-0000-0000E96A0000}"/>
    <cellStyle name="Normal 3 5 3 2 5 2 2 2 2" xfId="61954" xr:uid="{00000000-0005-0000-0000-0000EA6A0000}"/>
    <cellStyle name="Normal 3 5 3 2 5 2 2 3" xfId="38990" xr:uid="{00000000-0005-0000-0000-0000EB6A0000}"/>
    <cellStyle name="Normal 3 5 3 2 5 2 3" xfId="22205" xr:uid="{00000000-0005-0000-0000-0000EC6A0000}"/>
    <cellStyle name="Normal 3 5 3 2 5 2 3 2" xfId="54076" xr:uid="{00000000-0005-0000-0000-0000ED6A0000}"/>
    <cellStyle name="Normal 3 5 3 2 5 2 4" xfId="38989" xr:uid="{00000000-0005-0000-0000-0000EE6A0000}"/>
    <cellStyle name="Normal 3 5 3 2 5 3" xfId="7112" xr:uid="{00000000-0005-0000-0000-0000EF6A0000}"/>
    <cellStyle name="Normal 3 5 3 2 5 3 2" xfId="26144" xr:uid="{00000000-0005-0000-0000-0000F06A0000}"/>
    <cellStyle name="Normal 3 5 3 2 5 3 2 2" xfId="58015" xr:uid="{00000000-0005-0000-0000-0000F16A0000}"/>
    <cellStyle name="Normal 3 5 3 2 5 3 3" xfId="38991" xr:uid="{00000000-0005-0000-0000-0000F26A0000}"/>
    <cellStyle name="Normal 3 5 3 2 5 4" xfId="18266" xr:uid="{00000000-0005-0000-0000-0000F36A0000}"/>
    <cellStyle name="Normal 3 5 3 2 5 4 2" xfId="50137" xr:uid="{00000000-0005-0000-0000-0000F46A0000}"/>
    <cellStyle name="Normal 3 5 3 2 5 5" xfId="38988" xr:uid="{00000000-0005-0000-0000-0000F56A0000}"/>
    <cellStyle name="Normal 3 5 3 2 6" xfId="7113" xr:uid="{00000000-0005-0000-0000-0000F66A0000}"/>
    <cellStyle name="Normal 3 5 3 2 6 2" xfId="7114" xr:uid="{00000000-0005-0000-0000-0000F76A0000}"/>
    <cellStyle name="Normal 3 5 3 2 6 2 2" xfId="28496" xr:uid="{00000000-0005-0000-0000-0000F86A0000}"/>
    <cellStyle name="Normal 3 5 3 2 6 2 2 2" xfId="60367" xr:uid="{00000000-0005-0000-0000-0000F96A0000}"/>
    <cellStyle name="Normal 3 5 3 2 6 2 3" xfId="38993" xr:uid="{00000000-0005-0000-0000-0000FA6A0000}"/>
    <cellStyle name="Normal 3 5 3 2 6 3" xfId="20618" xr:uid="{00000000-0005-0000-0000-0000FB6A0000}"/>
    <cellStyle name="Normal 3 5 3 2 6 3 2" xfId="52489" xr:uid="{00000000-0005-0000-0000-0000FC6A0000}"/>
    <cellStyle name="Normal 3 5 3 2 6 4" xfId="38992" xr:uid="{00000000-0005-0000-0000-0000FD6A0000}"/>
    <cellStyle name="Normal 3 5 3 2 7" xfId="7115" xr:uid="{00000000-0005-0000-0000-0000FE6A0000}"/>
    <cellStyle name="Normal 3 5 3 2 7 2" xfId="24557" xr:uid="{00000000-0005-0000-0000-0000FF6A0000}"/>
    <cellStyle name="Normal 3 5 3 2 7 2 2" xfId="56428" xr:uid="{00000000-0005-0000-0000-0000006B0000}"/>
    <cellStyle name="Normal 3 5 3 2 7 3" xfId="38994" xr:uid="{00000000-0005-0000-0000-0000016B0000}"/>
    <cellStyle name="Normal 3 5 3 2 8" xfId="16679" xr:uid="{00000000-0005-0000-0000-0000026B0000}"/>
    <cellStyle name="Normal 3 5 3 2 8 2" xfId="48550" xr:uid="{00000000-0005-0000-0000-0000036B0000}"/>
    <cellStyle name="Normal 3 5 3 2 9" xfId="38931" xr:uid="{00000000-0005-0000-0000-0000046B0000}"/>
    <cellStyle name="Normal 3 5 3 3" xfId="7116" xr:uid="{00000000-0005-0000-0000-0000056B0000}"/>
    <cellStyle name="Normal 3 5 3 3 2" xfId="7117" xr:uid="{00000000-0005-0000-0000-0000066B0000}"/>
    <cellStyle name="Normal 3 5 3 3 2 2" xfId="7118" xr:uid="{00000000-0005-0000-0000-0000076B0000}"/>
    <cellStyle name="Normal 3 5 3 3 2 2 2" xfId="7119" xr:uid="{00000000-0005-0000-0000-0000086B0000}"/>
    <cellStyle name="Normal 3 5 3 3 2 2 2 2" xfId="7120" xr:uid="{00000000-0005-0000-0000-0000096B0000}"/>
    <cellStyle name="Normal 3 5 3 3 2 2 2 2 2" xfId="7121" xr:uid="{00000000-0005-0000-0000-00000A6B0000}"/>
    <cellStyle name="Normal 3 5 3 3 2 2 2 2 2 2" xfId="30087" xr:uid="{00000000-0005-0000-0000-00000B6B0000}"/>
    <cellStyle name="Normal 3 5 3 3 2 2 2 2 2 2 2" xfId="61958" xr:uid="{00000000-0005-0000-0000-00000C6B0000}"/>
    <cellStyle name="Normal 3 5 3 3 2 2 2 2 2 3" xfId="39000" xr:uid="{00000000-0005-0000-0000-00000D6B0000}"/>
    <cellStyle name="Normal 3 5 3 3 2 2 2 2 3" xfId="22209" xr:uid="{00000000-0005-0000-0000-00000E6B0000}"/>
    <cellStyle name="Normal 3 5 3 3 2 2 2 2 3 2" xfId="54080" xr:uid="{00000000-0005-0000-0000-00000F6B0000}"/>
    <cellStyle name="Normal 3 5 3 3 2 2 2 2 4" xfId="38999" xr:uid="{00000000-0005-0000-0000-0000106B0000}"/>
    <cellStyle name="Normal 3 5 3 3 2 2 2 3" xfId="7122" xr:uid="{00000000-0005-0000-0000-0000116B0000}"/>
    <cellStyle name="Normal 3 5 3 3 2 2 2 3 2" xfId="26148" xr:uid="{00000000-0005-0000-0000-0000126B0000}"/>
    <cellStyle name="Normal 3 5 3 3 2 2 2 3 2 2" xfId="58019" xr:uid="{00000000-0005-0000-0000-0000136B0000}"/>
    <cellStyle name="Normal 3 5 3 3 2 2 2 3 3" xfId="39001" xr:uid="{00000000-0005-0000-0000-0000146B0000}"/>
    <cellStyle name="Normal 3 5 3 3 2 2 2 4" xfId="18270" xr:uid="{00000000-0005-0000-0000-0000156B0000}"/>
    <cellStyle name="Normal 3 5 3 3 2 2 2 4 2" xfId="50141" xr:uid="{00000000-0005-0000-0000-0000166B0000}"/>
    <cellStyle name="Normal 3 5 3 3 2 2 2 5" xfId="38998" xr:uid="{00000000-0005-0000-0000-0000176B0000}"/>
    <cellStyle name="Normal 3 5 3 3 2 2 3" xfId="7123" xr:uid="{00000000-0005-0000-0000-0000186B0000}"/>
    <cellStyle name="Normal 3 5 3 3 2 2 3 2" xfId="7124" xr:uid="{00000000-0005-0000-0000-0000196B0000}"/>
    <cellStyle name="Normal 3 5 3 3 2 2 3 2 2" xfId="30086" xr:uid="{00000000-0005-0000-0000-00001A6B0000}"/>
    <cellStyle name="Normal 3 5 3 3 2 2 3 2 2 2" xfId="61957" xr:uid="{00000000-0005-0000-0000-00001B6B0000}"/>
    <cellStyle name="Normal 3 5 3 3 2 2 3 2 3" xfId="39003" xr:uid="{00000000-0005-0000-0000-00001C6B0000}"/>
    <cellStyle name="Normal 3 5 3 3 2 2 3 3" xfId="22208" xr:uid="{00000000-0005-0000-0000-00001D6B0000}"/>
    <cellStyle name="Normal 3 5 3 3 2 2 3 3 2" xfId="54079" xr:uid="{00000000-0005-0000-0000-00001E6B0000}"/>
    <cellStyle name="Normal 3 5 3 3 2 2 3 4" xfId="39002" xr:uid="{00000000-0005-0000-0000-00001F6B0000}"/>
    <cellStyle name="Normal 3 5 3 3 2 2 4" xfId="7125" xr:uid="{00000000-0005-0000-0000-0000206B0000}"/>
    <cellStyle name="Normal 3 5 3 3 2 2 4 2" xfId="26147" xr:uid="{00000000-0005-0000-0000-0000216B0000}"/>
    <cellStyle name="Normal 3 5 3 3 2 2 4 2 2" xfId="58018" xr:uid="{00000000-0005-0000-0000-0000226B0000}"/>
    <cellStyle name="Normal 3 5 3 3 2 2 4 3" xfId="39004" xr:uid="{00000000-0005-0000-0000-0000236B0000}"/>
    <cellStyle name="Normal 3 5 3 3 2 2 5" xfId="18269" xr:uid="{00000000-0005-0000-0000-0000246B0000}"/>
    <cellStyle name="Normal 3 5 3 3 2 2 5 2" xfId="50140" xr:uid="{00000000-0005-0000-0000-0000256B0000}"/>
    <cellStyle name="Normal 3 5 3 3 2 2 6" xfId="38997" xr:uid="{00000000-0005-0000-0000-0000266B0000}"/>
    <cellStyle name="Normal 3 5 3 3 2 3" xfId="7126" xr:uid="{00000000-0005-0000-0000-0000276B0000}"/>
    <cellStyle name="Normal 3 5 3 3 2 3 2" xfId="7127" xr:uid="{00000000-0005-0000-0000-0000286B0000}"/>
    <cellStyle name="Normal 3 5 3 3 2 3 2 2" xfId="7128" xr:uid="{00000000-0005-0000-0000-0000296B0000}"/>
    <cellStyle name="Normal 3 5 3 3 2 3 2 2 2" xfId="30088" xr:uid="{00000000-0005-0000-0000-00002A6B0000}"/>
    <cellStyle name="Normal 3 5 3 3 2 3 2 2 2 2" xfId="61959" xr:uid="{00000000-0005-0000-0000-00002B6B0000}"/>
    <cellStyle name="Normal 3 5 3 3 2 3 2 2 3" xfId="39007" xr:uid="{00000000-0005-0000-0000-00002C6B0000}"/>
    <cellStyle name="Normal 3 5 3 3 2 3 2 3" xfId="22210" xr:uid="{00000000-0005-0000-0000-00002D6B0000}"/>
    <cellStyle name="Normal 3 5 3 3 2 3 2 3 2" xfId="54081" xr:uid="{00000000-0005-0000-0000-00002E6B0000}"/>
    <cellStyle name="Normal 3 5 3 3 2 3 2 4" xfId="39006" xr:uid="{00000000-0005-0000-0000-00002F6B0000}"/>
    <cellStyle name="Normal 3 5 3 3 2 3 3" xfId="7129" xr:uid="{00000000-0005-0000-0000-0000306B0000}"/>
    <cellStyle name="Normal 3 5 3 3 2 3 3 2" xfId="26149" xr:uid="{00000000-0005-0000-0000-0000316B0000}"/>
    <cellStyle name="Normal 3 5 3 3 2 3 3 2 2" xfId="58020" xr:uid="{00000000-0005-0000-0000-0000326B0000}"/>
    <cellStyle name="Normal 3 5 3 3 2 3 3 3" xfId="39008" xr:uid="{00000000-0005-0000-0000-0000336B0000}"/>
    <cellStyle name="Normal 3 5 3 3 2 3 4" xfId="18271" xr:uid="{00000000-0005-0000-0000-0000346B0000}"/>
    <cellStyle name="Normal 3 5 3 3 2 3 4 2" xfId="50142" xr:uid="{00000000-0005-0000-0000-0000356B0000}"/>
    <cellStyle name="Normal 3 5 3 3 2 3 5" xfId="39005" xr:uid="{00000000-0005-0000-0000-0000366B0000}"/>
    <cellStyle name="Normal 3 5 3 3 2 4" xfId="7130" xr:uid="{00000000-0005-0000-0000-0000376B0000}"/>
    <cellStyle name="Normal 3 5 3 3 2 4 2" xfId="7131" xr:uid="{00000000-0005-0000-0000-0000386B0000}"/>
    <cellStyle name="Normal 3 5 3 3 2 4 2 2" xfId="30085" xr:uid="{00000000-0005-0000-0000-0000396B0000}"/>
    <cellStyle name="Normal 3 5 3 3 2 4 2 2 2" xfId="61956" xr:uid="{00000000-0005-0000-0000-00003A6B0000}"/>
    <cellStyle name="Normal 3 5 3 3 2 4 2 3" xfId="39010" xr:uid="{00000000-0005-0000-0000-00003B6B0000}"/>
    <cellStyle name="Normal 3 5 3 3 2 4 3" xfId="22207" xr:uid="{00000000-0005-0000-0000-00003C6B0000}"/>
    <cellStyle name="Normal 3 5 3 3 2 4 3 2" xfId="54078" xr:uid="{00000000-0005-0000-0000-00003D6B0000}"/>
    <cellStyle name="Normal 3 5 3 3 2 4 4" xfId="39009" xr:uid="{00000000-0005-0000-0000-00003E6B0000}"/>
    <cellStyle name="Normal 3 5 3 3 2 5" xfId="7132" xr:uid="{00000000-0005-0000-0000-00003F6B0000}"/>
    <cellStyle name="Normal 3 5 3 3 2 5 2" xfId="26146" xr:uid="{00000000-0005-0000-0000-0000406B0000}"/>
    <cellStyle name="Normal 3 5 3 3 2 5 2 2" xfId="58017" xr:uid="{00000000-0005-0000-0000-0000416B0000}"/>
    <cellStyle name="Normal 3 5 3 3 2 5 3" xfId="39011" xr:uid="{00000000-0005-0000-0000-0000426B0000}"/>
    <cellStyle name="Normal 3 5 3 3 2 6" xfId="18268" xr:uid="{00000000-0005-0000-0000-0000436B0000}"/>
    <cellStyle name="Normal 3 5 3 3 2 6 2" xfId="50139" xr:uid="{00000000-0005-0000-0000-0000446B0000}"/>
    <cellStyle name="Normal 3 5 3 3 2 7" xfId="38996" xr:uid="{00000000-0005-0000-0000-0000456B0000}"/>
    <cellStyle name="Normal 3 5 3 3 3" xfId="7133" xr:uid="{00000000-0005-0000-0000-0000466B0000}"/>
    <cellStyle name="Normal 3 5 3 3 3 2" xfId="7134" xr:uid="{00000000-0005-0000-0000-0000476B0000}"/>
    <cellStyle name="Normal 3 5 3 3 3 2 2" xfId="7135" xr:uid="{00000000-0005-0000-0000-0000486B0000}"/>
    <cellStyle name="Normal 3 5 3 3 3 2 2 2" xfId="7136" xr:uid="{00000000-0005-0000-0000-0000496B0000}"/>
    <cellStyle name="Normal 3 5 3 3 3 2 2 2 2" xfId="30090" xr:uid="{00000000-0005-0000-0000-00004A6B0000}"/>
    <cellStyle name="Normal 3 5 3 3 3 2 2 2 2 2" xfId="61961" xr:uid="{00000000-0005-0000-0000-00004B6B0000}"/>
    <cellStyle name="Normal 3 5 3 3 3 2 2 2 3" xfId="39015" xr:uid="{00000000-0005-0000-0000-00004C6B0000}"/>
    <cellStyle name="Normal 3 5 3 3 3 2 2 3" xfId="22212" xr:uid="{00000000-0005-0000-0000-00004D6B0000}"/>
    <cellStyle name="Normal 3 5 3 3 3 2 2 3 2" xfId="54083" xr:uid="{00000000-0005-0000-0000-00004E6B0000}"/>
    <cellStyle name="Normal 3 5 3 3 3 2 2 4" xfId="39014" xr:uid="{00000000-0005-0000-0000-00004F6B0000}"/>
    <cellStyle name="Normal 3 5 3 3 3 2 3" xfId="7137" xr:uid="{00000000-0005-0000-0000-0000506B0000}"/>
    <cellStyle name="Normal 3 5 3 3 3 2 3 2" xfId="26151" xr:uid="{00000000-0005-0000-0000-0000516B0000}"/>
    <cellStyle name="Normal 3 5 3 3 3 2 3 2 2" xfId="58022" xr:uid="{00000000-0005-0000-0000-0000526B0000}"/>
    <cellStyle name="Normal 3 5 3 3 3 2 3 3" xfId="39016" xr:uid="{00000000-0005-0000-0000-0000536B0000}"/>
    <cellStyle name="Normal 3 5 3 3 3 2 4" xfId="18273" xr:uid="{00000000-0005-0000-0000-0000546B0000}"/>
    <cellStyle name="Normal 3 5 3 3 3 2 4 2" xfId="50144" xr:uid="{00000000-0005-0000-0000-0000556B0000}"/>
    <cellStyle name="Normal 3 5 3 3 3 2 5" xfId="39013" xr:uid="{00000000-0005-0000-0000-0000566B0000}"/>
    <cellStyle name="Normal 3 5 3 3 3 3" xfId="7138" xr:uid="{00000000-0005-0000-0000-0000576B0000}"/>
    <cellStyle name="Normal 3 5 3 3 3 3 2" xfId="7139" xr:uid="{00000000-0005-0000-0000-0000586B0000}"/>
    <cellStyle name="Normal 3 5 3 3 3 3 2 2" xfId="30089" xr:uid="{00000000-0005-0000-0000-0000596B0000}"/>
    <cellStyle name="Normal 3 5 3 3 3 3 2 2 2" xfId="61960" xr:uid="{00000000-0005-0000-0000-00005A6B0000}"/>
    <cellStyle name="Normal 3 5 3 3 3 3 2 3" xfId="39018" xr:uid="{00000000-0005-0000-0000-00005B6B0000}"/>
    <cellStyle name="Normal 3 5 3 3 3 3 3" xfId="22211" xr:uid="{00000000-0005-0000-0000-00005C6B0000}"/>
    <cellStyle name="Normal 3 5 3 3 3 3 3 2" xfId="54082" xr:uid="{00000000-0005-0000-0000-00005D6B0000}"/>
    <cellStyle name="Normal 3 5 3 3 3 3 4" xfId="39017" xr:uid="{00000000-0005-0000-0000-00005E6B0000}"/>
    <cellStyle name="Normal 3 5 3 3 3 4" xfId="7140" xr:uid="{00000000-0005-0000-0000-00005F6B0000}"/>
    <cellStyle name="Normal 3 5 3 3 3 4 2" xfId="26150" xr:uid="{00000000-0005-0000-0000-0000606B0000}"/>
    <cellStyle name="Normal 3 5 3 3 3 4 2 2" xfId="58021" xr:uid="{00000000-0005-0000-0000-0000616B0000}"/>
    <cellStyle name="Normal 3 5 3 3 3 4 3" xfId="39019" xr:uid="{00000000-0005-0000-0000-0000626B0000}"/>
    <cellStyle name="Normal 3 5 3 3 3 5" xfId="18272" xr:uid="{00000000-0005-0000-0000-0000636B0000}"/>
    <cellStyle name="Normal 3 5 3 3 3 5 2" xfId="50143" xr:uid="{00000000-0005-0000-0000-0000646B0000}"/>
    <cellStyle name="Normal 3 5 3 3 3 6" xfId="39012" xr:uid="{00000000-0005-0000-0000-0000656B0000}"/>
    <cellStyle name="Normal 3 5 3 3 4" xfId="7141" xr:uid="{00000000-0005-0000-0000-0000666B0000}"/>
    <cellStyle name="Normal 3 5 3 3 4 2" xfId="7142" xr:uid="{00000000-0005-0000-0000-0000676B0000}"/>
    <cellStyle name="Normal 3 5 3 3 4 2 2" xfId="7143" xr:uid="{00000000-0005-0000-0000-0000686B0000}"/>
    <cellStyle name="Normal 3 5 3 3 4 2 2 2" xfId="30091" xr:uid="{00000000-0005-0000-0000-0000696B0000}"/>
    <cellStyle name="Normal 3 5 3 3 4 2 2 2 2" xfId="61962" xr:uid="{00000000-0005-0000-0000-00006A6B0000}"/>
    <cellStyle name="Normal 3 5 3 3 4 2 2 3" xfId="39022" xr:uid="{00000000-0005-0000-0000-00006B6B0000}"/>
    <cellStyle name="Normal 3 5 3 3 4 2 3" xfId="22213" xr:uid="{00000000-0005-0000-0000-00006C6B0000}"/>
    <cellStyle name="Normal 3 5 3 3 4 2 3 2" xfId="54084" xr:uid="{00000000-0005-0000-0000-00006D6B0000}"/>
    <cellStyle name="Normal 3 5 3 3 4 2 4" xfId="39021" xr:uid="{00000000-0005-0000-0000-00006E6B0000}"/>
    <cellStyle name="Normal 3 5 3 3 4 3" xfId="7144" xr:uid="{00000000-0005-0000-0000-00006F6B0000}"/>
    <cellStyle name="Normal 3 5 3 3 4 3 2" xfId="26152" xr:uid="{00000000-0005-0000-0000-0000706B0000}"/>
    <cellStyle name="Normal 3 5 3 3 4 3 2 2" xfId="58023" xr:uid="{00000000-0005-0000-0000-0000716B0000}"/>
    <cellStyle name="Normal 3 5 3 3 4 3 3" xfId="39023" xr:uid="{00000000-0005-0000-0000-0000726B0000}"/>
    <cellStyle name="Normal 3 5 3 3 4 4" xfId="18274" xr:uid="{00000000-0005-0000-0000-0000736B0000}"/>
    <cellStyle name="Normal 3 5 3 3 4 4 2" xfId="50145" xr:uid="{00000000-0005-0000-0000-0000746B0000}"/>
    <cellStyle name="Normal 3 5 3 3 4 5" xfId="39020" xr:uid="{00000000-0005-0000-0000-0000756B0000}"/>
    <cellStyle name="Normal 3 5 3 3 5" xfId="7145" xr:uid="{00000000-0005-0000-0000-0000766B0000}"/>
    <cellStyle name="Normal 3 5 3 3 5 2" xfId="7146" xr:uid="{00000000-0005-0000-0000-0000776B0000}"/>
    <cellStyle name="Normal 3 5 3 3 5 2 2" xfId="30084" xr:uid="{00000000-0005-0000-0000-0000786B0000}"/>
    <cellStyle name="Normal 3 5 3 3 5 2 2 2" xfId="61955" xr:uid="{00000000-0005-0000-0000-0000796B0000}"/>
    <cellStyle name="Normal 3 5 3 3 5 2 3" xfId="39025" xr:uid="{00000000-0005-0000-0000-00007A6B0000}"/>
    <cellStyle name="Normal 3 5 3 3 5 3" xfId="22206" xr:uid="{00000000-0005-0000-0000-00007B6B0000}"/>
    <cellStyle name="Normal 3 5 3 3 5 3 2" xfId="54077" xr:uid="{00000000-0005-0000-0000-00007C6B0000}"/>
    <cellStyle name="Normal 3 5 3 3 5 4" xfId="39024" xr:uid="{00000000-0005-0000-0000-00007D6B0000}"/>
    <cellStyle name="Normal 3 5 3 3 6" xfId="7147" xr:uid="{00000000-0005-0000-0000-00007E6B0000}"/>
    <cellStyle name="Normal 3 5 3 3 6 2" xfId="26145" xr:uid="{00000000-0005-0000-0000-00007F6B0000}"/>
    <cellStyle name="Normal 3 5 3 3 6 2 2" xfId="58016" xr:uid="{00000000-0005-0000-0000-0000806B0000}"/>
    <cellStyle name="Normal 3 5 3 3 6 3" xfId="39026" xr:uid="{00000000-0005-0000-0000-0000816B0000}"/>
    <cellStyle name="Normal 3 5 3 3 7" xfId="18267" xr:uid="{00000000-0005-0000-0000-0000826B0000}"/>
    <cellStyle name="Normal 3 5 3 3 7 2" xfId="50138" xr:uid="{00000000-0005-0000-0000-0000836B0000}"/>
    <cellStyle name="Normal 3 5 3 3 8" xfId="38995" xr:uid="{00000000-0005-0000-0000-0000846B0000}"/>
    <cellStyle name="Normal 3 5 3 4" xfId="7148" xr:uid="{00000000-0005-0000-0000-0000856B0000}"/>
    <cellStyle name="Normal 3 5 3 4 2" xfId="7149" xr:uid="{00000000-0005-0000-0000-0000866B0000}"/>
    <cellStyle name="Normal 3 5 3 4 2 2" xfId="7150" xr:uid="{00000000-0005-0000-0000-0000876B0000}"/>
    <cellStyle name="Normal 3 5 3 4 2 2 2" xfId="7151" xr:uid="{00000000-0005-0000-0000-0000886B0000}"/>
    <cellStyle name="Normal 3 5 3 4 2 2 2 2" xfId="7152" xr:uid="{00000000-0005-0000-0000-0000896B0000}"/>
    <cellStyle name="Normal 3 5 3 4 2 2 2 2 2" xfId="30094" xr:uid="{00000000-0005-0000-0000-00008A6B0000}"/>
    <cellStyle name="Normal 3 5 3 4 2 2 2 2 2 2" xfId="61965" xr:uid="{00000000-0005-0000-0000-00008B6B0000}"/>
    <cellStyle name="Normal 3 5 3 4 2 2 2 2 3" xfId="39031" xr:uid="{00000000-0005-0000-0000-00008C6B0000}"/>
    <cellStyle name="Normal 3 5 3 4 2 2 2 3" xfId="22216" xr:uid="{00000000-0005-0000-0000-00008D6B0000}"/>
    <cellStyle name="Normal 3 5 3 4 2 2 2 3 2" xfId="54087" xr:uid="{00000000-0005-0000-0000-00008E6B0000}"/>
    <cellStyle name="Normal 3 5 3 4 2 2 2 4" xfId="39030" xr:uid="{00000000-0005-0000-0000-00008F6B0000}"/>
    <cellStyle name="Normal 3 5 3 4 2 2 3" xfId="7153" xr:uid="{00000000-0005-0000-0000-0000906B0000}"/>
    <cellStyle name="Normal 3 5 3 4 2 2 3 2" xfId="26155" xr:uid="{00000000-0005-0000-0000-0000916B0000}"/>
    <cellStyle name="Normal 3 5 3 4 2 2 3 2 2" xfId="58026" xr:uid="{00000000-0005-0000-0000-0000926B0000}"/>
    <cellStyle name="Normal 3 5 3 4 2 2 3 3" xfId="39032" xr:uid="{00000000-0005-0000-0000-0000936B0000}"/>
    <cellStyle name="Normal 3 5 3 4 2 2 4" xfId="18277" xr:uid="{00000000-0005-0000-0000-0000946B0000}"/>
    <cellStyle name="Normal 3 5 3 4 2 2 4 2" xfId="50148" xr:uid="{00000000-0005-0000-0000-0000956B0000}"/>
    <cellStyle name="Normal 3 5 3 4 2 2 5" xfId="39029" xr:uid="{00000000-0005-0000-0000-0000966B0000}"/>
    <cellStyle name="Normal 3 5 3 4 2 3" xfId="7154" xr:uid="{00000000-0005-0000-0000-0000976B0000}"/>
    <cellStyle name="Normal 3 5 3 4 2 3 2" xfId="7155" xr:uid="{00000000-0005-0000-0000-0000986B0000}"/>
    <cellStyle name="Normal 3 5 3 4 2 3 2 2" xfId="30093" xr:uid="{00000000-0005-0000-0000-0000996B0000}"/>
    <cellStyle name="Normal 3 5 3 4 2 3 2 2 2" xfId="61964" xr:uid="{00000000-0005-0000-0000-00009A6B0000}"/>
    <cellStyle name="Normal 3 5 3 4 2 3 2 3" xfId="39034" xr:uid="{00000000-0005-0000-0000-00009B6B0000}"/>
    <cellStyle name="Normal 3 5 3 4 2 3 3" xfId="22215" xr:uid="{00000000-0005-0000-0000-00009C6B0000}"/>
    <cellStyle name="Normal 3 5 3 4 2 3 3 2" xfId="54086" xr:uid="{00000000-0005-0000-0000-00009D6B0000}"/>
    <cellStyle name="Normal 3 5 3 4 2 3 4" xfId="39033" xr:uid="{00000000-0005-0000-0000-00009E6B0000}"/>
    <cellStyle name="Normal 3 5 3 4 2 4" xfId="7156" xr:uid="{00000000-0005-0000-0000-00009F6B0000}"/>
    <cellStyle name="Normal 3 5 3 4 2 4 2" xfId="26154" xr:uid="{00000000-0005-0000-0000-0000A06B0000}"/>
    <cellStyle name="Normal 3 5 3 4 2 4 2 2" xfId="58025" xr:uid="{00000000-0005-0000-0000-0000A16B0000}"/>
    <cellStyle name="Normal 3 5 3 4 2 4 3" xfId="39035" xr:uid="{00000000-0005-0000-0000-0000A26B0000}"/>
    <cellStyle name="Normal 3 5 3 4 2 5" xfId="18276" xr:uid="{00000000-0005-0000-0000-0000A36B0000}"/>
    <cellStyle name="Normal 3 5 3 4 2 5 2" xfId="50147" xr:uid="{00000000-0005-0000-0000-0000A46B0000}"/>
    <cellStyle name="Normal 3 5 3 4 2 6" xfId="39028" xr:uid="{00000000-0005-0000-0000-0000A56B0000}"/>
    <cellStyle name="Normal 3 5 3 4 3" xfId="7157" xr:uid="{00000000-0005-0000-0000-0000A66B0000}"/>
    <cellStyle name="Normal 3 5 3 4 3 2" xfId="7158" xr:uid="{00000000-0005-0000-0000-0000A76B0000}"/>
    <cellStyle name="Normal 3 5 3 4 3 2 2" xfId="7159" xr:uid="{00000000-0005-0000-0000-0000A86B0000}"/>
    <cellStyle name="Normal 3 5 3 4 3 2 2 2" xfId="30095" xr:uid="{00000000-0005-0000-0000-0000A96B0000}"/>
    <cellStyle name="Normal 3 5 3 4 3 2 2 2 2" xfId="61966" xr:uid="{00000000-0005-0000-0000-0000AA6B0000}"/>
    <cellStyle name="Normal 3 5 3 4 3 2 2 3" xfId="39038" xr:uid="{00000000-0005-0000-0000-0000AB6B0000}"/>
    <cellStyle name="Normal 3 5 3 4 3 2 3" xfId="22217" xr:uid="{00000000-0005-0000-0000-0000AC6B0000}"/>
    <cellStyle name="Normal 3 5 3 4 3 2 3 2" xfId="54088" xr:uid="{00000000-0005-0000-0000-0000AD6B0000}"/>
    <cellStyle name="Normal 3 5 3 4 3 2 4" xfId="39037" xr:uid="{00000000-0005-0000-0000-0000AE6B0000}"/>
    <cellStyle name="Normal 3 5 3 4 3 3" xfId="7160" xr:uid="{00000000-0005-0000-0000-0000AF6B0000}"/>
    <cellStyle name="Normal 3 5 3 4 3 3 2" xfId="26156" xr:uid="{00000000-0005-0000-0000-0000B06B0000}"/>
    <cellStyle name="Normal 3 5 3 4 3 3 2 2" xfId="58027" xr:uid="{00000000-0005-0000-0000-0000B16B0000}"/>
    <cellStyle name="Normal 3 5 3 4 3 3 3" xfId="39039" xr:uid="{00000000-0005-0000-0000-0000B26B0000}"/>
    <cellStyle name="Normal 3 5 3 4 3 4" xfId="18278" xr:uid="{00000000-0005-0000-0000-0000B36B0000}"/>
    <cellStyle name="Normal 3 5 3 4 3 4 2" xfId="50149" xr:uid="{00000000-0005-0000-0000-0000B46B0000}"/>
    <cellStyle name="Normal 3 5 3 4 3 5" xfId="39036" xr:uid="{00000000-0005-0000-0000-0000B56B0000}"/>
    <cellStyle name="Normal 3 5 3 4 4" xfId="7161" xr:uid="{00000000-0005-0000-0000-0000B66B0000}"/>
    <cellStyle name="Normal 3 5 3 4 4 2" xfId="7162" xr:uid="{00000000-0005-0000-0000-0000B76B0000}"/>
    <cellStyle name="Normal 3 5 3 4 4 2 2" xfId="30092" xr:uid="{00000000-0005-0000-0000-0000B86B0000}"/>
    <cellStyle name="Normal 3 5 3 4 4 2 2 2" xfId="61963" xr:uid="{00000000-0005-0000-0000-0000B96B0000}"/>
    <cellStyle name="Normal 3 5 3 4 4 2 3" xfId="39041" xr:uid="{00000000-0005-0000-0000-0000BA6B0000}"/>
    <cellStyle name="Normal 3 5 3 4 4 3" xfId="22214" xr:uid="{00000000-0005-0000-0000-0000BB6B0000}"/>
    <cellStyle name="Normal 3 5 3 4 4 3 2" xfId="54085" xr:uid="{00000000-0005-0000-0000-0000BC6B0000}"/>
    <cellStyle name="Normal 3 5 3 4 4 4" xfId="39040" xr:uid="{00000000-0005-0000-0000-0000BD6B0000}"/>
    <cellStyle name="Normal 3 5 3 4 5" xfId="7163" xr:uid="{00000000-0005-0000-0000-0000BE6B0000}"/>
    <cellStyle name="Normal 3 5 3 4 5 2" xfId="26153" xr:uid="{00000000-0005-0000-0000-0000BF6B0000}"/>
    <cellStyle name="Normal 3 5 3 4 5 2 2" xfId="58024" xr:uid="{00000000-0005-0000-0000-0000C06B0000}"/>
    <cellStyle name="Normal 3 5 3 4 5 3" xfId="39042" xr:uid="{00000000-0005-0000-0000-0000C16B0000}"/>
    <cellStyle name="Normal 3 5 3 4 6" xfId="18275" xr:uid="{00000000-0005-0000-0000-0000C26B0000}"/>
    <cellStyle name="Normal 3 5 3 4 6 2" xfId="50146" xr:uid="{00000000-0005-0000-0000-0000C36B0000}"/>
    <cellStyle name="Normal 3 5 3 4 7" xfId="39027" xr:uid="{00000000-0005-0000-0000-0000C46B0000}"/>
    <cellStyle name="Normal 3 5 3 5" xfId="7164" xr:uid="{00000000-0005-0000-0000-0000C56B0000}"/>
    <cellStyle name="Normal 3 5 3 5 2" xfId="7165" xr:uid="{00000000-0005-0000-0000-0000C66B0000}"/>
    <cellStyle name="Normal 3 5 3 5 2 2" xfId="7166" xr:uid="{00000000-0005-0000-0000-0000C76B0000}"/>
    <cellStyle name="Normal 3 5 3 5 2 2 2" xfId="7167" xr:uid="{00000000-0005-0000-0000-0000C86B0000}"/>
    <cellStyle name="Normal 3 5 3 5 2 2 2 2" xfId="30097" xr:uid="{00000000-0005-0000-0000-0000C96B0000}"/>
    <cellStyle name="Normal 3 5 3 5 2 2 2 2 2" xfId="61968" xr:uid="{00000000-0005-0000-0000-0000CA6B0000}"/>
    <cellStyle name="Normal 3 5 3 5 2 2 2 3" xfId="39046" xr:uid="{00000000-0005-0000-0000-0000CB6B0000}"/>
    <cellStyle name="Normal 3 5 3 5 2 2 3" xfId="22219" xr:uid="{00000000-0005-0000-0000-0000CC6B0000}"/>
    <cellStyle name="Normal 3 5 3 5 2 2 3 2" xfId="54090" xr:uid="{00000000-0005-0000-0000-0000CD6B0000}"/>
    <cellStyle name="Normal 3 5 3 5 2 2 4" xfId="39045" xr:uid="{00000000-0005-0000-0000-0000CE6B0000}"/>
    <cellStyle name="Normal 3 5 3 5 2 3" xfId="7168" xr:uid="{00000000-0005-0000-0000-0000CF6B0000}"/>
    <cellStyle name="Normal 3 5 3 5 2 3 2" xfId="26158" xr:uid="{00000000-0005-0000-0000-0000D06B0000}"/>
    <cellStyle name="Normal 3 5 3 5 2 3 2 2" xfId="58029" xr:uid="{00000000-0005-0000-0000-0000D16B0000}"/>
    <cellStyle name="Normal 3 5 3 5 2 3 3" xfId="39047" xr:uid="{00000000-0005-0000-0000-0000D26B0000}"/>
    <cellStyle name="Normal 3 5 3 5 2 4" xfId="18280" xr:uid="{00000000-0005-0000-0000-0000D36B0000}"/>
    <cellStyle name="Normal 3 5 3 5 2 4 2" xfId="50151" xr:uid="{00000000-0005-0000-0000-0000D46B0000}"/>
    <cellStyle name="Normal 3 5 3 5 2 5" xfId="39044" xr:uid="{00000000-0005-0000-0000-0000D56B0000}"/>
    <cellStyle name="Normal 3 5 3 5 3" xfId="7169" xr:uid="{00000000-0005-0000-0000-0000D66B0000}"/>
    <cellStyle name="Normal 3 5 3 5 3 2" xfId="7170" xr:uid="{00000000-0005-0000-0000-0000D76B0000}"/>
    <cellStyle name="Normal 3 5 3 5 3 2 2" xfId="30096" xr:uid="{00000000-0005-0000-0000-0000D86B0000}"/>
    <cellStyle name="Normal 3 5 3 5 3 2 2 2" xfId="61967" xr:uid="{00000000-0005-0000-0000-0000D96B0000}"/>
    <cellStyle name="Normal 3 5 3 5 3 2 3" xfId="39049" xr:uid="{00000000-0005-0000-0000-0000DA6B0000}"/>
    <cellStyle name="Normal 3 5 3 5 3 3" xfId="22218" xr:uid="{00000000-0005-0000-0000-0000DB6B0000}"/>
    <cellStyle name="Normal 3 5 3 5 3 3 2" xfId="54089" xr:uid="{00000000-0005-0000-0000-0000DC6B0000}"/>
    <cellStyle name="Normal 3 5 3 5 3 4" xfId="39048" xr:uid="{00000000-0005-0000-0000-0000DD6B0000}"/>
    <cellStyle name="Normal 3 5 3 5 4" xfId="7171" xr:uid="{00000000-0005-0000-0000-0000DE6B0000}"/>
    <cellStyle name="Normal 3 5 3 5 4 2" xfId="26157" xr:uid="{00000000-0005-0000-0000-0000DF6B0000}"/>
    <cellStyle name="Normal 3 5 3 5 4 2 2" xfId="58028" xr:uid="{00000000-0005-0000-0000-0000E06B0000}"/>
    <cellStyle name="Normal 3 5 3 5 4 3" xfId="39050" xr:uid="{00000000-0005-0000-0000-0000E16B0000}"/>
    <cellStyle name="Normal 3 5 3 5 5" xfId="18279" xr:uid="{00000000-0005-0000-0000-0000E26B0000}"/>
    <cellStyle name="Normal 3 5 3 5 5 2" xfId="50150" xr:uid="{00000000-0005-0000-0000-0000E36B0000}"/>
    <cellStyle name="Normal 3 5 3 5 6" xfId="39043" xr:uid="{00000000-0005-0000-0000-0000E46B0000}"/>
    <cellStyle name="Normal 3 5 3 6" xfId="7172" xr:uid="{00000000-0005-0000-0000-0000E56B0000}"/>
    <cellStyle name="Normal 3 5 3 6 2" xfId="7173" xr:uid="{00000000-0005-0000-0000-0000E66B0000}"/>
    <cellStyle name="Normal 3 5 3 6 2 2" xfId="7174" xr:uid="{00000000-0005-0000-0000-0000E76B0000}"/>
    <cellStyle name="Normal 3 5 3 6 2 2 2" xfId="30098" xr:uid="{00000000-0005-0000-0000-0000E86B0000}"/>
    <cellStyle name="Normal 3 5 3 6 2 2 2 2" xfId="61969" xr:uid="{00000000-0005-0000-0000-0000E96B0000}"/>
    <cellStyle name="Normal 3 5 3 6 2 2 3" xfId="39053" xr:uid="{00000000-0005-0000-0000-0000EA6B0000}"/>
    <cellStyle name="Normal 3 5 3 6 2 3" xfId="22220" xr:uid="{00000000-0005-0000-0000-0000EB6B0000}"/>
    <cellStyle name="Normal 3 5 3 6 2 3 2" xfId="54091" xr:uid="{00000000-0005-0000-0000-0000EC6B0000}"/>
    <cellStyle name="Normal 3 5 3 6 2 4" xfId="39052" xr:uid="{00000000-0005-0000-0000-0000ED6B0000}"/>
    <cellStyle name="Normal 3 5 3 6 3" xfId="7175" xr:uid="{00000000-0005-0000-0000-0000EE6B0000}"/>
    <cellStyle name="Normal 3 5 3 6 3 2" xfId="26159" xr:uid="{00000000-0005-0000-0000-0000EF6B0000}"/>
    <cellStyle name="Normal 3 5 3 6 3 2 2" xfId="58030" xr:uid="{00000000-0005-0000-0000-0000F06B0000}"/>
    <cellStyle name="Normal 3 5 3 6 3 3" xfId="39054" xr:uid="{00000000-0005-0000-0000-0000F16B0000}"/>
    <cellStyle name="Normal 3 5 3 6 4" xfId="18281" xr:uid="{00000000-0005-0000-0000-0000F26B0000}"/>
    <cellStyle name="Normal 3 5 3 6 4 2" xfId="50152" xr:uid="{00000000-0005-0000-0000-0000F36B0000}"/>
    <cellStyle name="Normal 3 5 3 6 5" xfId="39051" xr:uid="{00000000-0005-0000-0000-0000F46B0000}"/>
    <cellStyle name="Normal 3 5 3 7" xfId="7176" xr:uid="{00000000-0005-0000-0000-0000F56B0000}"/>
    <cellStyle name="Normal 3 5 3 7 2" xfId="7177" xr:uid="{00000000-0005-0000-0000-0000F66B0000}"/>
    <cellStyle name="Normal 3 5 3 7 2 2" xfId="28373" xr:uid="{00000000-0005-0000-0000-0000F76B0000}"/>
    <cellStyle name="Normal 3 5 3 7 2 2 2" xfId="60244" xr:uid="{00000000-0005-0000-0000-0000F86B0000}"/>
    <cellStyle name="Normal 3 5 3 7 2 3" xfId="39056" xr:uid="{00000000-0005-0000-0000-0000F96B0000}"/>
    <cellStyle name="Normal 3 5 3 7 3" xfId="20495" xr:uid="{00000000-0005-0000-0000-0000FA6B0000}"/>
    <cellStyle name="Normal 3 5 3 7 3 2" xfId="52366" xr:uid="{00000000-0005-0000-0000-0000FB6B0000}"/>
    <cellStyle name="Normal 3 5 3 7 4" xfId="39055" xr:uid="{00000000-0005-0000-0000-0000FC6B0000}"/>
    <cellStyle name="Normal 3 5 3 8" xfId="7178" xr:uid="{00000000-0005-0000-0000-0000FD6B0000}"/>
    <cellStyle name="Normal 3 5 3 8 2" xfId="24434" xr:uid="{00000000-0005-0000-0000-0000FE6B0000}"/>
    <cellStyle name="Normal 3 5 3 8 2 2" xfId="56305" xr:uid="{00000000-0005-0000-0000-0000FF6B0000}"/>
    <cellStyle name="Normal 3 5 3 8 3" xfId="39057" xr:uid="{00000000-0005-0000-0000-0000006C0000}"/>
    <cellStyle name="Normal 3 5 3 9" xfId="16556" xr:uid="{00000000-0005-0000-0000-0000016C0000}"/>
    <cellStyle name="Normal 3 5 3 9 2" xfId="48427" xr:uid="{00000000-0005-0000-0000-0000026C0000}"/>
    <cellStyle name="Normal 3 5 4" xfId="7179" xr:uid="{00000000-0005-0000-0000-0000036C0000}"/>
    <cellStyle name="Normal 3 5 4 2" xfId="7180" xr:uid="{00000000-0005-0000-0000-0000046C0000}"/>
    <cellStyle name="Normal 3 5 4 2 2" xfId="7181" xr:uid="{00000000-0005-0000-0000-0000056C0000}"/>
    <cellStyle name="Normal 3 5 4 2 2 2" xfId="7182" xr:uid="{00000000-0005-0000-0000-0000066C0000}"/>
    <cellStyle name="Normal 3 5 4 2 2 2 2" xfId="7183" xr:uid="{00000000-0005-0000-0000-0000076C0000}"/>
    <cellStyle name="Normal 3 5 4 2 2 2 2 2" xfId="7184" xr:uid="{00000000-0005-0000-0000-0000086C0000}"/>
    <cellStyle name="Normal 3 5 4 2 2 2 2 2 2" xfId="7185" xr:uid="{00000000-0005-0000-0000-0000096C0000}"/>
    <cellStyle name="Normal 3 5 4 2 2 2 2 2 2 2" xfId="30102" xr:uid="{00000000-0005-0000-0000-00000A6C0000}"/>
    <cellStyle name="Normal 3 5 4 2 2 2 2 2 2 2 2" xfId="61973" xr:uid="{00000000-0005-0000-0000-00000B6C0000}"/>
    <cellStyle name="Normal 3 5 4 2 2 2 2 2 2 3" xfId="39064" xr:uid="{00000000-0005-0000-0000-00000C6C0000}"/>
    <cellStyle name="Normal 3 5 4 2 2 2 2 2 3" xfId="22224" xr:uid="{00000000-0005-0000-0000-00000D6C0000}"/>
    <cellStyle name="Normal 3 5 4 2 2 2 2 2 3 2" xfId="54095" xr:uid="{00000000-0005-0000-0000-00000E6C0000}"/>
    <cellStyle name="Normal 3 5 4 2 2 2 2 2 4" xfId="39063" xr:uid="{00000000-0005-0000-0000-00000F6C0000}"/>
    <cellStyle name="Normal 3 5 4 2 2 2 2 3" xfId="7186" xr:uid="{00000000-0005-0000-0000-0000106C0000}"/>
    <cellStyle name="Normal 3 5 4 2 2 2 2 3 2" xfId="26163" xr:uid="{00000000-0005-0000-0000-0000116C0000}"/>
    <cellStyle name="Normal 3 5 4 2 2 2 2 3 2 2" xfId="58034" xr:uid="{00000000-0005-0000-0000-0000126C0000}"/>
    <cellStyle name="Normal 3 5 4 2 2 2 2 3 3" xfId="39065" xr:uid="{00000000-0005-0000-0000-0000136C0000}"/>
    <cellStyle name="Normal 3 5 4 2 2 2 2 4" xfId="18285" xr:uid="{00000000-0005-0000-0000-0000146C0000}"/>
    <cellStyle name="Normal 3 5 4 2 2 2 2 4 2" xfId="50156" xr:uid="{00000000-0005-0000-0000-0000156C0000}"/>
    <cellStyle name="Normal 3 5 4 2 2 2 2 5" xfId="39062" xr:uid="{00000000-0005-0000-0000-0000166C0000}"/>
    <cellStyle name="Normal 3 5 4 2 2 2 3" xfId="7187" xr:uid="{00000000-0005-0000-0000-0000176C0000}"/>
    <cellStyle name="Normal 3 5 4 2 2 2 3 2" xfId="7188" xr:uid="{00000000-0005-0000-0000-0000186C0000}"/>
    <cellStyle name="Normal 3 5 4 2 2 2 3 2 2" xfId="30101" xr:uid="{00000000-0005-0000-0000-0000196C0000}"/>
    <cellStyle name="Normal 3 5 4 2 2 2 3 2 2 2" xfId="61972" xr:uid="{00000000-0005-0000-0000-00001A6C0000}"/>
    <cellStyle name="Normal 3 5 4 2 2 2 3 2 3" xfId="39067" xr:uid="{00000000-0005-0000-0000-00001B6C0000}"/>
    <cellStyle name="Normal 3 5 4 2 2 2 3 3" xfId="22223" xr:uid="{00000000-0005-0000-0000-00001C6C0000}"/>
    <cellStyle name="Normal 3 5 4 2 2 2 3 3 2" xfId="54094" xr:uid="{00000000-0005-0000-0000-00001D6C0000}"/>
    <cellStyle name="Normal 3 5 4 2 2 2 3 4" xfId="39066" xr:uid="{00000000-0005-0000-0000-00001E6C0000}"/>
    <cellStyle name="Normal 3 5 4 2 2 2 4" xfId="7189" xr:uid="{00000000-0005-0000-0000-00001F6C0000}"/>
    <cellStyle name="Normal 3 5 4 2 2 2 4 2" xfId="26162" xr:uid="{00000000-0005-0000-0000-0000206C0000}"/>
    <cellStyle name="Normal 3 5 4 2 2 2 4 2 2" xfId="58033" xr:uid="{00000000-0005-0000-0000-0000216C0000}"/>
    <cellStyle name="Normal 3 5 4 2 2 2 4 3" xfId="39068" xr:uid="{00000000-0005-0000-0000-0000226C0000}"/>
    <cellStyle name="Normal 3 5 4 2 2 2 5" xfId="18284" xr:uid="{00000000-0005-0000-0000-0000236C0000}"/>
    <cellStyle name="Normal 3 5 4 2 2 2 5 2" xfId="50155" xr:uid="{00000000-0005-0000-0000-0000246C0000}"/>
    <cellStyle name="Normal 3 5 4 2 2 2 6" xfId="39061" xr:uid="{00000000-0005-0000-0000-0000256C0000}"/>
    <cellStyle name="Normal 3 5 4 2 2 3" xfId="7190" xr:uid="{00000000-0005-0000-0000-0000266C0000}"/>
    <cellStyle name="Normal 3 5 4 2 2 3 2" xfId="7191" xr:uid="{00000000-0005-0000-0000-0000276C0000}"/>
    <cellStyle name="Normal 3 5 4 2 2 3 2 2" xfId="7192" xr:uid="{00000000-0005-0000-0000-0000286C0000}"/>
    <cellStyle name="Normal 3 5 4 2 2 3 2 2 2" xfId="30103" xr:uid="{00000000-0005-0000-0000-0000296C0000}"/>
    <cellStyle name="Normal 3 5 4 2 2 3 2 2 2 2" xfId="61974" xr:uid="{00000000-0005-0000-0000-00002A6C0000}"/>
    <cellStyle name="Normal 3 5 4 2 2 3 2 2 3" xfId="39071" xr:uid="{00000000-0005-0000-0000-00002B6C0000}"/>
    <cellStyle name="Normal 3 5 4 2 2 3 2 3" xfId="22225" xr:uid="{00000000-0005-0000-0000-00002C6C0000}"/>
    <cellStyle name="Normal 3 5 4 2 2 3 2 3 2" xfId="54096" xr:uid="{00000000-0005-0000-0000-00002D6C0000}"/>
    <cellStyle name="Normal 3 5 4 2 2 3 2 4" xfId="39070" xr:uid="{00000000-0005-0000-0000-00002E6C0000}"/>
    <cellStyle name="Normal 3 5 4 2 2 3 3" xfId="7193" xr:uid="{00000000-0005-0000-0000-00002F6C0000}"/>
    <cellStyle name="Normal 3 5 4 2 2 3 3 2" xfId="26164" xr:uid="{00000000-0005-0000-0000-0000306C0000}"/>
    <cellStyle name="Normal 3 5 4 2 2 3 3 2 2" xfId="58035" xr:uid="{00000000-0005-0000-0000-0000316C0000}"/>
    <cellStyle name="Normal 3 5 4 2 2 3 3 3" xfId="39072" xr:uid="{00000000-0005-0000-0000-0000326C0000}"/>
    <cellStyle name="Normal 3 5 4 2 2 3 4" xfId="18286" xr:uid="{00000000-0005-0000-0000-0000336C0000}"/>
    <cellStyle name="Normal 3 5 4 2 2 3 4 2" xfId="50157" xr:uid="{00000000-0005-0000-0000-0000346C0000}"/>
    <cellStyle name="Normal 3 5 4 2 2 3 5" xfId="39069" xr:uid="{00000000-0005-0000-0000-0000356C0000}"/>
    <cellStyle name="Normal 3 5 4 2 2 4" xfId="7194" xr:uid="{00000000-0005-0000-0000-0000366C0000}"/>
    <cellStyle name="Normal 3 5 4 2 2 4 2" xfId="7195" xr:uid="{00000000-0005-0000-0000-0000376C0000}"/>
    <cellStyle name="Normal 3 5 4 2 2 4 2 2" xfId="30100" xr:uid="{00000000-0005-0000-0000-0000386C0000}"/>
    <cellStyle name="Normal 3 5 4 2 2 4 2 2 2" xfId="61971" xr:uid="{00000000-0005-0000-0000-0000396C0000}"/>
    <cellStyle name="Normal 3 5 4 2 2 4 2 3" xfId="39074" xr:uid="{00000000-0005-0000-0000-00003A6C0000}"/>
    <cellStyle name="Normal 3 5 4 2 2 4 3" xfId="22222" xr:uid="{00000000-0005-0000-0000-00003B6C0000}"/>
    <cellStyle name="Normal 3 5 4 2 2 4 3 2" xfId="54093" xr:uid="{00000000-0005-0000-0000-00003C6C0000}"/>
    <cellStyle name="Normal 3 5 4 2 2 4 4" xfId="39073" xr:uid="{00000000-0005-0000-0000-00003D6C0000}"/>
    <cellStyle name="Normal 3 5 4 2 2 5" xfId="7196" xr:uid="{00000000-0005-0000-0000-00003E6C0000}"/>
    <cellStyle name="Normal 3 5 4 2 2 5 2" xfId="26161" xr:uid="{00000000-0005-0000-0000-00003F6C0000}"/>
    <cellStyle name="Normal 3 5 4 2 2 5 2 2" xfId="58032" xr:uid="{00000000-0005-0000-0000-0000406C0000}"/>
    <cellStyle name="Normal 3 5 4 2 2 5 3" xfId="39075" xr:uid="{00000000-0005-0000-0000-0000416C0000}"/>
    <cellStyle name="Normal 3 5 4 2 2 6" xfId="18283" xr:uid="{00000000-0005-0000-0000-0000426C0000}"/>
    <cellStyle name="Normal 3 5 4 2 2 6 2" xfId="50154" xr:uid="{00000000-0005-0000-0000-0000436C0000}"/>
    <cellStyle name="Normal 3 5 4 2 2 7" xfId="39060" xr:uid="{00000000-0005-0000-0000-0000446C0000}"/>
    <cellStyle name="Normal 3 5 4 2 3" xfId="7197" xr:uid="{00000000-0005-0000-0000-0000456C0000}"/>
    <cellStyle name="Normal 3 5 4 2 3 2" xfId="7198" xr:uid="{00000000-0005-0000-0000-0000466C0000}"/>
    <cellStyle name="Normal 3 5 4 2 3 2 2" xfId="7199" xr:uid="{00000000-0005-0000-0000-0000476C0000}"/>
    <cellStyle name="Normal 3 5 4 2 3 2 2 2" xfId="7200" xr:uid="{00000000-0005-0000-0000-0000486C0000}"/>
    <cellStyle name="Normal 3 5 4 2 3 2 2 2 2" xfId="30105" xr:uid="{00000000-0005-0000-0000-0000496C0000}"/>
    <cellStyle name="Normal 3 5 4 2 3 2 2 2 2 2" xfId="61976" xr:uid="{00000000-0005-0000-0000-00004A6C0000}"/>
    <cellStyle name="Normal 3 5 4 2 3 2 2 2 3" xfId="39079" xr:uid="{00000000-0005-0000-0000-00004B6C0000}"/>
    <cellStyle name="Normal 3 5 4 2 3 2 2 3" xfId="22227" xr:uid="{00000000-0005-0000-0000-00004C6C0000}"/>
    <cellStyle name="Normal 3 5 4 2 3 2 2 3 2" xfId="54098" xr:uid="{00000000-0005-0000-0000-00004D6C0000}"/>
    <cellStyle name="Normal 3 5 4 2 3 2 2 4" xfId="39078" xr:uid="{00000000-0005-0000-0000-00004E6C0000}"/>
    <cellStyle name="Normal 3 5 4 2 3 2 3" xfId="7201" xr:uid="{00000000-0005-0000-0000-00004F6C0000}"/>
    <cellStyle name="Normal 3 5 4 2 3 2 3 2" xfId="26166" xr:uid="{00000000-0005-0000-0000-0000506C0000}"/>
    <cellStyle name="Normal 3 5 4 2 3 2 3 2 2" xfId="58037" xr:uid="{00000000-0005-0000-0000-0000516C0000}"/>
    <cellStyle name="Normal 3 5 4 2 3 2 3 3" xfId="39080" xr:uid="{00000000-0005-0000-0000-0000526C0000}"/>
    <cellStyle name="Normal 3 5 4 2 3 2 4" xfId="18288" xr:uid="{00000000-0005-0000-0000-0000536C0000}"/>
    <cellStyle name="Normal 3 5 4 2 3 2 4 2" xfId="50159" xr:uid="{00000000-0005-0000-0000-0000546C0000}"/>
    <cellStyle name="Normal 3 5 4 2 3 2 5" xfId="39077" xr:uid="{00000000-0005-0000-0000-0000556C0000}"/>
    <cellStyle name="Normal 3 5 4 2 3 3" xfId="7202" xr:uid="{00000000-0005-0000-0000-0000566C0000}"/>
    <cellStyle name="Normal 3 5 4 2 3 3 2" xfId="7203" xr:uid="{00000000-0005-0000-0000-0000576C0000}"/>
    <cellStyle name="Normal 3 5 4 2 3 3 2 2" xfId="30104" xr:uid="{00000000-0005-0000-0000-0000586C0000}"/>
    <cellStyle name="Normal 3 5 4 2 3 3 2 2 2" xfId="61975" xr:uid="{00000000-0005-0000-0000-0000596C0000}"/>
    <cellStyle name="Normal 3 5 4 2 3 3 2 3" xfId="39082" xr:uid="{00000000-0005-0000-0000-00005A6C0000}"/>
    <cellStyle name="Normal 3 5 4 2 3 3 3" xfId="22226" xr:uid="{00000000-0005-0000-0000-00005B6C0000}"/>
    <cellStyle name="Normal 3 5 4 2 3 3 3 2" xfId="54097" xr:uid="{00000000-0005-0000-0000-00005C6C0000}"/>
    <cellStyle name="Normal 3 5 4 2 3 3 4" xfId="39081" xr:uid="{00000000-0005-0000-0000-00005D6C0000}"/>
    <cellStyle name="Normal 3 5 4 2 3 4" xfId="7204" xr:uid="{00000000-0005-0000-0000-00005E6C0000}"/>
    <cellStyle name="Normal 3 5 4 2 3 4 2" xfId="26165" xr:uid="{00000000-0005-0000-0000-00005F6C0000}"/>
    <cellStyle name="Normal 3 5 4 2 3 4 2 2" xfId="58036" xr:uid="{00000000-0005-0000-0000-0000606C0000}"/>
    <cellStyle name="Normal 3 5 4 2 3 4 3" xfId="39083" xr:uid="{00000000-0005-0000-0000-0000616C0000}"/>
    <cellStyle name="Normal 3 5 4 2 3 5" xfId="18287" xr:uid="{00000000-0005-0000-0000-0000626C0000}"/>
    <cellStyle name="Normal 3 5 4 2 3 5 2" xfId="50158" xr:uid="{00000000-0005-0000-0000-0000636C0000}"/>
    <cellStyle name="Normal 3 5 4 2 3 6" xfId="39076" xr:uid="{00000000-0005-0000-0000-0000646C0000}"/>
    <cellStyle name="Normal 3 5 4 2 4" xfId="7205" xr:uid="{00000000-0005-0000-0000-0000656C0000}"/>
    <cellStyle name="Normal 3 5 4 2 4 2" xfId="7206" xr:uid="{00000000-0005-0000-0000-0000666C0000}"/>
    <cellStyle name="Normal 3 5 4 2 4 2 2" xfId="7207" xr:uid="{00000000-0005-0000-0000-0000676C0000}"/>
    <cellStyle name="Normal 3 5 4 2 4 2 2 2" xfId="30106" xr:uid="{00000000-0005-0000-0000-0000686C0000}"/>
    <cellStyle name="Normal 3 5 4 2 4 2 2 2 2" xfId="61977" xr:uid="{00000000-0005-0000-0000-0000696C0000}"/>
    <cellStyle name="Normal 3 5 4 2 4 2 2 3" xfId="39086" xr:uid="{00000000-0005-0000-0000-00006A6C0000}"/>
    <cellStyle name="Normal 3 5 4 2 4 2 3" xfId="22228" xr:uid="{00000000-0005-0000-0000-00006B6C0000}"/>
    <cellStyle name="Normal 3 5 4 2 4 2 3 2" xfId="54099" xr:uid="{00000000-0005-0000-0000-00006C6C0000}"/>
    <cellStyle name="Normal 3 5 4 2 4 2 4" xfId="39085" xr:uid="{00000000-0005-0000-0000-00006D6C0000}"/>
    <cellStyle name="Normal 3 5 4 2 4 3" xfId="7208" xr:uid="{00000000-0005-0000-0000-00006E6C0000}"/>
    <cellStyle name="Normal 3 5 4 2 4 3 2" xfId="26167" xr:uid="{00000000-0005-0000-0000-00006F6C0000}"/>
    <cellStyle name="Normal 3 5 4 2 4 3 2 2" xfId="58038" xr:uid="{00000000-0005-0000-0000-0000706C0000}"/>
    <cellStyle name="Normal 3 5 4 2 4 3 3" xfId="39087" xr:uid="{00000000-0005-0000-0000-0000716C0000}"/>
    <cellStyle name="Normal 3 5 4 2 4 4" xfId="18289" xr:uid="{00000000-0005-0000-0000-0000726C0000}"/>
    <cellStyle name="Normal 3 5 4 2 4 4 2" xfId="50160" xr:uid="{00000000-0005-0000-0000-0000736C0000}"/>
    <cellStyle name="Normal 3 5 4 2 4 5" xfId="39084" xr:uid="{00000000-0005-0000-0000-0000746C0000}"/>
    <cellStyle name="Normal 3 5 4 2 5" xfId="7209" xr:uid="{00000000-0005-0000-0000-0000756C0000}"/>
    <cellStyle name="Normal 3 5 4 2 5 2" xfId="7210" xr:uid="{00000000-0005-0000-0000-0000766C0000}"/>
    <cellStyle name="Normal 3 5 4 2 5 2 2" xfId="30099" xr:uid="{00000000-0005-0000-0000-0000776C0000}"/>
    <cellStyle name="Normal 3 5 4 2 5 2 2 2" xfId="61970" xr:uid="{00000000-0005-0000-0000-0000786C0000}"/>
    <cellStyle name="Normal 3 5 4 2 5 2 3" xfId="39089" xr:uid="{00000000-0005-0000-0000-0000796C0000}"/>
    <cellStyle name="Normal 3 5 4 2 5 3" xfId="22221" xr:uid="{00000000-0005-0000-0000-00007A6C0000}"/>
    <cellStyle name="Normal 3 5 4 2 5 3 2" xfId="54092" xr:uid="{00000000-0005-0000-0000-00007B6C0000}"/>
    <cellStyle name="Normal 3 5 4 2 5 4" xfId="39088" xr:uid="{00000000-0005-0000-0000-00007C6C0000}"/>
    <cellStyle name="Normal 3 5 4 2 6" xfId="7211" xr:uid="{00000000-0005-0000-0000-00007D6C0000}"/>
    <cellStyle name="Normal 3 5 4 2 6 2" xfId="26160" xr:uid="{00000000-0005-0000-0000-00007E6C0000}"/>
    <cellStyle name="Normal 3 5 4 2 6 2 2" xfId="58031" xr:uid="{00000000-0005-0000-0000-00007F6C0000}"/>
    <cellStyle name="Normal 3 5 4 2 6 3" xfId="39090" xr:uid="{00000000-0005-0000-0000-0000806C0000}"/>
    <cellStyle name="Normal 3 5 4 2 7" xfId="18282" xr:uid="{00000000-0005-0000-0000-0000816C0000}"/>
    <cellStyle name="Normal 3 5 4 2 7 2" xfId="50153" xr:uid="{00000000-0005-0000-0000-0000826C0000}"/>
    <cellStyle name="Normal 3 5 4 2 8" xfId="39059" xr:uid="{00000000-0005-0000-0000-0000836C0000}"/>
    <cellStyle name="Normal 3 5 4 3" xfId="7212" xr:uid="{00000000-0005-0000-0000-0000846C0000}"/>
    <cellStyle name="Normal 3 5 4 3 2" xfId="7213" xr:uid="{00000000-0005-0000-0000-0000856C0000}"/>
    <cellStyle name="Normal 3 5 4 3 2 2" xfId="7214" xr:uid="{00000000-0005-0000-0000-0000866C0000}"/>
    <cellStyle name="Normal 3 5 4 3 2 2 2" xfId="7215" xr:uid="{00000000-0005-0000-0000-0000876C0000}"/>
    <cellStyle name="Normal 3 5 4 3 2 2 2 2" xfId="7216" xr:uid="{00000000-0005-0000-0000-0000886C0000}"/>
    <cellStyle name="Normal 3 5 4 3 2 2 2 2 2" xfId="30109" xr:uid="{00000000-0005-0000-0000-0000896C0000}"/>
    <cellStyle name="Normal 3 5 4 3 2 2 2 2 2 2" xfId="61980" xr:uid="{00000000-0005-0000-0000-00008A6C0000}"/>
    <cellStyle name="Normal 3 5 4 3 2 2 2 2 3" xfId="39095" xr:uid="{00000000-0005-0000-0000-00008B6C0000}"/>
    <cellStyle name="Normal 3 5 4 3 2 2 2 3" xfId="22231" xr:uid="{00000000-0005-0000-0000-00008C6C0000}"/>
    <cellStyle name="Normal 3 5 4 3 2 2 2 3 2" xfId="54102" xr:uid="{00000000-0005-0000-0000-00008D6C0000}"/>
    <cellStyle name="Normal 3 5 4 3 2 2 2 4" xfId="39094" xr:uid="{00000000-0005-0000-0000-00008E6C0000}"/>
    <cellStyle name="Normal 3 5 4 3 2 2 3" xfId="7217" xr:uid="{00000000-0005-0000-0000-00008F6C0000}"/>
    <cellStyle name="Normal 3 5 4 3 2 2 3 2" xfId="26170" xr:uid="{00000000-0005-0000-0000-0000906C0000}"/>
    <cellStyle name="Normal 3 5 4 3 2 2 3 2 2" xfId="58041" xr:uid="{00000000-0005-0000-0000-0000916C0000}"/>
    <cellStyle name="Normal 3 5 4 3 2 2 3 3" xfId="39096" xr:uid="{00000000-0005-0000-0000-0000926C0000}"/>
    <cellStyle name="Normal 3 5 4 3 2 2 4" xfId="18292" xr:uid="{00000000-0005-0000-0000-0000936C0000}"/>
    <cellStyle name="Normal 3 5 4 3 2 2 4 2" xfId="50163" xr:uid="{00000000-0005-0000-0000-0000946C0000}"/>
    <cellStyle name="Normal 3 5 4 3 2 2 5" xfId="39093" xr:uid="{00000000-0005-0000-0000-0000956C0000}"/>
    <cellStyle name="Normal 3 5 4 3 2 3" xfId="7218" xr:uid="{00000000-0005-0000-0000-0000966C0000}"/>
    <cellStyle name="Normal 3 5 4 3 2 3 2" xfId="7219" xr:uid="{00000000-0005-0000-0000-0000976C0000}"/>
    <cellStyle name="Normal 3 5 4 3 2 3 2 2" xfId="30108" xr:uid="{00000000-0005-0000-0000-0000986C0000}"/>
    <cellStyle name="Normal 3 5 4 3 2 3 2 2 2" xfId="61979" xr:uid="{00000000-0005-0000-0000-0000996C0000}"/>
    <cellStyle name="Normal 3 5 4 3 2 3 2 3" xfId="39098" xr:uid="{00000000-0005-0000-0000-00009A6C0000}"/>
    <cellStyle name="Normal 3 5 4 3 2 3 3" xfId="22230" xr:uid="{00000000-0005-0000-0000-00009B6C0000}"/>
    <cellStyle name="Normal 3 5 4 3 2 3 3 2" xfId="54101" xr:uid="{00000000-0005-0000-0000-00009C6C0000}"/>
    <cellStyle name="Normal 3 5 4 3 2 3 4" xfId="39097" xr:uid="{00000000-0005-0000-0000-00009D6C0000}"/>
    <cellStyle name="Normal 3 5 4 3 2 4" xfId="7220" xr:uid="{00000000-0005-0000-0000-00009E6C0000}"/>
    <cellStyle name="Normal 3 5 4 3 2 4 2" xfId="26169" xr:uid="{00000000-0005-0000-0000-00009F6C0000}"/>
    <cellStyle name="Normal 3 5 4 3 2 4 2 2" xfId="58040" xr:uid="{00000000-0005-0000-0000-0000A06C0000}"/>
    <cellStyle name="Normal 3 5 4 3 2 4 3" xfId="39099" xr:uid="{00000000-0005-0000-0000-0000A16C0000}"/>
    <cellStyle name="Normal 3 5 4 3 2 5" xfId="18291" xr:uid="{00000000-0005-0000-0000-0000A26C0000}"/>
    <cellStyle name="Normal 3 5 4 3 2 5 2" xfId="50162" xr:uid="{00000000-0005-0000-0000-0000A36C0000}"/>
    <cellStyle name="Normal 3 5 4 3 2 6" xfId="39092" xr:uid="{00000000-0005-0000-0000-0000A46C0000}"/>
    <cellStyle name="Normal 3 5 4 3 3" xfId="7221" xr:uid="{00000000-0005-0000-0000-0000A56C0000}"/>
    <cellStyle name="Normal 3 5 4 3 3 2" xfId="7222" xr:uid="{00000000-0005-0000-0000-0000A66C0000}"/>
    <cellStyle name="Normal 3 5 4 3 3 2 2" xfId="7223" xr:uid="{00000000-0005-0000-0000-0000A76C0000}"/>
    <cellStyle name="Normal 3 5 4 3 3 2 2 2" xfId="30110" xr:uid="{00000000-0005-0000-0000-0000A86C0000}"/>
    <cellStyle name="Normal 3 5 4 3 3 2 2 2 2" xfId="61981" xr:uid="{00000000-0005-0000-0000-0000A96C0000}"/>
    <cellStyle name="Normal 3 5 4 3 3 2 2 3" xfId="39102" xr:uid="{00000000-0005-0000-0000-0000AA6C0000}"/>
    <cellStyle name="Normal 3 5 4 3 3 2 3" xfId="22232" xr:uid="{00000000-0005-0000-0000-0000AB6C0000}"/>
    <cellStyle name="Normal 3 5 4 3 3 2 3 2" xfId="54103" xr:uid="{00000000-0005-0000-0000-0000AC6C0000}"/>
    <cellStyle name="Normal 3 5 4 3 3 2 4" xfId="39101" xr:uid="{00000000-0005-0000-0000-0000AD6C0000}"/>
    <cellStyle name="Normal 3 5 4 3 3 3" xfId="7224" xr:uid="{00000000-0005-0000-0000-0000AE6C0000}"/>
    <cellStyle name="Normal 3 5 4 3 3 3 2" xfId="26171" xr:uid="{00000000-0005-0000-0000-0000AF6C0000}"/>
    <cellStyle name="Normal 3 5 4 3 3 3 2 2" xfId="58042" xr:uid="{00000000-0005-0000-0000-0000B06C0000}"/>
    <cellStyle name="Normal 3 5 4 3 3 3 3" xfId="39103" xr:uid="{00000000-0005-0000-0000-0000B16C0000}"/>
    <cellStyle name="Normal 3 5 4 3 3 4" xfId="18293" xr:uid="{00000000-0005-0000-0000-0000B26C0000}"/>
    <cellStyle name="Normal 3 5 4 3 3 4 2" xfId="50164" xr:uid="{00000000-0005-0000-0000-0000B36C0000}"/>
    <cellStyle name="Normal 3 5 4 3 3 5" xfId="39100" xr:uid="{00000000-0005-0000-0000-0000B46C0000}"/>
    <cellStyle name="Normal 3 5 4 3 4" xfId="7225" xr:uid="{00000000-0005-0000-0000-0000B56C0000}"/>
    <cellStyle name="Normal 3 5 4 3 4 2" xfId="7226" xr:uid="{00000000-0005-0000-0000-0000B66C0000}"/>
    <cellStyle name="Normal 3 5 4 3 4 2 2" xfId="30107" xr:uid="{00000000-0005-0000-0000-0000B76C0000}"/>
    <cellStyle name="Normal 3 5 4 3 4 2 2 2" xfId="61978" xr:uid="{00000000-0005-0000-0000-0000B86C0000}"/>
    <cellStyle name="Normal 3 5 4 3 4 2 3" xfId="39105" xr:uid="{00000000-0005-0000-0000-0000B96C0000}"/>
    <cellStyle name="Normal 3 5 4 3 4 3" xfId="22229" xr:uid="{00000000-0005-0000-0000-0000BA6C0000}"/>
    <cellStyle name="Normal 3 5 4 3 4 3 2" xfId="54100" xr:uid="{00000000-0005-0000-0000-0000BB6C0000}"/>
    <cellStyle name="Normal 3 5 4 3 4 4" xfId="39104" xr:uid="{00000000-0005-0000-0000-0000BC6C0000}"/>
    <cellStyle name="Normal 3 5 4 3 5" xfId="7227" xr:uid="{00000000-0005-0000-0000-0000BD6C0000}"/>
    <cellStyle name="Normal 3 5 4 3 5 2" xfId="26168" xr:uid="{00000000-0005-0000-0000-0000BE6C0000}"/>
    <cellStyle name="Normal 3 5 4 3 5 2 2" xfId="58039" xr:uid="{00000000-0005-0000-0000-0000BF6C0000}"/>
    <cellStyle name="Normal 3 5 4 3 5 3" xfId="39106" xr:uid="{00000000-0005-0000-0000-0000C06C0000}"/>
    <cellStyle name="Normal 3 5 4 3 6" xfId="18290" xr:uid="{00000000-0005-0000-0000-0000C16C0000}"/>
    <cellStyle name="Normal 3 5 4 3 6 2" xfId="50161" xr:uid="{00000000-0005-0000-0000-0000C26C0000}"/>
    <cellStyle name="Normal 3 5 4 3 7" xfId="39091" xr:uid="{00000000-0005-0000-0000-0000C36C0000}"/>
    <cellStyle name="Normal 3 5 4 4" xfId="7228" xr:uid="{00000000-0005-0000-0000-0000C46C0000}"/>
    <cellStyle name="Normal 3 5 4 4 2" xfId="7229" xr:uid="{00000000-0005-0000-0000-0000C56C0000}"/>
    <cellStyle name="Normal 3 5 4 4 2 2" xfId="7230" xr:uid="{00000000-0005-0000-0000-0000C66C0000}"/>
    <cellStyle name="Normal 3 5 4 4 2 2 2" xfId="7231" xr:uid="{00000000-0005-0000-0000-0000C76C0000}"/>
    <cellStyle name="Normal 3 5 4 4 2 2 2 2" xfId="30112" xr:uid="{00000000-0005-0000-0000-0000C86C0000}"/>
    <cellStyle name="Normal 3 5 4 4 2 2 2 2 2" xfId="61983" xr:uid="{00000000-0005-0000-0000-0000C96C0000}"/>
    <cellStyle name="Normal 3 5 4 4 2 2 2 3" xfId="39110" xr:uid="{00000000-0005-0000-0000-0000CA6C0000}"/>
    <cellStyle name="Normal 3 5 4 4 2 2 3" xfId="22234" xr:uid="{00000000-0005-0000-0000-0000CB6C0000}"/>
    <cellStyle name="Normal 3 5 4 4 2 2 3 2" xfId="54105" xr:uid="{00000000-0005-0000-0000-0000CC6C0000}"/>
    <cellStyle name="Normal 3 5 4 4 2 2 4" xfId="39109" xr:uid="{00000000-0005-0000-0000-0000CD6C0000}"/>
    <cellStyle name="Normal 3 5 4 4 2 3" xfId="7232" xr:uid="{00000000-0005-0000-0000-0000CE6C0000}"/>
    <cellStyle name="Normal 3 5 4 4 2 3 2" xfId="26173" xr:uid="{00000000-0005-0000-0000-0000CF6C0000}"/>
    <cellStyle name="Normal 3 5 4 4 2 3 2 2" xfId="58044" xr:uid="{00000000-0005-0000-0000-0000D06C0000}"/>
    <cellStyle name="Normal 3 5 4 4 2 3 3" xfId="39111" xr:uid="{00000000-0005-0000-0000-0000D16C0000}"/>
    <cellStyle name="Normal 3 5 4 4 2 4" xfId="18295" xr:uid="{00000000-0005-0000-0000-0000D26C0000}"/>
    <cellStyle name="Normal 3 5 4 4 2 4 2" xfId="50166" xr:uid="{00000000-0005-0000-0000-0000D36C0000}"/>
    <cellStyle name="Normal 3 5 4 4 2 5" xfId="39108" xr:uid="{00000000-0005-0000-0000-0000D46C0000}"/>
    <cellStyle name="Normal 3 5 4 4 3" xfId="7233" xr:uid="{00000000-0005-0000-0000-0000D56C0000}"/>
    <cellStyle name="Normal 3 5 4 4 3 2" xfId="7234" xr:uid="{00000000-0005-0000-0000-0000D66C0000}"/>
    <cellStyle name="Normal 3 5 4 4 3 2 2" xfId="30111" xr:uid="{00000000-0005-0000-0000-0000D76C0000}"/>
    <cellStyle name="Normal 3 5 4 4 3 2 2 2" xfId="61982" xr:uid="{00000000-0005-0000-0000-0000D86C0000}"/>
    <cellStyle name="Normal 3 5 4 4 3 2 3" xfId="39113" xr:uid="{00000000-0005-0000-0000-0000D96C0000}"/>
    <cellStyle name="Normal 3 5 4 4 3 3" xfId="22233" xr:uid="{00000000-0005-0000-0000-0000DA6C0000}"/>
    <cellStyle name="Normal 3 5 4 4 3 3 2" xfId="54104" xr:uid="{00000000-0005-0000-0000-0000DB6C0000}"/>
    <cellStyle name="Normal 3 5 4 4 3 4" xfId="39112" xr:uid="{00000000-0005-0000-0000-0000DC6C0000}"/>
    <cellStyle name="Normal 3 5 4 4 4" xfId="7235" xr:uid="{00000000-0005-0000-0000-0000DD6C0000}"/>
    <cellStyle name="Normal 3 5 4 4 4 2" xfId="26172" xr:uid="{00000000-0005-0000-0000-0000DE6C0000}"/>
    <cellStyle name="Normal 3 5 4 4 4 2 2" xfId="58043" xr:uid="{00000000-0005-0000-0000-0000DF6C0000}"/>
    <cellStyle name="Normal 3 5 4 4 4 3" xfId="39114" xr:uid="{00000000-0005-0000-0000-0000E06C0000}"/>
    <cellStyle name="Normal 3 5 4 4 5" xfId="18294" xr:uid="{00000000-0005-0000-0000-0000E16C0000}"/>
    <cellStyle name="Normal 3 5 4 4 5 2" xfId="50165" xr:uid="{00000000-0005-0000-0000-0000E26C0000}"/>
    <cellStyle name="Normal 3 5 4 4 6" xfId="39107" xr:uid="{00000000-0005-0000-0000-0000E36C0000}"/>
    <cellStyle name="Normal 3 5 4 5" xfId="7236" xr:uid="{00000000-0005-0000-0000-0000E46C0000}"/>
    <cellStyle name="Normal 3 5 4 5 2" xfId="7237" xr:uid="{00000000-0005-0000-0000-0000E56C0000}"/>
    <cellStyle name="Normal 3 5 4 5 2 2" xfId="7238" xr:uid="{00000000-0005-0000-0000-0000E66C0000}"/>
    <cellStyle name="Normal 3 5 4 5 2 2 2" xfId="30113" xr:uid="{00000000-0005-0000-0000-0000E76C0000}"/>
    <cellStyle name="Normal 3 5 4 5 2 2 2 2" xfId="61984" xr:uid="{00000000-0005-0000-0000-0000E86C0000}"/>
    <cellStyle name="Normal 3 5 4 5 2 2 3" xfId="39117" xr:uid="{00000000-0005-0000-0000-0000E96C0000}"/>
    <cellStyle name="Normal 3 5 4 5 2 3" xfId="22235" xr:uid="{00000000-0005-0000-0000-0000EA6C0000}"/>
    <cellStyle name="Normal 3 5 4 5 2 3 2" xfId="54106" xr:uid="{00000000-0005-0000-0000-0000EB6C0000}"/>
    <cellStyle name="Normal 3 5 4 5 2 4" xfId="39116" xr:uid="{00000000-0005-0000-0000-0000EC6C0000}"/>
    <cellStyle name="Normal 3 5 4 5 3" xfId="7239" xr:uid="{00000000-0005-0000-0000-0000ED6C0000}"/>
    <cellStyle name="Normal 3 5 4 5 3 2" xfId="26174" xr:uid="{00000000-0005-0000-0000-0000EE6C0000}"/>
    <cellStyle name="Normal 3 5 4 5 3 2 2" xfId="58045" xr:uid="{00000000-0005-0000-0000-0000EF6C0000}"/>
    <cellStyle name="Normal 3 5 4 5 3 3" xfId="39118" xr:uid="{00000000-0005-0000-0000-0000F06C0000}"/>
    <cellStyle name="Normal 3 5 4 5 4" xfId="18296" xr:uid="{00000000-0005-0000-0000-0000F16C0000}"/>
    <cellStyle name="Normal 3 5 4 5 4 2" xfId="50167" xr:uid="{00000000-0005-0000-0000-0000F26C0000}"/>
    <cellStyle name="Normal 3 5 4 5 5" xfId="39115" xr:uid="{00000000-0005-0000-0000-0000F36C0000}"/>
    <cellStyle name="Normal 3 5 4 6" xfId="7240" xr:uid="{00000000-0005-0000-0000-0000F46C0000}"/>
    <cellStyle name="Normal 3 5 4 6 2" xfId="7241" xr:uid="{00000000-0005-0000-0000-0000F56C0000}"/>
    <cellStyle name="Normal 3 5 4 6 2 2" xfId="28414" xr:uid="{00000000-0005-0000-0000-0000F66C0000}"/>
    <cellStyle name="Normal 3 5 4 6 2 2 2" xfId="60285" xr:uid="{00000000-0005-0000-0000-0000F76C0000}"/>
    <cellStyle name="Normal 3 5 4 6 2 3" xfId="39120" xr:uid="{00000000-0005-0000-0000-0000F86C0000}"/>
    <cellStyle name="Normal 3 5 4 6 3" xfId="20536" xr:uid="{00000000-0005-0000-0000-0000F96C0000}"/>
    <cellStyle name="Normal 3 5 4 6 3 2" xfId="52407" xr:uid="{00000000-0005-0000-0000-0000FA6C0000}"/>
    <cellStyle name="Normal 3 5 4 6 4" xfId="39119" xr:uid="{00000000-0005-0000-0000-0000FB6C0000}"/>
    <cellStyle name="Normal 3 5 4 7" xfId="7242" xr:uid="{00000000-0005-0000-0000-0000FC6C0000}"/>
    <cellStyle name="Normal 3 5 4 7 2" xfId="24475" xr:uid="{00000000-0005-0000-0000-0000FD6C0000}"/>
    <cellStyle name="Normal 3 5 4 7 2 2" xfId="56346" xr:uid="{00000000-0005-0000-0000-0000FE6C0000}"/>
    <cellStyle name="Normal 3 5 4 7 3" xfId="39121" xr:uid="{00000000-0005-0000-0000-0000FF6C0000}"/>
    <cellStyle name="Normal 3 5 4 8" xfId="16597" xr:uid="{00000000-0005-0000-0000-0000006D0000}"/>
    <cellStyle name="Normal 3 5 4 8 2" xfId="48468" xr:uid="{00000000-0005-0000-0000-0000016D0000}"/>
    <cellStyle name="Normal 3 5 4 9" xfId="39058" xr:uid="{00000000-0005-0000-0000-0000026D0000}"/>
    <cellStyle name="Normal 3 5 5" xfId="7243" xr:uid="{00000000-0005-0000-0000-0000036D0000}"/>
    <cellStyle name="Normal 3 5 5 2" xfId="7244" xr:uid="{00000000-0005-0000-0000-0000046D0000}"/>
    <cellStyle name="Normal 3 5 5 2 2" xfId="7245" xr:uid="{00000000-0005-0000-0000-0000056D0000}"/>
    <cellStyle name="Normal 3 5 5 2 2 2" xfId="7246" xr:uid="{00000000-0005-0000-0000-0000066D0000}"/>
    <cellStyle name="Normal 3 5 5 2 2 2 2" xfId="7247" xr:uid="{00000000-0005-0000-0000-0000076D0000}"/>
    <cellStyle name="Normal 3 5 5 2 2 2 2 2" xfId="7248" xr:uid="{00000000-0005-0000-0000-0000086D0000}"/>
    <cellStyle name="Normal 3 5 5 2 2 2 2 2 2" xfId="30116" xr:uid="{00000000-0005-0000-0000-0000096D0000}"/>
    <cellStyle name="Normal 3 5 5 2 2 2 2 2 2 2" xfId="61987" xr:uid="{00000000-0005-0000-0000-00000A6D0000}"/>
    <cellStyle name="Normal 3 5 5 2 2 2 2 2 3" xfId="39127" xr:uid="{00000000-0005-0000-0000-00000B6D0000}"/>
    <cellStyle name="Normal 3 5 5 2 2 2 2 3" xfId="22238" xr:uid="{00000000-0005-0000-0000-00000C6D0000}"/>
    <cellStyle name="Normal 3 5 5 2 2 2 2 3 2" xfId="54109" xr:uid="{00000000-0005-0000-0000-00000D6D0000}"/>
    <cellStyle name="Normal 3 5 5 2 2 2 2 4" xfId="39126" xr:uid="{00000000-0005-0000-0000-00000E6D0000}"/>
    <cellStyle name="Normal 3 5 5 2 2 2 3" xfId="7249" xr:uid="{00000000-0005-0000-0000-00000F6D0000}"/>
    <cellStyle name="Normal 3 5 5 2 2 2 3 2" xfId="26177" xr:uid="{00000000-0005-0000-0000-0000106D0000}"/>
    <cellStyle name="Normal 3 5 5 2 2 2 3 2 2" xfId="58048" xr:uid="{00000000-0005-0000-0000-0000116D0000}"/>
    <cellStyle name="Normal 3 5 5 2 2 2 3 3" xfId="39128" xr:uid="{00000000-0005-0000-0000-0000126D0000}"/>
    <cellStyle name="Normal 3 5 5 2 2 2 4" xfId="18299" xr:uid="{00000000-0005-0000-0000-0000136D0000}"/>
    <cellStyle name="Normal 3 5 5 2 2 2 4 2" xfId="50170" xr:uid="{00000000-0005-0000-0000-0000146D0000}"/>
    <cellStyle name="Normal 3 5 5 2 2 2 5" xfId="39125" xr:uid="{00000000-0005-0000-0000-0000156D0000}"/>
    <cellStyle name="Normal 3 5 5 2 2 3" xfId="7250" xr:uid="{00000000-0005-0000-0000-0000166D0000}"/>
    <cellStyle name="Normal 3 5 5 2 2 3 2" xfId="7251" xr:uid="{00000000-0005-0000-0000-0000176D0000}"/>
    <cellStyle name="Normal 3 5 5 2 2 3 2 2" xfId="30115" xr:uid="{00000000-0005-0000-0000-0000186D0000}"/>
    <cellStyle name="Normal 3 5 5 2 2 3 2 2 2" xfId="61986" xr:uid="{00000000-0005-0000-0000-0000196D0000}"/>
    <cellStyle name="Normal 3 5 5 2 2 3 2 3" xfId="39130" xr:uid="{00000000-0005-0000-0000-00001A6D0000}"/>
    <cellStyle name="Normal 3 5 5 2 2 3 3" xfId="22237" xr:uid="{00000000-0005-0000-0000-00001B6D0000}"/>
    <cellStyle name="Normal 3 5 5 2 2 3 3 2" xfId="54108" xr:uid="{00000000-0005-0000-0000-00001C6D0000}"/>
    <cellStyle name="Normal 3 5 5 2 2 3 4" xfId="39129" xr:uid="{00000000-0005-0000-0000-00001D6D0000}"/>
    <cellStyle name="Normal 3 5 5 2 2 4" xfId="7252" xr:uid="{00000000-0005-0000-0000-00001E6D0000}"/>
    <cellStyle name="Normal 3 5 5 2 2 4 2" xfId="26176" xr:uid="{00000000-0005-0000-0000-00001F6D0000}"/>
    <cellStyle name="Normal 3 5 5 2 2 4 2 2" xfId="58047" xr:uid="{00000000-0005-0000-0000-0000206D0000}"/>
    <cellStyle name="Normal 3 5 5 2 2 4 3" xfId="39131" xr:uid="{00000000-0005-0000-0000-0000216D0000}"/>
    <cellStyle name="Normal 3 5 5 2 2 5" xfId="18298" xr:uid="{00000000-0005-0000-0000-0000226D0000}"/>
    <cellStyle name="Normal 3 5 5 2 2 5 2" xfId="50169" xr:uid="{00000000-0005-0000-0000-0000236D0000}"/>
    <cellStyle name="Normal 3 5 5 2 2 6" xfId="39124" xr:uid="{00000000-0005-0000-0000-0000246D0000}"/>
    <cellStyle name="Normal 3 5 5 2 3" xfId="7253" xr:uid="{00000000-0005-0000-0000-0000256D0000}"/>
    <cellStyle name="Normal 3 5 5 2 3 2" xfId="7254" xr:uid="{00000000-0005-0000-0000-0000266D0000}"/>
    <cellStyle name="Normal 3 5 5 2 3 2 2" xfId="7255" xr:uid="{00000000-0005-0000-0000-0000276D0000}"/>
    <cellStyle name="Normal 3 5 5 2 3 2 2 2" xfId="30117" xr:uid="{00000000-0005-0000-0000-0000286D0000}"/>
    <cellStyle name="Normal 3 5 5 2 3 2 2 2 2" xfId="61988" xr:uid="{00000000-0005-0000-0000-0000296D0000}"/>
    <cellStyle name="Normal 3 5 5 2 3 2 2 3" xfId="39134" xr:uid="{00000000-0005-0000-0000-00002A6D0000}"/>
    <cellStyle name="Normal 3 5 5 2 3 2 3" xfId="22239" xr:uid="{00000000-0005-0000-0000-00002B6D0000}"/>
    <cellStyle name="Normal 3 5 5 2 3 2 3 2" xfId="54110" xr:uid="{00000000-0005-0000-0000-00002C6D0000}"/>
    <cellStyle name="Normal 3 5 5 2 3 2 4" xfId="39133" xr:uid="{00000000-0005-0000-0000-00002D6D0000}"/>
    <cellStyle name="Normal 3 5 5 2 3 3" xfId="7256" xr:uid="{00000000-0005-0000-0000-00002E6D0000}"/>
    <cellStyle name="Normal 3 5 5 2 3 3 2" xfId="26178" xr:uid="{00000000-0005-0000-0000-00002F6D0000}"/>
    <cellStyle name="Normal 3 5 5 2 3 3 2 2" xfId="58049" xr:uid="{00000000-0005-0000-0000-0000306D0000}"/>
    <cellStyle name="Normal 3 5 5 2 3 3 3" xfId="39135" xr:uid="{00000000-0005-0000-0000-0000316D0000}"/>
    <cellStyle name="Normal 3 5 5 2 3 4" xfId="18300" xr:uid="{00000000-0005-0000-0000-0000326D0000}"/>
    <cellStyle name="Normal 3 5 5 2 3 4 2" xfId="50171" xr:uid="{00000000-0005-0000-0000-0000336D0000}"/>
    <cellStyle name="Normal 3 5 5 2 3 5" xfId="39132" xr:uid="{00000000-0005-0000-0000-0000346D0000}"/>
    <cellStyle name="Normal 3 5 5 2 4" xfId="7257" xr:uid="{00000000-0005-0000-0000-0000356D0000}"/>
    <cellStyle name="Normal 3 5 5 2 4 2" xfId="7258" xr:uid="{00000000-0005-0000-0000-0000366D0000}"/>
    <cellStyle name="Normal 3 5 5 2 4 2 2" xfId="30114" xr:uid="{00000000-0005-0000-0000-0000376D0000}"/>
    <cellStyle name="Normal 3 5 5 2 4 2 2 2" xfId="61985" xr:uid="{00000000-0005-0000-0000-0000386D0000}"/>
    <cellStyle name="Normal 3 5 5 2 4 2 3" xfId="39137" xr:uid="{00000000-0005-0000-0000-0000396D0000}"/>
    <cellStyle name="Normal 3 5 5 2 4 3" xfId="22236" xr:uid="{00000000-0005-0000-0000-00003A6D0000}"/>
    <cellStyle name="Normal 3 5 5 2 4 3 2" xfId="54107" xr:uid="{00000000-0005-0000-0000-00003B6D0000}"/>
    <cellStyle name="Normal 3 5 5 2 4 4" xfId="39136" xr:uid="{00000000-0005-0000-0000-00003C6D0000}"/>
    <cellStyle name="Normal 3 5 5 2 5" xfId="7259" xr:uid="{00000000-0005-0000-0000-00003D6D0000}"/>
    <cellStyle name="Normal 3 5 5 2 5 2" xfId="26175" xr:uid="{00000000-0005-0000-0000-00003E6D0000}"/>
    <cellStyle name="Normal 3 5 5 2 5 2 2" xfId="58046" xr:uid="{00000000-0005-0000-0000-00003F6D0000}"/>
    <cellStyle name="Normal 3 5 5 2 5 3" xfId="39138" xr:uid="{00000000-0005-0000-0000-0000406D0000}"/>
    <cellStyle name="Normal 3 5 5 2 6" xfId="18297" xr:uid="{00000000-0005-0000-0000-0000416D0000}"/>
    <cellStyle name="Normal 3 5 5 2 6 2" xfId="50168" xr:uid="{00000000-0005-0000-0000-0000426D0000}"/>
    <cellStyle name="Normal 3 5 5 2 7" xfId="39123" xr:uid="{00000000-0005-0000-0000-0000436D0000}"/>
    <cellStyle name="Normal 3 5 5 3" xfId="7260" xr:uid="{00000000-0005-0000-0000-0000446D0000}"/>
    <cellStyle name="Normal 3 5 5 3 2" xfId="7261" xr:uid="{00000000-0005-0000-0000-0000456D0000}"/>
    <cellStyle name="Normal 3 5 5 3 2 2" xfId="7262" xr:uid="{00000000-0005-0000-0000-0000466D0000}"/>
    <cellStyle name="Normal 3 5 5 3 2 2 2" xfId="7263" xr:uid="{00000000-0005-0000-0000-0000476D0000}"/>
    <cellStyle name="Normal 3 5 5 3 2 2 2 2" xfId="30119" xr:uid="{00000000-0005-0000-0000-0000486D0000}"/>
    <cellStyle name="Normal 3 5 5 3 2 2 2 2 2" xfId="61990" xr:uid="{00000000-0005-0000-0000-0000496D0000}"/>
    <cellStyle name="Normal 3 5 5 3 2 2 2 3" xfId="39142" xr:uid="{00000000-0005-0000-0000-00004A6D0000}"/>
    <cellStyle name="Normal 3 5 5 3 2 2 3" xfId="22241" xr:uid="{00000000-0005-0000-0000-00004B6D0000}"/>
    <cellStyle name="Normal 3 5 5 3 2 2 3 2" xfId="54112" xr:uid="{00000000-0005-0000-0000-00004C6D0000}"/>
    <cellStyle name="Normal 3 5 5 3 2 2 4" xfId="39141" xr:uid="{00000000-0005-0000-0000-00004D6D0000}"/>
    <cellStyle name="Normal 3 5 5 3 2 3" xfId="7264" xr:uid="{00000000-0005-0000-0000-00004E6D0000}"/>
    <cellStyle name="Normal 3 5 5 3 2 3 2" xfId="26180" xr:uid="{00000000-0005-0000-0000-00004F6D0000}"/>
    <cellStyle name="Normal 3 5 5 3 2 3 2 2" xfId="58051" xr:uid="{00000000-0005-0000-0000-0000506D0000}"/>
    <cellStyle name="Normal 3 5 5 3 2 3 3" xfId="39143" xr:uid="{00000000-0005-0000-0000-0000516D0000}"/>
    <cellStyle name="Normal 3 5 5 3 2 4" xfId="18302" xr:uid="{00000000-0005-0000-0000-0000526D0000}"/>
    <cellStyle name="Normal 3 5 5 3 2 4 2" xfId="50173" xr:uid="{00000000-0005-0000-0000-0000536D0000}"/>
    <cellStyle name="Normal 3 5 5 3 2 5" xfId="39140" xr:uid="{00000000-0005-0000-0000-0000546D0000}"/>
    <cellStyle name="Normal 3 5 5 3 3" xfId="7265" xr:uid="{00000000-0005-0000-0000-0000556D0000}"/>
    <cellStyle name="Normal 3 5 5 3 3 2" xfId="7266" xr:uid="{00000000-0005-0000-0000-0000566D0000}"/>
    <cellStyle name="Normal 3 5 5 3 3 2 2" xfId="30118" xr:uid="{00000000-0005-0000-0000-0000576D0000}"/>
    <cellStyle name="Normal 3 5 5 3 3 2 2 2" xfId="61989" xr:uid="{00000000-0005-0000-0000-0000586D0000}"/>
    <cellStyle name="Normal 3 5 5 3 3 2 3" xfId="39145" xr:uid="{00000000-0005-0000-0000-0000596D0000}"/>
    <cellStyle name="Normal 3 5 5 3 3 3" xfId="22240" xr:uid="{00000000-0005-0000-0000-00005A6D0000}"/>
    <cellStyle name="Normal 3 5 5 3 3 3 2" xfId="54111" xr:uid="{00000000-0005-0000-0000-00005B6D0000}"/>
    <cellStyle name="Normal 3 5 5 3 3 4" xfId="39144" xr:uid="{00000000-0005-0000-0000-00005C6D0000}"/>
    <cellStyle name="Normal 3 5 5 3 4" xfId="7267" xr:uid="{00000000-0005-0000-0000-00005D6D0000}"/>
    <cellStyle name="Normal 3 5 5 3 4 2" xfId="26179" xr:uid="{00000000-0005-0000-0000-00005E6D0000}"/>
    <cellStyle name="Normal 3 5 5 3 4 2 2" xfId="58050" xr:uid="{00000000-0005-0000-0000-00005F6D0000}"/>
    <cellStyle name="Normal 3 5 5 3 4 3" xfId="39146" xr:uid="{00000000-0005-0000-0000-0000606D0000}"/>
    <cellStyle name="Normal 3 5 5 3 5" xfId="18301" xr:uid="{00000000-0005-0000-0000-0000616D0000}"/>
    <cellStyle name="Normal 3 5 5 3 5 2" xfId="50172" xr:uid="{00000000-0005-0000-0000-0000626D0000}"/>
    <cellStyle name="Normal 3 5 5 3 6" xfId="39139" xr:uid="{00000000-0005-0000-0000-0000636D0000}"/>
    <cellStyle name="Normal 3 5 5 4" xfId="7268" xr:uid="{00000000-0005-0000-0000-0000646D0000}"/>
    <cellStyle name="Normal 3 5 5 4 2" xfId="7269" xr:uid="{00000000-0005-0000-0000-0000656D0000}"/>
    <cellStyle name="Normal 3 5 5 4 2 2" xfId="7270" xr:uid="{00000000-0005-0000-0000-0000666D0000}"/>
    <cellStyle name="Normal 3 5 5 4 2 2 2" xfId="30120" xr:uid="{00000000-0005-0000-0000-0000676D0000}"/>
    <cellStyle name="Normal 3 5 5 4 2 2 2 2" xfId="61991" xr:uid="{00000000-0005-0000-0000-0000686D0000}"/>
    <cellStyle name="Normal 3 5 5 4 2 2 3" xfId="39149" xr:uid="{00000000-0005-0000-0000-0000696D0000}"/>
    <cellStyle name="Normal 3 5 5 4 2 3" xfId="22242" xr:uid="{00000000-0005-0000-0000-00006A6D0000}"/>
    <cellStyle name="Normal 3 5 5 4 2 3 2" xfId="54113" xr:uid="{00000000-0005-0000-0000-00006B6D0000}"/>
    <cellStyle name="Normal 3 5 5 4 2 4" xfId="39148" xr:uid="{00000000-0005-0000-0000-00006C6D0000}"/>
    <cellStyle name="Normal 3 5 5 4 3" xfId="7271" xr:uid="{00000000-0005-0000-0000-00006D6D0000}"/>
    <cellStyle name="Normal 3 5 5 4 3 2" xfId="26181" xr:uid="{00000000-0005-0000-0000-00006E6D0000}"/>
    <cellStyle name="Normal 3 5 5 4 3 2 2" xfId="58052" xr:uid="{00000000-0005-0000-0000-00006F6D0000}"/>
    <cellStyle name="Normal 3 5 5 4 3 3" xfId="39150" xr:uid="{00000000-0005-0000-0000-0000706D0000}"/>
    <cellStyle name="Normal 3 5 5 4 4" xfId="18303" xr:uid="{00000000-0005-0000-0000-0000716D0000}"/>
    <cellStyle name="Normal 3 5 5 4 4 2" xfId="50174" xr:uid="{00000000-0005-0000-0000-0000726D0000}"/>
    <cellStyle name="Normal 3 5 5 4 5" xfId="39147" xr:uid="{00000000-0005-0000-0000-0000736D0000}"/>
    <cellStyle name="Normal 3 5 5 5" xfId="7272" xr:uid="{00000000-0005-0000-0000-0000746D0000}"/>
    <cellStyle name="Normal 3 5 5 5 2" xfId="7273" xr:uid="{00000000-0005-0000-0000-0000756D0000}"/>
    <cellStyle name="Normal 3 5 5 5 2 2" xfId="28291" xr:uid="{00000000-0005-0000-0000-0000766D0000}"/>
    <cellStyle name="Normal 3 5 5 5 2 2 2" xfId="60162" xr:uid="{00000000-0005-0000-0000-0000776D0000}"/>
    <cellStyle name="Normal 3 5 5 5 2 3" xfId="39152" xr:uid="{00000000-0005-0000-0000-0000786D0000}"/>
    <cellStyle name="Normal 3 5 5 5 3" xfId="20413" xr:uid="{00000000-0005-0000-0000-0000796D0000}"/>
    <cellStyle name="Normal 3 5 5 5 3 2" xfId="52284" xr:uid="{00000000-0005-0000-0000-00007A6D0000}"/>
    <cellStyle name="Normal 3 5 5 5 4" xfId="39151" xr:uid="{00000000-0005-0000-0000-00007B6D0000}"/>
    <cellStyle name="Normal 3 5 5 6" xfId="7274" xr:uid="{00000000-0005-0000-0000-00007C6D0000}"/>
    <cellStyle name="Normal 3 5 5 6 2" xfId="24352" xr:uid="{00000000-0005-0000-0000-00007D6D0000}"/>
    <cellStyle name="Normal 3 5 5 6 2 2" xfId="56223" xr:uid="{00000000-0005-0000-0000-00007E6D0000}"/>
    <cellStyle name="Normal 3 5 5 6 3" xfId="39153" xr:uid="{00000000-0005-0000-0000-00007F6D0000}"/>
    <cellStyle name="Normal 3 5 5 7" xfId="16474" xr:uid="{00000000-0005-0000-0000-0000806D0000}"/>
    <cellStyle name="Normal 3 5 5 7 2" xfId="48345" xr:uid="{00000000-0005-0000-0000-0000816D0000}"/>
    <cellStyle name="Normal 3 5 5 8" xfId="39122" xr:uid="{00000000-0005-0000-0000-0000826D0000}"/>
    <cellStyle name="Normal 3 5 6" xfId="7275" xr:uid="{00000000-0005-0000-0000-0000836D0000}"/>
    <cellStyle name="Normal 3 5 6 2" xfId="7276" xr:uid="{00000000-0005-0000-0000-0000846D0000}"/>
    <cellStyle name="Normal 3 5 6 2 2" xfId="7277" xr:uid="{00000000-0005-0000-0000-0000856D0000}"/>
    <cellStyle name="Normal 3 5 6 2 2 2" xfId="7278" xr:uid="{00000000-0005-0000-0000-0000866D0000}"/>
    <cellStyle name="Normal 3 5 6 2 2 2 2" xfId="7279" xr:uid="{00000000-0005-0000-0000-0000876D0000}"/>
    <cellStyle name="Normal 3 5 6 2 2 2 2 2" xfId="30123" xr:uid="{00000000-0005-0000-0000-0000886D0000}"/>
    <cellStyle name="Normal 3 5 6 2 2 2 2 2 2" xfId="61994" xr:uid="{00000000-0005-0000-0000-0000896D0000}"/>
    <cellStyle name="Normal 3 5 6 2 2 2 2 3" xfId="39158" xr:uid="{00000000-0005-0000-0000-00008A6D0000}"/>
    <cellStyle name="Normal 3 5 6 2 2 2 3" xfId="22245" xr:uid="{00000000-0005-0000-0000-00008B6D0000}"/>
    <cellStyle name="Normal 3 5 6 2 2 2 3 2" xfId="54116" xr:uid="{00000000-0005-0000-0000-00008C6D0000}"/>
    <cellStyle name="Normal 3 5 6 2 2 2 4" xfId="39157" xr:uid="{00000000-0005-0000-0000-00008D6D0000}"/>
    <cellStyle name="Normal 3 5 6 2 2 3" xfId="7280" xr:uid="{00000000-0005-0000-0000-00008E6D0000}"/>
    <cellStyle name="Normal 3 5 6 2 2 3 2" xfId="26184" xr:uid="{00000000-0005-0000-0000-00008F6D0000}"/>
    <cellStyle name="Normal 3 5 6 2 2 3 2 2" xfId="58055" xr:uid="{00000000-0005-0000-0000-0000906D0000}"/>
    <cellStyle name="Normal 3 5 6 2 2 3 3" xfId="39159" xr:uid="{00000000-0005-0000-0000-0000916D0000}"/>
    <cellStyle name="Normal 3 5 6 2 2 4" xfId="18306" xr:uid="{00000000-0005-0000-0000-0000926D0000}"/>
    <cellStyle name="Normal 3 5 6 2 2 4 2" xfId="50177" xr:uid="{00000000-0005-0000-0000-0000936D0000}"/>
    <cellStyle name="Normal 3 5 6 2 2 5" xfId="39156" xr:uid="{00000000-0005-0000-0000-0000946D0000}"/>
    <cellStyle name="Normal 3 5 6 2 3" xfId="7281" xr:uid="{00000000-0005-0000-0000-0000956D0000}"/>
    <cellStyle name="Normal 3 5 6 2 3 2" xfId="7282" xr:uid="{00000000-0005-0000-0000-0000966D0000}"/>
    <cellStyle name="Normal 3 5 6 2 3 2 2" xfId="30122" xr:uid="{00000000-0005-0000-0000-0000976D0000}"/>
    <cellStyle name="Normal 3 5 6 2 3 2 2 2" xfId="61993" xr:uid="{00000000-0005-0000-0000-0000986D0000}"/>
    <cellStyle name="Normal 3 5 6 2 3 2 3" xfId="39161" xr:uid="{00000000-0005-0000-0000-0000996D0000}"/>
    <cellStyle name="Normal 3 5 6 2 3 3" xfId="22244" xr:uid="{00000000-0005-0000-0000-00009A6D0000}"/>
    <cellStyle name="Normal 3 5 6 2 3 3 2" xfId="54115" xr:uid="{00000000-0005-0000-0000-00009B6D0000}"/>
    <cellStyle name="Normal 3 5 6 2 3 4" xfId="39160" xr:uid="{00000000-0005-0000-0000-00009C6D0000}"/>
    <cellStyle name="Normal 3 5 6 2 4" xfId="7283" xr:uid="{00000000-0005-0000-0000-00009D6D0000}"/>
    <cellStyle name="Normal 3 5 6 2 4 2" xfId="26183" xr:uid="{00000000-0005-0000-0000-00009E6D0000}"/>
    <cellStyle name="Normal 3 5 6 2 4 2 2" xfId="58054" xr:uid="{00000000-0005-0000-0000-00009F6D0000}"/>
    <cellStyle name="Normal 3 5 6 2 4 3" xfId="39162" xr:uid="{00000000-0005-0000-0000-0000A06D0000}"/>
    <cellStyle name="Normal 3 5 6 2 5" xfId="18305" xr:uid="{00000000-0005-0000-0000-0000A16D0000}"/>
    <cellStyle name="Normal 3 5 6 2 5 2" xfId="50176" xr:uid="{00000000-0005-0000-0000-0000A26D0000}"/>
    <cellStyle name="Normal 3 5 6 2 6" xfId="39155" xr:uid="{00000000-0005-0000-0000-0000A36D0000}"/>
    <cellStyle name="Normal 3 5 6 3" xfId="7284" xr:uid="{00000000-0005-0000-0000-0000A46D0000}"/>
    <cellStyle name="Normal 3 5 6 3 2" xfId="7285" xr:uid="{00000000-0005-0000-0000-0000A56D0000}"/>
    <cellStyle name="Normal 3 5 6 3 2 2" xfId="7286" xr:uid="{00000000-0005-0000-0000-0000A66D0000}"/>
    <cellStyle name="Normal 3 5 6 3 2 2 2" xfId="30124" xr:uid="{00000000-0005-0000-0000-0000A76D0000}"/>
    <cellStyle name="Normal 3 5 6 3 2 2 2 2" xfId="61995" xr:uid="{00000000-0005-0000-0000-0000A86D0000}"/>
    <cellStyle name="Normal 3 5 6 3 2 2 3" xfId="39165" xr:uid="{00000000-0005-0000-0000-0000A96D0000}"/>
    <cellStyle name="Normal 3 5 6 3 2 3" xfId="22246" xr:uid="{00000000-0005-0000-0000-0000AA6D0000}"/>
    <cellStyle name="Normal 3 5 6 3 2 3 2" xfId="54117" xr:uid="{00000000-0005-0000-0000-0000AB6D0000}"/>
    <cellStyle name="Normal 3 5 6 3 2 4" xfId="39164" xr:uid="{00000000-0005-0000-0000-0000AC6D0000}"/>
    <cellStyle name="Normal 3 5 6 3 3" xfId="7287" xr:uid="{00000000-0005-0000-0000-0000AD6D0000}"/>
    <cellStyle name="Normal 3 5 6 3 3 2" xfId="26185" xr:uid="{00000000-0005-0000-0000-0000AE6D0000}"/>
    <cellStyle name="Normal 3 5 6 3 3 2 2" xfId="58056" xr:uid="{00000000-0005-0000-0000-0000AF6D0000}"/>
    <cellStyle name="Normal 3 5 6 3 3 3" xfId="39166" xr:uid="{00000000-0005-0000-0000-0000B06D0000}"/>
    <cellStyle name="Normal 3 5 6 3 4" xfId="18307" xr:uid="{00000000-0005-0000-0000-0000B16D0000}"/>
    <cellStyle name="Normal 3 5 6 3 4 2" xfId="50178" xr:uid="{00000000-0005-0000-0000-0000B26D0000}"/>
    <cellStyle name="Normal 3 5 6 3 5" xfId="39163" xr:uid="{00000000-0005-0000-0000-0000B36D0000}"/>
    <cellStyle name="Normal 3 5 6 4" xfId="7288" xr:uid="{00000000-0005-0000-0000-0000B46D0000}"/>
    <cellStyle name="Normal 3 5 6 4 2" xfId="7289" xr:uid="{00000000-0005-0000-0000-0000B56D0000}"/>
    <cellStyle name="Normal 3 5 6 4 2 2" xfId="30121" xr:uid="{00000000-0005-0000-0000-0000B66D0000}"/>
    <cellStyle name="Normal 3 5 6 4 2 2 2" xfId="61992" xr:uid="{00000000-0005-0000-0000-0000B76D0000}"/>
    <cellStyle name="Normal 3 5 6 4 2 3" xfId="39168" xr:uid="{00000000-0005-0000-0000-0000B86D0000}"/>
    <cellStyle name="Normal 3 5 6 4 3" xfId="22243" xr:uid="{00000000-0005-0000-0000-0000B96D0000}"/>
    <cellStyle name="Normal 3 5 6 4 3 2" xfId="54114" xr:uid="{00000000-0005-0000-0000-0000BA6D0000}"/>
    <cellStyle name="Normal 3 5 6 4 4" xfId="39167" xr:uid="{00000000-0005-0000-0000-0000BB6D0000}"/>
    <cellStyle name="Normal 3 5 6 5" xfId="7290" xr:uid="{00000000-0005-0000-0000-0000BC6D0000}"/>
    <cellStyle name="Normal 3 5 6 5 2" xfId="26182" xr:uid="{00000000-0005-0000-0000-0000BD6D0000}"/>
    <cellStyle name="Normal 3 5 6 5 2 2" xfId="58053" xr:uid="{00000000-0005-0000-0000-0000BE6D0000}"/>
    <cellStyle name="Normal 3 5 6 5 3" xfId="39169" xr:uid="{00000000-0005-0000-0000-0000BF6D0000}"/>
    <cellStyle name="Normal 3 5 6 6" xfId="18304" xr:uid="{00000000-0005-0000-0000-0000C06D0000}"/>
    <cellStyle name="Normal 3 5 6 6 2" xfId="50175" xr:uid="{00000000-0005-0000-0000-0000C16D0000}"/>
    <cellStyle name="Normal 3 5 6 7" xfId="39154" xr:uid="{00000000-0005-0000-0000-0000C26D0000}"/>
    <cellStyle name="Normal 3 5 7" xfId="7291" xr:uid="{00000000-0005-0000-0000-0000C36D0000}"/>
    <cellStyle name="Normal 3 5 7 2" xfId="7292" xr:uid="{00000000-0005-0000-0000-0000C46D0000}"/>
    <cellStyle name="Normal 3 5 7 2 2" xfId="7293" xr:uid="{00000000-0005-0000-0000-0000C56D0000}"/>
    <cellStyle name="Normal 3 5 7 2 2 2" xfId="7294" xr:uid="{00000000-0005-0000-0000-0000C66D0000}"/>
    <cellStyle name="Normal 3 5 7 2 2 2 2" xfId="30126" xr:uid="{00000000-0005-0000-0000-0000C76D0000}"/>
    <cellStyle name="Normal 3 5 7 2 2 2 2 2" xfId="61997" xr:uid="{00000000-0005-0000-0000-0000C86D0000}"/>
    <cellStyle name="Normal 3 5 7 2 2 2 3" xfId="39173" xr:uid="{00000000-0005-0000-0000-0000C96D0000}"/>
    <cellStyle name="Normal 3 5 7 2 2 3" xfId="22248" xr:uid="{00000000-0005-0000-0000-0000CA6D0000}"/>
    <cellStyle name="Normal 3 5 7 2 2 3 2" xfId="54119" xr:uid="{00000000-0005-0000-0000-0000CB6D0000}"/>
    <cellStyle name="Normal 3 5 7 2 2 4" xfId="39172" xr:uid="{00000000-0005-0000-0000-0000CC6D0000}"/>
    <cellStyle name="Normal 3 5 7 2 3" xfId="7295" xr:uid="{00000000-0005-0000-0000-0000CD6D0000}"/>
    <cellStyle name="Normal 3 5 7 2 3 2" xfId="26187" xr:uid="{00000000-0005-0000-0000-0000CE6D0000}"/>
    <cellStyle name="Normal 3 5 7 2 3 2 2" xfId="58058" xr:uid="{00000000-0005-0000-0000-0000CF6D0000}"/>
    <cellStyle name="Normal 3 5 7 2 3 3" xfId="39174" xr:uid="{00000000-0005-0000-0000-0000D06D0000}"/>
    <cellStyle name="Normal 3 5 7 2 4" xfId="18309" xr:uid="{00000000-0005-0000-0000-0000D16D0000}"/>
    <cellStyle name="Normal 3 5 7 2 4 2" xfId="50180" xr:uid="{00000000-0005-0000-0000-0000D26D0000}"/>
    <cellStyle name="Normal 3 5 7 2 5" xfId="39171" xr:uid="{00000000-0005-0000-0000-0000D36D0000}"/>
    <cellStyle name="Normal 3 5 7 3" xfId="7296" xr:uid="{00000000-0005-0000-0000-0000D46D0000}"/>
    <cellStyle name="Normal 3 5 7 3 2" xfId="7297" xr:uid="{00000000-0005-0000-0000-0000D56D0000}"/>
    <cellStyle name="Normal 3 5 7 3 2 2" xfId="30125" xr:uid="{00000000-0005-0000-0000-0000D66D0000}"/>
    <cellStyle name="Normal 3 5 7 3 2 2 2" xfId="61996" xr:uid="{00000000-0005-0000-0000-0000D76D0000}"/>
    <cellStyle name="Normal 3 5 7 3 2 3" xfId="39176" xr:uid="{00000000-0005-0000-0000-0000D86D0000}"/>
    <cellStyle name="Normal 3 5 7 3 3" xfId="22247" xr:uid="{00000000-0005-0000-0000-0000D96D0000}"/>
    <cellStyle name="Normal 3 5 7 3 3 2" xfId="54118" xr:uid="{00000000-0005-0000-0000-0000DA6D0000}"/>
    <cellStyle name="Normal 3 5 7 3 4" xfId="39175" xr:uid="{00000000-0005-0000-0000-0000DB6D0000}"/>
    <cellStyle name="Normal 3 5 7 4" xfId="7298" xr:uid="{00000000-0005-0000-0000-0000DC6D0000}"/>
    <cellStyle name="Normal 3 5 7 4 2" xfId="26186" xr:uid="{00000000-0005-0000-0000-0000DD6D0000}"/>
    <cellStyle name="Normal 3 5 7 4 2 2" xfId="58057" xr:uid="{00000000-0005-0000-0000-0000DE6D0000}"/>
    <cellStyle name="Normal 3 5 7 4 3" xfId="39177" xr:uid="{00000000-0005-0000-0000-0000DF6D0000}"/>
    <cellStyle name="Normal 3 5 7 5" xfId="18308" xr:uid="{00000000-0005-0000-0000-0000E06D0000}"/>
    <cellStyle name="Normal 3 5 7 5 2" xfId="50179" xr:uid="{00000000-0005-0000-0000-0000E16D0000}"/>
    <cellStyle name="Normal 3 5 7 6" xfId="39170" xr:uid="{00000000-0005-0000-0000-0000E26D0000}"/>
    <cellStyle name="Normal 3 5 8" xfId="7299" xr:uid="{00000000-0005-0000-0000-0000E36D0000}"/>
    <cellStyle name="Normal 3 5 8 2" xfId="7300" xr:uid="{00000000-0005-0000-0000-0000E46D0000}"/>
    <cellStyle name="Normal 3 5 8 2 2" xfId="7301" xr:uid="{00000000-0005-0000-0000-0000E56D0000}"/>
    <cellStyle name="Normal 3 5 8 2 2 2" xfId="30127" xr:uid="{00000000-0005-0000-0000-0000E66D0000}"/>
    <cellStyle name="Normal 3 5 8 2 2 2 2" xfId="61998" xr:uid="{00000000-0005-0000-0000-0000E76D0000}"/>
    <cellStyle name="Normal 3 5 8 2 2 3" xfId="39180" xr:uid="{00000000-0005-0000-0000-0000E86D0000}"/>
    <cellStyle name="Normal 3 5 8 2 3" xfId="22249" xr:uid="{00000000-0005-0000-0000-0000E96D0000}"/>
    <cellStyle name="Normal 3 5 8 2 3 2" xfId="54120" xr:uid="{00000000-0005-0000-0000-0000EA6D0000}"/>
    <cellStyle name="Normal 3 5 8 2 4" xfId="39179" xr:uid="{00000000-0005-0000-0000-0000EB6D0000}"/>
    <cellStyle name="Normal 3 5 8 3" xfId="7302" xr:uid="{00000000-0005-0000-0000-0000EC6D0000}"/>
    <cellStyle name="Normal 3 5 8 3 2" xfId="26188" xr:uid="{00000000-0005-0000-0000-0000ED6D0000}"/>
    <cellStyle name="Normal 3 5 8 3 2 2" xfId="58059" xr:uid="{00000000-0005-0000-0000-0000EE6D0000}"/>
    <cellStyle name="Normal 3 5 8 3 3" xfId="39181" xr:uid="{00000000-0005-0000-0000-0000EF6D0000}"/>
    <cellStyle name="Normal 3 5 8 4" xfId="18310" xr:uid="{00000000-0005-0000-0000-0000F06D0000}"/>
    <cellStyle name="Normal 3 5 8 4 2" xfId="50181" xr:uid="{00000000-0005-0000-0000-0000F16D0000}"/>
    <cellStyle name="Normal 3 5 8 5" xfId="39178" xr:uid="{00000000-0005-0000-0000-0000F26D0000}"/>
    <cellStyle name="Normal 3 5 9" xfId="7303" xr:uid="{00000000-0005-0000-0000-0000F36D0000}"/>
    <cellStyle name="Normal 3 5 9 2" xfId="7304" xr:uid="{00000000-0005-0000-0000-0000F46D0000}"/>
    <cellStyle name="Normal 3 5 9 2 2" xfId="28250" xr:uid="{00000000-0005-0000-0000-0000F56D0000}"/>
    <cellStyle name="Normal 3 5 9 2 2 2" xfId="60121" xr:uid="{00000000-0005-0000-0000-0000F66D0000}"/>
    <cellStyle name="Normal 3 5 9 2 3" xfId="39183" xr:uid="{00000000-0005-0000-0000-0000F76D0000}"/>
    <cellStyle name="Normal 3 5 9 3" xfId="20372" xr:uid="{00000000-0005-0000-0000-0000F86D0000}"/>
    <cellStyle name="Normal 3 5 9 3 2" xfId="52243" xr:uid="{00000000-0005-0000-0000-0000F96D0000}"/>
    <cellStyle name="Normal 3 5 9 4" xfId="39182" xr:uid="{00000000-0005-0000-0000-0000FA6D0000}"/>
    <cellStyle name="Normal 3 6" xfId="206" xr:uid="{00000000-0005-0000-0000-0000FB6D0000}"/>
    <cellStyle name="Normal 3 6 10" xfId="7306" xr:uid="{00000000-0005-0000-0000-0000FC6D0000}"/>
    <cellStyle name="Normal 3 6 10 2" xfId="24336" xr:uid="{00000000-0005-0000-0000-0000FD6D0000}"/>
    <cellStyle name="Normal 3 6 10 2 2" xfId="56207" xr:uid="{00000000-0005-0000-0000-0000FE6D0000}"/>
    <cellStyle name="Normal 3 6 10 3" xfId="39185" xr:uid="{00000000-0005-0000-0000-0000FF6D0000}"/>
    <cellStyle name="Normal 3 6 11" xfId="16458" xr:uid="{00000000-0005-0000-0000-0000006E0000}"/>
    <cellStyle name="Normal 3 6 11 2" xfId="48329" xr:uid="{00000000-0005-0000-0000-0000016E0000}"/>
    <cellStyle name="Normal 3 6 12" xfId="7305" xr:uid="{00000000-0005-0000-0000-0000026E0000}"/>
    <cellStyle name="Normal 3 6 12 2" xfId="39184" xr:uid="{00000000-0005-0000-0000-0000036E0000}"/>
    <cellStyle name="Normal 3 6 13" xfId="32190" xr:uid="{00000000-0005-0000-0000-0000046E0000}"/>
    <cellStyle name="Normal 3 6 2" xfId="7307" xr:uid="{00000000-0005-0000-0000-0000056E0000}"/>
    <cellStyle name="Normal 3 6 2 10" xfId="39186" xr:uid="{00000000-0005-0000-0000-0000066E0000}"/>
    <cellStyle name="Normal 3 6 2 2" xfId="7308" xr:uid="{00000000-0005-0000-0000-0000076E0000}"/>
    <cellStyle name="Normal 3 6 2 2 2" xfId="7309" xr:uid="{00000000-0005-0000-0000-0000086E0000}"/>
    <cellStyle name="Normal 3 6 2 2 2 2" xfId="7310" xr:uid="{00000000-0005-0000-0000-0000096E0000}"/>
    <cellStyle name="Normal 3 6 2 2 2 2 2" xfId="7311" xr:uid="{00000000-0005-0000-0000-00000A6E0000}"/>
    <cellStyle name="Normal 3 6 2 2 2 2 2 2" xfId="7312" xr:uid="{00000000-0005-0000-0000-00000B6E0000}"/>
    <cellStyle name="Normal 3 6 2 2 2 2 2 2 2" xfId="7313" xr:uid="{00000000-0005-0000-0000-00000C6E0000}"/>
    <cellStyle name="Normal 3 6 2 2 2 2 2 2 2 2" xfId="7314" xr:uid="{00000000-0005-0000-0000-00000D6E0000}"/>
    <cellStyle name="Normal 3 6 2 2 2 2 2 2 2 2 2" xfId="30131" xr:uid="{00000000-0005-0000-0000-00000E6E0000}"/>
    <cellStyle name="Normal 3 6 2 2 2 2 2 2 2 2 2 2" xfId="62002" xr:uid="{00000000-0005-0000-0000-00000F6E0000}"/>
    <cellStyle name="Normal 3 6 2 2 2 2 2 2 2 2 3" xfId="39193" xr:uid="{00000000-0005-0000-0000-0000106E0000}"/>
    <cellStyle name="Normal 3 6 2 2 2 2 2 2 2 3" xfId="22253" xr:uid="{00000000-0005-0000-0000-0000116E0000}"/>
    <cellStyle name="Normal 3 6 2 2 2 2 2 2 2 3 2" xfId="54124" xr:uid="{00000000-0005-0000-0000-0000126E0000}"/>
    <cellStyle name="Normal 3 6 2 2 2 2 2 2 2 4" xfId="39192" xr:uid="{00000000-0005-0000-0000-0000136E0000}"/>
    <cellStyle name="Normal 3 6 2 2 2 2 2 2 3" xfId="7315" xr:uid="{00000000-0005-0000-0000-0000146E0000}"/>
    <cellStyle name="Normal 3 6 2 2 2 2 2 2 3 2" xfId="26192" xr:uid="{00000000-0005-0000-0000-0000156E0000}"/>
    <cellStyle name="Normal 3 6 2 2 2 2 2 2 3 2 2" xfId="58063" xr:uid="{00000000-0005-0000-0000-0000166E0000}"/>
    <cellStyle name="Normal 3 6 2 2 2 2 2 2 3 3" xfId="39194" xr:uid="{00000000-0005-0000-0000-0000176E0000}"/>
    <cellStyle name="Normal 3 6 2 2 2 2 2 2 4" xfId="18314" xr:uid="{00000000-0005-0000-0000-0000186E0000}"/>
    <cellStyle name="Normal 3 6 2 2 2 2 2 2 4 2" xfId="50185" xr:uid="{00000000-0005-0000-0000-0000196E0000}"/>
    <cellStyle name="Normal 3 6 2 2 2 2 2 2 5" xfId="39191" xr:uid="{00000000-0005-0000-0000-00001A6E0000}"/>
    <cellStyle name="Normal 3 6 2 2 2 2 2 3" xfId="7316" xr:uid="{00000000-0005-0000-0000-00001B6E0000}"/>
    <cellStyle name="Normal 3 6 2 2 2 2 2 3 2" xfId="7317" xr:uid="{00000000-0005-0000-0000-00001C6E0000}"/>
    <cellStyle name="Normal 3 6 2 2 2 2 2 3 2 2" xfId="30130" xr:uid="{00000000-0005-0000-0000-00001D6E0000}"/>
    <cellStyle name="Normal 3 6 2 2 2 2 2 3 2 2 2" xfId="62001" xr:uid="{00000000-0005-0000-0000-00001E6E0000}"/>
    <cellStyle name="Normal 3 6 2 2 2 2 2 3 2 3" xfId="39196" xr:uid="{00000000-0005-0000-0000-00001F6E0000}"/>
    <cellStyle name="Normal 3 6 2 2 2 2 2 3 3" xfId="22252" xr:uid="{00000000-0005-0000-0000-0000206E0000}"/>
    <cellStyle name="Normal 3 6 2 2 2 2 2 3 3 2" xfId="54123" xr:uid="{00000000-0005-0000-0000-0000216E0000}"/>
    <cellStyle name="Normal 3 6 2 2 2 2 2 3 4" xfId="39195" xr:uid="{00000000-0005-0000-0000-0000226E0000}"/>
    <cellStyle name="Normal 3 6 2 2 2 2 2 4" xfId="7318" xr:uid="{00000000-0005-0000-0000-0000236E0000}"/>
    <cellStyle name="Normal 3 6 2 2 2 2 2 4 2" xfId="26191" xr:uid="{00000000-0005-0000-0000-0000246E0000}"/>
    <cellStyle name="Normal 3 6 2 2 2 2 2 4 2 2" xfId="58062" xr:uid="{00000000-0005-0000-0000-0000256E0000}"/>
    <cellStyle name="Normal 3 6 2 2 2 2 2 4 3" xfId="39197" xr:uid="{00000000-0005-0000-0000-0000266E0000}"/>
    <cellStyle name="Normal 3 6 2 2 2 2 2 5" xfId="18313" xr:uid="{00000000-0005-0000-0000-0000276E0000}"/>
    <cellStyle name="Normal 3 6 2 2 2 2 2 5 2" xfId="50184" xr:uid="{00000000-0005-0000-0000-0000286E0000}"/>
    <cellStyle name="Normal 3 6 2 2 2 2 2 6" xfId="39190" xr:uid="{00000000-0005-0000-0000-0000296E0000}"/>
    <cellStyle name="Normal 3 6 2 2 2 2 3" xfId="7319" xr:uid="{00000000-0005-0000-0000-00002A6E0000}"/>
    <cellStyle name="Normal 3 6 2 2 2 2 3 2" xfId="7320" xr:uid="{00000000-0005-0000-0000-00002B6E0000}"/>
    <cellStyle name="Normal 3 6 2 2 2 2 3 2 2" xfId="7321" xr:uid="{00000000-0005-0000-0000-00002C6E0000}"/>
    <cellStyle name="Normal 3 6 2 2 2 2 3 2 2 2" xfId="30132" xr:uid="{00000000-0005-0000-0000-00002D6E0000}"/>
    <cellStyle name="Normal 3 6 2 2 2 2 3 2 2 2 2" xfId="62003" xr:uid="{00000000-0005-0000-0000-00002E6E0000}"/>
    <cellStyle name="Normal 3 6 2 2 2 2 3 2 2 3" xfId="39200" xr:uid="{00000000-0005-0000-0000-00002F6E0000}"/>
    <cellStyle name="Normal 3 6 2 2 2 2 3 2 3" xfId="22254" xr:uid="{00000000-0005-0000-0000-0000306E0000}"/>
    <cellStyle name="Normal 3 6 2 2 2 2 3 2 3 2" xfId="54125" xr:uid="{00000000-0005-0000-0000-0000316E0000}"/>
    <cellStyle name="Normal 3 6 2 2 2 2 3 2 4" xfId="39199" xr:uid="{00000000-0005-0000-0000-0000326E0000}"/>
    <cellStyle name="Normal 3 6 2 2 2 2 3 3" xfId="7322" xr:uid="{00000000-0005-0000-0000-0000336E0000}"/>
    <cellStyle name="Normal 3 6 2 2 2 2 3 3 2" xfId="26193" xr:uid="{00000000-0005-0000-0000-0000346E0000}"/>
    <cellStyle name="Normal 3 6 2 2 2 2 3 3 2 2" xfId="58064" xr:uid="{00000000-0005-0000-0000-0000356E0000}"/>
    <cellStyle name="Normal 3 6 2 2 2 2 3 3 3" xfId="39201" xr:uid="{00000000-0005-0000-0000-0000366E0000}"/>
    <cellStyle name="Normal 3 6 2 2 2 2 3 4" xfId="18315" xr:uid="{00000000-0005-0000-0000-0000376E0000}"/>
    <cellStyle name="Normal 3 6 2 2 2 2 3 4 2" xfId="50186" xr:uid="{00000000-0005-0000-0000-0000386E0000}"/>
    <cellStyle name="Normal 3 6 2 2 2 2 3 5" xfId="39198" xr:uid="{00000000-0005-0000-0000-0000396E0000}"/>
    <cellStyle name="Normal 3 6 2 2 2 2 4" xfId="7323" xr:uid="{00000000-0005-0000-0000-00003A6E0000}"/>
    <cellStyle name="Normal 3 6 2 2 2 2 4 2" xfId="7324" xr:uid="{00000000-0005-0000-0000-00003B6E0000}"/>
    <cellStyle name="Normal 3 6 2 2 2 2 4 2 2" xfId="30129" xr:uid="{00000000-0005-0000-0000-00003C6E0000}"/>
    <cellStyle name="Normal 3 6 2 2 2 2 4 2 2 2" xfId="62000" xr:uid="{00000000-0005-0000-0000-00003D6E0000}"/>
    <cellStyle name="Normal 3 6 2 2 2 2 4 2 3" xfId="39203" xr:uid="{00000000-0005-0000-0000-00003E6E0000}"/>
    <cellStyle name="Normal 3 6 2 2 2 2 4 3" xfId="22251" xr:uid="{00000000-0005-0000-0000-00003F6E0000}"/>
    <cellStyle name="Normal 3 6 2 2 2 2 4 3 2" xfId="54122" xr:uid="{00000000-0005-0000-0000-0000406E0000}"/>
    <cellStyle name="Normal 3 6 2 2 2 2 4 4" xfId="39202" xr:uid="{00000000-0005-0000-0000-0000416E0000}"/>
    <cellStyle name="Normal 3 6 2 2 2 2 5" xfId="7325" xr:uid="{00000000-0005-0000-0000-0000426E0000}"/>
    <cellStyle name="Normal 3 6 2 2 2 2 5 2" xfId="26190" xr:uid="{00000000-0005-0000-0000-0000436E0000}"/>
    <cellStyle name="Normal 3 6 2 2 2 2 5 2 2" xfId="58061" xr:uid="{00000000-0005-0000-0000-0000446E0000}"/>
    <cellStyle name="Normal 3 6 2 2 2 2 5 3" xfId="39204" xr:uid="{00000000-0005-0000-0000-0000456E0000}"/>
    <cellStyle name="Normal 3 6 2 2 2 2 6" xfId="18312" xr:uid="{00000000-0005-0000-0000-0000466E0000}"/>
    <cellStyle name="Normal 3 6 2 2 2 2 6 2" xfId="50183" xr:uid="{00000000-0005-0000-0000-0000476E0000}"/>
    <cellStyle name="Normal 3 6 2 2 2 2 7" xfId="39189" xr:uid="{00000000-0005-0000-0000-0000486E0000}"/>
    <cellStyle name="Normal 3 6 2 2 2 3" xfId="7326" xr:uid="{00000000-0005-0000-0000-0000496E0000}"/>
    <cellStyle name="Normal 3 6 2 2 2 3 2" xfId="7327" xr:uid="{00000000-0005-0000-0000-00004A6E0000}"/>
    <cellStyle name="Normal 3 6 2 2 2 3 2 2" xfId="7328" xr:uid="{00000000-0005-0000-0000-00004B6E0000}"/>
    <cellStyle name="Normal 3 6 2 2 2 3 2 2 2" xfId="7329" xr:uid="{00000000-0005-0000-0000-00004C6E0000}"/>
    <cellStyle name="Normal 3 6 2 2 2 3 2 2 2 2" xfId="30134" xr:uid="{00000000-0005-0000-0000-00004D6E0000}"/>
    <cellStyle name="Normal 3 6 2 2 2 3 2 2 2 2 2" xfId="62005" xr:uid="{00000000-0005-0000-0000-00004E6E0000}"/>
    <cellStyle name="Normal 3 6 2 2 2 3 2 2 2 3" xfId="39208" xr:uid="{00000000-0005-0000-0000-00004F6E0000}"/>
    <cellStyle name="Normal 3 6 2 2 2 3 2 2 3" xfId="22256" xr:uid="{00000000-0005-0000-0000-0000506E0000}"/>
    <cellStyle name="Normal 3 6 2 2 2 3 2 2 3 2" xfId="54127" xr:uid="{00000000-0005-0000-0000-0000516E0000}"/>
    <cellStyle name="Normal 3 6 2 2 2 3 2 2 4" xfId="39207" xr:uid="{00000000-0005-0000-0000-0000526E0000}"/>
    <cellStyle name="Normal 3 6 2 2 2 3 2 3" xfId="7330" xr:uid="{00000000-0005-0000-0000-0000536E0000}"/>
    <cellStyle name="Normal 3 6 2 2 2 3 2 3 2" xfId="26195" xr:uid="{00000000-0005-0000-0000-0000546E0000}"/>
    <cellStyle name="Normal 3 6 2 2 2 3 2 3 2 2" xfId="58066" xr:uid="{00000000-0005-0000-0000-0000556E0000}"/>
    <cellStyle name="Normal 3 6 2 2 2 3 2 3 3" xfId="39209" xr:uid="{00000000-0005-0000-0000-0000566E0000}"/>
    <cellStyle name="Normal 3 6 2 2 2 3 2 4" xfId="18317" xr:uid="{00000000-0005-0000-0000-0000576E0000}"/>
    <cellStyle name="Normal 3 6 2 2 2 3 2 4 2" xfId="50188" xr:uid="{00000000-0005-0000-0000-0000586E0000}"/>
    <cellStyle name="Normal 3 6 2 2 2 3 2 5" xfId="39206" xr:uid="{00000000-0005-0000-0000-0000596E0000}"/>
    <cellStyle name="Normal 3 6 2 2 2 3 3" xfId="7331" xr:uid="{00000000-0005-0000-0000-00005A6E0000}"/>
    <cellStyle name="Normal 3 6 2 2 2 3 3 2" xfId="7332" xr:uid="{00000000-0005-0000-0000-00005B6E0000}"/>
    <cellStyle name="Normal 3 6 2 2 2 3 3 2 2" xfId="30133" xr:uid="{00000000-0005-0000-0000-00005C6E0000}"/>
    <cellStyle name="Normal 3 6 2 2 2 3 3 2 2 2" xfId="62004" xr:uid="{00000000-0005-0000-0000-00005D6E0000}"/>
    <cellStyle name="Normal 3 6 2 2 2 3 3 2 3" xfId="39211" xr:uid="{00000000-0005-0000-0000-00005E6E0000}"/>
    <cellStyle name="Normal 3 6 2 2 2 3 3 3" xfId="22255" xr:uid="{00000000-0005-0000-0000-00005F6E0000}"/>
    <cellStyle name="Normal 3 6 2 2 2 3 3 3 2" xfId="54126" xr:uid="{00000000-0005-0000-0000-0000606E0000}"/>
    <cellStyle name="Normal 3 6 2 2 2 3 3 4" xfId="39210" xr:uid="{00000000-0005-0000-0000-0000616E0000}"/>
    <cellStyle name="Normal 3 6 2 2 2 3 4" xfId="7333" xr:uid="{00000000-0005-0000-0000-0000626E0000}"/>
    <cellStyle name="Normal 3 6 2 2 2 3 4 2" xfId="26194" xr:uid="{00000000-0005-0000-0000-0000636E0000}"/>
    <cellStyle name="Normal 3 6 2 2 2 3 4 2 2" xfId="58065" xr:uid="{00000000-0005-0000-0000-0000646E0000}"/>
    <cellStyle name="Normal 3 6 2 2 2 3 4 3" xfId="39212" xr:uid="{00000000-0005-0000-0000-0000656E0000}"/>
    <cellStyle name="Normal 3 6 2 2 2 3 5" xfId="18316" xr:uid="{00000000-0005-0000-0000-0000666E0000}"/>
    <cellStyle name="Normal 3 6 2 2 2 3 5 2" xfId="50187" xr:uid="{00000000-0005-0000-0000-0000676E0000}"/>
    <cellStyle name="Normal 3 6 2 2 2 3 6" xfId="39205" xr:uid="{00000000-0005-0000-0000-0000686E0000}"/>
    <cellStyle name="Normal 3 6 2 2 2 4" xfId="7334" xr:uid="{00000000-0005-0000-0000-0000696E0000}"/>
    <cellStyle name="Normal 3 6 2 2 2 4 2" xfId="7335" xr:uid="{00000000-0005-0000-0000-00006A6E0000}"/>
    <cellStyle name="Normal 3 6 2 2 2 4 2 2" xfId="7336" xr:uid="{00000000-0005-0000-0000-00006B6E0000}"/>
    <cellStyle name="Normal 3 6 2 2 2 4 2 2 2" xfId="30135" xr:uid="{00000000-0005-0000-0000-00006C6E0000}"/>
    <cellStyle name="Normal 3 6 2 2 2 4 2 2 2 2" xfId="62006" xr:uid="{00000000-0005-0000-0000-00006D6E0000}"/>
    <cellStyle name="Normal 3 6 2 2 2 4 2 2 3" xfId="39215" xr:uid="{00000000-0005-0000-0000-00006E6E0000}"/>
    <cellStyle name="Normal 3 6 2 2 2 4 2 3" xfId="22257" xr:uid="{00000000-0005-0000-0000-00006F6E0000}"/>
    <cellStyle name="Normal 3 6 2 2 2 4 2 3 2" xfId="54128" xr:uid="{00000000-0005-0000-0000-0000706E0000}"/>
    <cellStyle name="Normal 3 6 2 2 2 4 2 4" xfId="39214" xr:uid="{00000000-0005-0000-0000-0000716E0000}"/>
    <cellStyle name="Normal 3 6 2 2 2 4 3" xfId="7337" xr:uid="{00000000-0005-0000-0000-0000726E0000}"/>
    <cellStyle name="Normal 3 6 2 2 2 4 3 2" xfId="26196" xr:uid="{00000000-0005-0000-0000-0000736E0000}"/>
    <cellStyle name="Normal 3 6 2 2 2 4 3 2 2" xfId="58067" xr:uid="{00000000-0005-0000-0000-0000746E0000}"/>
    <cellStyle name="Normal 3 6 2 2 2 4 3 3" xfId="39216" xr:uid="{00000000-0005-0000-0000-0000756E0000}"/>
    <cellStyle name="Normal 3 6 2 2 2 4 4" xfId="18318" xr:uid="{00000000-0005-0000-0000-0000766E0000}"/>
    <cellStyle name="Normal 3 6 2 2 2 4 4 2" xfId="50189" xr:uid="{00000000-0005-0000-0000-0000776E0000}"/>
    <cellStyle name="Normal 3 6 2 2 2 4 5" xfId="39213" xr:uid="{00000000-0005-0000-0000-0000786E0000}"/>
    <cellStyle name="Normal 3 6 2 2 2 5" xfId="7338" xr:uid="{00000000-0005-0000-0000-0000796E0000}"/>
    <cellStyle name="Normal 3 6 2 2 2 5 2" xfId="7339" xr:uid="{00000000-0005-0000-0000-00007A6E0000}"/>
    <cellStyle name="Normal 3 6 2 2 2 5 2 2" xfId="30128" xr:uid="{00000000-0005-0000-0000-00007B6E0000}"/>
    <cellStyle name="Normal 3 6 2 2 2 5 2 2 2" xfId="61999" xr:uid="{00000000-0005-0000-0000-00007C6E0000}"/>
    <cellStyle name="Normal 3 6 2 2 2 5 2 3" xfId="39218" xr:uid="{00000000-0005-0000-0000-00007D6E0000}"/>
    <cellStyle name="Normal 3 6 2 2 2 5 3" xfId="22250" xr:uid="{00000000-0005-0000-0000-00007E6E0000}"/>
    <cellStyle name="Normal 3 6 2 2 2 5 3 2" xfId="54121" xr:uid="{00000000-0005-0000-0000-00007F6E0000}"/>
    <cellStyle name="Normal 3 6 2 2 2 5 4" xfId="39217" xr:uid="{00000000-0005-0000-0000-0000806E0000}"/>
    <cellStyle name="Normal 3 6 2 2 2 6" xfId="7340" xr:uid="{00000000-0005-0000-0000-0000816E0000}"/>
    <cellStyle name="Normal 3 6 2 2 2 6 2" xfId="26189" xr:uid="{00000000-0005-0000-0000-0000826E0000}"/>
    <cellStyle name="Normal 3 6 2 2 2 6 2 2" xfId="58060" xr:uid="{00000000-0005-0000-0000-0000836E0000}"/>
    <cellStyle name="Normal 3 6 2 2 2 6 3" xfId="39219" xr:uid="{00000000-0005-0000-0000-0000846E0000}"/>
    <cellStyle name="Normal 3 6 2 2 2 7" xfId="18311" xr:uid="{00000000-0005-0000-0000-0000856E0000}"/>
    <cellStyle name="Normal 3 6 2 2 2 7 2" xfId="50182" xr:uid="{00000000-0005-0000-0000-0000866E0000}"/>
    <cellStyle name="Normal 3 6 2 2 2 8" xfId="39188" xr:uid="{00000000-0005-0000-0000-0000876E0000}"/>
    <cellStyle name="Normal 3 6 2 2 3" xfId="7341" xr:uid="{00000000-0005-0000-0000-0000886E0000}"/>
    <cellStyle name="Normal 3 6 2 2 3 2" xfId="7342" xr:uid="{00000000-0005-0000-0000-0000896E0000}"/>
    <cellStyle name="Normal 3 6 2 2 3 2 2" xfId="7343" xr:uid="{00000000-0005-0000-0000-00008A6E0000}"/>
    <cellStyle name="Normal 3 6 2 2 3 2 2 2" xfId="7344" xr:uid="{00000000-0005-0000-0000-00008B6E0000}"/>
    <cellStyle name="Normal 3 6 2 2 3 2 2 2 2" xfId="7345" xr:uid="{00000000-0005-0000-0000-00008C6E0000}"/>
    <cellStyle name="Normal 3 6 2 2 3 2 2 2 2 2" xfId="30138" xr:uid="{00000000-0005-0000-0000-00008D6E0000}"/>
    <cellStyle name="Normal 3 6 2 2 3 2 2 2 2 2 2" xfId="62009" xr:uid="{00000000-0005-0000-0000-00008E6E0000}"/>
    <cellStyle name="Normal 3 6 2 2 3 2 2 2 2 3" xfId="39224" xr:uid="{00000000-0005-0000-0000-00008F6E0000}"/>
    <cellStyle name="Normal 3 6 2 2 3 2 2 2 3" xfId="22260" xr:uid="{00000000-0005-0000-0000-0000906E0000}"/>
    <cellStyle name="Normal 3 6 2 2 3 2 2 2 3 2" xfId="54131" xr:uid="{00000000-0005-0000-0000-0000916E0000}"/>
    <cellStyle name="Normal 3 6 2 2 3 2 2 2 4" xfId="39223" xr:uid="{00000000-0005-0000-0000-0000926E0000}"/>
    <cellStyle name="Normal 3 6 2 2 3 2 2 3" xfId="7346" xr:uid="{00000000-0005-0000-0000-0000936E0000}"/>
    <cellStyle name="Normal 3 6 2 2 3 2 2 3 2" xfId="26199" xr:uid="{00000000-0005-0000-0000-0000946E0000}"/>
    <cellStyle name="Normal 3 6 2 2 3 2 2 3 2 2" xfId="58070" xr:uid="{00000000-0005-0000-0000-0000956E0000}"/>
    <cellStyle name="Normal 3 6 2 2 3 2 2 3 3" xfId="39225" xr:uid="{00000000-0005-0000-0000-0000966E0000}"/>
    <cellStyle name="Normal 3 6 2 2 3 2 2 4" xfId="18321" xr:uid="{00000000-0005-0000-0000-0000976E0000}"/>
    <cellStyle name="Normal 3 6 2 2 3 2 2 4 2" xfId="50192" xr:uid="{00000000-0005-0000-0000-0000986E0000}"/>
    <cellStyle name="Normal 3 6 2 2 3 2 2 5" xfId="39222" xr:uid="{00000000-0005-0000-0000-0000996E0000}"/>
    <cellStyle name="Normal 3 6 2 2 3 2 3" xfId="7347" xr:uid="{00000000-0005-0000-0000-00009A6E0000}"/>
    <cellStyle name="Normal 3 6 2 2 3 2 3 2" xfId="7348" xr:uid="{00000000-0005-0000-0000-00009B6E0000}"/>
    <cellStyle name="Normal 3 6 2 2 3 2 3 2 2" xfId="30137" xr:uid="{00000000-0005-0000-0000-00009C6E0000}"/>
    <cellStyle name="Normal 3 6 2 2 3 2 3 2 2 2" xfId="62008" xr:uid="{00000000-0005-0000-0000-00009D6E0000}"/>
    <cellStyle name="Normal 3 6 2 2 3 2 3 2 3" xfId="39227" xr:uid="{00000000-0005-0000-0000-00009E6E0000}"/>
    <cellStyle name="Normal 3 6 2 2 3 2 3 3" xfId="22259" xr:uid="{00000000-0005-0000-0000-00009F6E0000}"/>
    <cellStyle name="Normal 3 6 2 2 3 2 3 3 2" xfId="54130" xr:uid="{00000000-0005-0000-0000-0000A06E0000}"/>
    <cellStyle name="Normal 3 6 2 2 3 2 3 4" xfId="39226" xr:uid="{00000000-0005-0000-0000-0000A16E0000}"/>
    <cellStyle name="Normal 3 6 2 2 3 2 4" xfId="7349" xr:uid="{00000000-0005-0000-0000-0000A26E0000}"/>
    <cellStyle name="Normal 3 6 2 2 3 2 4 2" xfId="26198" xr:uid="{00000000-0005-0000-0000-0000A36E0000}"/>
    <cellStyle name="Normal 3 6 2 2 3 2 4 2 2" xfId="58069" xr:uid="{00000000-0005-0000-0000-0000A46E0000}"/>
    <cellStyle name="Normal 3 6 2 2 3 2 4 3" xfId="39228" xr:uid="{00000000-0005-0000-0000-0000A56E0000}"/>
    <cellStyle name="Normal 3 6 2 2 3 2 5" xfId="18320" xr:uid="{00000000-0005-0000-0000-0000A66E0000}"/>
    <cellStyle name="Normal 3 6 2 2 3 2 5 2" xfId="50191" xr:uid="{00000000-0005-0000-0000-0000A76E0000}"/>
    <cellStyle name="Normal 3 6 2 2 3 2 6" xfId="39221" xr:uid="{00000000-0005-0000-0000-0000A86E0000}"/>
    <cellStyle name="Normal 3 6 2 2 3 3" xfId="7350" xr:uid="{00000000-0005-0000-0000-0000A96E0000}"/>
    <cellStyle name="Normal 3 6 2 2 3 3 2" xfId="7351" xr:uid="{00000000-0005-0000-0000-0000AA6E0000}"/>
    <cellStyle name="Normal 3 6 2 2 3 3 2 2" xfId="7352" xr:uid="{00000000-0005-0000-0000-0000AB6E0000}"/>
    <cellStyle name="Normal 3 6 2 2 3 3 2 2 2" xfId="30139" xr:uid="{00000000-0005-0000-0000-0000AC6E0000}"/>
    <cellStyle name="Normal 3 6 2 2 3 3 2 2 2 2" xfId="62010" xr:uid="{00000000-0005-0000-0000-0000AD6E0000}"/>
    <cellStyle name="Normal 3 6 2 2 3 3 2 2 3" xfId="39231" xr:uid="{00000000-0005-0000-0000-0000AE6E0000}"/>
    <cellStyle name="Normal 3 6 2 2 3 3 2 3" xfId="22261" xr:uid="{00000000-0005-0000-0000-0000AF6E0000}"/>
    <cellStyle name="Normal 3 6 2 2 3 3 2 3 2" xfId="54132" xr:uid="{00000000-0005-0000-0000-0000B06E0000}"/>
    <cellStyle name="Normal 3 6 2 2 3 3 2 4" xfId="39230" xr:uid="{00000000-0005-0000-0000-0000B16E0000}"/>
    <cellStyle name="Normal 3 6 2 2 3 3 3" xfId="7353" xr:uid="{00000000-0005-0000-0000-0000B26E0000}"/>
    <cellStyle name="Normal 3 6 2 2 3 3 3 2" xfId="26200" xr:uid="{00000000-0005-0000-0000-0000B36E0000}"/>
    <cellStyle name="Normal 3 6 2 2 3 3 3 2 2" xfId="58071" xr:uid="{00000000-0005-0000-0000-0000B46E0000}"/>
    <cellStyle name="Normal 3 6 2 2 3 3 3 3" xfId="39232" xr:uid="{00000000-0005-0000-0000-0000B56E0000}"/>
    <cellStyle name="Normal 3 6 2 2 3 3 4" xfId="18322" xr:uid="{00000000-0005-0000-0000-0000B66E0000}"/>
    <cellStyle name="Normal 3 6 2 2 3 3 4 2" xfId="50193" xr:uid="{00000000-0005-0000-0000-0000B76E0000}"/>
    <cellStyle name="Normal 3 6 2 2 3 3 5" xfId="39229" xr:uid="{00000000-0005-0000-0000-0000B86E0000}"/>
    <cellStyle name="Normal 3 6 2 2 3 4" xfId="7354" xr:uid="{00000000-0005-0000-0000-0000B96E0000}"/>
    <cellStyle name="Normal 3 6 2 2 3 4 2" xfId="7355" xr:uid="{00000000-0005-0000-0000-0000BA6E0000}"/>
    <cellStyle name="Normal 3 6 2 2 3 4 2 2" xfId="30136" xr:uid="{00000000-0005-0000-0000-0000BB6E0000}"/>
    <cellStyle name="Normal 3 6 2 2 3 4 2 2 2" xfId="62007" xr:uid="{00000000-0005-0000-0000-0000BC6E0000}"/>
    <cellStyle name="Normal 3 6 2 2 3 4 2 3" xfId="39234" xr:uid="{00000000-0005-0000-0000-0000BD6E0000}"/>
    <cellStyle name="Normal 3 6 2 2 3 4 3" xfId="22258" xr:uid="{00000000-0005-0000-0000-0000BE6E0000}"/>
    <cellStyle name="Normal 3 6 2 2 3 4 3 2" xfId="54129" xr:uid="{00000000-0005-0000-0000-0000BF6E0000}"/>
    <cellStyle name="Normal 3 6 2 2 3 4 4" xfId="39233" xr:uid="{00000000-0005-0000-0000-0000C06E0000}"/>
    <cellStyle name="Normal 3 6 2 2 3 5" xfId="7356" xr:uid="{00000000-0005-0000-0000-0000C16E0000}"/>
    <cellStyle name="Normal 3 6 2 2 3 5 2" xfId="26197" xr:uid="{00000000-0005-0000-0000-0000C26E0000}"/>
    <cellStyle name="Normal 3 6 2 2 3 5 2 2" xfId="58068" xr:uid="{00000000-0005-0000-0000-0000C36E0000}"/>
    <cellStyle name="Normal 3 6 2 2 3 5 3" xfId="39235" xr:uid="{00000000-0005-0000-0000-0000C46E0000}"/>
    <cellStyle name="Normal 3 6 2 2 3 6" xfId="18319" xr:uid="{00000000-0005-0000-0000-0000C56E0000}"/>
    <cellStyle name="Normal 3 6 2 2 3 6 2" xfId="50190" xr:uid="{00000000-0005-0000-0000-0000C66E0000}"/>
    <cellStyle name="Normal 3 6 2 2 3 7" xfId="39220" xr:uid="{00000000-0005-0000-0000-0000C76E0000}"/>
    <cellStyle name="Normal 3 6 2 2 4" xfId="7357" xr:uid="{00000000-0005-0000-0000-0000C86E0000}"/>
    <cellStyle name="Normal 3 6 2 2 4 2" xfId="7358" xr:uid="{00000000-0005-0000-0000-0000C96E0000}"/>
    <cellStyle name="Normal 3 6 2 2 4 2 2" xfId="7359" xr:uid="{00000000-0005-0000-0000-0000CA6E0000}"/>
    <cellStyle name="Normal 3 6 2 2 4 2 2 2" xfId="7360" xr:uid="{00000000-0005-0000-0000-0000CB6E0000}"/>
    <cellStyle name="Normal 3 6 2 2 4 2 2 2 2" xfId="30141" xr:uid="{00000000-0005-0000-0000-0000CC6E0000}"/>
    <cellStyle name="Normal 3 6 2 2 4 2 2 2 2 2" xfId="62012" xr:uid="{00000000-0005-0000-0000-0000CD6E0000}"/>
    <cellStyle name="Normal 3 6 2 2 4 2 2 2 3" xfId="39239" xr:uid="{00000000-0005-0000-0000-0000CE6E0000}"/>
    <cellStyle name="Normal 3 6 2 2 4 2 2 3" xfId="22263" xr:uid="{00000000-0005-0000-0000-0000CF6E0000}"/>
    <cellStyle name="Normal 3 6 2 2 4 2 2 3 2" xfId="54134" xr:uid="{00000000-0005-0000-0000-0000D06E0000}"/>
    <cellStyle name="Normal 3 6 2 2 4 2 2 4" xfId="39238" xr:uid="{00000000-0005-0000-0000-0000D16E0000}"/>
    <cellStyle name="Normal 3 6 2 2 4 2 3" xfId="7361" xr:uid="{00000000-0005-0000-0000-0000D26E0000}"/>
    <cellStyle name="Normal 3 6 2 2 4 2 3 2" xfId="26202" xr:uid="{00000000-0005-0000-0000-0000D36E0000}"/>
    <cellStyle name="Normal 3 6 2 2 4 2 3 2 2" xfId="58073" xr:uid="{00000000-0005-0000-0000-0000D46E0000}"/>
    <cellStyle name="Normal 3 6 2 2 4 2 3 3" xfId="39240" xr:uid="{00000000-0005-0000-0000-0000D56E0000}"/>
    <cellStyle name="Normal 3 6 2 2 4 2 4" xfId="18324" xr:uid="{00000000-0005-0000-0000-0000D66E0000}"/>
    <cellStyle name="Normal 3 6 2 2 4 2 4 2" xfId="50195" xr:uid="{00000000-0005-0000-0000-0000D76E0000}"/>
    <cellStyle name="Normal 3 6 2 2 4 2 5" xfId="39237" xr:uid="{00000000-0005-0000-0000-0000D86E0000}"/>
    <cellStyle name="Normal 3 6 2 2 4 3" xfId="7362" xr:uid="{00000000-0005-0000-0000-0000D96E0000}"/>
    <cellStyle name="Normal 3 6 2 2 4 3 2" xfId="7363" xr:uid="{00000000-0005-0000-0000-0000DA6E0000}"/>
    <cellStyle name="Normal 3 6 2 2 4 3 2 2" xfId="30140" xr:uid="{00000000-0005-0000-0000-0000DB6E0000}"/>
    <cellStyle name="Normal 3 6 2 2 4 3 2 2 2" xfId="62011" xr:uid="{00000000-0005-0000-0000-0000DC6E0000}"/>
    <cellStyle name="Normal 3 6 2 2 4 3 2 3" xfId="39242" xr:uid="{00000000-0005-0000-0000-0000DD6E0000}"/>
    <cellStyle name="Normal 3 6 2 2 4 3 3" xfId="22262" xr:uid="{00000000-0005-0000-0000-0000DE6E0000}"/>
    <cellStyle name="Normal 3 6 2 2 4 3 3 2" xfId="54133" xr:uid="{00000000-0005-0000-0000-0000DF6E0000}"/>
    <cellStyle name="Normal 3 6 2 2 4 3 4" xfId="39241" xr:uid="{00000000-0005-0000-0000-0000E06E0000}"/>
    <cellStyle name="Normal 3 6 2 2 4 4" xfId="7364" xr:uid="{00000000-0005-0000-0000-0000E16E0000}"/>
    <cellStyle name="Normal 3 6 2 2 4 4 2" xfId="26201" xr:uid="{00000000-0005-0000-0000-0000E26E0000}"/>
    <cellStyle name="Normal 3 6 2 2 4 4 2 2" xfId="58072" xr:uid="{00000000-0005-0000-0000-0000E36E0000}"/>
    <cellStyle name="Normal 3 6 2 2 4 4 3" xfId="39243" xr:uid="{00000000-0005-0000-0000-0000E46E0000}"/>
    <cellStyle name="Normal 3 6 2 2 4 5" xfId="18323" xr:uid="{00000000-0005-0000-0000-0000E56E0000}"/>
    <cellStyle name="Normal 3 6 2 2 4 5 2" xfId="50194" xr:uid="{00000000-0005-0000-0000-0000E66E0000}"/>
    <cellStyle name="Normal 3 6 2 2 4 6" xfId="39236" xr:uid="{00000000-0005-0000-0000-0000E76E0000}"/>
    <cellStyle name="Normal 3 6 2 2 5" xfId="7365" xr:uid="{00000000-0005-0000-0000-0000E86E0000}"/>
    <cellStyle name="Normal 3 6 2 2 5 2" xfId="7366" xr:uid="{00000000-0005-0000-0000-0000E96E0000}"/>
    <cellStyle name="Normal 3 6 2 2 5 2 2" xfId="7367" xr:uid="{00000000-0005-0000-0000-0000EA6E0000}"/>
    <cellStyle name="Normal 3 6 2 2 5 2 2 2" xfId="30142" xr:uid="{00000000-0005-0000-0000-0000EB6E0000}"/>
    <cellStyle name="Normal 3 6 2 2 5 2 2 2 2" xfId="62013" xr:uid="{00000000-0005-0000-0000-0000EC6E0000}"/>
    <cellStyle name="Normal 3 6 2 2 5 2 2 3" xfId="39246" xr:uid="{00000000-0005-0000-0000-0000ED6E0000}"/>
    <cellStyle name="Normal 3 6 2 2 5 2 3" xfId="22264" xr:uid="{00000000-0005-0000-0000-0000EE6E0000}"/>
    <cellStyle name="Normal 3 6 2 2 5 2 3 2" xfId="54135" xr:uid="{00000000-0005-0000-0000-0000EF6E0000}"/>
    <cellStyle name="Normal 3 6 2 2 5 2 4" xfId="39245" xr:uid="{00000000-0005-0000-0000-0000F06E0000}"/>
    <cellStyle name="Normal 3 6 2 2 5 3" xfId="7368" xr:uid="{00000000-0005-0000-0000-0000F16E0000}"/>
    <cellStyle name="Normal 3 6 2 2 5 3 2" xfId="26203" xr:uid="{00000000-0005-0000-0000-0000F26E0000}"/>
    <cellStyle name="Normal 3 6 2 2 5 3 2 2" xfId="58074" xr:uid="{00000000-0005-0000-0000-0000F36E0000}"/>
    <cellStyle name="Normal 3 6 2 2 5 3 3" xfId="39247" xr:uid="{00000000-0005-0000-0000-0000F46E0000}"/>
    <cellStyle name="Normal 3 6 2 2 5 4" xfId="18325" xr:uid="{00000000-0005-0000-0000-0000F56E0000}"/>
    <cellStyle name="Normal 3 6 2 2 5 4 2" xfId="50196" xr:uid="{00000000-0005-0000-0000-0000F66E0000}"/>
    <cellStyle name="Normal 3 6 2 2 5 5" xfId="39244" xr:uid="{00000000-0005-0000-0000-0000F76E0000}"/>
    <cellStyle name="Normal 3 6 2 2 6" xfId="7369" xr:uid="{00000000-0005-0000-0000-0000F86E0000}"/>
    <cellStyle name="Normal 3 6 2 2 6 2" xfId="7370" xr:uid="{00000000-0005-0000-0000-0000F96E0000}"/>
    <cellStyle name="Normal 3 6 2 2 6 2 2" xfId="28439" xr:uid="{00000000-0005-0000-0000-0000FA6E0000}"/>
    <cellStyle name="Normal 3 6 2 2 6 2 2 2" xfId="60310" xr:uid="{00000000-0005-0000-0000-0000FB6E0000}"/>
    <cellStyle name="Normal 3 6 2 2 6 2 3" xfId="39249" xr:uid="{00000000-0005-0000-0000-0000FC6E0000}"/>
    <cellStyle name="Normal 3 6 2 2 6 3" xfId="20561" xr:uid="{00000000-0005-0000-0000-0000FD6E0000}"/>
    <cellStyle name="Normal 3 6 2 2 6 3 2" xfId="52432" xr:uid="{00000000-0005-0000-0000-0000FE6E0000}"/>
    <cellStyle name="Normal 3 6 2 2 6 4" xfId="39248" xr:uid="{00000000-0005-0000-0000-0000FF6E0000}"/>
    <cellStyle name="Normal 3 6 2 2 7" xfId="7371" xr:uid="{00000000-0005-0000-0000-0000006F0000}"/>
    <cellStyle name="Normal 3 6 2 2 7 2" xfId="24500" xr:uid="{00000000-0005-0000-0000-0000016F0000}"/>
    <cellStyle name="Normal 3 6 2 2 7 2 2" xfId="56371" xr:uid="{00000000-0005-0000-0000-0000026F0000}"/>
    <cellStyle name="Normal 3 6 2 2 7 3" xfId="39250" xr:uid="{00000000-0005-0000-0000-0000036F0000}"/>
    <cellStyle name="Normal 3 6 2 2 8" xfId="16622" xr:uid="{00000000-0005-0000-0000-0000046F0000}"/>
    <cellStyle name="Normal 3 6 2 2 8 2" xfId="48493" xr:uid="{00000000-0005-0000-0000-0000056F0000}"/>
    <cellStyle name="Normal 3 6 2 2 9" xfId="39187" xr:uid="{00000000-0005-0000-0000-0000066F0000}"/>
    <cellStyle name="Normal 3 6 2 3" xfId="7372" xr:uid="{00000000-0005-0000-0000-0000076F0000}"/>
    <cellStyle name="Normal 3 6 2 3 2" xfId="7373" xr:uid="{00000000-0005-0000-0000-0000086F0000}"/>
    <cellStyle name="Normal 3 6 2 3 2 2" xfId="7374" xr:uid="{00000000-0005-0000-0000-0000096F0000}"/>
    <cellStyle name="Normal 3 6 2 3 2 2 2" xfId="7375" xr:uid="{00000000-0005-0000-0000-00000A6F0000}"/>
    <cellStyle name="Normal 3 6 2 3 2 2 2 2" xfId="7376" xr:uid="{00000000-0005-0000-0000-00000B6F0000}"/>
    <cellStyle name="Normal 3 6 2 3 2 2 2 2 2" xfId="7377" xr:uid="{00000000-0005-0000-0000-00000C6F0000}"/>
    <cellStyle name="Normal 3 6 2 3 2 2 2 2 2 2" xfId="30146" xr:uid="{00000000-0005-0000-0000-00000D6F0000}"/>
    <cellStyle name="Normal 3 6 2 3 2 2 2 2 2 2 2" xfId="62017" xr:uid="{00000000-0005-0000-0000-00000E6F0000}"/>
    <cellStyle name="Normal 3 6 2 3 2 2 2 2 2 3" xfId="39256" xr:uid="{00000000-0005-0000-0000-00000F6F0000}"/>
    <cellStyle name="Normal 3 6 2 3 2 2 2 2 3" xfId="22268" xr:uid="{00000000-0005-0000-0000-0000106F0000}"/>
    <cellStyle name="Normal 3 6 2 3 2 2 2 2 3 2" xfId="54139" xr:uid="{00000000-0005-0000-0000-0000116F0000}"/>
    <cellStyle name="Normal 3 6 2 3 2 2 2 2 4" xfId="39255" xr:uid="{00000000-0005-0000-0000-0000126F0000}"/>
    <cellStyle name="Normal 3 6 2 3 2 2 2 3" xfId="7378" xr:uid="{00000000-0005-0000-0000-0000136F0000}"/>
    <cellStyle name="Normal 3 6 2 3 2 2 2 3 2" xfId="26207" xr:uid="{00000000-0005-0000-0000-0000146F0000}"/>
    <cellStyle name="Normal 3 6 2 3 2 2 2 3 2 2" xfId="58078" xr:uid="{00000000-0005-0000-0000-0000156F0000}"/>
    <cellStyle name="Normal 3 6 2 3 2 2 2 3 3" xfId="39257" xr:uid="{00000000-0005-0000-0000-0000166F0000}"/>
    <cellStyle name="Normal 3 6 2 3 2 2 2 4" xfId="18329" xr:uid="{00000000-0005-0000-0000-0000176F0000}"/>
    <cellStyle name="Normal 3 6 2 3 2 2 2 4 2" xfId="50200" xr:uid="{00000000-0005-0000-0000-0000186F0000}"/>
    <cellStyle name="Normal 3 6 2 3 2 2 2 5" xfId="39254" xr:uid="{00000000-0005-0000-0000-0000196F0000}"/>
    <cellStyle name="Normal 3 6 2 3 2 2 3" xfId="7379" xr:uid="{00000000-0005-0000-0000-00001A6F0000}"/>
    <cellStyle name="Normal 3 6 2 3 2 2 3 2" xfId="7380" xr:uid="{00000000-0005-0000-0000-00001B6F0000}"/>
    <cellStyle name="Normal 3 6 2 3 2 2 3 2 2" xfId="30145" xr:uid="{00000000-0005-0000-0000-00001C6F0000}"/>
    <cellStyle name="Normal 3 6 2 3 2 2 3 2 2 2" xfId="62016" xr:uid="{00000000-0005-0000-0000-00001D6F0000}"/>
    <cellStyle name="Normal 3 6 2 3 2 2 3 2 3" xfId="39259" xr:uid="{00000000-0005-0000-0000-00001E6F0000}"/>
    <cellStyle name="Normal 3 6 2 3 2 2 3 3" xfId="22267" xr:uid="{00000000-0005-0000-0000-00001F6F0000}"/>
    <cellStyle name="Normal 3 6 2 3 2 2 3 3 2" xfId="54138" xr:uid="{00000000-0005-0000-0000-0000206F0000}"/>
    <cellStyle name="Normal 3 6 2 3 2 2 3 4" xfId="39258" xr:uid="{00000000-0005-0000-0000-0000216F0000}"/>
    <cellStyle name="Normal 3 6 2 3 2 2 4" xfId="7381" xr:uid="{00000000-0005-0000-0000-0000226F0000}"/>
    <cellStyle name="Normal 3 6 2 3 2 2 4 2" xfId="26206" xr:uid="{00000000-0005-0000-0000-0000236F0000}"/>
    <cellStyle name="Normal 3 6 2 3 2 2 4 2 2" xfId="58077" xr:uid="{00000000-0005-0000-0000-0000246F0000}"/>
    <cellStyle name="Normal 3 6 2 3 2 2 4 3" xfId="39260" xr:uid="{00000000-0005-0000-0000-0000256F0000}"/>
    <cellStyle name="Normal 3 6 2 3 2 2 5" xfId="18328" xr:uid="{00000000-0005-0000-0000-0000266F0000}"/>
    <cellStyle name="Normal 3 6 2 3 2 2 5 2" xfId="50199" xr:uid="{00000000-0005-0000-0000-0000276F0000}"/>
    <cellStyle name="Normal 3 6 2 3 2 2 6" xfId="39253" xr:uid="{00000000-0005-0000-0000-0000286F0000}"/>
    <cellStyle name="Normal 3 6 2 3 2 3" xfId="7382" xr:uid="{00000000-0005-0000-0000-0000296F0000}"/>
    <cellStyle name="Normal 3 6 2 3 2 3 2" xfId="7383" xr:uid="{00000000-0005-0000-0000-00002A6F0000}"/>
    <cellStyle name="Normal 3 6 2 3 2 3 2 2" xfId="7384" xr:uid="{00000000-0005-0000-0000-00002B6F0000}"/>
    <cellStyle name="Normal 3 6 2 3 2 3 2 2 2" xfId="30147" xr:uid="{00000000-0005-0000-0000-00002C6F0000}"/>
    <cellStyle name="Normal 3 6 2 3 2 3 2 2 2 2" xfId="62018" xr:uid="{00000000-0005-0000-0000-00002D6F0000}"/>
    <cellStyle name="Normal 3 6 2 3 2 3 2 2 3" xfId="39263" xr:uid="{00000000-0005-0000-0000-00002E6F0000}"/>
    <cellStyle name="Normal 3 6 2 3 2 3 2 3" xfId="22269" xr:uid="{00000000-0005-0000-0000-00002F6F0000}"/>
    <cellStyle name="Normal 3 6 2 3 2 3 2 3 2" xfId="54140" xr:uid="{00000000-0005-0000-0000-0000306F0000}"/>
    <cellStyle name="Normal 3 6 2 3 2 3 2 4" xfId="39262" xr:uid="{00000000-0005-0000-0000-0000316F0000}"/>
    <cellStyle name="Normal 3 6 2 3 2 3 3" xfId="7385" xr:uid="{00000000-0005-0000-0000-0000326F0000}"/>
    <cellStyle name="Normal 3 6 2 3 2 3 3 2" xfId="26208" xr:uid="{00000000-0005-0000-0000-0000336F0000}"/>
    <cellStyle name="Normal 3 6 2 3 2 3 3 2 2" xfId="58079" xr:uid="{00000000-0005-0000-0000-0000346F0000}"/>
    <cellStyle name="Normal 3 6 2 3 2 3 3 3" xfId="39264" xr:uid="{00000000-0005-0000-0000-0000356F0000}"/>
    <cellStyle name="Normal 3 6 2 3 2 3 4" xfId="18330" xr:uid="{00000000-0005-0000-0000-0000366F0000}"/>
    <cellStyle name="Normal 3 6 2 3 2 3 4 2" xfId="50201" xr:uid="{00000000-0005-0000-0000-0000376F0000}"/>
    <cellStyle name="Normal 3 6 2 3 2 3 5" xfId="39261" xr:uid="{00000000-0005-0000-0000-0000386F0000}"/>
    <cellStyle name="Normal 3 6 2 3 2 4" xfId="7386" xr:uid="{00000000-0005-0000-0000-0000396F0000}"/>
    <cellStyle name="Normal 3 6 2 3 2 4 2" xfId="7387" xr:uid="{00000000-0005-0000-0000-00003A6F0000}"/>
    <cellStyle name="Normal 3 6 2 3 2 4 2 2" xfId="30144" xr:uid="{00000000-0005-0000-0000-00003B6F0000}"/>
    <cellStyle name="Normal 3 6 2 3 2 4 2 2 2" xfId="62015" xr:uid="{00000000-0005-0000-0000-00003C6F0000}"/>
    <cellStyle name="Normal 3 6 2 3 2 4 2 3" xfId="39266" xr:uid="{00000000-0005-0000-0000-00003D6F0000}"/>
    <cellStyle name="Normal 3 6 2 3 2 4 3" xfId="22266" xr:uid="{00000000-0005-0000-0000-00003E6F0000}"/>
    <cellStyle name="Normal 3 6 2 3 2 4 3 2" xfId="54137" xr:uid="{00000000-0005-0000-0000-00003F6F0000}"/>
    <cellStyle name="Normal 3 6 2 3 2 4 4" xfId="39265" xr:uid="{00000000-0005-0000-0000-0000406F0000}"/>
    <cellStyle name="Normal 3 6 2 3 2 5" xfId="7388" xr:uid="{00000000-0005-0000-0000-0000416F0000}"/>
    <cellStyle name="Normal 3 6 2 3 2 5 2" xfId="26205" xr:uid="{00000000-0005-0000-0000-0000426F0000}"/>
    <cellStyle name="Normal 3 6 2 3 2 5 2 2" xfId="58076" xr:uid="{00000000-0005-0000-0000-0000436F0000}"/>
    <cellStyle name="Normal 3 6 2 3 2 5 3" xfId="39267" xr:uid="{00000000-0005-0000-0000-0000446F0000}"/>
    <cellStyle name="Normal 3 6 2 3 2 6" xfId="18327" xr:uid="{00000000-0005-0000-0000-0000456F0000}"/>
    <cellStyle name="Normal 3 6 2 3 2 6 2" xfId="50198" xr:uid="{00000000-0005-0000-0000-0000466F0000}"/>
    <cellStyle name="Normal 3 6 2 3 2 7" xfId="39252" xr:uid="{00000000-0005-0000-0000-0000476F0000}"/>
    <cellStyle name="Normal 3 6 2 3 3" xfId="7389" xr:uid="{00000000-0005-0000-0000-0000486F0000}"/>
    <cellStyle name="Normal 3 6 2 3 3 2" xfId="7390" xr:uid="{00000000-0005-0000-0000-0000496F0000}"/>
    <cellStyle name="Normal 3 6 2 3 3 2 2" xfId="7391" xr:uid="{00000000-0005-0000-0000-00004A6F0000}"/>
    <cellStyle name="Normal 3 6 2 3 3 2 2 2" xfId="7392" xr:uid="{00000000-0005-0000-0000-00004B6F0000}"/>
    <cellStyle name="Normal 3 6 2 3 3 2 2 2 2" xfId="30149" xr:uid="{00000000-0005-0000-0000-00004C6F0000}"/>
    <cellStyle name="Normal 3 6 2 3 3 2 2 2 2 2" xfId="62020" xr:uid="{00000000-0005-0000-0000-00004D6F0000}"/>
    <cellStyle name="Normal 3 6 2 3 3 2 2 2 3" xfId="39271" xr:uid="{00000000-0005-0000-0000-00004E6F0000}"/>
    <cellStyle name="Normal 3 6 2 3 3 2 2 3" xfId="22271" xr:uid="{00000000-0005-0000-0000-00004F6F0000}"/>
    <cellStyle name="Normal 3 6 2 3 3 2 2 3 2" xfId="54142" xr:uid="{00000000-0005-0000-0000-0000506F0000}"/>
    <cellStyle name="Normal 3 6 2 3 3 2 2 4" xfId="39270" xr:uid="{00000000-0005-0000-0000-0000516F0000}"/>
    <cellStyle name="Normal 3 6 2 3 3 2 3" xfId="7393" xr:uid="{00000000-0005-0000-0000-0000526F0000}"/>
    <cellStyle name="Normal 3 6 2 3 3 2 3 2" xfId="26210" xr:uid="{00000000-0005-0000-0000-0000536F0000}"/>
    <cellStyle name="Normal 3 6 2 3 3 2 3 2 2" xfId="58081" xr:uid="{00000000-0005-0000-0000-0000546F0000}"/>
    <cellStyle name="Normal 3 6 2 3 3 2 3 3" xfId="39272" xr:uid="{00000000-0005-0000-0000-0000556F0000}"/>
    <cellStyle name="Normal 3 6 2 3 3 2 4" xfId="18332" xr:uid="{00000000-0005-0000-0000-0000566F0000}"/>
    <cellStyle name="Normal 3 6 2 3 3 2 4 2" xfId="50203" xr:uid="{00000000-0005-0000-0000-0000576F0000}"/>
    <cellStyle name="Normal 3 6 2 3 3 2 5" xfId="39269" xr:uid="{00000000-0005-0000-0000-0000586F0000}"/>
    <cellStyle name="Normal 3 6 2 3 3 3" xfId="7394" xr:uid="{00000000-0005-0000-0000-0000596F0000}"/>
    <cellStyle name="Normal 3 6 2 3 3 3 2" xfId="7395" xr:uid="{00000000-0005-0000-0000-00005A6F0000}"/>
    <cellStyle name="Normal 3 6 2 3 3 3 2 2" xfId="30148" xr:uid="{00000000-0005-0000-0000-00005B6F0000}"/>
    <cellStyle name="Normal 3 6 2 3 3 3 2 2 2" xfId="62019" xr:uid="{00000000-0005-0000-0000-00005C6F0000}"/>
    <cellStyle name="Normal 3 6 2 3 3 3 2 3" xfId="39274" xr:uid="{00000000-0005-0000-0000-00005D6F0000}"/>
    <cellStyle name="Normal 3 6 2 3 3 3 3" xfId="22270" xr:uid="{00000000-0005-0000-0000-00005E6F0000}"/>
    <cellStyle name="Normal 3 6 2 3 3 3 3 2" xfId="54141" xr:uid="{00000000-0005-0000-0000-00005F6F0000}"/>
    <cellStyle name="Normal 3 6 2 3 3 3 4" xfId="39273" xr:uid="{00000000-0005-0000-0000-0000606F0000}"/>
    <cellStyle name="Normal 3 6 2 3 3 4" xfId="7396" xr:uid="{00000000-0005-0000-0000-0000616F0000}"/>
    <cellStyle name="Normal 3 6 2 3 3 4 2" xfId="26209" xr:uid="{00000000-0005-0000-0000-0000626F0000}"/>
    <cellStyle name="Normal 3 6 2 3 3 4 2 2" xfId="58080" xr:uid="{00000000-0005-0000-0000-0000636F0000}"/>
    <cellStyle name="Normal 3 6 2 3 3 4 3" xfId="39275" xr:uid="{00000000-0005-0000-0000-0000646F0000}"/>
    <cellStyle name="Normal 3 6 2 3 3 5" xfId="18331" xr:uid="{00000000-0005-0000-0000-0000656F0000}"/>
    <cellStyle name="Normal 3 6 2 3 3 5 2" xfId="50202" xr:uid="{00000000-0005-0000-0000-0000666F0000}"/>
    <cellStyle name="Normal 3 6 2 3 3 6" xfId="39268" xr:uid="{00000000-0005-0000-0000-0000676F0000}"/>
    <cellStyle name="Normal 3 6 2 3 4" xfId="7397" xr:uid="{00000000-0005-0000-0000-0000686F0000}"/>
    <cellStyle name="Normal 3 6 2 3 4 2" xfId="7398" xr:uid="{00000000-0005-0000-0000-0000696F0000}"/>
    <cellStyle name="Normal 3 6 2 3 4 2 2" xfId="7399" xr:uid="{00000000-0005-0000-0000-00006A6F0000}"/>
    <cellStyle name="Normal 3 6 2 3 4 2 2 2" xfId="30150" xr:uid="{00000000-0005-0000-0000-00006B6F0000}"/>
    <cellStyle name="Normal 3 6 2 3 4 2 2 2 2" xfId="62021" xr:uid="{00000000-0005-0000-0000-00006C6F0000}"/>
    <cellStyle name="Normal 3 6 2 3 4 2 2 3" xfId="39278" xr:uid="{00000000-0005-0000-0000-00006D6F0000}"/>
    <cellStyle name="Normal 3 6 2 3 4 2 3" xfId="22272" xr:uid="{00000000-0005-0000-0000-00006E6F0000}"/>
    <cellStyle name="Normal 3 6 2 3 4 2 3 2" xfId="54143" xr:uid="{00000000-0005-0000-0000-00006F6F0000}"/>
    <cellStyle name="Normal 3 6 2 3 4 2 4" xfId="39277" xr:uid="{00000000-0005-0000-0000-0000706F0000}"/>
    <cellStyle name="Normal 3 6 2 3 4 3" xfId="7400" xr:uid="{00000000-0005-0000-0000-0000716F0000}"/>
    <cellStyle name="Normal 3 6 2 3 4 3 2" xfId="26211" xr:uid="{00000000-0005-0000-0000-0000726F0000}"/>
    <cellStyle name="Normal 3 6 2 3 4 3 2 2" xfId="58082" xr:uid="{00000000-0005-0000-0000-0000736F0000}"/>
    <cellStyle name="Normal 3 6 2 3 4 3 3" xfId="39279" xr:uid="{00000000-0005-0000-0000-0000746F0000}"/>
    <cellStyle name="Normal 3 6 2 3 4 4" xfId="18333" xr:uid="{00000000-0005-0000-0000-0000756F0000}"/>
    <cellStyle name="Normal 3 6 2 3 4 4 2" xfId="50204" xr:uid="{00000000-0005-0000-0000-0000766F0000}"/>
    <cellStyle name="Normal 3 6 2 3 4 5" xfId="39276" xr:uid="{00000000-0005-0000-0000-0000776F0000}"/>
    <cellStyle name="Normal 3 6 2 3 5" xfId="7401" xr:uid="{00000000-0005-0000-0000-0000786F0000}"/>
    <cellStyle name="Normal 3 6 2 3 5 2" xfId="7402" xr:uid="{00000000-0005-0000-0000-0000796F0000}"/>
    <cellStyle name="Normal 3 6 2 3 5 2 2" xfId="30143" xr:uid="{00000000-0005-0000-0000-00007A6F0000}"/>
    <cellStyle name="Normal 3 6 2 3 5 2 2 2" xfId="62014" xr:uid="{00000000-0005-0000-0000-00007B6F0000}"/>
    <cellStyle name="Normal 3 6 2 3 5 2 3" xfId="39281" xr:uid="{00000000-0005-0000-0000-00007C6F0000}"/>
    <cellStyle name="Normal 3 6 2 3 5 3" xfId="22265" xr:uid="{00000000-0005-0000-0000-00007D6F0000}"/>
    <cellStyle name="Normal 3 6 2 3 5 3 2" xfId="54136" xr:uid="{00000000-0005-0000-0000-00007E6F0000}"/>
    <cellStyle name="Normal 3 6 2 3 5 4" xfId="39280" xr:uid="{00000000-0005-0000-0000-00007F6F0000}"/>
    <cellStyle name="Normal 3 6 2 3 6" xfId="7403" xr:uid="{00000000-0005-0000-0000-0000806F0000}"/>
    <cellStyle name="Normal 3 6 2 3 6 2" xfId="26204" xr:uid="{00000000-0005-0000-0000-0000816F0000}"/>
    <cellStyle name="Normal 3 6 2 3 6 2 2" xfId="58075" xr:uid="{00000000-0005-0000-0000-0000826F0000}"/>
    <cellStyle name="Normal 3 6 2 3 6 3" xfId="39282" xr:uid="{00000000-0005-0000-0000-0000836F0000}"/>
    <cellStyle name="Normal 3 6 2 3 7" xfId="18326" xr:uid="{00000000-0005-0000-0000-0000846F0000}"/>
    <cellStyle name="Normal 3 6 2 3 7 2" xfId="50197" xr:uid="{00000000-0005-0000-0000-0000856F0000}"/>
    <cellStyle name="Normal 3 6 2 3 8" xfId="39251" xr:uid="{00000000-0005-0000-0000-0000866F0000}"/>
    <cellStyle name="Normal 3 6 2 4" xfId="7404" xr:uid="{00000000-0005-0000-0000-0000876F0000}"/>
    <cellStyle name="Normal 3 6 2 4 2" xfId="7405" xr:uid="{00000000-0005-0000-0000-0000886F0000}"/>
    <cellStyle name="Normal 3 6 2 4 2 2" xfId="7406" xr:uid="{00000000-0005-0000-0000-0000896F0000}"/>
    <cellStyle name="Normal 3 6 2 4 2 2 2" xfId="7407" xr:uid="{00000000-0005-0000-0000-00008A6F0000}"/>
    <cellStyle name="Normal 3 6 2 4 2 2 2 2" xfId="7408" xr:uid="{00000000-0005-0000-0000-00008B6F0000}"/>
    <cellStyle name="Normal 3 6 2 4 2 2 2 2 2" xfId="30153" xr:uid="{00000000-0005-0000-0000-00008C6F0000}"/>
    <cellStyle name="Normal 3 6 2 4 2 2 2 2 2 2" xfId="62024" xr:uid="{00000000-0005-0000-0000-00008D6F0000}"/>
    <cellStyle name="Normal 3 6 2 4 2 2 2 2 3" xfId="39287" xr:uid="{00000000-0005-0000-0000-00008E6F0000}"/>
    <cellStyle name="Normal 3 6 2 4 2 2 2 3" xfId="22275" xr:uid="{00000000-0005-0000-0000-00008F6F0000}"/>
    <cellStyle name="Normal 3 6 2 4 2 2 2 3 2" xfId="54146" xr:uid="{00000000-0005-0000-0000-0000906F0000}"/>
    <cellStyle name="Normal 3 6 2 4 2 2 2 4" xfId="39286" xr:uid="{00000000-0005-0000-0000-0000916F0000}"/>
    <cellStyle name="Normal 3 6 2 4 2 2 3" xfId="7409" xr:uid="{00000000-0005-0000-0000-0000926F0000}"/>
    <cellStyle name="Normal 3 6 2 4 2 2 3 2" xfId="26214" xr:uid="{00000000-0005-0000-0000-0000936F0000}"/>
    <cellStyle name="Normal 3 6 2 4 2 2 3 2 2" xfId="58085" xr:uid="{00000000-0005-0000-0000-0000946F0000}"/>
    <cellStyle name="Normal 3 6 2 4 2 2 3 3" xfId="39288" xr:uid="{00000000-0005-0000-0000-0000956F0000}"/>
    <cellStyle name="Normal 3 6 2 4 2 2 4" xfId="18336" xr:uid="{00000000-0005-0000-0000-0000966F0000}"/>
    <cellStyle name="Normal 3 6 2 4 2 2 4 2" xfId="50207" xr:uid="{00000000-0005-0000-0000-0000976F0000}"/>
    <cellStyle name="Normal 3 6 2 4 2 2 5" xfId="39285" xr:uid="{00000000-0005-0000-0000-0000986F0000}"/>
    <cellStyle name="Normal 3 6 2 4 2 3" xfId="7410" xr:uid="{00000000-0005-0000-0000-0000996F0000}"/>
    <cellStyle name="Normal 3 6 2 4 2 3 2" xfId="7411" xr:uid="{00000000-0005-0000-0000-00009A6F0000}"/>
    <cellStyle name="Normal 3 6 2 4 2 3 2 2" xfId="30152" xr:uid="{00000000-0005-0000-0000-00009B6F0000}"/>
    <cellStyle name="Normal 3 6 2 4 2 3 2 2 2" xfId="62023" xr:uid="{00000000-0005-0000-0000-00009C6F0000}"/>
    <cellStyle name="Normal 3 6 2 4 2 3 2 3" xfId="39290" xr:uid="{00000000-0005-0000-0000-00009D6F0000}"/>
    <cellStyle name="Normal 3 6 2 4 2 3 3" xfId="22274" xr:uid="{00000000-0005-0000-0000-00009E6F0000}"/>
    <cellStyle name="Normal 3 6 2 4 2 3 3 2" xfId="54145" xr:uid="{00000000-0005-0000-0000-00009F6F0000}"/>
    <cellStyle name="Normal 3 6 2 4 2 3 4" xfId="39289" xr:uid="{00000000-0005-0000-0000-0000A06F0000}"/>
    <cellStyle name="Normal 3 6 2 4 2 4" xfId="7412" xr:uid="{00000000-0005-0000-0000-0000A16F0000}"/>
    <cellStyle name="Normal 3 6 2 4 2 4 2" xfId="26213" xr:uid="{00000000-0005-0000-0000-0000A26F0000}"/>
    <cellStyle name="Normal 3 6 2 4 2 4 2 2" xfId="58084" xr:uid="{00000000-0005-0000-0000-0000A36F0000}"/>
    <cellStyle name="Normal 3 6 2 4 2 4 3" xfId="39291" xr:uid="{00000000-0005-0000-0000-0000A46F0000}"/>
    <cellStyle name="Normal 3 6 2 4 2 5" xfId="18335" xr:uid="{00000000-0005-0000-0000-0000A56F0000}"/>
    <cellStyle name="Normal 3 6 2 4 2 5 2" xfId="50206" xr:uid="{00000000-0005-0000-0000-0000A66F0000}"/>
    <cellStyle name="Normal 3 6 2 4 2 6" xfId="39284" xr:uid="{00000000-0005-0000-0000-0000A76F0000}"/>
    <cellStyle name="Normal 3 6 2 4 3" xfId="7413" xr:uid="{00000000-0005-0000-0000-0000A86F0000}"/>
    <cellStyle name="Normal 3 6 2 4 3 2" xfId="7414" xr:uid="{00000000-0005-0000-0000-0000A96F0000}"/>
    <cellStyle name="Normal 3 6 2 4 3 2 2" xfId="7415" xr:uid="{00000000-0005-0000-0000-0000AA6F0000}"/>
    <cellStyle name="Normal 3 6 2 4 3 2 2 2" xfId="30154" xr:uid="{00000000-0005-0000-0000-0000AB6F0000}"/>
    <cellStyle name="Normal 3 6 2 4 3 2 2 2 2" xfId="62025" xr:uid="{00000000-0005-0000-0000-0000AC6F0000}"/>
    <cellStyle name="Normal 3 6 2 4 3 2 2 3" xfId="39294" xr:uid="{00000000-0005-0000-0000-0000AD6F0000}"/>
    <cellStyle name="Normal 3 6 2 4 3 2 3" xfId="22276" xr:uid="{00000000-0005-0000-0000-0000AE6F0000}"/>
    <cellStyle name="Normal 3 6 2 4 3 2 3 2" xfId="54147" xr:uid="{00000000-0005-0000-0000-0000AF6F0000}"/>
    <cellStyle name="Normal 3 6 2 4 3 2 4" xfId="39293" xr:uid="{00000000-0005-0000-0000-0000B06F0000}"/>
    <cellStyle name="Normal 3 6 2 4 3 3" xfId="7416" xr:uid="{00000000-0005-0000-0000-0000B16F0000}"/>
    <cellStyle name="Normal 3 6 2 4 3 3 2" xfId="26215" xr:uid="{00000000-0005-0000-0000-0000B26F0000}"/>
    <cellStyle name="Normal 3 6 2 4 3 3 2 2" xfId="58086" xr:uid="{00000000-0005-0000-0000-0000B36F0000}"/>
    <cellStyle name="Normal 3 6 2 4 3 3 3" xfId="39295" xr:uid="{00000000-0005-0000-0000-0000B46F0000}"/>
    <cellStyle name="Normal 3 6 2 4 3 4" xfId="18337" xr:uid="{00000000-0005-0000-0000-0000B56F0000}"/>
    <cellStyle name="Normal 3 6 2 4 3 4 2" xfId="50208" xr:uid="{00000000-0005-0000-0000-0000B66F0000}"/>
    <cellStyle name="Normal 3 6 2 4 3 5" xfId="39292" xr:uid="{00000000-0005-0000-0000-0000B76F0000}"/>
    <cellStyle name="Normal 3 6 2 4 4" xfId="7417" xr:uid="{00000000-0005-0000-0000-0000B86F0000}"/>
    <cellStyle name="Normal 3 6 2 4 4 2" xfId="7418" xr:uid="{00000000-0005-0000-0000-0000B96F0000}"/>
    <cellStyle name="Normal 3 6 2 4 4 2 2" xfId="30151" xr:uid="{00000000-0005-0000-0000-0000BA6F0000}"/>
    <cellStyle name="Normal 3 6 2 4 4 2 2 2" xfId="62022" xr:uid="{00000000-0005-0000-0000-0000BB6F0000}"/>
    <cellStyle name="Normal 3 6 2 4 4 2 3" xfId="39297" xr:uid="{00000000-0005-0000-0000-0000BC6F0000}"/>
    <cellStyle name="Normal 3 6 2 4 4 3" xfId="22273" xr:uid="{00000000-0005-0000-0000-0000BD6F0000}"/>
    <cellStyle name="Normal 3 6 2 4 4 3 2" xfId="54144" xr:uid="{00000000-0005-0000-0000-0000BE6F0000}"/>
    <cellStyle name="Normal 3 6 2 4 4 4" xfId="39296" xr:uid="{00000000-0005-0000-0000-0000BF6F0000}"/>
    <cellStyle name="Normal 3 6 2 4 5" xfId="7419" xr:uid="{00000000-0005-0000-0000-0000C06F0000}"/>
    <cellStyle name="Normal 3 6 2 4 5 2" xfId="26212" xr:uid="{00000000-0005-0000-0000-0000C16F0000}"/>
    <cellStyle name="Normal 3 6 2 4 5 2 2" xfId="58083" xr:uid="{00000000-0005-0000-0000-0000C26F0000}"/>
    <cellStyle name="Normal 3 6 2 4 5 3" xfId="39298" xr:uid="{00000000-0005-0000-0000-0000C36F0000}"/>
    <cellStyle name="Normal 3 6 2 4 6" xfId="18334" xr:uid="{00000000-0005-0000-0000-0000C46F0000}"/>
    <cellStyle name="Normal 3 6 2 4 6 2" xfId="50205" xr:uid="{00000000-0005-0000-0000-0000C56F0000}"/>
    <cellStyle name="Normal 3 6 2 4 7" xfId="39283" xr:uid="{00000000-0005-0000-0000-0000C66F0000}"/>
    <cellStyle name="Normal 3 6 2 5" xfId="7420" xr:uid="{00000000-0005-0000-0000-0000C76F0000}"/>
    <cellStyle name="Normal 3 6 2 5 2" xfId="7421" xr:uid="{00000000-0005-0000-0000-0000C86F0000}"/>
    <cellStyle name="Normal 3 6 2 5 2 2" xfId="7422" xr:uid="{00000000-0005-0000-0000-0000C96F0000}"/>
    <cellStyle name="Normal 3 6 2 5 2 2 2" xfId="7423" xr:uid="{00000000-0005-0000-0000-0000CA6F0000}"/>
    <cellStyle name="Normal 3 6 2 5 2 2 2 2" xfId="30156" xr:uid="{00000000-0005-0000-0000-0000CB6F0000}"/>
    <cellStyle name="Normal 3 6 2 5 2 2 2 2 2" xfId="62027" xr:uid="{00000000-0005-0000-0000-0000CC6F0000}"/>
    <cellStyle name="Normal 3 6 2 5 2 2 2 3" xfId="39302" xr:uid="{00000000-0005-0000-0000-0000CD6F0000}"/>
    <cellStyle name="Normal 3 6 2 5 2 2 3" xfId="22278" xr:uid="{00000000-0005-0000-0000-0000CE6F0000}"/>
    <cellStyle name="Normal 3 6 2 5 2 2 3 2" xfId="54149" xr:uid="{00000000-0005-0000-0000-0000CF6F0000}"/>
    <cellStyle name="Normal 3 6 2 5 2 2 4" xfId="39301" xr:uid="{00000000-0005-0000-0000-0000D06F0000}"/>
    <cellStyle name="Normal 3 6 2 5 2 3" xfId="7424" xr:uid="{00000000-0005-0000-0000-0000D16F0000}"/>
    <cellStyle name="Normal 3 6 2 5 2 3 2" xfId="26217" xr:uid="{00000000-0005-0000-0000-0000D26F0000}"/>
    <cellStyle name="Normal 3 6 2 5 2 3 2 2" xfId="58088" xr:uid="{00000000-0005-0000-0000-0000D36F0000}"/>
    <cellStyle name="Normal 3 6 2 5 2 3 3" xfId="39303" xr:uid="{00000000-0005-0000-0000-0000D46F0000}"/>
    <cellStyle name="Normal 3 6 2 5 2 4" xfId="18339" xr:uid="{00000000-0005-0000-0000-0000D56F0000}"/>
    <cellStyle name="Normal 3 6 2 5 2 4 2" xfId="50210" xr:uid="{00000000-0005-0000-0000-0000D66F0000}"/>
    <cellStyle name="Normal 3 6 2 5 2 5" xfId="39300" xr:uid="{00000000-0005-0000-0000-0000D76F0000}"/>
    <cellStyle name="Normal 3 6 2 5 3" xfId="7425" xr:uid="{00000000-0005-0000-0000-0000D86F0000}"/>
    <cellStyle name="Normal 3 6 2 5 3 2" xfId="7426" xr:uid="{00000000-0005-0000-0000-0000D96F0000}"/>
    <cellStyle name="Normal 3 6 2 5 3 2 2" xfId="30155" xr:uid="{00000000-0005-0000-0000-0000DA6F0000}"/>
    <cellStyle name="Normal 3 6 2 5 3 2 2 2" xfId="62026" xr:uid="{00000000-0005-0000-0000-0000DB6F0000}"/>
    <cellStyle name="Normal 3 6 2 5 3 2 3" xfId="39305" xr:uid="{00000000-0005-0000-0000-0000DC6F0000}"/>
    <cellStyle name="Normal 3 6 2 5 3 3" xfId="22277" xr:uid="{00000000-0005-0000-0000-0000DD6F0000}"/>
    <cellStyle name="Normal 3 6 2 5 3 3 2" xfId="54148" xr:uid="{00000000-0005-0000-0000-0000DE6F0000}"/>
    <cellStyle name="Normal 3 6 2 5 3 4" xfId="39304" xr:uid="{00000000-0005-0000-0000-0000DF6F0000}"/>
    <cellStyle name="Normal 3 6 2 5 4" xfId="7427" xr:uid="{00000000-0005-0000-0000-0000E06F0000}"/>
    <cellStyle name="Normal 3 6 2 5 4 2" xfId="26216" xr:uid="{00000000-0005-0000-0000-0000E16F0000}"/>
    <cellStyle name="Normal 3 6 2 5 4 2 2" xfId="58087" xr:uid="{00000000-0005-0000-0000-0000E26F0000}"/>
    <cellStyle name="Normal 3 6 2 5 4 3" xfId="39306" xr:uid="{00000000-0005-0000-0000-0000E36F0000}"/>
    <cellStyle name="Normal 3 6 2 5 5" xfId="18338" xr:uid="{00000000-0005-0000-0000-0000E46F0000}"/>
    <cellStyle name="Normal 3 6 2 5 5 2" xfId="50209" xr:uid="{00000000-0005-0000-0000-0000E56F0000}"/>
    <cellStyle name="Normal 3 6 2 5 6" xfId="39299" xr:uid="{00000000-0005-0000-0000-0000E66F0000}"/>
    <cellStyle name="Normal 3 6 2 6" xfId="7428" xr:uid="{00000000-0005-0000-0000-0000E76F0000}"/>
    <cellStyle name="Normal 3 6 2 6 2" xfId="7429" xr:uid="{00000000-0005-0000-0000-0000E86F0000}"/>
    <cellStyle name="Normal 3 6 2 6 2 2" xfId="7430" xr:uid="{00000000-0005-0000-0000-0000E96F0000}"/>
    <cellStyle name="Normal 3 6 2 6 2 2 2" xfId="30157" xr:uid="{00000000-0005-0000-0000-0000EA6F0000}"/>
    <cellStyle name="Normal 3 6 2 6 2 2 2 2" xfId="62028" xr:uid="{00000000-0005-0000-0000-0000EB6F0000}"/>
    <cellStyle name="Normal 3 6 2 6 2 2 3" xfId="39309" xr:uid="{00000000-0005-0000-0000-0000EC6F0000}"/>
    <cellStyle name="Normal 3 6 2 6 2 3" xfId="22279" xr:uid="{00000000-0005-0000-0000-0000ED6F0000}"/>
    <cellStyle name="Normal 3 6 2 6 2 3 2" xfId="54150" xr:uid="{00000000-0005-0000-0000-0000EE6F0000}"/>
    <cellStyle name="Normal 3 6 2 6 2 4" xfId="39308" xr:uid="{00000000-0005-0000-0000-0000EF6F0000}"/>
    <cellStyle name="Normal 3 6 2 6 3" xfId="7431" xr:uid="{00000000-0005-0000-0000-0000F06F0000}"/>
    <cellStyle name="Normal 3 6 2 6 3 2" xfId="26218" xr:uid="{00000000-0005-0000-0000-0000F16F0000}"/>
    <cellStyle name="Normal 3 6 2 6 3 2 2" xfId="58089" xr:uid="{00000000-0005-0000-0000-0000F26F0000}"/>
    <cellStyle name="Normal 3 6 2 6 3 3" xfId="39310" xr:uid="{00000000-0005-0000-0000-0000F36F0000}"/>
    <cellStyle name="Normal 3 6 2 6 4" xfId="18340" xr:uid="{00000000-0005-0000-0000-0000F46F0000}"/>
    <cellStyle name="Normal 3 6 2 6 4 2" xfId="50211" xr:uid="{00000000-0005-0000-0000-0000F56F0000}"/>
    <cellStyle name="Normal 3 6 2 6 5" xfId="39307" xr:uid="{00000000-0005-0000-0000-0000F66F0000}"/>
    <cellStyle name="Normal 3 6 2 7" xfId="7432" xr:uid="{00000000-0005-0000-0000-0000F76F0000}"/>
    <cellStyle name="Normal 3 6 2 7 2" xfId="7433" xr:uid="{00000000-0005-0000-0000-0000F86F0000}"/>
    <cellStyle name="Normal 3 6 2 7 2 2" xfId="28316" xr:uid="{00000000-0005-0000-0000-0000F96F0000}"/>
    <cellStyle name="Normal 3 6 2 7 2 2 2" xfId="60187" xr:uid="{00000000-0005-0000-0000-0000FA6F0000}"/>
    <cellStyle name="Normal 3 6 2 7 2 3" xfId="39312" xr:uid="{00000000-0005-0000-0000-0000FB6F0000}"/>
    <cellStyle name="Normal 3 6 2 7 3" xfId="20438" xr:uid="{00000000-0005-0000-0000-0000FC6F0000}"/>
    <cellStyle name="Normal 3 6 2 7 3 2" xfId="52309" xr:uid="{00000000-0005-0000-0000-0000FD6F0000}"/>
    <cellStyle name="Normal 3 6 2 7 4" xfId="39311" xr:uid="{00000000-0005-0000-0000-0000FE6F0000}"/>
    <cellStyle name="Normal 3 6 2 8" xfId="7434" xr:uid="{00000000-0005-0000-0000-0000FF6F0000}"/>
    <cellStyle name="Normal 3 6 2 8 2" xfId="24377" xr:uid="{00000000-0005-0000-0000-000000700000}"/>
    <cellStyle name="Normal 3 6 2 8 2 2" xfId="56248" xr:uid="{00000000-0005-0000-0000-000001700000}"/>
    <cellStyle name="Normal 3 6 2 8 3" xfId="39313" xr:uid="{00000000-0005-0000-0000-000002700000}"/>
    <cellStyle name="Normal 3 6 2 9" xfId="16499" xr:uid="{00000000-0005-0000-0000-000003700000}"/>
    <cellStyle name="Normal 3 6 2 9 2" xfId="48370" xr:uid="{00000000-0005-0000-0000-000004700000}"/>
    <cellStyle name="Normal 3 6 3" xfId="7435" xr:uid="{00000000-0005-0000-0000-000005700000}"/>
    <cellStyle name="Normal 3 6 3 10" xfId="39314" xr:uid="{00000000-0005-0000-0000-000006700000}"/>
    <cellStyle name="Normal 3 6 3 2" xfId="7436" xr:uid="{00000000-0005-0000-0000-000007700000}"/>
    <cellStyle name="Normal 3 6 3 2 2" xfId="7437" xr:uid="{00000000-0005-0000-0000-000008700000}"/>
    <cellStyle name="Normal 3 6 3 2 2 2" xfId="7438" xr:uid="{00000000-0005-0000-0000-000009700000}"/>
    <cellStyle name="Normal 3 6 3 2 2 2 2" xfId="7439" xr:uid="{00000000-0005-0000-0000-00000A700000}"/>
    <cellStyle name="Normal 3 6 3 2 2 2 2 2" xfId="7440" xr:uid="{00000000-0005-0000-0000-00000B700000}"/>
    <cellStyle name="Normal 3 6 3 2 2 2 2 2 2" xfId="7441" xr:uid="{00000000-0005-0000-0000-00000C700000}"/>
    <cellStyle name="Normal 3 6 3 2 2 2 2 2 2 2" xfId="7442" xr:uid="{00000000-0005-0000-0000-00000D700000}"/>
    <cellStyle name="Normal 3 6 3 2 2 2 2 2 2 2 2" xfId="30161" xr:uid="{00000000-0005-0000-0000-00000E700000}"/>
    <cellStyle name="Normal 3 6 3 2 2 2 2 2 2 2 2 2" xfId="62032" xr:uid="{00000000-0005-0000-0000-00000F700000}"/>
    <cellStyle name="Normal 3 6 3 2 2 2 2 2 2 2 3" xfId="39321" xr:uid="{00000000-0005-0000-0000-000010700000}"/>
    <cellStyle name="Normal 3 6 3 2 2 2 2 2 2 3" xfId="22283" xr:uid="{00000000-0005-0000-0000-000011700000}"/>
    <cellStyle name="Normal 3 6 3 2 2 2 2 2 2 3 2" xfId="54154" xr:uid="{00000000-0005-0000-0000-000012700000}"/>
    <cellStyle name="Normal 3 6 3 2 2 2 2 2 2 4" xfId="39320" xr:uid="{00000000-0005-0000-0000-000013700000}"/>
    <cellStyle name="Normal 3 6 3 2 2 2 2 2 3" xfId="7443" xr:uid="{00000000-0005-0000-0000-000014700000}"/>
    <cellStyle name="Normal 3 6 3 2 2 2 2 2 3 2" xfId="26222" xr:uid="{00000000-0005-0000-0000-000015700000}"/>
    <cellStyle name="Normal 3 6 3 2 2 2 2 2 3 2 2" xfId="58093" xr:uid="{00000000-0005-0000-0000-000016700000}"/>
    <cellStyle name="Normal 3 6 3 2 2 2 2 2 3 3" xfId="39322" xr:uid="{00000000-0005-0000-0000-000017700000}"/>
    <cellStyle name="Normal 3 6 3 2 2 2 2 2 4" xfId="18344" xr:uid="{00000000-0005-0000-0000-000018700000}"/>
    <cellStyle name="Normal 3 6 3 2 2 2 2 2 4 2" xfId="50215" xr:uid="{00000000-0005-0000-0000-000019700000}"/>
    <cellStyle name="Normal 3 6 3 2 2 2 2 2 5" xfId="39319" xr:uid="{00000000-0005-0000-0000-00001A700000}"/>
    <cellStyle name="Normal 3 6 3 2 2 2 2 3" xfId="7444" xr:uid="{00000000-0005-0000-0000-00001B700000}"/>
    <cellStyle name="Normal 3 6 3 2 2 2 2 3 2" xfId="7445" xr:uid="{00000000-0005-0000-0000-00001C700000}"/>
    <cellStyle name="Normal 3 6 3 2 2 2 2 3 2 2" xfId="30160" xr:uid="{00000000-0005-0000-0000-00001D700000}"/>
    <cellStyle name="Normal 3 6 3 2 2 2 2 3 2 2 2" xfId="62031" xr:uid="{00000000-0005-0000-0000-00001E700000}"/>
    <cellStyle name="Normal 3 6 3 2 2 2 2 3 2 3" xfId="39324" xr:uid="{00000000-0005-0000-0000-00001F700000}"/>
    <cellStyle name="Normal 3 6 3 2 2 2 2 3 3" xfId="22282" xr:uid="{00000000-0005-0000-0000-000020700000}"/>
    <cellStyle name="Normal 3 6 3 2 2 2 2 3 3 2" xfId="54153" xr:uid="{00000000-0005-0000-0000-000021700000}"/>
    <cellStyle name="Normal 3 6 3 2 2 2 2 3 4" xfId="39323" xr:uid="{00000000-0005-0000-0000-000022700000}"/>
    <cellStyle name="Normal 3 6 3 2 2 2 2 4" xfId="7446" xr:uid="{00000000-0005-0000-0000-000023700000}"/>
    <cellStyle name="Normal 3 6 3 2 2 2 2 4 2" xfId="26221" xr:uid="{00000000-0005-0000-0000-000024700000}"/>
    <cellStyle name="Normal 3 6 3 2 2 2 2 4 2 2" xfId="58092" xr:uid="{00000000-0005-0000-0000-000025700000}"/>
    <cellStyle name="Normal 3 6 3 2 2 2 2 4 3" xfId="39325" xr:uid="{00000000-0005-0000-0000-000026700000}"/>
    <cellStyle name="Normal 3 6 3 2 2 2 2 5" xfId="18343" xr:uid="{00000000-0005-0000-0000-000027700000}"/>
    <cellStyle name="Normal 3 6 3 2 2 2 2 5 2" xfId="50214" xr:uid="{00000000-0005-0000-0000-000028700000}"/>
    <cellStyle name="Normal 3 6 3 2 2 2 2 6" xfId="39318" xr:uid="{00000000-0005-0000-0000-000029700000}"/>
    <cellStyle name="Normal 3 6 3 2 2 2 3" xfId="7447" xr:uid="{00000000-0005-0000-0000-00002A700000}"/>
    <cellStyle name="Normal 3 6 3 2 2 2 3 2" xfId="7448" xr:uid="{00000000-0005-0000-0000-00002B700000}"/>
    <cellStyle name="Normal 3 6 3 2 2 2 3 2 2" xfId="7449" xr:uid="{00000000-0005-0000-0000-00002C700000}"/>
    <cellStyle name="Normal 3 6 3 2 2 2 3 2 2 2" xfId="30162" xr:uid="{00000000-0005-0000-0000-00002D700000}"/>
    <cellStyle name="Normal 3 6 3 2 2 2 3 2 2 2 2" xfId="62033" xr:uid="{00000000-0005-0000-0000-00002E700000}"/>
    <cellStyle name="Normal 3 6 3 2 2 2 3 2 2 3" xfId="39328" xr:uid="{00000000-0005-0000-0000-00002F700000}"/>
    <cellStyle name="Normal 3 6 3 2 2 2 3 2 3" xfId="22284" xr:uid="{00000000-0005-0000-0000-000030700000}"/>
    <cellStyle name="Normal 3 6 3 2 2 2 3 2 3 2" xfId="54155" xr:uid="{00000000-0005-0000-0000-000031700000}"/>
    <cellStyle name="Normal 3 6 3 2 2 2 3 2 4" xfId="39327" xr:uid="{00000000-0005-0000-0000-000032700000}"/>
    <cellStyle name="Normal 3 6 3 2 2 2 3 3" xfId="7450" xr:uid="{00000000-0005-0000-0000-000033700000}"/>
    <cellStyle name="Normal 3 6 3 2 2 2 3 3 2" xfId="26223" xr:uid="{00000000-0005-0000-0000-000034700000}"/>
    <cellStyle name="Normal 3 6 3 2 2 2 3 3 2 2" xfId="58094" xr:uid="{00000000-0005-0000-0000-000035700000}"/>
    <cellStyle name="Normal 3 6 3 2 2 2 3 3 3" xfId="39329" xr:uid="{00000000-0005-0000-0000-000036700000}"/>
    <cellStyle name="Normal 3 6 3 2 2 2 3 4" xfId="18345" xr:uid="{00000000-0005-0000-0000-000037700000}"/>
    <cellStyle name="Normal 3 6 3 2 2 2 3 4 2" xfId="50216" xr:uid="{00000000-0005-0000-0000-000038700000}"/>
    <cellStyle name="Normal 3 6 3 2 2 2 3 5" xfId="39326" xr:uid="{00000000-0005-0000-0000-000039700000}"/>
    <cellStyle name="Normal 3 6 3 2 2 2 4" xfId="7451" xr:uid="{00000000-0005-0000-0000-00003A700000}"/>
    <cellStyle name="Normal 3 6 3 2 2 2 4 2" xfId="7452" xr:uid="{00000000-0005-0000-0000-00003B700000}"/>
    <cellStyle name="Normal 3 6 3 2 2 2 4 2 2" xfId="30159" xr:uid="{00000000-0005-0000-0000-00003C700000}"/>
    <cellStyle name="Normal 3 6 3 2 2 2 4 2 2 2" xfId="62030" xr:uid="{00000000-0005-0000-0000-00003D700000}"/>
    <cellStyle name="Normal 3 6 3 2 2 2 4 2 3" xfId="39331" xr:uid="{00000000-0005-0000-0000-00003E700000}"/>
    <cellStyle name="Normal 3 6 3 2 2 2 4 3" xfId="22281" xr:uid="{00000000-0005-0000-0000-00003F700000}"/>
    <cellStyle name="Normal 3 6 3 2 2 2 4 3 2" xfId="54152" xr:uid="{00000000-0005-0000-0000-000040700000}"/>
    <cellStyle name="Normal 3 6 3 2 2 2 4 4" xfId="39330" xr:uid="{00000000-0005-0000-0000-000041700000}"/>
    <cellStyle name="Normal 3 6 3 2 2 2 5" xfId="7453" xr:uid="{00000000-0005-0000-0000-000042700000}"/>
    <cellStyle name="Normal 3 6 3 2 2 2 5 2" xfId="26220" xr:uid="{00000000-0005-0000-0000-000043700000}"/>
    <cellStyle name="Normal 3 6 3 2 2 2 5 2 2" xfId="58091" xr:uid="{00000000-0005-0000-0000-000044700000}"/>
    <cellStyle name="Normal 3 6 3 2 2 2 5 3" xfId="39332" xr:uid="{00000000-0005-0000-0000-000045700000}"/>
    <cellStyle name="Normal 3 6 3 2 2 2 6" xfId="18342" xr:uid="{00000000-0005-0000-0000-000046700000}"/>
    <cellStyle name="Normal 3 6 3 2 2 2 6 2" xfId="50213" xr:uid="{00000000-0005-0000-0000-000047700000}"/>
    <cellStyle name="Normal 3 6 3 2 2 2 7" xfId="39317" xr:uid="{00000000-0005-0000-0000-000048700000}"/>
    <cellStyle name="Normal 3 6 3 2 2 3" xfId="7454" xr:uid="{00000000-0005-0000-0000-000049700000}"/>
    <cellStyle name="Normal 3 6 3 2 2 3 2" xfId="7455" xr:uid="{00000000-0005-0000-0000-00004A700000}"/>
    <cellStyle name="Normal 3 6 3 2 2 3 2 2" xfId="7456" xr:uid="{00000000-0005-0000-0000-00004B700000}"/>
    <cellStyle name="Normal 3 6 3 2 2 3 2 2 2" xfId="7457" xr:uid="{00000000-0005-0000-0000-00004C700000}"/>
    <cellStyle name="Normal 3 6 3 2 2 3 2 2 2 2" xfId="30164" xr:uid="{00000000-0005-0000-0000-00004D700000}"/>
    <cellStyle name="Normal 3 6 3 2 2 3 2 2 2 2 2" xfId="62035" xr:uid="{00000000-0005-0000-0000-00004E700000}"/>
    <cellStyle name="Normal 3 6 3 2 2 3 2 2 2 3" xfId="39336" xr:uid="{00000000-0005-0000-0000-00004F700000}"/>
    <cellStyle name="Normal 3 6 3 2 2 3 2 2 3" xfId="22286" xr:uid="{00000000-0005-0000-0000-000050700000}"/>
    <cellStyle name="Normal 3 6 3 2 2 3 2 2 3 2" xfId="54157" xr:uid="{00000000-0005-0000-0000-000051700000}"/>
    <cellStyle name="Normal 3 6 3 2 2 3 2 2 4" xfId="39335" xr:uid="{00000000-0005-0000-0000-000052700000}"/>
    <cellStyle name="Normal 3 6 3 2 2 3 2 3" xfId="7458" xr:uid="{00000000-0005-0000-0000-000053700000}"/>
    <cellStyle name="Normal 3 6 3 2 2 3 2 3 2" xfId="26225" xr:uid="{00000000-0005-0000-0000-000054700000}"/>
    <cellStyle name="Normal 3 6 3 2 2 3 2 3 2 2" xfId="58096" xr:uid="{00000000-0005-0000-0000-000055700000}"/>
    <cellStyle name="Normal 3 6 3 2 2 3 2 3 3" xfId="39337" xr:uid="{00000000-0005-0000-0000-000056700000}"/>
    <cellStyle name="Normal 3 6 3 2 2 3 2 4" xfId="18347" xr:uid="{00000000-0005-0000-0000-000057700000}"/>
    <cellStyle name="Normal 3 6 3 2 2 3 2 4 2" xfId="50218" xr:uid="{00000000-0005-0000-0000-000058700000}"/>
    <cellStyle name="Normal 3 6 3 2 2 3 2 5" xfId="39334" xr:uid="{00000000-0005-0000-0000-000059700000}"/>
    <cellStyle name="Normal 3 6 3 2 2 3 3" xfId="7459" xr:uid="{00000000-0005-0000-0000-00005A700000}"/>
    <cellStyle name="Normal 3 6 3 2 2 3 3 2" xfId="7460" xr:uid="{00000000-0005-0000-0000-00005B700000}"/>
    <cellStyle name="Normal 3 6 3 2 2 3 3 2 2" xfId="30163" xr:uid="{00000000-0005-0000-0000-00005C700000}"/>
    <cellStyle name="Normal 3 6 3 2 2 3 3 2 2 2" xfId="62034" xr:uid="{00000000-0005-0000-0000-00005D700000}"/>
    <cellStyle name="Normal 3 6 3 2 2 3 3 2 3" xfId="39339" xr:uid="{00000000-0005-0000-0000-00005E700000}"/>
    <cellStyle name="Normal 3 6 3 2 2 3 3 3" xfId="22285" xr:uid="{00000000-0005-0000-0000-00005F700000}"/>
    <cellStyle name="Normal 3 6 3 2 2 3 3 3 2" xfId="54156" xr:uid="{00000000-0005-0000-0000-000060700000}"/>
    <cellStyle name="Normal 3 6 3 2 2 3 3 4" xfId="39338" xr:uid="{00000000-0005-0000-0000-000061700000}"/>
    <cellStyle name="Normal 3 6 3 2 2 3 4" xfId="7461" xr:uid="{00000000-0005-0000-0000-000062700000}"/>
    <cellStyle name="Normal 3 6 3 2 2 3 4 2" xfId="26224" xr:uid="{00000000-0005-0000-0000-000063700000}"/>
    <cellStyle name="Normal 3 6 3 2 2 3 4 2 2" xfId="58095" xr:uid="{00000000-0005-0000-0000-000064700000}"/>
    <cellStyle name="Normal 3 6 3 2 2 3 4 3" xfId="39340" xr:uid="{00000000-0005-0000-0000-000065700000}"/>
    <cellStyle name="Normal 3 6 3 2 2 3 5" xfId="18346" xr:uid="{00000000-0005-0000-0000-000066700000}"/>
    <cellStyle name="Normal 3 6 3 2 2 3 5 2" xfId="50217" xr:uid="{00000000-0005-0000-0000-000067700000}"/>
    <cellStyle name="Normal 3 6 3 2 2 3 6" xfId="39333" xr:uid="{00000000-0005-0000-0000-000068700000}"/>
    <cellStyle name="Normal 3 6 3 2 2 4" xfId="7462" xr:uid="{00000000-0005-0000-0000-000069700000}"/>
    <cellStyle name="Normal 3 6 3 2 2 4 2" xfId="7463" xr:uid="{00000000-0005-0000-0000-00006A700000}"/>
    <cellStyle name="Normal 3 6 3 2 2 4 2 2" xfId="7464" xr:uid="{00000000-0005-0000-0000-00006B700000}"/>
    <cellStyle name="Normal 3 6 3 2 2 4 2 2 2" xfId="30165" xr:uid="{00000000-0005-0000-0000-00006C700000}"/>
    <cellStyle name="Normal 3 6 3 2 2 4 2 2 2 2" xfId="62036" xr:uid="{00000000-0005-0000-0000-00006D700000}"/>
    <cellStyle name="Normal 3 6 3 2 2 4 2 2 3" xfId="39343" xr:uid="{00000000-0005-0000-0000-00006E700000}"/>
    <cellStyle name="Normal 3 6 3 2 2 4 2 3" xfId="22287" xr:uid="{00000000-0005-0000-0000-00006F700000}"/>
    <cellStyle name="Normal 3 6 3 2 2 4 2 3 2" xfId="54158" xr:uid="{00000000-0005-0000-0000-000070700000}"/>
    <cellStyle name="Normal 3 6 3 2 2 4 2 4" xfId="39342" xr:uid="{00000000-0005-0000-0000-000071700000}"/>
    <cellStyle name="Normal 3 6 3 2 2 4 3" xfId="7465" xr:uid="{00000000-0005-0000-0000-000072700000}"/>
    <cellStyle name="Normal 3 6 3 2 2 4 3 2" xfId="26226" xr:uid="{00000000-0005-0000-0000-000073700000}"/>
    <cellStyle name="Normal 3 6 3 2 2 4 3 2 2" xfId="58097" xr:uid="{00000000-0005-0000-0000-000074700000}"/>
    <cellStyle name="Normal 3 6 3 2 2 4 3 3" xfId="39344" xr:uid="{00000000-0005-0000-0000-000075700000}"/>
    <cellStyle name="Normal 3 6 3 2 2 4 4" xfId="18348" xr:uid="{00000000-0005-0000-0000-000076700000}"/>
    <cellStyle name="Normal 3 6 3 2 2 4 4 2" xfId="50219" xr:uid="{00000000-0005-0000-0000-000077700000}"/>
    <cellStyle name="Normal 3 6 3 2 2 4 5" xfId="39341" xr:uid="{00000000-0005-0000-0000-000078700000}"/>
    <cellStyle name="Normal 3 6 3 2 2 5" xfId="7466" xr:uid="{00000000-0005-0000-0000-000079700000}"/>
    <cellStyle name="Normal 3 6 3 2 2 5 2" xfId="7467" xr:uid="{00000000-0005-0000-0000-00007A700000}"/>
    <cellStyle name="Normal 3 6 3 2 2 5 2 2" xfId="30158" xr:uid="{00000000-0005-0000-0000-00007B700000}"/>
    <cellStyle name="Normal 3 6 3 2 2 5 2 2 2" xfId="62029" xr:uid="{00000000-0005-0000-0000-00007C700000}"/>
    <cellStyle name="Normal 3 6 3 2 2 5 2 3" xfId="39346" xr:uid="{00000000-0005-0000-0000-00007D700000}"/>
    <cellStyle name="Normal 3 6 3 2 2 5 3" xfId="22280" xr:uid="{00000000-0005-0000-0000-00007E700000}"/>
    <cellStyle name="Normal 3 6 3 2 2 5 3 2" xfId="54151" xr:uid="{00000000-0005-0000-0000-00007F700000}"/>
    <cellStyle name="Normal 3 6 3 2 2 5 4" xfId="39345" xr:uid="{00000000-0005-0000-0000-000080700000}"/>
    <cellStyle name="Normal 3 6 3 2 2 6" xfId="7468" xr:uid="{00000000-0005-0000-0000-000081700000}"/>
    <cellStyle name="Normal 3 6 3 2 2 6 2" xfId="26219" xr:uid="{00000000-0005-0000-0000-000082700000}"/>
    <cellStyle name="Normal 3 6 3 2 2 6 2 2" xfId="58090" xr:uid="{00000000-0005-0000-0000-000083700000}"/>
    <cellStyle name="Normal 3 6 3 2 2 6 3" xfId="39347" xr:uid="{00000000-0005-0000-0000-000084700000}"/>
    <cellStyle name="Normal 3 6 3 2 2 7" xfId="18341" xr:uid="{00000000-0005-0000-0000-000085700000}"/>
    <cellStyle name="Normal 3 6 3 2 2 7 2" xfId="50212" xr:uid="{00000000-0005-0000-0000-000086700000}"/>
    <cellStyle name="Normal 3 6 3 2 2 8" xfId="39316" xr:uid="{00000000-0005-0000-0000-000087700000}"/>
    <cellStyle name="Normal 3 6 3 2 3" xfId="7469" xr:uid="{00000000-0005-0000-0000-000088700000}"/>
    <cellStyle name="Normal 3 6 3 2 3 2" xfId="7470" xr:uid="{00000000-0005-0000-0000-000089700000}"/>
    <cellStyle name="Normal 3 6 3 2 3 2 2" xfId="7471" xr:uid="{00000000-0005-0000-0000-00008A700000}"/>
    <cellStyle name="Normal 3 6 3 2 3 2 2 2" xfId="7472" xr:uid="{00000000-0005-0000-0000-00008B700000}"/>
    <cellStyle name="Normal 3 6 3 2 3 2 2 2 2" xfId="7473" xr:uid="{00000000-0005-0000-0000-00008C700000}"/>
    <cellStyle name="Normal 3 6 3 2 3 2 2 2 2 2" xfId="30168" xr:uid="{00000000-0005-0000-0000-00008D700000}"/>
    <cellStyle name="Normal 3 6 3 2 3 2 2 2 2 2 2" xfId="62039" xr:uid="{00000000-0005-0000-0000-00008E700000}"/>
    <cellStyle name="Normal 3 6 3 2 3 2 2 2 2 3" xfId="39352" xr:uid="{00000000-0005-0000-0000-00008F700000}"/>
    <cellStyle name="Normal 3 6 3 2 3 2 2 2 3" xfId="22290" xr:uid="{00000000-0005-0000-0000-000090700000}"/>
    <cellStyle name="Normal 3 6 3 2 3 2 2 2 3 2" xfId="54161" xr:uid="{00000000-0005-0000-0000-000091700000}"/>
    <cellStyle name="Normal 3 6 3 2 3 2 2 2 4" xfId="39351" xr:uid="{00000000-0005-0000-0000-000092700000}"/>
    <cellStyle name="Normal 3 6 3 2 3 2 2 3" xfId="7474" xr:uid="{00000000-0005-0000-0000-000093700000}"/>
    <cellStyle name="Normal 3 6 3 2 3 2 2 3 2" xfId="26229" xr:uid="{00000000-0005-0000-0000-000094700000}"/>
    <cellStyle name="Normal 3 6 3 2 3 2 2 3 2 2" xfId="58100" xr:uid="{00000000-0005-0000-0000-000095700000}"/>
    <cellStyle name="Normal 3 6 3 2 3 2 2 3 3" xfId="39353" xr:uid="{00000000-0005-0000-0000-000096700000}"/>
    <cellStyle name="Normal 3 6 3 2 3 2 2 4" xfId="18351" xr:uid="{00000000-0005-0000-0000-000097700000}"/>
    <cellStyle name="Normal 3 6 3 2 3 2 2 4 2" xfId="50222" xr:uid="{00000000-0005-0000-0000-000098700000}"/>
    <cellStyle name="Normal 3 6 3 2 3 2 2 5" xfId="39350" xr:uid="{00000000-0005-0000-0000-000099700000}"/>
    <cellStyle name="Normal 3 6 3 2 3 2 3" xfId="7475" xr:uid="{00000000-0005-0000-0000-00009A700000}"/>
    <cellStyle name="Normal 3 6 3 2 3 2 3 2" xfId="7476" xr:uid="{00000000-0005-0000-0000-00009B700000}"/>
    <cellStyle name="Normal 3 6 3 2 3 2 3 2 2" xfId="30167" xr:uid="{00000000-0005-0000-0000-00009C700000}"/>
    <cellStyle name="Normal 3 6 3 2 3 2 3 2 2 2" xfId="62038" xr:uid="{00000000-0005-0000-0000-00009D700000}"/>
    <cellStyle name="Normal 3 6 3 2 3 2 3 2 3" xfId="39355" xr:uid="{00000000-0005-0000-0000-00009E700000}"/>
    <cellStyle name="Normal 3 6 3 2 3 2 3 3" xfId="22289" xr:uid="{00000000-0005-0000-0000-00009F700000}"/>
    <cellStyle name="Normal 3 6 3 2 3 2 3 3 2" xfId="54160" xr:uid="{00000000-0005-0000-0000-0000A0700000}"/>
    <cellStyle name="Normal 3 6 3 2 3 2 3 4" xfId="39354" xr:uid="{00000000-0005-0000-0000-0000A1700000}"/>
    <cellStyle name="Normal 3 6 3 2 3 2 4" xfId="7477" xr:uid="{00000000-0005-0000-0000-0000A2700000}"/>
    <cellStyle name="Normal 3 6 3 2 3 2 4 2" xfId="26228" xr:uid="{00000000-0005-0000-0000-0000A3700000}"/>
    <cellStyle name="Normal 3 6 3 2 3 2 4 2 2" xfId="58099" xr:uid="{00000000-0005-0000-0000-0000A4700000}"/>
    <cellStyle name="Normal 3 6 3 2 3 2 4 3" xfId="39356" xr:uid="{00000000-0005-0000-0000-0000A5700000}"/>
    <cellStyle name="Normal 3 6 3 2 3 2 5" xfId="18350" xr:uid="{00000000-0005-0000-0000-0000A6700000}"/>
    <cellStyle name="Normal 3 6 3 2 3 2 5 2" xfId="50221" xr:uid="{00000000-0005-0000-0000-0000A7700000}"/>
    <cellStyle name="Normal 3 6 3 2 3 2 6" xfId="39349" xr:uid="{00000000-0005-0000-0000-0000A8700000}"/>
    <cellStyle name="Normal 3 6 3 2 3 3" xfId="7478" xr:uid="{00000000-0005-0000-0000-0000A9700000}"/>
    <cellStyle name="Normal 3 6 3 2 3 3 2" xfId="7479" xr:uid="{00000000-0005-0000-0000-0000AA700000}"/>
    <cellStyle name="Normal 3 6 3 2 3 3 2 2" xfId="7480" xr:uid="{00000000-0005-0000-0000-0000AB700000}"/>
    <cellStyle name="Normal 3 6 3 2 3 3 2 2 2" xfId="30169" xr:uid="{00000000-0005-0000-0000-0000AC700000}"/>
    <cellStyle name="Normal 3 6 3 2 3 3 2 2 2 2" xfId="62040" xr:uid="{00000000-0005-0000-0000-0000AD700000}"/>
    <cellStyle name="Normal 3 6 3 2 3 3 2 2 3" xfId="39359" xr:uid="{00000000-0005-0000-0000-0000AE700000}"/>
    <cellStyle name="Normal 3 6 3 2 3 3 2 3" xfId="22291" xr:uid="{00000000-0005-0000-0000-0000AF700000}"/>
    <cellStyle name="Normal 3 6 3 2 3 3 2 3 2" xfId="54162" xr:uid="{00000000-0005-0000-0000-0000B0700000}"/>
    <cellStyle name="Normal 3 6 3 2 3 3 2 4" xfId="39358" xr:uid="{00000000-0005-0000-0000-0000B1700000}"/>
    <cellStyle name="Normal 3 6 3 2 3 3 3" xfId="7481" xr:uid="{00000000-0005-0000-0000-0000B2700000}"/>
    <cellStyle name="Normal 3 6 3 2 3 3 3 2" xfId="26230" xr:uid="{00000000-0005-0000-0000-0000B3700000}"/>
    <cellStyle name="Normal 3 6 3 2 3 3 3 2 2" xfId="58101" xr:uid="{00000000-0005-0000-0000-0000B4700000}"/>
    <cellStyle name="Normal 3 6 3 2 3 3 3 3" xfId="39360" xr:uid="{00000000-0005-0000-0000-0000B5700000}"/>
    <cellStyle name="Normal 3 6 3 2 3 3 4" xfId="18352" xr:uid="{00000000-0005-0000-0000-0000B6700000}"/>
    <cellStyle name="Normal 3 6 3 2 3 3 4 2" xfId="50223" xr:uid="{00000000-0005-0000-0000-0000B7700000}"/>
    <cellStyle name="Normal 3 6 3 2 3 3 5" xfId="39357" xr:uid="{00000000-0005-0000-0000-0000B8700000}"/>
    <cellStyle name="Normal 3 6 3 2 3 4" xfId="7482" xr:uid="{00000000-0005-0000-0000-0000B9700000}"/>
    <cellStyle name="Normal 3 6 3 2 3 4 2" xfId="7483" xr:uid="{00000000-0005-0000-0000-0000BA700000}"/>
    <cellStyle name="Normal 3 6 3 2 3 4 2 2" xfId="30166" xr:uid="{00000000-0005-0000-0000-0000BB700000}"/>
    <cellStyle name="Normal 3 6 3 2 3 4 2 2 2" xfId="62037" xr:uid="{00000000-0005-0000-0000-0000BC700000}"/>
    <cellStyle name="Normal 3 6 3 2 3 4 2 3" xfId="39362" xr:uid="{00000000-0005-0000-0000-0000BD700000}"/>
    <cellStyle name="Normal 3 6 3 2 3 4 3" xfId="22288" xr:uid="{00000000-0005-0000-0000-0000BE700000}"/>
    <cellStyle name="Normal 3 6 3 2 3 4 3 2" xfId="54159" xr:uid="{00000000-0005-0000-0000-0000BF700000}"/>
    <cellStyle name="Normal 3 6 3 2 3 4 4" xfId="39361" xr:uid="{00000000-0005-0000-0000-0000C0700000}"/>
    <cellStyle name="Normal 3 6 3 2 3 5" xfId="7484" xr:uid="{00000000-0005-0000-0000-0000C1700000}"/>
    <cellStyle name="Normal 3 6 3 2 3 5 2" xfId="26227" xr:uid="{00000000-0005-0000-0000-0000C2700000}"/>
    <cellStyle name="Normal 3 6 3 2 3 5 2 2" xfId="58098" xr:uid="{00000000-0005-0000-0000-0000C3700000}"/>
    <cellStyle name="Normal 3 6 3 2 3 5 3" xfId="39363" xr:uid="{00000000-0005-0000-0000-0000C4700000}"/>
    <cellStyle name="Normal 3 6 3 2 3 6" xfId="18349" xr:uid="{00000000-0005-0000-0000-0000C5700000}"/>
    <cellStyle name="Normal 3 6 3 2 3 6 2" xfId="50220" xr:uid="{00000000-0005-0000-0000-0000C6700000}"/>
    <cellStyle name="Normal 3 6 3 2 3 7" xfId="39348" xr:uid="{00000000-0005-0000-0000-0000C7700000}"/>
    <cellStyle name="Normal 3 6 3 2 4" xfId="7485" xr:uid="{00000000-0005-0000-0000-0000C8700000}"/>
    <cellStyle name="Normal 3 6 3 2 4 2" xfId="7486" xr:uid="{00000000-0005-0000-0000-0000C9700000}"/>
    <cellStyle name="Normal 3 6 3 2 4 2 2" xfId="7487" xr:uid="{00000000-0005-0000-0000-0000CA700000}"/>
    <cellStyle name="Normal 3 6 3 2 4 2 2 2" xfId="7488" xr:uid="{00000000-0005-0000-0000-0000CB700000}"/>
    <cellStyle name="Normal 3 6 3 2 4 2 2 2 2" xfId="30171" xr:uid="{00000000-0005-0000-0000-0000CC700000}"/>
    <cellStyle name="Normal 3 6 3 2 4 2 2 2 2 2" xfId="62042" xr:uid="{00000000-0005-0000-0000-0000CD700000}"/>
    <cellStyle name="Normal 3 6 3 2 4 2 2 2 3" xfId="39367" xr:uid="{00000000-0005-0000-0000-0000CE700000}"/>
    <cellStyle name="Normal 3 6 3 2 4 2 2 3" xfId="22293" xr:uid="{00000000-0005-0000-0000-0000CF700000}"/>
    <cellStyle name="Normal 3 6 3 2 4 2 2 3 2" xfId="54164" xr:uid="{00000000-0005-0000-0000-0000D0700000}"/>
    <cellStyle name="Normal 3 6 3 2 4 2 2 4" xfId="39366" xr:uid="{00000000-0005-0000-0000-0000D1700000}"/>
    <cellStyle name="Normal 3 6 3 2 4 2 3" xfId="7489" xr:uid="{00000000-0005-0000-0000-0000D2700000}"/>
    <cellStyle name="Normal 3 6 3 2 4 2 3 2" xfId="26232" xr:uid="{00000000-0005-0000-0000-0000D3700000}"/>
    <cellStyle name="Normal 3 6 3 2 4 2 3 2 2" xfId="58103" xr:uid="{00000000-0005-0000-0000-0000D4700000}"/>
    <cellStyle name="Normal 3 6 3 2 4 2 3 3" xfId="39368" xr:uid="{00000000-0005-0000-0000-0000D5700000}"/>
    <cellStyle name="Normal 3 6 3 2 4 2 4" xfId="18354" xr:uid="{00000000-0005-0000-0000-0000D6700000}"/>
    <cellStyle name="Normal 3 6 3 2 4 2 4 2" xfId="50225" xr:uid="{00000000-0005-0000-0000-0000D7700000}"/>
    <cellStyle name="Normal 3 6 3 2 4 2 5" xfId="39365" xr:uid="{00000000-0005-0000-0000-0000D8700000}"/>
    <cellStyle name="Normal 3 6 3 2 4 3" xfId="7490" xr:uid="{00000000-0005-0000-0000-0000D9700000}"/>
    <cellStyle name="Normal 3 6 3 2 4 3 2" xfId="7491" xr:uid="{00000000-0005-0000-0000-0000DA700000}"/>
    <cellStyle name="Normal 3 6 3 2 4 3 2 2" xfId="30170" xr:uid="{00000000-0005-0000-0000-0000DB700000}"/>
    <cellStyle name="Normal 3 6 3 2 4 3 2 2 2" xfId="62041" xr:uid="{00000000-0005-0000-0000-0000DC700000}"/>
    <cellStyle name="Normal 3 6 3 2 4 3 2 3" xfId="39370" xr:uid="{00000000-0005-0000-0000-0000DD700000}"/>
    <cellStyle name="Normal 3 6 3 2 4 3 3" xfId="22292" xr:uid="{00000000-0005-0000-0000-0000DE700000}"/>
    <cellStyle name="Normal 3 6 3 2 4 3 3 2" xfId="54163" xr:uid="{00000000-0005-0000-0000-0000DF700000}"/>
    <cellStyle name="Normal 3 6 3 2 4 3 4" xfId="39369" xr:uid="{00000000-0005-0000-0000-0000E0700000}"/>
    <cellStyle name="Normal 3 6 3 2 4 4" xfId="7492" xr:uid="{00000000-0005-0000-0000-0000E1700000}"/>
    <cellStyle name="Normal 3 6 3 2 4 4 2" xfId="26231" xr:uid="{00000000-0005-0000-0000-0000E2700000}"/>
    <cellStyle name="Normal 3 6 3 2 4 4 2 2" xfId="58102" xr:uid="{00000000-0005-0000-0000-0000E3700000}"/>
    <cellStyle name="Normal 3 6 3 2 4 4 3" xfId="39371" xr:uid="{00000000-0005-0000-0000-0000E4700000}"/>
    <cellStyle name="Normal 3 6 3 2 4 5" xfId="18353" xr:uid="{00000000-0005-0000-0000-0000E5700000}"/>
    <cellStyle name="Normal 3 6 3 2 4 5 2" xfId="50224" xr:uid="{00000000-0005-0000-0000-0000E6700000}"/>
    <cellStyle name="Normal 3 6 3 2 4 6" xfId="39364" xr:uid="{00000000-0005-0000-0000-0000E7700000}"/>
    <cellStyle name="Normal 3 6 3 2 5" xfId="7493" xr:uid="{00000000-0005-0000-0000-0000E8700000}"/>
    <cellStyle name="Normal 3 6 3 2 5 2" xfId="7494" xr:uid="{00000000-0005-0000-0000-0000E9700000}"/>
    <cellStyle name="Normal 3 6 3 2 5 2 2" xfId="7495" xr:uid="{00000000-0005-0000-0000-0000EA700000}"/>
    <cellStyle name="Normal 3 6 3 2 5 2 2 2" xfId="30172" xr:uid="{00000000-0005-0000-0000-0000EB700000}"/>
    <cellStyle name="Normal 3 6 3 2 5 2 2 2 2" xfId="62043" xr:uid="{00000000-0005-0000-0000-0000EC700000}"/>
    <cellStyle name="Normal 3 6 3 2 5 2 2 3" xfId="39374" xr:uid="{00000000-0005-0000-0000-0000ED700000}"/>
    <cellStyle name="Normal 3 6 3 2 5 2 3" xfId="22294" xr:uid="{00000000-0005-0000-0000-0000EE700000}"/>
    <cellStyle name="Normal 3 6 3 2 5 2 3 2" xfId="54165" xr:uid="{00000000-0005-0000-0000-0000EF700000}"/>
    <cellStyle name="Normal 3 6 3 2 5 2 4" xfId="39373" xr:uid="{00000000-0005-0000-0000-0000F0700000}"/>
    <cellStyle name="Normal 3 6 3 2 5 3" xfId="7496" xr:uid="{00000000-0005-0000-0000-0000F1700000}"/>
    <cellStyle name="Normal 3 6 3 2 5 3 2" xfId="26233" xr:uid="{00000000-0005-0000-0000-0000F2700000}"/>
    <cellStyle name="Normal 3 6 3 2 5 3 2 2" xfId="58104" xr:uid="{00000000-0005-0000-0000-0000F3700000}"/>
    <cellStyle name="Normal 3 6 3 2 5 3 3" xfId="39375" xr:uid="{00000000-0005-0000-0000-0000F4700000}"/>
    <cellStyle name="Normal 3 6 3 2 5 4" xfId="18355" xr:uid="{00000000-0005-0000-0000-0000F5700000}"/>
    <cellStyle name="Normal 3 6 3 2 5 4 2" xfId="50226" xr:uid="{00000000-0005-0000-0000-0000F6700000}"/>
    <cellStyle name="Normal 3 6 3 2 5 5" xfId="39372" xr:uid="{00000000-0005-0000-0000-0000F7700000}"/>
    <cellStyle name="Normal 3 6 3 2 6" xfId="7497" xr:uid="{00000000-0005-0000-0000-0000F8700000}"/>
    <cellStyle name="Normal 3 6 3 2 6 2" xfId="7498" xr:uid="{00000000-0005-0000-0000-0000F9700000}"/>
    <cellStyle name="Normal 3 6 3 2 6 2 2" xfId="28480" xr:uid="{00000000-0005-0000-0000-0000FA700000}"/>
    <cellStyle name="Normal 3 6 3 2 6 2 2 2" xfId="60351" xr:uid="{00000000-0005-0000-0000-0000FB700000}"/>
    <cellStyle name="Normal 3 6 3 2 6 2 3" xfId="39377" xr:uid="{00000000-0005-0000-0000-0000FC700000}"/>
    <cellStyle name="Normal 3 6 3 2 6 3" xfId="20602" xr:uid="{00000000-0005-0000-0000-0000FD700000}"/>
    <cellStyle name="Normal 3 6 3 2 6 3 2" xfId="52473" xr:uid="{00000000-0005-0000-0000-0000FE700000}"/>
    <cellStyle name="Normal 3 6 3 2 6 4" xfId="39376" xr:uid="{00000000-0005-0000-0000-0000FF700000}"/>
    <cellStyle name="Normal 3 6 3 2 7" xfId="7499" xr:uid="{00000000-0005-0000-0000-000000710000}"/>
    <cellStyle name="Normal 3 6 3 2 7 2" xfId="24541" xr:uid="{00000000-0005-0000-0000-000001710000}"/>
    <cellStyle name="Normal 3 6 3 2 7 2 2" xfId="56412" xr:uid="{00000000-0005-0000-0000-000002710000}"/>
    <cellStyle name="Normal 3 6 3 2 7 3" xfId="39378" xr:uid="{00000000-0005-0000-0000-000003710000}"/>
    <cellStyle name="Normal 3 6 3 2 8" xfId="16663" xr:uid="{00000000-0005-0000-0000-000004710000}"/>
    <cellStyle name="Normal 3 6 3 2 8 2" xfId="48534" xr:uid="{00000000-0005-0000-0000-000005710000}"/>
    <cellStyle name="Normal 3 6 3 2 9" xfId="39315" xr:uid="{00000000-0005-0000-0000-000006710000}"/>
    <cellStyle name="Normal 3 6 3 3" xfId="7500" xr:uid="{00000000-0005-0000-0000-000007710000}"/>
    <cellStyle name="Normal 3 6 3 3 2" xfId="7501" xr:uid="{00000000-0005-0000-0000-000008710000}"/>
    <cellStyle name="Normal 3 6 3 3 2 2" xfId="7502" xr:uid="{00000000-0005-0000-0000-000009710000}"/>
    <cellStyle name="Normal 3 6 3 3 2 2 2" xfId="7503" xr:uid="{00000000-0005-0000-0000-00000A710000}"/>
    <cellStyle name="Normal 3 6 3 3 2 2 2 2" xfId="7504" xr:uid="{00000000-0005-0000-0000-00000B710000}"/>
    <cellStyle name="Normal 3 6 3 3 2 2 2 2 2" xfId="7505" xr:uid="{00000000-0005-0000-0000-00000C710000}"/>
    <cellStyle name="Normal 3 6 3 3 2 2 2 2 2 2" xfId="30176" xr:uid="{00000000-0005-0000-0000-00000D710000}"/>
    <cellStyle name="Normal 3 6 3 3 2 2 2 2 2 2 2" xfId="62047" xr:uid="{00000000-0005-0000-0000-00000E710000}"/>
    <cellStyle name="Normal 3 6 3 3 2 2 2 2 2 3" xfId="39384" xr:uid="{00000000-0005-0000-0000-00000F710000}"/>
    <cellStyle name="Normal 3 6 3 3 2 2 2 2 3" xfId="22298" xr:uid="{00000000-0005-0000-0000-000010710000}"/>
    <cellStyle name="Normal 3 6 3 3 2 2 2 2 3 2" xfId="54169" xr:uid="{00000000-0005-0000-0000-000011710000}"/>
    <cellStyle name="Normal 3 6 3 3 2 2 2 2 4" xfId="39383" xr:uid="{00000000-0005-0000-0000-000012710000}"/>
    <cellStyle name="Normal 3 6 3 3 2 2 2 3" xfId="7506" xr:uid="{00000000-0005-0000-0000-000013710000}"/>
    <cellStyle name="Normal 3 6 3 3 2 2 2 3 2" xfId="26237" xr:uid="{00000000-0005-0000-0000-000014710000}"/>
    <cellStyle name="Normal 3 6 3 3 2 2 2 3 2 2" xfId="58108" xr:uid="{00000000-0005-0000-0000-000015710000}"/>
    <cellStyle name="Normal 3 6 3 3 2 2 2 3 3" xfId="39385" xr:uid="{00000000-0005-0000-0000-000016710000}"/>
    <cellStyle name="Normal 3 6 3 3 2 2 2 4" xfId="18359" xr:uid="{00000000-0005-0000-0000-000017710000}"/>
    <cellStyle name="Normal 3 6 3 3 2 2 2 4 2" xfId="50230" xr:uid="{00000000-0005-0000-0000-000018710000}"/>
    <cellStyle name="Normal 3 6 3 3 2 2 2 5" xfId="39382" xr:uid="{00000000-0005-0000-0000-000019710000}"/>
    <cellStyle name="Normal 3 6 3 3 2 2 3" xfId="7507" xr:uid="{00000000-0005-0000-0000-00001A710000}"/>
    <cellStyle name="Normal 3 6 3 3 2 2 3 2" xfId="7508" xr:uid="{00000000-0005-0000-0000-00001B710000}"/>
    <cellStyle name="Normal 3 6 3 3 2 2 3 2 2" xfId="30175" xr:uid="{00000000-0005-0000-0000-00001C710000}"/>
    <cellStyle name="Normal 3 6 3 3 2 2 3 2 2 2" xfId="62046" xr:uid="{00000000-0005-0000-0000-00001D710000}"/>
    <cellStyle name="Normal 3 6 3 3 2 2 3 2 3" xfId="39387" xr:uid="{00000000-0005-0000-0000-00001E710000}"/>
    <cellStyle name="Normal 3 6 3 3 2 2 3 3" xfId="22297" xr:uid="{00000000-0005-0000-0000-00001F710000}"/>
    <cellStyle name="Normal 3 6 3 3 2 2 3 3 2" xfId="54168" xr:uid="{00000000-0005-0000-0000-000020710000}"/>
    <cellStyle name="Normal 3 6 3 3 2 2 3 4" xfId="39386" xr:uid="{00000000-0005-0000-0000-000021710000}"/>
    <cellStyle name="Normal 3 6 3 3 2 2 4" xfId="7509" xr:uid="{00000000-0005-0000-0000-000022710000}"/>
    <cellStyle name="Normal 3 6 3 3 2 2 4 2" xfId="26236" xr:uid="{00000000-0005-0000-0000-000023710000}"/>
    <cellStyle name="Normal 3 6 3 3 2 2 4 2 2" xfId="58107" xr:uid="{00000000-0005-0000-0000-000024710000}"/>
    <cellStyle name="Normal 3 6 3 3 2 2 4 3" xfId="39388" xr:uid="{00000000-0005-0000-0000-000025710000}"/>
    <cellStyle name="Normal 3 6 3 3 2 2 5" xfId="18358" xr:uid="{00000000-0005-0000-0000-000026710000}"/>
    <cellStyle name="Normal 3 6 3 3 2 2 5 2" xfId="50229" xr:uid="{00000000-0005-0000-0000-000027710000}"/>
    <cellStyle name="Normal 3 6 3 3 2 2 6" xfId="39381" xr:uid="{00000000-0005-0000-0000-000028710000}"/>
    <cellStyle name="Normal 3 6 3 3 2 3" xfId="7510" xr:uid="{00000000-0005-0000-0000-000029710000}"/>
    <cellStyle name="Normal 3 6 3 3 2 3 2" xfId="7511" xr:uid="{00000000-0005-0000-0000-00002A710000}"/>
    <cellStyle name="Normal 3 6 3 3 2 3 2 2" xfId="7512" xr:uid="{00000000-0005-0000-0000-00002B710000}"/>
    <cellStyle name="Normal 3 6 3 3 2 3 2 2 2" xfId="30177" xr:uid="{00000000-0005-0000-0000-00002C710000}"/>
    <cellStyle name="Normal 3 6 3 3 2 3 2 2 2 2" xfId="62048" xr:uid="{00000000-0005-0000-0000-00002D710000}"/>
    <cellStyle name="Normal 3 6 3 3 2 3 2 2 3" xfId="39391" xr:uid="{00000000-0005-0000-0000-00002E710000}"/>
    <cellStyle name="Normal 3 6 3 3 2 3 2 3" xfId="22299" xr:uid="{00000000-0005-0000-0000-00002F710000}"/>
    <cellStyle name="Normal 3 6 3 3 2 3 2 3 2" xfId="54170" xr:uid="{00000000-0005-0000-0000-000030710000}"/>
    <cellStyle name="Normal 3 6 3 3 2 3 2 4" xfId="39390" xr:uid="{00000000-0005-0000-0000-000031710000}"/>
    <cellStyle name="Normal 3 6 3 3 2 3 3" xfId="7513" xr:uid="{00000000-0005-0000-0000-000032710000}"/>
    <cellStyle name="Normal 3 6 3 3 2 3 3 2" xfId="26238" xr:uid="{00000000-0005-0000-0000-000033710000}"/>
    <cellStyle name="Normal 3 6 3 3 2 3 3 2 2" xfId="58109" xr:uid="{00000000-0005-0000-0000-000034710000}"/>
    <cellStyle name="Normal 3 6 3 3 2 3 3 3" xfId="39392" xr:uid="{00000000-0005-0000-0000-000035710000}"/>
    <cellStyle name="Normal 3 6 3 3 2 3 4" xfId="18360" xr:uid="{00000000-0005-0000-0000-000036710000}"/>
    <cellStyle name="Normal 3 6 3 3 2 3 4 2" xfId="50231" xr:uid="{00000000-0005-0000-0000-000037710000}"/>
    <cellStyle name="Normal 3 6 3 3 2 3 5" xfId="39389" xr:uid="{00000000-0005-0000-0000-000038710000}"/>
    <cellStyle name="Normal 3 6 3 3 2 4" xfId="7514" xr:uid="{00000000-0005-0000-0000-000039710000}"/>
    <cellStyle name="Normal 3 6 3 3 2 4 2" xfId="7515" xr:uid="{00000000-0005-0000-0000-00003A710000}"/>
    <cellStyle name="Normal 3 6 3 3 2 4 2 2" xfId="30174" xr:uid="{00000000-0005-0000-0000-00003B710000}"/>
    <cellStyle name="Normal 3 6 3 3 2 4 2 2 2" xfId="62045" xr:uid="{00000000-0005-0000-0000-00003C710000}"/>
    <cellStyle name="Normal 3 6 3 3 2 4 2 3" xfId="39394" xr:uid="{00000000-0005-0000-0000-00003D710000}"/>
    <cellStyle name="Normal 3 6 3 3 2 4 3" xfId="22296" xr:uid="{00000000-0005-0000-0000-00003E710000}"/>
    <cellStyle name="Normal 3 6 3 3 2 4 3 2" xfId="54167" xr:uid="{00000000-0005-0000-0000-00003F710000}"/>
    <cellStyle name="Normal 3 6 3 3 2 4 4" xfId="39393" xr:uid="{00000000-0005-0000-0000-000040710000}"/>
    <cellStyle name="Normal 3 6 3 3 2 5" xfId="7516" xr:uid="{00000000-0005-0000-0000-000041710000}"/>
    <cellStyle name="Normal 3 6 3 3 2 5 2" xfId="26235" xr:uid="{00000000-0005-0000-0000-000042710000}"/>
    <cellStyle name="Normal 3 6 3 3 2 5 2 2" xfId="58106" xr:uid="{00000000-0005-0000-0000-000043710000}"/>
    <cellStyle name="Normal 3 6 3 3 2 5 3" xfId="39395" xr:uid="{00000000-0005-0000-0000-000044710000}"/>
    <cellStyle name="Normal 3 6 3 3 2 6" xfId="18357" xr:uid="{00000000-0005-0000-0000-000045710000}"/>
    <cellStyle name="Normal 3 6 3 3 2 6 2" xfId="50228" xr:uid="{00000000-0005-0000-0000-000046710000}"/>
    <cellStyle name="Normal 3 6 3 3 2 7" xfId="39380" xr:uid="{00000000-0005-0000-0000-000047710000}"/>
    <cellStyle name="Normal 3 6 3 3 3" xfId="7517" xr:uid="{00000000-0005-0000-0000-000048710000}"/>
    <cellStyle name="Normal 3 6 3 3 3 2" xfId="7518" xr:uid="{00000000-0005-0000-0000-000049710000}"/>
    <cellStyle name="Normal 3 6 3 3 3 2 2" xfId="7519" xr:uid="{00000000-0005-0000-0000-00004A710000}"/>
    <cellStyle name="Normal 3 6 3 3 3 2 2 2" xfId="7520" xr:uid="{00000000-0005-0000-0000-00004B710000}"/>
    <cellStyle name="Normal 3 6 3 3 3 2 2 2 2" xfId="30179" xr:uid="{00000000-0005-0000-0000-00004C710000}"/>
    <cellStyle name="Normal 3 6 3 3 3 2 2 2 2 2" xfId="62050" xr:uid="{00000000-0005-0000-0000-00004D710000}"/>
    <cellStyle name="Normal 3 6 3 3 3 2 2 2 3" xfId="39399" xr:uid="{00000000-0005-0000-0000-00004E710000}"/>
    <cellStyle name="Normal 3 6 3 3 3 2 2 3" xfId="22301" xr:uid="{00000000-0005-0000-0000-00004F710000}"/>
    <cellStyle name="Normal 3 6 3 3 3 2 2 3 2" xfId="54172" xr:uid="{00000000-0005-0000-0000-000050710000}"/>
    <cellStyle name="Normal 3 6 3 3 3 2 2 4" xfId="39398" xr:uid="{00000000-0005-0000-0000-000051710000}"/>
    <cellStyle name="Normal 3 6 3 3 3 2 3" xfId="7521" xr:uid="{00000000-0005-0000-0000-000052710000}"/>
    <cellStyle name="Normal 3 6 3 3 3 2 3 2" xfId="26240" xr:uid="{00000000-0005-0000-0000-000053710000}"/>
    <cellStyle name="Normal 3 6 3 3 3 2 3 2 2" xfId="58111" xr:uid="{00000000-0005-0000-0000-000054710000}"/>
    <cellStyle name="Normal 3 6 3 3 3 2 3 3" xfId="39400" xr:uid="{00000000-0005-0000-0000-000055710000}"/>
    <cellStyle name="Normal 3 6 3 3 3 2 4" xfId="18362" xr:uid="{00000000-0005-0000-0000-000056710000}"/>
    <cellStyle name="Normal 3 6 3 3 3 2 4 2" xfId="50233" xr:uid="{00000000-0005-0000-0000-000057710000}"/>
    <cellStyle name="Normal 3 6 3 3 3 2 5" xfId="39397" xr:uid="{00000000-0005-0000-0000-000058710000}"/>
    <cellStyle name="Normal 3 6 3 3 3 3" xfId="7522" xr:uid="{00000000-0005-0000-0000-000059710000}"/>
    <cellStyle name="Normal 3 6 3 3 3 3 2" xfId="7523" xr:uid="{00000000-0005-0000-0000-00005A710000}"/>
    <cellStyle name="Normal 3 6 3 3 3 3 2 2" xfId="30178" xr:uid="{00000000-0005-0000-0000-00005B710000}"/>
    <cellStyle name="Normal 3 6 3 3 3 3 2 2 2" xfId="62049" xr:uid="{00000000-0005-0000-0000-00005C710000}"/>
    <cellStyle name="Normal 3 6 3 3 3 3 2 3" xfId="39402" xr:uid="{00000000-0005-0000-0000-00005D710000}"/>
    <cellStyle name="Normal 3 6 3 3 3 3 3" xfId="22300" xr:uid="{00000000-0005-0000-0000-00005E710000}"/>
    <cellStyle name="Normal 3 6 3 3 3 3 3 2" xfId="54171" xr:uid="{00000000-0005-0000-0000-00005F710000}"/>
    <cellStyle name="Normal 3 6 3 3 3 3 4" xfId="39401" xr:uid="{00000000-0005-0000-0000-000060710000}"/>
    <cellStyle name="Normal 3 6 3 3 3 4" xfId="7524" xr:uid="{00000000-0005-0000-0000-000061710000}"/>
    <cellStyle name="Normal 3 6 3 3 3 4 2" xfId="26239" xr:uid="{00000000-0005-0000-0000-000062710000}"/>
    <cellStyle name="Normal 3 6 3 3 3 4 2 2" xfId="58110" xr:uid="{00000000-0005-0000-0000-000063710000}"/>
    <cellStyle name="Normal 3 6 3 3 3 4 3" xfId="39403" xr:uid="{00000000-0005-0000-0000-000064710000}"/>
    <cellStyle name="Normal 3 6 3 3 3 5" xfId="18361" xr:uid="{00000000-0005-0000-0000-000065710000}"/>
    <cellStyle name="Normal 3 6 3 3 3 5 2" xfId="50232" xr:uid="{00000000-0005-0000-0000-000066710000}"/>
    <cellStyle name="Normal 3 6 3 3 3 6" xfId="39396" xr:uid="{00000000-0005-0000-0000-000067710000}"/>
    <cellStyle name="Normal 3 6 3 3 4" xfId="7525" xr:uid="{00000000-0005-0000-0000-000068710000}"/>
    <cellStyle name="Normal 3 6 3 3 4 2" xfId="7526" xr:uid="{00000000-0005-0000-0000-000069710000}"/>
    <cellStyle name="Normal 3 6 3 3 4 2 2" xfId="7527" xr:uid="{00000000-0005-0000-0000-00006A710000}"/>
    <cellStyle name="Normal 3 6 3 3 4 2 2 2" xfId="30180" xr:uid="{00000000-0005-0000-0000-00006B710000}"/>
    <cellStyle name="Normal 3 6 3 3 4 2 2 2 2" xfId="62051" xr:uid="{00000000-0005-0000-0000-00006C710000}"/>
    <cellStyle name="Normal 3 6 3 3 4 2 2 3" xfId="39406" xr:uid="{00000000-0005-0000-0000-00006D710000}"/>
    <cellStyle name="Normal 3 6 3 3 4 2 3" xfId="22302" xr:uid="{00000000-0005-0000-0000-00006E710000}"/>
    <cellStyle name="Normal 3 6 3 3 4 2 3 2" xfId="54173" xr:uid="{00000000-0005-0000-0000-00006F710000}"/>
    <cellStyle name="Normal 3 6 3 3 4 2 4" xfId="39405" xr:uid="{00000000-0005-0000-0000-000070710000}"/>
    <cellStyle name="Normal 3 6 3 3 4 3" xfId="7528" xr:uid="{00000000-0005-0000-0000-000071710000}"/>
    <cellStyle name="Normal 3 6 3 3 4 3 2" xfId="26241" xr:uid="{00000000-0005-0000-0000-000072710000}"/>
    <cellStyle name="Normal 3 6 3 3 4 3 2 2" xfId="58112" xr:uid="{00000000-0005-0000-0000-000073710000}"/>
    <cellStyle name="Normal 3 6 3 3 4 3 3" xfId="39407" xr:uid="{00000000-0005-0000-0000-000074710000}"/>
    <cellStyle name="Normal 3 6 3 3 4 4" xfId="18363" xr:uid="{00000000-0005-0000-0000-000075710000}"/>
    <cellStyle name="Normal 3 6 3 3 4 4 2" xfId="50234" xr:uid="{00000000-0005-0000-0000-000076710000}"/>
    <cellStyle name="Normal 3 6 3 3 4 5" xfId="39404" xr:uid="{00000000-0005-0000-0000-000077710000}"/>
    <cellStyle name="Normal 3 6 3 3 5" xfId="7529" xr:uid="{00000000-0005-0000-0000-000078710000}"/>
    <cellStyle name="Normal 3 6 3 3 5 2" xfId="7530" xr:uid="{00000000-0005-0000-0000-000079710000}"/>
    <cellStyle name="Normal 3 6 3 3 5 2 2" xfId="30173" xr:uid="{00000000-0005-0000-0000-00007A710000}"/>
    <cellStyle name="Normal 3 6 3 3 5 2 2 2" xfId="62044" xr:uid="{00000000-0005-0000-0000-00007B710000}"/>
    <cellStyle name="Normal 3 6 3 3 5 2 3" xfId="39409" xr:uid="{00000000-0005-0000-0000-00007C710000}"/>
    <cellStyle name="Normal 3 6 3 3 5 3" xfId="22295" xr:uid="{00000000-0005-0000-0000-00007D710000}"/>
    <cellStyle name="Normal 3 6 3 3 5 3 2" xfId="54166" xr:uid="{00000000-0005-0000-0000-00007E710000}"/>
    <cellStyle name="Normal 3 6 3 3 5 4" xfId="39408" xr:uid="{00000000-0005-0000-0000-00007F710000}"/>
    <cellStyle name="Normal 3 6 3 3 6" xfId="7531" xr:uid="{00000000-0005-0000-0000-000080710000}"/>
    <cellStyle name="Normal 3 6 3 3 6 2" xfId="26234" xr:uid="{00000000-0005-0000-0000-000081710000}"/>
    <cellStyle name="Normal 3 6 3 3 6 2 2" xfId="58105" xr:uid="{00000000-0005-0000-0000-000082710000}"/>
    <cellStyle name="Normal 3 6 3 3 6 3" xfId="39410" xr:uid="{00000000-0005-0000-0000-000083710000}"/>
    <cellStyle name="Normal 3 6 3 3 7" xfId="18356" xr:uid="{00000000-0005-0000-0000-000084710000}"/>
    <cellStyle name="Normal 3 6 3 3 7 2" xfId="50227" xr:uid="{00000000-0005-0000-0000-000085710000}"/>
    <cellStyle name="Normal 3 6 3 3 8" xfId="39379" xr:uid="{00000000-0005-0000-0000-000086710000}"/>
    <cellStyle name="Normal 3 6 3 4" xfId="7532" xr:uid="{00000000-0005-0000-0000-000087710000}"/>
    <cellStyle name="Normal 3 6 3 4 2" xfId="7533" xr:uid="{00000000-0005-0000-0000-000088710000}"/>
    <cellStyle name="Normal 3 6 3 4 2 2" xfId="7534" xr:uid="{00000000-0005-0000-0000-000089710000}"/>
    <cellStyle name="Normal 3 6 3 4 2 2 2" xfId="7535" xr:uid="{00000000-0005-0000-0000-00008A710000}"/>
    <cellStyle name="Normal 3 6 3 4 2 2 2 2" xfId="7536" xr:uid="{00000000-0005-0000-0000-00008B710000}"/>
    <cellStyle name="Normal 3 6 3 4 2 2 2 2 2" xfId="30183" xr:uid="{00000000-0005-0000-0000-00008C710000}"/>
    <cellStyle name="Normal 3 6 3 4 2 2 2 2 2 2" xfId="62054" xr:uid="{00000000-0005-0000-0000-00008D710000}"/>
    <cellStyle name="Normal 3 6 3 4 2 2 2 2 3" xfId="39415" xr:uid="{00000000-0005-0000-0000-00008E710000}"/>
    <cellStyle name="Normal 3 6 3 4 2 2 2 3" xfId="22305" xr:uid="{00000000-0005-0000-0000-00008F710000}"/>
    <cellStyle name="Normal 3 6 3 4 2 2 2 3 2" xfId="54176" xr:uid="{00000000-0005-0000-0000-000090710000}"/>
    <cellStyle name="Normal 3 6 3 4 2 2 2 4" xfId="39414" xr:uid="{00000000-0005-0000-0000-000091710000}"/>
    <cellStyle name="Normal 3 6 3 4 2 2 3" xfId="7537" xr:uid="{00000000-0005-0000-0000-000092710000}"/>
    <cellStyle name="Normal 3 6 3 4 2 2 3 2" xfId="26244" xr:uid="{00000000-0005-0000-0000-000093710000}"/>
    <cellStyle name="Normal 3 6 3 4 2 2 3 2 2" xfId="58115" xr:uid="{00000000-0005-0000-0000-000094710000}"/>
    <cellStyle name="Normal 3 6 3 4 2 2 3 3" xfId="39416" xr:uid="{00000000-0005-0000-0000-000095710000}"/>
    <cellStyle name="Normal 3 6 3 4 2 2 4" xfId="18366" xr:uid="{00000000-0005-0000-0000-000096710000}"/>
    <cellStyle name="Normal 3 6 3 4 2 2 4 2" xfId="50237" xr:uid="{00000000-0005-0000-0000-000097710000}"/>
    <cellStyle name="Normal 3 6 3 4 2 2 5" xfId="39413" xr:uid="{00000000-0005-0000-0000-000098710000}"/>
    <cellStyle name="Normal 3 6 3 4 2 3" xfId="7538" xr:uid="{00000000-0005-0000-0000-000099710000}"/>
    <cellStyle name="Normal 3 6 3 4 2 3 2" xfId="7539" xr:uid="{00000000-0005-0000-0000-00009A710000}"/>
    <cellStyle name="Normal 3 6 3 4 2 3 2 2" xfId="30182" xr:uid="{00000000-0005-0000-0000-00009B710000}"/>
    <cellStyle name="Normal 3 6 3 4 2 3 2 2 2" xfId="62053" xr:uid="{00000000-0005-0000-0000-00009C710000}"/>
    <cellStyle name="Normal 3 6 3 4 2 3 2 3" xfId="39418" xr:uid="{00000000-0005-0000-0000-00009D710000}"/>
    <cellStyle name="Normal 3 6 3 4 2 3 3" xfId="22304" xr:uid="{00000000-0005-0000-0000-00009E710000}"/>
    <cellStyle name="Normal 3 6 3 4 2 3 3 2" xfId="54175" xr:uid="{00000000-0005-0000-0000-00009F710000}"/>
    <cellStyle name="Normal 3 6 3 4 2 3 4" xfId="39417" xr:uid="{00000000-0005-0000-0000-0000A0710000}"/>
    <cellStyle name="Normal 3 6 3 4 2 4" xfId="7540" xr:uid="{00000000-0005-0000-0000-0000A1710000}"/>
    <cellStyle name="Normal 3 6 3 4 2 4 2" xfId="26243" xr:uid="{00000000-0005-0000-0000-0000A2710000}"/>
    <cellStyle name="Normal 3 6 3 4 2 4 2 2" xfId="58114" xr:uid="{00000000-0005-0000-0000-0000A3710000}"/>
    <cellStyle name="Normal 3 6 3 4 2 4 3" xfId="39419" xr:uid="{00000000-0005-0000-0000-0000A4710000}"/>
    <cellStyle name="Normal 3 6 3 4 2 5" xfId="18365" xr:uid="{00000000-0005-0000-0000-0000A5710000}"/>
    <cellStyle name="Normal 3 6 3 4 2 5 2" xfId="50236" xr:uid="{00000000-0005-0000-0000-0000A6710000}"/>
    <cellStyle name="Normal 3 6 3 4 2 6" xfId="39412" xr:uid="{00000000-0005-0000-0000-0000A7710000}"/>
    <cellStyle name="Normal 3 6 3 4 3" xfId="7541" xr:uid="{00000000-0005-0000-0000-0000A8710000}"/>
    <cellStyle name="Normal 3 6 3 4 3 2" xfId="7542" xr:uid="{00000000-0005-0000-0000-0000A9710000}"/>
    <cellStyle name="Normal 3 6 3 4 3 2 2" xfId="7543" xr:uid="{00000000-0005-0000-0000-0000AA710000}"/>
    <cellStyle name="Normal 3 6 3 4 3 2 2 2" xfId="30184" xr:uid="{00000000-0005-0000-0000-0000AB710000}"/>
    <cellStyle name="Normal 3 6 3 4 3 2 2 2 2" xfId="62055" xr:uid="{00000000-0005-0000-0000-0000AC710000}"/>
    <cellStyle name="Normal 3 6 3 4 3 2 2 3" xfId="39422" xr:uid="{00000000-0005-0000-0000-0000AD710000}"/>
    <cellStyle name="Normal 3 6 3 4 3 2 3" xfId="22306" xr:uid="{00000000-0005-0000-0000-0000AE710000}"/>
    <cellStyle name="Normal 3 6 3 4 3 2 3 2" xfId="54177" xr:uid="{00000000-0005-0000-0000-0000AF710000}"/>
    <cellStyle name="Normal 3 6 3 4 3 2 4" xfId="39421" xr:uid="{00000000-0005-0000-0000-0000B0710000}"/>
    <cellStyle name="Normal 3 6 3 4 3 3" xfId="7544" xr:uid="{00000000-0005-0000-0000-0000B1710000}"/>
    <cellStyle name="Normal 3 6 3 4 3 3 2" xfId="26245" xr:uid="{00000000-0005-0000-0000-0000B2710000}"/>
    <cellStyle name="Normal 3 6 3 4 3 3 2 2" xfId="58116" xr:uid="{00000000-0005-0000-0000-0000B3710000}"/>
    <cellStyle name="Normal 3 6 3 4 3 3 3" xfId="39423" xr:uid="{00000000-0005-0000-0000-0000B4710000}"/>
    <cellStyle name="Normal 3 6 3 4 3 4" xfId="18367" xr:uid="{00000000-0005-0000-0000-0000B5710000}"/>
    <cellStyle name="Normal 3 6 3 4 3 4 2" xfId="50238" xr:uid="{00000000-0005-0000-0000-0000B6710000}"/>
    <cellStyle name="Normal 3 6 3 4 3 5" xfId="39420" xr:uid="{00000000-0005-0000-0000-0000B7710000}"/>
    <cellStyle name="Normal 3 6 3 4 4" xfId="7545" xr:uid="{00000000-0005-0000-0000-0000B8710000}"/>
    <cellStyle name="Normal 3 6 3 4 4 2" xfId="7546" xr:uid="{00000000-0005-0000-0000-0000B9710000}"/>
    <cellStyle name="Normal 3 6 3 4 4 2 2" xfId="30181" xr:uid="{00000000-0005-0000-0000-0000BA710000}"/>
    <cellStyle name="Normal 3 6 3 4 4 2 2 2" xfId="62052" xr:uid="{00000000-0005-0000-0000-0000BB710000}"/>
    <cellStyle name="Normal 3 6 3 4 4 2 3" xfId="39425" xr:uid="{00000000-0005-0000-0000-0000BC710000}"/>
    <cellStyle name="Normal 3 6 3 4 4 3" xfId="22303" xr:uid="{00000000-0005-0000-0000-0000BD710000}"/>
    <cellStyle name="Normal 3 6 3 4 4 3 2" xfId="54174" xr:uid="{00000000-0005-0000-0000-0000BE710000}"/>
    <cellStyle name="Normal 3 6 3 4 4 4" xfId="39424" xr:uid="{00000000-0005-0000-0000-0000BF710000}"/>
    <cellStyle name="Normal 3 6 3 4 5" xfId="7547" xr:uid="{00000000-0005-0000-0000-0000C0710000}"/>
    <cellStyle name="Normal 3 6 3 4 5 2" xfId="26242" xr:uid="{00000000-0005-0000-0000-0000C1710000}"/>
    <cellStyle name="Normal 3 6 3 4 5 2 2" xfId="58113" xr:uid="{00000000-0005-0000-0000-0000C2710000}"/>
    <cellStyle name="Normal 3 6 3 4 5 3" xfId="39426" xr:uid="{00000000-0005-0000-0000-0000C3710000}"/>
    <cellStyle name="Normal 3 6 3 4 6" xfId="18364" xr:uid="{00000000-0005-0000-0000-0000C4710000}"/>
    <cellStyle name="Normal 3 6 3 4 6 2" xfId="50235" xr:uid="{00000000-0005-0000-0000-0000C5710000}"/>
    <cellStyle name="Normal 3 6 3 4 7" xfId="39411" xr:uid="{00000000-0005-0000-0000-0000C6710000}"/>
    <cellStyle name="Normal 3 6 3 5" xfId="7548" xr:uid="{00000000-0005-0000-0000-0000C7710000}"/>
    <cellStyle name="Normal 3 6 3 5 2" xfId="7549" xr:uid="{00000000-0005-0000-0000-0000C8710000}"/>
    <cellStyle name="Normal 3 6 3 5 2 2" xfId="7550" xr:uid="{00000000-0005-0000-0000-0000C9710000}"/>
    <cellStyle name="Normal 3 6 3 5 2 2 2" xfId="7551" xr:uid="{00000000-0005-0000-0000-0000CA710000}"/>
    <cellStyle name="Normal 3 6 3 5 2 2 2 2" xfId="30186" xr:uid="{00000000-0005-0000-0000-0000CB710000}"/>
    <cellStyle name="Normal 3 6 3 5 2 2 2 2 2" xfId="62057" xr:uid="{00000000-0005-0000-0000-0000CC710000}"/>
    <cellStyle name="Normal 3 6 3 5 2 2 2 3" xfId="39430" xr:uid="{00000000-0005-0000-0000-0000CD710000}"/>
    <cellStyle name="Normal 3 6 3 5 2 2 3" xfId="22308" xr:uid="{00000000-0005-0000-0000-0000CE710000}"/>
    <cellStyle name="Normal 3 6 3 5 2 2 3 2" xfId="54179" xr:uid="{00000000-0005-0000-0000-0000CF710000}"/>
    <cellStyle name="Normal 3 6 3 5 2 2 4" xfId="39429" xr:uid="{00000000-0005-0000-0000-0000D0710000}"/>
    <cellStyle name="Normal 3 6 3 5 2 3" xfId="7552" xr:uid="{00000000-0005-0000-0000-0000D1710000}"/>
    <cellStyle name="Normal 3 6 3 5 2 3 2" xfId="26247" xr:uid="{00000000-0005-0000-0000-0000D2710000}"/>
    <cellStyle name="Normal 3 6 3 5 2 3 2 2" xfId="58118" xr:uid="{00000000-0005-0000-0000-0000D3710000}"/>
    <cellStyle name="Normal 3 6 3 5 2 3 3" xfId="39431" xr:uid="{00000000-0005-0000-0000-0000D4710000}"/>
    <cellStyle name="Normal 3 6 3 5 2 4" xfId="18369" xr:uid="{00000000-0005-0000-0000-0000D5710000}"/>
    <cellStyle name="Normal 3 6 3 5 2 4 2" xfId="50240" xr:uid="{00000000-0005-0000-0000-0000D6710000}"/>
    <cellStyle name="Normal 3 6 3 5 2 5" xfId="39428" xr:uid="{00000000-0005-0000-0000-0000D7710000}"/>
    <cellStyle name="Normal 3 6 3 5 3" xfId="7553" xr:uid="{00000000-0005-0000-0000-0000D8710000}"/>
    <cellStyle name="Normal 3 6 3 5 3 2" xfId="7554" xr:uid="{00000000-0005-0000-0000-0000D9710000}"/>
    <cellStyle name="Normal 3 6 3 5 3 2 2" xfId="30185" xr:uid="{00000000-0005-0000-0000-0000DA710000}"/>
    <cellStyle name="Normal 3 6 3 5 3 2 2 2" xfId="62056" xr:uid="{00000000-0005-0000-0000-0000DB710000}"/>
    <cellStyle name="Normal 3 6 3 5 3 2 3" xfId="39433" xr:uid="{00000000-0005-0000-0000-0000DC710000}"/>
    <cellStyle name="Normal 3 6 3 5 3 3" xfId="22307" xr:uid="{00000000-0005-0000-0000-0000DD710000}"/>
    <cellStyle name="Normal 3 6 3 5 3 3 2" xfId="54178" xr:uid="{00000000-0005-0000-0000-0000DE710000}"/>
    <cellStyle name="Normal 3 6 3 5 3 4" xfId="39432" xr:uid="{00000000-0005-0000-0000-0000DF710000}"/>
    <cellStyle name="Normal 3 6 3 5 4" xfId="7555" xr:uid="{00000000-0005-0000-0000-0000E0710000}"/>
    <cellStyle name="Normal 3 6 3 5 4 2" xfId="26246" xr:uid="{00000000-0005-0000-0000-0000E1710000}"/>
    <cellStyle name="Normal 3 6 3 5 4 2 2" xfId="58117" xr:uid="{00000000-0005-0000-0000-0000E2710000}"/>
    <cellStyle name="Normal 3 6 3 5 4 3" xfId="39434" xr:uid="{00000000-0005-0000-0000-0000E3710000}"/>
    <cellStyle name="Normal 3 6 3 5 5" xfId="18368" xr:uid="{00000000-0005-0000-0000-0000E4710000}"/>
    <cellStyle name="Normal 3 6 3 5 5 2" xfId="50239" xr:uid="{00000000-0005-0000-0000-0000E5710000}"/>
    <cellStyle name="Normal 3 6 3 5 6" xfId="39427" xr:uid="{00000000-0005-0000-0000-0000E6710000}"/>
    <cellStyle name="Normal 3 6 3 6" xfId="7556" xr:uid="{00000000-0005-0000-0000-0000E7710000}"/>
    <cellStyle name="Normal 3 6 3 6 2" xfId="7557" xr:uid="{00000000-0005-0000-0000-0000E8710000}"/>
    <cellStyle name="Normal 3 6 3 6 2 2" xfId="7558" xr:uid="{00000000-0005-0000-0000-0000E9710000}"/>
    <cellStyle name="Normal 3 6 3 6 2 2 2" xfId="30187" xr:uid="{00000000-0005-0000-0000-0000EA710000}"/>
    <cellStyle name="Normal 3 6 3 6 2 2 2 2" xfId="62058" xr:uid="{00000000-0005-0000-0000-0000EB710000}"/>
    <cellStyle name="Normal 3 6 3 6 2 2 3" xfId="39437" xr:uid="{00000000-0005-0000-0000-0000EC710000}"/>
    <cellStyle name="Normal 3 6 3 6 2 3" xfId="22309" xr:uid="{00000000-0005-0000-0000-0000ED710000}"/>
    <cellStyle name="Normal 3 6 3 6 2 3 2" xfId="54180" xr:uid="{00000000-0005-0000-0000-0000EE710000}"/>
    <cellStyle name="Normal 3 6 3 6 2 4" xfId="39436" xr:uid="{00000000-0005-0000-0000-0000EF710000}"/>
    <cellStyle name="Normal 3 6 3 6 3" xfId="7559" xr:uid="{00000000-0005-0000-0000-0000F0710000}"/>
    <cellStyle name="Normal 3 6 3 6 3 2" xfId="26248" xr:uid="{00000000-0005-0000-0000-0000F1710000}"/>
    <cellStyle name="Normal 3 6 3 6 3 2 2" xfId="58119" xr:uid="{00000000-0005-0000-0000-0000F2710000}"/>
    <cellStyle name="Normal 3 6 3 6 3 3" xfId="39438" xr:uid="{00000000-0005-0000-0000-0000F3710000}"/>
    <cellStyle name="Normal 3 6 3 6 4" xfId="18370" xr:uid="{00000000-0005-0000-0000-0000F4710000}"/>
    <cellStyle name="Normal 3 6 3 6 4 2" xfId="50241" xr:uid="{00000000-0005-0000-0000-0000F5710000}"/>
    <cellStyle name="Normal 3 6 3 6 5" xfId="39435" xr:uid="{00000000-0005-0000-0000-0000F6710000}"/>
    <cellStyle name="Normal 3 6 3 7" xfId="7560" xr:uid="{00000000-0005-0000-0000-0000F7710000}"/>
    <cellStyle name="Normal 3 6 3 7 2" xfId="7561" xr:uid="{00000000-0005-0000-0000-0000F8710000}"/>
    <cellStyle name="Normal 3 6 3 7 2 2" xfId="28357" xr:uid="{00000000-0005-0000-0000-0000F9710000}"/>
    <cellStyle name="Normal 3 6 3 7 2 2 2" xfId="60228" xr:uid="{00000000-0005-0000-0000-0000FA710000}"/>
    <cellStyle name="Normal 3 6 3 7 2 3" xfId="39440" xr:uid="{00000000-0005-0000-0000-0000FB710000}"/>
    <cellStyle name="Normal 3 6 3 7 3" xfId="20479" xr:uid="{00000000-0005-0000-0000-0000FC710000}"/>
    <cellStyle name="Normal 3 6 3 7 3 2" xfId="52350" xr:uid="{00000000-0005-0000-0000-0000FD710000}"/>
    <cellStyle name="Normal 3 6 3 7 4" xfId="39439" xr:uid="{00000000-0005-0000-0000-0000FE710000}"/>
    <cellStyle name="Normal 3 6 3 8" xfId="7562" xr:uid="{00000000-0005-0000-0000-0000FF710000}"/>
    <cellStyle name="Normal 3 6 3 8 2" xfId="24418" xr:uid="{00000000-0005-0000-0000-000000720000}"/>
    <cellStyle name="Normal 3 6 3 8 2 2" xfId="56289" xr:uid="{00000000-0005-0000-0000-000001720000}"/>
    <cellStyle name="Normal 3 6 3 8 3" xfId="39441" xr:uid="{00000000-0005-0000-0000-000002720000}"/>
    <cellStyle name="Normal 3 6 3 9" xfId="16540" xr:uid="{00000000-0005-0000-0000-000003720000}"/>
    <cellStyle name="Normal 3 6 3 9 2" xfId="48411" xr:uid="{00000000-0005-0000-0000-000004720000}"/>
    <cellStyle name="Normal 3 6 4" xfId="7563" xr:uid="{00000000-0005-0000-0000-000005720000}"/>
    <cellStyle name="Normal 3 6 4 2" xfId="7564" xr:uid="{00000000-0005-0000-0000-000006720000}"/>
    <cellStyle name="Normal 3 6 4 2 2" xfId="7565" xr:uid="{00000000-0005-0000-0000-000007720000}"/>
    <cellStyle name="Normal 3 6 4 2 2 2" xfId="7566" xr:uid="{00000000-0005-0000-0000-000008720000}"/>
    <cellStyle name="Normal 3 6 4 2 2 2 2" xfId="7567" xr:uid="{00000000-0005-0000-0000-000009720000}"/>
    <cellStyle name="Normal 3 6 4 2 2 2 2 2" xfId="7568" xr:uid="{00000000-0005-0000-0000-00000A720000}"/>
    <cellStyle name="Normal 3 6 4 2 2 2 2 2 2" xfId="7569" xr:uid="{00000000-0005-0000-0000-00000B720000}"/>
    <cellStyle name="Normal 3 6 4 2 2 2 2 2 2 2" xfId="30191" xr:uid="{00000000-0005-0000-0000-00000C720000}"/>
    <cellStyle name="Normal 3 6 4 2 2 2 2 2 2 2 2" xfId="62062" xr:uid="{00000000-0005-0000-0000-00000D720000}"/>
    <cellStyle name="Normal 3 6 4 2 2 2 2 2 2 3" xfId="39448" xr:uid="{00000000-0005-0000-0000-00000E720000}"/>
    <cellStyle name="Normal 3 6 4 2 2 2 2 2 3" xfId="22313" xr:uid="{00000000-0005-0000-0000-00000F720000}"/>
    <cellStyle name="Normal 3 6 4 2 2 2 2 2 3 2" xfId="54184" xr:uid="{00000000-0005-0000-0000-000010720000}"/>
    <cellStyle name="Normal 3 6 4 2 2 2 2 2 4" xfId="39447" xr:uid="{00000000-0005-0000-0000-000011720000}"/>
    <cellStyle name="Normal 3 6 4 2 2 2 2 3" xfId="7570" xr:uid="{00000000-0005-0000-0000-000012720000}"/>
    <cellStyle name="Normal 3 6 4 2 2 2 2 3 2" xfId="26252" xr:uid="{00000000-0005-0000-0000-000013720000}"/>
    <cellStyle name="Normal 3 6 4 2 2 2 2 3 2 2" xfId="58123" xr:uid="{00000000-0005-0000-0000-000014720000}"/>
    <cellStyle name="Normal 3 6 4 2 2 2 2 3 3" xfId="39449" xr:uid="{00000000-0005-0000-0000-000015720000}"/>
    <cellStyle name="Normal 3 6 4 2 2 2 2 4" xfId="18374" xr:uid="{00000000-0005-0000-0000-000016720000}"/>
    <cellStyle name="Normal 3 6 4 2 2 2 2 4 2" xfId="50245" xr:uid="{00000000-0005-0000-0000-000017720000}"/>
    <cellStyle name="Normal 3 6 4 2 2 2 2 5" xfId="39446" xr:uid="{00000000-0005-0000-0000-000018720000}"/>
    <cellStyle name="Normal 3 6 4 2 2 2 3" xfId="7571" xr:uid="{00000000-0005-0000-0000-000019720000}"/>
    <cellStyle name="Normal 3 6 4 2 2 2 3 2" xfId="7572" xr:uid="{00000000-0005-0000-0000-00001A720000}"/>
    <cellStyle name="Normal 3 6 4 2 2 2 3 2 2" xfId="30190" xr:uid="{00000000-0005-0000-0000-00001B720000}"/>
    <cellStyle name="Normal 3 6 4 2 2 2 3 2 2 2" xfId="62061" xr:uid="{00000000-0005-0000-0000-00001C720000}"/>
    <cellStyle name="Normal 3 6 4 2 2 2 3 2 3" xfId="39451" xr:uid="{00000000-0005-0000-0000-00001D720000}"/>
    <cellStyle name="Normal 3 6 4 2 2 2 3 3" xfId="22312" xr:uid="{00000000-0005-0000-0000-00001E720000}"/>
    <cellStyle name="Normal 3 6 4 2 2 2 3 3 2" xfId="54183" xr:uid="{00000000-0005-0000-0000-00001F720000}"/>
    <cellStyle name="Normal 3 6 4 2 2 2 3 4" xfId="39450" xr:uid="{00000000-0005-0000-0000-000020720000}"/>
    <cellStyle name="Normal 3 6 4 2 2 2 4" xfId="7573" xr:uid="{00000000-0005-0000-0000-000021720000}"/>
    <cellStyle name="Normal 3 6 4 2 2 2 4 2" xfId="26251" xr:uid="{00000000-0005-0000-0000-000022720000}"/>
    <cellStyle name="Normal 3 6 4 2 2 2 4 2 2" xfId="58122" xr:uid="{00000000-0005-0000-0000-000023720000}"/>
    <cellStyle name="Normal 3 6 4 2 2 2 4 3" xfId="39452" xr:uid="{00000000-0005-0000-0000-000024720000}"/>
    <cellStyle name="Normal 3 6 4 2 2 2 5" xfId="18373" xr:uid="{00000000-0005-0000-0000-000025720000}"/>
    <cellStyle name="Normal 3 6 4 2 2 2 5 2" xfId="50244" xr:uid="{00000000-0005-0000-0000-000026720000}"/>
    <cellStyle name="Normal 3 6 4 2 2 2 6" xfId="39445" xr:uid="{00000000-0005-0000-0000-000027720000}"/>
    <cellStyle name="Normal 3 6 4 2 2 3" xfId="7574" xr:uid="{00000000-0005-0000-0000-000028720000}"/>
    <cellStyle name="Normal 3 6 4 2 2 3 2" xfId="7575" xr:uid="{00000000-0005-0000-0000-000029720000}"/>
    <cellStyle name="Normal 3 6 4 2 2 3 2 2" xfId="7576" xr:uid="{00000000-0005-0000-0000-00002A720000}"/>
    <cellStyle name="Normal 3 6 4 2 2 3 2 2 2" xfId="30192" xr:uid="{00000000-0005-0000-0000-00002B720000}"/>
    <cellStyle name="Normal 3 6 4 2 2 3 2 2 2 2" xfId="62063" xr:uid="{00000000-0005-0000-0000-00002C720000}"/>
    <cellStyle name="Normal 3 6 4 2 2 3 2 2 3" xfId="39455" xr:uid="{00000000-0005-0000-0000-00002D720000}"/>
    <cellStyle name="Normal 3 6 4 2 2 3 2 3" xfId="22314" xr:uid="{00000000-0005-0000-0000-00002E720000}"/>
    <cellStyle name="Normal 3 6 4 2 2 3 2 3 2" xfId="54185" xr:uid="{00000000-0005-0000-0000-00002F720000}"/>
    <cellStyle name="Normal 3 6 4 2 2 3 2 4" xfId="39454" xr:uid="{00000000-0005-0000-0000-000030720000}"/>
    <cellStyle name="Normal 3 6 4 2 2 3 3" xfId="7577" xr:uid="{00000000-0005-0000-0000-000031720000}"/>
    <cellStyle name="Normal 3 6 4 2 2 3 3 2" xfId="26253" xr:uid="{00000000-0005-0000-0000-000032720000}"/>
    <cellStyle name="Normal 3 6 4 2 2 3 3 2 2" xfId="58124" xr:uid="{00000000-0005-0000-0000-000033720000}"/>
    <cellStyle name="Normal 3 6 4 2 2 3 3 3" xfId="39456" xr:uid="{00000000-0005-0000-0000-000034720000}"/>
    <cellStyle name="Normal 3 6 4 2 2 3 4" xfId="18375" xr:uid="{00000000-0005-0000-0000-000035720000}"/>
    <cellStyle name="Normal 3 6 4 2 2 3 4 2" xfId="50246" xr:uid="{00000000-0005-0000-0000-000036720000}"/>
    <cellStyle name="Normal 3 6 4 2 2 3 5" xfId="39453" xr:uid="{00000000-0005-0000-0000-000037720000}"/>
    <cellStyle name="Normal 3 6 4 2 2 4" xfId="7578" xr:uid="{00000000-0005-0000-0000-000038720000}"/>
    <cellStyle name="Normal 3 6 4 2 2 4 2" xfId="7579" xr:uid="{00000000-0005-0000-0000-000039720000}"/>
    <cellStyle name="Normal 3 6 4 2 2 4 2 2" xfId="30189" xr:uid="{00000000-0005-0000-0000-00003A720000}"/>
    <cellStyle name="Normal 3 6 4 2 2 4 2 2 2" xfId="62060" xr:uid="{00000000-0005-0000-0000-00003B720000}"/>
    <cellStyle name="Normal 3 6 4 2 2 4 2 3" xfId="39458" xr:uid="{00000000-0005-0000-0000-00003C720000}"/>
    <cellStyle name="Normal 3 6 4 2 2 4 3" xfId="22311" xr:uid="{00000000-0005-0000-0000-00003D720000}"/>
    <cellStyle name="Normal 3 6 4 2 2 4 3 2" xfId="54182" xr:uid="{00000000-0005-0000-0000-00003E720000}"/>
    <cellStyle name="Normal 3 6 4 2 2 4 4" xfId="39457" xr:uid="{00000000-0005-0000-0000-00003F720000}"/>
    <cellStyle name="Normal 3 6 4 2 2 5" xfId="7580" xr:uid="{00000000-0005-0000-0000-000040720000}"/>
    <cellStyle name="Normal 3 6 4 2 2 5 2" xfId="26250" xr:uid="{00000000-0005-0000-0000-000041720000}"/>
    <cellStyle name="Normal 3 6 4 2 2 5 2 2" xfId="58121" xr:uid="{00000000-0005-0000-0000-000042720000}"/>
    <cellStyle name="Normal 3 6 4 2 2 5 3" xfId="39459" xr:uid="{00000000-0005-0000-0000-000043720000}"/>
    <cellStyle name="Normal 3 6 4 2 2 6" xfId="18372" xr:uid="{00000000-0005-0000-0000-000044720000}"/>
    <cellStyle name="Normal 3 6 4 2 2 6 2" xfId="50243" xr:uid="{00000000-0005-0000-0000-000045720000}"/>
    <cellStyle name="Normal 3 6 4 2 2 7" xfId="39444" xr:uid="{00000000-0005-0000-0000-000046720000}"/>
    <cellStyle name="Normal 3 6 4 2 3" xfId="7581" xr:uid="{00000000-0005-0000-0000-000047720000}"/>
    <cellStyle name="Normal 3 6 4 2 3 2" xfId="7582" xr:uid="{00000000-0005-0000-0000-000048720000}"/>
    <cellStyle name="Normal 3 6 4 2 3 2 2" xfId="7583" xr:uid="{00000000-0005-0000-0000-000049720000}"/>
    <cellStyle name="Normal 3 6 4 2 3 2 2 2" xfId="7584" xr:uid="{00000000-0005-0000-0000-00004A720000}"/>
    <cellStyle name="Normal 3 6 4 2 3 2 2 2 2" xfId="30194" xr:uid="{00000000-0005-0000-0000-00004B720000}"/>
    <cellStyle name="Normal 3 6 4 2 3 2 2 2 2 2" xfId="62065" xr:uid="{00000000-0005-0000-0000-00004C720000}"/>
    <cellStyle name="Normal 3 6 4 2 3 2 2 2 3" xfId="39463" xr:uid="{00000000-0005-0000-0000-00004D720000}"/>
    <cellStyle name="Normal 3 6 4 2 3 2 2 3" xfId="22316" xr:uid="{00000000-0005-0000-0000-00004E720000}"/>
    <cellStyle name="Normal 3 6 4 2 3 2 2 3 2" xfId="54187" xr:uid="{00000000-0005-0000-0000-00004F720000}"/>
    <cellStyle name="Normal 3 6 4 2 3 2 2 4" xfId="39462" xr:uid="{00000000-0005-0000-0000-000050720000}"/>
    <cellStyle name="Normal 3 6 4 2 3 2 3" xfId="7585" xr:uid="{00000000-0005-0000-0000-000051720000}"/>
    <cellStyle name="Normal 3 6 4 2 3 2 3 2" xfId="26255" xr:uid="{00000000-0005-0000-0000-000052720000}"/>
    <cellStyle name="Normal 3 6 4 2 3 2 3 2 2" xfId="58126" xr:uid="{00000000-0005-0000-0000-000053720000}"/>
    <cellStyle name="Normal 3 6 4 2 3 2 3 3" xfId="39464" xr:uid="{00000000-0005-0000-0000-000054720000}"/>
    <cellStyle name="Normal 3 6 4 2 3 2 4" xfId="18377" xr:uid="{00000000-0005-0000-0000-000055720000}"/>
    <cellStyle name="Normal 3 6 4 2 3 2 4 2" xfId="50248" xr:uid="{00000000-0005-0000-0000-000056720000}"/>
    <cellStyle name="Normal 3 6 4 2 3 2 5" xfId="39461" xr:uid="{00000000-0005-0000-0000-000057720000}"/>
    <cellStyle name="Normal 3 6 4 2 3 3" xfId="7586" xr:uid="{00000000-0005-0000-0000-000058720000}"/>
    <cellStyle name="Normal 3 6 4 2 3 3 2" xfId="7587" xr:uid="{00000000-0005-0000-0000-000059720000}"/>
    <cellStyle name="Normal 3 6 4 2 3 3 2 2" xfId="30193" xr:uid="{00000000-0005-0000-0000-00005A720000}"/>
    <cellStyle name="Normal 3 6 4 2 3 3 2 2 2" xfId="62064" xr:uid="{00000000-0005-0000-0000-00005B720000}"/>
    <cellStyle name="Normal 3 6 4 2 3 3 2 3" xfId="39466" xr:uid="{00000000-0005-0000-0000-00005C720000}"/>
    <cellStyle name="Normal 3 6 4 2 3 3 3" xfId="22315" xr:uid="{00000000-0005-0000-0000-00005D720000}"/>
    <cellStyle name="Normal 3 6 4 2 3 3 3 2" xfId="54186" xr:uid="{00000000-0005-0000-0000-00005E720000}"/>
    <cellStyle name="Normal 3 6 4 2 3 3 4" xfId="39465" xr:uid="{00000000-0005-0000-0000-00005F720000}"/>
    <cellStyle name="Normal 3 6 4 2 3 4" xfId="7588" xr:uid="{00000000-0005-0000-0000-000060720000}"/>
    <cellStyle name="Normal 3 6 4 2 3 4 2" xfId="26254" xr:uid="{00000000-0005-0000-0000-000061720000}"/>
    <cellStyle name="Normal 3 6 4 2 3 4 2 2" xfId="58125" xr:uid="{00000000-0005-0000-0000-000062720000}"/>
    <cellStyle name="Normal 3 6 4 2 3 4 3" xfId="39467" xr:uid="{00000000-0005-0000-0000-000063720000}"/>
    <cellStyle name="Normal 3 6 4 2 3 5" xfId="18376" xr:uid="{00000000-0005-0000-0000-000064720000}"/>
    <cellStyle name="Normal 3 6 4 2 3 5 2" xfId="50247" xr:uid="{00000000-0005-0000-0000-000065720000}"/>
    <cellStyle name="Normal 3 6 4 2 3 6" xfId="39460" xr:uid="{00000000-0005-0000-0000-000066720000}"/>
    <cellStyle name="Normal 3 6 4 2 4" xfId="7589" xr:uid="{00000000-0005-0000-0000-000067720000}"/>
    <cellStyle name="Normal 3 6 4 2 4 2" xfId="7590" xr:uid="{00000000-0005-0000-0000-000068720000}"/>
    <cellStyle name="Normal 3 6 4 2 4 2 2" xfId="7591" xr:uid="{00000000-0005-0000-0000-000069720000}"/>
    <cellStyle name="Normal 3 6 4 2 4 2 2 2" xfId="30195" xr:uid="{00000000-0005-0000-0000-00006A720000}"/>
    <cellStyle name="Normal 3 6 4 2 4 2 2 2 2" xfId="62066" xr:uid="{00000000-0005-0000-0000-00006B720000}"/>
    <cellStyle name="Normal 3 6 4 2 4 2 2 3" xfId="39470" xr:uid="{00000000-0005-0000-0000-00006C720000}"/>
    <cellStyle name="Normal 3 6 4 2 4 2 3" xfId="22317" xr:uid="{00000000-0005-0000-0000-00006D720000}"/>
    <cellStyle name="Normal 3 6 4 2 4 2 3 2" xfId="54188" xr:uid="{00000000-0005-0000-0000-00006E720000}"/>
    <cellStyle name="Normal 3 6 4 2 4 2 4" xfId="39469" xr:uid="{00000000-0005-0000-0000-00006F720000}"/>
    <cellStyle name="Normal 3 6 4 2 4 3" xfId="7592" xr:uid="{00000000-0005-0000-0000-000070720000}"/>
    <cellStyle name="Normal 3 6 4 2 4 3 2" xfId="26256" xr:uid="{00000000-0005-0000-0000-000071720000}"/>
    <cellStyle name="Normal 3 6 4 2 4 3 2 2" xfId="58127" xr:uid="{00000000-0005-0000-0000-000072720000}"/>
    <cellStyle name="Normal 3 6 4 2 4 3 3" xfId="39471" xr:uid="{00000000-0005-0000-0000-000073720000}"/>
    <cellStyle name="Normal 3 6 4 2 4 4" xfId="18378" xr:uid="{00000000-0005-0000-0000-000074720000}"/>
    <cellStyle name="Normal 3 6 4 2 4 4 2" xfId="50249" xr:uid="{00000000-0005-0000-0000-000075720000}"/>
    <cellStyle name="Normal 3 6 4 2 4 5" xfId="39468" xr:uid="{00000000-0005-0000-0000-000076720000}"/>
    <cellStyle name="Normal 3 6 4 2 5" xfId="7593" xr:uid="{00000000-0005-0000-0000-000077720000}"/>
    <cellStyle name="Normal 3 6 4 2 5 2" xfId="7594" xr:uid="{00000000-0005-0000-0000-000078720000}"/>
    <cellStyle name="Normal 3 6 4 2 5 2 2" xfId="30188" xr:uid="{00000000-0005-0000-0000-000079720000}"/>
    <cellStyle name="Normal 3 6 4 2 5 2 2 2" xfId="62059" xr:uid="{00000000-0005-0000-0000-00007A720000}"/>
    <cellStyle name="Normal 3 6 4 2 5 2 3" xfId="39473" xr:uid="{00000000-0005-0000-0000-00007B720000}"/>
    <cellStyle name="Normal 3 6 4 2 5 3" xfId="22310" xr:uid="{00000000-0005-0000-0000-00007C720000}"/>
    <cellStyle name="Normal 3 6 4 2 5 3 2" xfId="54181" xr:uid="{00000000-0005-0000-0000-00007D720000}"/>
    <cellStyle name="Normal 3 6 4 2 5 4" xfId="39472" xr:uid="{00000000-0005-0000-0000-00007E720000}"/>
    <cellStyle name="Normal 3 6 4 2 6" xfId="7595" xr:uid="{00000000-0005-0000-0000-00007F720000}"/>
    <cellStyle name="Normal 3 6 4 2 6 2" xfId="26249" xr:uid="{00000000-0005-0000-0000-000080720000}"/>
    <cellStyle name="Normal 3 6 4 2 6 2 2" xfId="58120" xr:uid="{00000000-0005-0000-0000-000081720000}"/>
    <cellStyle name="Normal 3 6 4 2 6 3" xfId="39474" xr:uid="{00000000-0005-0000-0000-000082720000}"/>
    <cellStyle name="Normal 3 6 4 2 7" xfId="18371" xr:uid="{00000000-0005-0000-0000-000083720000}"/>
    <cellStyle name="Normal 3 6 4 2 7 2" xfId="50242" xr:uid="{00000000-0005-0000-0000-000084720000}"/>
    <cellStyle name="Normal 3 6 4 2 8" xfId="39443" xr:uid="{00000000-0005-0000-0000-000085720000}"/>
    <cellStyle name="Normal 3 6 4 3" xfId="7596" xr:uid="{00000000-0005-0000-0000-000086720000}"/>
    <cellStyle name="Normal 3 6 4 3 2" xfId="7597" xr:uid="{00000000-0005-0000-0000-000087720000}"/>
    <cellStyle name="Normal 3 6 4 3 2 2" xfId="7598" xr:uid="{00000000-0005-0000-0000-000088720000}"/>
    <cellStyle name="Normal 3 6 4 3 2 2 2" xfId="7599" xr:uid="{00000000-0005-0000-0000-000089720000}"/>
    <cellStyle name="Normal 3 6 4 3 2 2 2 2" xfId="7600" xr:uid="{00000000-0005-0000-0000-00008A720000}"/>
    <cellStyle name="Normal 3 6 4 3 2 2 2 2 2" xfId="30198" xr:uid="{00000000-0005-0000-0000-00008B720000}"/>
    <cellStyle name="Normal 3 6 4 3 2 2 2 2 2 2" xfId="62069" xr:uid="{00000000-0005-0000-0000-00008C720000}"/>
    <cellStyle name="Normal 3 6 4 3 2 2 2 2 3" xfId="39479" xr:uid="{00000000-0005-0000-0000-00008D720000}"/>
    <cellStyle name="Normal 3 6 4 3 2 2 2 3" xfId="22320" xr:uid="{00000000-0005-0000-0000-00008E720000}"/>
    <cellStyle name="Normal 3 6 4 3 2 2 2 3 2" xfId="54191" xr:uid="{00000000-0005-0000-0000-00008F720000}"/>
    <cellStyle name="Normal 3 6 4 3 2 2 2 4" xfId="39478" xr:uid="{00000000-0005-0000-0000-000090720000}"/>
    <cellStyle name="Normal 3 6 4 3 2 2 3" xfId="7601" xr:uid="{00000000-0005-0000-0000-000091720000}"/>
    <cellStyle name="Normal 3 6 4 3 2 2 3 2" xfId="26259" xr:uid="{00000000-0005-0000-0000-000092720000}"/>
    <cellStyle name="Normal 3 6 4 3 2 2 3 2 2" xfId="58130" xr:uid="{00000000-0005-0000-0000-000093720000}"/>
    <cellStyle name="Normal 3 6 4 3 2 2 3 3" xfId="39480" xr:uid="{00000000-0005-0000-0000-000094720000}"/>
    <cellStyle name="Normal 3 6 4 3 2 2 4" xfId="18381" xr:uid="{00000000-0005-0000-0000-000095720000}"/>
    <cellStyle name="Normal 3 6 4 3 2 2 4 2" xfId="50252" xr:uid="{00000000-0005-0000-0000-000096720000}"/>
    <cellStyle name="Normal 3 6 4 3 2 2 5" xfId="39477" xr:uid="{00000000-0005-0000-0000-000097720000}"/>
    <cellStyle name="Normal 3 6 4 3 2 3" xfId="7602" xr:uid="{00000000-0005-0000-0000-000098720000}"/>
    <cellStyle name="Normal 3 6 4 3 2 3 2" xfId="7603" xr:uid="{00000000-0005-0000-0000-000099720000}"/>
    <cellStyle name="Normal 3 6 4 3 2 3 2 2" xfId="30197" xr:uid="{00000000-0005-0000-0000-00009A720000}"/>
    <cellStyle name="Normal 3 6 4 3 2 3 2 2 2" xfId="62068" xr:uid="{00000000-0005-0000-0000-00009B720000}"/>
    <cellStyle name="Normal 3 6 4 3 2 3 2 3" xfId="39482" xr:uid="{00000000-0005-0000-0000-00009C720000}"/>
    <cellStyle name="Normal 3 6 4 3 2 3 3" xfId="22319" xr:uid="{00000000-0005-0000-0000-00009D720000}"/>
    <cellStyle name="Normal 3 6 4 3 2 3 3 2" xfId="54190" xr:uid="{00000000-0005-0000-0000-00009E720000}"/>
    <cellStyle name="Normal 3 6 4 3 2 3 4" xfId="39481" xr:uid="{00000000-0005-0000-0000-00009F720000}"/>
    <cellStyle name="Normal 3 6 4 3 2 4" xfId="7604" xr:uid="{00000000-0005-0000-0000-0000A0720000}"/>
    <cellStyle name="Normal 3 6 4 3 2 4 2" xfId="26258" xr:uid="{00000000-0005-0000-0000-0000A1720000}"/>
    <cellStyle name="Normal 3 6 4 3 2 4 2 2" xfId="58129" xr:uid="{00000000-0005-0000-0000-0000A2720000}"/>
    <cellStyle name="Normal 3 6 4 3 2 4 3" xfId="39483" xr:uid="{00000000-0005-0000-0000-0000A3720000}"/>
    <cellStyle name="Normal 3 6 4 3 2 5" xfId="18380" xr:uid="{00000000-0005-0000-0000-0000A4720000}"/>
    <cellStyle name="Normal 3 6 4 3 2 5 2" xfId="50251" xr:uid="{00000000-0005-0000-0000-0000A5720000}"/>
    <cellStyle name="Normal 3 6 4 3 2 6" xfId="39476" xr:uid="{00000000-0005-0000-0000-0000A6720000}"/>
    <cellStyle name="Normal 3 6 4 3 3" xfId="7605" xr:uid="{00000000-0005-0000-0000-0000A7720000}"/>
    <cellStyle name="Normal 3 6 4 3 3 2" xfId="7606" xr:uid="{00000000-0005-0000-0000-0000A8720000}"/>
    <cellStyle name="Normal 3 6 4 3 3 2 2" xfId="7607" xr:uid="{00000000-0005-0000-0000-0000A9720000}"/>
    <cellStyle name="Normal 3 6 4 3 3 2 2 2" xfId="30199" xr:uid="{00000000-0005-0000-0000-0000AA720000}"/>
    <cellStyle name="Normal 3 6 4 3 3 2 2 2 2" xfId="62070" xr:uid="{00000000-0005-0000-0000-0000AB720000}"/>
    <cellStyle name="Normal 3 6 4 3 3 2 2 3" xfId="39486" xr:uid="{00000000-0005-0000-0000-0000AC720000}"/>
    <cellStyle name="Normal 3 6 4 3 3 2 3" xfId="22321" xr:uid="{00000000-0005-0000-0000-0000AD720000}"/>
    <cellStyle name="Normal 3 6 4 3 3 2 3 2" xfId="54192" xr:uid="{00000000-0005-0000-0000-0000AE720000}"/>
    <cellStyle name="Normal 3 6 4 3 3 2 4" xfId="39485" xr:uid="{00000000-0005-0000-0000-0000AF720000}"/>
    <cellStyle name="Normal 3 6 4 3 3 3" xfId="7608" xr:uid="{00000000-0005-0000-0000-0000B0720000}"/>
    <cellStyle name="Normal 3 6 4 3 3 3 2" xfId="26260" xr:uid="{00000000-0005-0000-0000-0000B1720000}"/>
    <cellStyle name="Normal 3 6 4 3 3 3 2 2" xfId="58131" xr:uid="{00000000-0005-0000-0000-0000B2720000}"/>
    <cellStyle name="Normal 3 6 4 3 3 3 3" xfId="39487" xr:uid="{00000000-0005-0000-0000-0000B3720000}"/>
    <cellStyle name="Normal 3 6 4 3 3 4" xfId="18382" xr:uid="{00000000-0005-0000-0000-0000B4720000}"/>
    <cellStyle name="Normal 3 6 4 3 3 4 2" xfId="50253" xr:uid="{00000000-0005-0000-0000-0000B5720000}"/>
    <cellStyle name="Normal 3 6 4 3 3 5" xfId="39484" xr:uid="{00000000-0005-0000-0000-0000B6720000}"/>
    <cellStyle name="Normal 3 6 4 3 4" xfId="7609" xr:uid="{00000000-0005-0000-0000-0000B7720000}"/>
    <cellStyle name="Normal 3 6 4 3 4 2" xfId="7610" xr:uid="{00000000-0005-0000-0000-0000B8720000}"/>
    <cellStyle name="Normal 3 6 4 3 4 2 2" xfId="30196" xr:uid="{00000000-0005-0000-0000-0000B9720000}"/>
    <cellStyle name="Normal 3 6 4 3 4 2 2 2" xfId="62067" xr:uid="{00000000-0005-0000-0000-0000BA720000}"/>
    <cellStyle name="Normal 3 6 4 3 4 2 3" xfId="39489" xr:uid="{00000000-0005-0000-0000-0000BB720000}"/>
    <cellStyle name="Normal 3 6 4 3 4 3" xfId="22318" xr:uid="{00000000-0005-0000-0000-0000BC720000}"/>
    <cellStyle name="Normal 3 6 4 3 4 3 2" xfId="54189" xr:uid="{00000000-0005-0000-0000-0000BD720000}"/>
    <cellStyle name="Normal 3 6 4 3 4 4" xfId="39488" xr:uid="{00000000-0005-0000-0000-0000BE720000}"/>
    <cellStyle name="Normal 3 6 4 3 5" xfId="7611" xr:uid="{00000000-0005-0000-0000-0000BF720000}"/>
    <cellStyle name="Normal 3 6 4 3 5 2" xfId="26257" xr:uid="{00000000-0005-0000-0000-0000C0720000}"/>
    <cellStyle name="Normal 3 6 4 3 5 2 2" xfId="58128" xr:uid="{00000000-0005-0000-0000-0000C1720000}"/>
    <cellStyle name="Normal 3 6 4 3 5 3" xfId="39490" xr:uid="{00000000-0005-0000-0000-0000C2720000}"/>
    <cellStyle name="Normal 3 6 4 3 6" xfId="18379" xr:uid="{00000000-0005-0000-0000-0000C3720000}"/>
    <cellStyle name="Normal 3 6 4 3 6 2" xfId="50250" xr:uid="{00000000-0005-0000-0000-0000C4720000}"/>
    <cellStyle name="Normal 3 6 4 3 7" xfId="39475" xr:uid="{00000000-0005-0000-0000-0000C5720000}"/>
    <cellStyle name="Normal 3 6 4 4" xfId="7612" xr:uid="{00000000-0005-0000-0000-0000C6720000}"/>
    <cellStyle name="Normal 3 6 4 4 2" xfId="7613" xr:uid="{00000000-0005-0000-0000-0000C7720000}"/>
    <cellStyle name="Normal 3 6 4 4 2 2" xfId="7614" xr:uid="{00000000-0005-0000-0000-0000C8720000}"/>
    <cellStyle name="Normal 3 6 4 4 2 2 2" xfId="7615" xr:uid="{00000000-0005-0000-0000-0000C9720000}"/>
    <cellStyle name="Normal 3 6 4 4 2 2 2 2" xfId="30201" xr:uid="{00000000-0005-0000-0000-0000CA720000}"/>
    <cellStyle name="Normal 3 6 4 4 2 2 2 2 2" xfId="62072" xr:uid="{00000000-0005-0000-0000-0000CB720000}"/>
    <cellStyle name="Normal 3 6 4 4 2 2 2 3" xfId="39494" xr:uid="{00000000-0005-0000-0000-0000CC720000}"/>
    <cellStyle name="Normal 3 6 4 4 2 2 3" xfId="22323" xr:uid="{00000000-0005-0000-0000-0000CD720000}"/>
    <cellStyle name="Normal 3 6 4 4 2 2 3 2" xfId="54194" xr:uid="{00000000-0005-0000-0000-0000CE720000}"/>
    <cellStyle name="Normal 3 6 4 4 2 2 4" xfId="39493" xr:uid="{00000000-0005-0000-0000-0000CF720000}"/>
    <cellStyle name="Normal 3 6 4 4 2 3" xfId="7616" xr:uid="{00000000-0005-0000-0000-0000D0720000}"/>
    <cellStyle name="Normal 3 6 4 4 2 3 2" xfId="26262" xr:uid="{00000000-0005-0000-0000-0000D1720000}"/>
    <cellStyle name="Normal 3 6 4 4 2 3 2 2" xfId="58133" xr:uid="{00000000-0005-0000-0000-0000D2720000}"/>
    <cellStyle name="Normal 3 6 4 4 2 3 3" xfId="39495" xr:uid="{00000000-0005-0000-0000-0000D3720000}"/>
    <cellStyle name="Normal 3 6 4 4 2 4" xfId="18384" xr:uid="{00000000-0005-0000-0000-0000D4720000}"/>
    <cellStyle name="Normal 3 6 4 4 2 4 2" xfId="50255" xr:uid="{00000000-0005-0000-0000-0000D5720000}"/>
    <cellStyle name="Normal 3 6 4 4 2 5" xfId="39492" xr:uid="{00000000-0005-0000-0000-0000D6720000}"/>
    <cellStyle name="Normal 3 6 4 4 3" xfId="7617" xr:uid="{00000000-0005-0000-0000-0000D7720000}"/>
    <cellStyle name="Normal 3 6 4 4 3 2" xfId="7618" xr:uid="{00000000-0005-0000-0000-0000D8720000}"/>
    <cellStyle name="Normal 3 6 4 4 3 2 2" xfId="30200" xr:uid="{00000000-0005-0000-0000-0000D9720000}"/>
    <cellStyle name="Normal 3 6 4 4 3 2 2 2" xfId="62071" xr:uid="{00000000-0005-0000-0000-0000DA720000}"/>
    <cellStyle name="Normal 3 6 4 4 3 2 3" xfId="39497" xr:uid="{00000000-0005-0000-0000-0000DB720000}"/>
    <cellStyle name="Normal 3 6 4 4 3 3" xfId="22322" xr:uid="{00000000-0005-0000-0000-0000DC720000}"/>
    <cellStyle name="Normal 3 6 4 4 3 3 2" xfId="54193" xr:uid="{00000000-0005-0000-0000-0000DD720000}"/>
    <cellStyle name="Normal 3 6 4 4 3 4" xfId="39496" xr:uid="{00000000-0005-0000-0000-0000DE720000}"/>
    <cellStyle name="Normal 3 6 4 4 4" xfId="7619" xr:uid="{00000000-0005-0000-0000-0000DF720000}"/>
    <cellStyle name="Normal 3 6 4 4 4 2" xfId="26261" xr:uid="{00000000-0005-0000-0000-0000E0720000}"/>
    <cellStyle name="Normal 3 6 4 4 4 2 2" xfId="58132" xr:uid="{00000000-0005-0000-0000-0000E1720000}"/>
    <cellStyle name="Normal 3 6 4 4 4 3" xfId="39498" xr:uid="{00000000-0005-0000-0000-0000E2720000}"/>
    <cellStyle name="Normal 3 6 4 4 5" xfId="18383" xr:uid="{00000000-0005-0000-0000-0000E3720000}"/>
    <cellStyle name="Normal 3 6 4 4 5 2" xfId="50254" xr:uid="{00000000-0005-0000-0000-0000E4720000}"/>
    <cellStyle name="Normal 3 6 4 4 6" xfId="39491" xr:uid="{00000000-0005-0000-0000-0000E5720000}"/>
    <cellStyle name="Normal 3 6 4 5" xfId="7620" xr:uid="{00000000-0005-0000-0000-0000E6720000}"/>
    <cellStyle name="Normal 3 6 4 5 2" xfId="7621" xr:uid="{00000000-0005-0000-0000-0000E7720000}"/>
    <cellStyle name="Normal 3 6 4 5 2 2" xfId="7622" xr:uid="{00000000-0005-0000-0000-0000E8720000}"/>
    <cellStyle name="Normal 3 6 4 5 2 2 2" xfId="30202" xr:uid="{00000000-0005-0000-0000-0000E9720000}"/>
    <cellStyle name="Normal 3 6 4 5 2 2 2 2" xfId="62073" xr:uid="{00000000-0005-0000-0000-0000EA720000}"/>
    <cellStyle name="Normal 3 6 4 5 2 2 3" xfId="39501" xr:uid="{00000000-0005-0000-0000-0000EB720000}"/>
    <cellStyle name="Normal 3 6 4 5 2 3" xfId="22324" xr:uid="{00000000-0005-0000-0000-0000EC720000}"/>
    <cellStyle name="Normal 3 6 4 5 2 3 2" xfId="54195" xr:uid="{00000000-0005-0000-0000-0000ED720000}"/>
    <cellStyle name="Normal 3 6 4 5 2 4" xfId="39500" xr:uid="{00000000-0005-0000-0000-0000EE720000}"/>
    <cellStyle name="Normal 3 6 4 5 3" xfId="7623" xr:uid="{00000000-0005-0000-0000-0000EF720000}"/>
    <cellStyle name="Normal 3 6 4 5 3 2" xfId="26263" xr:uid="{00000000-0005-0000-0000-0000F0720000}"/>
    <cellStyle name="Normal 3 6 4 5 3 2 2" xfId="58134" xr:uid="{00000000-0005-0000-0000-0000F1720000}"/>
    <cellStyle name="Normal 3 6 4 5 3 3" xfId="39502" xr:uid="{00000000-0005-0000-0000-0000F2720000}"/>
    <cellStyle name="Normal 3 6 4 5 4" xfId="18385" xr:uid="{00000000-0005-0000-0000-0000F3720000}"/>
    <cellStyle name="Normal 3 6 4 5 4 2" xfId="50256" xr:uid="{00000000-0005-0000-0000-0000F4720000}"/>
    <cellStyle name="Normal 3 6 4 5 5" xfId="39499" xr:uid="{00000000-0005-0000-0000-0000F5720000}"/>
    <cellStyle name="Normal 3 6 4 6" xfId="7624" xr:uid="{00000000-0005-0000-0000-0000F6720000}"/>
    <cellStyle name="Normal 3 6 4 6 2" xfId="7625" xr:uid="{00000000-0005-0000-0000-0000F7720000}"/>
    <cellStyle name="Normal 3 6 4 6 2 2" xfId="28398" xr:uid="{00000000-0005-0000-0000-0000F8720000}"/>
    <cellStyle name="Normal 3 6 4 6 2 2 2" xfId="60269" xr:uid="{00000000-0005-0000-0000-0000F9720000}"/>
    <cellStyle name="Normal 3 6 4 6 2 3" xfId="39504" xr:uid="{00000000-0005-0000-0000-0000FA720000}"/>
    <cellStyle name="Normal 3 6 4 6 3" xfId="20520" xr:uid="{00000000-0005-0000-0000-0000FB720000}"/>
    <cellStyle name="Normal 3 6 4 6 3 2" xfId="52391" xr:uid="{00000000-0005-0000-0000-0000FC720000}"/>
    <cellStyle name="Normal 3 6 4 6 4" xfId="39503" xr:uid="{00000000-0005-0000-0000-0000FD720000}"/>
    <cellStyle name="Normal 3 6 4 7" xfId="7626" xr:uid="{00000000-0005-0000-0000-0000FE720000}"/>
    <cellStyle name="Normal 3 6 4 7 2" xfId="24459" xr:uid="{00000000-0005-0000-0000-0000FF720000}"/>
    <cellStyle name="Normal 3 6 4 7 2 2" xfId="56330" xr:uid="{00000000-0005-0000-0000-000000730000}"/>
    <cellStyle name="Normal 3 6 4 7 3" xfId="39505" xr:uid="{00000000-0005-0000-0000-000001730000}"/>
    <cellStyle name="Normal 3 6 4 8" xfId="16581" xr:uid="{00000000-0005-0000-0000-000002730000}"/>
    <cellStyle name="Normal 3 6 4 8 2" xfId="48452" xr:uid="{00000000-0005-0000-0000-000003730000}"/>
    <cellStyle name="Normal 3 6 4 9" xfId="39442" xr:uid="{00000000-0005-0000-0000-000004730000}"/>
    <cellStyle name="Normal 3 6 5" xfId="7627" xr:uid="{00000000-0005-0000-0000-000005730000}"/>
    <cellStyle name="Normal 3 6 5 2" xfId="7628" xr:uid="{00000000-0005-0000-0000-000006730000}"/>
    <cellStyle name="Normal 3 6 5 2 2" xfId="7629" xr:uid="{00000000-0005-0000-0000-000007730000}"/>
    <cellStyle name="Normal 3 6 5 2 2 2" xfId="7630" xr:uid="{00000000-0005-0000-0000-000008730000}"/>
    <cellStyle name="Normal 3 6 5 2 2 2 2" xfId="7631" xr:uid="{00000000-0005-0000-0000-000009730000}"/>
    <cellStyle name="Normal 3 6 5 2 2 2 2 2" xfId="7632" xr:uid="{00000000-0005-0000-0000-00000A730000}"/>
    <cellStyle name="Normal 3 6 5 2 2 2 2 2 2" xfId="30206" xr:uid="{00000000-0005-0000-0000-00000B730000}"/>
    <cellStyle name="Normal 3 6 5 2 2 2 2 2 2 2" xfId="62077" xr:uid="{00000000-0005-0000-0000-00000C730000}"/>
    <cellStyle name="Normal 3 6 5 2 2 2 2 2 3" xfId="39511" xr:uid="{00000000-0005-0000-0000-00000D730000}"/>
    <cellStyle name="Normal 3 6 5 2 2 2 2 3" xfId="22328" xr:uid="{00000000-0005-0000-0000-00000E730000}"/>
    <cellStyle name="Normal 3 6 5 2 2 2 2 3 2" xfId="54199" xr:uid="{00000000-0005-0000-0000-00000F730000}"/>
    <cellStyle name="Normal 3 6 5 2 2 2 2 4" xfId="39510" xr:uid="{00000000-0005-0000-0000-000010730000}"/>
    <cellStyle name="Normal 3 6 5 2 2 2 3" xfId="7633" xr:uid="{00000000-0005-0000-0000-000011730000}"/>
    <cellStyle name="Normal 3 6 5 2 2 2 3 2" xfId="26267" xr:uid="{00000000-0005-0000-0000-000012730000}"/>
    <cellStyle name="Normal 3 6 5 2 2 2 3 2 2" xfId="58138" xr:uid="{00000000-0005-0000-0000-000013730000}"/>
    <cellStyle name="Normal 3 6 5 2 2 2 3 3" xfId="39512" xr:uid="{00000000-0005-0000-0000-000014730000}"/>
    <cellStyle name="Normal 3 6 5 2 2 2 4" xfId="18389" xr:uid="{00000000-0005-0000-0000-000015730000}"/>
    <cellStyle name="Normal 3 6 5 2 2 2 4 2" xfId="50260" xr:uid="{00000000-0005-0000-0000-000016730000}"/>
    <cellStyle name="Normal 3 6 5 2 2 2 5" xfId="39509" xr:uid="{00000000-0005-0000-0000-000017730000}"/>
    <cellStyle name="Normal 3 6 5 2 2 3" xfId="7634" xr:uid="{00000000-0005-0000-0000-000018730000}"/>
    <cellStyle name="Normal 3 6 5 2 2 3 2" xfId="7635" xr:uid="{00000000-0005-0000-0000-000019730000}"/>
    <cellStyle name="Normal 3 6 5 2 2 3 2 2" xfId="30205" xr:uid="{00000000-0005-0000-0000-00001A730000}"/>
    <cellStyle name="Normal 3 6 5 2 2 3 2 2 2" xfId="62076" xr:uid="{00000000-0005-0000-0000-00001B730000}"/>
    <cellStyle name="Normal 3 6 5 2 2 3 2 3" xfId="39514" xr:uid="{00000000-0005-0000-0000-00001C730000}"/>
    <cellStyle name="Normal 3 6 5 2 2 3 3" xfId="22327" xr:uid="{00000000-0005-0000-0000-00001D730000}"/>
    <cellStyle name="Normal 3 6 5 2 2 3 3 2" xfId="54198" xr:uid="{00000000-0005-0000-0000-00001E730000}"/>
    <cellStyle name="Normal 3 6 5 2 2 3 4" xfId="39513" xr:uid="{00000000-0005-0000-0000-00001F730000}"/>
    <cellStyle name="Normal 3 6 5 2 2 4" xfId="7636" xr:uid="{00000000-0005-0000-0000-000020730000}"/>
    <cellStyle name="Normal 3 6 5 2 2 4 2" xfId="26266" xr:uid="{00000000-0005-0000-0000-000021730000}"/>
    <cellStyle name="Normal 3 6 5 2 2 4 2 2" xfId="58137" xr:uid="{00000000-0005-0000-0000-000022730000}"/>
    <cellStyle name="Normal 3 6 5 2 2 4 3" xfId="39515" xr:uid="{00000000-0005-0000-0000-000023730000}"/>
    <cellStyle name="Normal 3 6 5 2 2 5" xfId="18388" xr:uid="{00000000-0005-0000-0000-000024730000}"/>
    <cellStyle name="Normal 3 6 5 2 2 5 2" xfId="50259" xr:uid="{00000000-0005-0000-0000-000025730000}"/>
    <cellStyle name="Normal 3 6 5 2 2 6" xfId="39508" xr:uid="{00000000-0005-0000-0000-000026730000}"/>
    <cellStyle name="Normal 3 6 5 2 3" xfId="7637" xr:uid="{00000000-0005-0000-0000-000027730000}"/>
    <cellStyle name="Normal 3 6 5 2 3 2" xfId="7638" xr:uid="{00000000-0005-0000-0000-000028730000}"/>
    <cellStyle name="Normal 3 6 5 2 3 2 2" xfId="7639" xr:uid="{00000000-0005-0000-0000-000029730000}"/>
    <cellStyle name="Normal 3 6 5 2 3 2 2 2" xfId="30207" xr:uid="{00000000-0005-0000-0000-00002A730000}"/>
    <cellStyle name="Normal 3 6 5 2 3 2 2 2 2" xfId="62078" xr:uid="{00000000-0005-0000-0000-00002B730000}"/>
    <cellStyle name="Normal 3 6 5 2 3 2 2 3" xfId="39518" xr:uid="{00000000-0005-0000-0000-00002C730000}"/>
    <cellStyle name="Normal 3 6 5 2 3 2 3" xfId="22329" xr:uid="{00000000-0005-0000-0000-00002D730000}"/>
    <cellStyle name="Normal 3 6 5 2 3 2 3 2" xfId="54200" xr:uid="{00000000-0005-0000-0000-00002E730000}"/>
    <cellStyle name="Normal 3 6 5 2 3 2 4" xfId="39517" xr:uid="{00000000-0005-0000-0000-00002F730000}"/>
    <cellStyle name="Normal 3 6 5 2 3 3" xfId="7640" xr:uid="{00000000-0005-0000-0000-000030730000}"/>
    <cellStyle name="Normal 3 6 5 2 3 3 2" xfId="26268" xr:uid="{00000000-0005-0000-0000-000031730000}"/>
    <cellStyle name="Normal 3 6 5 2 3 3 2 2" xfId="58139" xr:uid="{00000000-0005-0000-0000-000032730000}"/>
    <cellStyle name="Normal 3 6 5 2 3 3 3" xfId="39519" xr:uid="{00000000-0005-0000-0000-000033730000}"/>
    <cellStyle name="Normal 3 6 5 2 3 4" xfId="18390" xr:uid="{00000000-0005-0000-0000-000034730000}"/>
    <cellStyle name="Normal 3 6 5 2 3 4 2" xfId="50261" xr:uid="{00000000-0005-0000-0000-000035730000}"/>
    <cellStyle name="Normal 3 6 5 2 3 5" xfId="39516" xr:uid="{00000000-0005-0000-0000-000036730000}"/>
    <cellStyle name="Normal 3 6 5 2 4" xfId="7641" xr:uid="{00000000-0005-0000-0000-000037730000}"/>
    <cellStyle name="Normal 3 6 5 2 4 2" xfId="7642" xr:uid="{00000000-0005-0000-0000-000038730000}"/>
    <cellStyle name="Normal 3 6 5 2 4 2 2" xfId="30204" xr:uid="{00000000-0005-0000-0000-000039730000}"/>
    <cellStyle name="Normal 3 6 5 2 4 2 2 2" xfId="62075" xr:uid="{00000000-0005-0000-0000-00003A730000}"/>
    <cellStyle name="Normal 3 6 5 2 4 2 3" xfId="39521" xr:uid="{00000000-0005-0000-0000-00003B730000}"/>
    <cellStyle name="Normal 3 6 5 2 4 3" xfId="22326" xr:uid="{00000000-0005-0000-0000-00003C730000}"/>
    <cellStyle name="Normal 3 6 5 2 4 3 2" xfId="54197" xr:uid="{00000000-0005-0000-0000-00003D730000}"/>
    <cellStyle name="Normal 3 6 5 2 4 4" xfId="39520" xr:uid="{00000000-0005-0000-0000-00003E730000}"/>
    <cellStyle name="Normal 3 6 5 2 5" xfId="7643" xr:uid="{00000000-0005-0000-0000-00003F730000}"/>
    <cellStyle name="Normal 3 6 5 2 5 2" xfId="26265" xr:uid="{00000000-0005-0000-0000-000040730000}"/>
    <cellStyle name="Normal 3 6 5 2 5 2 2" xfId="58136" xr:uid="{00000000-0005-0000-0000-000041730000}"/>
    <cellStyle name="Normal 3 6 5 2 5 3" xfId="39522" xr:uid="{00000000-0005-0000-0000-000042730000}"/>
    <cellStyle name="Normal 3 6 5 2 6" xfId="18387" xr:uid="{00000000-0005-0000-0000-000043730000}"/>
    <cellStyle name="Normal 3 6 5 2 6 2" xfId="50258" xr:uid="{00000000-0005-0000-0000-000044730000}"/>
    <cellStyle name="Normal 3 6 5 2 7" xfId="39507" xr:uid="{00000000-0005-0000-0000-000045730000}"/>
    <cellStyle name="Normal 3 6 5 3" xfId="7644" xr:uid="{00000000-0005-0000-0000-000046730000}"/>
    <cellStyle name="Normal 3 6 5 3 2" xfId="7645" xr:uid="{00000000-0005-0000-0000-000047730000}"/>
    <cellStyle name="Normal 3 6 5 3 2 2" xfId="7646" xr:uid="{00000000-0005-0000-0000-000048730000}"/>
    <cellStyle name="Normal 3 6 5 3 2 2 2" xfId="7647" xr:uid="{00000000-0005-0000-0000-000049730000}"/>
    <cellStyle name="Normal 3 6 5 3 2 2 2 2" xfId="30209" xr:uid="{00000000-0005-0000-0000-00004A730000}"/>
    <cellStyle name="Normal 3 6 5 3 2 2 2 2 2" xfId="62080" xr:uid="{00000000-0005-0000-0000-00004B730000}"/>
    <cellStyle name="Normal 3 6 5 3 2 2 2 3" xfId="39526" xr:uid="{00000000-0005-0000-0000-00004C730000}"/>
    <cellStyle name="Normal 3 6 5 3 2 2 3" xfId="22331" xr:uid="{00000000-0005-0000-0000-00004D730000}"/>
    <cellStyle name="Normal 3 6 5 3 2 2 3 2" xfId="54202" xr:uid="{00000000-0005-0000-0000-00004E730000}"/>
    <cellStyle name="Normal 3 6 5 3 2 2 4" xfId="39525" xr:uid="{00000000-0005-0000-0000-00004F730000}"/>
    <cellStyle name="Normal 3 6 5 3 2 3" xfId="7648" xr:uid="{00000000-0005-0000-0000-000050730000}"/>
    <cellStyle name="Normal 3 6 5 3 2 3 2" xfId="26270" xr:uid="{00000000-0005-0000-0000-000051730000}"/>
    <cellStyle name="Normal 3 6 5 3 2 3 2 2" xfId="58141" xr:uid="{00000000-0005-0000-0000-000052730000}"/>
    <cellStyle name="Normal 3 6 5 3 2 3 3" xfId="39527" xr:uid="{00000000-0005-0000-0000-000053730000}"/>
    <cellStyle name="Normal 3 6 5 3 2 4" xfId="18392" xr:uid="{00000000-0005-0000-0000-000054730000}"/>
    <cellStyle name="Normal 3 6 5 3 2 4 2" xfId="50263" xr:uid="{00000000-0005-0000-0000-000055730000}"/>
    <cellStyle name="Normal 3 6 5 3 2 5" xfId="39524" xr:uid="{00000000-0005-0000-0000-000056730000}"/>
    <cellStyle name="Normal 3 6 5 3 3" xfId="7649" xr:uid="{00000000-0005-0000-0000-000057730000}"/>
    <cellStyle name="Normal 3 6 5 3 3 2" xfId="7650" xr:uid="{00000000-0005-0000-0000-000058730000}"/>
    <cellStyle name="Normal 3 6 5 3 3 2 2" xfId="30208" xr:uid="{00000000-0005-0000-0000-000059730000}"/>
    <cellStyle name="Normal 3 6 5 3 3 2 2 2" xfId="62079" xr:uid="{00000000-0005-0000-0000-00005A730000}"/>
    <cellStyle name="Normal 3 6 5 3 3 2 3" xfId="39529" xr:uid="{00000000-0005-0000-0000-00005B730000}"/>
    <cellStyle name="Normal 3 6 5 3 3 3" xfId="22330" xr:uid="{00000000-0005-0000-0000-00005C730000}"/>
    <cellStyle name="Normal 3 6 5 3 3 3 2" xfId="54201" xr:uid="{00000000-0005-0000-0000-00005D730000}"/>
    <cellStyle name="Normal 3 6 5 3 3 4" xfId="39528" xr:uid="{00000000-0005-0000-0000-00005E730000}"/>
    <cellStyle name="Normal 3 6 5 3 4" xfId="7651" xr:uid="{00000000-0005-0000-0000-00005F730000}"/>
    <cellStyle name="Normal 3 6 5 3 4 2" xfId="26269" xr:uid="{00000000-0005-0000-0000-000060730000}"/>
    <cellStyle name="Normal 3 6 5 3 4 2 2" xfId="58140" xr:uid="{00000000-0005-0000-0000-000061730000}"/>
    <cellStyle name="Normal 3 6 5 3 4 3" xfId="39530" xr:uid="{00000000-0005-0000-0000-000062730000}"/>
    <cellStyle name="Normal 3 6 5 3 5" xfId="18391" xr:uid="{00000000-0005-0000-0000-000063730000}"/>
    <cellStyle name="Normal 3 6 5 3 5 2" xfId="50262" xr:uid="{00000000-0005-0000-0000-000064730000}"/>
    <cellStyle name="Normal 3 6 5 3 6" xfId="39523" xr:uid="{00000000-0005-0000-0000-000065730000}"/>
    <cellStyle name="Normal 3 6 5 4" xfId="7652" xr:uid="{00000000-0005-0000-0000-000066730000}"/>
    <cellStyle name="Normal 3 6 5 4 2" xfId="7653" xr:uid="{00000000-0005-0000-0000-000067730000}"/>
    <cellStyle name="Normal 3 6 5 4 2 2" xfId="7654" xr:uid="{00000000-0005-0000-0000-000068730000}"/>
    <cellStyle name="Normal 3 6 5 4 2 2 2" xfId="30210" xr:uid="{00000000-0005-0000-0000-000069730000}"/>
    <cellStyle name="Normal 3 6 5 4 2 2 2 2" xfId="62081" xr:uid="{00000000-0005-0000-0000-00006A730000}"/>
    <cellStyle name="Normal 3 6 5 4 2 2 3" xfId="39533" xr:uid="{00000000-0005-0000-0000-00006B730000}"/>
    <cellStyle name="Normal 3 6 5 4 2 3" xfId="22332" xr:uid="{00000000-0005-0000-0000-00006C730000}"/>
    <cellStyle name="Normal 3 6 5 4 2 3 2" xfId="54203" xr:uid="{00000000-0005-0000-0000-00006D730000}"/>
    <cellStyle name="Normal 3 6 5 4 2 4" xfId="39532" xr:uid="{00000000-0005-0000-0000-00006E730000}"/>
    <cellStyle name="Normal 3 6 5 4 3" xfId="7655" xr:uid="{00000000-0005-0000-0000-00006F730000}"/>
    <cellStyle name="Normal 3 6 5 4 3 2" xfId="26271" xr:uid="{00000000-0005-0000-0000-000070730000}"/>
    <cellStyle name="Normal 3 6 5 4 3 2 2" xfId="58142" xr:uid="{00000000-0005-0000-0000-000071730000}"/>
    <cellStyle name="Normal 3 6 5 4 3 3" xfId="39534" xr:uid="{00000000-0005-0000-0000-000072730000}"/>
    <cellStyle name="Normal 3 6 5 4 4" xfId="18393" xr:uid="{00000000-0005-0000-0000-000073730000}"/>
    <cellStyle name="Normal 3 6 5 4 4 2" xfId="50264" xr:uid="{00000000-0005-0000-0000-000074730000}"/>
    <cellStyle name="Normal 3 6 5 4 5" xfId="39531" xr:uid="{00000000-0005-0000-0000-000075730000}"/>
    <cellStyle name="Normal 3 6 5 5" xfId="7656" xr:uid="{00000000-0005-0000-0000-000076730000}"/>
    <cellStyle name="Normal 3 6 5 5 2" xfId="7657" xr:uid="{00000000-0005-0000-0000-000077730000}"/>
    <cellStyle name="Normal 3 6 5 5 2 2" xfId="30203" xr:uid="{00000000-0005-0000-0000-000078730000}"/>
    <cellStyle name="Normal 3 6 5 5 2 2 2" xfId="62074" xr:uid="{00000000-0005-0000-0000-000079730000}"/>
    <cellStyle name="Normal 3 6 5 5 2 3" xfId="39536" xr:uid="{00000000-0005-0000-0000-00007A730000}"/>
    <cellStyle name="Normal 3 6 5 5 3" xfId="22325" xr:uid="{00000000-0005-0000-0000-00007B730000}"/>
    <cellStyle name="Normal 3 6 5 5 3 2" xfId="54196" xr:uid="{00000000-0005-0000-0000-00007C730000}"/>
    <cellStyle name="Normal 3 6 5 5 4" xfId="39535" xr:uid="{00000000-0005-0000-0000-00007D730000}"/>
    <cellStyle name="Normal 3 6 5 6" xfId="7658" xr:uid="{00000000-0005-0000-0000-00007E730000}"/>
    <cellStyle name="Normal 3 6 5 6 2" xfId="26264" xr:uid="{00000000-0005-0000-0000-00007F730000}"/>
    <cellStyle name="Normal 3 6 5 6 2 2" xfId="58135" xr:uid="{00000000-0005-0000-0000-000080730000}"/>
    <cellStyle name="Normal 3 6 5 6 3" xfId="39537" xr:uid="{00000000-0005-0000-0000-000081730000}"/>
    <cellStyle name="Normal 3 6 5 7" xfId="18386" xr:uid="{00000000-0005-0000-0000-000082730000}"/>
    <cellStyle name="Normal 3 6 5 7 2" xfId="50257" xr:uid="{00000000-0005-0000-0000-000083730000}"/>
    <cellStyle name="Normal 3 6 5 8" xfId="39506" xr:uid="{00000000-0005-0000-0000-000084730000}"/>
    <cellStyle name="Normal 3 6 6" xfId="7659" xr:uid="{00000000-0005-0000-0000-000085730000}"/>
    <cellStyle name="Normal 3 6 6 2" xfId="7660" xr:uid="{00000000-0005-0000-0000-000086730000}"/>
    <cellStyle name="Normal 3 6 6 2 2" xfId="7661" xr:uid="{00000000-0005-0000-0000-000087730000}"/>
    <cellStyle name="Normal 3 6 6 2 2 2" xfId="7662" xr:uid="{00000000-0005-0000-0000-000088730000}"/>
    <cellStyle name="Normal 3 6 6 2 2 2 2" xfId="7663" xr:uid="{00000000-0005-0000-0000-000089730000}"/>
    <cellStyle name="Normal 3 6 6 2 2 2 2 2" xfId="30213" xr:uid="{00000000-0005-0000-0000-00008A730000}"/>
    <cellStyle name="Normal 3 6 6 2 2 2 2 2 2" xfId="62084" xr:uid="{00000000-0005-0000-0000-00008B730000}"/>
    <cellStyle name="Normal 3 6 6 2 2 2 2 3" xfId="39542" xr:uid="{00000000-0005-0000-0000-00008C730000}"/>
    <cellStyle name="Normal 3 6 6 2 2 2 3" xfId="22335" xr:uid="{00000000-0005-0000-0000-00008D730000}"/>
    <cellStyle name="Normal 3 6 6 2 2 2 3 2" xfId="54206" xr:uid="{00000000-0005-0000-0000-00008E730000}"/>
    <cellStyle name="Normal 3 6 6 2 2 2 4" xfId="39541" xr:uid="{00000000-0005-0000-0000-00008F730000}"/>
    <cellStyle name="Normal 3 6 6 2 2 3" xfId="7664" xr:uid="{00000000-0005-0000-0000-000090730000}"/>
    <cellStyle name="Normal 3 6 6 2 2 3 2" xfId="26274" xr:uid="{00000000-0005-0000-0000-000091730000}"/>
    <cellStyle name="Normal 3 6 6 2 2 3 2 2" xfId="58145" xr:uid="{00000000-0005-0000-0000-000092730000}"/>
    <cellStyle name="Normal 3 6 6 2 2 3 3" xfId="39543" xr:uid="{00000000-0005-0000-0000-000093730000}"/>
    <cellStyle name="Normal 3 6 6 2 2 4" xfId="18396" xr:uid="{00000000-0005-0000-0000-000094730000}"/>
    <cellStyle name="Normal 3 6 6 2 2 4 2" xfId="50267" xr:uid="{00000000-0005-0000-0000-000095730000}"/>
    <cellStyle name="Normal 3 6 6 2 2 5" xfId="39540" xr:uid="{00000000-0005-0000-0000-000096730000}"/>
    <cellStyle name="Normal 3 6 6 2 3" xfId="7665" xr:uid="{00000000-0005-0000-0000-000097730000}"/>
    <cellStyle name="Normal 3 6 6 2 3 2" xfId="7666" xr:uid="{00000000-0005-0000-0000-000098730000}"/>
    <cellStyle name="Normal 3 6 6 2 3 2 2" xfId="30212" xr:uid="{00000000-0005-0000-0000-000099730000}"/>
    <cellStyle name="Normal 3 6 6 2 3 2 2 2" xfId="62083" xr:uid="{00000000-0005-0000-0000-00009A730000}"/>
    <cellStyle name="Normal 3 6 6 2 3 2 3" xfId="39545" xr:uid="{00000000-0005-0000-0000-00009B730000}"/>
    <cellStyle name="Normal 3 6 6 2 3 3" xfId="22334" xr:uid="{00000000-0005-0000-0000-00009C730000}"/>
    <cellStyle name="Normal 3 6 6 2 3 3 2" xfId="54205" xr:uid="{00000000-0005-0000-0000-00009D730000}"/>
    <cellStyle name="Normal 3 6 6 2 3 4" xfId="39544" xr:uid="{00000000-0005-0000-0000-00009E730000}"/>
    <cellStyle name="Normal 3 6 6 2 4" xfId="7667" xr:uid="{00000000-0005-0000-0000-00009F730000}"/>
    <cellStyle name="Normal 3 6 6 2 4 2" xfId="26273" xr:uid="{00000000-0005-0000-0000-0000A0730000}"/>
    <cellStyle name="Normal 3 6 6 2 4 2 2" xfId="58144" xr:uid="{00000000-0005-0000-0000-0000A1730000}"/>
    <cellStyle name="Normal 3 6 6 2 4 3" xfId="39546" xr:uid="{00000000-0005-0000-0000-0000A2730000}"/>
    <cellStyle name="Normal 3 6 6 2 5" xfId="18395" xr:uid="{00000000-0005-0000-0000-0000A3730000}"/>
    <cellStyle name="Normal 3 6 6 2 5 2" xfId="50266" xr:uid="{00000000-0005-0000-0000-0000A4730000}"/>
    <cellStyle name="Normal 3 6 6 2 6" xfId="39539" xr:uid="{00000000-0005-0000-0000-0000A5730000}"/>
    <cellStyle name="Normal 3 6 6 3" xfId="7668" xr:uid="{00000000-0005-0000-0000-0000A6730000}"/>
    <cellStyle name="Normal 3 6 6 3 2" xfId="7669" xr:uid="{00000000-0005-0000-0000-0000A7730000}"/>
    <cellStyle name="Normal 3 6 6 3 2 2" xfId="7670" xr:uid="{00000000-0005-0000-0000-0000A8730000}"/>
    <cellStyle name="Normal 3 6 6 3 2 2 2" xfId="30214" xr:uid="{00000000-0005-0000-0000-0000A9730000}"/>
    <cellStyle name="Normal 3 6 6 3 2 2 2 2" xfId="62085" xr:uid="{00000000-0005-0000-0000-0000AA730000}"/>
    <cellStyle name="Normal 3 6 6 3 2 2 3" xfId="39549" xr:uid="{00000000-0005-0000-0000-0000AB730000}"/>
    <cellStyle name="Normal 3 6 6 3 2 3" xfId="22336" xr:uid="{00000000-0005-0000-0000-0000AC730000}"/>
    <cellStyle name="Normal 3 6 6 3 2 3 2" xfId="54207" xr:uid="{00000000-0005-0000-0000-0000AD730000}"/>
    <cellStyle name="Normal 3 6 6 3 2 4" xfId="39548" xr:uid="{00000000-0005-0000-0000-0000AE730000}"/>
    <cellStyle name="Normal 3 6 6 3 3" xfId="7671" xr:uid="{00000000-0005-0000-0000-0000AF730000}"/>
    <cellStyle name="Normal 3 6 6 3 3 2" xfId="26275" xr:uid="{00000000-0005-0000-0000-0000B0730000}"/>
    <cellStyle name="Normal 3 6 6 3 3 2 2" xfId="58146" xr:uid="{00000000-0005-0000-0000-0000B1730000}"/>
    <cellStyle name="Normal 3 6 6 3 3 3" xfId="39550" xr:uid="{00000000-0005-0000-0000-0000B2730000}"/>
    <cellStyle name="Normal 3 6 6 3 4" xfId="18397" xr:uid="{00000000-0005-0000-0000-0000B3730000}"/>
    <cellStyle name="Normal 3 6 6 3 4 2" xfId="50268" xr:uid="{00000000-0005-0000-0000-0000B4730000}"/>
    <cellStyle name="Normal 3 6 6 3 5" xfId="39547" xr:uid="{00000000-0005-0000-0000-0000B5730000}"/>
    <cellStyle name="Normal 3 6 6 4" xfId="7672" xr:uid="{00000000-0005-0000-0000-0000B6730000}"/>
    <cellStyle name="Normal 3 6 6 4 2" xfId="7673" xr:uid="{00000000-0005-0000-0000-0000B7730000}"/>
    <cellStyle name="Normal 3 6 6 4 2 2" xfId="30211" xr:uid="{00000000-0005-0000-0000-0000B8730000}"/>
    <cellStyle name="Normal 3 6 6 4 2 2 2" xfId="62082" xr:uid="{00000000-0005-0000-0000-0000B9730000}"/>
    <cellStyle name="Normal 3 6 6 4 2 3" xfId="39552" xr:uid="{00000000-0005-0000-0000-0000BA730000}"/>
    <cellStyle name="Normal 3 6 6 4 3" xfId="22333" xr:uid="{00000000-0005-0000-0000-0000BB730000}"/>
    <cellStyle name="Normal 3 6 6 4 3 2" xfId="54204" xr:uid="{00000000-0005-0000-0000-0000BC730000}"/>
    <cellStyle name="Normal 3 6 6 4 4" xfId="39551" xr:uid="{00000000-0005-0000-0000-0000BD730000}"/>
    <cellStyle name="Normal 3 6 6 5" xfId="7674" xr:uid="{00000000-0005-0000-0000-0000BE730000}"/>
    <cellStyle name="Normal 3 6 6 5 2" xfId="26272" xr:uid="{00000000-0005-0000-0000-0000BF730000}"/>
    <cellStyle name="Normal 3 6 6 5 2 2" xfId="58143" xr:uid="{00000000-0005-0000-0000-0000C0730000}"/>
    <cellStyle name="Normal 3 6 6 5 3" xfId="39553" xr:uid="{00000000-0005-0000-0000-0000C1730000}"/>
    <cellStyle name="Normal 3 6 6 6" xfId="18394" xr:uid="{00000000-0005-0000-0000-0000C2730000}"/>
    <cellStyle name="Normal 3 6 6 6 2" xfId="50265" xr:uid="{00000000-0005-0000-0000-0000C3730000}"/>
    <cellStyle name="Normal 3 6 6 7" xfId="39538" xr:uid="{00000000-0005-0000-0000-0000C4730000}"/>
    <cellStyle name="Normal 3 6 7" xfId="7675" xr:uid="{00000000-0005-0000-0000-0000C5730000}"/>
    <cellStyle name="Normal 3 6 7 2" xfId="7676" xr:uid="{00000000-0005-0000-0000-0000C6730000}"/>
    <cellStyle name="Normal 3 6 7 2 2" xfId="7677" xr:uid="{00000000-0005-0000-0000-0000C7730000}"/>
    <cellStyle name="Normal 3 6 7 2 2 2" xfId="7678" xr:uid="{00000000-0005-0000-0000-0000C8730000}"/>
    <cellStyle name="Normal 3 6 7 2 2 2 2" xfId="30216" xr:uid="{00000000-0005-0000-0000-0000C9730000}"/>
    <cellStyle name="Normal 3 6 7 2 2 2 2 2" xfId="62087" xr:uid="{00000000-0005-0000-0000-0000CA730000}"/>
    <cellStyle name="Normal 3 6 7 2 2 2 3" xfId="39557" xr:uid="{00000000-0005-0000-0000-0000CB730000}"/>
    <cellStyle name="Normal 3 6 7 2 2 3" xfId="22338" xr:uid="{00000000-0005-0000-0000-0000CC730000}"/>
    <cellStyle name="Normal 3 6 7 2 2 3 2" xfId="54209" xr:uid="{00000000-0005-0000-0000-0000CD730000}"/>
    <cellStyle name="Normal 3 6 7 2 2 4" xfId="39556" xr:uid="{00000000-0005-0000-0000-0000CE730000}"/>
    <cellStyle name="Normal 3 6 7 2 3" xfId="7679" xr:uid="{00000000-0005-0000-0000-0000CF730000}"/>
    <cellStyle name="Normal 3 6 7 2 3 2" xfId="26277" xr:uid="{00000000-0005-0000-0000-0000D0730000}"/>
    <cellStyle name="Normal 3 6 7 2 3 2 2" xfId="58148" xr:uid="{00000000-0005-0000-0000-0000D1730000}"/>
    <cellStyle name="Normal 3 6 7 2 3 3" xfId="39558" xr:uid="{00000000-0005-0000-0000-0000D2730000}"/>
    <cellStyle name="Normal 3 6 7 2 4" xfId="18399" xr:uid="{00000000-0005-0000-0000-0000D3730000}"/>
    <cellStyle name="Normal 3 6 7 2 4 2" xfId="50270" xr:uid="{00000000-0005-0000-0000-0000D4730000}"/>
    <cellStyle name="Normal 3 6 7 2 5" xfId="39555" xr:uid="{00000000-0005-0000-0000-0000D5730000}"/>
    <cellStyle name="Normal 3 6 7 3" xfId="7680" xr:uid="{00000000-0005-0000-0000-0000D6730000}"/>
    <cellStyle name="Normal 3 6 7 3 2" xfId="7681" xr:uid="{00000000-0005-0000-0000-0000D7730000}"/>
    <cellStyle name="Normal 3 6 7 3 2 2" xfId="30215" xr:uid="{00000000-0005-0000-0000-0000D8730000}"/>
    <cellStyle name="Normal 3 6 7 3 2 2 2" xfId="62086" xr:uid="{00000000-0005-0000-0000-0000D9730000}"/>
    <cellStyle name="Normal 3 6 7 3 2 3" xfId="39560" xr:uid="{00000000-0005-0000-0000-0000DA730000}"/>
    <cellStyle name="Normal 3 6 7 3 3" xfId="22337" xr:uid="{00000000-0005-0000-0000-0000DB730000}"/>
    <cellStyle name="Normal 3 6 7 3 3 2" xfId="54208" xr:uid="{00000000-0005-0000-0000-0000DC730000}"/>
    <cellStyle name="Normal 3 6 7 3 4" xfId="39559" xr:uid="{00000000-0005-0000-0000-0000DD730000}"/>
    <cellStyle name="Normal 3 6 7 4" xfId="7682" xr:uid="{00000000-0005-0000-0000-0000DE730000}"/>
    <cellStyle name="Normal 3 6 7 4 2" xfId="26276" xr:uid="{00000000-0005-0000-0000-0000DF730000}"/>
    <cellStyle name="Normal 3 6 7 4 2 2" xfId="58147" xr:uid="{00000000-0005-0000-0000-0000E0730000}"/>
    <cellStyle name="Normal 3 6 7 4 3" xfId="39561" xr:uid="{00000000-0005-0000-0000-0000E1730000}"/>
    <cellStyle name="Normal 3 6 7 5" xfId="18398" xr:uid="{00000000-0005-0000-0000-0000E2730000}"/>
    <cellStyle name="Normal 3 6 7 5 2" xfId="50269" xr:uid="{00000000-0005-0000-0000-0000E3730000}"/>
    <cellStyle name="Normal 3 6 7 6" xfId="39554" xr:uid="{00000000-0005-0000-0000-0000E4730000}"/>
    <cellStyle name="Normal 3 6 8" xfId="7683" xr:uid="{00000000-0005-0000-0000-0000E5730000}"/>
    <cellStyle name="Normal 3 6 8 2" xfId="7684" xr:uid="{00000000-0005-0000-0000-0000E6730000}"/>
    <cellStyle name="Normal 3 6 8 2 2" xfId="7685" xr:uid="{00000000-0005-0000-0000-0000E7730000}"/>
    <cellStyle name="Normal 3 6 8 2 2 2" xfId="30217" xr:uid="{00000000-0005-0000-0000-0000E8730000}"/>
    <cellStyle name="Normal 3 6 8 2 2 2 2" xfId="62088" xr:uid="{00000000-0005-0000-0000-0000E9730000}"/>
    <cellStyle name="Normal 3 6 8 2 2 3" xfId="39564" xr:uid="{00000000-0005-0000-0000-0000EA730000}"/>
    <cellStyle name="Normal 3 6 8 2 3" xfId="22339" xr:uid="{00000000-0005-0000-0000-0000EB730000}"/>
    <cellStyle name="Normal 3 6 8 2 3 2" xfId="54210" xr:uid="{00000000-0005-0000-0000-0000EC730000}"/>
    <cellStyle name="Normal 3 6 8 2 4" xfId="39563" xr:uid="{00000000-0005-0000-0000-0000ED730000}"/>
    <cellStyle name="Normal 3 6 8 3" xfId="7686" xr:uid="{00000000-0005-0000-0000-0000EE730000}"/>
    <cellStyle name="Normal 3 6 8 3 2" xfId="26278" xr:uid="{00000000-0005-0000-0000-0000EF730000}"/>
    <cellStyle name="Normal 3 6 8 3 2 2" xfId="58149" xr:uid="{00000000-0005-0000-0000-0000F0730000}"/>
    <cellStyle name="Normal 3 6 8 3 3" xfId="39565" xr:uid="{00000000-0005-0000-0000-0000F1730000}"/>
    <cellStyle name="Normal 3 6 8 4" xfId="18400" xr:uid="{00000000-0005-0000-0000-0000F2730000}"/>
    <cellStyle name="Normal 3 6 8 4 2" xfId="50271" xr:uid="{00000000-0005-0000-0000-0000F3730000}"/>
    <cellStyle name="Normal 3 6 8 5" xfId="39562" xr:uid="{00000000-0005-0000-0000-0000F4730000}"/>
    <cellStyle name="Normal 3 6 9" xfId="7687" xr:uid="{00000000-0005-0000-0000-0000F5730000}"/>
    <cellStyle name="Normal 3 6 9 2" xfId="7688" xr:uid="{00000000-0005-0000-0000-0000F6730000}"/>
    <cellStyle name="Normal 3 6 9 2 2" xfId="28275" xr:uid="{00000000-0005-0000-0000-0000F7730000}"/>
    <cellStyle name="Normal 3 6 9 2 2 2" xfId="60146" xr:uid="{00000000-0005-0000-0000-0000F8730000}"/>
    <cellStyle name="Normal 3 6 9 2 3" xfId="39567" xr:uid="{00000000-0005-0000-0000-0000F9730000}"/>
    <cellStyle name="Normal 3 6 9 3" xfId="20397" xr:uid="{00000000-0005-0000-0000-0000FA730000}"/>
    <cellStyle name="Normal 3 6 9 3 2" xfId="52268" xr:uid="{00000000-0005-0000-0000-0000FB730000}"/>
    <cellStyle name="Normal 3 6 9 4" xfId="39566" xr:uid="{00000000-0005-0000-0000-0000FC730000}"/>
    <cellStyle name="Normal 3 7" xfId="5" xr:uid="{00000000-0005-0000-0000-0000FD730000}"/>
    <cellStyle name="Normal 3 7 10" xfId="7689" xr:uid="{00000000-0005-0000-0000-0000FE730000}"/>
    <cellStyle name="Normal 3 7 10 2" xfId="39568" xr:uid="{00000000-0005-0000-0000-0000FF730000}"/>
    <cellStyle name="Normal 3 7 11" xfId="32180" xr:uid="{00000000-0005-0000-0000-000000740000}"/>
    <cellStyle name="Normal 3 7 2" xfId="7690" xr:uid="{00000000-0005-0000-0000-000001740000}"/>
    <cellStyle name="Normal 3 7 2 2" xfId="7691" xr:uid="{00000000-0005-0000-0000-000002740000}"/>
    <cellStyle name="Normal 3 7 2 2 2" xfId="7692" xr:uid="{00000000-0005-0000-0000-000003740000}"/>
    <cellStyle name="Normal 3 7 2 2 2 2" xfId="7693" xr:uid="{00000000-0005-0000-0000-000004740000}"/>
    <cellStyle name="Normal 3 7 2 2 2 2 2" xfId="7694" xr:uid="{00000000-0005-0000-0000-000005740000}"/>
    <cellStyle name="Normal 3 7 2 2 2 2 2 2" xfId="7695" xr:uid="{00000000-0005-0000-0000-000006740000}"/>
    <cellStyle name="Normal 3 7 2 2 2 2 2 2 2" xfId="7696" xr:uid="{00000000-0005-0000-0000-000007740000}"/>
    <cellStyle name="Normal 3 7 2 2 2 2 2 2 2 2" xfId="30221" xr:uid="{00000000-0005-0000-0000-000008740000}"/>
    <cellStyle name="Normal 3 7 2 2 2 2 2 2 2 2 2" xfId="62092" xr:uid="{00000000-0005-0000-0000-000009740000}"/>
    <cellStyle name="Normal 3 7 2 2 2 2 2 2 2 3" xfId="39575" xr:uid="{00000000-0005-0000-0000-00000A740000}"/>
    <cellStyle name="Normal 3 7 2 2 2 2 2 2 3" xfId="22343" xr:uid="{00000000-0005-0000-0000-00000B740000}"/>
    <cellStyle name="Normal 3 7 2 2 2 2 2 2 3 2" xfId="54214" xr:uid="{00000000-0005-0000-0000-00000C740000}"/>
    <cellStyle name="Normal 3 7 2 2 2 2 2 2 4" xfId="39574" xr:uid="{00000000-0005-0000-0000-00000D740000}"/>
    <cellStyle name="Normal 3 7 2 2 2 2 2 3" xfId="7697" xr:uid="{00000000-0005-0000-0000-00000E740000}"/>
    <cellStyle name="Normal 3 7 2 2 2 2 2 3 2" xfId="26282" xr:uid="{00000000-0005-0000-0000-00000F740000}"/>
    <cellStyle name="Normal 3 7 2 2 2 2 2 3 2 2" xfId="58153" xr:uid="{00000000-0005-0000-0000-000010740000}"/>
    <cellStyle name="Normal 3 7 2 2 2 2 2 3 3" xfId="39576" xr:uid="{00000000-0005-0000-0000-000011740000}"/>
    <cellStyle name="Normal 3 7 2 2 2 2 2 4" xfId="18404" xr:uid="{00000000-0005-0000-0000-000012740000}"/>
    <cellStyle name="Normal 3 7 2 2 2 2 2 4 2" xfId="50275" xr:uid="{00000000-0005-0000-0000-000013740000}"/>
    <cellStyle name="Normal 3 7 2 2 2 2 2 5" xfId="39573" xr:uid="{00000000-0005-0000-0000-000014740000}"/>
    <cellStyle name="Normal 3 7 2 2 2 2 3" xfId="7698" xr:uid="{00000000-0005-0000-0000-000015740000}"/>
    <cellStyle name="Normal 3 7 2 2 2 2 3 2" xfId="7699" xr:uid="{00000000-0005-0000-0000-000016740000}"/>
    <cellStyle name="Normal 3 7 2 2 2 2 3 2 2" xfId="30220" xr:uid="{00000000-0005-0000-0000-000017740000}"/>
    <cellStyle name="Normal 3 7 2 2 2 2 3 2 2 2" xfId="62091" xr:uid="{00000000-0005-0000-0000-000018740000}"/>
    <cellStyle name="Normal 3 7 2 2 2 2 3 2 3" xfId="39578" xr:uid="{00000000-0005-0000-0000-000019740000}"/>
    <cellStyle name="Normal 3 7 2 2 2 2 3 3" xfId="22342" xr:uid="{00000000-0005-0000-0000-00001A740000}"/>
    <cellStyle name="Normal 3 7 2 2 2 2 3 3 2" xfId="54213" xr:uid="{00000000-0005-0000-0000-00001B740000}"/>
    <cellStyle name="Normal 3 7 2 2 2 2 3 4" xfId="39577" xr:uid="{00000000-0005-0000-0000-00001C740000}"/>
    <cellStyle name="Normal 3 7 2 2 2 2 4" xfId="7700" xr:uid="{00000000-0005-0000-0000-00001D740000}"/>
    <cellStyle name="Normal 3 7 2 2 2 2 4 2" xfId="26281" xr:uid="{00000000-0005-0000-0000-00001E740000}"/>
    <cellStyle name="Normal 3 7 2 2 2 2 4 2 2" xfId="58152" xr:uid="{00000000-0005-0000-0000-00001F740000}"/>
    <cellStyle name="Normal 3 7 2 2 2 2 4 3" xfId="39579" xr:uid="{00000000-0005-0000-0000-000020740000}"/>
    <cellStyle name="Normal 3 7 2 2 2 2 5" xfId="18403" xr:uid="{00000000-0005-0000-0000-000021740000}"/>
    <cellStyle name="Normal 3 7 2 2 2 2 5 2" xfId="50274" xr:uid="{00000000-0005-0000-0000-000022740000}"/>
    <cellStyle name="Normal 3 7 2 2 2 2 6" xfId="39572" xr:uid="{00000000-0005-0000-0000-000023740000}"/>
    <cellStyle name="Normal 3 7 2 2 2 3" xfId="7701" xr:uid="{00000000-0005-0000-0000-000024740000}"/>
    <cellStyle name="Normal 3 7 2 2 2 3 2" xfId="7702" xr:uid="{00000000-0005-0000-0000-000025740000}"/>
    <cellStyle name="Normal 3 7 2 2 2 3 2 2" xfId="7703" xr:uid="{00000000-0005-0000-0000-000026740000}"/>
    <cellStyle name="Normal 3 7 2 2 2 3 2 2 2" xfId="30222" xr:uid="{00000000-0005-0000-0000-000027740000}"/>
    <cellStyle name="Normal 3 7 2 2 2 3 2 2 2 2" xfId="62093" xr:uid="{00000000-0005-0000-0000-000028740000}"/>
    <cellStyle name="Normal 3 7 2 2 2 3 2 2 3" xfId="39582" xr:uid="{00000000-0005-0000-0000-000029740000}"/>
    <cellStyle name="Normal 3 7 2 2 2 3 2 3" xfId="22344" xr:uid="{00000000-0005-0000-0000-00002A740000}"/>
    <cellStyle name="Normal 3 7 2 2 2 3 2 3 2" xfId="54215" xr:uid="{00000000-0005-0000-0000-00002B740000}"/>
    <cellStyle name="Normal 3 7 2 2 2 3 2 4" xfId="39581" xr:uid="{00000000-0005-0000-0000-00002C740000}"/>
    <cellStyle name="Normal 3 7 2 2 2 3 3" xfId="7704" xr:uid="{00000000-0005-0000-0000-00002D740000}"/>
    <cellStyle name="Normal 3 7 2 2 2 3 3 2" xfId="26283" xr:uid="{00000000-0005-0000-0000-00002E740000}"/>
    <cellStyle name="Normal 3 7 2 2 2 3 3 2 2" xfId="58154" xr:uid="{00000000-0005-0000-0000-00002F740000}"/>
    <cellStyle name="Normal 3 7 2 2 2 3 3 3" xfId="39583" xr:uid="{00000000-0005-0000-0000-000030740000}"/>
    <cellStyle name="Normal 3 7 2 2 2 3 4" xfId="18405" xr:uid="{00000000-0005-0000-0000-000031740000}"/>
    <cellStyle name="Normal 3 7 2 2 2 3 4 2" xfId="50276" xr:uid="{00000000-0005-0000-0000-000032740000}"/>
    <cellStyle name="Normal 3 7 2 2 2 3 5" xfId="39580" xr:uid="{00000000-0005-0000-0000-000033740000}"/>
    <cellStyle name="Normal 3 7 2 2 2 4" xfId="7705" xr:uid="{00000000-0005-0000-0000-000034740000}"/>
    <cellStyle name="Normal 3 7 2 2 2 4 2" xfId="7706" xr:uid="{00000000-0005-0000-0000-000035740000}"/>
    <cellStyle name="Normal 3 7 2 2 2 4 2 2" xfId="30219" xr:uid="{00000000-0005-0000-0000-000036740000}"/>
    <cellStyle name="Normal 3 7 2 2 2 4 2 2 2" xfId="62090" xr:uid="{00000000-0005-0000-0000-000037740000}"/>
    <cellStyle name="Normal 3 7 2 2 2 4 2 3" xfId="39585" xr:uid="{00000000-0005-0000-0000-000038740000}"/>
    <cellStyle name="Normal 3 7 2 2 2 4 3" xfId="22341" xr:uid="{00000000-0005-0000-0000-000039740000}"/>
    <cellStyle name="Normal 3 7 2 2 2 4 3 2" xfId="54212" xr:uid="{00000000-0005-0000-0000-00003A740000}"/>
    <cellStyle name="Normal 3 7 2 2 2 4 4" xfId="39584" xr:uid="{00000000-0005-0000-0000-00003B740000}"/>
    <cellStyle name="Normal 3 7 2 2 2 5" xfId="7707" xr:uid="{00000000-0005-0000-0000-00003C740000}"/>
    <cellStyle name="Normal 3 7 2 2 2 5 2" xfId="26280" xr:uid="{00000000-0005-0000-0000-00003D740000}"/>
    <cellStyle name="Normal 3 7 2 2 2 5 2 2" xfId="58151" xr:uid="{00000000-0005-0000-0000-00003E740000}"/>
    <cellStyle name="Normal 3 7 2 2 2 5 3" xfId="39586" xr:uid="{00000000-0005-0000-0000-00003F740000}"/>
    <cellStyle name="Normal 3 7 2 2 2 6" xfId="18402" xr:uid="{00000000-0005-0000-0000-000040740000}"/>
    <cellStyle name="Normal 3 7 2 2 2 6 2" xfId="50273" xr:uid="{00000000-0005-0000-0000-000041740000}"/>
    <cellStyle name="Normal 3 7 2 2 2 7" xfId="39571" xr:uid="{00000000-0005-0000-0000-000042740000}"/>
    <cellStyle name="Normal 3 7 2 2 3" xfId="7708" xr:uid="{00000000-0005-0000-0000-000043740000}"/>
    <cellStyle name="Normal 3 7 2 2 3 2" xfId="7709" xr:uid="{00000000-0005-0000-0000-000044740000}"/>
    <cellStyle name="Normal 3 7 2 2 3 2 2" xfId="7710" xr:uid="{00000000-0005-0000-0000-000045740000}"/>
    <cellStyle name="Normal 3 7 2 2 3 2 2 2" xfId="7711" xr:uid="{00000000-0005-0000-0000-000046740000}"/>
    <cellStyle name="Normal 3 7 2 2 3 2 2 2 2" xfId="30224" xr:uid="{00000000-0005-0000-0000-000047740000}"/>
    <cellStyle name="Normal 3 7 2 2 3 2 2 2 2 2" xfId="62095" xr:uid="{00000000-0005-0000-0000-000048740000}"/>
    <cellStyle name="Normal 3 7 2 2 3 2 2 2 3" xfId="39590" xr:uid="{00000000-0005-0000-0000-000049740000}"/>
    <cellStyle name="Normal 3 7 2 2 3 2 2 3" xfId="22346" xr:uid="{00000000-0005-0000-0000-00004A740000}"/>
    <cellStyle name="Normal 3 7 2 2 3 2 2 3 2" xfId="54217" xr:uid="{00000000-0005-0000-0000-00004B740000}"/>
    <cellStyle name="Normal 3 7 2 2 3 2 2 4" xfId="39589" xr:uid="{00000000-0005-0000-0000-00004C740000}"/>
    <cellStyle name="Normal 3 7 2 2 3 2 3" xfId="7712" xr:uid="{00000000-0005-0000-0000-00004D740000}"/>
    <cellStyle name="Normal 3 7 2 2 3 2 3 2" xfId="26285" xr:uid="{00000000-0005-0000-0000-00004E740000}"/>
    <cellStyle name="Normal 3 7 2 2 3 2 3 2 2" xfId="58156" xr:uid="{00000000-0005-0000-0000-00004F740000}"/>
    <cellStyle name="Normal 3 7 2 2 3 2 3 3" xfId="39591" xr:uid="{00000000-0005-0000-0000-000050740000}"/>
    <cellStyle name="Normal 3 7 2 2 3 2 4" xfId="18407" xr:uid="{00000000-0005-0000-0000-000051740000}"/>
    <cellStyle name="Normal 3 7 2 2 3 2 4 2" xfId="50278" xr:uid="{00000000-0005-0000-0000-000052740000}"/>
    <cellStyle name="Normal 3 7 2 2 3 2 5" xfId="39588" xr:uid="{00000000-0005-0000-0000-000053740000}"/>
    <cellStyle name="Normal 3 7 2 2 3 3" xfId="7713" xr:uid="{00000000-0005-0000-0000-000054740000}"/>
    <cellStyle name="Normal 3 7 2 2 3 3 2" xfId="7714" xr:uid="{00000000-0005-0000-0000-000055740000}"/>
    <cellStyle name="Normal 3 7 2 2 3 3 2 2" xfId="30223" xr:uid="{00000000-0005-0000-0000-000056740000}"/>
    <cellStyle name="Normal 3 7 2 2 3 3 2 2 2" xfId="62094" xr:uid="{00000000-0005-0000-0000-000057740000}"/>
    <cellStyle name="Normal 3 7 2 2 3 3 2 3" xfId="39593" xr:uid="{00000000-0005-0000-0000-000058740000}"/>
    <cellStyle name="Normal 3 7 2 2 3 3 3" xfId="22345" xr:uid="{00000000-0005-0000-0000-000059740000}"/>
    <cellStyle name="Normal 3 7 2 2 3 3 3 2" xfId="54216" xr:uid="{00000000-0005-0000-0000-00005A740000}"/>
    <cellStyle name="Normal 3 7 2 2 3 3 4" xfId="39592" xr:uid="{00000000-0005-0000-0000-00005B740000}"/>
    <cellStyle name="Normal 3 7 2 2 3 4" xfId="7715" xr:uid="{00000000-0005-0000-0000-00005C740000}"/>
    <cellStyle name="Normal 3 7 2 2 3 4 2" xfId="26284" xr:uid="{00000000-0005-0000-0000-00005D740000}"/>
    <cellStyle name="Normal 3 7 2 2 3 4 2 2" xfId="58155" xr:uid="{00000000-0005-0000-0000-00005E740000}"/>
    <cellStyle name="Normal 3 7 2 2 3 4 3" xfId="39594" xr:uid="{00000000-0005-0000-0000-00005F740000}"/>
    <cellStyle name="Normal 3 7 2 2 3 5" xfId="18406" xr:uid="{00000000-0005-0000-0000-000060740000}"/>
    <cellStyle name="Normal 3 7 2 2 3 5 2" xfId="50277" xr:uid="{00000000-0005-0000-0000-000061740000}"/>
    <cellStyle name="Normal 3 7 2 2 3 6" xfId="39587" xr:uid="{00000000-0005-0000-0000-000062740000}"/>
    <cellStyle name="Normal 3 7 2 2 4" xfId="7716" xr:uid="{00000000-0005-0000-0000-000063740000}"/>
    <cellStyle name="Normal 3 7 2 2 4 2" xfId="7717" xr:uid="{00000000-0005-0000-0000-000064740000}"/>
    <cellStyle name="Normal 3 7 2 2 4 2 2" xfId="7718" xr:uid="{00000000-0005-0000-0000-000065740000}"/>
    <cellStyle name="Normal 3 7 2 2 4 2 2 2" xfId="30225" xr:uid="{00000000-0005-0000-0000-000066740000}"/>
    <cellStyle name="Normal 3 7 2 2 4 2 2 2 2" xfId="62096" xr:uid="{00000000-0005-0000-0000-000067740000}"/>
    <cellStyle name="Normal 3 7 2 2 4 2 2 3" xfId="39597" xr:uid="{00000000-0005-0000-0000-000068740000}"/>
    <cellStyle name="Normal 3 7 2 2 4 2 3" xfId="22347" xr:uid="{00000000-0005-0000-0000-000069740000}"/>
    <cellStyle name="Normal 3 7 2 2 4 2 3 2" xfId="54218" xr:uid="{00000000-0005-0000-0000-00006A740000}"/>
    <cellStyle name="Normal 3 7 2 2 4 2 4" xfId="39596" xr:uid="{00000000-0005-0000-0000-00006B740000}"/>
    <cellStyle name="Normal 3 7 2 2 4 3" xfId="7719" xr:uid="{00000000-0005-0000-0000-00006C740000}"/>
    <cellStyle name="Normal 3 7 2 2 4 3 2" xfId="26286" xr:uid="{00000000-0005-0000-0000-00006D740000}"/>
    <cellStyle name="Normal 3 7 2 2 4 3 2 2" xfId="58157" xr:uid="{00000000-0005-0000-0000-00006E740000}"/>
    <cellStyle name="Normal 3 7 2 2 4 3 3" xfId="39598" xr:uid="{00000000-0005-0000-0000-00006F740000}"/>
    <cellStyle name="Normal 3 7 2 2 4 4" xfId="18408" xr:uid="{00000000-0005-0000-0000-000070740000}"/>
    <cellStyle name="Normal 3 7 2 2 4 4 2" xfId="50279" xr:uid="{00000000-0005-0000-0000-000071740000}"/>
    <cellStyle name="Normal 3 7 2 2 4 5" xfId="39595" xr:uid="{00000000-0005-0000-0000-000072740000}"/>
    <cellStyle name="Normal 3 7 2 2 5" xfId="7720" xr:uid="{00000000-0005-0000-0000-000073740000}"/>
    <cellStyle name="Normal 3 7 2 2 5 2" xfId="7721" xr:uid="{00000000-0005-0000-0000-000074740000}"/>
    <cellStyle name="Normal 3 7 2 2 5 2 2" xfId="30218" xr:uid="{00000000-0005-0000-0000-000075740000}"/>
    <cellStyle name="Normal 3 7 2 2 5 2 2 2" xfId="62089" xr:uid="{00000000-0005-0000-0000-000076740000}"/>
    <cellStyle name="Normal 3 7 2 2 5 2 3" xfId="39600" xr:uid="{00000000-0005-0000-0000-000077740000}"/>
    <cellStyle name="Normal 3 7 2 2 5 3" xfId="22340" xr:uid="{00000000-0005-0000-0000-000078740000}"/>
    <cellStyle name="Normal 3 7 2 2 5 3 2" xfId="54211" xr:uid="{00000000-0005-0000-0000-000079740000}"/>
    <cellStyle name="Normal 3 7 2 2 5 4" xfId="39599" xr:uid="{00000000-0005-0000-0000-00007A740000}"/>
    <cellStyle name="Normal 3 7 2 2 6" xfId="7722" xr:uid="{00000000-0005-0000-0000-00007B740000}"/>
    <cellStyle name="Normal 3 7 2 2 6 2" xfId="26279" xr:uid="{00000000-0005-0000-0000-00007C740000}"/>
    <cellStyle name="Normal 3 7 2 2 6 2 2" xfId="58150" xr:uid="{00000000-0005-0000-0000-00007D740000}"/>
    <cellStyle name="Normal 3 7 2 2 6 3" xfId="39601" xr:uid="{00000000-0005-0000-0000-00007E740000}"/>
    <cellStyle name="Normal 3 7 2 2 7" xfId="18401" xr:uid="{00000000-0005-0000-0000-00007F740000}"/>
    <cellStyle name="Normal 3 7 2 2 7 2" xfId="50272" xr:uid="{00000000-0005-0000-0000-000080740000}"/>
    <cellStyle name="Normal 3 7 2 2 8" xfId="39570" xr:uid="{00000000-0005-0000-0000-000081740000}"/>
    <cellStyle name="Normal 3 7 2 3" xfId="7723" xr:uid="{00000000-0005-0000-0000-000082740000}"/>
    <cellStyle name="Normal 3 7 2 3 2" xfId="7724" xr:uid="{00000000-0005-0000-0000-000083740000}"/>
    <cellStyle name="Normal 3 7 2 3 2 2" xfId="7725" xr:uid="{00000000-0005-0000-0000-000084740000}"/>
    <cellStyle name="Normal 3 7 2 3 2 2 2" xfId="7726" xr:uid="{00000000-0005-0000-0000-000085740000}"/>
    <cellStyle name="Normal 3 7 2 3 2 2 2 2" xfId="7727" xr:uid="{00000000-0005-0000-0000-000086740000}"/>
    <cellStyle name="Normal 3 7 2 3 2 2 2 2 2" xfId="30228" xr:uid="{00000000-0005-0000-0000-000087740000}"/>
    <cellStyle name="Normal 3 7 2 3 2 2 2 2 2 2" xfId="62099" xr:uid="{00000000-0005-0000-0000-000088740000}"/>
    <cellStyle name="Normal 3 7 2 3 2 2 2 2 3" xfId="39606" xr:uid="{00000000-0005-0000-0000-000089740000}"/>
    <cellStyle name="Normal 3 7 2 3 2 2 2 3" xfId="22350" xr:uid="{00000000-0005-0000-0000-00008A740000}"/>
    <cellStyle name="Normal 3 7 2 3 2 2 2 3 2" xfId="54221" xr:uid="{00000000-0005-0000-0000-00008B740000}"/>
    <cellStyle name="Normal 3 7 2 3 2 2 2 4" xfId="39605" xr:uid="{00000000-0005-0000-0000-00008C740000}"/>
    <cellStyle name="Normal 3 7 2 3 2 2 3" xfId="7728" xr:uid="{00000000-0005-0000-0000-00008D740000}"/>
    <cellStyle name="Normal 3 7 2 3 2 2 3 2" xfId="26289" xr:uid="{00000000-0005-0000-0000-00008E740000}"/>
    <cellStyle name="Normal 3 7 2 3 2 2 3 2 2" xfId="58160" xr:uid="{00000000-0005-0000-0000-00008F740000}"/>
    <cellStyle name="Normal 3 7 2 3 2 2 3 3" xfId="39607" xr:uid="{00000000-0005-0000-0000-000090740000}"/>
    <cellStyle name="Normal 3 7 2 3 2 2 4" xfId="18411" xr:uid="{00000000-0005-0000-0000-000091740000}"/>
    <cellStyle name="Normal 3 7 2 3 2 2 4 2" xfId="50282" xr:uid="{00000000-0005-0000-0000-000092740000}"/>
    <cellStyle name="Normal 3 7 2 3 2 2 5" xfId="39604" xr:uid="{00000000-0005-0000-0000-000093740000}"/>
    <cellStyle name="Normal 3 7 2 3 2 3" xfId="7729" xr:uid="{00000000-0005-0000-0000-000094740000}"/>
    <cellStyle name="Normal 3 7 2 3 2 3 2" xfId="7730" xr:uid="{00000000-0005-0000-0000-000095740000}"/>
    <cellStyle name="Normal 3 7 2 3 2 3 2 2" xfId="30227" xr:uid="{00000000-0005-0000-0000-000096740000}"/>
    <cellStyle name="Normal 3 7 2 3 2 3 2 2 2" xfId="62098" xr:uid="{00000000-0005-0000-0000-000097740000}"/>
    <cellStyle name="Normal 3 7 2 3 2 3 2 3" xfId="39609" xr:uid="{00000000-0005-0000-0000-000098740000}"/>
    <cellStyle name="Normal 3 7 2 3 2 3 3" xfId="22349" xr:uid="{00000000-0005-0000-0000-000099740000}"/>
    <cellStyle name="Normal 3 7 2 3 2 3 3 2" xfId="54220" xr:uid="{00000000-0005-0000-0000-00009A740000}"/>
    <cellStyle name="Normal 3 7 2 3 2 3 4" xfId="39608" xr:uid="{00000000-0005-0000-0000-00009B740000}"/>
    <cellStyle name="Normal 3 7 2 3 2 4" xfId="7731" xr:uid="{00000000-0005-0000-0000-00009C740000}"/>
    <cellStyle name="Normal 3 7 2 3 2 4 2" xfId="26288" xr:uid="{00000000-0005-0000-0000-00009D740000}"/>
    <cellStyle name="Normal 3 7 2 3 2 4 2 2" xfId="58159" xr:uid="{00000000-0005-0000-0000-00009E740000}"/>
    <cellStyle name="Normal 3 7 2 3 2 4 3" xfId="39610" xr:uid="{00000000-0005-0000-0000-00009F740000}"/>
    <cellStyle name="Normal 3 7 2 3 2 5" xfId="18410" xr:uid="{00000000-0005-0000-0000-0000A0740000}"/>
    <cellStyle name="Normal 3 7 2 3 2 5 2" xfId="50281" xr:uid="{00000000-0005-0000-0000-0000A1740000}"/>
    <cellStyle name="Normal 3 7 2 3 2 6" xfId="39603" xr:uid="{00000000-0005-0000-0000-0000A2740000}"/>
    <cellStyle name="Normal 3 7 2 3 3" xfId="7732" xr:uid="{00000000-0005-0000-0000-0000A3740000}"/>
    <cellStyle name="Normal 3 7 2 3 3 2" xfId="7733" xr:uid="{00000000-0005-0000-0000-0000A4740000}"/>
    <cellStyle name="Normal 3 7 2 3 3 2 2" xfId="7734" xr:uid="{00000000-0005-0000-0000-0000A5740000}"/>
    <cellStyle name="Normal 3 7 2 3 3 2 2 2" xfId="30229" xr:uid="{00000000-0005-0000-0000-0000A6740000}"/>
    <cellStyle name="Normal 3 7 2 3 3 2 2 2 2" xfId="62100" xr:uid="{00000000-0005-0000-0000-0000A7740000}"/>
    <cellStyle name="Normal 3 7 2 3 3 2 2 3" xfId="39613" xr:uid="{00000000-0005-0000-0000-0000A8740000}"/>
    <cellStyle name="Normal 3 7 2 3 3 2 3" xfId="22351" xr:uid="{00000000-0005-0000-0000-0000A9740000}"/>
    <cellStyle name="Normal 3 7 2 3 3 2 3 2" xfId="54222" xr:uid="{00000000-0005-0000-0000-0000AA740000}"/>
    <cellStyle name="Normal 3 7 2 3 3 2 4" xfId="39612" xr:uid="{00000000-0005-0000-0000-0000AB740000}"/>
    <cellStyle name="Normal 3 7 2 3 3 3" xfId="7735" xr:uid="{00000000-0005-0000-0000-0000AC740000}"/>
    <cellStyle name="Normal 3 7 2 3 3 3 2" xfId="26290" xr:uid="{00000000-0005-0000-0000-0000AD740000}"/>
    <cellStyle name="Normal 3 7 2 3 3 3 2 2" xfId="58161" xr:uid="{00000000-0005-0000-0000-0000AE740000}"/>
    <cellStyle name="Normal 3 7 2 3 3 3 3" xfId="39614" xr:uid="{00000000-0005-0000-0000-0000AF740000}"/>
    <cellStyle name="Normal 3 7 2 3 3 4" xfId="18412" xr:uid="{00000000-0005-0000-0000-0000B0740000}"/>
    <cellStyle name="Normal 3 7 2 3 3 4 2" xfId="50283" xr:uid="{00000000-0005-0000-0000-0000B1740000}"/>
    <cellStyle name="Normal 3 7 2 3 3 5" xfId="39611" xr:uid="{00000000-0005-0000-0000-0000B2740000}"/>
    <cellStyle name="Normal 3 7 2 3 4" xfId="7736" xr:uid="{00000000-0005-0000-0000-0000B3740000}"/>
    <cellStyle name="Normal 3 7 2 3 4 2" xfId="7737" xr:uid="{00000000-0005-0000-0000-0000B4740000}"/>
    <cellStyle name="Normal 3 7 2 3 4 2 2" xfId="30226" xr:uid="{00000000-0005-0000-0000-0000B5740000}"/>
    <cellStyle name="Normal 3 7 2 3 4 2 2 2" xfId="62097" xr:uid="{00000000-0005-0000-0000-0000B6740000}"/>
    <cellStyle name="Normal 3 7 2 3 4 2 3" xfId="39616" xr:uid="{00000000-0005-0000-0000-0000B7740000}"/>
    <cellStyle name="Normal 3 7 2 3 4 3" xfId="22348" xr:uid="{00000000-0005-0000-0000-0000B8740000}"/>
    <cellStyle name="Normal 3 7 2 3 4 3 2" xfId="54219" xr:uid="{00000000-0005-0000-0000-0000B9740000}"/>
    <cellStyle name="Normal 3 7 2 3 4 4" xfId="39615" xr:uid="{00000000-0005-0000-0000-0000BA740000}"/>
    <cellStyle name="Normal 3 7 2 3 5" xfId="7738" xr:uid="{00000000-0005-0000-0000-0000BB740000}"/>
    <cellStyle name="Normal 3 7 2 3 5 2" xfId="26287" xr:uid="{00000000-0005-0000-0000-0000BC740000}"/>
    <cellStyle name="Normal 3 7 2 3 5 2 2" xfId="58158" xr:uid="{00000000-0005-0000-0000-0000BD740000}"/>
    <cellStyle name="Normal 3 7 2 3 5 3" xfId="39617" xr:uid="{00000000-0005-0000-0000-0000BE740000}"/>
    <cellStyle name="Normal 3 7 2 3 6" xfId="18409" xr:uid="{00000000-0005-0000-0000-0000BF740000}"/>
    <cellStyle name="Normal 3 7 2 3 6 2" xfId="50280" xr:uid="{00000000-0005-0000-0000-0000C0740000}"/>
    <cellStyle name="Normal 3 7 2 3 7" xfId="39602" xr:uid="{00000000-0005-0000-0000-0000C1740000}"/>
    <cellStyle name="Normal 3 7 2 4" xfId="7739" xr:uid="{00000000-0005-0000-0000-0000C2740000}"/>
    <cellStyle name="Normal 3 7 2 4 2" xfId="7740" xr:uid="{00000000-0005-0000-0000-0000C3740000}"/>
    <cellStyle name="Normal 3 7 2 4 2 2" xfId="7741" xr:uid="{00000000-0005-0000-0000-0000C4740000}"/>
    <cellStyle name="Normal 3 7 2 4 2 2 2" xfId="7742" xr:uid="{00000000-0005-0000-0000-0000C5740000}"/>
    <cellStyle name="Normal 3 7 2 4 2 2 2 2" xfId="30231" xr:uid="{00000000-0005-0000-0000-0000C6740000}"/>
    <cellStyle name="Normal 3 7 2 4 2 2 2 2 2" xfId="62102" xr:uid="{00000000-0005-0000-0000-0000C7740000}"/>
    <cellStyle name="Normal 3 7 2 4 2 2 2 3" xfId="39621" xr:uid="{00000000-0005-0000-0000-0000C8740000}"/>
    <cellStyle name="Normal 3 7 2 4 2 2 3" xfId="22353" xr:uid="{00000000-0005-0000-0000-0000C9740000}"/>
    <cellStyle name="Normal 3 7 2 4 2 2 3 2" xfId="54224" xr:uid="{00000000-0005-0000-0000-0000CA740000}"/>
    <cellStyle name="Normal 3 7 2 4 2 2 4" xfId="39620" xr:uid="{00000000-0005-0000-0000-0000CB740000}"/>
    <cellStyle name="Normal 3 7 2 4 2 3" xfId="7743" xr:uid="{00000000-0005-0000-0000-0000CC740000}"/>
    <cellStyle name="Normal 3 7 2 4 2 3 2" xfId="26292" xr:uid="{00000000-0005-0000-0000-0000CD740000}"/>
    <cellStyle name="Normal 3 7 2 4 2 3 2 2" xfId="58163" xr:uid="{00000000-0005-0000-0000-0000CE740000}"/>
    <cellStyle name="Normal 3 7 2 4 2 3 3" xfId="39622" xr:uid="{00000000-0005-0000-0000-0000CF740000}"/>
    <cellStyle name="Normal 3 7 2 4 2 4" xfId="18414" xr:uid="{00000000-0005-0000-0000-0000D0740000}"/>
    <cellStyle name="Normal 3 7 2 4 2 4 2" xfId="50285" xr:uid="{00000000-0005-0000-0000-0000D1740000}"/>
    <cellStyle name="Normal 3 7 2 4 2 5" xfId="39619" xr:uid="{00000000-0005-0000-0000-0000D2740000}"/>
    <cellStyle name="Normal 3 7 2 4 3" xfId="7744" xr:uid="{00000000-0005-0000-0000-0000D3740000}"/>
    <cellStyle name="Normal 3 7 2 4 3 2" xfId="7745" xr:uid="{00000000-0005-0000-0000-0000D4740000}"/>
    <cellStyle name="Normal 3 7 2 4 3 2 2" xfId="30230" xr:uid="{00000000-0005-0000-0000-0000D5740000}"/>
    <cellStyle name="Normal 3 7 2 4 3 2 2 2" xfId="62101" xr:uid="{00000000-0005-0000-0000-0000D6740000}"/>
    <cellStyle name="Normal 3 7 2 4 3 2 3" xfId="39624" xr:uid="{00000000-0005-0000-0000-0000D7740000}"/>
    <cellStyle name="Normal 3 7 2 4 3 3" xfId="22352" xr:uid="{00000000-0005-0000-0000-0000D8740000}"/>
    <cellStyle name="Normal 3 7 2 4 3 3 2" xfId="54223" xr:uid="{00000000-0005-0000-0000-0000D9740000}"/>
    <cellStyle name="Normal 3 7 2 4 3 4" xfId="39623" xr:uid="{00000000-0005-0000-0000-0000DA740000}"/>
    <cellStyle name="Normal 3 7 2 4 4" xfId="7746" xr:uid="{00000000-0005-0000-0000-0000DB740000}"/>
    <cellStyle name="Normal 3 7 2 4 4 2" xfId="26291" xr:uid="{00000000-0005-0000-0000-0000DC740000}"/>
    <cellStyle name="Normal 3 7 2 4 4 2 2" xfId="58162" xr:uid="{00000000-0005-0000-0000-0000DD740000}"/>
    <cellStyle name="Normal 3 7 2 4 4 3" xfId="39625" xr:uid="{00000000-0005-0000-0000-0000DE740000}"/>
    <cellStyle name="Normal 3 7 2 4 5" xfId="18413" xr:uid="{00000000-0005-0000-0000-0000DF740000}"/>
    <cellStyle name="Normal 3 7 2 4 5 2" xfId="50284" xr:uid="{00000000-0005-0000-0000-0000E0740000}"/>
    <cellStyle name="Normal 3 7 2 4 6" xfId="39618" xr:uid="{00000000-0005-0000-0000-0000E1740000}"/>
    <cellStyle name="Normal 3 7 2 5" xfId="7747" xr:uid="{00000000-0005-0000-0000-0000E2740000}"/>
    <cellStyle name="Normal 3 7 2 5 2" xfId="7748" xr:uid="{00000000-0005-0000-0000-0000E3740000}"/>
    <cellStyle name="Normal 3 7 2 5 2 2" xfId="7749" xr:uid="{00000000-0005-0000-0000-0000E4740000}"/>
    <cellStyle name="Normal 3 7 2 5 2 2 2" xfId="30232" xr:uid="{00000000-0005-0000-0000-0000E5740000}"/>
    <cellStyle name="Normal 3 7 2 5 2 2 2 2" xfId="62103" xr:uid="{00000000-0005-0000-0000-0000E6740000}"/>
    <cellStyle name="Normal 3 7 2 5 2 2 3" xfId="39628" xr:uid="{00000000-0005-0000-0000-0000E7740000}"/>
    <cellStyle name="Normal 3 7 2 5 2 3" xfId="22354" xr:uid="{00000000-0005-0000-0000-0000E8740000}"/>
    <cellStyle name="Normal 3 7 2 5 2 3 2" xfId="54225" xr:uid="{00000000-0005-0000-0000-0000E9740000}"/>
    <cellStyle name="Normal 3 7 2 5 2 4" xfId="39627" xr:uid="{00000000-0005-0000-0000-0000EA740000}"/>
    <cellStyle name="Normal 3 7 2 5 3" xfId="7750" xr:uid="{00000000-0005-0000-0000-0000EB740000}"/>
    <cellStyle name="Normal 3 7 2 5 3 2" xfId="26293" xr:uid="{00000000-0005-0000-0000-0000EC740000}"/>
    <cellStyle name="Normal 3 7 2 5 3 2 2" xfId="58164" xr:uid="{00000000-0005-0000-0000-0000ED740000}"/>
    <cellStyle name="Normal 3 7 2 5 3 3" xfId="39629" xr:uid="{00000000-0005-0000-0000-0000EE740000}"/>
    <cellStyle name="Normal 3 7 2 5 4" xfId="18415" xr:uid="{00000000-0005-0000-0000-0000EF740000}"/>
    <cellStyle name="Normal 3 7 2 5 4 2" xfId="50286" xr:uid="{00000000-0005-0000-0000-0000F0740000}"/>
    <cellStyle name="Normal 3 7 2 5 5" xfId="39626" xr:uid="{00000000-0005-0000-0000-0000F1740000}"/>
    <cellStyle name="Normal 3 7 2 6" xfId="7751" xr:uid="{00000000-0005-0000-0000-0000F2740000}"/>
    <cellStyle name="Normal 3 7 2 6 2" xfId="7752" xr:uid="{00000000-0005-0000-0000-0000F3740000}"/>
    <cellStyle name="Normal 3 7 2 6 2 2" xfId="28422" xr:uid="{00000000-0005-0000-0000-0000F4740000}"/>
    <cellStyle name="Normal 3 7 2 6 2 2 2" xfId="60293" xr:uid="{00000000-0005-0000-0000-0000F5740000}"/>
    <cellStyle name="Normal 3 7 2 6 2 3" xfId="39631" xr:uid="{00000000-0005-0000-0000-0000F6740000}"/>
    <cellStyle name="Normal 3 7 2 6 3" xfId="20544" xr:uid="{00000000-0005-0000-0000-0000F7740000}"/>
    <cellStyle name="Normal 3 7 2 6 3 2" xfId="52415" xr:uid="{00000000-0005-0000-0000-0000F8740000}"/>
    <cellStyle name="Normal 3 7 2 6 4" xfId="39630" xr:uid="{00000000-0005-0000-0000-0000F9740000}"/>
    <cellStyle name="Normal 3 7 2 7" xfId="7753" xr:uid="{00000000-0005-0000-0000-0000FA740000}"/>
    <cellStyle name="Normal 3 7 2 7 2" xfId="24483" xr:uid="{00000000-0005-0000-0000-0000FB740000}"/>
    <cellStyle name="Normal 3 7 2 7 2 2" xfId="56354" xr:uid="{00000000-0005-0000-0000-0000FC740000}"/>
    <cellStyle name="Normal 3 7 2 7 3" xfId="39632" xr:uid="{00000000-0005-0000-0000-0000FD740000}"/>
    <cellStyle name="Normal 3 7 2 8" xfId="16605" xr:uid="{00000000-0005-0000-0000-0000FE740000}"/>
    <cellStyle name="Normal 3 7 2 8 2" xfId="48476" xr:uid="{00000000-0005-0000-0000-0000FF740000}"/>
    <cellStyle name="Normal 3 7 2 9" xfId="39569" xr:uid="{00000000-0005-0000-0000-000000750000}"/>
    <cellStyle name="Normal 3 7 3" xfId="7754" xr:uid="{00000000-0005-0000-0000-000001750000}"/>
    <cellStyle name="Normal 3 7 3 2" xfId="7755" xr:uid="{00000000-0005-0000-0000-000002750000}"/>
    <cellStyle name="Normal 3 7 3 2 2" xfId="7756" xr:uid="{00000000-0005-0000-0000-000003750000}"/>
    <cellStyle name="Normal 3 7 3 2 2 2" xfId="7757" xr:uid="{00000000-0005-0000-0000-000004750000}"/>
    <cellStyle name="Normal 3 7 3 2 2 2 2" xfId="7758" xr:uid="{00000000-0005-0000-0000-000005750000}"/>
    <cellStyle name="Normal 3 7 3 2 2 2 2 2" xfId="7759" xr:uid="{00000000-0005-0000-0000-000006750000}"/>
    <cellStyle name="Normal 3 7 3 2 2 2 2 2 2" xfId="30236" xr:uid="{00000000-0005-0000-0000-000007750000}"/>
    <cellStyle name="Normal 3 7 3 2 2 2 2 2 2 2" xfId="62107" xr:uid="{00000000-0005-0000-0000-000008750000}"/>
    <cellStyle name="Normal 3 7 3 2 2 2 2 2 3" xfId="39638" xr:uid="{00000000-0005-0000-0000-000009750000}"/>
    <cellStyle name="Normal 3 7 3 2 2 2 2 3" xfId="22358" xr:uid="{00000000-0005-0000-0000-00000A750000}"/>
    <cellStyle name="Normal 3 7 3 2 2 2 2 3 2" xfId="54229" xr:uid="{00000000-0005-0000-0000-00000B750000}"/>
    <cellStyle name="Normal 3 7 3 2 2 2 2 4" xfId="39637" xr:uid="{00000000-0005-0000-0000-00000C750000}"/>
    <cellStyle name="Normal 3 7 3 2 2 2 3" xfId="7760" xr:uid="{00000000-0005-0000-0000-00000D750000}"/>
    <cellStyle name="Normal 3 7 3 2 2 2 3 2" xfId="26297" xr:uid="{00000000-0005-0000-0000-00000E750000}"/>
    <cellStyle name="Normal 3 7 3 2 2 2 3 2 2" xfId="58168" xr:uid="{00000000-0005-0000-0000-00000F750000}"/>
    <cellStyle name="Normal 3 7 3 2 2 2 3 3" xfId="39639" xr:uid="{00000000-0005-0000-0000-000010750000}"/>
    <cellStyle name="Normal 3 7 3 2 2 2 4" xfId="18419" xr:uid="{00000000-0005-0000-0000-000011750000}"/>
    <cellStyle name="Normal 3 7 3 2 2 2 4 2" xfId="50290" xr:uid="{00000000-0005-0000-0000-000012750000}"/>
    <cellStyle name="Normal 3 7 3 2 2 2 5" xfId="39636" xr:uid="{00000000-0005-0000-0000-000013750000}"/>
    <cellStyle name="Normal 3 7 3 2 2 3" xfId="7761" xr:uid="{00000000-0005-0000-0000-000014750000}"/>
    <cellStyle name="Normal 3 7 3 2 2 3 2" xfId="7762" xr:uid="{00000000-0005-0000-0000-000015750000}"/>
    <cellStyle name="Normal 3 7 3 2 2 3 2 2" xfId="30235" xr:uid="{00000000-0005-0000-0000-000016750000}"/>
    <cellStyle name="Normal 3 7 3 2 2 3 2 2 2" xfId="62106" xr:uid="{00000000-0005-0000-0000-000017750000}"/>
    <cellStyle name="Normal 3 7 3 2 2 3 2 3" xfId="39641" xr:uid="{00000000-0005-0000-0000-000018750000}"/>
    <cellStyle name="Normal 3 7 3 2 2 3 3" xfId="22357" xr:uid="{00000000-0005-0000-0000-000019750000}"/>
    <cellStyle name="Normal 3 7 3 2 2 3 3 2" xfId="54228" xr:uid="{00000000-0005-0000-0000-00001A750000}"/>
    <cellStyle name="Normal 3 7 3 2 2 3 4" xfId="39640" xr:uid="{00000000-0005-0000-0000-00001B750000}"/>
    <cellStyle name="Normal 3 7 3 2 2 4" xfId="7763" xr:uid="{00000000-0005-0000-0000-00001C750000}"/>
    <cellStyle name="Normal 3 7 3 2 2 4 2" xfId="26296" xr:uid="{00000000-0005-0000-0000-00001D750000}"/>
    <cellStyle name="Normal 3 7 3 2 2 4 2 2" xfId="58167" xr:uid="{00000000-0005-0000-0000-00001E750000}"/>
    <cellStyle name="Normal 3 7 3 2 2 4 3" xfId="39642" xr:uid="{00000000-0005-0000-0000-00001F750000}"/>
    <cellStyle name="Normal 3 7 3 2 2 5" xfId="18418" xr:uid="{00000000-0005-0000-0000-000020750000}"/>
    <cellStyle name="Normal 3 7 3 2 2 5 2" xfId="50289" xr:uid="{00000000-0005-0000-0000-000021750000}"/>
    <cellStyle name="Normal 3 7 3 2 2 6" xfId="39635" xr:uid="{00000000-0005-0000-0000-000022750000}"/>
    <cellStyle name="Normal 3 7 3 2 3" xfId="7764" xr:uid="{00000000-0005-0000-0000-000023750000}"/>
    <cellStyle name="Normal 3 7 3 2 3 2" xfId="7765" xr:uid="{00000000-0005-0000-0000-000024750000}"/>
    <cellStyle name="Normal 3 7 3 2 3 2 2" xfId="7766" xr:uid="{00000000-0005-0000-0000-000025750000}"/>
    <cellStyle name="Normal 3 7 3 2 3 2 2 2" xfId="30237" xr:uid="{00000000-0005-0000-0000-000026750000}"/>
    <cellStyle name="Normal 3 7 3 2 3 2 2 2 2" xfId="62108" xr:uid="{00000000-0005-0000-0000-000027750000}"/>
    <cellStyle name="Normal 3 7 3 2 3 2 2 3" xfId="39645" xr:uid="{00000000-0005-0000-0000-000028750000}"/>
    <cellStyle name="Normal 3 7 3 2 3 2 3" xfId="22359" xr:uid="{00000000-0005-0000-0000-000029750000}"/>
    <cellStyle name="Normal 3 7 3 2 3 2 3 2" xfId="54230" xr:uid="{00000000-0005-0000-0000-00002A750000}"/>
    <cellStyle name="Normal 3 7 3 2 3 2 4" xfId="39644" xr:uid="{00000000-0005-0000-0000-00002B750000}"/>
    <cellStyle name="Normal 3 7 3 2 3 3" xfId="7767" xr:uid="{00000000-0005-0000-0000-00002C750000}"/>
    <cellStyle name="Normal 3 7 3 2 3 3 2" xfId="26298" xr:uid="{00000000-0005-0000-0000-00002D750000}"/>
    <cellStyle name="Normal 3 7 3 2 3 3 2 2" xfId="58169" xr:uid="{00000000-0005-0000-0000-00002E750000}"/>
    <cellStyle name="Normal 3 7 3 2 3 3 3" xfId="39646" xr:uid="{00000000-0005-0000-0000-00002F750000}"/>
    <cellStyle name="Normal 3 7 3 2 3 4" xfId="18420" xr:uid="{00000000-0005-0000-0000-000030750000}"/>
    <cellStyle name="Normal 3 7 3 2 3 4 2" xfId="50291" xr:uid="{00000000-0005-0000-0000-000031750000}"/>
    <cellStyle name="Normal 3 7 3 2 3 5" xfId="39643" xr:uid="{00000000-0005-0000-0000-000032750000}"/>
    <cellStyle name="Normal 3 7 3 2 4" xfId="7768" xr:uid="{00000000-0005-0000-0000-000033750000}"/>
    <cellStyle name="Normal 3 7 3 2 4 2" xfId="7769" xr:uid="{00000000-0005-0000-0000-000034750000}"/>
    <cellStyle name="Normal 3 7 3 2 4 2 2" xfId="30234" xr:uid="{00000000-0005-0000-0000-000035750000}"/>
    <cellStyle name="Normal 3 7 3 2 4 2 2 2" xfId="62105" xr:uid="{00000000-0005-0000-0000-000036750000}"/>
    <cellStyle name="Normal 3 7 3 2 4 2 3" xfId="39648" xr:uid="{00000000-0005-0000-0000-000037750000}"/>
    <cellStyle name="Normal 3 7 3 2 4 3" xfId="22356" xr:uid="{00000000-0005-0000-0000-000038750000}"/>
    <cellStyle name="Normal 3 7 3 2 4 3 2" xfId="54227" xr:uid="{00000000-0005-0000-0000-000039750000}"/>
    <cellStyle name="Normal 3 7 3 2 4 4" xfId="39647" xr:uid="{00000000-0005-0000-0000-00003A750000}"/>
    <cellStyle name="Normal 3 7 3 2 5" xfId="7770" xr:uid="{00000000-0005-0000-0000-00003B750000}"/>
    <cellStyle name="Normal 3 7 3 2 5 2" xfId="26295" xr:uid="{00000000-0005-0000-0000-00003C750000}"/>
    <cellStyle name="Normal 3 7 3 2 5 2 2" xfId="58166" xr:uid="{00000000-0005-0000-0000-00003D750000}"/>
    <cellStyle name="Normal 3 7 3 2 5 3" xfId="39649" xr:uid="{00000000-0005-0000-0000-00003E750000}"/>
    <cellStyle name="Normal 3 7 3 2 6" xfId="18417" xr:uid="{00000000-0005-0000-0000-00003F750000}"/>
    <cellStyle name="Normal 3 7 3 2 6 2" xfId="50288" xr:uid="{00000000-0005-0000-0000-000040750000}"/>
    <cellStyle name="Normal 3 7 3 2 7" xfId="39634" xr:uid="{00000000-0005-0000-0000-000041750000}"/>
    <cellStyle name="Normal 3 7 3 3" xfId="7771" xr:uid="{00000000-0005-0000-0000-000042750000}"/>
    <cellStyle name="Normal 3 7 3 3 2" xfId="7772" xr:uid="{00000000-0005-0000-0000-000043750000}"/>
    <cellStyle name="Normal 3 7 3 3 2 2" xfId="7773" xr:uid="{00000000-0005-0000-0000-000044750000}"/>
    <cellStyle name="Normal 3 7 3 3 2 2 2" xfId="7774" xr:uid="{00000000-0005-0000-0000-000045750000}"/>
    <cellStyle name="Normal 3 7 3 3 2 2 2 2" xfId="30239" xr:uid="{00000000-0005-0000-0000-000046750000}"/>
    <cellStyle name="Normal 3 7 3 3 2 2 2 2 2" xfId="62110" xr:uid="{00000000-0005-0000-0000-000047750000}"/>
    <cellStyle name="Normal 3 7 3 3 2 2 2 3" xfId="39653" xr:uid="{00000000-0005-0000-0000-000048750000}"/>
    <cellStyle name="Normal 3 7 3 3 2 2 3" xfId="22361" xr:uid="{00000000-0005-0000-0000-000049750000}"/>
    <cellStyle name="Normal 3 7 3 3 2 2 3 2" xfId="54232" xr:uid="{00000000-0005-0000-0000-00004A750000}"/>
    <cellStyle name="Normal 3 7 3 3 2 2 4" xfId="39652" xr:uid="{00000000-0005-0000-0000-00004B750000}"/>
    <cellStyle name="Normal 3 7 3 3 2 3" xfId="7775" xr:uid="{00000000-0005-0000-0000-00004C750000}"/>
    <cellStyle name="Normal 3 7 3 3 2 3 2" xfId="26300" xr:uid="{00000000-0005-0000-0000-00004D750000}"/>
    <cellStyle name="Normal 3 7 3 3 2 3 2 2" xfId="58171" xr:uid="{00000000-0005-0000-0000-00004E750000}"/>
    <cellStyle name="Normal 3 7 3 3 2 3 3" xfId="39654" xr:uid="{00000000-0005-0000-0000-00004F750000}"/>
    <cellStyle name="Normal 3 7 3 3 2 4" xfId="18422" xr:uid="{00000000-0005-0000-0000-000050750000}"/>
    <cellStyle name="Normal 3 7 3 3 2 4 2" xfId="50293" xr:uid="{00000000-0005-0000-0000-000051750000}"/>
    <cellStyle name="Normal 3 7 3 3 2 5" xfId="39651" xr:uid="{00000000-0005-0000-0000-000052750000}"/>
    <cellStyle name="Normal 3 7 3 3 3" xfId="7776" xr:uid="{00000000-0005-0000-0000-000053750000}"/>
    <cellStyle name="Normal 3 7 3 3 3 2" xfId="7777" xr:uid="{00000000-0005-0000-0000-000054750000}"/>
    <cellStyle name="Normal 3 7 3 3 3 2 2" xfId="30238" xr:uid="{00000000-0005-0000-0000-000055750000}"/>
    <cellStyle name="Normal 3 7 3 3 3 2 2 2" xfId="62109" xr:uid="{00000000-0005-0000-0000-000056750000}"/>
    <cellStyle name="Normal 3 7 3 3 3 2 3" xfId="39656" xr:uid="{00000000-0005-0000-0000-000057750000}"/>
    <cellStyle name="Normal 3 7 3 3 3 3" xfId="22360" xr:uid="{00000000-0005-0000-0000-000058750000}"/>
    <cellStyle name="Normal 3 7 3 3 3 3 2" xfId="54231" xr:uid="{00000000-0005-0000-0000-000059750000}"/>
    <cellStyle name="Normal 3 7 3 3 3 4" xfId="39655" xr:uid="{00000000-0005-0000-0000-00005A750000}"/>
    <cellStyle name="Normal 3 7 3 3 4" xfId="7778" xr:uid="{00000000-0005-0000-0000-00005B750000}"/>
    <cellStyle name="Normal 3 7 3 3 4 2" xfId="26299" xr:uid="{00000000-0005-0000-0000-00005C750000}"/>
    <cellStyle name="Normal 3 7 3 3 4 2 2" xfId="58170" xr:uid="{00000000-0005-0000-0000-00005D750000}"/>
    <cellStyle name="Normal 3 7 3 3 4 3" xfId="39657" xr:uid="{00000000-0005-0000-0000-00005E750000}"/>
    <cellStyle name="Normal 3 7 3 3 5" xfId="18421" xr:uid="{00000000-0005-0000-0000-00005F750000}"/>
    <cellStyle name="Normal 3 7 3 3 5 2" xfId="50292" xr:uid="{00000000-0005-0000-0000-000060750000}"/>
    <cellStyle name="Normal 3 7 3 3 6" xfId="39650" xr:uid="{00000000-0005-0000-0000-000061750000}"/>
    <cellStyle name="Normal 3 7 3 4" xfId="7779" xr:uid="{00000000-0005-0000-0000-000062750000}"/>
    <cellStyle name="Normal 3 7 3 4 2" xfId="7780" xr:uid="{00000000-0005-0000-0000-000063750000}"/>
    <cellStyle name="Normal 3 7 3 4 2 2" xfId="7781" xr:uid="{00000000-0005-0000-0000-000064750000}"/>
    <cellStyle name="Normal 3 7 3 4 2 2 2" xfId="30240" xr:uid="{00000000-0005-0000-0000-000065750000}"/>
    <cellStyle name="Normal 3 7 3 4 2 2 2 2" xfId="62111" xr:uid="{00000000-0005-0000-0000-000066750000}"/>
    <cellStyle name="Normal 3 7 3 4 2 2 3" xfId="39660" xr:uid="{00000000-0005-0000-0000-000067750000}"/>
    <cellStyle name="Normal 3 7 3 4 2 3" xfId="22362" xr:uid="{00000000-0005-0000-0000-000068750000}"/>
    <cellStyle name="Normal 3 7 3 4 2 3 2" xfId="54233" xr:uid="{00000000-0005-0000-0000-000069750000}"/>
    <cellStyle name="Normal 3 7 3 4 2 4" xfId="39659" xr:uid="{00000000-0005-0000-0000-00006A750000}"/>
    <cellStyle name="Normal 3 7 3 4 3" xfId="7782" xr:uid="{00000000-0005-0000-0000-00006B750000}"/>
    <cellStyle name="Normal 3 7 3 4 3 2" xfId="26301" xr:uid="{00000000-0005-0000-0000-00006C750000}"/>
    <cellStyle name="Normal 3 7 3 4 3 2 2" xfId="58172" xr:uid="{00000000-0005-0000-0000-00006D750000}"/>
    <cellStyle name="Normal 3 7 3 4 3 3" xfId="39661" xr:uid="{00000000-0005-0000-0000-00006E750000}"/>
    <cellStyle name="Normal 3 7 3 4 4" xfId="18423" xr:uid="{00000000-0005-0000-0000-00006F750000}"/>
    <cellStyle name="Normal 3 7 3 4 4 2" xfId="50294" xr:uid="{00000000-0005-0000-0000-000070750000}"/>
    <cellStyle name="Normal 3 7 3 4 5" xfId="39658" xr:uid="{00000000-0005-0000-0000-000071750000}"/>
    <cellStyle name="Normal 3 7 3 5" xfId="7783" xr:uid="{00000000-0005-0000-0000-000072750000}"/>
    <cellStyle name="Normal 3 7 3 5 2" xfId="7784" xr:uid="{00000000-0005-0000-0000-000073750000}"/>
    <cellStyle name="Normal 3 7 3 5 2 2" xfId="30233" xr:uid="{00000000-0005-0000-0000-000074750000}"/>
    <cellStyle name="Normal 3 7 3 5 2 2 2" xfId="62104" xr:uid="{00000000-0005-0000-0000-000075750000}"/>
    <cellStyle name="Normal 3 7 3 5 2 3" xfId="39663" xr:uid="{00000000-0005-0000-0000-000076750000}"/>
    <cellStyle name="Normal 3 7 3 5 3" xfId="22355" xr:uid="{00000000-0005-0000-0000-000077750000}"/>
    <cellStyle name="Normal 3 7 3 5 3 2" xfId="54226" xr:uid="{00000000-0005-0000-0000-000078750000}"/>
    <cellStyle name="Normal 3 7 3 5 4" xfId="39662" xr:uid="{00000000-0005-0000-0000-000079750000}"/>
    <cellStyle name="Normal 3 7 3 6" xfId="7785" xr:uid="{00000000-0005-0000-0000-00007A750000}"/>
    <cellStyle name="Normal 3 7 3 6 2" xfId="26294" xr:uid="{00000000-0005-0000-0000-00007B750000}"/>
    <cellStyle name="Normal 3 7 3 6 2 2" xfId="58165" xr:uid="{00000000-0005-0000-0000-00007C750000}"/>
    <cellStyle name="Normal 3 7 3 6 3" xfId="39664" xr:uid="{00000000-0005-0000-0000-00007D750000}"/>
    <cellStyle name="Normal 3 7 3 7" xfId="18416" xr:uid="{00000000-0005-0000-0000-00007E750000}"/>
    <cellStyle name="Normal 3 7 3 7 2" xfId="50287" xr:uid="{00000000-0005-0000-0000-00007F750000}"/>
    <cellStyle name="Normal 3 7 3 8" xfId="39633" xr:uid="{00000000-0005-0000-0000-000080750000}"/>
    <cellStyle name="Normal 3 7 4" xfId="7786" xr:uid="{00000000-0005-0000-0000-000081750000}"/>
    <cellStyle name="Normal 3 7 4 2" xfId="7787" xr:uid="{00000000-0005-0000-0000-000082750000}"/>
    <cellStyle name="Normal 3 7 4 2 2" xfId="7788" xr:uid="{00000000-0005-0000-0000-000083750000}"/>
    <cellStyle name="Normal 3 7 4 2 2 2" xfId="7789" xr:uid="{00000000-0005-0000-0000-000084750000}"/>
    <cellStyle name="Normal 3 7 4 2 2 2 2" xfId="7790" xr:uid="{00000000-0005-0000-0000-000085750000}"/>
    <cellStyle name="Normal 3 7 4 2 2 2 2 2" xfId="30243" xr:uid="{00000000-0005-0000-0000-000086750000}"/>
    <cellStyle name="Normal 3 7 4 2 2 2 2 2 2" xfId="62114" xr:uid="{00000000-0005-0000-0000-000087750000}"/>
    <cellStyle name="Normal 3 7 4 2 2 2 2 3" xfId="39669" xr:uid="{00000000-0005-0000-0000-000088750000}"/>
    <cellStyle name="Normal 3 7 4 2 2 2 3" xfId="22365" xr:uid="{00000000-0005-0000-0000-000089750000}"/>
    <cellStyle name="Normal 3 7 4 2 2 2 3 2" xfId="54236" xr:uid="{00000000-0005-0000-0000-00008A750000}"/>
    <cellStyle name="Normal 3 7 4 2 2 2 4" xfId="39668" xr:uid="{00000000-0005-0000-0000-00008B750000}"/>
    <cellStyle name="Normal 3 7 4 2 2 3" xfId="7791" xr:uid="{00000000-0005-0000-0000-00008C750000}"/>
    <cellStyle name="Normal 3 7 4 2 2 3 2" xfId="26304" xr:uid="{00000000-0005-0000-0000-00008D750000}"/>
    <cellStyle name="Normal 3 7 4 2 2 3 2 2" xfId="58175" xr:uid="{00000000-0005-0000-0000-00008E750000}"/>
    <cellStyle name="Normal 3 7 4 2 2 3 3" xfId="39670" xr:uid="{00000000-0005-0000-0000-00008F750000}"/>
    <cellStyle name="Normal 3 7 4 2 2 4" xfId="18426" xr:uid="{00000000-0005-0000-0000-000090750000}"/>
    <cellStyle name="Normal 3 7 4 2 2 4 2" xfId="50297" xr:uid="{00000000-0005-0000-0000-000091750000}"/>
    <cellStyle name="Normal 3 7 4 2 2 5" xfId="39667" xr:uid="{00000000-0005-0000-0000-000092750000}"/>
    <cellStyle name="Normal 3 7 4 2 3" xfId="7792" xr:uid="{00000000-0005-0000-0000-000093750000}"/>
    <cellStyle name="Normal 3 7 4 2 3 2" xfId="7793" xr:uid="{00000000-0005-0000-0000-000094750000}"/>
    <cellStyle name="Normal 3 7 4 2 3 2 2" xfId="30242" xr:uid="{00000000-0005-0000-0000-000095750000}"/>
    <cellStyle name="Normal 3 7 4 2 3 2 2 2" xfId="62113" xr:uid="{00000000-0005-0000-0000-000096750000}"/>
    <cellStyle name="Normal 3 7 4 2 3 2 3" xfId="39672" xr:uid="{00000000-0005-0000-0000-000097750000}"/>
    <cellStyle name="Normal 3 7 4 2 3 3" xfId="22364" xr:uid="{00000000-0005-0000-0000-000098750000}"/>
    <cellStyle name="Normal 3 7 4 2 3 3 2" xfId="54235" xr:uid="{00000000-0005-0000-0000-000099750000}"/>
    <cellStyle name="Normal 3 7 4 2 3 4" xfId="39671" xr:uid="{00000000-0005-0000-0000-00009A750000}"/>
    <cellStyle name="Normal 3 7 4 2 4" xfId="7794" xr:uid="{00000000-0005-0000-0000-00009B750000}"/>
    <cellStyle name="Normal 3 7 4 2 4 2" xfId="26303" xr:uid="{00000000-0005-0000-0000-00009C750000}"/>
    <cellStyle name="Normal 3 7 4 2 4 2 2" xfId="58174" xr:uid="{00000000-0005-0000-0000-00009D750000}"/>
    <cellStyle name="Normal 3 7 4 2 4 3" xfId="39673" xr:uid="{00000000-0005-0000-0000-00009E750000}"/>
    <cellStyle name="Normal 3 7 4 2 5" xfId="18425" xr:uid="{00000000-0005-0000-0000-00009F750000}"/>
    <cellStyle name="Normal 3 7 4 2 5 2" xfId="50296" xr:uid="{00000000-0005-0000-0000-0000A0750000}"/>
    <cellStyle name="Normal 3 7 4 2 6" xfId="39666" xr:uid="{00000000-0005-0000-0000-0000A1750000}"/>
    <cellStyle name="Normal 3 7 4 3" xfId="7795" xr:uid="{00000000-0005-0000-0000-0000A2750000}"/>
    <cellStyle name="Normal 3 7 4 3 2" xfId="7796" xr:uid="{00000000-0005-0000-0000-0000A3750000}"/>
    <cellStyle name="Normal 3 7 4 3 2 2" xfId="7797" xr:uid="{00000000-0005-0000-0000-0000A4750000}"/>
    <cellStyle name="Normal 3 7 4 3 2 2 2" xfId="30244" xr:uid="{00000000-0005-0000-0000-0000A5750000}"/>
    <cellStyle name="Normal 3 7 4 3 2 2 2 2" xfId="62115" xr:uid="{00000000-0005-0000-0000-0000A6750000}"/>
    <cellStyle name="Normal 3 7 4 3 2 2 3" xfId="39676" xr:uid="{00000000-0005-0000-0000-0000A7750000}"/>
    <cellStyle name="Normal 3 7 4 3 2 3" xfId="22366" xr:uid="{00000000-0005-0000-0000-0000A8750000}"/>
    <cellStyle name="Normal 3 7 4 3 2 3 2" xfId="54237" xr:uid="{00000000-0005-0000-0000-0000A9750000}"/>
    <cellStyle name="Normal 3 7 4 3 2 4" xfId="39675" xr:uid="{00000000-0005-0000-0000-0000AA750000}"/>
    <cellStyle name="Normal 3 7 4 3 3" xfId="7798" xr:uid="{00000000-0005-0000-0000-0000AB750000}"/>
    <cellStyle name="Normal 3 7 4 3 3 2" xfId="26305" xr:uid="{00000000-0005-0000-0000-0000AC750000}"/>
    <cellStyle name="Normal 3 7 4 3 3 2 2" xfId="58176" xr:uid="{00000000-0005-0000-0000-0000AD750000}"/>
    <cellStyle name="Normal 3 7 4 3 3 3" xfId="39677" xr:uid="{00000000-0005-0000-0000-0000AE750000}"/>
    <cellStyle name="Normal 3 7 4 3 4" xfId="18427" xr:uid="{00000000-0005-0000-0000-0000AF750000}"/>
    <cellStyle name="Normal 3 7 4 3 4 2" xfId="50298" xr:uid="{00000000-0005-0000-0000-0000B0750000}"/>
    <cellStyle name="Normal 3 7 4 3 5" xfId="39674" xr:uid="{00000000-0005-0000-0000-0000B1750000}"/>
    <cellStyle name="Normal 3 7 4 4" xfId="7799" xr:uid="{00000000-0005-0000-0000-0000B2750000}"/>
    <cellStyle name="Normal 3 7 4 4 2" xfId="7800" xr:uid="{00000000-0005-0000-0000-0000B3750000}"/>
    <cellStyle name="Normal 3 7 4 4 2 2" xfId="30241" xr:uid="{00000000-0005-0000-0000-0000B4750000}"/>
    <cellStyle name="Normal 3 7 4 4 2 2 2" xfId="62112" xr:uid="{00000000-0005-0000-0000-0000B5750000}"/>
    <cellStyle name="Normal 3 7 4 4 2 3" xfId="39679" xr:uid="{00000000-0005-0000-0000-0000B6750000}"/>
    <cellStyle name="Normal 3 7 4 4 3" xfId="22363" xr:uid="{00000000-0005-0000-0000-0000B7750000}"/>
    <cellStyle name="Normal 3 7 4 4 3 2" xfId="54234" xr:uid="{00000000-0005-0000-0000-0000B8750000}"/>
    <cellStyle name="Normal 3 7 4 4 4" xfId="39678" xr:uid="{00000000-0005-0000-0000-0000B9750000}"/>
    <cellStyle name="Normal 3 7 4 5" xfId="7801" xr:uid="{00000000-0005-0000-0000-0000BA750000}"/>
    <cellStyle name="Normal 3 7 4 5 2" xfId="26302" xr:uid="{00000000-0005-0000-0000-0000BB750000}"/>
    <cellStyle name="Normal 3 7 4 5 2 2" xfId="58173" xr:uid="{00000000-0005-0000-0000-0000BC750000}"/>
    <cellStyle name="Normal 3 7 4 5 3" xfId="39680" xr:uid="{00000000-0005-0000-0000-0000BD750000}"/>
    <cellStyle name="Normal 3 7 4 6" xfId="18424" xr:uid="{00000000-0005-0000-0000-0000BE750000}"/>
    <cellStyle name="Normal 3 7 4 6 2" xfId="50295" xr:uid="{00000000-0005-0000-0000-0000BF750000}"/>
    <cellStyle name="Normal 3 7 4 7" xfId="39665" xr:uid="{00000000-0005-0000-0000-0000C0750000}"/>
    <cellStyle name="Normal 3 7 5" xfId="7802" xr:uid="{00000000-0005-0000-0000-0000C1750000}"/>
    <cellStyle name="Normal 3 7 5 2" xfId="7803" xr:uid="{00000000-0005-0000-0000-0000C2750000}"/>
    <cellStyle name="Normal 3 7 5 2 2" xfId="7804" xr:uid="{00000000-0005-0000-0000-0000C3750000}"/>
    <cellStyle name="Normal 3 7 5 2 2 2" xfId="7805" xr:uid="{00000000-0005-0000-0000-0000C4750000}"/>
    <cellStyle name="Normal 3 7 5 2 2 2 2" xfId="30246" xr:uid="{00000000-0005-0000-0000-0000C5750000}"/>
    <cellStyle name="Normal 3 7 5 2 2 2 2 2" xfId="62117" xr:uid="{00000000-0005-0000-0000-0000C6750000}"/>
    <cellStyle name="Normal 3 7 5 2 2 2 3" xfId="39684" xr:uid="{00000000-0005-0000-0000-0000C7750000}"/>
    <cellStyle name="Normal 3 7 5 2 2 3" xfId="22368" xr:uid="{00000000-0005-0000-0000-0000C8750000}"/>
    <cellStyle name="Normal 3 7 5 2 2 3 2" xfId="54239" xr:uid="{00000000-0005-0000-0000-0000C9750000}"/>
    <cellStyle name="Normal 3 7 5 2 2 4" xfId="39683" xr:uid="{00000000-0005-0000-0000-0000CA750000}"/>
    <cellStyle name="Normal 3 7 5 2 3" xfId="7806" xr:uid="{00000000-0005-0000-0000-0000CB750000}"/>
    <cellStyle name="Normal 3 7 5 2 3 2" xfId="26307" xr:uid="{00000000-0005-0000-0000-0000CC750000}"/>
    <cellStyle name="Normal 3 7 5 2 3 2 2" xfId="58178" xr:uid="{00000000-0005-0000-0000-0000CD750000}"/>
    <cellStyle name="Normal 3 7 5 2 3 3" xfId="39685" xr:uid="{00000000-0005-0000-0000-0000CE750000}"/>
    <cellStyle name="Normal 3 7 5 2 4" xfId="18429" xr:uid="{00000000-0005-0000-0000-0000CF750000}"/>
    <cellStyle name="Normal 3 7 5 2 4 2" xfId="50300" xr:uid="{00000000-0005-0000-0000-0000D0750000}"/>
    <cellStyle name="Normal 3 7 5 2 5" xfId="39682" xr:uid="{00000000-0005-0000-0000-0000D1750000}"/>
    <cellStyle name="Normal 3 7 5 3" xfId="7807" xr:uid="{00000000-0005-0000-0000-0000D2750000}"/>
    <cellStyle name="Normal 3 7 5 3 2" xfId="7808" xr:uid="{00000000-0005-0000-0000-0000D3750000}"/>
    <cellStyle name="Normal 3 7 5 3 2 2" xfId="30245" xr:uid="{00000000-0005-0000-0000-0000D4750000}"/>
    <cellStyle name="Normal 3 7 5 3 2 2 2" xfId="62116" xr:uid="{00000000-0005-0000-0000-0000D5750000}"/>
    <cellStyle name="Normal 3 7 5 3 2 3" xfId="39687" xr:uid="{00000000-0005-0000-0000-0000D6750000}"/>
    <cellStyle name="Normal 3 7 5 3 3" xfId="22367" xr:uid="{00000000-0005-0000-0000-0000D7750000}"/>
    <cellStyle name="Normal 3 7 5 3 3 2" xfId="54238" xr:uid="{00000000-0005-0000-0000-0000D8750000}"/>
    <cellStyle name="Normal 3 7 5 3 4" xfId="39686" xr:uid="{00000000-0005-0000-0000-0000D9750000}"/>
    <cellStyle name="Normal 3 7 5 4" xfId="7809" xr:uid="{00000000-0005-0000-0000-0000DA750000}"/>
    <cellStyle name="Normal 3 7 5 4 2" xfId="26306" xr:uid="{00000000-0005-0000-0000-0000DB750000}"/>
    <cellStyle name="Normal 3 7 5 4 2 2" xfId="58177" xr:uid="{00000000-0005-0000-0000-0000DC750000}"/>
    <cellStyle name="Normal 3 7 5 4 3" xfId="39688" xr:uid="{00000000-0005-0000-0000-0000DD750000}"/>
    <cellStyle name="Normal 3 7 5 5" xfId="18428" xr:uid="{00000000-0005-0000-0000-0000DE750000}"/>
    <cellStyle name="Normal 3 7 5 5 2" xfId="50299" xr:uid="{00000000-0005-0000-0000-0000DF750000}"/>
    <cellStyle name="Normal 3 7 5 6" xfId="39681" xr:uid="{00000000-0005-0000-0000-0000E0750000}"/>
    <cellStyle name="Normal 3 7 6" xfId="7810" xr:uid="{00000000-0005-0000-0000-0000E1750000}"/>
    <cellStyle name="Normal 3 7 6 2" xfId="7811" xr:uid="{00000000-0005-0000-0000-0000E2750000}"/>
    <cellStyle name="Normal 3 7 6 2 2" xfId="7812" xr:uid="{00000000-0005-0000-0000-0000E3750000}"/>
    <cellStyle name="Normal 3 7 6 2 2 2" xfId="30247" xr:uid="{00000000-0005-0000-0000-0000E4750000}"/>
    <cellStyle name="Normal 3 7 6 2 2 2 2" xfId="62118" xr:uid="{00000000-0005-0000-0000-0000E5750000}"/>
    <cellStyle name="Normal 3 7 6 2 2 3" xfId="39691" xr:uid="{00000000-0005-0000-0000-0000E6750000}"/>
    <cellStyle name="Normal 3 7 6 2 3" xfId="22369" xr:uid="{00000000-0005-0000-0000-0000E7750000}"/>
    <cellStyle name="Normal 3 7 6 2 3 2" xfId="54240" xr:uid="{00000000-0005-0000-0000-0000E8750000}"/>
    <cellStyle name="Normal 3 7 6 2 4" xfId="39690" xr:uid="{00000000-0005-0000-0000-0000E9750000}"/>
    <cellStyle name="Normal 3 7 6 3" xfId="7813" xr:uid="{00000000-0005-0000-0000-0000EA750000}"/>
    <cellStyle name="Normal 3 7 6 3 2" xfId="26308" xr:uid="{00000000-0005-0000-0000-0000EB750000}"/>
    <cellStyle name="Normal 3 7 6 3 2 2" xfId="58179" xr:uid="{00000000-0005-0000-0000-0000EC750000}"/>
    <cellStyle name="Normal 3 7 6 3 3" xfId="39692" xr:uid="{00000000-0005-0000-0000-0000ED750000}"/>
    <cellStyle name="Normal 3 7 6 4" xfId="18430" xr:uid="{00000000-0005-0000-0000-0000EE750000}"/>
    <cellStyle name="Normal 3 7 6 4 2" xfId="50301" xr:uid="{00000000-0005-0000-0000-0000EF750000}"/>
    <cellStyle name="Normal 3 7 6 5" xfId="39689" xr:uid="{00000000-0005-0000-0000-0000F0750000}"/>
    <cellStyle name="Normal 3 7 7" xfId="7814" xr:uid="{00000000-0005-0000-0000-0000F1750000}"/>
    <cellStyle name="Normal 3 7 7 2" xfId="7815" xr:uid="{00000000-0005-0000-0000-0000F2750000}"/>
    <cellStyle name="Normal 3 7 7 2 2" xfId="28299" xr:uid="{00000000-0005-0000-0000-0000F3750000}"/>
    <cellStyle name="Normal 3 7 7 2 2 2" xfId="60170" xr:uid="{00000000-0005-0000-0000-0000F4750000}"/>
    <cellStyle name="Normal 3 7 7 2 3" xfId="39694" xr:uid="{00000000-0005-0000-0000-0000F5750000}"/>
    <cellStyle name="Normal 3 7 7 3" xfId="20421" xr:uid="{00000000-0005-0000-0000-0000F6750000}"/>
    <cellStyle name="Normal 3 7 7 3 2" xfId="52292" xr:uid="{00000000-0005-0000-0000-0000F7750000}"/>
    <cellStyle name="Normal 3 7 7 4" xfId="39693" xr:uid="{00000000-0005-0000-0000-0000F8750000}"/>
    <cellStyle name="Normal 3 7 8" xfId="7816" xr:uid="{00000000-0005-0000-0000-0000F9750000}"/>
    <cellStyle name="Normal 3 7 8 2" xfId="24360" xr:uid="{00000000-0005-0000-0000-0000FA750000}"/>
    <cellStyle name="Normal 3 7 8 2 2" xfId="56231" xr:uid="{00000000-0005-0000-0000-0000FB750000}"/>
    <cellStyle name="Normal 3 7 8 3" xfId="39695" xr:uid="{00000000-0005-0000-0000-0000FC750000}"/>
    <cellStyle name="Normal 3 7 9" xfId="16482" xr:uid="{00000000-0005-0000-0000-0000FD750000}"/>
    <cellStyle name="Normal 3 7 9 2" xfId="48353" xr:uid="{00000000-0005-0000-0000-0000FE750000}"/>
    <cellStyle name="Normal 3 8" xfId="266" xr:uid="{00000000-0005-0000-0000-0000FF750000}"/>
    <cellStyle name="Normal 3 8 10" xfId="7817" xr:uid="{00000000-0005-0000-0000-000000760000}"/>
    <cellStyle name="Normal 3 8 10 2" xfId="39696" xr:uid="{00000000-0005-0000-0000-000001760000}"/>
    <cellStyle name="Normal 3 8 2" xfId="7818" xr:uid="{00000000-0005-0000-0000-000002760000}"/>
    <cellStyle name="Normal 3 8 2 2" xfId="7819" xr:uid="{00000000-0005-0000-0000-000003760000}"/>
    <cellStyle name="Normal 3 8 2 2 2" xfId="7820" xr:uid="{00000000-0005-0000-0000-000004760000}"/>
    <cellStyle name="Normal 3 8 2 2 2 2" xfId="7821" xr:uid="{00000000-0005-0000-0000-000005760000}"/>
    <cellStyle name="Normal 3 8 2 2 2 2 2" xfId="7822" xr:uid="{00000000-0005-0000-0000-000006760000}"/>
    <cellStyle name="Normal 3 8 2 2 2 2 2 2" xfId="7823" xr:uid="{00000000-0005-0000-0000-000007760000}"/>
    <cellStyle name="Normal 3 8 2 2 2 2 2 2 2" xfId="7824" xr:uid="{00000000-0005-0000-0000-000008760000}"/>
    <cellStyle name="Normal 3 8 2 2 2 2 2 2 2 2" xfId="30251" xr:uid="{00000000-0005-0000-0000-000009760000}"/>
    <cellStyle name="Normal 3 8 2 2 2 2 2 2 2 2 2" xfId="62122" xr:uid="{00000000-0005-0000-0000-00000A760000}"/>
    <cellStyle name="Normal 3 8 2 2 2 2 2 2 2 3" xfId="39703" xr:uid="{00000000-0005-0000-0000-00000B760000}"/>
    <cellStyle name="Normal 3 8 2 2 2 2 2 2 3" xfId="22373" xr:uid="{00000000-0005-0000-0000-00000C760000}"/>
    <cellStyle name="Normal 3 8 2 2 2 2 2 2 3 2" xfId="54244" xr:uid="{00000000-0005-0000-0000-00000D760000}"/>
    <cellStyle name="Normal 3 8 2 2 2 2 2 2 4" xfId="39702" xr:uid="{00000000-0005-0000-0000-00000E760000}"/>
    <cellStyle name="Normal 3 8 2 2 2 2 2 3" xfId="7825" xr:uid="{00000000-0005-0000-0000-00000F760000}"/>
    <cellStyle name="Normal 3 8 2 2 2 2 2 3 2" xfId="26312" xr:uid="{00000000-0005-0000-0000-000010760000}"/>
    <cellStyle name="Normal 3 8 2 2 2 2 2 3 2 2" xfId="58183" xr:uid="{00000000-0005-0000-0000-000011760000}"/>
    <cellStyle name="Normal 3 8 2 2 2 2 2 3 3" xfId="39704" xr:uid="{00000000-0005-0000-0000-000012760000}"/>
    <cellStyle name="Normal 3 8 2 2 2 2 2 4" xfId="18434" xr:uid="{00000000-0005-0000-0000-000013760000}"/>
    <cellStyle name="Normal 3 8 2 2 2 2 2 4 2" xfId="50305" xr:uid="{00000000-0005-0000-0000-000014760000}"/>
    <cellStyle name="Normal 3 8 2 2 2 2 2 5" xfId="39701" xr:uid="{00000000-0005-0000-0000-000015760000}"/>
    <cellStyle name="Normal 3 8 2 2 2 2 3" xfId="7826" xr:uid="{00000000-0005-0000-0000-000016760000}"/>
    <cellStyle name="Normal 3 8 2 2 2 2 3 2" xfId="7827" xr:uid="{00000000-0005-0000-0000-000017760000}"/>
    <cellStyle name="Normal 3 8 2 2 2 2 3 2 2" xfId="30250" xr:uid="{00000000-0005-0000-0000-000018760000}"/>
    <cellStyle name="Normal 3 8 2 2 2 2 3 2 2 2" xfId="62121" xr:uid="{00000000-0005-0000-0000-000019760000}"/>
    <cellStyle name="Normal 3 8 2 2 2 2 3 2 3" xfId="39706" xr:uid="{00000000-0005-0000-0000-00001A760000}"/>
    <cellStyle name="Normal 3 8 2 2 2 2 3 3" xfId="22372" xr:uid="{00000000-0005-0000-0000-00001B760000}"/>
    <cellStyle name="Normal 3 8 2 2 2 2 3 3 2" xfId="54243" xr:uid="{00000000-0005-0000-0000-00001C760000}"/>
    <cellStyle name="Normal 3 8 2 2 2 2 3 4" xfId="39705" xr:uid="{00000000-0005-0000-0000-00001D760000}"/>
    <cellStyle name="Normal 3 8 2 2 2 2 4" xfId="7828" xr:uid="{00000000-0005-0000-0000-00001E760000}"/>
    <cellStyle name="Normal 3 8 2 2 2 2 4 2" xfId="26311" xr:uid="{00000000-0005-0000-0000-00001F760000}"/>
    <cellStyle name="Normal 3 8 2 2 2 2 4 2 2" xfId="58182" xr:uid="{00000000-0005-0000-0000-000020760000}"/>
    <cellStyle name="Normal 3 8 2 2 2 2 4 3" xfId="39707" xr:uid="{00000000-0005-0000-0000-000021760000}"/>
    <cellStyle name="Normal 3 8 2 2 2 2 5" xfId="18433" xr:uid="{00000000-0005-0000-0000-000022760000}"/>
    <cellStyle name="Normal 3 8 2 2 2 2 5 2" xfId="50304" xr:uid="{00000000-0005-0000-0000-000023760000}"/>
    <cellStyle name="Normal 3 8 2 2 2 2 6" xfId="39700" xr:uid="{00000000-0005-0000-0000-000024760000}"/>
    <cellStyle name="Normal 3 8 2 2 2 3" xfId="7829" xr:uid="{00000000-0005-0000-0000-000025760000}"/>
    <cellStyle name="Normal 3 8 2 2 2 3 2" xfId="7830" xr:uid="{00000000-0005-0000-0000-000026760000}"/>
    <cellStyle name="Normal 3 8 2 2 2 3 2 2" xfId="7831" xr:uid="{00000000-0005-0000-0000-000027760000}"/>
    <cellStyle name="Normal 3 8 2 2 2 3 2 2 2" xfId="30252" xr:uid="{00000000-0005-0000-0000-000028760000}"/>
    <cellStyle name="Normal 3 8 2 2 2 3 2 2 2 2" xfId="62123" xr:uid="{00000000-0005-0000-0000-000029760000}"/>
    <cellStyle name="Normal 3 8 2 2 2 3 2 2 3" xfId="39710" xr:uid="{00000000-0005-0000-0000-00002A760000}"/>
    <cellStyle name="Normal 3 8 2 2 2 3 2 3" xfId="22374" xr:uid="{00000000-0005-0000-0000-00002B760000}"/>
    <cellStyle name="Normal 3 8 2 2 2 3 2 3 2" xfId="54245" xr:uid="{00000000-0005-0000-0000-00002C760000}"/>
    <cellStyle name="Normal 3 8 2 2 2 3 2 4" xfId="39709" xr:uid="{00000000-0005-0000-0000-00002D760000}"/>
    <cellStyle name="Normal 3 8 2 2 2 3 3" xfId="7832" xr:uid="{00000000-0005-0000-0000-00002E760000}"/>
    <cellStyle name="Normal 3 8 2 2 2 3 3 2" xfId="26313" xr:uid="{00000000-0005-0000-0000-00002F760000}"/>
    <cellStyle name="Normal 3 8 2 2 2 3 3 2 2" xfId="58184" xr:uid="{00000000-0005-0000-0000-000030760000}"/>
    <cellStyle name="Normal 3 8 2 2 2 3 3 3" xfId="39711" xr:uid="{00000000-0005-0000-0000-000031760000}"/>
    <cellStyle name="Normal 3 8 2 2 2 3 4" xfId="18435" xr:uid="{00000000-0005-0000-0000-000032760000}"/>
    <cellStyle name="Normal 3 8 2 2 2 3 4 2" xfId="50306" xr:uid="{00000000-0005-0000-0000-000033760000}"/>
    <cellStyle name="Normal 3 8 2 2 2 3 5" xfId="39708" xr:uid="{00000000-0005-0000-0000-000034760000}"/>
    <cellStyle name="Normal 3 8 2 2 2 4" xfId="7833" xr:uid="{00000000-0005-0000-0000-000035760000}"/>
    <cellStyle name="Normal 3 8 2 2 2 4 2" xfId="7834" xr:uid="{00000000-0005-0000-0000-000036760000}"/>
    <cellStyle name="Normal 3 8 2 2 2 4 2 2" xfId="30249" xr:uid="{00000000-0005-0000-0000-000037760000}"/>
    <cellStyle name="Normal 3 8 2 2 2 4 2 2 2" xfId="62120" xr:uid="{00000000-0005-0000-0000-000038760000}"/>
    <cellStyle name="Normal 3 8 2 2 2 4 2 3" xfId="39713" xr:uid="{00000000-0005-0000-0000-000039760000}"/>
    <cellStyle name="Normal 3 8 2 2 2 4 3" xfId="22371" xr:uid="{00000000-0005-0000-0000-00003A760000}"/>
    <cellStyle name="Normal 3 8 2 2 2 4 3 2" xfId="54242" xr:uid="{00000000-0005-0000-0000-00003B760000}"/>
    <cellStyle name="Normal 3 8 2 2 2 4 4" xfId="39712" xr:uid="{00000000-0005-0000-0000-00003C760000}"/>
    <cellStyle name="Normal 3 8 2 2 2 5" xfId="7835" xr:uid="{00000000-0005-0000-0000-00003D760000}"/>
    <cellStyle name="Normal 3 8 2 2 2 5 2" xfId="26310" xr:uid="{00000000-0005-0000-0000-00003E760000}"/>
    <cellStyle name="Normal 3 8 2 2 2 5 2 2" xfId="58181" xr:uid="{00000000-0005-0000-0000-00003F760000}"/>
    <cellStyle name="Normal 3 8 2 2 2 5 3" xfId="39714" xr:uid="{00000000-0005-0000-0000-000040760000}"/>
    <cellStyle name="Normal 3 8 2 2 2 6" xfId="18432" xr:uid="{00000000-0005-0000-0000-000041760000}"/>
    <cellStyle name="Normal 3 8 2 2 2 6 2" xfId="50303" xr:uid="{00000000-0005-0000-0000-000042760000}"/>
    <cellStyle name="Normal 3 8 2 2 2 7" xfId="39699" xr:uid="{00000000-0005-0000-0000-000043760000}"/>
    <cellStyle name="Normal 3 8 2 2 3" xfId="7836" xr:uid="{00000000-0005-0000-0000-000044760000}"/>
    <cellStyle name="Normal 3 8 2 2 3 2" xfId="7837" xr:uid="{00000000-0005-0000-0000-000045760000}"/>
    <cellStyle name="Normal 3 8 2 2 3 2 2" xfId="7838" xr:uid="{00000000-0005-0000-0000-000046760000}"/>
    <cellStyle name="Normal 3 8 2 2 3 2 2 2" xfId="7839" xr:uid="{00000000-0005-0000-0000-000047760000}"/>
    <cellStyle name="Normal 3 8 2 2 3 2 2 2 2" xfId="30254" xr:uid="{00000000-0005-0000-0000-000048760000}"/>
    <cellStyle name="Normal 3 8 2 2 3 2 2 2 2 2" xfId="62125" xr:uid="{00000000-0005-0000-0000-000049760000}"/>
    <cellStyle name="Normal 3 8 2 2 3 2 2 2 3" xfId="39718" xr:uid="{00000000-0005-0000-0000-00004A760000}"/>
    <cellStyle name="Normal 3 8 2 2 3 2 2 3" xfId="22376" xr:uid="{00000000-0005-0000-0000-00004B760000}"/>
    <cellStyle name="Normal 3 8 2 2 3 2 2 3 2" xfId="54247" xr:uid="{00000000-0005-0000-0000-00004C760000}"/>
    <cellStyle name="Normal 3 8 2 2 3 2 2 4" xfId="39717" xr:uid="{00000000-0005-0000-0000-00004D760000}"/>
    <cellStyle name="Normal 3 8 2 2 3 2 3" xfId="7840" xr:uid="{00000000-0005-0000-0000-00004E760000}"/>
    <cellStyle name="Normal 3 8 2 2 3 2 3 2" xfId="26315" xr:uid="{00000000-0005-0000-0000-00004F760000}"/>
    <cellStyle name="Normal 3 8 2 2 3 2 3 2 2" xfId="58186" xr:uid="{00000000-0005-0000-0000-000050760000}"/>
    <cellStyle name="Normal 3 8 2 2 3 2 3 3" xfId="39719" xr:uid="{00000000-0005-0000-0000-000051760000}"/>
    <cellStyle name="Normal 3 8 2 2 3 2 4" xfId="18437" xr:uid="{00000000-0005-0000-0000-000052760000}"/>
    <cellStyle name="Normal 3 8 2 2 3 2 4 2" xfId="50308" xr:uid="{00000000-0005-0000-0000-000053760000}"/>
    <cellStyle name="Normal 3 8 2 2 3 2 5" xfId="39716" xr:uid="{00000000-0005-0000-0000-000054760000}"/>
    <cellStyle name="Normal 3 8 2 2 3 3" xfId="7841" xr:uid="{00000000-0005-0000-0000-000055760000}"/>
    <cellStyle name="Normal 3 8 2 2 3 3 2" xfId="7842" xr:uid="{00000000-0005-0000-0000-000056760000}"/>
    <cellStyle name="Normal 3 8 2 2 3 3 2 2" xfId="30253" xr:uid="{00000000-0005-0000-0000-000057760000}"/>
    <cellStyle name="Normal 3 8 2 2 3 3 2 2 2" xfId="62124" xr:uid="{00000000-0005-0000-0000-000058760000}"/>
    <cellStyle name="Normal 3 8 2 2 3 3 2 3" xfId="39721" xr:uid="{00000000-0005-0000-0000-000059760000}"/>
    <cellStyle name="Normal 3 8 2 2 3 3 3" xfId="22375" xr:uid="{00000000-0005-0000-0000-00005A760000}"/>
    <cellStyle name="Normal 3 8 2 2 3 3 3 2" xfId="54246" xr:uid="{00000000-0005-0000-0000-00005B760000}"/>
    <cellStyle name="Normal 3 8 2 2 3 3 4" xfId="39720" xr:uid="{00000000-0005-0000-0000-00005C760000}"/>
    <cellStyle name="Normal 3 8 2 2 3 4" xfId="7843" xr:uid="{00000000-0005-0000-0000-00005D760000}"/>
    <cellStyle name="Normal 3 8 2 2 3 4 2" xfId="26314" xr:uid="{00000000-0005-0000-0000-00005E760000}"/>
    <cellStyle name="Normal 3 8 2 2 3 4 2 2" xfId="58185" xr:uid="{00000000-0005-0000-0000-00005F760000}"/>
    <cellStyle name="Normal 3 8 2 2 3 4 3" xfId="39722" xr:uid="{00000000-0005-0000-0000-000060760000}"/>
    <cellStyle name="Normal 3 8 2 2 3 5" xfId="18436" xr:uid="{00000000-0005-0000-0000-000061760000}"/>
    <cellStyle name="Normal 3 8 2 2 3 5 2" xfId="50307" xr:uid="{00000000-0005-0000-0000-000062760000}"/>
    <cellStyle name="Normal 3 8 2 2 3 6" xfId="39715" xr:uid="{00000000-0005-0000-0000-000063760000}"/>
    <cellStyle name="Normal 3 8 2 2 4" xfId="7844" xr:uid="{00000000-0005-0000-0000-000064760000}"/>
    <cellStyle name="Normal 3 8 2 2 4 2" xfId="7845" xr:uid="{00000000-0005-0000-0000-000065760000}"/>
    <cellStyle name="Normal 3 8 2 2 4 2 2" xfId="7846" xr:uid="{00000000-0005-0000-0000-000066760000}"/>
    <cellStyle name="Normal 3 8 2 2 4 2 2 2" xfId="30255" xr:uid="{00000000-0005-0000-0000-000067760000}"/>
    <cellStyle name="Normal 3 8 2 2 4 2 2 2 2" xfId="62126" xr:uid="{00000000-0005-0000-0000-000068760000}"/>
    <cellStyle name="Normal 3 8 2 2 4 2 2 3" xfId="39725" xr:uid="{00000000-0005-0000-0000-000069760000}"/>
    <cellStyle name="Normal 3 8 2 2 4 2 3" xfId="22377" xr:uid="{00000000-0005-0000-0000-00006A760000}"/>
    <cellStyle name="Normal 3 8 2 2 4 2 3 2" xfId="54248" xr:uid="{00000000-0005-0000-0000-00006B760000}"/>
    <cellStyle name="Normal 3 8 2 2 4 2 4" xfId="39724" xr:uid="{00000000-0005-0000-0000-00006C760000}"/>
    <cellStyle name="Normal 3 8 2 2 4 3" xfId="7847" xr:uid="{00000000-0005-0000-0000-00006D760000}"/>
    <cellStyle name="Normal 3 8 2 2 4 3 2" xfId="26316" xr:uid="{00000000-0005-0000-0000-00006E760000}"/>
    <cellStyle name="Normal 3 8 2 2 4 3 2 2" xfId="58187" xr:uid="{00000000-0005-0000-0000-00006F760000}"/>
    <cellStyle name="Normal 3 8 2 2 4 3 3" xfId="39726" xr:uid="{00000000-0005-0000-0000-000070760000}"/>
    <cellStyle name="Normal 3 8 2 2 4 4" xfId="18438" xr:uid="{00000000-0005-0000-0000-000071760000}"/>
    <cellStyle name="Normal 3 8 2 2 4 4 2" xfId="50309" xr:uid="{00000000-0005-0000-0000-000072760000}"/>
    <cellStyle name="Normal 3 8 2 2 4 5" xfId="39723" xr:uid="{00000000-0005-0000-0000-000073760000}"/>
    <cellStyle name="Normal 3 8 2 2 5" xfId="7848" xr:uid="{00000000-0005-0000-0000-000074760000}"/>
    <cellStyle name="Normal 3 8 2 2 5 2" xfId="7849" xr:uid="{00000000-0005-0000-0000-000075760000}"/>
    <cellStyle name="Normal 3 8 2 2 5 2 2" xfId="30248" xr:uid="{00000000-0005-0000-0000-000076760000}"/>
    <cellStyle name="Normal 3 8 2 2 5 2 2 2" xfId="62119" xr:uid="{00000000-0005-0000-0000-000077760000}"/>
    <cellStyle name="Normal 3 8 2 2 5 2 3" xfId="39728" xr:uid="{00000000-0005-0000-0000-000078760000}"/>
    <cellStyle name="Normal 3 8 2 2 5 3" xfId="22370" xr:uid="{00000000-0005-0000-0000-000079760000}"/>
    <cellStyle name="Normal 3 8 2 2 5 3 2" xfId="54241" xr:uid="{00000000-0005-0000-0000-00007A760000}"/>
    <cellStyle name="Normal 3 8 2 2 5 4" xfId="39727" xr:uid="{00000000-0005-0000-0000-00007B760000}"/>
    <cellStyle name="Normal 3 8 2 2 6" xfId="7850" xr:uid="{00000000-0005-0000-0000-00007C760000}"/>
    <cellStyle name="Normal 3 8 2 2 6 2" xfId="26309" xr:uid="{00000000-0005-0000-0000-00007D760000}"/>
    <cellStyle name="Normal 3 8 2 2 6 2 2" xfId="58180" xr:uid="{00000000-0005-0000-0000-00007E760000}"/>
    <cellStyle name="Normal 3 8 2 2 6 3" xfId="39729" xr:uid="{00000000-0005-0000-0000-00007F760000}"/>
    <cellStyle name="Normal 3 8 2 2 7" xfId="18431" xr:uid="{00000000-0005-0000-0000-000080760000}"/>
    <cellStyle name="Normal 3 8 2 2 7 2" xfId="50302" xr:uid="{00000000-0005-0000-0000-000081760000}"/>
    <cellStyle name="Normal 3 8 2 2 8" xfId="39698" xr:uid="{00000000-0005-0000-0000-000082760000}"/>
    <cellStyle name="Normal 3 8 2 3" xfId="7851" xr:uid="{00000000-0005-0000-0000-000083760000}"/>
    <cellStyle name="Normal 3 8 2 3 2" xfId="7852" xr:uid="{00000000-0005-0000-0000-000084760000}"/>
    <cellStyle name="Normal 3 8 2 3 2 2" xfId="7853" xr:uid="{00000000-0005-0000-0000-000085760000}"/>
    <cellStyle name="Normal 3 8 2 3 2 2 2" xfId="7854" xr:uid="{00000000-0005-0000-0000-000086760000}"/>
    <cellStyle name="Normal 3 8 2 3 2 2 2 2" xfId="7855" xr:uid="{00000000-0005-0000-0000-000087760000}"/>
    <cellStyle name="Normal 3 8 2 3 2 2 2 2 2" xfId="30258" xr:uid="{00000000-0005-0000-0000-000088760000}"/>
    <cellStyle name="Normal 3 8 2 3 2 2 2 2 2 2" xfId="62129" xr:uid="{00000000-0005-0000-0000-000089760000}"/>
    <cellStyle name="Normal 3 8 2 3 2 2 2 2 3" xfId="39734" xr:uid="{00000000-0005-0000-0000-00008A760000}"/>
    <cellStyle name="Normal 3 8 2 3 2 2 2 3" xfId="22380" xr:uid="{00000000-0005-0000-0000-00008B760000}"/>
    <cellStyle name="Normal 3 8 2 3 2 2 2 3 2" xfId="54251" xr:uid="{00000000-0005-0000-0000-00008C760000}"/>
    <cellStyle name="Normal 3 8 2 3 2 2 2 4" xfId="39733" xr:uid="{00000000-0005-0000-0000-00008D760000}"/>
    <cellStyle name="Normal 3 8 2 3 2 2 3" xfId="7856" xr:uid="{00000000-0005-0000-0000-00008E760000}"/>
    <cellStyle name="Normal 3 8 2 3 2 2 3 2" xfId="26319" xr:uid="{00000000-0005-0000-0000-00008F760000}"/>
    <cellStyle name="Normal 3 8 2 3 2 2 3 2 2" xfId="58190" xr:uid="{00000000-0005-0000-0000-000090760000}"/>
    <cellStyle name="Normal 3 8 2 3 2 2 3 3" xfId="39735" xr:uid="{00000000-0005-0000-0000-000091760000}"/>
    <cellStyle name="Normal 3 8 2 3 2 2 4" xfId="18441" xr:uid="{00000000-0005-0000-0000-000092760000}"/>
    <cellStyle name="Normal 3 8 2 3 2 2 4 2" xfId="50312" xr:uid="{00000000-0005-0000-0000-000093760000}"/>
    <cellStyle name="Normal 3 8 2 3 2 2 5" xfId="39732" xr:uid="{00000000-0005-0000-0000-000094760000}"/>
    <cellStyle name="Normal 3 8 2 3 2 3" xfId="7857" xr:uid="{00000000-0005-0000-0000-000095760000}"/>
    <cellStyle name="Normal 3 8 2 3 2 3 2" xfId="7858" xr:uid="{00000000-0005-0000-0000-000096760000}"/>
    <cellStyle name="Normal 3 8 2 3 2 3 2 2" xfId="30257" xr:uid="{00000000-0005-0000-0000-000097760000}"/>
    <cellStyle name="Normal 3 8 2 3 2 3 2 2 2" xfId="62128" xr:uid="{00000000-0005-0000-0000-000098760000}"/>
    <cellStyle name="Normal 3 8 2 3 2 3 2 3" xfId="39737" xr:uid="{00000000-0005-0000-0000-000099760000}"/>
    <cellStyle name="Normal 3 8 2 3 2 3 3" xfId="22379" xr:uid="{00000000-0005-0000-0000-00009A760000}"/>
    <cellStyle name="Normal 3 8 2 3 2 3 3 2" xfId="54250" xr:uid="{00000000-0005-0000-0000-00009B760000}"/>
    <cellStyle name="Normal 3 8 2 3 2 3 4" xfId="39736" xr:uid="{00000000-0005-0000-0000-00009C760000}"/>
    <cellStyle name="Normal 3 8 2 3 2 4" xfId="7859" xr:uid="{00000000-0005-0000-0000-00009D760000}"/>
    <cellStyle name="Normal 3 8 2 3 2 4 2" xfId="26318" xr:uid="{00000000-0005-0000-0000-00009E760000}"/>
    <cellStyle name="Normal 3 8 2 3 2 4 2 2" xfId="58189" xr:uid="{00000000-0005-0000-0000-00009F760000}"/>
    <cellStyle name="Normal 3 8 2 3 2 4 3" xfId="39738" xr:uid="{00000000-0005-0000-0000-0000A0760000}"/>
    <cellStyle name="Normal 3 8 2 3 2 5" xfId="18440" xr:uid="{00000000-0005-0000-0000-0000A1760000}"/>
    <cellStyle name="Normal 3 8 2 3 2 5 2" xfId="50311" xr:uid="{00000000-0005-0000-0000-0000A2760000}"/>
    <cellStyle name="Normal 3 8 2 3 2 6" xfId="39731" xr:uid="{00000000-0005-0000-0000-0000A3760000}"/>
    <cellStyle name="Normal 3 8 2 3 3" xfId="7860" xr:uid="{00000000-0005-0000-0000-0000A4760000}"/>
    <cellStyle name="Normal 3 8 2 3 3 2" xfId="7861" xr:uid="{00000000-0005-0000-0000-0000A5760000}"/>
    <cellStyle name="Normal 3 8 2 3 3 2 2" xfId="7862" xr:uid="{00000000-0005-0000-0000-0000A6760000}"/>
    <cellStyle name="Normal 3 8 2 3 3 2 2 2" xfId="30259" xr:uid="{00000000-0005-0000-0000-0000A7760000}"/>
    <cellStyle name="Normal 3 8 2 3 3 2 2 2 2" xfId="62130" xr:uid="{00000000-0005-0000-0000-0000A8760000}"/>
    <cellStyle name="Normal 3 8 2 3 3 2 2 3" xfId="39741" xr:uid="{00000000-0005-0000-0000-0000A9760000}"/>
    <cellStyle name="Normal 3 8 2 3 3 2 3" xfId="22381" xr:uid="{00000000-0005-0000-0000-0000AA760000}"/>
    <cellStyle name="Normal 3 8 2 3 3 2 3 2" xfId="54252" xr:uid="{00000000-0005-0000-0000-0000AB760000}"/>
    <cellStyle name="Normal 3 8 2 3 3 2 4" xfId="39740" xr:uid="{00000000-0005-0000-0000-0000AC760000}"/>
    <cellStyle name="Normal 3 8 2 3 3 3" xfId="7863" xr:uid="{00000000-0005-0000-0000-0000AD760000}"/>
    <cellStyle name="Normal 3 8 2 3 3 3 2" xfId="26320" xr:uid="{00000000-0005-0000-0000-0000AE760000}"/>
    <cellStyle name="Normal 3 8 2 3 3 3 2 2" xfId="58191" xr:uid="{00000000-0005-0000-0000-0000AF760000}"/>
    <cellStyle name="Normal 3 8 2 3 3 3 3" xfId="39742" xr:uid="{00000000-0005-0000-0000-0000B0760000}"/>
    <cellStyle name="Normal 3 8 2 3 3 4" xfId="18442" xr:uid="{00000000-0005-0000-0000-0000B1760000}"/>
    <cellStyle name="Normal 3 8 2 3 3 4 2" xfId="50313" xr:uid="{00000000-0005-0000-0000-0000B2760000}"/>
    <cellStyle name="Normal 3 8 2 3 3 5" xfId="39739" xr:uid="{00000000-0005-0000-0000-0000B3760000}"/>
    <cellStyle name="Normal 3 8 2 3 4" xfId="7864" xr:uid="{00000000-0005-0000-0000-0000B4760000}"/>
    <cellStyle name="Normal 3 8 2 3 4 2" xfId="7865" xr:uid="{00000000-0005-0000-0000-0000B5760000}"/>
    <cellStyle name="Normal 3 8 2 3 4 2 2" xfId="30256" xr:uid="{00000000-0005-0000-0000-0000B6760000}"/>
    <cellStyle name="Normal 3 8 2 3 4 2 2 2" xfId="62127" xr:uid="{00000000-0005-0000-0000-0000B7760000}"/>
    <cellStyle name="Normal 3 8 2 3 4 2 3" xfId="39744" xr:uid="{00000000-0005-0000-0000-0000B8760000}"/>
    <cellStyle name="Normal 3 8 2 3 4 3" xfId="22378" xr:uid="{00000000-0005-0000-0000-0000B9760000}"/>
    <cellStyle name="Normal 3 8 2 3 4 3 2" xfId="54249" xr:uid="{00000000-0005-0000-0000-0000BA760000}"/>
    <cellStyle name="Normal 3 8 2 3 4 4" xfId="39743" xr:uid="{00000000-0005-0000-0000-0000BB760000}"/>
    <cellStyle name="Normal 3 8 2 3 5" xfId="7866" xr:uid="{00000000-0005-0000-0000-0000BC760000}"/>
    <cellStyle name="Normal 3 8 2 3 5 2" xfId="26317" xr:uid="{00000000-0005-0000-0000-0000BD760000}"/>
    <cellStyle name="Normal 3 8 2 3 5 2 2" xfId="58188" xr:uid="{00000000-0005-0000-0000-0000BE760000}"/>
    <cellStyle name="Normal 3 8 2 3 5 3" xfId="39745" xr:uid="{00000000-0005-0000-0000-0000BF760000}"/>
    <cellStyle name="Normal 3 8 2 3 6" xfId="18439" xr:uid="{00000000-0005-0000-0000-0000C0760000}"/>
    <cellStyle name="Normal 3 8 2 3 6 2" xfId="50310" xr:uid="{00000000-0005-0000-0000-0000C1760000}"/>
    <cellStyle name="Normal 3 8 2 3 7" xfId="39730" xr:uid="{00000000-0005-0000-0000-0000C2760000}"/>
    <cellStyle name="Normal 3 8 2 4" xfId="7867" xr:uid="{00000000-0005-0000-0000-0000C3760000}"/>
    <cellStyle name="Normal 3 8 2 4 2" xfId="7868" xr:uid="{00000000-0005-0000-0000-0000C4760000}"/>
    <cellStyle name="Normal 3 8 2 4 2 2" xfId="7869" xr:uid="{00000000-0005-0000-0000-0000C5760000}"/>
    <cellStyle name="Normal 3 8 2 4 2 2 2" xfId="7870" xr:uid="{00000000-0005-0000-0000-0000C6760000}"/>
    <cellStyle name="Normal 3 8 2 4 2 2 2 2" xfId="30261" xr:uid="{00000000-0005-0000-0000-0000C7760000}"/>
    <cellStyle name="Normal 3 8 2 4 2 2 2 2 2" xfId="62132" xr:uid="{00000000-0005-0000-0000-0000C8760000}"/>
    <cellStyle name="Normal 3 8 2 4 2 2 2 3" xfId="39749" xr:uid="{00000000-0005-0000-0000-0000C9760000}"/>
    <cellStyle name="Normal 3 8 2 4 2 2 3" xfId="22383" xr:uid="{00000000-0005-0000-0000-0000CA760000}"/>
    <cellStyle name="Normal 3 8 2 4 2 2 3 2" xfId="54254" xr:uid="{00000000-0005-0000-0000-0000CB760000}"/>
    <cellStyle name="Normal 3 8 2 4 2 2 4" xfId="39748" xr:uid="{00000000-0005-0000-0000-0000CC760000}"/>
    <cellStyle name="Normal 3 8 2 4 2 3" xfId="7871" xr:uid="{00000000-0005-0000-0000-0000CD760000}"/>
    <cellStyle name="Normal 3 8 2 4 2 3 2" xfId="26322" xr:uid="{00000000-0005-0000-0000-0000CE760000}"/>
    <cellStyle name="Normal 3 8 2 4 2 3 2 2" xfId="58193" xr:uid="{00000000-0005-0000-0000-0000CF760000}"/>
    <cellStyle name="Normal 3 8 2 4 2 3 3" xfId="39750" xr:uid="{00000000-0005-0000-0000-0000D0760000}"/>
    <cellStyle name="Normal 3 8 2 4 2 4" xfId="18444" xr:uid="{00000000-0005-0000-0000-0000D1760000}"/>
    <cellStyle name="Normal 3 8 2 4 2 4 2" xfId="50315" xr:uid="{00000000-0005-0000-0000-0000D2760000}"/>
    <cellStyle name="Normal 3 8 2 4 2 5" xfId="39747" xr:uid="{00000000-0005-0000-0000-0000D3760000}"/>
    <cellStyle name="Normal 3 8 2 4 3" xfId="7872" xr:uid="{00000000-0005-0000-0000-0000D4760000}"/>
    <cellStyle name="Normal 3 8 2 4 3 2" xfId="7873" xr:uid="{00000000-0005-0000-0000-0000D5760000}"/>
    <cellStyle name="Normal 3 8 2 4 3 2 2" xfId="30260" xr:uid="{00000000-0005-0000-0000-0000D6760000}"/>
    <cellStyle name="Normal 3 8 2 4 3 2 2 2" xfId="62131" xr:uid="{00000000-0005-0000-0000-0000D7760000}"/>
    <cellStyle name="Normal 3 8 2 4 3 2 3" xfId="39752" xr:uid="{00000000-0005-0000-0000-0000D8760000}"/>
    <cellStyle name="Normal 3 8 2 4 3 3" xfId="22382" xr:uid="{00000000-0005-0000-0000-0000D9760000}"/>
    <cellStyle name="Normal 3 8 2 4 3 3 2" xfId="54253" xr:uid="{00000000-0005-0000-0000-0000DA760000}"/>
    <cellStyle name="Normal 3 8 2 4 3 4" xfId="39751" xr:uid="{00000000-0005-0000-0000-0000DB760000}"/>
    <cellStyle name="Normal 3 8 2 4 4" xfId="7874" xr:uid="{00000000-0005-0000-0000-0000DC760000}"/>
    <cellStyle name="Normal 3 8 2 4 4 2" xfId="26321" xr:uid="{00000000-0005-0000-0000-0000DD760000}"/>
    <cellStyle name="Normal 3 8 2 4 4 2 2" xfId="58192" xr:uid="{00000000-0005-0000-0000-0000DE760000}"/>
    <cellStyle name="Normal 3 8 2 4 4 3" xfId="39753" xr:uid="{00000000-0005-0000-0000-0000DF760000}"/>
    <cellStyle name="Normal 3 8 2 4 5" xfId="18443" xr:uid="{00000000-0005-0000-0000-0000E0760000}"/>
    <cellStyle name="Normal 3 8 2 4 5 2" xfId="50314" xr:uid="{00000000-0005-0000-0000-0000E1760000}"/>
    <cellStyle name="Normal 3 8 2 4 6" xfId="39746" xr:uid="{00000000-0005-0000-0000-0000E2760000}"/>
    <cellStyle name="Normal 3 8 2 5" xfId="7875" xr:uid="{00000000-0005-0000-0000-0000E3760000}"/>
    <cellStyle name="Normal 3 8 2 5 2" xfId="7876" xr:uid="{00000000-0005-0000-0000-0000E4760000}"/>
    <cellStyle name="Normal 3 8 2 5 2 2" xfId="7877" xr:uid="{00000000-0005-0000-0000-0000E5760000}"/>
    <cellStyle name="Normal 3 8 2 5 2 2 2" xfId="30262" xr:uid="{00000000-0005-0000-0000-0000E6760000}"/>
    <cellStyle name="Normal 3 8 2 5 2 2 2 2" xfId="62133" xr:uid="{00000000-0005-0000-0000-0000E7760000}"/>
    <cellStyle name="Normal 3 8 2 5 2 2 3" xfId="39756" xr:uid="{00000000-0005-0000-0000-0000E8760000}"/>
    <cellStyle name="Normal 3 8 2 5 2 3" xfId="22384" xr:uid="{00000000-0005-0000-0000-0000E9760000}"/>
    <cellStyle name="Normal 3 8 2 5 2 3 2" xfId="54255" xr:uid="{00000000-0005-0000-0000-0000EA760000}"/>
    <cellStyle name="Normal 3 8 2 5 2 4" xfId="39755" xr:uid="{00000000-0005-0000-0000-0000EB760000}"/>
    <cellStyle name="Normal 3 8 2 5 3" xfId="7878" xr:uid="{00000000-0005-0000-0000-0000EC760000}"/>
    <cellStyle name="Normal 3 8 2 5 3 2" xfId="26323" xr:uid="{00000000-0005-0000-0000-0000ED760000}"/>
    <cellStyle name="Normal 3 8 2 5 3 2 2" xfId="58194" xr:uid="{00000000-0005-0000-0000-0000EE760000}"/>
    <cellStyle name="Normal 3 8 2 5 3 3" xfId="39757" xr:uid="{00000000-0005-0000-0000-0000EF760000}"/>
    <cellStyle name="Normal 3 8 2 5 4" xfId="18445" xr:uid="{00000000-0005-0000-0000-0000F0760000}"/>
    <cellStyle name="Normal 3 8 2 5 4 2" xfId="50316" xr:uid="{00000000-0005-0000-0000-0000F1760000}"/>
    <cellStyle name="Normal 3 8 2 5 5" xfId="39754" xr:uid="{00000000-0005-0000-0000-0000F2760000}"/>
    <cellStyle name="Normal 3 8 2 6" xfId="7879" xr:uid="{00000000-0005-0000-0000-0000F3760000}"/>
    <cellStyle name="Normal 3 8 2 6 2" xfId="7880" xr:uid="{00000000-0005-0000-0000-0000F4760000}"/>
    <cellStyle name="Normal 3 8 2 6 2 2" xfId="28463" xr:uid="{00000000-0005-0000-0000-0000F5760000}"/>
    <cellStyle name="Normal 3 8 2 6 2 2 2" xfId="60334" xr:uid="{00000000-0005-0000-0000-0000F6760000}"/>
    <cellStyle name="Normal 3 8 2 6 2 3" xfId="39759" xr:uid="{00000000-0005-0000-0000-0000F7760000}"/>
    <cellStyle name="Normal 3 8 2 6 3" xfId="20585" xr:uid="{00000000-0005-0000-0000-0000F8760000}"/>
    <cellStyle name="Normal 3 8 2 6 3 2" xfId="52456" xr:uid="{00000000-0005-0000-0000-0000F9760000}"/>
    <cellStyle name="Normal 3 8 2 6 4" xfId="39758" xr:uid="{00000000-0005-0000-0000-0000FA760000}"/>
    <cellStyle name="Normal 3 8 2 7" xfId="7881" xr:uid="{00000000-0005-0000-0000-0000FB760000}"/>
    <cellStyle name="Normal 3 8 2 7 2" xfId="24524" xr:uid="{00000000-0005-0000-0000-0000FC760000}"/>
    <cellStyle name="Normal 3 8 2 7 2 2" xfId="56395" xr:uid="{00000000-0005-0000-0000-0000FD760000}"/>
    <cellStyle name="Normal 3 8 2 7 3" xfId="39760" xr:uid="{00000000-0005-0000-0000-0000FE760000}"/>
    <cellStyle name="Normal 3 8 2 8" xfId="16646" xr:uid="{00000000-0005-0000-0000-0000FF760000}"/>
    <cellStyle name="Normal 3 8 2 8 2" xfId="48517" xr:uid="{00000000-0005-0000-0000-000000770000}"/>
    <cellStyle name="Normal 3 8 2 9" xfId="39697" xr:uid="{00000000-0005-0000-0000-000001770000}"/>
    <cellStyle name="Normal 3 8 3" xfId="7882" xr:uid="{00000000-0005-0000-0000-000002770000}"/>
    <cellStyle name="Normal 3 8 3 2" xfId="7883" xr:uid="{00000000-0005-0000-0000-000003770000}"/>
    <cellStyle name="Normal 3 8 3 2 2" xfId="7884" xr:uid="{00000000-0005-0000-0000-000004770000}"/>
    <cellStyle name="Normal 3 8 3 2 2 2" xfId="7885" xr:uid="{00000000-0005-0000-0000-000005770000}"/>
    <cellStyle name="Normal 3 8 3 2 2 2 2" xfId="7886" xr:uid="{00000000-0005-0000-0000-000006770000}"/>
    <cellStyle name="Normal 3 8 3 2 2 2 2 2" xfId="7887" xr:uid="{00000000-0005-0000-0000-000007770000}"/>
    <cellStyle name="Normal 3 8 3 2 2 2 2 2 2" xfId="30266" xr:uid="{00000000-0005-0000-0000-000008770000}"/>
    <cellStyle name="Normal 3 8 3 2 2 2 2 2 2 2" xfId="62137" xr:uid="{00000000-0005-0000-0000-000009770000}"/>
    <cellStyle name="Normal 3 8 3 2 2 2 2 2 3" xfId="39766" xr:uid="{00000000-0005-0000-0000-00000A770000}"/>
    <cellStyle name="Normal 3 8 3 2 2 2 2 3" xfId="22388" xr:uid="{00000000-0005-0000-0000-00000B770000}"/>
    <cellStyle name="Normal 3 8 3 2 2 2 2 3 2" xfId="54259" xr:uid="{00000000-0005-0000-0000-00000C770000}"/>
    <cellStyle name="Normal 3 8 3 2 2 2 2 4" xfId="39765" xr:uid="{00000000-0005-0000-0000-00000D770000}"/>
    <cellStyle name="Normal 3 8 3 2 2 2 3" xfId="7888" xr:uid="{00000000-0005-0000-0000-00000E770000}"/>
    <cellStyle name="Normal 3 8 3 2 2 2 3 2" xfId="26327" xr:uid="{00000000-0005-0000-0000-00000F770000}"/>
    <cellStyle name="Normal 3 8 3 2 2 2 3 2 2" xfId="58198" xr:uid="{00000000-0005-0000-0000-000010770000}"/>
    <cellStyle name="Normal 3 8 3 2 2 2 3 3" xfId="39767" xr:uid="{00000000-0005-0000-0000-000011770000}"/>
    <cellStyle name="Normal 3 8 3 2 2 2 4" xfId="18449" xr:uid="{00000000-0005-0000-0000-000012770000}"/>
    <cellStyle name="Normal 3 8 3 2 2 2 4 2" xfId="50320" xr:uid="{00000000-0005-0000-0000-000013770000}"/>
    <cellStyle name="Normal 3 8 3 2 2 2 5" xfId="39764" xr:uid="{00000000-0005-0000-0000-000014770000}"/>
    <cellStyle name="Normal 3 8 3 2 2 3" xfId="7889" xr:uid="{00000000-0005-0000-0000-000015770000}"/>
    <cellStyle name="Normal 3 8 3 2 2 3 2" xfId="7890" xr:uid="{00000000-0005-0000-0000-000016770000}"/>
    <cellStyle name="Normal 3 8 3 2 2 3 2 2" xfId="30265" xr:uid="{00000000-0005-0000-0000-000017770000}"/>
    <cellStyle name="Normal 3 8 3 2 2 3 2 2 2" xfId="62136" xr:uid="{00000000-0005-0000-0000-000018770000}"/>
    <cellStyle name="Normal 3 8 3 2 2 3 2 3" xfId="39769" xr:uid="{00000000-0005-0000-0000-000019770000}"/>
    <cellStyle name="Normal 3 8 3 2 2 3 3" xfId="22387" xr:uid="{00000000-0005-0000-0000-00001A770000}"/>
    <cellStyle name="Normal 3 8 3 2 2 3 3 2" xfId="54258" xr:uid="{00000000-0005-0000-0000-00001B770000}"/>
    <cellStyle name="Normal 3 8 3 2 2 3 4" xfId="39768" xr:uid="{00000000-0005-0000-0000-00001C770000}"/>
    <cellStyle name="Normal 3 8 3 2 2 4" xfId="7891" xr:uid="{00000000-0005-0000-0000-00001D770000}"/>
    <cellStyle name="Normal 3 8 3 2 2 4 2" xfId="26326" xr:uid="{00000000-0005-0000-0000-00001E770000}"/>
    <cellStyle name="Normal 3 8 3 2 2 4 2 2" xfId="58197" xr:uid="{00000000-0005-0000-0000-00001F770000}"/>
    <cellStyle name="Normal 3 8 3 2 2 4 3" xfId="39770" xr:uid="{00000000-0005-0000-0000-000020770000}"/>
    <cellStyle name="Normal 3 8 3 2 2 5" xfId="18448" xr:uid="{00000000-0005-0000-0000-000021770000}"/>
    <cellStyle name="Normal 3 8 3 2 2 5 2" xfId="50319" xr:uid="{00000000-0005-0000-0000-000022770000}"/>
    <cellStyle name="Normal 3 8 3 2 2 6" xfId="39763" xr:uid="{00000000-0005-0000-0000-000023770000}"/>
    <cellStyle name="Normal 3 8 3 2 3" xfId="7892" xr:uid="{00000000-0005-0000-0000-000024770000}"/>
    <cellStyle name="Normal 3 8 3 2 3 2" xfId="7893" xr:uid="{00000000-0005-0000-0000-000025770000}"/>
    <cellStyle name="Normal 3 8 3 2 3 2 2" xfId="7894" xr:uid="{00000000-0005-0000-0000-000026770000}"/>
    <cellStyle name="Normal 3 8 3 2 3 2 2 2" xfId="30267" xr:uid="{00000000-0005-0000-0000-000027770000}"/>
    <cellStyle name="Normal 3 8 3 2 3 2 2 2 2" xfId="62138" xr:uid="{00000000-0005-0000-0000-000028770000}"/>
    <cellStyle name="Normal 3 8 3 2 3 2 2 3" xfId="39773" xr:uid="{00000000-0005-0000-0000-000029770000}"/>
    <cellStyle name="Normal 3 8 3 2 3 2 3" xfId="22389" xr:uid="{00000000-0005-0000-0000-00002A770000}"/>
    <cellStyle name="Normal 3 8 3 2 3 2 3 2" xfId="54260" xr:uid="{00000000-0005-0000-0000-00002B770000}"/>
    <cellStyle name="Normal 3 8 3 2 3 2 4" xfId="39772" xr:uid="{00000000-0005-0000-0000-00002C770000}"/>
    <cellStyle name="Normal 3 8 3 2 3 3" xfId="7895" xr:uid="{00000000-0005-0000-0000-00002D770000}"/>
    <cellStyle name="Normal 3 8 3 2 3 3 2" xfId="26328" xr:uid="{00000000-0005-0000-0000-00002E770000}"/>
    <cellStyle name="Normal 3 8 3 2 3 3 2 2" xfId="58199" xr:uid="{00000000-0005-0000-0000-00002F770000}"/>
    <cellStyle name="Normal 3 8 3 2 3 3 3" xfId="39774" xr:uid="{00000000-0005-0000-0000-000030770000}"/>
    <cellStyle name="Normal 3 8 3 2 3 4" xfId="18450" xr:uid="{00000000-0005-0000-0000-000031770000}"/>
    <cellStyle name="Normal 3 8 3 2 3 4 2" xfId="50321" xr:uid="{00000000-0005-0000-0000-000032770000}"/>
    <cellStyle name="Normal 3 8 3 2 3 5" xfId="39771" xr:uid="{00000000-0005-0000-0000-000033770000}"/>
    <cellStyle name="Normal 3 8 3 2 4" xfId="7896" xr:uid="{00000000-0005-0000-0000-000034770000}"/>
    <cellStyle name="Normal 3 8 3 2 4 2" xfId="7897" xr:uid="{00000000-0005-0000-0000-000035770000}"/>
    <cellStyle name="Normal 3 8 3 2 4 2 2" xfId="30264" xr:uid="{00000000-0005-0000-0000-000036770000}"/>
    <cellStyle name="Normal 3 8 3 2 4 2 2 2" xfId="62135" xr:uid="{00000000-0005-0000-0000-000037770000}"/>
    <cellStyle name="Normal 3 8 3 2 4 2 3" xfId="39776" xr:uid="{00000000-0005-0000-0000-000038770000}"/>
    <cellStyle name="Normal 3 8 3 2 4 3" xfId="22386" xr:uid="{00000000-0005-0000-0000-000039770000}"/>
    <cellStyle name="Normal 3 8 3 2 4 3 2" xfId="54257" xr:uid="{00000000-0005-0000-0000-00003A770000}"/>
    <cellStyle name="Normal 3 8 3 2 4 4" xfId="39775" xr:uid="{00000000-0005-0000-0000-00003B770000}"/>
    <cellStyle name="Normal 3 8 3 2 5" xfId="7898" xr:uid="{00000000-0005-0000-0000-00003C770000}"/>
    <cellStyle name="Normal 3 8 3 2 5 2" xfId="26325" xr:uid="{00000000-0005-0000-0000-00003D770000}"/>
    <cellStyle name="Normal 3 8 3 2 5 2 2" xfId="58196" xr:uid="{00000000-0005-0000-0000-00003E770000}"/>
    <cellStyle name="Normal 3 8 3 2 5 3" xfId="39777" xr:uid="{00000000-0005-0000-0000-00003F770000}"/>
    <cellStyle name="Normal 3 8 3 2 6" xfId="18447" xr:uid="{00000000-0005-0000-0000-000040770000}"/>
    <cellStyle name="Normal 3 8 3 2 6 2" xfId="50318" xr:uid="{00000000-0005-0000-0000-000041770000}"/>
    <cellStyle name="Normal 3 8 3 2 7" xfId="39762" xr:uid="{00000000-0005-0000-0000-000042770000}"/>
    <cellStyle name="Normal 3 8 3 3" xfId="7899" xr:uid="{00000000-0005-0000-0000-000043770000}"/>
    <cellStyle name="Normal 3 8 3 3 2" xfId="7900" xr:uid="{00000000-0005-0000-0000-000044770000}"/>
    <cellStyle name="Normal 3 8 3 3 2 2" xfId="7901" xr:uid="{00000000-0005-0000-0000-000045770000}"/>
    <cellStyle name="Normal 3 8 3 3 2 2 2" xfId="7902" xr:uid="{00000000-0005-0000-0000-000046770000}"/>
    <cellStyle name="Normal 3 8 3 3 2 2 2 2" xfId="30269" xr:uid="{00000000-0005-0000-0000-000047770000}"/>
    <cellStyle name="Normal 3 8 3 3 2 2 2 2 2" xfId="62140" xr:uid="{00000000-0005-0000-0000-000048770000}"/>
    <cellStyle name="Normal 3 8 3 3 2 2 2 3" xfId="39781" xr:uid="{00000000-0005-0000-0000-000049770000}"/>
    <cellStyle name="Normal 3 8 3 3 2 2 3" xfId="22391" xr:uid="{00000000-0005-0000-0000-00004A770000}"/>
    <cellStyle name="Normal 3 8 3 3 2 2 3 2" xfId="54262" xr:uid="{00000000-0005-0000-0000-00004B770000}"/>
    <cellStyle name="Normal 3 8 3 3 2 2 4" xfId="39780" xr:uid="{00000000-0005-0000-0000-00004C770000}"/>
    <cellStyle name="Normal 3 8 3 3 2 3" xfId="7903" xr:uid="{00000000-0005-0000-0000-00004D770000}"/>
    <cellStyle name="Normal 3 8 3 3 2 3 2" xfId="26330" xr:uid="{00000000-0005-0000-0000-00004E770000}"/>
    <cellStyle name="Normal 3 8 3 3 2 3 2 2" xfId="58201" xr:uid="{00000000-0005-0000-0000-00004F770000}"/>
    <cellStyle name="Normal 3 8 3 3 2 3 3" xfId="39782" xr:uid="{00000000-0005-0000-0000-000050770000}"/>
    <cellStyle name="Normal 3 8 3 3 2 4" xfId="18452" xr:uid="{00000000-0005-0000-0000-000051770000}"/>
    <cellStyle name="Normal 3 8 3 3 2 4 2" xfId="50323" xr:uid="{00000000-0005-0000-0000-000052770000}"/>
    <cellStyle name="Normal 3 8 3 3 2 5" xfId="39779" xr:uid="{00000000-0005-0000-0000-000053770000}"/>
    <cellStyle name="Normal 3 8 3 3 3" xfId="7904" xr:uid="{00000000-0005-0000-0000-000054770000}"/>
    <cellStyle name="Normal 3 8 3 3 3 2" xfId="7905" xr:uid="{00000000-0005-0000-0000-000055770000}"/>
    <cellStyle name="Normal 3 8 3 3 3 2 2" xfId="30268" xr:uid="{00000000-0005-0000-0000-000056770000}"/>
    <cellStyle name="Normal 3 8 3 3 3 2 2 2" xfId="62139" xr:uid="{00000000-0005-0000-0000-000057770000}"/>
    <cellStyle name="Normal 3 8 3 3 3 2 3" xfId="39784" xr:uid="{00000000-0005-0000-0000-000058770000}"/>
    <cellStyle name="Normal 3 8 3 3 3 3" xfId="22390" xr:uid="{00000000-0005-0000-0000-000059770000}"/>
    <cellStyle name="Normal 3 8 3 3 3 3 2" xfId="54261" xr:uid="{00000000-0005-0000-0000-00005A770000}"/>
    <cellStyle name="Normal 3 8 3 3 3 4" xfId="39783" xr:uid="{00000000-0005-0000-0000-00005B770000}"/>
    <cellStyle name="Normal 3 8 3 3 4" xfId="7906" xr:uid="{00000000-0005-0000-0000-00005C770000}"/>
    <cellStyle name="Normal 3 8 3 3 4 2" xfId="26329" xr:uid="{00000000-0005-0000-0000-00005D770000}"/>
    <cellStyle name="Normal 3 8 3 3 4 2 2" xfId="58200" xr:uid="{00000000-0005-0000-0000-00005E770000}"/>
    <cellStyle name="Normal 3 8 3 3 4 3" xfId="39785" xr:uid="{00000000-0005-0000-0000-00005F770000}"/>
    <cellStyle name="Normal 3 8 3 3 5" xfId="18451" xr:uid="{00000000-0005-0000-0000-000060770000}"/>
    <cellStyle name="Normal 3 8 3 3 5 2" xfId="50322" xr:uid="{00000000-0005-0000-0000-000061770000}"/>
    <cellStyle name="Normal 3 8 3 3 6" xfId="39778" xr:uid="{00000000-0005-0000-0000-000062770000}"/>
    <cellStyle name="Normal 3 8 3 4" xfId="7907" xr:uid="{00000000-0005-0000-0000-000063770000}"/>
    <cellStyle name="Normal 3 8 3 4 2" xfId="7908" xr:uid="{00000000-0005-0000-0000-000064770000}"/>
    <cellStyle name="Normal 3 8 3 4 2 2" xfId="7909" xr:uid="{00000000-0005-0000-0000-000065770000}"/>
    <cellStyle name="Normal 3 8 3 4 2 2 2" xfId="30270" xr:uid="{00000000-0005-0000-0000-000066770000}"/>
    <cellStyle name="Normal 3 8 3 4 2 2 2 2" xfId="62141" xr:uid="{00000000-0005-0000-0000-000067770000}"/>
    <cellStyle name="Normal 3 8 3 4 2 2 3" xfId="39788" xr:uid="{00000000-0005-0000-0000-000068770000}"/>
    <cellStyle name="Normal 3 8 3 4 2 3" xfId="22392" xr:uid="{00000000-0005-0000-0000-000069770000}"/>
    <cellStyle name="Normal 3 8 3 4 2 3 2" xfId="54263" xr:uid="{00000000-0005-0000-0000-00006A770000}"/>
    <cellStyle name="Normal 3 8 3 4 2 4" xfId="39787" xr:uid="{00000000-0005-0000-0000-00006B770000}"/>
    <cellStyle name="Normal 3 8 3 4 3" xfId="7910" xr:uid="{00000000-0005-0000-0000-00006C770000}"/>
    <cellStyle name="Normal 3 8 3 4 3 2" xfId="26331" xr:uid="{00000000-0005-0000-0000-00006D770000}"/>
    <cellStyle name="Normal 3 8 3 4 3 2 2" xfId="58202" xr:uid="{00000000-0005-0000-0000-00006E770000}"/>
    <cellStyle name="Normal 3 8 3 4 3 3" xfId="39789" xr:uid="{00000000-0005-0000-0000-00006F770000}"/>
    <cellStyle name="Normal 3 8 3 4 4" xfId="18453" xr:uid="{00000000-0005-0000-0000-000070770000}"/>
    <cellStyle name="Normal 3 8 3 4 4 2" xfId="50324" xr:uid="{00000000-0005-0000-0000-000071770000}"/>
    <cellStyle name="Normal 3 8 3 4 5" xfId="39786" xr:uid="{00000000-0005-0000-0000-000072770000}"/>
    <cellStyle name="Normal 3 8 3 5" xfId="7911" xr:uid="{00000000-0005-0000-0000-000073770000}"/>
    <cellStyle name="Normal 3 8 3 5 2" xfId="7912" xr:uid="{00000000-0005-0000-0000-000074770000}"/>
    <cellStyle name="Normal 3 8 3 5 2 2" xfId="30263" xr:uid="{00000000-0005-0000-0000-000075770000}"/>
    <cellStyle name="Normal 3 8 3 5 2 2 2" xfId="62134" xr:uid="{00000000-0005-0000-0000-000076770000}"/>
    <cellStyle name="Normal 3 8 3 5 2 3" xfId="39791" xr:uid="{00000000-0005-0000-0000-000077770000}"/>
    <cellStyle name="Normal 3 8 3 5 3" xfId="22385" xr:uid="{00000000-0005-0000-0000-000078770000}"/>
    <cellStyle name="Normal 3 8 3 5 3 2" xfId="54256" xr:uid="{00000000-0005-0000-0000-000079770000}"/>
    <cellStyle name="Normal 3 8 3 5 4" xfId="39790" xr:uid="{00000000-0005-0000-0000-00007A770000}"/>
    <cellStyle name="Normal 3 8 3 6" xfId="7913" xr:uid="{00000000-0005-0000-0000-00007B770000}"/>
    <cellStyle name="Normal 3 8 3 6 2" xfId="26324" xr:uid="{00000000-0005-0000-0000-00007C770000}"/>
    <cellStyle name="Normal 3 8 3 6 2 2" xfId="58195" xr:uid="{00000000-0005-0000-0000-00007D770000}"/>
    <cellStyle name="Normal 3 8 3 6 3" xfId="39792" xr:uid="{00000000-0005-0000-0000-00007E770000}"/>
    <cellStyle name="Normal 3 8 3 7" xfId="18446" xr:uid="{00000000-0005-0000-0000-00007F770000}"/>
    <cellStyle name="Normal 3 8 3 7 2" xfId="50317" xr:uid="{00000000-0005-0000-0000-000080770000}"/>
    <cellStyle name="Normal 3 8 3 8" xfId="39761" xr:uid="{00000000-0005-0000-0000-000081770000}"/>
    <cellStyle name="Normal 3 8 4" xfId="7914" xr:uid="{00000000-0005-0000-0000-000082770000}"/>
    <cellStyle name="Normal 3 8 4 2" xfId="7915" xr:uid="{00000000-0005-0000-0000-000083770000}"/>
    <cellStyle name="Normal 3 8 4 2 2" xfId="7916" xr:uid="{00000000-0005-0000-0000-000084770000}"/>
    <cellStyle name="Normal 3 8 4 2 2 2" xfId="7917" xr:uid="{00000000-0005-0000-0000-000085770000}"/>
    <cellStyle name="Normal 3 8 4 2 2 2 2" xfId="7918" xr:uid="{00000000-0005-0000-0000-000086770000}"/>
    <cellStyle name="Normal 3 8 4 2 2 2 2 2" xfId="30273" xr:uid="{00000000-0005-0000-0000-000087770000}"/>
    <cellStyle name="Normal 3 8 4 2 2 2 2 2 2" xfId="62144" xr:uid="{00000000-0005-0000-0000-000088770000}"/>
    <cellStyle name="Normal 3 8 4 2 2 2 2 3" xfId="39797" xr:uid="{00000000-0005-0000-0000-000089770000}"/>
    <cellStyle name="Normal 3 8 4 2 2 2 3" xfId="22395" xr:uid="{00000000-0005-0000-0000-00008A770000}"/>
    <cellStyle name="Normal 3 8 4 2 2 2 3 2" xfId="54266" xr:uid="{00000000-0005-0000-0000-00008B770000}"/>
    <cellStyle name="Normal 3 8 4 2 2 2 4" xfId="39796" xr:uid="{00000000-0005-0000-0000-00008C770000}"/>
    <cellStyle name="Normal 3 8 4 2 2 3" xfId="7919" xr:uid="{00000000-0005-0000-0000-00008D770000}"/>
    <cellStyle name="Normal 3 8 4 2 2 3 2" xfId="26334" xr:uid="{00000000-0005-0000-0000-00008E770000}"/>
    <cellStyle name="Normal 3 8 4 2 2 3 2 2" xfId="58205" xr:uid="{00000000-0005-0000-0000-00008F770000}"/>
    <cellStyle name="Normal 3 8 4 2 2 3 3" xfId="39798" xr:uid="{00000000-0005-0000-0000-000090770000}"/>
    <cellStyle name="Normal 3 8 4 2 2 4" xfId="18456" xr:uid="{00000000-0005-0000-0000-000091770000}"/>
    <cellStyle name="Normal 3 8 4 2 2 4 2" xfId="50327" xr:uid="{00000000-0005-0000-0000-000092770000}"/>
    <cellStyle name="Normal 3 8 4 2 2 5" xfId="39795" xr:uid="{00000000-0005-0000-0000-000093770000}"/>
    <cellStyle name="Normal 3 8 4 2 3" xfId="7920" xr:uid="{00000000-0005-0000-0000-000094770000}"/>
    <cellStyle name="Normal 3 8 4 2 3 2" xfId="7921" xr:uid="{00000000-0005-0000-0000-000095770000}"/>
    <cellStyle name="Normal 3 8 4 2 3 2 2" xfId="30272" xr:uid="{00000000-0005-0000-0000-000096770000}"/>
    <cellStyle name="Normal 3 8 4 2 3 2 2 2" xfId="62143" xr:uid="{00000000-0005-0000-0000-000097770000}"/>
    <cellStyle name="Normal 3 8 4 2 3 2 3" xfId="39800" xr:uid="{00000000-0005-0000-0000-000098770000}"/>
    <cellStyle name="Normal 3 8 4 2 3 3" xfId="22394" xr:uid="{00000000-0005-0000-0000-000099770000}"/>
    <cellStyle name="Normal 3 8 4 2 3 3 2" xfId="54265" xr:uid="{00000000-0005-0000-0000-00009A770000}"/>
    <cellStyle name="Normal 3 8 4 2 3 4" xfId="39799" xr:uid="{00000000-0005-0000-0000-00009B770000}"/>
    <cellStyle name="Normal 3 8 4 2 4" xfId="7922" xr:uid="{00000000-0005-0000-0000-00009C770000}"/>
    <cellStyle name="Normal 3 8 4 2 4 2" xfId="26333" xr:uid="{00000000-0005-0000-0000-00009D770000}"/>
    <cellStyle name="Normal 3 8 4 2 4 2 2" xfId="58204" xr:uid="{00000000-0005-0000-0000-00009E770000}"/>
    <cellStyle name="Normal 3 8 4 2 4 3" xfId="39801" xr:uid="{00000000-0005-0000-0000-00009F770000}"/>
    <cellStyle name="Normal 3 8 4 2 5" xfId="18455" xr:uid="{00000000-0005-0000-0000-0000A0770000}"/>
    <cellStyle name="Normal 3 8 4 2 5 2" xfId="50326" xr:uid="{00000000-0005-0000-0000-0000A1770000}"/>
    <cellStyle name="Normal 3 8 4 2 6" xfId="39794" xr:uid="{00000000-0005-0000-0000-0000A2770000}"/>
    <cellStyle name="Normal 3 8 4 3" xfId="7923" xr:uid="{00000000-0005-0000-0000-0000A3770000}"/>
    <cellStyle name="Normal 3 8 4 3 2" xfId="7924" xr:uid="{00000000-0005-0000-0000-0000A4770000}"/>
    <cellStyle name="Normal 3 8 4 3 2 2" xfId="7925" xr:uid="{00000000-0005-0000-0000-0000A5770000}"/>
    <cellStyle name="Normal 3 8 4 3 2 2 2" xfId="30274" xr:uid="{00000000-0005-0000-0000-0000A6770000}"/>
    <cellStyle name="Normal 3 8 4 3 2 2 2 2" xfId="62145" xr:uid="{00000000-0005-0000-0000-0000A7770000}"/>
    <cellStyle name="Normal 3 8 4 3 2 2 3" xfId="39804" xr:uid="{00000000-0005-0000-0000-0000A8770000}"/>
    <cellStyle name="Normal 3 8 4 3 2 3" xfId="22396" xr:uid="{00000000-0005-0000-0000-0000A9770000}"/>
    <cellStyle name="Normal 3 8 4 3 2 3 2" xfId="54267" xr:uid="{00000000-0005-0000-0000-0000AA770000}"/>
    <cellStyle name="Normal 3 8 4 3 2 4" xfId="39803" xr:uid="{00000000-0005-0000-0000-0000AB770000}"/>
    <cellStyle name="Normal 3 8 4 3 3" xfId="7926" xr:uid="{00000000-0005-0000-0000-0000AC770000}"/>
    <cellStyle name="Normal 3 8 4 3 3 2" xfId="26335" xr:uid="{00000000-0005-0000-0000-0000AD770000}"/>
    <cellStyle name="Normal 3 8 4 3 3 2 2" xfId="58206" xr:uid="{00000000-0005-0000-0000-0000AE770000}"/>
    <cellStyle name="Normal 3 8 4 3 3 3" xfId="39805" xr:uid="{00000000-0005-0000-0000-0000AF770000}"/>
    <cellStyle name="Normal 3 8 4 3 4" xfId="18457" xr:uid="{00000000-0005-0000-0000-0000B0770000}"/>
    <cellStyle name="Normal 3 8 4 3 4 2" xfId="50328" xr:uid="{00000000-0005-0000-0000-0000B1770000}"/>
    <cellStyle name="Normal 3 8 4 3 5" xfId="39802" xr:uid="{00000000-0005-0000-0000-0000B2770000}"/>
    <cellStyle name="Normal 3 8 4 4" xfId="7927" xr:uid="{00000000-0005-0000-0000-0000B3770000}"/>
    <cellStyle name="Normal 3 8 4 4 2" xfId="7928" xr:uid="{00000000-0005-0000-0000-0000B4770000}"/>
    <cellStyle name="Normal 3 8 4 4 2 2" xfId="30271" xr:uid="{00000000-0005-0000-0000-0000B5770000}"/>
    <cellStyle name="Normal 3 8 4 4 2 2 2" xfId="62142" xr:uid="{00000000-0005-0000-0000-0000B6770000}"/>
    <cellStyle name="Normal 3 8 4 4 2 3" xfId="39807" xr:uid="{00000000-0005-0000-0000-0000B7770000}"/>
    <cellStyle name="Normal 3 8 4 4 3" xfId="22393" xr:uid="{00000000-0005-0000-0000-0000B8770000}"/>
    <cellStyle name="Normal 3 8 4 4 3 2" xfId="54264" xr:uid="{00000000-0005-0000-0000-0000B9770000}"/>
    <cellStyle name="Normal 3 8 4 4 4" xfId="39806" xr:uid="{00000000-0005-0000-0000-0000BA770000}"/>
    <cellStyle name="Normal 3 8 4 5" xfId="7929" xr:uid="{00000000-0005-0000-0000-0000BB770000}"/>
    <cellStyle name="Normal 3 8 4 5 2" xfId="26332" xr:uid="{00000000-0005-0000-0000-0000BC770000}"/>
    <cellStyle name="Normal 3 8 4 5 2 2" xfId="58203" xr:uid="{00000000-0005-0000-0000-0000BD770000}"/>
    <cellStyle name="Normal 3 8 4 5 3" xfId="39808" xr:uid="{00000000-0005-0000-0000-0000BE770000}"/>
    <cellStyle name="Normal 3 8 4 6" xfId="18454" xr:uid="{00000000-0005-0000-0000-0000BF770000}"/>
    <cellStyle name="Normal 3 8 4 6 2" xfId="50325" xr:uid="{00000000-0005-0000-0000-0000C0770000}"/>
    <cellStyle name="Normal 3 8 4 7" xfId="39793" xr:uid="{00000000-0005-0000-0000-0000C1770000}"/>
    <cellStyle name="Normal 3 8 5" xfId="7930" xr:uid="{00000000-0005-0000-0000-0000C2770000}"/>
    <cellStyle name="Normal 3 8 5 2" xfId="7931" xr:uid="{00000000-0005-0000-0000-0000C3770000}"/>
    <cellStyle name="Normal 3 8 5 2 2" xfId="7932" xr:uid="{00000000-0005-0000-0000-0000C4770000}"/>
    <cellStyle name="Normal 3 8 5 2 2 2" xfId="7933" xr:uid="{00000000-0005-0000-0000-0000C5770000}"/>
    <cellStyle name="Normal 3 8 5 2 2 2 2" xfId="30276" xr:uid="{00000000-0005-0000-0000-0000C6770000}"/>
    <cellStyle name="Normal 3 8 5 2 2 2 2 2" xfId="62147" xr:uid="{00000000-0005-0000-0000-0000C7770000}"/>
    <cellStyle name="Normal 3 8 5 2 2 2 3" xfId="39812" xr:uid="{00000000-0005-0000-0000-0000C8770000}"/>
    <cellStyle name="Normal 3 8 5 2 2 3" xfId="22398" xr:uid="{00000000-0005-0000-0000-0000C9770000}"/>
    <cellStyle name="Normal 3 8 5 2 2 3 2" xfId="54269" xr:uid="{00000000-0005-0000-0000-0000CA770000}"/>
    <cellStyle name="Normal 3 8 5 2 2 4" xfId="39811" xr:uid="{00000000-0005-0000-0000-0000CB770000}"/>
    <cellStyle name="Normal 3 8 5 2 3" xfId="7934" xr:uid="{00000000-0005-0000-0000-0000CC770000}"/>
    <cellStyle name="Normal 3 8 5 2 3 2" xfId="26337" xr:uid="{00000000-0005-0000-0000-0000CD770000}"/>
    <cellStyle name="Normal 3 8 5 2 3 2 2" xfId="58208" xr:uid="{00000000-0005-0000-0000-0000CE770000}"/>
    <cellStyle name="Normal 3 8 5 2 3 3" xfId="39813" xr:uid="{00000000-0005-0000-0000-0000CF770000}"/>
    <cellStyle name="Normal 3 8 5 2 4" xfId="18459" xr:uid="{00000000-0005-0000-0000-0000D0770000}"/>
    <cellStyle name="Normal 3 8 5 2 4 2" xfId="50330" xr:uid="{00000000-0005-0000-0000-0000D1770000}"/>
    <cellStyle name="Normal 3 8 5 2 5" xfId="39810" xr:uid="{00000000-0005-0000-0000-0000D2770000}"/>
    <cellStyle name="Normal 3 8 5 3" xfId="7935" xr:uid="{00000000-0005-0000-0000-0000D3770000}"/>
    <cellStyle name="Normal 3 8 5 3 2" xfId="7936" xr:uid="{00000000-0005-0000-0000-0000D4770000}"/>
    <cellStyle name="Normal 3 8 5 3 2 2" xfId="30275" xr:uid="{00000000-0005-0000-0000-0000D5770000}"/>
    <cellStyle name="Normal 3 8 5 3 2 2 2" xfId="62146" xr:uid="{00000000-0005-0000-0000-0000D6770000}"/>
    <cellStyle name="Normal 3 8 5 3 2 3" xfId="39815" xr:uid="{00000000-0005-0000-0000-0000D7770000}"/>
    <cellStyle name="Normal 3 8 5 3 3" xfId="22397" xr:uid="{00000000-0005-0000-0000-0000D8770000}"/>
    <cellStyle name="Normal 3 8 5 3 3 2" xfId="54268" xr:uid="{00000000-0005-0000-0000-0000D9770000}"/>
    <cellStyle name="Normal 3 8 5 3 4" xfId="39814" xr:uid="{00000000-0005-0000-0000-0000DA770000}"/>
    <cellStyle name="Normal 3 8 5 4" xfId="7937" xr:uid="{00000000-0005-0000-0000-0000DB770000}"/>
    <cellStyle name="Normal 3 8 5 4 2" xfId="26336" xr:uid="{00000000-0005-0000-0000-0000DC770000}"/>
    <cellStyle name="Normal 3 8 5 4 2 2" xfId="58207" xr:uid="{00000000-0005-0000-0000-0000DD770000}"/>
    <cellStyle name="Normal 3 8 5 4 3" xfId="39816" xr:uid="{00000000-0005-0000-0000-0000DE770000}"/>
    <cellStyle name="Normal 3 8 5 5" xfId="18458" xr:uid="{00000000-0005-0000-0000-0000DF770000}"/>
    <cellStyle name="Normal 3 8 5 5 2" xfId="50329" xr:uid="{00000000-0005-0000-0000-0000E0770000}"/>
    <cellStyle name="Normal 3 8 5 6" xfId="39809" xr:uid="{00000000-0005-0000-0000-0000E1770000}"/>
    <cellStyle name="Normal 3 8 6" xfId="7938" xr:uid="{00000000-0005-0000-0000-0000E2770000}"/>
    <cellStyle name="Normal 3 8 6 2" xfId="7939" xr:uid="{00000000-0005-0000-0000-0000E3770000}"/>
    <cellStyle name="Normal 3 8 6 2 2" xfId="7940" xr:uid="{00000000-0005-0000-0000-0000E4770000}"/>
    <cellStyle name="Normal 3 8 6 2 2 2" xfId="30277" xr:uid="{00000000-0005-0000-0000-0000E5770000}"/>
    <cellStyle name="Normal 3 8 6 2 2 2 2" xfId="62148" xr:uid="{00000000-0005-0000-0000-0000E6770000}"/>
    <cellStyle name="Normal 3 8 6 2 2 3" xfId="39819" xr:uid="{00000000-0005-0000-0000-0000E7770000}"/>
    <cellStyle name="Normal 3 8 6 2 3" xfId="22399" xr:uid="{00000000-0005-0000-0000-0000E8770000}"/>
    <cellStyle name="Normal 3 8 6 2 3 2" xfId="54270" xr:uid="{00000000-0005-0000-0000-0000E9770000}"/>
    <cellStyle name="Normal 3 8 6 2 4" xfId="39818" xr:uid="{00000000-0005-0000-0000-0000EA770000}"/>
    <cellStyle name="Normal 3 8 6 3" xfId="7941" xr:uid="{00000000-0005-0000-0000-0000EB770000}"/>
    <cellStyle name="Normal 3 8 6 3 2" xfId="26338" xr:uid="{00000000-0005-0000-0000-0000EC770000}"/>
    <cellStyle name="Normal 3 8 6 3 2 2" xfId="58209" xr:uid="{00000000-0005-0000-0000-0000ED770000}"/>
    <cellStyle name="Normal 3 8 6 3 3" xfId="39820" xr:uid="{00000000-0005-0000-0000-0000EE770000}"/>
    <cellStyle name="Normal 3 8 6 4" xfId="18460" xr:uid="{00000000-0005-0000-0000-0000EF770000}"/>
    <cellStyle name="Normal 3 8 6 4 2" xfId="50331" xr:uid="{00000000-0005-0000-0000-0000F0770000}"/>
    <cellStyle name="Normal 3 8 6 5" xfId="39817" xr:uid="{00000000-0005-0000-0000-0000F1770000}"/>
    <cellStyle name="Normal 3 8 7" xfId="7942" xr:uid="{00000000-0005-0000-0000-0000F2770000}"/>
    <cellStyle name="Normal 3 8 7 2" xfId="7943" xr:uid="{00000000-0005-0000-0000-0000F3770000}"/>
    <cellStyle name="Normal 3 8 7 2 2" xfId="28340" xr:uid="{00000000-0005-0000-0000-0000F4770000}"/>
    <cellStyle name="Normal 3 8 7 2 2 2" xfId="60211" xr:uid="{00000000-0005-0000-0000-0000F5770000}"/>
    <cellStyle name="Normal 3 8 7 2 3" xfId="39822" xr:uid="{00000000-0005-0000-0000-0000F6770000}"/>
    <cellStyle name="Normal 3 8 7 3" xfId="20462" xr:uid="{00000000-0005-0000-0000-0000F7770000}"/>
    <cellStyle name="Normal 3 8 7 3 2" xfId="52333" xr:uid="{00000000-0005-0000-0000-0000F8770000}"/>
    <cellStyle name="Normal 3 8 7 4" xfId="39821" xr:uid="{00000000-0005-0000-0000-0000F9770000}"/>
    <cellStyle name="Normal 3 8 8" xfId="7944" xr:uid="{00000000-0005-0000-0000-0000FA770000}"/>
    <cellStyle name="Normal 3 8 8 2" xfId="24401" xr:uid="{00000000-0005-0000-0000-0000FB770000}"/>
    <cellStyle name="Normal 3 8 8 2 2" xfId="56272" xr:uid="{00000000-0005-0000-0000-0000FC770000}"/>
    <cellStyle name="Normal 3 8 8 3" xfId="39823" xr:uid="{00000000-0005-0000-0000-0000FD770000}"/>
    <cellStyle name="Normal 3 8 9" xfId="16523" xr:uid="{00000000-0005-0000-0000-0000FE770000}"/>
    <cellStyle name="Normal 3 8 9 2" xfId="48394" xr:uid="{00000000-0005-0000-0000-0000FF770000}"/>
    <cellStyle name="Normal 3 9" xfId="7945" xr:uid="{00000000-0005-0000-0000-000000780000}"/>
    <cellStyle name="Normal 3 9 2" xfId="7946" xr:uid="{00000000-0005-0000-0000-000001780000}"/>
    <cellStyle name="Normal 3 9 2 2" xfId="7947" xr:uid="{00000000-0005-0000-0000-000002780000}"/>
    <cellStyle name="Normal 3 9 2 2 2" xfId="7948" xr:uid="{00000000-0005-0000-0000-000003780000}"/>
    <cellStyle name="Normal 3 9 2 2 2 2" xfId="7949" xr:uid="{00000000-0005-0000-0000-000004780000}"/>
    <cellStyle name="Normal 3 9 2 2 2 2 2" xfId="7950" xr:uid="{00000000-0005-0000-0000-000005780000}"/>
    <cellStyle name="Normal 3 9 2 2 2 2 2 2" xfId="7951" xr:uid="{00000000-0005-0000-0000-000006780000}"/>
    <cellStyle name="Normal 3 9 2 2 2 2 2 2 2" xfId="30281" xr:uid="{00000000-0005-0000-0000-000007780000}"/>
    <cellStyle name="Normal 3 9 2 2 2 2 2 2 2 2" xfId="62152" xr:uid="{00000000-0005-0000-0000-000008780000}"/>
    <cellStyle name="Normal 3 9 2 2 2 2 2 2 3" xfId="39830" xr:uid="{00000000-0005-0000-0000-000009780000}"/>
    <cellStyle name="Normal 3 9 2 2 2 2 2 3" xfId="22403" xr:uid="{00000000-0005-0000-0000-00000A780000}"/>
    <cellStyle name="Normal 3 9 2 2 2 2 2 3 2" xfId="54274" xr:uid="{00000000-0005-0000-0000-00000B780000}"/>
    <cellStyle name="Normal 3 9 2 2 2 2 2 4" xfId="39829" xr:uid="{00000000-0005-0000-0000-00000C780000}"/>
    <cellStyle name="Normal 3 9 2 2 2 2 3" xfId="7952" xr:uid="{00000000-0005-0000-0000-00000D780000}"/>
    <cellStyle name="Normal 3 9 2 2 2 2 3 2" xfId="26342" xr:uid="{00000000-0005-0000-0000-00000E780000}"/>
    <cellStyle name="Normal 3 9 2 2 2 2 3 2 2" xfId="58213" xr:uid="{00000000-0005-0000-0000-00000F780000}"/>
    <cellStyle name="Normal 3 9 2 2 2 2 3 3" xfId="39831" xr:uid="{00000000-0005-0000-0000-000010780000}"/>
    <cellStyle name="Normal 3 9 2 2 2 2 4" xfId="18464" xr:uid="{00000000-0005-0000-0000-000011780000}"/>
    <cellStyle name="Normal 3 9 2 2 2 2 4 2" xfId="50335" xr:uid="{00000000-0005-0000-0000-000012780000}"/>
    <cellStyle name="Normal 3 9 2 2 2 2 5" xfId="39828" xr:uid="{00000000-0005-0000-0000-000013780000}"/>
    <cellStyle name="Normal 3 9 2 2 2 3" xfId="7953" xr:uid="{00000000-0005-0000-0000-000014780000}"/>
    <cellStyle name="Normal 3 9 2 2 2 3 2" xfId="7954" xr:uid="{00000000-0005-0000-0000-000015780000}"/>
    <cellStyle name="Normal 3 9 2 2 2 3 2 2" xfId="30280" xr:uid="{00000000-0005-0000-0000-000016780000}"/>
    <cellStyle name="Normal 3 9 2 2 2 3 2 2 2" xfId="62151" xr:uid="{00000000-0005-0000-0000-000017780000}"/>
    <cellStyle name="Normal 3 9 2 2 2 3 2 3" xfId="39833" xr:uid="{00000000-0005-0000-0000-000018780000}"/>
    <cellStyle name="Normal 3 9 2 2 2 3 3" xfId="22402" xr:uid="{00000000-0005-0000-0000-000019780000}"/>
    <cellStyle name="Normal 3 9 2 2 2 3 3 2" xfId="54273" xr:uid="{00000000-0005-0000-0000-00001A780000}"/>
    <cellStyle name="Normal 3 9 2 2 2 3 4" xfId="39832" xr:uid="{00000000-0005-0000-0000-00001B780000}"/>
    <cellStyle name="Normal 3 9 2 2 2 4" xfId="7955" xr:uid="{00000000-0005-0000-0000-00001C780000}"/>
    <cellStyle name="Normal 3 9 2 2 2 4 2" xfId="26341" xr:uid="{00000000-0005-0000-0000-00001D780000}"/>
    <cellStyle name="Normal 3 9 2 2 2 4 2 2" xfId="58212" xr:uid="{00000000-0005-0000-0000-00001E780000}"/>
    <cellStyle name="Normal 3 9 2 2 2 4 3" xfId="39834" xr:uid="{00000000-0005-0000-0000-00001F780000}"/>
    <cellStyle name="Normal 3 9 2 2 2 5" xfId="18463" xr:uid="{00000000-0005-0000-0000-000020780000}"/>
    <cellStyle name="Normal 3 9 2 2 2 5 2" xfId="50334" xr:uid="{00000000-0005-0000-0000-000021780000}"/>
    <cellStyle name="Normal 3 9 2 2 2 6" xfId="39827" xr:uid="{00000000-0005-0000-0000-000022780000}"/>
    <cellStyle name="Normal 3 9 2 2 3" xfId="7956" xr:uid="{00000000-0005-0000-0000-000023780000}"/>
    <cellStyle name="Normal 3 9 2 2 3 2" xfId="7957" xr:uid="{00000000-0005-0000-0000-000024780000}"/>
    <cellStyle name="Normal 3 9 2 2 3 2 2" xfId="7958" xr:uid="{00000000-0005-0000-0000-000025780000}"/>
    <cellStyle name="Normal 3 9 2 2 3 2 2 2" xfId="30282" xr:uid="{00000000-0005-0000-0000-000026780000}"/>
    <cellStyle name="Normal 3 9 2 2 3 2 2 2 2" xfId="62153" xr:uid="{00000000-0005-0000-0000-000027780000}"/>
    <cellStyle name="Normal 3 9 2 2 3 2 2 3" xfId="39837" xr:uid="{00000000-0005-0000-0000-000028780000}"/>
    <cellStyle name="Normal 3 9 2 2 3 2 3" xfId="22404" xr:uid="{00000000-0005-0000-0000-000029780000}"/>
    <cellStyle name="Normal 3 9 2 2 3 2 3 2" xfId="54275" xr:uid="{00000000-0005-0000-0000-00002A780000}"/>
    <cellStyle name="Normal 3 9 2 2 3 2 4" xfId="39836" xr:uid="{00000000-0005-0000-0000-00002B780000}"/>
    <cellStyle name="Normal 3 9 2 2 3 3" xfId="7959" xr:uid="{00000000-0005-0000-0000-00002C780000}"/>
    <cellStyle name="Normal 3 9 2 2 3 3 2" xfId="26343" xr:uid="{00000000-0005-0000-0000-00002D780000}"/>
    <cellStyle name="Normal 3 9 2 2 3 3 2 2" xfId="58214" xr:uid="{00000000-0005-0000-0000-00002E780000}"/>
    <cellStyle name="Normal 3 9 2 2 3 3 3" xfId="39838" xr:uid="{00000000-0005-0000-0000-00002F780000}"/>
    <cellStyle name="Normal 3 9 2 2 3 4" xfId="18465" xr:uid="{00000000-0005-0000-0000-000030780000}"/>
    <cellStyle name="Normal 3 9 2 2 3 4 2" xfId="50336" xr:uid="{00000000-0005-0000-0000-000031780000}"/>
    <cellStyle name="Normal 3 9 2 2 3 5" xfId="39835" xr:uid="{00000000-0005-0000-0000-000032780000}"/>
    <cellStyle name="Normal 3 9 2 2 4" xfId="7960" xr:uid="{00000000-0005-0000-0000-000033780000}"/>
    <cellStyle name="Normal 3 9 2 2 4 2" xfId="7961" xr:uid="{00000000-0005-0000-0000-000034780000}"/>
    <cellStyle name="Normal 3 9 2 2 4 2 2" xfId="30279" xr:uid="{00000000-0005-0000-0000-000035780000}"/>
    <cellStyle name="Normal 3 9 2 2 4 2 2 2" xfId="62150" xr:uid="{00000000-0005-0000-0000-000036780000}"/>
    <cellStyle name="Normal 3 9 2 2 4 2 3" xfId="39840" xr:uid="{00000000-0005-0000-0000-000037780000}"/>
    <cellStyle name="Normal 3 9 2 2 4 3" xfId="22401" xr:uid="{00000000-0005-0000-0000-000038780000}"/>
    <cellStyle name="Normal 3 9 2 2 4 3 2" xfId="54272" xr:uid="{00000000-0005-0000-0000-000039780000}"/>
    <cellStyle name="Normal 3 9 2 2 4 4" xfId="39839" xr:uid="{00000000-0005-0000-0000-00003A780000}"/>
    <cellStyle name="Normal 3 9 2 2 5" xfId="7962" xr:uid="{00000000-0005-0000-0000-00003B780000}"/>
    <cellStyle name="Normal 3 9 2 2 5 2" xfId="26340" xr:uid="{00000000-0005-0000-0000-00003C780000}"/>
    <cellStyle name="Normal 3 9 2 2 5 2 2" xfId="58211" xr:uid="{00000000-0005-0000-0000-00003D780000}"/>
    <cellStyle name="Normal 3 9 2 2 5 3" xfId="39841" xr:uid="{00000000-0005-0000-0000-00003E780000}"/>
    <cellStyle name="Normal 3 9 2 2 6" xfId="18462" xr:uid="{00000000-0005-0000-0000-00003F780000}"/>
    <cellStyle name="Normal 3 9 2 2 6 2" xfId="50333" xr:uid="{00000000-0005-0000-0000-000040780000}"/>
    <cellStyle name="Normal 3 9 2 2 7" xfId="39826" xr:uid="{00000000-0005-0000-0000-000041780000}"/>
    <cellStyle name="Normal 3 9 2 3" xfId="7963" xr:uid="{00000000-0005-0000-0000-000042780000}"/>
    <cellStyle name="Normal 3 9 2 3 2" xfId="7964" xr:uid="{00000000-0005-0000-0000-000043780000}"/>
    <cellStyle name="Normal 3 9 2 3 2 2" xfId="7965" xr:uid="{00000000-0005-0000-0000-000044780000}"/>
    <cellStyle name="Normal 3 9 2 3 2 2 2" xfId="7966" xr:uid="{00000000-0005-0000-0000-000045780000}"/>
    <cellStyle name="Normal 3 9 2 3 2 2 2 2" xfId="30284" xr:uid="{00000000-0005-0000-0000-000046780000}"/>
    <cellStyle name="Normal 3 9 2 3 2 2 2 2 2" xfId="62155" xr:uid="{00000000-0005-0000-0000-000047780000}"/>
    <cellStyle name="Normal 3 9 2 3 2 2 2 3" xfId="39845" xr:uid="{00000000-0005-0000-0000-000048780000}"/>
    <cellStyle name="Normal 3 9 2 3 2 2 3" xfId="22406" xr:uid="{00000000-0005-0000-0000-000049780000}"/>
    <cellStyle name="Normal 3 9 2 3 2 2 3 2" xfId="54277" xr:uid="{00000000-0005-0000-0000-00004A780000}"/>
    <cellStyle name="Normal 3 9 2 3 2 2 4" xfId="39844" xr:uid="{00000000-0005-0000-0000-00004B780000}"/>
    <cellStyle name="Normal 3 9 2 3 2 3" xfId="7967" xr:uid="{00000000-0005-0000-0000-00004C780000}"/>
    <cellStyle name="Normal 3 9 2 3 2 3 2" xfId="26345" xr:uid="{00000000-0005-0000-0000-00004D780000}"/>
    <cellStyle name="Normal 3 9 2 3 2 3 2 2" xfId="58216" xr:uid="{00000000-0005-0000-0000-00004E780000}"/>
    <cellStyle name="Normal 3 9 2 3 2 3 3" xfId="39846" xr:uid="{00000000-0005-0000-0000-00004F780000}"/>
    <cellStyle name="Normal 3 9 2 3 2 4" xfId="18467" xr:uid="{00000000-0005-0000-0000-000050780000}"/>
    <cellStyle name="Normal 3 9 2 3 2 4 2" xfId="50338" xr:uid="{00000000-0005-0000-0000-000051780000}"/>
    <cellStyle name="Normal 3 9 2 3 2 5" xfId="39843" xr:uid="{00000000-0005-0000-0000-000052780000}"/>
    <cellStyle name="Normal 3 9 2 3 3" xfId="7968" xr:uid="{00000000-0005-0000-0000-000053780000}"/>
    <cellStyle name="Normal 3 9 2 3 3 2" xfId="7969" xr:uid="{00000000-0005-0000-0000-000054780000}"/>
    <cellStyle name="Normal 3 9 2 3 3 2 2" xfId="30283" xr:uid="{00000000-0005-0000-0000-000055780000}"/>
    <cellStyle name="Normal 3 9 2 3 3 2 2 2" xfId="62154" xr:uid="{00000000-0005-0000-0000-000056780000}"/>
    <cellStyle name="Normal 3 9 2 3 3 2 3" xfId="39848" xr:uid="{00000000-0005-0000-0000-000057780000}"/>
    <cellStyle name="Normal 3 9 2 3 3 3" xfId="22405" xr:uid="{00000000-0005-0000-0000-000058780000}"/>
    <cellStyle name="Normal 3 9 2 3 3 3 2" xfId="54276" xr:uid="{00000000-0005-0000-0000-000059780000}"/>
    <cellStyle name="Normal 3 9 2 3 3 4" xfId="39847" xr:uid="{00000000-0005-0000-0000-00005A780000}"/>
    <cellStyle name="Normal 3 9 2 3 4" xfId="7970" xr:uid="{00000000-0005-0000-0000-00005B780000}"/>
    <cellStyle name="Normal 3 9 2 3 4 2" xfId="26344" xr:uid="{00000000-0005-0000-0000-00005C780000}"/>
    <cellStyle name="Normal 3 9 2 3 4 2 2" xfId="58215" xr:uid="{00000000-0005-0000-0000-00005D780000}"/>
    <cellStyle name="Normal 3 9 2 3 4 3" xfId="39849" xr:uid="{00000000-0005-0000-0000-00005E780000}"/>
    <cellStyle name="Normal 3 9 2 3 5" xfId="18466" xr:uid="{00000000-0005-0000-0000-00005F780000}"/>
    <cellStyle name="Normal 3 9 2 3 5 2" xfId="50337" xr:uid="{00000000-0005-0000-0000-000060780000}"/>
    <cellStyle name="Normal 3 9 2 3 6" xfId="39842" xr:uid="{00000000-0005-0000-0000-000061780000}"/>
    <cellStyle name="Normal 3 9 2 4" xfId="7971" xr:uid="{00000000-0005-0000-0000-000062780000}"/>
    <cellStyle name="Normal 3 9 2 4 2" xfId="7972" xr:uid="{00000000-0005-0000-0000-000063780000}"/>
    <cellStyle name="Normal 3 9 2 4 2 2" xfId="7973" xr:uid="{00000000-0005-0000-0000-000064780000}"/>
    <cellStyle name="Normal 3 9 2 4 2 2 2" xfId="30285" xr:uid="{00000000-0005-0000-0000-000065780000}"/>
    <cellStyle name="Normal 3 9 2 4 2 2 2 2" xfId="62156" xr:uid="{00000000-0005-0000-0000-000066780000}"/>
    <cellStyle name="Normal 3 9 2 4 2 2 3" xfId="39852" xr:uid="{00000000-0005-0000-0000-000067780000}"/>
    <cellStyle name="Normal 3 9 2 4 2 3" xfId="22407" xr:uid="{00000000-0005-0000-0000-000068780000}"/>
    <cellStyle name="Normal 3 9 2 4 2 3 2" xfId="54278" xr:uid="{00000000-0005-0000-0000-000069780000}"/>
    <cellStyle name="Normal 3 9 2 4 2 4" xfId="39851" xr:uid="{00000000-0005-0000-0000-00006A780000}"/>
    <cellStyle name="Normal 3 9 2 4 3" xfId="7974" xr:uid="{00000000-0005-0000-0000-00006B780000}"/>
    <cellStyle name="Normal 3 9 2 4 3 2" xfId="26346" xr:uid="{00000000-0005-0000-0000-00006C780000}"/>
    <cellStyle name="Normal 3 9 2 4 3 2 2" xfId="58217" xr:uid="{00000000-0005-0000-0000-00006D780000}"/>
    <cellStyle name="Normal 3 9 2 4 3 3" xfId="39853" xr:uid="{00000000-0005-0000-0000-00006E780000}"/>
    <cellStyle name="Normal 3 9 2 4 4" xfId="18468" xr:uid="{00000000-0005-0000-0000-00006F780000}"/>
    <cellStyle name="Normal 3 9 2 4 4 2" xfId="50339" xr:uid="{00000000-0005-0000-0000-000070780000}"/>
    <cellStyle name="Normal 3 9 2 4 5" xfId="39850" xr:uid="{00000000-0005-0000-0000-000071780000}"/>
    <cellStyle name="Normal 3 9 2 5" xfId="7975" xr:uid="{00000000-0005-0000-0000-000072780000}"/>
    <cellStyle name="Normal 3 9 2 5 2" xfId="7976" xr:uid="{00000000-0005-0000-0000-000073780000}"/>
    <cellStyle name="Normal 3 9 2 5 2 2" xfId="30278" xr:uid="{00000000-0005-0000-0000-000074780000}"/>
    <cellStyle name="Normal 3 9 2 5 2 2 2" xfId="62149" xr:uid="{00000000-0005-0000-0000-000075780000}"/>
    <cellStyle name="Normal 3 9 2 5 2 3" xfId="39855" xr:uid="{00000000-0005-0000-0000-000076780000}"/>
    <cellStyle name="Normal 3 9 2 5 3" xfId="22400" xr:uid="{00000000-0005-0000-0000-000077780000}"/>
    <cellStyle name="Normal 3 9 2 5 3 2" xfId="54271" xr:uid="{00000000-0005-0000-0000-000078780000}"/>
    <cellStyle name="Normal 3 9 2 5 4" xfId="39854" xr:uid="{00000000-0005-0000-0000-000079780000}"/>
    <cellStyle name="Normal 3 9 2 6" xfId="7977" xr:uid="{00000000-0005-0000-0000-00007A780000}"/>
    <cellStyle name="Normal 3 9 2 6 2" xfId="26339" xr:uid="{00000000-0005-0000-0000-00007B780000}"/>
    <cellStyle name="Normal 3 9 2 6 2 2" xfId="58210" xr:uid="{00000000-0005-0000-0000-00007C780000}"/>
    <cellStyle name="Normal 3 9 2 6 3" xfId="39856" xr:uid="{00000000-0005-0000-0000-00007D780000}"/>
    <cellStyle name="Normal 3 9 2 7" xfId="18461" xr:uid="{00000000-0005-0000-0000-00007E780000}"/>
    <cellStyle name="Normal 3 9 2 7 2" xfId="50332" xr:uid="{00000000-0005-0000-0000-00007F780000}"/>
    <cellStyle name="Normal 3 9 2 8" xfId="39825" xr:uid="{00000000-0005-0000-0000-000080780000}"/>
    <cellStyle name="Normal 3 9 3" xfId="7978" xr:uid="{00000000-0005-0000-0000-000081780000}"/>
    <cellStyle name="Normal 3 9 3 2" xfId="7979" xr:uid="{00000000-0005-0000-0000-000082780000}"/>
    <cellStyle name="Normal 3 9 3 2 2" xfId="7980" xr:uid="{00000000-0005-0000-0000-000083780000}"/>
    <cellStyle name="Normal 3 9 3 2 2 2" xfId="7981" xr:uid="{00000000-0005-0000-0000-000084780000}"/>
    <cellStyle name="Normal 3 9 3 2 2 2 2" xfId="7982" xr:uid="{00000000-0005-0000-0000-000085780000}"/>
    <cellStyle name="Normal 3 9 3 2 2 2 2 2" xfId="30288" xr:uid="{00000000-0005-0000-0000-000086780000}"/>
    <cellStyle name="Normal 3 9 3 2 2 2 2 2 2" xfId="62159" xr:uid="{00000000-0005-0000-0000-000087780000}"/>
    <cellStyle name="Normal 3 9 3 2 2 2 2 3" xfId="39861" xr:uid="{00000000-0005-0000-0000-000088780000}"/>
    <cellStyle name="Normal 3 9 3 2 2 2 3" xfId="22410" xr:uid="{00000000-0005-0000-0000-000089780000}"/>
    <cellStyle name="Normal 3 9 3 2 2 2 3 2" xfId="54281" xr:uid="{00000000-0005-0000-0000-00008A780000}"/>
    <cellStyle name="Normal 3 9 3 2 2 2 4" xfId="39860" xr:uid="{00000000-0005-0000-0000-00008B780000}"/>
    <cellStyle name="Normal 3 9 3 2 2 3" xfId="7983" xr:uid="{00000000-0005-0000-0000-00008C780000}"/>
    <cellStyle name="Normal 3 9 3 2 2 3 2" xfId="26349" xr:uid="{00000000-0005-0000-0000-00008D780000}"/>
    <cellStyle name="Normal 3 9 3 2 2 3 2 2" xfId="58220" xr:uid="{00000000-0005-0000-0000-00008E780000}"/>
    <cellStyle name="Normal 3 9 3 2 2 3 3" xfId="39862" xr:uid="{00000000-0005-0000-0000-00008F780000}"/>
    <cellStyle name="Normal 3 9 3 2 2 4" xfId="18471" xr:uid="{00000000-0005-0000-0000-000090780000}"/>
    <cellStyle name="Normal 3 9 3 2 2 4 2" xfId="50342" xr:uid="{00000000-0005-0000-0000-000091780000}"/>
    <cellStyle name="Normal 3 9 3 2 2 5" xfId="39859" xr:uid="{00000000-0005-0000-0000-000092780000}"/>
    <cellStyle name="Normal 3 9 3 2 3" xfId="7984" xr:uid="{00000000-0005-0000-0000-000093780000}"/>
    <cellStyle name="Normal 3 9 3 2 3 2" xfId="7985" xr:uid="{00000000-0005-0000-0000-000094780000}"/>
    <cellStyle name="Normal 3 9 3 2 3 2 2" xfId="30287" xr:uid="{00000000-0005-0000-0000-000095780000}"/>
    <cellStyle name="Normal 3 9 3 2 3 2 2 2" xfId="62158" xr:uid="{00000000-0005-0000-0000-000096780000}"/>
    <cellStyle name="Normal 3 9 3 2 3 2 3" xfId="39864" xr:uid="{00000000-0005-0000-0000-000097780000}"/>
    <cellStyle name="Normal 3 9 3 2 3 3" xfId="22409" xr:uid="{00000000-0005-0000-0000-000098780000}"/>
    <cellStyle name="Normal 3 9 3 2 3 3 2" xfId="54280" xr:uid="{00000000-0005-0000-0000-000099780000}"/>
    <cellStyle name="Normal 3 9 3 2 3 4" xfId="39863" xr:uid="{00000000-0005-0000-0000-00009A780000}"/>
    <cellStyle name="Normal 3 9 3 2 4" xfId="7986" xr:uid="{00000000-0005-0000-0000-00009B780000}"/>
    <cellStyle name="Normal 3 9 3 2 4 2" xfId="26348" xr:uid="{00000000-0005-0000-0000-00009C780000}"/>
    <cellStyle name="Normal 3 9 3 2 4 2 2" xfId="58219" xr:uid="{00000000-0005-0000-0000-00009D780000}"/>
    <cellStyle name="Normal 3 9 3 2 4 3" xfId="39865" xr:uid="{00000000-0005-0000-0000-00009E780000}"/>
    <cellStyle name="Normal 3 9 3 2 5" xfId="18470" xr:uid="{00000000-0005-0000-0000-00009F780000}"/>
    <cellStyle name="Normal 3 9 3 2 5 2" xfId="50341" xr:uid="{00000000-0005-0000-0000-0000A0780000}"/>
    <cellStyle name="Normal 3 9 3 2 6" xfId="39858" xr:uid="{00000000-0005-0000-0000-0000A1780000}"/>
    <cellStyle name="Normal 3 9 3 3" xfId="7987" xr:uid="{00000000-0005-0000-0000-0000A2780000}"/>
    <cellStyle name="Normal 3 9 3 3 2" xfId="7988" xr:uid="{00000000-0005-0000-0000-0000A3780000}"/>
    <cellStyle name="Normal 3 9 3 3 2 2" xfId="7989" xr:uid="{00000000-0005-0000-0000-0000A4780000}"/>
    <cellStyle name="Normal 3 9 3 3 2 2 2" xfId="30289" xr:uid="{00000000-0005-0000-0000-0000A5780000}"/>
    <cellStyle name="Normal 3 9 3 3 2 2 2 2" xfId="62160" xr:uid="{00000000-0005-0000-0000-0000A6780000}"/>
    <cellStyle name="Normal 3 9 3 3 2 2 3" xfId="39868" xr:uid="{00000000-0005-0000-0000-0000A7780000}"/>
    <cellStyle name="Normal 3 9 3 3 2 3" xfId="22411" xr:uid="{00000000-0005-0000-0000-0000A8780000}"/>
    <cellStyle name="Normal 3 9 3 3 2 3 2" xfId="54282" xr:uid="{00000000-0005-0000-0000-0000A9780000}"/>
    <cellStyle name="Normal 3 9 3 3 2 4" xfId="39867" xr:uid="{00000000-0005-0000-0000-0000AA780000}"/>
    <cellStyle name="Normal 3 9 3 3 3" xfId="7990" xr:uid="{00000000-0005-0000-0000-0000AB780000}"/>
    <cellStyle name="Normal 3 9 3 3 3 2" xfId="26350" xr:uid="{00000000-0005-0000-0000-0000AC780000}"/>
    <cellStyle name="Normal 3 9 3 3 3 2 2" xfId="58221" xr:uid="{00000000-0005-0000-0000-0000AD780000}"/>
    <cellStyle name="Normal 3 9 3 3 3 3" xfId="39869" xr:uid="{00000000-0005-0000-0000-0000AE780000}"/>
    <cellStyle name="Normal 3 9 3 3 4" xfId="18472" xr:uid="{00000000-0005-0000-0000-0000AF780000}"/>
    <cellStyle name="Normal 3 9 3 3 4 2" xfId="50343" xr:uid="{00000000-0005-0000-0000-0000B0780000}"/>
    <cellStyle name="Normal 3 9 3 3 5" xfId="39866" xr:uid="{00000000-0005-0000-0000-0000B1780000}"/>
    <cellStyle name="Normal 3 9 3 4" xfId="7991" xr:uid="{00000000-0005-0000-0000-0000B2780000}"/>
    <cellStyle name="Normal 3 9 3 4 2" xfId="7992" xr:uid="{00000000-0005-0000-0000-0000B3780000}"/>
    <cellStyle name="Normal 3 9 3 4 2 2" xfId="30286" xr:uid="{00000000-0005-0000-0000-0000B4780000}"/>
    <cellStyle name="Normal 3 9 3 4 2 2 2" xfId="62157" xr:uid="{00000000-0005-0000-0000-0000B5780000}"/>
    <cellStyle name="Normal 3 9 3 4 2 3" xfId="39871" xr:uid="{00000000-0005-0000-0000-0000B6780000}"/>
    <cellStyle name="Normal 3 9 3 4 3" xfId="22408" xr:uid="{00000000-0005-0000-0000-0000B7780000}"/>
    <cellStyle name="Normal 3 9 3 4 3 2" xfId="54279" xr:uid="{00000000-0005-0000-0000-0000B8780000}"/>
    <cellStyle name="Normal 3 9 3 4 4" xfId="39870" xr:uid="{00000000-0005-0000-0000-0000B9780000}"/>
    <cellStyle name="Normal 3 9 3 5" xfId="7993" xr:uid="{00000000-0005-0000-0000-0000BA780000}"/>
    <cellStyle name="Normal 3 9 3 5 2" xfId="26347" xr:uid="{00000000-0005-0000-0000-0000BB780000}"/>
    <cellStyle name="Normal 3 9 3 5 2 2" xfId="58218" xr:uid="{00000000-0005-0000-0000-0000BC780000}"/>
    <cellStyle name="Normal 3 9 3 5 3" xfId="39872" xr:uid="{00000000-0005-0000-0000-0000BD780000}"/>
    <cellStyle name="Normal 3 9 3 6" xfId="18469" xr:uid="{00000000-0005-0000-0000-0000BE780000}"/>
    <cellStyle name="Normal 3 9 3 6 2" xfId="50340" xr:uid="{00000000-0005-0000-0000-0000BF780000}"/>
    <cellStyle name="Normal 3 9 3 7" xfId="39857" xr:uid="{00000000-0005-0000-0000-0000C0780000}"/>
    <cellStyle name="Normal 3 9 4" xfId="7994" xr:uid="{00000000-0005-0000-0000-0000C1780000}"/>
    <cellStyle name="Normal 3 9 4 2" xfId="7995" xr:uid="{00000000-0005-0000-0000-0000C2780000}"/>
    <cellStyle name="Normal 3 9 4 2 2" xfId="7996" xr:uid="{00000000-0005-0000-0000-0000C3780000}"/>
    <cellStyle name="Normal 3 9 4 2 2 2" xfId="7997" xr:uid="{00000000-0005-0000-0000-0000C4780000}"/>
    <cellStyle name="Normal 3 9 4 2 2 2 2" xfId="30291" xr:uid="{00000000-0005-0000-0000-0000C5780000}"/>
    <cellStyle name="Normal 3 9 4 2 2 2 2 2" xfId="62162" xr:uid="{00000000-0005-0000-0000-0000C6780000}"/>
    <cellStyle name="Normal 3 9 4 2 2 2 3" xfId="39876" xr:uid="{00000000-0005-0000-0000-0000C7780000}"/>
    <cellStyle name="Normal 3 9 4 2 2 3" xfId="22413" xr:uid="{00000000-0005-0000-0000-0000C8780000}"/>
    <cellStyle name="Normal 3 9 4 2 2 3 2" xfId="54284" xr:uid="{00000000-0005-0000-0000-0000C9780000}"/>
    <cellStyle name="Normal 3 9 4 2 2 4" xfId="39875" xr:uid="{00000000-0005-0000-0000-0000CA780000}"/>
    <cellStyle name="Normal 3 9 4 2 3" xfId="7998" xr:uid="{00000000-0005-0000-0000-0000CB780000}"/>
    <cellStyle name="Normal 3 9 4 2 3 2" xfId="26352" xr:uid="{00000000-0005-0000-0000-0000CC780000}"/>
    <cellStyle name="Normal 3 9 4 2 3 2 2" xfId="58223" xr:uid="{00000000-0005-0000-0000-0000CD780000}"/>
    <cellStyle name="Normal 3 9 4 2 3 3" xfId="39877" xr:uid="{00000000-0005-0000-0000-0000CE780000}"/>
    <cellStyle name="Normal 3 9 4 2 4" xfId="18474" xr:uid="{00000000-0005-0000-0000-0000CF780000}"/>
    <cellStyle name="Normal 3 9 4 2 4 2" xfId="50345" xr:uid="{00000000-0005-0000-0000-0000D0780000}"/>
    <cellStyle name="Normal 3 9 4 2 5" xfId="39874" xr:uid="{00000000-0005-0000-0000-0000D1780000}"/>
    <cellStyle name="Normal 3 9 4 3" xfId="7999" xr:uid="{00000000-0005-0000-0000-0000D2780000}"/>
    <cellStyle name="Normal 3 9 4 3 2" xfId="8000" xr:uid="{00000000-0005-0000-0000-0000D3780000}"/>
    <cellStyle name="Normal 3 9 4 3 2 2" xfId="30290" xr:uid="{00000000-0005-0000-0000-0000D4780000}"/>
    <cellStyle name="Normal 3 9 4 3 2 2 2" xfId="62161" xr:uid="{00000000-0005-0000-0000-0000D5780000}"/>
    <cellStyle name="Normal 3 9 4 3 2 3" xfId="39879" xr:uid="{00000000-0005-0000-0000-0000D6780000}"/>
    <cellStyle name="Normal 3 9 4 3 3" xfId="22412" xr:uid="{00000000-0005-0000-0000-0000D7780000}"/>
    <cellStyle name="Normal 3 9 4 3 3 2" xfId="54283" xr:uid="{00000000-0005-0000-0000-0000D8780000}"/>
    <cellStyle name="Normal 3 9 4 3 4" xfId="39878" xr:uid="{00000000-0005-0000-0000-0000D9780000}"/>
    <cellStyle name="Normal 3 9 4 4" xfId="8001" xr:uid="{00000000-0005-0000-0000-0000DA780000}"/>
    <cellStyle name="Normal 3 9 4 4 2" xfId="26351" xr:uid="{00000000-0005-0000-0000-0000DB780000}"/>
    <cellStyle name="Normal 3 9 4 4 2 2" xfId="58222" xr:uid="{00000000-0005-0000-0000-0000DC780000}"/>
    <cellStyle name="Normal 3 9 4 4 3" xfId="39880" xr:uid="{00000000-0005-0000-0000-0000DD780000}"/>
    <cellStyle name="Normal 3 9 4 5" xfId="18473" xr:uid="{00000000-0005-0000-0000-0000DE780000}"/>
    <cellStyle name="Normal 3 9 4 5 2" xfId="50344" xr:uid="{00000000-0005-0000-0000-0000DF780000}"/>
    <cellStyle name="Normal 3 9 4 6" xfId="39873" xr:uid="{00000000-0005-0000-0000-0000E0780000}"/>
    <cellStyle name="Normal 3 9 5" xfId="8002" xr:uid="{00000000-0005-0000-0000-0000E1780000}"/>
    <cellStyle name="Normal 3 9 5 2" xfId="8003" xr:uid="{00000000-0005-0000-0000-0000E2780000}"/>
    <cellStyle name="Normal 3 9 5 2 2" xfId="8004" xr:uid="{00000000-0005-0000-0000-0000E3780000}"/>
    <cellStyle name="Normal 3 9 5 2 2 2" xfId="30292" xr:uid="{00000000-0005-0000-0000-0000E4780000}"/>
    <cellStyle name="Normal 3 9 5 2 2 2 2" xfId="62163" xr:uid="{00000000-0005-0000-0000-0000E5780000}"/>
    <cellStyle name="Normal 3 9 5 2 2 3" xfId="39883" xr:uid="{00000000-0005-0000-0000-0000E6780000}"/>
    <cellStyle name="Normal 3 9 5 2 3" xfId="22414" xr:uid="{00000000-0005-0000-0000-0000E7780000}"/>
    <cellStyle name="Normal 3 9 5 2 3 2" xfId="54285" xr:uid="{00000000-0005-0000-0000-0000E8780000}"/>
    <cellStyle name="Normal 3 9 5 2 4" xfId="39882" xr:uid="{00000000-0005-0000-0000-0000E9780000}"/>
    <cellStyle name="Normal 3 9 5 3" xfId="8005" xr:uid="{00000000-0005-0000-0000-0000EA780000}"/>
    <cellStyle name="Normal 3 9 5 3 2" xfId="26353" xr:uid="{00000000-0005-0000-0000-0000EB780000}"/>
    <cellStyle name="Normal 3 9 5 3 2 2" xfId="58224" xr:uid="{00000000-0005-0000-0000-0000EC780000}"/>
    <cellStyle name="Normal 3 9 5 3 3" xfId="39884" xr:uid="{00000000-0005-0000-0000-0000ED780000}"/>
    <cellStyle name="Normal 3 9 5 4" xfId="18475" xr:uid="{00000000-0005-0000-0000-0000EE780000}"/>
    <cellStyle name="Normal 3 9 5 4 2" xfId="50346" xr:uid="{00000000-0005-0000-0000-0000EF780000}"/>
    <cellStyle name="Normal 3 9 5 5" xfId="39881" xr:uid="{00000000-0005-0000-0000-0000F0780000}"/>
    <cellStyle name="Normal 3 9 6" xfId="8006" xr:uid="{00000000-0005-0000-0000-0000F1780000}"/>
    <cellStyle name="Normal 3 9 6 2" xfId="8007" xr:uid="{00000000-0005-0000-0000-0000F2780000}"/>
    <cellStyle name="Normal 3 9 6 2 2" xfId="28381" xr:uid="{00000000-0005-0000-0000-0000F3780000}"/>
    <cellStyle name="Normal 3 9 6 2 2 2" xfId="60252" xr:uid="{00000000-0005-0000-0000-0000F4780000}"/>
    <cellStyle name="Normal 3 9 6 2 3" xfId="39886" xr:uid="{00000000-0005-0000-0000-0000F5780000}"/>
    <cellStyle name="Normal 3 9 6 3" xfId="20503" xr:uid="{00000000-0005-0000-0000-0000F6780000}"/>
    <cellStyle name="Normal 3 9 6 3 2" xfId="52374" xr:uid="{00000000-0005-0000-0000-0000F7780000}"/>
    <cellStyle name="Normal 3 9 6 4" xfId="39885" xr:uid="{00000000-0005-0000-0000-0000F8780000}"/>
    <cellStyle name="Normal 3 9 7" xfId="8008" xr:uid="{00000000-0005-0000-0000-0000F9780000}"/>
    <cellStyle name="Normal 3 9 7 2" xfId="24442" xr:uid="{00000000-0005-0000-0000-0000FA780000}"/>
    <cellStyle name="Normal 3 9 7 2 2" xfId="56313" xr:uid="{00000000-0005-0000-0000-0000FB780000}"/>
    <cellStyle name="Normal 3 9 7 3" xfId="39887" xr:uid="{00000000-0005-0000-0000-0000FC780000}"/>
    <cellStyle name="Normal 3 9 8" xfId="16564" xr:uid="{00000000-0005-0000-0000-0000FD780000}"/>
    <cellStyle name="Normal 3 9 8 2" xfId="48435" xr:uid="{00000000-0005-0000-0000-0000FE780000}"/>
    <cellStyle name="Normal 3 9 9" xfId="39824" xr:uid="{00000000-0005-0000-0000-0000FF780000}"/>
    <cellStyle name="Normal 3_RESULTS" xfId="16095" xr:uid="{00000000-0005-0000-0000-000000790000}"/>
    <cellStyle name="Normal 4" xfId="145" xr:uid="{00000000-0005-0000-0000-000001790000}"/>
    <cellStyle name="Normal 4 10" xfId="8010" xr:uid="{00000000-0005-0000-0000-000002790000}"/>
    <cellStyle name="Normal 4 10 2" xfId="8011" xr:uid="{00000000-0005-0000-0000-000003790000}"/>
    <cellStyle name="Normal 4 10 2 2" xfId="8012" xr:uid="{00000000-0005-0000-0000-000004790000}"/>
    <cellStyle name="Normal 4 10 2 2 2" xfId="8013" xr:uid="{00000000-0005-0000-0000-000005790000}"/>
    <cellStyle name="Normal 4 10 2 2 2 2" xfId="8014" xr:uid="{00000000-0005-0000-0000-000006790000}"/>
    <cellStyle name="Normal 4 10 2 2 2 2 2" xfId="8015" xr:uid="{00000000-0005-0000-0000-000007790000}"/>
    <cellStyle name="Normal 4 10 2 2 2 2 2 2" xfId="30295" xr:uid="{00000000-0005-0000-0000-000008790000}"/>
    <cellStyle name="Normal 4 10 2 2 2 2 2 2 2" xfId="62166" xr:uid="{00000000-0005-0000-0000-000009790000}"/>
    <cellStyle name="Normal 4 10 2 2 2 2 2 3" xfId="39894" xr:uid="{00000000-0005-0000-0000-00000A790000}"/>
    <cellStyle name="Normal 4 10 2 2 2 2 3" xfId="22417" xr:uid="{00000000-0005-0000-0000-00000B790000}"/>
    <cellStyle name="Normal 4 10 2 2 2 2 3 2" xfId="54288" xr:uid="{00000000-0005-0000-0000-00000C790000}"/>
    <cellStyle name="Normal 4 10 2 2 2 2 4" xfId="39893" xr:uid="{00000000-0005-0000-0000-00000D790000}"/>
    <cellStyle name="Normal 4 10 2 2 2 3" xfId="8016" xr:uid="{00000000-0005-0000-0000-00000E790000}"/>
    <cellStyle name="Normal 4 10 2 2 2 3 2" xfId="26356" xr:uid="{00000000-0005-0000-0000-00000F790000}"/>
    <cellStyle name="Normal 4 10 2 2 2 3 2 2" xfId="58227" xr:uid="{00000000-0005-0000-0000-000010790000}"/>
    <cellStyle name="Normal 4 10 2 2 2 3 3" xfId="39895" xr:uid="{00000000-0005-0000-0000-000011790000}"/>
    <cellStyle name="Normal 4 10 2 2 2 4" xfId="18478" xr:uid="{00000000-0005-0000-0000-000012790000}"/>
    <cellStyle name="Normal 4 10 2 2 2 4 2" xfId="50349" xr:uid="{00000000-0005-0000-0000-000013790000}"/>
    <cellStyle name="Normal 4 10 2 2 2 5" xfId="39892" xr:uid="{00000000-0005-0000-0000-000014790000}"/>
    <cellStyle name="Normal 4 10 2 2 3" xfId="8017" xr:uid="{00000000-0005-0000-0000-000015790000}"/>
    <cellStyle name="Normal 4 10 2 2 3 2" xfId="8018" xr:uid="{00000000-0005-0000-0000-000016790000}"/>
    <cellStyle name="Normal 4 10 2 2 3 2 2" xfId="30294" xr:uid="{00000000-0005-0000-0000-000017790000}"/>
    <cellStyle name="Normal 4 10 2 2 3 2 2 2" xfId="62165" xr:uid="{00000000-0005-0000-0000-000018790000}"/>
    <cellStyle name="Normal 4 10 2 2 3 2 3" xfId="39897" xr:uid="{00000000-0005-0000-0000-000019790000}"/>
    <cellStyle name="Normal 4 10 2 2 3 3" xfId="22416" xr:uid="{00000000-0005-0000-0000-00001A790000}"/>
    <cellStyle name="Normal 4 10 2 2 3 3 2" xfId="54287" xr:uid="{00000000-0005-0000-0000-00001B790000}"/>
    <cellStyle name="Normal 4 10 2 2 3 4" xfId="39896" xr:uid="{00000000-0005-0000-0000-00001C790000}"/>
    <cellStyle name="Normal 4 10 2 2 4" xfId="8019" xr:uid="{00000000-0005-0000-0000-00001D790000}"/>
    <cellStyle name="Normal 4 10 2 2 4 2" xfId="26355" xr:uid="{00000000-0005-0000-0000-00001E790000}"/>
    <cellStyle name="Normal 4 10 2 2 4 2 2" xfId="58226" xr:uid="{00000000-0005-0000-0000-00001F790000}"/>
    <cellStyle name="Normal 4 10 2 2 4 3" xfId="39898" xr:uid="{00000000-0005-0000-0000-000020790000}"/>
    <cellStyle name="Normal 4 10 2 2 5" xfId="18477" xr:uid="{00000000-0005-0000-0000-000021790000}"/>
    <cellStyle name="Normal 4 10 2 2 5 2" xfId="50348" xr:uid="{00000000-0005-0000-0000-000022790000}"/>
    <cellStyle name="Normal 4 10 2 2 6" xfId="39891" xr:uid="{00000000-0005-0000-0000-000023790000}"/>
    <cellStyle name="Normal 4 10 2 3" xfId="8020" xr:uid="{00000000-0005-0000-0000-000024790000}"/>
    <cellStyle name="Normal 4 10 2 3 2" xfId="8021" xr:uid="{00000000-0005-0000-0000-000025790000}"/>
    <cellStyle name="Normal 4 10 2 3 2 2" xfId="8022" xr:uid="{00000000-0005-0000-0000-000026790000}"/>
    <cellStyle name="Normal 4 10 2 3 2 2 2" xfId="30296" xr:uid="{00000000-0005-0000-0000-000027790000}"/>
    <cellStyle name="Normal 4 10 2 3 2 2 2 2" xfId="62167" xr:uid="{00000000-0005-0000-0000-000028790000}"/>
    <cellStyle name="Normal 4 10 2 3 2 2 3" xfId="39901" xr:uid="{00000000-0005-0000-0000-000029790000}"/>
    <cellStyle name="Normal 4 10 2 3 2 3" xfId="22418" xr:uid="{00000000-0005-0000-0000-00002A790000}"/>
    <cellStyle name="Normal 4 10 2 3 2 3 2" xfId="54289" xr:uid="{00000000-0005-0000-0000-00002B790000}"/>
    <cellStyle name="Normal 4 10 2 3 2 4" xfId="39900" xr:uid="{00000000-0005-0000-0000-00002C790000}"/>
    <cellStyle name="Normal 4 10 2 3 3" xfId="8023" xr:uid="{00000000-0005-0000-0000-00002D790000}"/>
    <cellStyle name="Normal 4 10 2 3 3 2" xfId="26357" xr:uid="{00000000-0005-0000-0000-00002E790000}"/>
    <cellStyle name="Normal 4 10 2 3 3 2 2" xfId="58228" xr:uid="{00000000-0005-0000-0000-00002F790000}"/>
    <cellStyle name="Normal 4 10 2 3 3 3" xfId="39902" xr:uid="{00000000-0005-0000-0000-000030790000}"/>
    <cellStyle name="Normal 4 10 2 3 4" xfId="18479" xr:uid="{00000000-0005-0000-0000-000031790000}"/>
    <cellStyle name="Normal 4 10 2 3 4 2" xfId="50350" xr:uid="{00000000-0005-0000-0000-000032790000}"/>
    <cellStyle name="Normal 4 10 2 3 5" xfId="39899" xr:uid="{00000000-0005-0000-0000-000033790000}"/>
    <cellStyle name="Normal 4 10 2 4" xfId="8024" xr:uid="{00000000-0005-0000-0000-000034790000}"/>
    <cellStyle name="Normal 4 10 2 4 2" xfId="8025" xr:uid="{00000000-0005-0000-0000-000035790000}"/>
    <cellStyle name="Normal 4 10 2 4 2 2" xfId="30293" xr:uid="{00000000-0005-0000-0000-000036790000}"/>
    <cellStyle name="Normal 4 10 2 4 2 2 2" xfId="62164" xr:uid="{00000000-0005-0000-0000-000037790000}"/>
    <cellStyle name="Normal 4 10 2 4 2 3" xfId="39904" xr:uid="{00000000-0005-0000-0000-000038790000}"/>
    <cellStyle name="Normal 4 10 2 4 3" xfId="22415" xr:uid="{00000000-0005-0000-0000-000039790000}"/>
    <cellStyle name="Normal 4 10 2 4 3 2" xfId="54286" xr:uid="{00000000-0005-0000-0000-00003A790000}"/>
    <cellStyle name="Normal 4 10 2 4 4" xfId="39903" xr:uid="{00000000-0005-0000-0000-00003B790000}"/>
    <cellStyle name="Normal 4 10 2 5" xfId="8026" xr:uid="{00000000-0005-0000-0000-00003C790000}"/>
    <cellStyle name="Normal 4 10 2 5 2" xfId="26354" xr:uid="{00000000-0005-0000-0000-00003D790000}"/>
    <cellStyle name="Normal 4 10 2 5 2 2" xfId="58225" xr:uid="{00000000-0005-0000-0000-00003E790000}"/>
    <cellStyle name="Normal 4 10 2 5 3" xfId="39905" xr:uid="{00000000-0005-0000-0000-00003F790000}"/>
    <cellStyle name="Normal 4 10 2 6" xfId="18476" xr:uid="{00000000-0005-0000-0000-000040790000}"/>
    <cellStyle name="Normal 4 10 2 6 2" xfId="50347" xr:uid="{00000000-0005-0000-0000-000041790000}"/>
    <cellStyle name="Normal 4 10 2 7" xfId="39890" xr:uid="{00000000-0005-0000-0000-000042790000}"/>
    <cellStyle name="Normal 4 10 3" xfId="8027" xr:uid="{00000000-0005-0000-0000-000043790000}"/>
    <cellStyle name="Normal 4 10 3 2" xfId="8028" xr:uid="{00000000-0005-0000-0000-000044790000}"/>
    <cellStyle name="Normal 4 10 3 2 2" xfId="8029" xr:uid="{00000000-0005-0000-0000-000045790000}"/>
    <cellStyle name="Normal 4 10 3 2 2 2" xfId="8030" xr:uid="{00000000-0005-0000-0000-000046790000}"/>
    <cellStyle name="Normal 4 10 3 2 2 2 2" xfId="30298" xr:uid="{00000000-0005-0000-0000-000047790000}"/>
    <cellStyle name="Normal 4 10 3 2 2 2 2 2" xfId="62169" xr:uid="{00000000-0005-0000-0000-000048790000}"/>
    <cellStyle name="Normal 4 10 3 2 2 2 3" xfId="39909" xr:uid="{00000000-0005-0000-0000-000049790000}"/>
    <cellStyle name="Normal 4 10 3 2 2 3" xfId="22420" xr:uid="{00000000-0005-0000-0000-00004A790000}"/>
    <cellStyle name="Normal 4 10 3 2 2 3 2" xfId="54291" xr:uid="{00000000-0005-0000-0000-00004B790000}"/>
    <cellStyle name="Normal 4 10 3 2 2 4" xfId="39908" xr:uid="{00000000-0005-0000-0000-00004C790000}"/>
    <cellStyle name="Normal 4 10 3 2 3" xfId="8031" xr:uid="{00000000-0005-0000-0000-00004D790000}"/>
    <cellStyle name="Normal 4 10 3 2 3 2" xfId="26359" xr:uid="{00000000-0005-0000-0000-00004E790000}"/>
    <cellStyle name="Normal 4 10 3 2 3 2 2" xfId="58230" xr:uid="{00000000-0005-0000-0000-00004F790000}"/>
    <cellStyle name="Normal 4 10 3 2 3 3" xfId="39910" xr:uid="{00000000-0005-0000-0000-000050790000}"/>
    <cellStyle name="Normal 4 10 3 2 4" xfId="18481" xr:uid="{00000000-0005-0000-0000-000051790000}"/>
    <cellStyle name="Normal 4 10 3 2 4 2" xfId="50352" xr:uid="{00000000-0005-0000-0000-000052790000}"/>
    <cellStyle name="Normal 4 10 3 2 5" xfId="39907" xr:uid="{00000000-0005-0000-0000-000053790000}"/>
    <cellStyle name="Normal 4 10 3 3" xfId="8032" xr:uid="{00000000-0005-0000-0000-000054790000}"/>
    <cellStyle name="Normal 4 10 3 3 2" xfId="8033" xr:uid="{00000000-0005-0000-0000-000055790000}"/>
    <cellStyle name="Normal 4 10 3 3 2 2" xfId="30297" xr:uid="{00000000-0005-0000-0000-000056790000}"/>
    <cellStyle name="Normal 4 10 3 3 2 2 2" xfId="62168" xr:uid="{00000000-0005-0000-0000-000057790000}"/>
    <cellStyle name="Normal 4 10 3 3 2 3" xfId="39912" xr:uid="{00000000-0005-0000-0000-000058790000}"/>
    <cellStyle name="Normal 4 10 3 3 3" xfId="22419" xr:uid="{00000000-0005-0000-0000-000059790000}"/>
    <cellStyle name="Normal 4 10 3 3 3 2" xfId="54290" xr:uid="{00000000-0005-0000-0000-00005A790000}"/>
    <cellStyle name="Normal 4 10 3 3 4" xfId="39911" xr:uid="{00000000-0005-0000-0000-00005B790000}"/>
    <cellStyle name="Normal 4 10 3 4" xfId="8034" xr:uid="{00000000-0005-0000-0000-00005C790000}"/>
    <cellStyle name="Normal 4 10 3 4 2" xfId="26358" xr:uid="{00000000-0005-0000-0000-00005D790000}"/>
    <cellStyle name="Normal 4 10 3 4 2 2" xfId="58229" xr:uid="{00000000-0005-0000-0000-00005E790000}"/>
    <cellStyle name="Normal 4 10 3 4 3" xfId="39913" xr:uid="{00000000-0005-0000-0000-00005F790000}"/>
    <cellStyle name="Normal 4 10 3 5" xfId="18480" xr:uid="{00000000-0005-0000-0000-000060790000}"/>
    <cellStyle name="Normal 4 10 3 5 2" xfId="50351" xr:uid="{00000000-0005-0000-0000-000061790000}"/>
    <cellStyle name="Normal 4 10 3 6" xfId="39906" xr:uid="{00000000-0005-0000-0000-000062790000}"/>
    <cellStyle name="Normal 4 10 4" xfId="8035" xr:uid="{00000000-0005-0000-0000-000063790000}"/>
    <cellStyle name="Normal 4 10 4 2" xfId="8036" xr:uid="{00000000-0005-0000-0000-000064790000}"/>
    <cellStyle name="Normal 4 10 4 2 2" xfId="8037" xr:uid="{00000000-0005-0000-0000-000065790000}"/>
    <cellStyle name="Normal 4 10 4 2 2 2" xfId="30299" xr:uid="{00000000-0005-0000-0000-000066790000}"/>
    <cellStyle name="Normal 4 10 4 2 2 2 2" xfId="62170" xr:uid="{00000000-0005-0000-0000-000067790000}"/>
    <cellStyle name="Normal 4 10 4 2 2 3" xfId="39916" xr:uid="{00000000-0005-0000-0000-000068790000}"/>
    <cellStyle name="Normal 4 10 4 2 3" xfId="22421" xr:uid="{00000000-0005-0000-0000-000069790000}"/>
    <cellStyle name="Normal 4 10 4 2 3 2" xfId="54292" xr:uid="{00000000-0005-0000-0000-00006A790000}"/>
    <cellStyle name="Normal 4 10 4 2 4" xfId="39915" xr:uid="{00000000-0005-0000-0000-00006B790000}"/>
    <cellStyle name="Normal 4 10 4 3" xfId="8038" xr:uid="{00000000-0005-0000-0000-00006C790000}"/>
    <cellStyle name="Normal 4 10 4 3 2" xfId="26360" xr:uid="{00000000-0005-0000-0000-00006D790000}"/>
    <cellStyle name="Normal 4 10 4 3 2 2" xfId="58231" xr:uid="{00000000-0005-0000-0000-00006E790000}"/>
    <cellStyle name="Normal 4 10 4 3 3" xfId="39917" xr:uid="{00000000-0005-0000-0000-00006F790000}"/>
    <cellStyle name="Normal 4 10 4 4" xfId="18482" xr:uid="{00000000-0005-0000-0000-000070790000}"/>
    <cellStyle name="Normal 4 10 4 4 2" xfId="50353" xr:uid="{00000000-0005-0000-0000-000071790000}"/>
    <cellStyle name="Normal 4 10 4 5" xfId="39914" xr:uid="{00000000-0005-0000-0000-000072790000}"/>
    <cellStyle name="Normal 4 10 5" xfId="8039" xr:uid="{00000000-0005-0000-0000-000073790000}"/>
    <cellStyle name="Normal 4 10 5 2" xfId="8040" xr:uid="{00000000-0005-0000-0000-000074790000}"/>
    <cellStyle name="Normal 4 10 5 2 2" xfId="28260" xr:uid="{00000000-0005-0000-0000-000075790000}"/>
    <cellStyle name="Normal 4 10 5 2 2 2" xfId="60131" xr:uid="{00000000-0005-0000-0000-000076790000}"/>
    <cellStyle name="Normal 4 10 5 2 3" xfId="39919" xr:uid="{00000000-0005-0000-0000-000077790000}"/>
    <cellStyle name="Normal 4 10 5 3" xfId="20382" xr:uid="{00000000-0005-0000-0000-000078790000}"/>
    <cellStyle name="Normal 4 10 5 3 2" xfId="52253" xr:uid="{00000000-0005-0000-0000-000079790000}"/>
    <cellStyle name="Normal 4 10 5 4" xfId="39918" xr:uid="{00000000-0005-0000-0000-00007A790000}"/>
    <cellStyle name="Normal 4 10 6" xfId="8041" xr:uid="{00000000-0005-0000-0000-00007B790000}"/>
    <cellStyle name="Normal 4 10 6 2" xfId="24321" xr:uid="{00000000-0005-0000-0000-00007C790000}"/>
    <cellStyle name="Normal 4 10 6 2 2" xfId="56192" xr:uid="{00000000-0005-0000-0000-00007D790000}"/>
    <cellStyle name="Normal 4 10 6 3" xfId="39920" xr:uid="{00000000-0005-0000-0000-00007E790000}"/>
    <cellStyle name="Normal 4 10 7" xfId="16443" xr:uid="{00000000-0005-0000-0000-00007F790000}"/>
    <cellStyle name="Normal 4 10 7 2" xfId="48314" xr:uid="{00000000-0005-0000-0000-000080790000}"/>
    <cellStyle name="Normal 4 10 8" xfId="39889" xr:uid="{00000000-0005-0000-0000-000081790000}"/>
    <cellStyle name="Normal 4 11" xfId="8042" xr:uid="{00000000-0005-0000-0000-000082790000}"/>
    <cellStyle name="Normal 4 11 2" xfId="8043" xr:uid="{00000000-0005-0000-0000-000083790000}"/>
    <cellStyle name="Normal 4 11 2 2" xfId="8044" xr:uid="{00000000-0005-0000-0000-000084790000}"/>
    <cellStyle name="Normal 4 11 2 2 2" xfId="8045" xr:uid="{00000000-0005-0000-0000-000085790000}"/>
    <cellStyle name="Normal 4 11 2 2 2 2" xfId="8046" xr:uid="{00000000-0005-0000-0000-000086790000}"/>
    <cellStyle name="Normal 4 11 2 2 2 2 2" xfId="30301" xr:uid="{00000000-0005-0000-0000-000087790000}"/>
    <cellStyle name="Normal 4 11 2 2 2 2 2 2" xfId="62172" xr:uid="{00000000-0005-0000-0000-000088790000}"/>
    <cellStyle name="Normal 4 11 2 2 2 2 3" xfId="39925" xr:uid="{00000000-0005-0000-0000-000089790000}"/>
    <cellStyle name="Normal 4 11 2 2 2 3" xfId="22423" xr:uid="{00000000-0005-0000-0000-00008A790000}"/>
    <cellStyle name="Normal 4 11 2 2 2 3 2" xfId="54294" xr:uid="{00000000-0005-0000-0000-00008B790000}"/>
    <cellStyle name="Normal 4 11 2 2 2 4" xfId="39924" xr:uid="{00000000-0005-0000-0000-00008C790000}"/>
    <cellStyle name="Normal 4 11 2 2 3" xfId="8047" xr:uid="{00000000-0005-0000-0000-00008D790000}"/>
    <cellStyle name="Normal 4 11 2 2 3 2" xfId="26362" xr:uid="{00000000-0005-0000-0000-00008E790000}"/>
    <cellStyle name="Normal 4 11 2 2 3 2 2" xfId="58233" xr:uid="{00000000-0005-0000-0000-00008F790000}"/>
    <cellStyle name="Normal 4 11 2 2 3 3" xfId="39926" xr:uid="{00000000-0005-0000-0000-000090790000}"/>
    <cellStyle name="Normal 4 11 2 2 4" xfId="18484" xr:uid="{00000000-0005-0000-0000-000091790000}"/>
    <cellStyle name="Normal 4 11 2 2 4 2" xfId="50355" xr:uid="{00000000-0005-0000-0000-000092790000}"/>
    <cellStyle name="Normal 4 11 2 2 5" xfId="39923" xr:uid="{00000000-0005-0000-0000-000093790000}"/>
    <cellStyle name="Normal 4 11 2 3" xfId="8048" xr:uid="{00000000-0005-0000-0000-000094790000}"/>
    <cellStyle name="Normal 4 11 2 3 2" xfId="8049" xr:uid="{00000000-0005-0000-0000-000095790000}"/>
    <cellStyle name="Normal 4 11 2 3 2 2" xfId="30300" xr:uid="{00000000-0005-0000-0000-000096790000}"/>
    <cellStyle name="Normal 4 11 2 3 2 2 2" xfId="62171" xr:uid="{00000000-0005-0000-0000-000097790000}"/>
    <cellStyle name="Normal 4 11 2 3 2 3" xfId="39928" xr:uid="{00000000-0005-0000-0000-000098790000}"/>
    <cellStyle name="Normal 4 11 2 3 3" xfId="22422" xr:uid="{00000000-0005-0000-0000-000099790000}"/>
    <cellStyle name="Normal 4 11 2 3 3 2" xfId="54293" xr:uid="{00000000-0005-0000-0000-00009A790000}"/>
    <cellStyle name="Normal 4 11 2 3 4" xfId="39927" xr:uid="{00000000-0005-0000-0000-00009B790000}"/>
    <cellStyle name="Normal 4 11 2 4" xfId="8050" xr:uid="{00000000-0005-0000-0000-00009C790000}"/>
    <cellStyle name="Normal 4 11 2 4 2" xfId="26361" xr:uid="{00000000-0005-0000-0000-00009D790000}"/>
    <cellStyle name="Normal 4 11 2 4 2 2" xfId="58232" xr:uid="{00000000-0005-0000-0000-00009E790000}"/>
    <cellStyle name="Normal 4 11 2 4 3" xfId="39929" xr:uid="{00000000-0005-0000-0000-00009F790000}"/>
    <cellStyle name="Normal 4 11 2 5" xfId="18483" xr:uid="{00000000-0005-0000-0000-0000A0790000}"/>
    <cellStyle name="Normal 4 11 2 5 2" xfId="50354" xr:uid="{00000000-0005-0000-0000-0000A1790000}"/>
    <cellStyle name="Normal 4 11 2 6" xfId="39922" xr:uid="{00000000-0005-0000-0000-0000A2790000}"/>
    <cellStyle name="Normal 4 11 3" xfId="8051" xr:uid="{00000000-0005-0000-0000-0000A3790000}"/>
    <cellStyle name="Normal 4 11 3 2" xfId="8052" xr:uid="{00000000-0005-0000-0000-0000A4790000}"/>
    <cellStyle name="Normal 4 11 3 2 2" xfId="8053" xr:uid="{00000000-0005-0000-0000-0000A5790000}"/>
    <cellStyle name="Normal 4 11 3 2 2 2" xfId="30302" xr:uid="{00000000-0005-0000-0000-0000A6790000}"/>
    <cellStyle name="Normal 4 11 3 2 2 2 2" xfId="62173" xr:uid="{00000000-0005-0000-0000-0000A7790000}"/>
    <cellStyle name="Normal 4 11 3 2 2 3" xfId="39932" xr:uid="{00000000-0005-0000-0000-0000A8790000}"/>
    <cellStyle name="Normal 4 11 3 2 3" xfId="22424" xr:uid="{00000000-0005-0000-0000-0000A9790000}"/>
    <cellStyle name="Normal 4 11 3 2 3 2" xfId="54295" xr:uid="{00000000-0005-0000-0000-0000AA790000}"/>
    <cellStyle name="Normal 4 11 3 2 4" xfId="39931" xr:uid="{00000000-0005-0000-0000-0000AB790000}"/>
    <cellStyle name="Normal 4 11 3 3" xfId="8054" xr:uid="{00000000-0005-0000-0000-0000AC790000}"/>
    <cellStyle name="Normal 4 11 3 3 2" xfId="26363" xr:uid="{00000000-0005-0000-0000-0000AD790000}"/>
    <cellStyle name="Normal 4 11 3 3 2 2" xfId="58234" xr:uid="{00000000-0005-0000-0000-0000AE790000}"/>
    <cellStyle name="Normal 4 11 3 3 3" xfId="39933" xr:uid="{00000000-0005-0000-0000-0000AF790000}"/>
    <cellStyle name="Normal 4 11 3 4" xfId="18485" xr:uid="{00000000-0005-0000-0000-0000B0790000}"/>
    <cellStyle name="Normal 4 11 3 4 2" xfId="50356" xr:uid="{00000000-0005-0000-0000-0000B1790000}"/>
    <cellStyle name="Normal 4 11 3 5" xfId="39930" xr:uid="{00000000-0005-0000-0000-0000B2790000}"/>
    <cellStyle name="Normal 4 11 4" xfId="8055" xr:uid="{00000000-0005-0000-0000-0000B3790000}"/>
    <cellStyle name="Normal 4 11 4 2" xfId="8056" xr:uid="{00000000-0005-0000-0000-0000B4790000}"/>
    <cellStyle name="Normal 4 11 4 2 2" xfId="28504" xr:uid="{00000000-0005-0000-0000-0000B5790000}"/>
    <cellStyle name="Normal 4 11 4 2 2 2" xfId="60375" xr:uid="{00000000-0005-0000-0000-0000B6790000}"/>
    <cellStyle name="Normal 4 11 4 2 3" xfId="39935" xr:uid="{00000000-0005-0000-0000-0000B7790000}"/>
    <cellStyle name="Normal 4 11 4 3" xfId="20626" xr:uid="{00000000-0005-0000-0000-0000B8790000}"/>
    <cellStyle name="Normal 4 11 4 3 2" xfId="52497" xr:uid="{00000000-0005-0000-0000-0000B9790000}"/>
    <cellStyle name="Normal 4 11 4 4" xfId="39934" xr:uid="{00000000-0005-0000-0000-0000BA790000}"/>
    <cellStyle name="Normal 4 11 5" xfId="8057" xr:uid="{00000000-0005-0000-0000-0000BB790000}"/>
    <cellStyle name="Normal 4 11 5 2" xfId="24565" xr:uid="{00000000-0005-0000-0000-0000BC790000}"/>
    <cellStyle name="Normal 4 11 5 2 2" xfId="56436" xr:uid="{00000000-0005-0000-0000-0000BD790000}"/>
    <cellStyle name="Normal 4 11 5 3" xfId="39936" xr:uid="{00000000-0005-0000-0000-0000BE790000}"/>
    <cellStyle name="Normal 4 11 6" xfId="16687" xr:uid="{00000000-0005-0000-0000-0000BF790000}"/>
    <cellStyle name="Normal 4 11 6 2" xfId="48558" xr:uid="{00000000-0005-0000-0000-0000C0790000}"/>
    <cellStyle name="Normal 4 11 7" xfId="39921" xr:uid="{00000000-0005-0000-0000-0000C1790000}"/>
    <cellStyle name="Normal 4 12" xfId="8058" xr:uid="{00000000-0005-0000-0000-0000C2790000}"/>
    <cellStyle name="Normal 4 12 2" xfId="8059" xr:uid="{00000000-0005-0000-0000-0000C3790000}"/>
    <cellStyle name="Normal 4 12 2 2" xfId="8060" xr:uid="{00000000-0005-0000-0000-0000C4790000}"/>
    <cellStyle name="Normal 4 12 2 2 2" xfId="8061" xr:uid="{00000000-0005-0000-0000-0000C5790000}"/>
    <cellStyle name="Normal 4 12 2 2 2 2" xfId="30304" xr:uid="{00000000-0005-0000-0000-0000C6790000}"/>
    <cellStyle name="Normal 4 12 2 2 2 2 2" xfId="62175" xr:uid="{00000000-0005-0000-0000-0000C7790000}"/>
    <cellStyle name="Normal 4 12 2 2 2 3" xfId="39940" xr:uid="{00000000-0005-0000-0000-0000C8790000}"/>
    <cellStyle name="Normal 4 12 2 2 3" xfId="22426" xr:uid="{00000000-0005-0000-0000-0000C9790000}"/>
    <cellStyle name="Normal 4 12 2 2 3 2" xfId="54297" xr:uid="{00000000-0005-0000-0000-0000CA790000}"/>
    <cellStyle name="Normal 4 12 2 2 4" xfId="39939" xr:uid="{00000000-0005-0000-0000-0000CB790000}"/>
    <cellStyle name="Normal 4 12 2 3" xfId="8062" xr:uid="{00000000-0005-0000-0000-0000CC790000}"/>
    <cellStyle name="Normal 4 12 2 3 2" xfId="26365" xr:uid="{00000000-0005-0000-0000-0000CD790000}"/>
    <cellStyle name="Normal 4 12 2 3 2 2" xfId="58236" xr:uid="{00000000-0005-0000-0000-0000CE790000}"/>
    <cellStyle name="Normal 4 12 2 3 3" xfId="39941" xr:uid="{00000000-0005-0000-0000-0000CF790000}"/>
    <cellStyle name="Normal 4 12 2 4" xfId="18487" xr:uid="{00000000-0005-0000-0000-0000D0790000}"/>
    <cellStyle name="Normal 4 12 2 4 2" xfId="50358" xr:uid="{00000000-0005-0000-0000-0000D1790000}"/>
    <cellStyle name="Normal 4 12 2 5" xfId="39938" xr:uid="{00000000-0005-0000-0000-0000D2790000}"/>
    <cellStyle name="Normal 4 12 3" xfId="8063" xr:uid="{00000000-0005-0000-0000-0000D3790000}"/>
    <cellStyle name="Normal 4 12 3 2" xfId="8064" xr:uid="{00000000-0005-0000-0000-0000D4790000}"/>
    <cellStyle name="Normal 4 12 3 2 2" xfId="30303" xr:uid="{00000000-0005-0000-0000-0000D5790000}"/>
    <cellStyle name="Normal 4 12 3 2 2 2" xfId="62174" xr:uid="{00000000-0005-0000-0000-0000D6790000}"/>
    <cellStyle name="Normal 4 12 3 2 3" xfId="39943" xr:uid="{00000000-0005-0000-0000-0000D7790000}"/>
    <cellStyle name="Normal 4 12 3 3" xfId="22425" xr:uid="{00000000-0005-0000-0000-0000D8790000}"/>
    <cellStyle name="Normal 4 12 3 3 2" xfId="54296" xr:uid="{00000000-0005-0000-0000-0000D9790000}"/>
    <cellStyle name="Normal 4 12 3 4" xfId="39942" xr:uid="{00000000-0005-0000-0000-0000DA790000}"/>
    <cellStyle name="Normal 4 12 4" xfId="8065" xr:uid="{00000000-0005-0000-0000-0000DB790000}"/>
    <cellStyle name="Normal 4 12 4 2" xfId="26364" xr:uid="{00000000-0005-0000-0000-0000DC790000}"/>
    <cellStyle name="Normal 4 12 4 2 2" xfId="58235" xr:uid="{00000000-0005-0000-0000-0000DD790000}"/>
    <cellStyle name="Normal 4 12 4 3" xfId="39944" xr:uid="{00000000-0005-0000-0000-0000DE790000}"/>
    <cellStyle name="Normal 4 12 5" xfId="18486" xr:uid="{00000000-0005-0000-0000-0000DF790000}"/>
    <cellStyle name="Normal 4 12 5 2" xfId="50357" xr:uid="{00000000-0005-0000-0000-0000E0790000}"/>
    <cellStyle name="Normal 4 12 6" xfId="39937" xr:uid="{00000000-0005-0000-0000-0000E1790000}"/>
    <cellStyle name="Normal 4 13" xfId="8066" xr:uid="{00000000-0005-0000-0000-0000E2790000}"/>
    <cellStyle name="Normal 4 13 2" xfId="8067" xr:uid="{00000000-0005-0000-0000-0000E3790000}"/>
    <cellStyle name="Normal 4 13 2 2" xfId="8068" xr:uid="{00000000-0005-0000-0000-0000E4790000}"/>
    <cellStyle name="Normal 4 13 2 2 2" xfId="30305" xr:uid="{00000000-0005-0000-0000-0000E5790000}"/>
    <cellStyle name="Normal 4 13 2 2 2 2" xfId="62176" xr:uid="{00000000-0005-0000-0000-0000E6790000}"/>
    <cellStyle name="Normal 4 13 2 2 3" xfId="39947" xr:uid="{00000000-0005-0000-0000-0000E7790000}"/>
    <cellStyle name="Normal 4 13 2 3" xfId="22427" xr:uid="{00000000-0005-0000-0000-0000E8790000}"/>
    <cellStyle name="Normal 4 13 2 3 2" xfId="54298" xr:uid="{00000000-0005-0000-0000-0000E9790000}"/>
    <cellStyle name="Normal 4 13 2 4" xfId="39946" xr:uid="{00000000-0005-0000-0000-0000EA790000}"/>
    <cellStyle name="Normal 4 13 3" xfId="8069" xr:uid="{00000000-0005-0000-0000-0000EB790000}"/>
    <cellStyle name="Normal 4 13 3 2" xfId="26366" xr:uid="{00000000-0005-0000-0000-0000EC790000}"/>
    <cellStyle name="Normal 4 13 3 2 2" xfId="58237" xr:uid="{00000000-0005-0000-0000-0000ED790000}"/>
    <cellStyle name="Normal 4 13 3 3" xfId="39948" xr:uid="{00000000-0005-0000-0000-0000EE790000}"/>
    <cellStyle name="Normal 4 13 4" xfId="18488" xr:uid="{00000000-0005-0000-0000-0000EF790000}"/>
    <cellStyle name="Normal 4 13 4 2" xfId="50359" xr:uid="{00000000-0005-0000-0000-0000F0790000}"/>
    <cellStyle name="Normal 4 13 5" xfId="39945" xr:uid="{00000000-0005-0000-0000-0000F1790000}"/>
    <cellStyle name="Normal 4 14" xfId="8070" xr:uid="{00000000-0005-0000-0000-0000F2790000}"/>
    <cellStyle name="Normal 4 14 2" xfId="8071" xr:uid="{00000000-0005-0000-0000-0000F3790000}"/>
    <cellStyle name="Normal 4 14 2 2" xfId="28236" xr:uid="{00000000-0005-0000-0000-0000F4790000}"/>
    <cellStyle name="Normal 4 14 2 2 2" xfId="60107" xr:uid="{00000000-0005-0000-0000-0000F5790000}"/>
    <cellStyle name="Normal 4 14 2 3" xfId="39950" xr:uid="{00000000-0005-0000-0000-0000F6790000}"/>
    <cellStyle name="Normal 4 14 3" xfId="20358" xr:uid="{00000000-0005-0000-0000-0000F7790000}"/>
    <cellStyle name="Normal 4 14 3 2" xfId="52229" xr:uid="{00000000-0005-0000-0000-0000F8790000}"/>
    <cellStyle name="Normal 4 14 4" xfId="39949" xr:uid="{00000000-0005-0000-0000-0000F9790000}"/>
    <cellStyle name="Normal 4 15" xfId="8072" xr:uid="{00000000-0005-0000-0000-0000FA790000}"/>
    <cellStyle name="Normal 4 15 2" xfId="24297" xr:uid="{00000000-0005-0000-0000-0000FB790000}"/>
    <cellStyle name="Normal 4 15 2 2" xfId="56168" xr:uid="{00000000-0005-0000-0000-0000FC790000}"/>
    <cellStyle name="Normal 4 15 3" xfId="39951" xr:uid="{00000000-0005-0000-0000-0000FD790000}"/>
    <cellStyle name="Normal 4 16" xfId="16091" xr:uid="{00000000-0005-0000-0000-0000FE790000}"/>
    <cellStyle name="Normal 4 16 2" xfId="16419" xr:uid="{00000000-0005-0000-0000-0000FF790000}"/>
    <cellStyle name="Normal 4 16 2 2" xfId="48290" xr:uid="{00000000-0005-0000-0000-0000007A0000}"/>
    <cellStyle name="Normal 4 17" xfId="8009" xr:uid="{00000000-0005-0000-0000-0000017A0000}"/>
    <cellStyle name="Normal 4 17 2" xfId="39888" xr:uid="{00000000-0005-0000-0000-0000027A0000}"/>
    <cellStyle name="Normal 4 18" xfId="32182" xr:uid="{00000000-0005-0000-0000-0000037A0000}"/>
    <cellStyle name="Normal 4 2" xfId="146" xr:uid="{00000000-0005-0000-0000-0000047A0000}"/>
    <cellStyle name="Normal 4 2 10" xfId="8074" xr:uid="{00000000-0005-0000-0000-0000057A0000}"/>
    <cellStyle name="Normal 4 2 10 2" xfId="8075" xr:uid="{00000000-0005-0000-0000-0000067A0000}"/>
    <cellStyle name="Normal 4 2 10 2 2" xfId="8076" xr:uid="{00000000-0005-0000-0000-0000077A0000}"/>
    <cellStyle name="Normal 4 2 10 2 2 2" xfId="8077" xr:uid="{00000000-0005-0000-0000-0000087A0000}"/>
    <cellStyle name="Normal 4 2 10 2 2 2 2" xfId="8078" xr:uid="{00000000-0005-0000-0000-0000097A0000}"/>
    <cellStyle name="Normal 4 2 10 2 2 2 2 2" xfId="30308" xr:uid="{00000000-0005-0000-0000-00000A7A0000}"/>
    <cellStyle name="Normal 4 2 10 2 2 2 2 2 2" xfId="62179" xr:uid="{00000000-0005-0000-0000-00000B7A0000}"/>
    <cellStyle name="Normal 4 2 10 2 2 2 2 3" xfId="39957" xr:uid="{00000000-0005-0000-0000-00000C7A0000}"/>
    <cellStyle name="Normal 4 2 10 2 2 2 3" xfId="22430" xr:uid="{00000000-0005-0000-0000-00000D7A0000}"/>
    <cellStyle name="Normal 4 2 10 2 2 2 3 2" xfId="54301" xr:uid="{00000000-0005-0000-0000-00000E7A0000}"/>
    <cellStyle name="Normal 4 2 10 2 2 2 4" xfId="39956" xr:uid="{00000000-0005-0000-0000-00000F7A0000}"/>
    <cellStyle name="Normal 4 2 10 2 2 3" xfId="8079" xr:uid="{00000000-0005-0000-0000-0000107A0000}"/>
    <cellStyle name="Normal 4 2 10 2 2 3 2" xfId="26369" xr:uid="{00000000-0005-0000-0000-0000117A0000}"/>
    <cellStyle name="Normal 4 2 10 2 2 3 2 2" xfId="58240" xr:uid="{00000000-0005-0000-0000-0000127A0000}"/>
    <cellStyle name="Normal 4 2 10 2 2 3 3" xfId="39958" xr:uid="{00000000-0005-0000-0000-0000137A0000}"/>
    <cellStyle name="Normal 4 2 10 2 2 4" xfId="18491" xr:uid="{00000000-0005-0000-0000-0000147A0000}"/>
    <cellStyle name="Normal 4 2 10 2 2 4 2" xfId="50362" xr:uid="{00000000-0005-0000-0000-0000157A0000}"/>
    <cellStyle name="Normal 4 2 10 2 2 5" xfId="39955" xr:uid="{00000000-0005-0000-0000-0000167A0000}"/>
    <cellStyle name="Normal 4 2 10 2 3" xfId="8080" xr:uid="{00000000-0005-0000-0000-0000177A0000}"/>
    <cellStyle name="Normal 4 2 10 2 3 2" xfId="8081" xr:uid="{00000000-0005-0000-0000-0000187A0000}"/>
    <cellStyle name="Normal 4 2 10 2 3 2 2" xfId="30307" xr:uid="{00000000-0005-0000-0000-0000197A0000}"/>
    <cellStyle name="Normal 4 2 10 2 3 2 2 2" xfId="62178" xr:uid="{00000000-0005-0000-0000-00001A7A0000}"/>
    <cellStyle name="Normal 4 2 10 2 3 2 3" xfId="39960" xr:uid="{00000000-0005-0000-0000-00001B7A0000}"/>
    <cellStyle name="Normal 4 2 10 2 3 3" xfId="22429" xr:uid="{00000000-0005-0000-0000-00001C7A0000}"/>
    <cellStyle name="Normal 4 2 10 2 3 3 2" xfId="54300" xr:uid="{00000000-0005-0000-0000-00001D7A0000}"/>
    <cellStyle name="Normal 4 2 10 2 3 4" xfId="39959" xr:uid="{00000000-0005-0000-0000-00001E7A0000}"/>
    <cellStyle name="Normal 4 2 10 2 4" xfId="8082" xr:uid="{00000000-0005-0000-0000-00001F7A0000}"/>
    <cellStyle name="Normal 4 2 10 2 4 2" xfId="26368" xr:uid="{00000000-0005-0000-0000-0000207A0000}"/>
    <cellStyle name="Normal 4 2 10 2 4 2 2" xfId="58239" xr:uid="{00000000-0005-0000-0000-0000217A0000}"/>
    <cellStyle name="Normal 4 2 10 2 4 3" xfId="39961" xr:uid="{00000000-0005-0000-0000-0000227A0000}"/>
    <cellStyle name="Normal 4 2 10 2 5" xfId="18490" xr:uid="{00000000-0005-0000-0000-0000237A0000}"/>
    <cellStyle name="Normal 4 2 10 2 5 2" xfId="50361" xr:uid="{00000000-0005-0000-0000-0000247A0000}"/>
    <cellStyle name="Normal 4 2 10 2 6" xfId="39954" xr:uid="{00000000-0005-0000-0000-0000257A0000}"/>
    <cellStyle name="Normal 4 2 10 3" xfId="8083" xr:uid="{00000000-0005-0000-0000-0000267A0000}"/>
    <cellStyle name="Normal 4 2 10 3 2" xfId="8084" xr:uid="{00000000-0005-0000-0000-0000277A0000}"/>
    <cellStyle name="Normal 4 2 10 3 2 2" xfId="8085" xr:uid="{00000000-0005-0000-0000-0000287A0000}"/>
    <cellStyle name="Normal 4 2 10 3 2 2 2" xfId="30309" xr:uid="{00000000-0005-0000-0000-0000297A0000}"/>
    <cellStyle name="Normal 4 2 10 3 2 2 2 2" xfId="62180" xr:uid="{00000000-0005-0000-0000-00002A7A0000}"/>
    <cellStyle name="Normal 4 2 10 3 2 2 3" xfId="39964" xr:uid="{00000000-0005-0000-0000-00002B7A0000}"/>
    <cellStyle name="Normal 4 2 10 3 2 3" xfId="22431" xr:uid="{00000000-0005-0000-0000-00002C7A0000}"/>
    <cellStyle name="Normal 4 2 10 3 2 3 2" xfId="54302" xr:uid="{00000000-0005-0000-0000-00002D7A0000}"/>
    <cellStyle name="Normal 4 2 10 3 2 4" xfId="39963" xr:uid="{00000000-0005-0000-0000-00002E7A0000}"/>
    <cellStyle name="Normal 4 2 10 3 3" xfId="8086" xr:uid="{00000000-0005-0000-0000-00002F7A0000}"/>
    <cellStyle name="Normal 4 2 10 3 3 2" xfId="26370" xr:uid="{00000000-0005-0000-0000-0000307A0000}"/>
    <cellStyle name="Normal 4 2 10 3 3 2 2" xfId="58241" xr:uid="{00000000-0005-0000-0000-0000317A0000}"/>
    <cellStyle name="Normal 4 2 10 3 3 3" xfId="39965" xr:uid="{00000000-0005-0000-0000-0000327A0000}"/>
    <cellStyle name="Normal 4 2 10 3 4" xfId="18492" xr:uid="{00000000-0005-0000-0000-0000337A0000}"/>
    <cellStyle name="Normal 4 2 10 3 4 2" xfId="50363" xr:uid="{00000000-0005-0000-0000-0000347A0000}"/>
    <cellStyle name="Normal 4 2 10 3 5" xfId="39962" xr:uid="{00000000-0005-0000-0000-0000357A0000}"/>
    <cellStyle name="Normal 4 2 10 4" xfId="8087" xr:uid="{00000000-0005-0000-0000-0000367A0000}"/>
    <cellStyle name="Normal 4 2 10 4 2" xfId="8088" xr:uid="{00000000-0005-0000-0000-0000377A0000}"/>
    <cellStyle name="Normal 4 2 10 4 2 2" xfId="30306" xr:uid="{00000000-0005-0000-0000-0000387A0000}"/>
    <cellStyle name="Normal 4 2 10 4 2 2 2" xfId="62177" xr:uid="{00000000-0005-0000-0000-0000397A0000}"/>
    <cellStyle name="Normal 4 2 10 4 2 3" xfId="39967" xr:uid="{00000000-0005-0000-0000-00003A7A0000}"/>
    <cellStyle name="Normal 4 2 10 4 3" xfId="22428" xr:uid="{00000000-0005-0000-0000-00003B7A0000}"/>
    <cellStyle name="Normal 4 2 10 4 3 2" xfId="54299" xr:uid="{00000000-0005-0000-0000-00003C7A0000}"/>
    <cellStyle name="Normal 4 2 10 4 4" xfId="39966" xr:uid="{00000000-0005-0000-0000-00003D7A0000}"/>
    <cellStyle name="Normal 4 2 10 5" xfId="8089" xr:uid="{00000000-0005-0000-0000-00003E7A0000}"/>
    <cellStyle name="Normal 4 2 10 5 2" xfId="26367" xr:uid="{00000000-0005-0000-0000-00003F7A0000}"/>
    <cellStyle name="Normal 4 2 10 5 2 2" xfId="58238" xr:uid="{00000000-0005-0000-0000-0000407A0000}"/>
    <cellStyle name="Normal 4 2 10 5 3" xfId="39968" xr:uid="{00000000-0005-0000-0000-0000417A0000}"/>
    <cellStyle name="Normal 4 2 10 6" xfId="18489" xr:uid="{00000000-0005-0000-0000-0000427A0000}"/>
    <cellStyle name="Normal 4 2 10 6 2" xfId="50360" xr:uid="{00000000-0005-0000-0000-0000437A0000}"/>
    <cellStyle name="Normal 4 2 10 7" xfId="39953" xr:uid="{00000000-0005-0000-0000-0000447A0000}"/>
    <cellStyle name="Normal 4 2 11" xfId="8090" xr:uid="{00000000-0005-0000-0000-0000457A0000}"/>
    <cellStyle name="Normal 4 2 11 2" xfId="8091" xr:uid="{00000000-0005-0000-0000-0000467A0000}"/>
    <cellStyle name="Normal 4 2 11 2 2" xfId="8092" xr:uid="{00000000-0005-0000-0000-0000477A0000}"/>
    <cellStyle name="Normal 4 2 11 2 2 2" xfId="8093" xr:uid="{00000000-0005-0000-0000-0000487A0000}"/>
    <cellStyle name="Normal 4 2 11 2 2 2 2" xfId="30311" xr:uid="{00000000-0005-0000-0000-0000497A0000}"/>
    <cellStyle name="Normal 4 2 11 2 2 2 2 2" xfId="62182" xr:uid="{00000000-0005-0000-0000-00004A7A0000}"/>
    <cellStyle name="Normal 4 2 11 2 2 2 3" xfId="39972" xr:uid="{00000000-0005-0000-0000-00004B7A0000}"/>
    <cellStyle name="Normal 4 2 11 2 2 3" xfId="22433" xr:uid="{00000000-0005-0000-0000-00004C7A0000}"/>
    <cellStyle name="Normal 4 2 11 2 2 3 2" xfId="54304" xr:uid="{00000000-0005-0000-0000-00004D7A0000}"/>
    <cellStyle name="Normal 4 2 11 2 2 4" xfId="39971" xr:uid="{00000000-0005-0000-0000-00004E7A0000}"/>
    <cellStyle name="Normal 4 2 11 2 3" xfId="8094" xr:uid="{00000000-0005-0000-0000-00004F7A0000}"/>
    <cellStyle name="Normal 4 2 11 2 3 2" xfId="26372" xr:uid="{00000000-0005-0000-0000-0000507A0000}"/>
    <cellStyle name="Normal 4 2 11 2 3 2 2" xfId="58243" xr:uid="{00000000-0005-0000-0000-0000517A0000}"/>
    <cellStyle name="Normal 4 2 11 2 3 3" xfId="39973" xr:uid="{00000000-0005-0000-0000-0000527A0000}"/>
    <cellStyle name="Normal 4 2 11 2 4" xfId="18494" xr:uid="{00000000-0005-0000-0000-0000537A0000}"/>
    <cellStyle name="Normal 4 2 11 2 4 2" xfId="50365" xr:uid="{00000000-0005-0000-0000-0000547A0000}"/>
    <cellStyle name="Normal 4 2 11 2 5" xfId="39970" xr:uid="{00000000-0005-0000-0000-0000557A0000}"/>
    <cellStyle name="Normal 4 2 11 3" xfId="8095" xr:uid="{00000000-0005-0000-0000-0000567A0000}"/>
    <cellStyle name="Normal 4 2 11 3 2" xfId="8096" xr:uid="{00000000-0005-0000-0000-0000577A0000}"/>
    <cellStyle name="Normal 4 2 11 3 2 2" xfId="30310" xr:uid="{00000000-0005-0000-0000-0000587A0000}"/>
    <cellStyle name="Normal 4 2 11 3 2 2 2" xfId="62181" xr:uid="{00000000-0005-0000-0000-0000597A0000}"/>
    <cellStyle name="Normal 4 2 11 3 2 3" xfId="39975" xr:uid="{00000000-0005-0000-0000-00005A7A0000}"/>
    <cellStyle name="Normal 4 2 11 3 3" xfId="22432" xr:uid="{00000000-0005-0000-0000-00005B7A0000}"/>
    <cellStyle name="Normal 4 2 11 3 3 2" xfId="54303" xr:uid="{00000000-0005-0000-0000-00005C7A0000}"/>
    <cellStyle name="Normal 4 2 11 3 4" xfId="39974" xr:uid="{00000000-0005-0000-0000-00005D7A0000}"/>
    <cellStyle name="Normal 4 2 11 4" xfId="8097" xr:uid="{00000000-0005-0000-0000-00005E7A0000}"/>
    <cellStyle name="Normal 4 2 11 4 2" xfId="26371" xr:uid="{00000000-0005-0000-0000-00005F7A0000}"/>
    <cellStyle name="Normal 4 2 11 4 2 2" xfId="58242" xr:uid="{00000000-0005-0000-0000-0000607A0000}"/>
    <cellStyle name="Normal 4 2 11 4 3" xfId="39976" xr:uid="{00000000-0005-0000-0000-0000617A0000}"/>
    <cellStyle name="Normal 4 2 11 5" xfId="18493" xr:uid="{00000000-0005-0000-0000-0000627A0000}"/>
    <cellStyle name="Normal 4 2 11 5 2" xfId="50364" xr:uid="{00000000-0005-0000-0000-0000637A0000}"/>
    <cellStyle name="Normal 4 2 11 6" xfId="39969" xr:uid="{00000000-0005-0000-0000-0000647A0000}"/>
    <cellStyle name="Normal 4 2 12" xfId="8098" xr:uid="{00000000-0005-0000-0000-0000657A0000}"/>
    <cellStyle name="Normal 4 2 12 2" xfId="8099" xr:uid="{00000000-0005-0000-0000-0000667A0000}"/>
    <cellStyle name="Normal 4 2 12 2 2" xfId="8100" xr:uid="{00000000-0005-0000-0000-0000677A0000}"/>
    <cellStyle name="Normal 4 2 12 2 2 2" xfId="30312" xr:uid="{00000000-0005-0000-0000-0000687A0000}"/>
    <cellStyle name="Normal 4 2 12 2 2 2 2" xfId="62183" xr:uid="{00000000-0005-0000-0000-0000697A0000}"/>
    <cellStyle name="Normal 4 2 12 2 2 3" xfId="39979" xr:uid="{00000000-0005-0000-0000-00006A7A0000}"/>
    <cellStyle name="Normal 4 2 12 2 3" xfId="22434" xr:uid="{00000000-0005-0000-0000-00006B7A0000}"/>
    <cellStyle name="Normal 4 2 12 2 3 2" xfId="54305" xr:uid="{00000000-0005-0000-0000-00006C7A0000}"/>
    <cellStyle name="Normal 4 2 12 2 4" xfId="39978" xr:uid="{00000000-0005-0000-0000-00006D7A0000}"/>
    <cellStyle name="Normal 4 2 12 3" xfId="8101" xr:uid="{00000000-0005-0000-0000-00006E7A0000}"/>
    <cellStyle name="Normal 4 2 12 3 2" xfId="26373" xr:uid="{00000000-0005-0000-0000-00006F7A0000}"/>
    <cellStyle name="Normal 4 2 12 3 2 2" xfId="58244" xr:uid="{00000000-0005-0000-0000-0000707A0000}"/>
    <cellStyle name="Normal 4 2 12 3 3" xfId="39980" xr:uid="{00000000-0005-0000-0000-0000717A0000}"/>
    <cellStyle name="Normal 4 2 12 4" xfId="18495" xr:uid="{00000000-0005-0000-0000-0000727A0000}"/>
    <cellStyle name="Normal 4 2 12 4 2" xfId="50366" xr:uid="{00000000-0005-0000-0000-0000737A0000}"/>
    <cellStyle name="Normal 4 2 12 5" xfId="39977" xr:uid="{00000000-0005-0000-0000-0000747A0000}"/>
    <cellStyle name="Normal 4 2 13" xfId="8102" xr:uid="{00000000-0005-0000-0000-0000757A0000}"/>
    <cellStyle name="Normal 4 2 13 2" xfId="8103" xr:uid="{00000000-0005-0000-0000-0000767A0000}"/>
    <cellStyle name="Normal 4 2 13 2 2" xfId="28237" xr:uid="{00000000-0005-0000-0000-0000777A0000}"/>
    <cellStyle name="Normal 4 2 13 2 2 2" xfId="60108" xr:uid="{00000000-0005-0000-0000-0000787A0000}"/>
    <cellStyle name="Normal 4 2 13 2 3" xfId="39982" xr:uid="{00000000-0005-0000-0000-0000797A0000}"/>
    <cellStyle name="Normal 4 2 13 3" xfId="20359" xr:uid="{00000000-0005-0000-0000-00007A7A0000}"/>
    <cellStyle name="Normal 4 2 13 3 2" xfId="52230" xr:uid="{00000000-0005-0000-0000-00007B7A0000}"/>
    <cellStyle name="Normal 4 2 13 4" xfId="39981" xr:uid="{00000000-0005-0000-0000-00007C7A0000}"/>
    <cellStyle name="Normal 4 2 14" xfId="8104" xr:uid="{00000000-0005-0000-0000-00007D7A0000}"/>
    <cellStyle name="Normal 4 2 14 2" xfId="24298" xr:uid="{00000000-0005-0000-0000-00007E7A0000}"/>
    <cellStyle name="Normal 4 2 14 2 2" xfId="56169" xr:uid="{00000000-0005-0000-0000-00007F7A0000}"/>
    <cellStyle name="Normal 4 2 14 3" xfId="39983" xr:uid="{00000000-0005-0000-0000-0000807A0000}"/>
    <cellStyle name="Normal 4 2 15" xfId="16096" xr:uid="{00000000-0005-0000-0000-0000817A0000}"/>
    <cellStyle name="Normal 4 2 15 2" xfId="16420" xr:uid="{00000000-0005-0000-0000-0000827A0000}"/>
    <cellStyle name="Normal 4 2 15 2 2" xfId="48291" xr:uid="{00000000-0005-0000-0000-0000837A0000}"/>
    <cellStyle name="Normal 4 2 16" xfId="8073" xr:uid="{00000000-0005-0000-0000-0000847A0000}"/>
    <cellStyle name="Normal 4 2 16 2" xfId="39952" xr:uid="{00000000-0005-0000-0000-0000857A0000}"/>
    <cellStyle name="Normal 4 2 17" xfId="32183" xr:uid="{00000000-0005-0000-0000-0000867A0000}"/>
    <cellStyle name="Normal 4 2 2" xfId="198" xr:uid="{00000000-0005-0000-0000-0000877A0000}"/>
    <cellStyle name="Normal 4 2 2 10" xfId="8106" xr:uid="{00000000-0005-0000-0000-0000887A0000}"/>
    <cellStyle name="Normal 4 2 2 10 2" xfId="8107" xr:uid="{00000000-0005-0000-0000-0000897A0000}"/>
    <cellStyle name="Normal 4 2 2 10 2 2" xfId="8108" xr:uid="{00000000-0005-0000-0000-00008A7A0000}"/>
    <cellStyle name="Normal 4 2 2 10 2 2 2" xfId="8109" xr:uid="{00000000-0005-0000-0000-00008B7A0000}"/>
    <cellStyle name="Normal 4 2 2 10 2 2 2 2" xfId="30314" xr:uid="{00000000-0005-0000-0000-00008C7A0000}"/>
    <cellStyle name="Normal 4 2 2 10 2 2 2 2 2" xfId="62185" xr:uid="{00000000-0005-0000-0000-00008D7A0000}"/>
    <cellStyle name="Normal 4 2 2 10 2 2 2 3" xfId="39988" xr:uid="{00000000-0005-0000-0000-00008E7A0000}"/>
    <cellStyle name="Normal 4 2 2 10 2 2 3" xfId="22436" xr:uid="{00000000-0005-0000-0000-00008F7A0000}"/>
    <cellStyle name="Normal 4 2 2 10 2 2 3 2" xfId="54307" xr:uid="{00000000-0005-0000-0000-0000907A0000}"/>
    <cellStyle name="Normal 4 2 2 10 2 2 4" xfId="39987" xr:uid="{00000000-0005-0000-0000-0000917A0000}"/>
    <cellStyle name="Normal 4 2 2 10 2 3" xfId="8110" xr:uid="{00000000-0005-0000-0000-0000927A0000}"/>
    <cellStyle name="Normal 4 2 2 10 2 3 2" xfId="26375" xr:uid="{00000000-0005-0000-0000-0000937A0000}"/>
    <cellStyle name="Normal 4 2 2 10 2 3 2 2" xfId="58246" xr:uid="{00000000-0005-0000-0000-0000947A0000}"/>
    <cellStyle name="Normal 4 2 2 10 2 3 3" xfId="39989" xr:uid="{00000000-0005-0000-0000-0000957A0000}"/>
    <cellStyle name="Normal 4 2 2 10 2 4" xfId="18497" xr:uid="{00000000-0005-0000-0000-0000967A0000}"/>
    <cellStyle name="Normal 4 2 2 10 2 4 2" xfId="50368" xr:uid="{00000000-0005-0000-0000-0000977A0000}"/>
    <cellStyle name="Normal 4 2 2 10 2 5" xfId="39986" xr:uid="{00000000-0005-0000-0000-0000987A0000}"/>
    <cellStyle name="Normal 4 2 2 10 3" xfId="8111" xr:uid="{00000000-0005-0000-0000-0000997A0000}"/>
    <cellStyle name="Normal 4 2 2 10 3 2" xfId="8112" xr:uid="{00000000-0005-0000-0000-00009A7A0000}"/>
    <cellStyle name="Normal 4 2 2 10 3 2 2" xfId="30313" xr:uid="{00000000-0005-0000-0000-00009B7A0000}"/>
    <cellStyle name="Normal 4 2 2 10 3 2 2 2" xfId="62184" xr:uid="{00000000-0005-0000-0000-00009C7A0000}"/>
    <cellStyle name="Normal 4 2 2 10 3 2 3" xfId="39991" xr:uid="{00000000-0005-0000-0000-00009D7A0000}"/>
    <cellStyle name="Normal 4 2 2 10 3 3" xfId="22435" xr:uid="{00000000-0005-0000-0000-00009E7A0000}"/>
    <cellStyle name="Normal 4 2 2 10 3 3 2" xfId="54306" xr:uid="{00000000-0005-0000-0000-00009F7A0000}"/>
    <cellStyle name="Normal 4 2 2 10 3 4" xfId="39990" xr:uid="{00000000-0005-0000-0000-0000A07A0000}"/>
    <cellStyle name="Normal 4 2 2 10 4" xfId="8113" xr:uid="{00000000-0005-0000-0000-0000A17A0000}"/>
    <cellStyle name="Normal 4 2 2 10 4 2" xfId="26374" xr:uid="{00000000-0005-0000-0000-0000A27A0000}"/>
    <cellStyle name="Normal 4 2 2 10 4 2 2" xfId="58245" xr:uid="{00000000-0005-0000-0000-0000A37A0000}"/>
    <cellStyle name="Normal 4 2 2 10 4 3" xfId="39992" xr:uid="{00000000-0005-0000-0000-0000A47A0000}"/>
    <cellStyle name="Normal 4 2 2 10 5" xfId="18496" xr:uid="{00000000-0005-0000-0000-0000A57A0000}"/>
    <cellStyle name="Normal 4 2 2 10 5 2" xfId="50367" xr:uid="{00000000-0005-0000-0000-0000A67A0000}"/>
    <cellStyle name="Normal 4 2 2 10 6" xfId="39985" xr:uid="{00000000-0005-0000-0000-0000A77A0000}"/>
    <cellStyle name="Normal 4 2 2 11" xfId="8114" xr:uid="{00000000-0005-0000-0000-0000A87A0000}"/>
    <cellStyle name="Normal 4 2 2 11 2" xfId="8115" xr:uid="{00000000-0005-0000-0000-0000A97A0000}"/>
    <cellStyle name="Normal 4 2 2 11 2 2" xfId="8116" xr:uid="{00000000-0005-0000-0000-0000AA7A0000}"/>
    <cellStyle name="Normal 4 2 2 11 2 2 2" xfId="30315" xr:uid="{00000000-0005-0000-0000-0000AB7A0000}"/>
    <cellStyle name="Normal 4 2 2 11 2 2 2 2" xfId="62186" xr:uid="{00000000-0005-0000-0000-0000AC7A0000}"/>
    <cellStyle name="Normal 4 2 2 11 2 2 3" xfId="39995" xr:uid="{00000000-0005-0000-0000-0000AD7A0000}"/>
    <cellStyle name="Normal 4 2 2 11 2 3" xfId="22437" xr:uid="{00000000-0005-0000-0000-0000AE7A0000}"/>
    <cellStyle name="Normal 4 2 2 11 2 3 2" xfId="54308" xr:uid="{00000000-0005-0000-0000-0000AF7A0000}"/>
    <cellStyle name="Normal 4 2 2 11 2 4" xfId="39994" xr:uid="{00000000-0005-0000-0000-0000B07A0000}"/>
    <cellStyle name="Normal 4 2 2 11 3" xfId="8117" xr:uid="{00000000-0005-0000-0000-0000B17A0000}"/>
    <cellStyle name="Normal 4 2 2 11 3 2" xfId="26376" xr:uid="{00000000-0005-0000-0000-0000B27A0000}"/>
    <cellStyle name="Normal 4 2 2 11 3 2 2" xfId="58247" xr:uid="{00000000-0005-0000-0000-0000B37A0000}"/>
    <cellStyle name="Normal 4 2 2 11 3 3" xfId="39996" xr:uid="{00000000-0005-0000-0000-0000B47A0000}"/>
    <cellStyle name="Normal 4 2 2 11 4" xfId="18498" xr:uid="{00000000-0005-0000-0000-0000B57A0000}"/>
    <cellStyle name="Normal 4 2 2 11 4 2" xfId="50369" xr:uid="{00000000-0005-0000-0000-0000B67A0000}"/>
    <cellStyle name="Normal 4 2 2 11 5" xfId="39993" xr:uid="{00000000-0005-0000-0000-0000B77A0000}"/>
    <cellStyle name="Normal 4 2 2 12" xfId="8118" xr:uid="{00000000-0005-0000-0000-0000B87A0000}"/>
    <cellStyle name="Normal 4 2 2 12 2" xfId="8119" xr:uid="{00000000-0005-0000-0000-0000B97A0000}"/>
    <cellStyle name="Normal 4 2 2 12 2 2" xfId="28241" xr:uid="{00000000-0005-0000-0000-0000BA7A0000}"/>
    <cellStyle name="Normal 4 2 2 12 2 2 2" xfId="60112" xr:uid="{00000000-0005-0000-0000-0000BB7A0000}"/>
    <cellStyle name="Normal 4 2 2 12 2 3" xfId="39998" xr:uid="{00000000-0005-0000-0000-0000BC7A0000}"/>
    <cellStyle name="Normal 4 2 2 12 3" xfId="20363" xr:uid="{00000000-0005-0000-0000-0000BD7A0000}"/>
    <cellStyle name="Normal 4 2 2 12 3 2" xfId="52234" xr:uid="{00000000-0005-0000-0000-0000BE7A0000}"/>
    <cellStyle name="Normal 4 2 2 12 4" xfId="39997" xr:uid="{00000000-0005-0000-0000-0000BF7A0000}"/>
    <cellStyle name="Normal 4 2 2 13" xfId="8120" xr:uid="{00000000-0005-0000-0000-0000C07A0000}"/>
    <cellStyle name="Normal 4 2 2 13 2" xfId="24302" xr:uid="{00000000-0005-0000-0000-0000C17A0000}"/>
    <cellStyle name="Normal 4 2 2 13 2 2" xfId="56173" xr:uid="{00000000-0005-0000-0000-0000C27A0000}"/>
    <cellStyle name="Normal 4 2 2 13 3" xfId="39999" xr:uid="{00000000-0005-0000-0000-0000C37A0000}"/>
    <cellStyle name="Normal 4 2 2 14" xfId="16424" xr:uid="{00000000-0005-0000-0000-0000C47A0000}"/>
    <cellStyle name="Normal 4 2 2 14 2" xfId="48295" xr:uid="{00000000-0005-0000-0000-0000C57A0000}"/>
    <cellStyle name="Normal 4 2 2 15" xfId="8105" xr:uid="{00000000-0005-0000-0000-0000C67A0000}"/>
    <cellStyle name="Normal 4 2 2 15 2" xfId="39984" xr:uid="{00000000-0005-0000-0000-0000C77A0000}"/>
    <cellStyle name="Normal 4 2 2 16" xfId="32188" xr:uid="{00000000-0005-0000-0000-0000C87A0000}"/>
    <cellStyle name="Normal 4 2 2 2" xfId="217" xr:uid="{00000000-0005-0000-0000-0000C97A0000}"/>
    <cellStyle name="Normal 4 2 2 2 10" xfId="8122" xr:uid="{00000000-0005-0000-0000-0000CA7A0000}"/>
    <cellStyle name="Normal 4 2 2 2 10 2" xfId="8123" xr:uid="{00000000-0005-0000-0000-0000CB7A0000}"/>
    <cellStyle name="Normal 4 2 2 2 10 2 2" xfId="28249" xr:uid="{00000000-0005-0000-0000-0000CC7A0000}"/>
    <cellStyle name="Normal 4 2 2 2 10 2 2 2" xfId="60120" xr:uid="{00000000-0005-0000-0000-0000CD7A0000}"/>
    <cellStyle name="Normal 4 2 2 2 10 2 3" xfId="40002" xr:uid="{00000000-0005-0000-0000-0000CE7A0000}"/>
    <cellStyle name="Normal 4 2 2 2 10 3" xfId="20371" xr:uid="{00000000-0005-0000-0000-0000CF7A0000}"/>
    <cellStyle name="Normal 4 2 2 2 10 3 2" xfId="52242" xr:uid="{00000000-0005-0000-0000-0000D07A0000}"/>
    <cellStyle name="Normal 4 2 2 2 10 4" xfId="40001" xr:uid="{00000000-0005-0000-0000-0000D17A0000}"/>
    <cellStyle name="Normal 4 2 2 2 11" xfId="8124" xr:uid="{00000000-0005-0000-0000-0000D27A0000}"/>
    <cellStyle name="Normal 4 2 2 2 11 2" xfId="24310" xr:uid="{00000000-0005-0000-0000-0000D37A0000}"/>
    <cellStyle name="Normal 4 2 2 2 11 2 2" xfId="56181" xr:uid="{00000000-0005-0000-0000-0000D47A0000}"/>
    <cellStyle name="Normal 4 2 2 2 11 3" xfId="40003" xr:uid="{00000000-0005-0000-0000-0000D57A0000}"/>
    <cellStyle name="Normal 4 2 2 2 12" xfId="16432" xr:uid="{00000000-0005-0000-0000-0000D67A0000}"/>
    <cellStyle name="Normal 4 2 2 2 12 2" xfId="48303" xr:uid="{00000000-0005-0000-0000-0000D77A0000}"/>
    <cellStyle name="Normal 4 2 2 2 13" xfId="8121" xr:uid="{00000000-0005-0000-0000-0000D87A0000}"/>
    <cellStyle name="Normal 4 2 2 2 13 2" xfId="40000" xr:uid="{00000000-0005-0000-0000-0000D97A0000}"/>
    <cellStyle name="Normal 4 2 2 2 14" xfId="32197" xr:uid="{00000000-0005-0000-0000-0000DA7A0000}"/>
    <cellStyle name="Normal 4 2 2 2 2" xfId="8125" xr:uid="{00000000-0005-0000-0000-0000DB7A0000}"/>
    <cellStyle name="Normal 4 2 2 2 2 10" xfId="8126" xr:uid="{00000000-0005-0000-0000-0000DC7A0000}"/>
    <cellStyle name="Normal 4 2 2 2 2 10 2" xfId="24351" xr:uid="{00000000-0005-0000-0000-0000DD7A0000}"/>
    <cellStyle name="Normal 4 2 2 2 2 10 2 2" xfId="56222" xr:uid="{00000000-0005-0000-0000-0000DE7A0000}"/>
    <cellStyle name="Normal 4 2 2 2 2 10 3" xfId="40005" xr:uid="{00000000-0005-0000-0000-0000DF7A0000}"/>
    <cellStyle name="Normal 4 2 2 2 2 11" xfId="16473" xr:uid="{00000000-0005-0000-0000-0000E07A0000}"/>
    <cellStyle name="Normal 4 2 2 2 2 11 2" xfId="48344" xr:uid="{00000000-0005-0000-0000-0000E17A0000}"/>
    <cellStyle name="Normal 4 2 2 2 2 12" xfId="40004" xr:uid="{00000000-0005-0000-0000-0000E27A0000}"/>
    <cellStyle name="Normal 4 2 2 2 2 2" xfId="8127" xr:uid="{00000000-0005-0000-0000-0000E37A0000}"/>
    <cellStyle name="Normal 4 2 2 2 2 2 10" xfId="40006" xr:uid="{00000000-0005-0000-0000-0000E47A0000}"/>
    <cellStyle name="Normal 4 2 2 2 2 2 2" xfId="8128" xr:uid="{00000000-0005-0000-0000-0000E57A0000}"/>
    <cellStyle name="Normal 4 2 2 2 2 2 2 2" xfId="8129" xr:uid="{00000000-0005-0000-0000-0000E67A0000}"/>
    <cellStyle name="Normal 4 2 2 2 2 2 2 2 2" xfId="8130" xr:uid="{00000000-0005-0000-0000-0000E77A0000}"/>
    <cellStyle name="Normal 4 2 2 2 2 2 2 2 2 2" xfId="8131" xr:uid="{00000000-0005-0000-0000-0000E87A0000}"/>
    <cellStyle name="Normal 4 2 2 2 2 2 2 2 2 2 2" xfId="8132" xr:uid="{00000000-0005-0000-0000-0000E97A0000}"/>
    <cellStyle name="Normal 4 2 2 2 2 2 2 2 2 2 2 2" xfId="8133" xr:uid="{00000000-0005-0000-0000-0000EA7A0000}"/>
    <cellStyle name="Normal 4 2 2 2 2 2 2 2 2 2 2 2 2" xfId="8134" xr:uid="{00000000-0005-0000-0000-0000EB7A0000}"/>
    <cellStyle name="Normal 4 2 2 2 2 2 2 2 2 2 2 2 2 2" xfId="30319" xr:uid="{00000000-0005-0000-0000-0000EC7A0000}"/>
    <cellStyle name="Normal 4 2 2 2 2 2 2 2 2 2 2 2 2 2 2" xfId="62190" xr:uid="{00000000-0005-0000-0000-0000ED7A0000}"/>
    <cellStyle name="Normal 4 2 2 2 2 2 2 2 2 2 2 2 2 3" xfId="40013" xr:uid="{00000000-0005-0000-0000-0000EE7A0000}"/>
    <cellStyle name="Normal 4 2 2 2 2 2 2 2 2 2 2 2 3" xfId="22441" xr:uid="{00000000-0005-0000-0000-0000EF7A0000}"/>
    <cellStyle name="Normal 4 2 2 2 2 2 2 2 2 2 2 2 3 2" xfId="54312" xr:uid="{00000000-0005-0000-0000-0000F07A0000}"/>
    <cellStyle name="Normal 4 2 2 2 2 2 2 2 2 2 2 2 4" xfId="40012" xr:uid="{00000000-0005-0000-0000-0000F17A0000}"/>
    <cellStyle name="Normal 4 2 2 2 2 2 2 2 2 2 2 3" xfId="8135" xr:uid="{00000000-0005-0000-0000-0000F27A0000}"/>
    <cellStyle name="Normal 4 2 2 2 2 2 2 2 2 2 2 3 2" xfId="26380" xr:uid="{00000000-0005-0000-0000-0000F37A0000}"/>
    <cellStyle name="Normal 4 2 2 2 2 2 2 2 2 2 2 3 2 2" xfId="58251" xr:uid="{00000000-0005-0000-0000-0000F47A0000}"/>
    <cellStyle name="Normal 4 2 2 2 2 2 2 2 2 2 2 3 3" xfId="40014" xr:uid="{00000000-0005-0000-0000-0000F57A0000}"/>
    <cellStyle name="Normal 4 2 2 2 2 2 2 2 2 2 2 4" xfId="18502" xr:uid="{00000000-0005-0000-0000-0000F67A0000}"/>
    <cellStyle name="Normal 4 2 2 2 2 2 2 2 2 2 2 4 2" xfId="50373" xr:uid="{00000000-0005-0000-0000-0000F77A0000}"/>
    <cellStyle name="Normal 4 2 2 2 2 2 2 2 2 2 2 5" xfId="40011" xr:uid="{00000000-0005-0000-0000-0000F87A0000}"/>
    <cellStyle name="Normal 4 2 2 2 2 2 2 2 2 2 3" xfId="8136" xr:uid="{00000000-0005-0000-0000-0000F97A0000}"/>
    <cellStyle name="Normal 4 2 2 2 2 2 2 2 2 2 3 2" xfId="8137" xr:uid="{00000000-0005-0000-0000-0000FA7A0000}"/>
    <cellStyle name="Normal 4 2 2 2 2 2 2 2 2 2 3 2 2" xfId="30318" xr:uid="{00000000-0005-0000-0000-0000FB7A0000}"/>
    <cellStyle name="Normal 4 2 2 2 2 2 2 2 2 2 3 2 2 2" xfId="62189" xr:uid="{00000000-0005-0000-0000-0000FC7A0000}"/>
    <cellStyle name="Normal 4 2 2 2 2 2 2 2 2 2 3 2 3" xfId="40016" xr:uid="{00000000-0005-0000-0000-0000FD7A0000}"/>
    <cellStyle name="Normal 4 2 2 2 2 2 2 2 2 2 3 3" xfId="22440" xr:uid="{00000000-0005-0000-0000-0000FE7A0000}"/>
    <cellStyle name="Normal 4 2 2 2 2 2 2 2 2 2 3 3 2" xfId="54311" xr:uid="{00000000-0005-0000-0000-0000FF7A0000}"/>
    <cellStyle name="Normal 4 2 2 2 2 2 2 2 2 2 3 4" xfId="40015" xr:uid="{00000000-0005-0000-0000-0000007B0000}"/>
    <cellStyle name="Normal 4 2 2 2 2 2 2 2 2 2 4" xfId="8138" xr:uid="{00000000-0005-0000-0000-0000017B0000}"/>
    <cellStyle name="Normal 4 2 2 2 2 2 2 2 2 2 4 2" xfId="26379" xr:uid="{00000000-0005-0000-0000-0000027B0000}"/>
    <cellStyle name="Normal 4 2 2 2 2 2 2 2 2 2 4 2 2" xfId="58250" xr:uid="{00000000-0005-0000-0000-0000037B0000}"/>
    <cellStyle name="Normal 4 2 2 2 2 2 2 2 2 2 4 3" xfId="40017" xr:uid="{00000000-0005-0000-0000-0000047B0000}"/>
    <cellStyle name="Normal 4 2 2 2 2 2 2 2 2 2 5" xfId="18501" xr:uid="{00000000-0005-0000-0000-0000057B0000}"/>
    <cellStyle name="Normal 4 2 2 2 2 2 2 2 2 2 5 2" xfId="50372" xr:uid="{00000000-0005-0000-0000-0000067B0000}"/>
    <cellStyle name="Normal 4 2 2 2 2 2 2 2 2 2 6" xfId="40010" xr:uid="{00000000-0005-0000-0000-0000077B0000}"/>
    <cellStyle name="Normal 4 2 2 2 2 2 2 2 2 3" xfId="8139" xr:uid="{00000000-0005-0000-0000-0000087B0000}"/>
    <cellStyle name="Normal 4 2 2 2 2 2 2 2 2 3 2" xfId="8140" xr:uid="{00000000-0005-0000-0000-0000097B0000}"/>
    <cellStyle name="Normal 4 2 2 2 2 2 2 2 2 3 2 2" xfId="8141" xr:uid="{00000000-0005-0000-0000-00000A7B0000}"/>
    <cellStyle name="Normal 4 2 2 2 2 2 2 2 2 3 2 2 2" xfId="30320" xr:uid="{00000000-0005-0000-0000-00000B7B0000}"/>
    <cellStyle name="Normal 4 2 2 2 2 2 2 2 2 3 2 2 2 2" xfId="62191" xr:uid="{00000000-0005-0000-0000-00000C7B0000}"/>
    <cellStyle name="Normal 4 2 2 2 2 2 2 2 2 3 2 2 3" xfId="40020" xr:uid="{00000000-0005-0000-0000-00000D7B0000}"/>
    <cellStyle name="Normal 4 2 2 2 2 2 2 2 2 3 2 3" xfId="22442" xr:uid="{00000000-0005-0000-0000-00000E7B0000}"/>
    <cellStyle name="Normal 4 2 2 2 2 2 2 2 2 3 2 3 2" xfId="54313" xr:uid="{00000000-0005-0000-0000-00000F7B0000}"/>
    <cellStyle name="Normal 4 2 2 2 2 2 2 2 2 3 2 4" xfId="40019" xr:uid="{00000000-0005-0000-0000-0000107B0000}"/>
    <cellStyle name="Normal 4 2 2 2 2 2 2 2 2 3 3" xfId="8142" xr:uid="{00000000-0005-0000-0000-0000117B0000}"/>
    <cellStyle name="Normal 4 2 2 2 2 2 2 2 2 3 3 2" xfId="26381" xr:uid="{00000000-0005-0000-0000-0000127B0000}"/>
    <cellStyle name="Normal 4 2 2 2 2 2 2 2 2 3 3 2 2" xfId="58252" xr:uid="{00000000-0005-0000-0000-0000137B0000}"/>
    <cellStyle name="Normal 4 2 2 2 2 2 2 2 2 3 3 3" xfId="40021" xr:uid="{00000000-0005-0000-0000-0000147B0000}"/>
    <cellStyle name="Normal 4 2 2 2 2 2 2 2 2 3 4" xfId="18503" xr:uid="{00000000-0005-0000-0000-0000157B0000}"/>
    <cellStyle name="Normal 4 2 2 2 2 2 2 2 2 3 4 2" xfId="50374" xr:uid="{00000000-0005-0000-0000-0000167B0000}"/>
    <cellStyle name="Normal 4 2 2 2 2 2 2 2 2 3 5" xfId="40018" xr:uid="{00000000-0005-0000-0000-0000177B0000}"/>
    <cellStyle name="Normal 4 2 2 2 2 2 2 2 2 4" xfId="8143" xr:uid="{00000000-0005-0000-0000-0000187B0000}"/>
    <cellStyle name="Normal 4 2 2 2 2 2 2 2 2 4 2" xfId="8144" xr:uid="{00000000-0005-0000-0000-0000197B0000}"/>
    <cellStyle name="Normal 4 2 2 2 2 2 2 2 2 4 2 2" xfId="30317" xr:uid="{00000000-0005-0000-0000-00001A7B0000}"/>
    <cellStyle name="Normal 4 2 2 2 2 2 2 2 2 4 2 2 2" xfId="62188" xr:uid="{00000000-0005-0000-0000-00001B7B0000}"/>
    <cellStyle name="Normal 4 2 2 2 2 2 2 2 2 4 2 3" xfId="40023" xr:uid="{00000000-0005-0000-0000-00001C7B0000}"/>
    <cellStyle name="Normal 4 2 2 2 2 2 2 2 2 4 3" xfId="22439" xr:uid="{00000000-0005-0000-0000-00001D7B0000}"/>
    <cellStyle name="Normal 4 2 2 2 2 2 2 2 2 4 3 2" xfId="54310" xr:uid="{00000000-0005-0000-0000-00001E7B0000}"/>
    <cellStyle name="Normal 4 2 2 2 2 2 2 2 2 4 4" xfId="40022" xr:uid="{00000000-0005-0000-0000-00001F7B0000}"/>
    <cellStyle name="Normal 4 2 2 2 2 2 2 2 2 5" xfId="8145" xr:uid="{00000000-0005-0000-0000-0000207B0000}"/>
    <cellStyle name="Normal 4 2 2 2 2 2 2 2 2 5 2" xfId="26378" xr:uid="{00000000-0005-0000-0000-0000217B0000}"/>
    <cellStyle name="Normal 4 2 2 2 2 2 2 2 2 5 2 2" xfId="58249" xr:uid="{00000000-0005-0000-0000-0000227B0000}"/>
    <cellStyle name="Normal 4 2 2 2 2 2 2 2 2 5 3" xfId="40024" xr:uid="{00000000-0005-0000-0000-0000237B0000}"/>
    <cellStyle name="Normal 4 2 2 2 2 2 2 2 2 6" xfId="18500" xr:uid="{00000000-0005-0000-0000-0000247B0000}"/>
    <cellStyle name="Normal 4 2 2 2 2 2 2 2 2 6 2" xfId="50371" xr:uid="{00000000-0005-0000-0000-0000257B0000}"/>
    <cellStyle name="Normal 4 2 2 2 2 2 2 2 2 7" xfId="40009" xr:uid="{00000000-0005-0000-0000-0000267B0000}"/>
    <cellStyle name="Normal 4 2 2 2 2 2 2 2 3" xfId="8146" xr:uid="{00000000-0005-0000-0000-0000277B0000}"/>
    <cellStyle name="Normal 4 2 2 2 2 2 2 2 3 2" xfId="8147" xr:uid="{00000000-0005-0000-0000-0000287B0000}"/>
    <cellStyle name="Normal 4 2 2 2 2 2 2 2 3 2 2" xfId="8148" xr:uid="{00000000-0005-0000-0000-0000297B0000}"/>
    <cellStyle name="Normal 4 2 2 2 2 2 2 2 3 2 2 2" xfId="8149" xr:uid="{00000000-0005-0000-0000-00002A7B0000}"/>
    <cellStyle name="Normal 4 2 2 2 2 2 2 2 3 2 2 2 2" xfId="30322" xr:uid="{00000000-0005-0000-0000-00002B7B0000}"/>
    <cellStyle name="Normal 4 2 2 2 2 2 2 2 3 2 2 2 2 2" xfId="62193" xr:uid="{00000000-0005-0000-0000-00002C7B0000}"/>
    <cellStyle name="Normal 4 2 2 2 2 2 2 2 3 2 2 2 3" xfId="40028" xr:uid="{00000000-0005-0000-0000-00002D7B0000}"/>
    <cellStyle name="Normal 4 2 2 2 2 2 2 2 3 2 2 3" xfId="22444" xr:uid="{00000000-0005-0000-0000-00002E7B0000}"/>
    <cellStyle name="Normal 4 2 2 2 2 2 2 2 3 2 2 3 2" xfId="54315" xr:uid="{00000000-0005-0000-0000-00002F7B0000}"/>
    <cellStyle name="Normal 4 2 2 2 2 2 2 2 3 2 2 4" xfId="40027" xr:uid="{00000000-0005-0000-0000-0000307B0000}"/>
    <cellStyle name="Normal 4 2 2 2 2 2 2 2 3 2 3" xfId="8150" xr:uid="{00000000-0005-0000-0000-0000317B0000}"/>
    <cellStyle name="Normal 4 2 2 2 2 2 2 2 3 2 3 2" xfId="26383" xr:uid="{00000000-0005-0000-0000-0000327B0000}"/>
    <cellStyle name="Normal 4 2 2 2 2 2 2 2 3 2 3 2 2" xfId="58254" xr:uid="{00000000-0005-0000-0000-0000337B0000}"/>
    <cellStyle name="Normal 4 2 2 2 2 2 2 2 3 2 3 3" xfId="40029" xr:uid="{00000000-0005-0000-0000-0000347B0000}"/>
    <cellStyle name="Normal 4 2 2 2 2 2 2 2 3 2 4" xfId="18505" xr:uid="{00000000-0005-0000-0000-0000357B0000}"/>
    <cellStyle name="Normal 4 2 2 2 2 2 2 2 3 2 4 2" xfId="50376" xr:uid="{00000000-0005-0000-0000-0000367B0000}"/>
    <cellStyle name="Normal 4 2 2 2 2 2 2 2 3 2 5" xfId="40026" xr:uid="{00000000-0005-0000-0000-0000377B0000}"/>
    <cellStyle name="Normal 4 2 2 2 2 2 2 2 3 3" xfId="8151" xr:uid="{00000000-0005-0000-0000-0000387B0000}"/>
    <cellStyle name="Normal 4 2 2 2 2 2 2 2 3 3 2" xfId="8152" xr:uid="{00000000-0005-0000-0000-0000397B0000}"/>
    <cellStyle name="Normal 4 2 2 2 2 2 2 2 3 3 2 2" xfId="30321" xr:uid="{00000000-0005-0000-0000-00003A7B0000}"/>
    <cellStyle name="Normal 4 2 2 2 2 2 2 2 3 3 2 2 2" xfId="62192" xr:uid="{00000000-0005-0000-0000-00003B7B0000}"/>
    <cellStyle name="Normal 4 2 2 2 2 2 2 2 3 3 2 3" xfId="40031" xr:uid="{00000000-0005-0000-0000-00003C7B0000}"/>
    <cellStyle name="Normal 4 2 2 2 2 2 2 2 3 3 3" xfId="22443" xr:uid="{00000000-0005-0000-0000-00003D7B0000}"/>
    <cellStyle name="Normal 4 2 2 2 2 2 2 2 3 3 3 2" xfId="54314" xr:uid="{00000000-0005-0000-0000-00003E7B0000}"/>
    <cellStyle name="Normal 4 2 2 2 2 2 2 2 3 3 4" xfId="40030" xr:uid="{00000000-0005-0000-0000-00003F7B0000}"/>
    <cellStyle name="Normal 4 2 2 2 2 2 2 2 3 4" xfId="8153" xr:uid="{00000000-0005-0000-0000-0000407B0000}"/>
    <cellStyle name="Normal 4 2 2 2 2 2 2 2 3 4 2" xfId="26382" xr:uid="{00000000-0005-0000-0000-0000417B0000}"/>
    <cellStyle name="Normal 4 2 2 2 2 2 2 2 3 4 2 2" xfId="58253" xr:uid="{00000000-0005-0000-0000-0000427B0000}"/>
    <cellStyle name="Normal 4 2 2 2 2 2 2 2 3 4 3" xfId="40032" xr:uid="{00000000-0005-0000-0000-0000437B0000}"/>
    <cellStyle name="Normal 4 2 2 2 2 2 2 2 3 5" xfId="18504" xr:uid="{00000000-0005-0000-0000-0000447B0000}"/>
    <cellStyle name="Normal 4 2 2 2 2 2 2 2 3 5 2" xfId="50375" xr:uid="{00000000-0005-0000-0000-0000457B0000}"/>
    <cellStyle name="Normal 4 2 2 2 2 2 2 2 3 6" xfId="40025" xr:uid="{00000000-0005-0000-0000-0000467B0000}"/>
    <cellStyle name="Normal 4 2 2 2 2 2 2 2 4" xfId="8154" xr:uid="{00000000-0005-0000-0000-0000477B0000}"/>
    <cellStyle name="Normal 4 2 2 2 2 2 2 2 4 2" xfId="8155" xr:uid="{00000000-0005-0000-0000-0000487B0000}"/>
    <cellStyle name="Normal 4 2 2 2 2 2 2 2 4 2 2" xfId="8156" xr:uid="{00000000-0005-0000-0000-0000497B0000}"/>
    <cellStyle name="Normal 4 2 2 2 2 2 2 2 4 2 2 2" xfId="30323" xr:uid="{00000000-0005-0000-0000-00004A7B0000}"/>
    <cellStyle name="Normal 4 2 2 2 2 2 2 2 4 2 2 2 2" xfId="62194" xr:uid="{00000000-0005-0000-0000-00004B7B0000}"/>
    <cellStyle name="Normal 4 2 2 2 2 2 2 2 4 2 2 3" xfId="40035" xr:uid="{00000000-0005-0000-0000-00004C7B0000}"/>
    <cellStyle name="Normal 4 2 2 2 2 2 2 2 4 2 3" xfId="22445" xr:uid="{00000000-0005-0000-0000-00004D7B0000}"/>
    <cellStyle name="Normal 4 2 2 2 2 2 2 2 4 2 3 2" xfId="54316" xr:uid="{00000000-0005-0000-0000-00004E7B0000}"/>
    <cellStyle name="Normal 4 2 2 2 2 2 2 2 4 2 4" xfId="40034" xr:uid="{00000000-0005-0000-0000-00004F7B0000}"/>
    <cellStyle name="Normal 4 2 2 2 2 2 2 2 4 3" xfId="8157" xr:uid="{00000000-0005-0000-0000-0000507B0000}"/>
    <cellStyle name="Normal 4 2 2 2 2 2 2 2 4 3 2" xfId="26384" xr:uid="{00000000-0005-0000-0000-0000517B0000}"/>
    <cellStyle name="Normal 4 2 2 2 2 2 2 2 4 3 2 2" xfId="58255" xr:uid="{00000000-0005-0000-0000-0000527B0000}"/>
    <cellStyle name="Normal 4 2 2 2 2 2 2 2 4 3 3" xfId="40036" xr:uid="{00000000-0005-0000-0000-0000537B0000}"/>
    <cellStyle name="Normal 4 2 2 2 2 2 2 2 4 4" xfId="18506" xr:uid="{00000000-0005-0000-0000-0000547B0000}"/>
    <cellStyle name="Normal 4 2 2 2 2 2 2 2 4 4 2" xfId="50377" xr:uid="{00000000-0005-0000-0000-0000557B0000}"/>
    <cellStyle name="Normal 4 2 2 2 2 2 2 2 4 5" xfId="40033" xr:uid="{00000000-0005-0000-0000-0000567B0000}"/>
    <cellStyle name="Normal 4 2 2 2 2 2 2 2 5" xfId="8158" xr:uid="{00000000-0005-0000-0000-0000577B0000}"/>
    <cellStyle name="Normal 4 2 2 2 2 2 2 2 5 2" xfId="8159" xr:uid="{00000000-0005-0000-0000-0000587B0000}"/>
    <cellStyle name="Normal 4 2 2 2 2 2 2 2 5 2 2" xfId="30316" xr:uid="{00000000-0005-0000-0000-0000597B0000}"/>
    <cellStyle name="Normal 4 2 2 2 2 2 2 2 5 2 2 2" xfId="62187" xr:uid="{00000000-0005-0000-0000-00005A7B0000}"/>
    <cellStyle name="Normal 4 2 2 2 2 2 2 2 5 2 3" xfId="40038" xr:uid="{00000000-0005-0000-0000-00005B7B0000}"/>
    <cellStyle name="Normal 4 2 2 2 2 2 2 2 5 3" xfId="22438" xr:uid="{00000000-0005-0000-0000-00005C7B0000}"/>
    <cellStyle name="Normal 4 2 2 2 2 2 2 2 5 3 2" xfId="54309" xr:uid="{00000000-0005-0000-0000-00005D7B0000}"/>
    <cellStyle name="Normal 4 2 2 2 2 2 2 2 5 4" xfId="40037" xr:uid="{00000000-0005-0000-0000-00005E7B0000}"/>
    <cellStyle name="Normal 4 2 2 2 2 2 2 2 6" xfId="8160" xr:uid="{00000000-0005-0000-0000-00005F7B0000}"/>
    <cellStyle name="Normal 4 2 2 2 2 2 2 2 6 2" xfId="26377" xr:uid="{00000000-0005-0000-0000-0000607B0000}"/>
    <cellStyle name="Normal 4 2 2 2 2 2 2 2 6 2 2" xfId="58248" xr:uid="{00000000-0005-0000-0000-0000617B0000}"/>
    <cellStyle name="Normal 4 2 2 2 2 2 2 2 6 3" xfId="40039" xr:uid="{00000000-0005-0000-0000-0000627B0000}"/>
    <cellStyle name="Normal 4 2 2 2 2 2 2 2 7" xfId="18499" xr:uid="{00000000-0005-0000-0000-0000637B0000}"/>
    <cellStyle name="Normal 4 2 2 2 2 2 2 2 7 2" xfId="50370" xr:uid="{00000000-0005-0000-0000-0000647B0000}"/>
    <cellStyle name="Normal 4 2 2 2 2 2 2 2 8" xfId="40008" xr:uid="{00000000-0005-0000-0000-0000657B0000}"/>
    <cellStyle name="Normal 4 2 2 2 2 2 2 3" xfId="8161" xr:uid="{00000000-0005-0000-0000-0000667B0000}"/>
    <cellStyle name="Normal 4 2 2 2 2 2 2 3 2" xfId="8162" xr:uid="{00000000-0005-0000-0000-0000677B0000}"/>
    <cellStyle name="Normal 4 2 2 2 2 2 2 3 2 2" xfId="8163" xr:uid="{00000000-0005-0000-0000-0000687B0000}"/>
    <cellStyle name="Normal 4 2 2 2 2 2 2 3 2 2 2" xfId="8164" xr:uid="{00000000-0005-0000-0000-0000697B0000}"/>
    <cellStyle name="Normal 4 2 2 2 2 2 2 3 2 2 2 2" xfId="8165" xr:uid="{00000000-0005-0000-0000-00006A7B0000}"/>
    <cellStyle name="Normal 4 2 2 2 2 2 2 3 2 2 2 2 2" xfId="30326" xr:uid="{00000000-0005-0000-0000-00006B7B0000}"/>
    <cellStyle name="Normal 4 2 2 2 2 2 2 3 2 2 2 2 2 2" xfId="62197" xr:uid="{00000000-0005-0000-0000-00006C7B0000}"/>
    <cellStyle name="Normal 4 2 2 2 2 2 2 3 2 2 2 2 3" xfId="40044" xr:uid="{00000000-0005-0000-0000-00006D7B0000}"/>
    <cellStyle name="Normal 4 2 2 2 2 2 2 3 2 2 2 3" xfId="22448" xr:uid="{00000000-0005-0000-0000-00006E7B0000}"/>
    <cellStyle name="Normal 4 2 2 2 2 2 2 3 2 2 2 3 2" xfId="54319" xr:uid="{00000000-0005-0000-0000-00006F7B0000}"/>
    <cellStyle name="Normal 4 2 2 2 2 2 2 3 2 2 2 4" xfId="40043" xr:uid="{00000000-0005-0000-0000-0000707B0000}"/>
    <cellStyle name="Normal 4 2 2 2 2 2 2 3 2 2 3" xfId="8166" xr:uid="{00000000-0005-0000-0000-0000717B0000}"/>
    <cellStyle name="Normal 4 2 2 2 2 2 2 3 2 2 3 2" xfId="26387" xr:uid="{00000000-0005-0000-0000-0000727B0000}"/>
    <cellStyle name="Normal 4 2 2 2 2 2 2 3 2 2 3 2 2" xfId="58258" xr:uid="{00000000-0005-0000-0000-0000737B0000}"/>
    <cellStyle name="Normal 4 2 2 2 2 2 2 3 2 2 3 3" xfId="40045" xr:uid="{00000000-0005-0000-0000-0000747B0000}"/>
    <cellStyle name="Normal 4 2 2 2 2 2 2 3 2 2 4" xfId="18509" xr:uid="{00000000-0005-0000-0000-0000757B0000}"/>
    <cellStyle name="Normal 4 2 2 2 2 2 2 3 2 2 4 2" xfId="50380" xr:uid="{00000000-0005-0000-0000-0000767B0000}"/>
    <cellStyle name="Normal 4 2 2 2 2 2 2 3 2 2 5" xfId="40042" xr:uid="{00000000-0005-0000-0000-0000777B0000}"/>
    <cellStyle name="Normal 4 2 2 2 2 2 2 3 2 3" xfId="8167" xr:uid="{00000000-0005-0000-0000-0000787B0000}"/>
    <cellStyle name="Normal 4 2 2 2 2 2 2 3 2 3 2" xfId="8168" xr:uid="{00000000-0005-0000-0000-0000797B0000}"/>
    <cellStyle name="Normal 4 2 2 2 2 2 2 3 2 3 2 2" xfId="30325" xr:uid="{00000000-0005-0000-0000-00007A7B0000}"/>
    <cellStyle name="Normal 4 2 2 2 2 2 2 3 2 3 2 2 2" xfId="62196" xr:uid="{00000000-0005-0000-0000-00007B7B0000}"/>
    <cellStyle name="Normal 4 2 2 2 2 2 2 3 2 3 2 3" xfId="40047" xr:uid="{00000000-0005-0000-0000-00007C7B0000}"/>
    <cellStyle name="Normal 4 2 2 2 2 2 2 3 2 3 3" xfId="22447" xr:uid="{00000000-0005-0000-0000-00007D7B0000}"/>
    <cellStyle name="Normal 4 2 2 2 2 2 2 3 2 3 3 2" xfId="54318" xr:uid="{00000000-0005-0000-0000-00007E7B0000}"/>
    <cellStyle name="Normal 4 2 2 2 2 2 2 3 2 3 4" xfId="40046" xr:uid="{00000000-0005-0000-0000-00007F7B0000}"/>
    <cellStyle name="Normal 4 2 2 2 2 2 2 3 2 4" xfId="8169" xr:uid="{00000000-0005-0000-0000-0000807B0000}"/>
    <cellStyle name="Normal 4 2 2 2 2 2 2 3 2 4 2" xfId="26386" xr:uid="{00000000-0005-0000-0000-0000817B0000}"/>
    <cellStyle name="Normal 4 2 2 2 2 2 2 3 2 4 2 2" xfId="58257" xr:uid="{00000000-0005-0000-0000-0000827B0000}"/>
    <cellStyle name="Normal 4 2 2 2 2 2 2 3 2 4 3" xfId="40048" xr:uid="{00000000-0005-0000-0000-0000837B0000}"/>
    <cellStyle name="Normal 4 2 2 2 2 2 2 3 2 5" xfId="18508" xr:uid="{00000000-0005-0000-0000-0000847B0000}"/>
    <cellStyle name="Normal 4 2 2 2 2 2 2 3 2 5 2" xfId="50379" xr:uid="{00000000-0005-0000-0000-0000857B0000}"/>
    <cellStyle name="Normal 4 2 2 2 2 2 2 3 2 6" xfId="40041" xr:uid="{00000000-0005-0000-0000-0000867B0000}"/>
    <cellStyle name="Normal 4 2 2 2 2 2 2 3 3" xfId="8170" xr:uid="{00000000-0005-0000-0000-0000877B0000}"/>
    <cellStyle name="Normal 4 2 2 2 2 2 2 3 3 2" xfId="8171" xr:uid="{00000000-0005-0000-0000-0000887B0000}"/>
    <cellStyle name="Normal 4 2 2 2 2 2 2 3 3 2 2" xfId="8172" xr:uid="{00000000-0005-0000-0000-0000897B0000}"/>
    <cellStyle name="Normal 4 2 2 2 2 2 2 3 3 2 2 2" xfId="30327" xr:uid="{00000000-0005-0000-0000-00008A7B0000}"/>
    <cellStyle name="Normal 4 2 2 2 2 2 2 3 3 2 2 2 2" xfId="62198" xr:uid="{00000000-0005-0000-0000-00008B7B0000}"/>
    <cellStyle name="Normal 4 2 2 2 2 2 2 3 3 2 2 3" xfId="40051" xr:uid="{00000000-0005-0000-0000-00008C7B0000}"/>
    <cellStyle name="Normal 4 2 2 2 2 2 2 3 3 2 3" xfId="22449" xr:uid="{00000000-0005-0000-0000-00008D7B0000}"/>
    <cellStyle name="Normal 4 2 2 2 2 2 2 3 3 2 3 2" xfId="54320" xr:uid="{00000000-0005-0000-0000-00008E7B0000}"/>
    <cellStyle name="Normal 4 2 2 2 2 2 2 3 3 2 4" xfId="40050" xr:uid="{00000000-0005-0000-0000-00008F7B0000}"/>
    <cellStyle name="Normal 4 2 2 2 2 2 2 3 3 3" xfId="8173" xr:uid="{00000000-0005-0000-0000-0000907B0000}"/>
    <cellStyle name="Normal 4 2 2 2 2 2 2 3 3 3 2" xfId="26388" xr:uid="{00000000-0005-0000-0000-0000917B0000}"/>
    <cellStyle name="Normal 4 2 2 2 2 2 2 3 3 3 2 2" xfId="58259" xr:uid="{00000000-0005-0000-0000-0000927B0000}"/>
    <cellStyle name="Normal 4 2 2 2 2 2 2 3 3 3 3" xfId="40052" xr:uid="{00000000-0005-0000-0000-0000937B0000}"/>
    <cellStyle name="Normal 4 2 2 2 2 2 2 3 3 4" xfId="18510" xr:uid="{00000000-0005-0000-0000-0000947B0000}"/>
    <cellStyle name="Normal 4 2 2 2 2 2 2 3 3 4 2" xfId="50381" xr:uid="{00000000-0005-0000-0000-0000957B0000}"/>
    <cellStyle name="Normal 4 2 2 2 2 2 2 3 3 5" xfId="40049" xr:uid="{00000000-0005-0000-0000-0000967B0000}"/>
    <cellStyle name="Normal 4 2 2 2 2 2 2 3 4" xfId="8174" xr:uid="{00000000-0005-0000-0000-0000977B0000}"/>
    <cellStyle name="Normal 4 2 2 2 2 2 2 3 4 2" xfId="8175" xr:uid="{00000000-0005-0000-0000-0000987B0000}"/>
    <cellStyle name="Normal 4 2 2 2 2 2 2 3 4 2 2" xfId="30324" xr:uid="{00000000-0005-0000-0000-0000997B0000}"/>
    <cellStyle name="Normal 4 2 2 2 2 2 2 3 4 2 2 2" xfId="62195" xr:uid="{00000000-0005-0000-0000-00009A7B0000}"/>
    <cellStyle name="Normal 4 2 2 2 2 2 2 3 4 2 3" xfId="40054" xr:uid="{00000000-0005-0000-0000-00009B7B0000}"/>
    <cellStyle name="Normal 4 2 2 2 2 2 2 3 4 3" xfId="22446" xr:uid="{00000000-0005-0000-0000-00009C7B0000}"/>
    <cellStyle name="Normal 4 2 2 2 2 2 2 3 4 3 2" xfId="54317" xr:uid="{00000000-0005-0000-0000-00009D7B0000}"/>
    <cellStyle name="Normal 4 2 2 2 2 2 2 3 4 4" xfId="40053" xr:uid="{00000000-0005-0000-0000-00009E7B0000}"/>
    <cellStyle name="Normal 4 2 2 2 2 2 2 3 5" xfId="8176" xr:uid="{00000000-0005-0000-0000-00009F7B0000}"/>
    <cellStyle name="Normal 4 2 2 2 2 2 2 3 5 2" xfId="26385" xr:uid="{00000000-0005-0000-0000-0000A07B0000}"/>
    <cellStyle name="Normal 4 2 2 2 2 2 2 3 5 2 2" xfId="58256" xr:uid="{00000000-0005-0000-0000-0000A17B0000}"/>
    <cellStyle name="Normal 4 2 2 2 2 2 2 3 5 3" xfId="40055" xr:uid="{00000000-0005-0000-0000-0000A27B0000}"/>
    <cellStyle name="Normal 4 2 2 2 2 2 2 3 6" xfId="18507" xr:uid="{00000000-0005-0000-0000-0000A37B0000}"/>
    <cellStyle name="Normal 4 2 2 2 2 2 2 3 6 2" xfId="50378" xr:uid="{00000000-0005-0000-0000-0000A47B0000}"/>
    <cellStyle name="Normal 4 2 2 2 2 2 2 3 7" xfId="40040" xr:uid="{00000000-0005-0000-0000-0000A57B0000}"/>
    <cellStyle name="Normal 4 2 2 2 2 2 2 4" xfId="8177" xr:uid="{00000000-0005-0000-0000-0000A67B0000}"/>
    <cellStyle name="Normal 4 2 2 2 2 2 2 4 2" xfId="8178" xr:uid="{00000000-0005-0000-0000-0000A77B0000}"/>
    <cellStyle name="Normal 4 2 2 2 2 2 2 4 2 2" xfId="8179" xr:uid="{00000000-0005-0000-0000-0000A87B0000}"/>
    <cellStyle name="Normal 4 2 2 2 2 2 2 4 2 2 2" xfId="8180" xr:uid="{00000000-0005-0000-0000-0000A97B0000}"/>
    <cellStyle name="Normal 4 2 2 2 2 2 2 4 2 2 2 2" xfId="30329" xr:uid="{00000000-0005-0000-0000-0000AA7B0000}"/>
    <cellStyle name="Normal 4 2 2 2 2 2 2 4 2 2 2 2 2" xfId="62200" xr:uid="{00000000-0005-0000-0000-0000AB7B0000}"/>
    <cellStyle name="Normal 4 2 2 2 2 2 2 4 2 2 2 3" xfId="40059" xr:uid="{00000000-0005-0000-0000-0000AC7B0000}"/>
    <cellStyle name="Normal 4 2 2 2 2 2 2 4 2 2 3" xfId="22451" xr:uid="{00000000-0005-0000-0000-0000AD7B0000}"/>
    <cellStyle name="Normal 4 2 2 2 2 2 2 4 2 2 3 2" xfId="54322" xr:uid="{00000000-0005-0000-0000-0000AE7B0000}"/>
    <cellStyle name="Normal 4 2 2 2 2 2 2 4 2 2 4" xfId="40058" xr:uid="{00000000-0005-0000-0000-0000AF7B0000}"/>
    <cellStyle name="Normal 4 2 2 2 2 2 2 4 2 3" xfId="8181" xr:uid="{00000000-0005-0000-0000-0000B07B0000}"/>
    <cellStyle name="Normal 4 2 2 2 2 2 2 4 2 3 2" xfId="26390" xr:uid="{00000000-0005-0000-0000-0000B17B0000}"/>
    <cellStyle name="Normal 4 2 2 2 2 2 2 4 2 3 2 2" xfId="58261" xr:uid="{00000000-0005-0000-0000-0000B27B0000}"/>
    <cellStyle name="Normal 4 2 2 2 2 2 2 4 2 3 3" xfId="40060" xr:uid="{00000000-0005-0000-0000-0000B37B0000}"/>
    <cellStyle name="Normal 4 2 2 2 2 2 2 4 2 4" xfId="18512" xr:uid="{00000000-0005-0000-0000-0000B47B0000}"/>
    <cellStyle name="Normal 4 2 2 2 2 2 2 4 2 4 2" xfId="50383" xr:uid="{00000000-0005-0000-0000-0000B57B0000}"/>
    <cellStyle name="Normal 4 2 2 2 2 2 2 4 2 5" xfId="40057" xr:uid="{00000000-0005-0000-0000-0000B67B0000}"/>
    <cellStyle name="Normal 4 2 2 2 2 2 2 4 3" xfId="8182" xr:uid="{00000000-0005-0000-0000-0000B77B0000}"/>
    <cellStyle name="Normal 4 2 2 2 2 2 2 4 3 2" xfId="8183" xr:uid="{00000000-0005-0000-0000-0000B87B0000}"/>
    <cellStyle name="Normal 4 2 2 2 2 2 2 4 3 2 2" xfId="30328" xr:uid="{00000000-0005-0000-0000-0000B97B0000}"/>
    <cellStyle name="Normal 4 2 2 2 2 2 2 4 3 2 2 2" xfId="62199" xr:uid="{00000000-0005-0000-0000-0000BA7B0000}"/>
    <cellStyle name="Normal 4 2 2 2 2 2 2 4 3 2 3" xfId="40062" xr:uid="{00000000-0005-0000-0000-0000BB7B0000}"/>
    <cellStyle name="Normal 4 2 2 2 2 2 2 4 3 3" xfId="22450" xr:uid="{00000000-0005-0000-0000-0000BC7B0000}"/>
    <cellStyle name="Normal 4 2 2 2 2 2 2 4 3 3 2" xfId="54321" xr:uid="{00000000-0005-0000-0000-0000BD7B0000}"/>
    <cellStyle name="Normal 4 2 2 2 2 2 2 4 3 4" xfId="40061" xr:uid="{00000000-0005-0000-0000-0000BE7B0000}"/>
    <cellStyle name="Normal 4 2 2 2 2 2 2 4 4" xfId="8184" xr:uid="{00000000-0005-0000-0000-0000BF7B0000}"/>
    <cellStyle name="Normal 4 2 2 2 2 2 2 4 4 2" xfId="26389" xr:uid="{00000000-0005-0000-0000-0000C07B0000}"/>
    <cellStyle name="Normal 4 2 2 2 2 2 2 4 4 2 2" xfId="58260" xr:uid="{00000000-0005-0000-0000-0000C17B0000}"/>
    <cellStyle name="Normal 4 2 2 2 2 2 2 4 4 3" xfId="40063" xr:uid="{00000000-0005-0000-0000-0000C27B0000}"/>
    <cellStyle name="Normal 4 2 2 2 2 2 2 4 5" xfId="18511" xr:uid="{00000000-0005-0000-0000-0000C37B0000}"/>
    <cellStyle name="Normal 4 2 2 2 2 2 2 4 5 2" xfId="50382" xr:uid="{00000000-0005-0000-0000-0000C47B0000}"/>
    <cellStyle name="Normal 4 2 2 2 2 2 2 4 6" xfId="40056" xr:uid="{00000000-0005-0000-0000-0000C57B0000}"/>
    <cellStyle name="Normal 4 2 2 2 2 2 2 5" xfId="8185" xr:uid="{00000000-0005-0000-0000-0000C67B0000}"/>
    <cellStyle name="Normal 4 2 2 2 2 2 2 5 2" xfId="8186" xr:uid="{00000000-0005-0000-0000-0000C77B0000}"/>
    <cellStyle name="Normal 4 2 2 2 2 2 2 5 2 2" xfId="8187" xr:uid="{00000000-0005-0000-0000-0000C87B0000}"/>
    <cellStyle name="Normal 4 2 2 2 2 2 2 5 2 2 2" xfId="30330" xr:uid="{00000000-0005-0000-0000-0000C97B0000}"/>
    <cellStyle name="Normal 4 2 2 2 2 2 2 5 2 2 2 2" xfId="62201" xr:uid="{00000000-0005-0000-0000-0000CA7B0000}"/>
    <cellStyle name="Normal 4 2 2 2 2 2 2 5 2 2 3" xfId="40066" xr:uid="{00000000-0005-0000-0000-0000CB7B0000}"/>
    <cellStyle name="Normal 4 2 2 2 2 2 2 5 2 3" xfId="22452" xr:uid="{00000000-0005-0000-0000-0000CC7B0000}"/>
    <cellStyle name="Normal 4 2 2 2 2 2 2 5 2 3 2" xfId="54323" xr:uid="{00000000-0005-0000-0000-0000CD7B0000}"/>
    <cellStyle name="Normal 4 2 2 2 2 2 2 5 2 4" xfId="40065" xr:uid="{00000000-0005-0000-0000-0000CE7B0000}"/>
    <cellStyle name="Normal 4 2 2 2 2 2 2 5 3" xfId="8188" xr:uid="{00000000-0005-0000-0000-0000CF7B0000}"/>
    <cellStyle name="Normal 4 2 2 2 2 2 2 5 3 2" xfId="26391" xr:uid="{00000000-0005-0000-0000-0000D07B0000}"/>
    <cellStyle name="Normal 4 2 2 2 2 2 2 5 3 2 2" xfId="58262" xr:uid="{00000000-0005-0000-0000-0000D17B0000}"/>
    <cellStyle name="Normal 4 2 2 2 2 2 2 5 3 3" xfId="40067" xr:uid="{00000000-0005-0000-0000-0000D27B0000}"/>
    <cellStyle name="Normal 4 2 2 2 2 2 2 5 4" xfId="18513" xr:uid="{00000000-0005-0000-0000-0000D37B0000}"/>
    <cellStyle name="Normal 4 2 2 2 2 2 2 5 4 2" xfId="50384" xr:uid="{00000000-0005-0000-0000-0000D47B0000}"/>
    <cellStyle name="Normal 4 2 2 2 2 2 2 5 5" xfId="40064" xr:uid="{00000000-0005-0000-0000-0000D57B0000}"/>
    <cellStyle name="Normal 4 2 2 2 2 2 2 6" xfId="8189" xr:uid="{00000000-0005-0000-0000-0000D67B0000}"/>
    <cellStyle name="Normal 4 2 2 2 2 2 2 6 2" xfId="8190" xr:uid="{00000000-0005-0000-0000-0000D77B0000}"/>
    <cellStyle name="Normal 4 2 2 2 2 2 2 6 2 2" xfId="28454" xr:uid="{00000000-0005-0000-0000-0000D87B0000}"/>
    <cellStyle name="Normal 4 2 2 2 2 2 2 6 2 2 2" xfId="60325" xr:uid="{00000000-0005-0000-0000-0000D97B0000}"/>
    <cellStyle name="Normal 4 2 2 2 2 2 2 6 2 3" xfId="40069" xr:uid="{00000000-0005-0000-0000-0000DA7B0000}"/>
    <cellStyle name="Normal 4 2 2 2 2 2 2 6 3" xfId="20576" xr:uid="{00000000-0005-0000-0000-0000DB7B0000}"/>
    <cellStyle name="Normal 4 2 2 2 2 2 2 6 3 2" xfId="52447" xr:uid="{00000000-0005-0000-0000-0000DC7B0000}"/>
    <cellStyle name="Normal 4 2 2 2 2 2 2 6 4" xfId="40068" xr:uid="{00000000-0005-0000-0000-0000DD7B0000}"/>
    <cellStyle name="Normal 4 2 2 2 2 2 2 7" xfId="8191" xr:uid="{00000000-0005-0000-0000-0000DE7B0000}"/>
    <cellStyle name="Normal 4 2 2 2 2 2 2 7 2" xfId="24515" xr:uid="{00000000-0005-0000-0000-0000DF7B0000}"/>
    <cellStyle name="Normal 4 2 2 2 2 2 2 7 2 2" xfId="56386" xr:uid="{00000000-0005-0000-0000-0000E07B0000}"/>
    <cellStyle name="Normal 4 2 2 2 2 2 2 7 3" xfId="40070" xr:uid="{00000000-0005-0000-0000-0000E17B0000}"/>
    <cellStyle name="Normal 4 2 2 2 2 2 2 8" xfId="16637" xr:uid="{00000000-0005-0000-0000-0000E27B0000}"/>
    <cellStyle name="Normal 4 2 2 2 2 2 2 8 2" xfId="48508" xr:uid="{00000000-0005-0000-0000-0000E37B0000}"/>
    <cellStyle name="Normal 4 2 2 2 2 2 2 9" xfId="40007" xr:uid="{00000000-0005-0000-0000-0000E47B0000}"/>
    <cellStyle name="Normal 4 2 2 2 2 2 3" xfId="8192" xr:uid="{00000000-0005-0000-0000-0000E57B0000}"/>
    <cellStyle name="Normal 4 2 2 2 2 2 3 2" xfId="8193" xr:uid="{00000000-0005-0000-0000-0000E67B0000}"/>
    <cellStyle name="Normal 4 2 2 2 2 2 3 2 2" xfId="8194" xr:uid="{00000000-0005-0000-0000-0000E77B0000}"/>
    <cellStyle name="Normal 4 2 2 2 2 2 3 2 2 2" xfId="8195" xr:uid="{00000000-0005-0000-0000-0000E87B0000}"/>
    <cellStyle name="Normal 4 2 2 2 2 2 3 2 2 2 2" xfId="8196" xr:uid="{00000000-0005-0000-0000-0000E97B0000}"/>
    <cellStyle name="Normal 4 2 2 2 2 2 3 2 2 2 2 2" xfId="8197" xr:uid="{00000000-0005-0000-0000-0000EA7B0000}"/>
    <cellStyle name="Normal 4 2 2 2 2 2 3 2 2 2 2 2 2" xfId="30334" xr:uid="{00000000-0005-0000-0000-0000EB7B0000}"/>
    <cellStyle name="Normal 4 2 2 2 2 2 3 2 2 2 2 2 2 2" xfId="62205" xr:uid="{00000000-0005-0000-0000-0000EC7B0000}"/>
    <cellStyle name="Normal 4 2 2 2 2 2 3 2 2 2 2 2 3" xfId="40076" xr:uid="{00000000-0005-0000-0000-0000ED7B0000}"/>
    <cellStyle name="Normal 4 2 2 2 2 2 3 2 2 2 2 3" xfId="22456" xr:uid="{00000000-0005-0000-0000-0000EE7B0000}"/>
    <cellStyle name="Normal 4 2 2 2 2 2 3 2 2 2 2 3 2" xfId="54327" xr:uid="{00000000-0005-0000-0000-0000EF7B0000}"/>
    <cellStyle name="Normal 4 2 2 2 2 2 3 2 2 2 2 4" xfId="40075" xr:uid="{00000000-0005-0000-0000-0000F07B0000}"/>
    <cellStyle name="Normal 4 2 2 2 2 2 3 2 2 2 3" xfId="8198" xr:uid="{00000000-0005-0000-0000-0000F17B0000}"/>
    <cellStyle name="Normal 4 2 2 2 2 2 3 2 2 2 3 2" xfId="26395" xr:uid="{00000000-0005-0000-0000-0000F27B0000}"/>
    <cellStyle name="Normal 4 2 2 2 2 2 3 2 2 2 3 2 2" xfId="58266" xr:uid="{00000000-0005-0000-0000-0000F37B0000}"/>
    <cellStyle name="Normal 4 2 2 2 2 2 3 2 2 2 3 3" xfId="40077" xr:uid="{00000000-0005-0000-0000-0000F47B0000}"/>
    <cellStyle name="Normal 4 2 2 2 2 2 3 2 2 2 4" xfId="18517" xr:uid="{00000000-0005-0000-0000-0000F57B0000}"/>
    <cellStyle name="Normal 4 2 2 2 2 2 3 2 2 2 4 2" xfId="50388" xr:uid="{00000000-0005-0000-0000-0000F67B0000}"/>
    <cellStyle name="Normal 4 2 2 2 2 2 3 2 2 2 5" xfId="40074" xr:uid="{00000000-0005-0000-0000-0000F77B0000}"/>
    <cellStyle name="Normal 4 2 2 2 2 2 3 2 2 3" xfId="8199" xr:uid="{00000000-0005-0000-0000-0000F87B0000}"/>
    <cellStyle name="Normal 4 2 2 2 2 2 3 2 2 3 2" xfId="8200" xr:uid="{00000000-0005-0000-0000-0000F97B0000}"/>
    <cellStyle name="Normal 4 2 2 2 2 2 3 2 2 3 2 2" xfId="30333" xr:uid="{00000000-0005-0000-0000-0000FA7B0000}"/>
    <cellStyle name="Normal 4 2 2 2 2 2 3 2 2 3 2 2 2" xfId="62204" xr:uid="{00000000-0005-0000-0000-0000FB7B0000}"/>
    <cellStyle name="Normal 4 2 2 2 2 2 3 2 2 3 2 3" xfId="40079" xr:uid="{00000000-0005-0000-0000-0000FC7B0000}"/>
    <cellStyle name="Normal 4 2 2 2 2 2 3 2 2 3 3" xfId="22455" xr:uid="{00000000-0005-0000-0000-0000FD7B0000}"/>
    <cellStyle name="Normal 4 2 2 2 2 2 3 2 2 3 3 2" xfId="54326" xr:uid="{00000000-0005-0000-0000-0000FE7B0000}"/>
    <cellStyle name="Normal 4 2 2 2 2 2 3 2 2 3 4" xfId="40078" xr:uid="{00000000-0005-0000-0000-0000FF7B0000}"/>
    <cellStyle name="Normal 4 2 2 2 2 2 3 2 2 4" xfId="8201" xr:uid="{00000000-0005-0000-0000-0000007C0000}"/>
    <cellStyle name="Normal 4 2 2 2 2 2 3 2 2 4 2" xfId="26394" xr:uid="{00000000-0005-0000-0000-0000017C0000}"/>
    <cellStyle name="Normal 4 2 2 2 2 2 3 2 2 4 2 2" xfId="58265" xr:uid="{00000000-0005-0000-0000-0000027C0000}"/>
    <cellStyle name="Normal 4 2 2 2 2 2 3 2 2 4 3" xfId="40080" xr:uid="{00000000-0005-0000-0000-0000037C0000}"/>
    <cellStyle name="Normal 4 2 2 2 2 2 3 2 2 5" xfId="18516" xr:uid="{00000000-0005-0000-0000-0000047C0000}"/>
    <cellStyle name="Normal 4 2 2 2 2 2 3 2 2 5 2" xfId="50387" xr:uid="{00000000-0005-0000-0000-0000057C0000}"/>
    <cellStyle name="Normal 4 2 2 2 2 2 3 2 2 6" xfId="40073" xr:uid="{00000000-0005-0000-0000-0000067C0000}"/>
    <cellStyle name="Normal 4 2 2 2 2 2 3 2 3" xfId="8202" xr:uid="{00000000-0005-0000-0000-0000077C0000}"/>
    <cellStyle name="Normal 4 2 2 2 2 2 3 2 3 2" xfId="8203" xr:uid="{00000000-0005-0000-0000-0000087C0000}"/>
    <cellStyle name="Normal 4 2 2 2 2 2 3 2 3 2 2" xfId="8204" xr:uid="{00000000-0005-0000-0000-0000097C0000}"/>
    <cellStyle name="Normal 4 2 2 2 2 2 3 2 3 2 2 2" xfId="30335" xr:uid="{00000000-0005-0000-0000-00000A7C0000}"/>
    <cellStyle name="Normal 4 2 2 2 2 2 3 2 3 2 2 2 2" xfId="62206" xr:uid="{00000000-0005-0000-0000-00000B7C0000}"/>
    <cellStyle name="Normal 4 2 2 2 2 2 3 2 3 2 2 3" xfId="40083" xr:uid="{00000000-0005-0000-0000-00000C7C0000}"/>
    <cellStyle name="Normal 4 2 2 2 2 2 3 2 3 2 3" xfId="22457" xr:uid="{00000000-0005-0000-0000-00000D7C0000}"/>
    <cellStyle name="Normal 4 2 2 2 2 2 3 2 3 2 3 2" xfId="54328" xr:uid="{00000000-0005-0000-0000-00000E7C0000}"/>
    <cellStyle name="Normal 4 2 2 2 2 2 3 2 3 2 4" xfId="40082" xr:uid="{00000000-0005-0000-0000-00000F7C0000}"/>
    <cellStyle name="Normal 4 2 2 2 2 2 3 2 3 3" xfId="8205" xr:uid="{00000000-0005-0000-0000-0000107C0000}"/>
    <cellStyle name="Normal 4 2 2 2 2 2 3 2 3 3 2" xfId="26396" xr:uid="{00000000-0005-0000-0000-0000117C0000}"/>
    <cellStyle name="Normal 4 2 2 2 2 2 3 2 3 3 2 2" xfId="58267" xr:uid="{00000000-0005-0000-0000-0000127C0000}"/>
    <cellStyle name="Normal 4 2 2 2 2 2 3 2 3 3 3" xfId="40084" xr:uid="{00000000-0005-0000-0000-0000137C0000}"/>
    <cellStyle name="Normal 4 2 2 2 2 2 3 2 3 4" xfId="18518" xr:uid="{00000000-0005-0000-0000-0000147C0000}"/>
    <cellStyle name="Normal 4 2 2 2 2 2 3 2 3 4 2" xfId="50389" xr:uid="{00000000-0005-0000-0000-0000157C0000}"/>
    <cellStyle name="Normal 4 2 2 2 2 2 3 2 3 5" xfId="40081" xr:uid="{00000000-0005-0000-0000-0000167C0000}"/>
    <cellStyle name="Normal 4 2 2 2 2 2 3 2 4" xfId="8206" xr:uid="{00000000-0005-0000-0000-0000177C0000}"/>
    <cellStyle name="Normal 4 2 2 2 2 2 3 2 4 2" xfId="8207" xr:uid="{00000000-0005-0000-0000-0000187C0000}"/>
    <cellStyle name="Normal 4 2 2 2 2 2 3 2 4 2 2" xfId="30332" xr:uid="{00000000-0005-0000-0000-0000197C0000}"/>
    <cellStyle name="Normal 4 2 2 2 2 2 3 2 4 2 2 2" xfId="62203" xr:uid="{00000000-0005-0000-0000-00001A7C0000}"/>
    <cellStyle name="Normal 4 2 2 2 2 2 3 2 4 2 3" xfId="40086" xr:uid="{00000000-0005-0000-0000-00001B7C0000}"/>
    <cellStyle name="Normal 4 2 2 2 2 2 3 2 4 3" xfId="22454" xr:uid="{00000000-0005-0000-0000-00001C7C0000}"/>
    <cellStyle name="Normal 4 2 2 2 2 2 3 2 4 3 2" xfId="54325" xr:uid="{00000000-0005-0000-0000-00001D7C0000}"/>
    <cellStyle name="Normal 4 2 2 2 2 2 3 2 4 4" xfId="40085" xr:uid="{00000000-0005-0000-0000-00001E7C0000}"/>
    <cellStyle name="Normal 4 2 2 2 2 2 3 2 5" xfId="8208" xr:uid="{00000000-0005-0000-0000-00001F7C0000}"/>
    <cellStyle name="Normal 4 2 2 2 2 2 3 2 5 2" xfId="26393" xr:uid="{00000000-0005-0000-0000-0000207C0000}"/>
    <cellStyle name="Normal 4 2 2 2 2 2 3 2 5 2 2" xfId="58264" xr:uid="{00000000-0005-0000-0000-0000217C0000}"/>
    <cellStyle name="Normal 4 2 2 2 2 2 3 2 5 3" xfId="40087" xr:uid="{00000000-0005-0000-0000-0000227C0000}"/>
    <cellStyle name="Normal 4 2 2 2 2 2 3 2 6" xfId="18515" xr:uid="{00000000-0005-0000-0000-0000237C0000}"/>
    <cellStyle name="Normal 4 2 2 2 2 2 3 2 6 2" xfId="50386" xr:uid="{00000000-0005-0000-0000-0000247C0000}"/>
    <cellStyle name="Normal 4 2 2 2 2 2 3 2 7" xfId="40072" xr:uid="{00000000-0005-0000-0000-0000257C0000}"/>
    <cellStyle name="Normal 4 2 2 2 2 2 3 3" xfId="8209" xr:uid="{00000000-0005-0000-0000-0000267C0000}"/>
    <cellStyle name="Normal 4 2 2 2 2 2 3 3 2" xfId="8210" xr:uid="{00000000-0005-0000-0000-0000277C0000}"/>
    <cellStyle name="Normal 4 2 2 2 2 2 3 3 2 2" xfId="8211" xr:uid="{00000000-0005-0000-0000-0000287C0000}"/>
    <cellStyle name="Normal 4 2 2 2 2 2 3 3 2 2 2" xfId="8212" xr:uid="{00000000-0005-0000-0000-0000297C0000}"/>
    <cellStyle name="Normal 4 2 2 2 2 2 3 3 2 2 2 2" xfId="30337" xr:uid="{00000000-0005-0000-0000-00002A7C0000}"/>
    <cellStyle name="Normal 4 2 2 2 2 2 3 3 2 2 2 2 2" xfId="62208" xr:uid="{00000000-0005-0000-0000-00002B7C0000}"/>
    <cellStyle name="Normal 4 2 2 2 2 2 3 3 2 2 2 3" xfId="40091" xr:uid="{00000000-0005-0000-0000-00002C7C0000}"/>
    <cellStyle name="Normal 4 2 2 2 2 2 3 3 2 2 3" xfId="22459" xr:uid="{00000000-0005-0000-0000-00002D7C0000}"/>
    <cellStyle name="Normal 4 2 2 2 2 2 3 3 2 2 3 2" xfId="54330" xr:uid="{00000000-0005-0000-0000-00002E7C0000}"/>
    <cellStyle name="Normal 4 2 2 2 2 2 3 3 2 2 4" xfId="40090" xr:uid="{00000000-0005-0000-0000-00002F7C0000}"/>
    <cellStyle name="Normal 4 2 2 2 2 2 3 3 2 3" xfId="8213" xr:uid="{00000000-0005-0000-0000-0000307C0000}"/>
    <cellStyle name="Normal 4 2 2 2 2 2 3 3 2 3 2" xfId="26398" xr:uid="{00000000-0005-0000-0000-0000317C0000}"/>
    <cellStyle name="Normal 4 2 2 2 2 2 3 3 2 3 2 2" xfId="58269" xr:uid="{00000000-0005-0000-0000-0000327C0000}"/>
    <cellStyle name="Normal 4 2 2 2 2 2 3 3 2 3 3" xfId="40092" xr:uid="{00000000-0005-0000-0000-0000337C0000}"/>
    <cellStyle name="Normal 4 2 2 2 2 2 3 3 2 4" xfId="18520" xr:uid="{00000000-0005-0000-0000-0000347C0000}"/>
    <cellStyle name="Normal 4 2 2 2 2 2 3 3 2 4 2" xfId="50391" xr:uid="{00000000-0005-0000-0000-0000357C0000}"/>
    <cellStyle name="Normal 4 2 2 2 2 2 3 3 2 5" xfId="40089" xr:uid="{00000000-0005-0000-0000-0000367C0000}"/>
    <cellStyle name="Normal 4 2 2 2 2 2 3 3 3" xfId="8214" xr:uid="{00000000-0005-0000-0000-0000377C0000}"/>
    <cellStyle name="Normal 4 2 2 2 2 2 3 3 3 2" xfId="8215" xr:uid="{00000000-0005-0000-0000-0000387C0000}"/>
    <cellStyle name="Normal 4 2 2 2 2 2 3 3 3 2 2" xfId="30336" xr:uid="{00000000-0005-0000-0000-0000397C0000}"/>
    <cellStyle name="Normal 4 2 2 2 2 2 3 3 3 2 2 2" xfId="62207" xr:uid="{00000000-0005-0000-0000-00003A7C0000}"/>
    <cellStyle name="Normal 4 2 2 2 2 2 3 3 3 2 3" xfId="40094" xr:uid="{00000000-0005-0000-0000-00003B7C0000}"/>
    <cellStyle name="Normal 4 2 2 2 2 2 3 3 3 3" xfId="22458" xr:uid="{00000000-0005-0000-0000-00003C7C0000}"/>
    <cellStyle name="Normal 4 2 2 2 2 2 3 3 3 3 2" xfId="54329" xr:uid="{00000000-0005-0000-0000-00003D7C0000}"/>
    <cellStyle name="Normal 4 2 2 2 2 2 3 3 3 4" xfId="40093" xr:uid="{00000000-0005-0000-0000-00003E7C0000}"/>
    <cellStyle name="Normal 4 2 2 2 2 2 3 3 4" xfId="8216" xr:uid="{00000000-0005-0000-0000-00003F7C0000}"/>
    <cellStyle name="Normal 4 2 2 2 2 2 3 3 4 2" xfId="26397" xr:uid="{00000000-0005-0000-0000-0000407C0000}"/>
    <cellStyle name="Normal 4 2 2 2 2 2 3 3 4 2 2" xfId="58268" xr:uid="{00000000-0005-0000-0000-0000417C0000}"/>
    <cellStyle name="Normal 4 2 2 2 2 2 3 3 4 3" xfId="40095" xr:uid="{00000000-0005-0000-0000-0000427C0000}"/>
    <cellStyle name="Normal 4 2 2 2 2 2 3 3 5" xfId="18519" xr:uid="{00000000-0005-0000-0000-0000437C0000}"/>
    <cellStyle name="Normal 4 2 2 2 2 2 3 3 5 2" xfId="50390" xr:uid="{00000000-0005-0000-0000-0000447C0000}"/>
    <cellStyle name="Normal 4 2 2 2 2 2 3 3 6" xfId="40088" xr:uid="{00000000-0005-0000-0000-0000457C0000}"/>
    <cellStyle name="Normal 4 2 2 2 2 2 3 4" xfId="8217" xr:uid="{00000000-0005-0000-0000-0000467C0000}"/>
    <cellStyle name="Normal 4 2 2 2 2 2 3 4 2" xfId="8218" xr:uid="{00000000-0005-0000-0000-0000477C0000}"/>
    <cellStyle name="Normal 4 2 2 2 2 2 3 4 2 2" xfId="8219" xr:uid="{00000000-0005-0000-0000-0000487C0000}"/>
    <cellStyle name="Normal 4 2 2 2 2 2 3 4 2 2 2" xfId="30338" xr:uid="{00000000-0005-0000-0000-0000497C0000}"/>
    <cellStyle name="Normal 4 2 2 2 2 2 3 4 2 2 2 2" xfId="62209" xr:uid="{00000000-0005-0000-0000-00004A7C0000}"/>
    <cellStyle name="Normal 4 2 2 2 2 2 3 4 2 2 3" xfId="40098" xr:uid="{00000000-0005-0000-0000-00004B7C0000}"/>
    <cellStyle name="Normal 4 2 2 2 2 2 3 4 2 3" xfId="22460" xr:uid="{00000000-0005-0000-0000-00004C7C0000}"/>
    <cellStyle name="Normal 4 2 2 2 2 2 3 4 2 3 2" xfId="54331" xr:uid="{00000000-0005-0000-0000-00004D7C0000}"/>
    <cellStyle name="Normal 4 2 2 2 2 2 3 4 2 4" xfId="40097" xr:uid="{00000000-0005-0000-0000-00004E7C0000}"/>
    <cellStyle name="Normal 4 2 2 2 2 2 3 4 3" xfId="8220" xr:uid="{00000000-0005-0000-0000-00004F7C0000}"/>
    <cellStyle name="Normal 4 2 2 2 2 2 3 4 3 2" xfId="26399" xr:uid="{00000000-0005-0000-0000-0000507C0000}"/>
    <cellStyle name="Normal 4 2 2 2 2 2 3 4 3 2 2" xfId="58270" xr:uid="{00000000-0005-0000-0000-0000517C0000}"/>
    <cellStyle name="Normal 4 2 2 2 2 2 3 4 3 3" xfId="40099" xr:uid="{00000000-0005-0000-0000-0000527C0000}"/>
    <cellStyle name="Normal 4 2 2 2 2 2 3 4 4" xfId="18521" xr:uid="{00000000-0005-0000-0000-0000537C0000}"/>
    <cellStyle name="Normal 4 2 2 2 2 2 3 4 4 2" xfId="50392" xr:uid="{00000000-0005-0000-0000-0000547C0000}"/>
    <cellStyle name="Normal 4 2 2 2 2 2 3 4 5" xfId="40096" xr:uid="{00000000-0005-0000-0000-0000557C0000}"/>
    <cellStyle name="Normal 4 2 2 2 2 2 3 5" xfId="8221" xr:uid="{00000000-0005-0000-0000-0000567C0000}"/>
    <cellStyle name="Normal 4 2 2 2 2 2 3 5 2" xfId="8222" xr:uid="{00000000-0005-0000-0000-0000577C0000}"/>
    <cellStyle name="Normal 4 2 2 2 2 2 3 5 2 2" xfId="30331" xr:uid="{00000000-0005-0000-0000-0000587C0000}"/>
    <cellStyle name="Normal 4 2 2 2 2 2 3 5 2 2 2" xfId="62202" xr:uid="{00000000-0005-0000-0000-0000597C0000}"/>
    <cellStyle name="Normal 4 2 2 2 2 2 3 5 2 3" xfId="40101" xr:uid="{00000000-0005-0000-0000-00005A7C0000}"/>
    <cellStyle name="Normal 4 2 2 2 2 2 3 5 3" xfId="22453" xr:uid="{00000000-0005-0000-0000-00005B7C0000}"/>
    <cellStyle name="Normal 4 2 2 2 2 2 3 5 3 2" xfId="54324" xr:uid="{00000000-0005-0000-0000-00005C7C0000}"/>
    <cellStyle name="Normal 4 2 2 2 2 2 3 5 4" xfId="40100" xr:uid="{00000000-0005-0000-0000-00005D7C0000}"/>
    <cellStyle name="Normal 4 2 2 2 2 2 3 6" xfId="8223" xr:uid="{00000000-0005-0000-0000-00005E7C0000}"/>
    <cellStyle name="Normal 4 2 2 2 2 2 3 6 2" xfId="26392" xr:uid="{00000000-0005-0000-0000-00005F7C0000}"/>
    <cellStyle name="Normal 4 2 2 2 2 2 3 6 2 2" xfId="58263" xr:uid="{00000000-0005-0000-0000-0000607C0000}"/>
    <cellStyle name="Normal 4 2 2 2 2 2 3 6 3" xfId="40102" xr:uid="{00000000-0005-0000-0000-0000617C0000}"/>
    <cellStyle name="Normal 4 2 2 2 2 2 3 7" xfId="18514" xr:uid="{00000000-0005-0000-0000-0000627C0000}"/>
    <cellStyle name="Normal 4 2 2 2 2 2 3 7 2" xfId="50385" xr:uid="{00000000-0005-0000-0000-0000637C0000}"/>
    <cellStyle name="Normal 4 2 2 2 2 2 3 8" xfId="40071" xr:uid="{00000000-0005-0000-0000-0000647C0000}"/>
    <cellStyle name="Normal 4 2 2 2 2 2 4" xfId="8224" xr:uid="{00000000-0005-0000-0000-0000657C0000}"/>
    <cellStyle name="Normal 4 2 2 2 2 2 4 2" xfId="8225" xr:uid="{00000000-0005-0000-0000-0000667C0000}"/>
    <cellStyle name="Normal 4 2 2 2 2 2 4 2 2" xfId="8226" xr:uid="{00000000-0005-0000-0000-0000677C0000}"/>
    <cellStyle name="Normal 4 2 2 2 2 2 4 2 2 2" xfId="8227" xr:uid="{00000000-0005-0000-0000-0000687C0000}"/>
    <cellStyle name="Normal 4 2 2 2 2 2 4 2 2 2 2" xfId="8228" xr:uid="{00000000-0005-0000-0000-0000697C0000}"/>
    <cellStyle name="Normal 4 2 2 2 2 2 4 2 2 2 2 2" xfId="30341" xr:uid="{00000000-0005-0000-0000-00006A7C0000}"/>
    <cellStyle name="Normal 4 2 2 2 2 2 4 2 2 2 2 2 2" xfId="62212" xr:uid="{00000000-0005-0000-0000-00006B7C0000}"/>
    <cellStyle name="Normal 4 2 2 2 2 2 4 2 2 2 2 3" xfId="40107" xr:uid="{00000000-0005-0000-0000-00006C7C0000}"/>
    <cellStyle name="Normal 4 2 2 2 2 2 4 2 2 2 3" xfId="22463" xr:uid="{00000000-0005-0000-0000-00006D7C0000}"/>
    <cellStyle name="Normal 4 2 2 2 2 2 4 2 2 2 3 2" xfId="54334" xr:uid="{00000000-0005-0000-0000-00006E7C0000}"/>
    <cellStyle name="Normal 4 2 2 2 2 2 4 2 2 2 4" xfId="40106" xr:uid="{00000000-0005-0000-0000-00006F7C0000}"/>
    <cellStyle name="Normal 4 2 2 2 2 2 4 2 2 3" xfId="8229" xr:uid="{00000000-0005-0000-0000-0000707C0000}"/>
    <cellStyle name="Normal 4 2 2 2 2 2 4 2 2 3 2" xfId="26402" xr:uid="{00000000-0005-0000-0000-0000717C0000}"/>
    <cellStyle name="Normal 4 2 2 2 2 2 4 2 2 3 2 2" xfId="58273" xr:uid="{00000000-0005-0000-0000-0000727C0000}"/>
    <cellStyle name="Normal 4 2 2 2 2 2 4 2 2 3 3" xfId="40108" xr:uid="{00000000-0005-0000-0000-0000737C0000}"/>
    <cellStyle name="Normal 4 2 2 2 2 2 4 2 2 4" xfId="18524" xr:uid="{00000000-0005-0000-0000-0000747C0000}"/>
    <cellStyle name="Normal 4 2 2 2 2 2 4 2 2 4 2" xfId="50395" xr:uid="{00000000-0005-0000-0000-0000757C0000}"/>
    <cellStyle name="Normal 4 2 2 2 2 2 4 2 2 5" xfId="40105" xr:uid="{00000000-0005-0000-0000-0000767C0000}"/>
    <cellStyle name="Normal 4 2 2 2 2 2 4 2 3" xfId="8230" xr:uid="{00000000-0005-0000-0000-0000777C0000}"/>
    <cellStyle name="Normal 4 2 2 2 2 2 4 2 3 2" xfId="8231" xr:uid="{00000000-0005-0000-0000-0000787C0000}"/>
    <cellStyle name="Normal 4 2 2 2 2 2 4 2 3 2 2" xfId="30340" xr:uid="{00000000-0005-0000-0000-0000797C0000}"/>
    <cellStyle name="Normal 4 2 2 2 2 2 4 2 3 2 2 2" xfId="62211" xr:uid="{00000000-0005-0000-0000-00007A7C0000}"/>
    <cellStyle name="Normal 4 2 2 2 2 2 4 2 3 2 3" xfId="40110" xr:uid="{00000000-0005-0000-0000-00007B7C0000}"/>
    <cellStyle name="Normal 4 2 2 2 2 2 4 2 3 3" xfId="22462" xr:uid="{00000000-0005-0000-0000-00007C7C0000}"/>
    <cellStyle name="Normal 4 2 2 2 2 2 4 2 3 3 2" xfId="54333" xr:uid="{00000000-0005-0000-0000-00007D7C0000}"/>
    <cellStyle name="Normal 4 2 2 2 2 2 4 2 3 4" xfId="40109" xr:uid="{00000000-0005-0000-0000-00007E7C0000}"/>
    <cellStyle name="Normal 4 2 2 2 2 2 4 2 4" xfId="8232" xr:uid="{00000000-0005-0000-0000-00007F7C0000}"/>
    <cellStyle name="Normal 4 2 2 2 2 2 4 2 4 2" xfId="26401" xr:uid="{00000000-0005-0000-0000-0000807C0000}"/>
    <cellStyle name="Normal 4 2 2 2 2 2 4 2 4 2 2" xfId="58272" xr:uid="{00000000-0005-0000-0000-0000817C0000}"/>
    <cellStyle name="Normal 4 2 2 2 2 2 4 2 4 3" xfId="40111" xr:uid="{00000000-0005-0000-0000-0000827C0000}"/>
    <cellStyle name="Normal 4 2 2 2 2 2 4 2 5" xfId="18523" xr:uid="{00000000-0005-0000-0000-0000837C0000}"/>
    <cellStyle name="Normal 4 2 2 2 2 2 4 2 5 2" xfId="50394" xr:uid="{00000000-0005-0000-0000-0000847C0000}"/>
    <cellStyle name="Normal 4 2 2 2 2 2 4 2 6" xfId="40104" xr:uid="{00000000-0005-0000-0000-0000857C0000}"/>
    <cellStyle name="Normal 4 2 2 2 2 2 4 3" xfId="8233" xr:uid="{00000000-0005-0000-0000-0000867C0000}"/>
    <cellStyle name="Normal 4 2 2 2 2 2 4 3 2" xfId="8234" xr:uid="{00000000-0005-0000-0000-0000877C0000}"/>
    <cellStyle name="Normal 4 2 2 2 2 2 4 3 2 2" xfId="8235" xr:uid="{00000000-0005-0000-0000-0000887C0000}"/>
    <cellStyle name="Normal 4 2 2 2 2 2 4 3 2 2 2" xfId="30342" xr:uid="{00000000-0005-0000-0000-0000897C0000}"/>
    <cellStyle name="Normal 4 2 2 2 2 2 4 3 2 2 2 2" xfId="62213" xr:uid="{00000000-0005-0000-0000-00008A7C0000}"/>
    <cellStyle name="Normal 4 2 2 2 2 2 4 3 2 2 3" xfId="40114" xr:uid="{00000000-0005-0000-0000-00008B7C0000}"/>
    <cellStyle name="Normal 4 2 2 2 2 2 4 3 2 3" xfId="22464" xr:uid="{00000000-0005-0000-0000-00008C7C0000}"/>
    <cellStyle name="Normal 4 2 2 2 2 2 4 3 2 3 2" xfId="54335" xr:uid="{00000000-0005-0000-0000-00008D7C0000}"/>
    <cellStyle name="Normal 4 2 2 2 2 2 4 3 2 4" xfId="40113" xr:uid="{00000000-0005-0000-0000-00008E7C0000}"/>
    <cellStyle name="Normal 4 2 2 2 2 2 4 3 3" xfId="8236" xr:uid="{00000000-0005-0000-0000-00008F7C0000}"/>
    <cellStyle name="Normal 4 2 2 2 2 2 4 3 3 2" xfId="26403" xr:uid="{00000000-0005-0000-0000-0000907C0000}"/>
    <cellStyle name="Normal 4 2 2 2 2 2 4 3 3 2 2" xfId="58274" xr:uid="{00000000-0005-0000-0000-0000917C0000}"/>
    <cellStyle name="Normal 4 2 2 2 2 2 4 3 3 3" xfId="40115" xr:uid="{00000000-0005-0000-0000-0000927C0000}"/>
    <cellStyle name="Normal 4 2 2 2 2 2 4 3 4" xfId="18525" xr:uid="{00000000-0005-0000-0000-0000937C0000}"/>
    <cellStyle name="Normal 4 2 2 2 2 2 4 3 4 2" xfId="50396" xr:uid="{00000000-0005-0000-0000-0000947C0000}"/>
    <cellStyle name="Normal 4 2 2 2 2 2 4 3 5" xfId="40112" xr:uid="{00000000-0005-0000-0000-0000957C0000}"/>
    <cellStyle name="Normal 4 2 2 2 2 2 4 4" xfId="8237" xr:uid="{00000000-0005-0000-0000-0000967C0000}"/>
    <cellStyle name="Normal 4 2 2 2 2 2 4 4 2" xfId="8238" xr:uid="{00000000-0005-0000-0000-0000977C0000}"/>
    <cellStyle name="Normal 4 2 2 2 2 2 4 4 2 2" xfId="30339" xr:uid="{00000000-0005-0000-0000-0000987C0000}"/>
    <cellStyle name="Normal 4 2 2 2 2 2 4 4 2 2 2" xfId="62210" xr:uid="{00000000-0005-0000-0000-0000997C0000}"/>
    <cellStyle name="Normal 4 2 2 2 2 2 4 4 2 3" xfId="40117" xr:uid="{00000000-0005-0000-0000-00009A7C0000}"/>
    <cellStyle name="Normal 4 2 2 2 2 2 4 4 3" xfId="22461" xr:uid="{00000000-0005-0000-0000-00009B7C0000}"/>
    <cellStyle name="Normal 4 2 2 2 2 2 4 4 3 2" xfId="54332" xr:uid="{00000000-0005-0000-0000-00009C7C0000}"/>
    <cellStyle name="Normal 4 2 2 2 2 2 4 4 4" xfId="40116" xr:uid="{00000000-0005-0000-0000-00009D7C0000}"/>
    <cellStyle name="Normal 4 2 2 2 2 2 4 5" xfId="8239" xr:uid="{00000000-0005-0000-0000-00009E7C0000}"/>
    <cellStyle name="Normal 4 2 2 2 2 2 4 5 2" xfId="26400" xr:uid="{00000000-0005-0000-0000-00009F7C0000}"/>
    <cellStyle name="Normal 4 2 2 2 2 2 4 5 2 2" xfId="58271" xr:uid="{00000000-0005-0000-0000-0000A07C0000}"/>
    <cellStyle name="Normal 4 2 2 2 2 2 4 5 3" xfId="40118" xr:uid="{00000000-0005-0000-0000-0000A17C0000}"/>
    <cellStyle name="Normal 4 2 2 2 2 2 4 6" xfId="18522" xr:uid="{00000000-0005-0000-0000-0000A27C0000}"/>
    <cellStyle name="Normal 4 2 2 2 2 2 4 6 2" xfId="50393" xr:uid="{00000000-0005-0000-0000-0000A37C0000}"/>
    <cellStyle name="Normal 4 2 2 2 2 2 4 7" xfId="40103" xr:uid="{00000000-0005-0000-0000-0000A47C0000}"/>
    <cellStyle name="Normal 4 2 2 2 2 2 5" xfId="8240" xr:uid="{00000000-0005-0000-0000-0000A57C0000}"/>
    <cellStyle name="Normal 4 2 2 2 2 2 5 2" xfId="8241" xr:uid="{00000000-0005-0000-0000-0000A67C0000}"/>
    <cellStyle name="Normal 4 2 2 2 2 2 5 2 2" xfId="8242" xr:uid="{00000000-0005-0000-0000-0000A77C0000}"/>
    <cellStyle name="Normal 4 2 2 2 2 2 5 2 2 2" xfId="8243" xr:uid="{00000000-0005-0000-0000-0000A87C0000}"/>
    <cellStyle name="Normal 4 2 2 2 2 2 5 2 2 2 2" xfId="30344" xr:uid="{00000000-0005-0000-0000-0000A97C0000}"/>
    <cellStyle name="Normal 4 2 2 2 2 2 5 2 2 2 2 2" xfId="62215" xr:uid="{00000000-0005-0000-0000-0000AA7C0000}"/>
    <cellStyle name="Normal 4 2 2 2 2 2 5 2 2 2 3" xfId="40122" xr:uid="{00000000-0005-0000-0000-0000AB7C0000}"/>
    <cellStyle name="Normal 4 2 2 2 2 2 5 2 2 3" xfId="22466" xr:uid="{00000000-0005-0000-0000-0000AC7C0000}"/>
    <cellStyle name="Normal 4 2 2 2 2 2 5 2 2 3 2" xfId="54337" xr:uid="{00000000-0005-0000-0000-0000AD7C0000}"/>
    <cellStyle name="Normal 4 2 2 2 2 2 5 2 2 4" xfId="40121" xr:uid="{00000000-0005-0000-0000-0000AE7C0000}"/>
    <cellStyle name="Normal 4 2 2 2 2 2 5 2 3" xfId="8244" xr:uid="{00000000-0005-0000-0000-0000AF7C0000}"/>
    <cellStyle name="Normal 4 2 2 2 2 2 5 2 3 2" xfId="26405" xr:uid="{00000000-0005-0000-0000-0000B07C0000}"/>
    <cellStyle name="Normal 4 2 2 2 2 2 5 2 3 2 2" xfId="58276" xr:uid="{00000000-0005-0000-0000-0000B17C0000}"/>
    <cellStyle name="Normal 4 2 2 2 2 2 5 2 3 3" xfId="40123" xr:uid="{00000000-0005-0000-0000-0000B27C0000}"/>
    <cellStyle name="Normal 4 2 2 2 2 2 5 2 4" xfId="18527" xr:uid="{00000000-0005-0000-0000-0000B37C0000}"/>
    <cellStyle name="Normal 4 2 2 2 2 2 5 2 4 2" xfId="50398" xr:uid="{00000000-0005-0000-0000-0000B47C0000}"/>
    <cellStyle name="Normal 4 2 2 2 2 2 5 2 5" xfId="40120" xr:uid="{00000000-0005-0000-0000-0000B57C0000}"/>
    <cellStyle name="Normal 4 2 2 2 2 2 5 3" xfId="8245" xr:uid="{00000000-0005-0000-0000-0000B67C0000}"/>
    <cellStyle name="Normal 4 2 2 2 2 2 5 3 2" xfId="8246" xr:uid="{00000000-0005-0000-0000-0000B77C0000}"/>
    <cellStyle name="Normal 4 2 2 2 2 2 5 3 2 2" xfId="30343" xr:uid="{00000000-0005-0000-0000-0000B87C0000}"/>
    <cellStyle name="Normal 4 2 2 2 2 2 5 3 2 2 2" xfId="62214" xr:uid="{00000000-0005-0000-0000-0000B97C0000}"/>
    <cellStyle name="Normal 4 2 2 2 2 2 5 3 2 3" xfId="40125" xr:uid="{00000000-0005-0000-0000-0000BA7C0000}"/>
    <cellStyle name="Normal 4 2 2 2 2 2 5 3 3" xfId="22465" xr:uid="{00000000-0005-0000-0000-0000BB7C0000}"/>
    <cellStyle name="Normal 4 2 2 2 2 2 5 3 3 2" xfId="54336" xr:uid="{00000000-0005-0000-0000-0000BC7C0000}"/>
    <cellStyle name="Normal 4 2 2 2 2 2 5 3 4" xfId="40124" xr:uid="{00000000-0005-0000-0000-0000BD7C0000}"/>
    <cellStyle name="Normal 4 2 2 2 2 2 5 4" xfId="8247" xr:uid="{00000000-0005-0000-0000-0000BE7C0000}"/>
    <cellStyle name="Normal 4 2 2 2 2 2 5 4 2" xfId="26404" xr:uid="{00000000-0005-0000-0000-0000BF7C0000}"/>
    <cellStyle name="Normal 4 2 2 2 2 2 5 4 2 2" xfId="58275" xr:uid="{00000000-0005-0000-0000-0000C07C0000}"/>
    <cellStyle name="Normal 4 2 2 2 2 2 5 4 3" xfId="40126" xr:uid="{00000000-0005-0000-0000-0000C17C0000}"/>
    <cellStyle name="Normal 4 2 2 2 2 2 5 5" xfId="18526" xr:uid="{00000000-0005-0000-0000-0000C27C0000}"/>
    <cellStyle name="Normal 4 2 2 2 2 2 5 5 2" xfId="50397" xr:uid="{00000000-0005-0000-0000-0000C37C0000}"/>
    <cellStyle name="Normal 4 2 2 2 2 2 5 6" xfId="40119" xr:uid="{00000000-0005-0000-0000-0000C47C0000}"/>
    <cellStyle name="Normal 4 2 2 2 2 2 6" xfId="8248" xr:uid="{00000000-0005-0000-0000-0000C57C0000}"/>
    <cellStyle name="Normal 4 2 2 2 2 2 6 2" xfId="8249" xr:uid="{00000000-0005-0000-0000-0000C67C0000}"/>
    <cellStyle name="Normal 4 2 2 2 2 2 6 2 2" xfId="8250" xr:uid="{00000000-0005-0000-0000-0000C77C0000}"/>
    <cellStyle name="Normal 4 2 2 2 2 2 6 2 2 2" xfId="30345" xr:uid="{00000000-0005-0000-0000-0000C87C0000}"/>
    <cellStyle name="Normal 4 2 2 2 2 2 6 2 2 2 2" xfId="62216" xr:uid="{00000000-0005-0000-0000-0000C97C0000}"/>
    <cellStyle name="Normal 4 2 2 2 2 2 6 2 2 3" xfId="40129" xr:uid="{00000000-0005-0000-0000-0000CA7C0000}"/>
    <cellStyle name="Normal 4 2 2 2 2 2 6 2 3" xfId="22467" xr:uid="{00000000-0005-0000-0000-0000CB7C0000}"/>
    <cellStyle name="Normal 4 2 2 2 2 2 6 2 3 2" xfId="54338" xr:uid="{00000000-0005-0000-0000-0000CC7C0000}"/>
    <cellStyle name="Normal 4 2 2 2 2 2 6 2 4" xfId="40128" xr:uid="{00000000-0005-0000-0000-0000CD7C0000}"/>
    <cellStyle name="Normal 4 2 2 2 2 2 6 3" xfId="8251" xr:uid="{00000000-0005-0000-0000-0000CE7C0000}"/>
    <cellStyle name="Normal 4 2 2 2 2 2 6 3 2" xfId="26406" xr:uid="{00000000-0005-0000-0000-0000CF7C0000}"/>
    <cellStyle name="Normal 4 2 2 2 2 2 6 3 2 2" xfId="58277" xr:uid="{00000000-0005-0000-0000-0000D07C0000}"/>
    <cellStyle name="Normal 4 2 2 2 2 2 6 3 3" xfId="40130" xr:uid="{00000000-0005-0000-0000-0000D17C0000}"/>
    <cellStyle name="Normal 4 2 2 2 2 2 6 4" xfId="18528" xr:uid="{00000000-0005-0000-0000-0000D27C0000}"/>
    <cellStyle name="Normal 4 2 2 2 2 2 6 4 2" xfId="50399" xr:uid="{00000000-0005-0000-0000-0000D37C0000}"/>
    <cellStyle name="Normal 4 2 2 2 2 2 6 5" xfId="40127" xr:uid="{00000000-0005-0000-0000-0000D47C0000}"/>
    <cellStyle name="Normal 4 2 2 2 2 2 7" xfId="8252" xr:uid="{00000000-0005-0000-0000-0000D57C0000}"/>
    <cellStyle name="Normal 4 2 2 2 2 2 7 2" xfId="8253" xr:uid="{00000000-0005-0000-0000-0000D67C0000}"/>
    <cellStyle name="Normal 4 2 2 2 2 2 7 2 2" xfId="28331" xr:uid="{00000000-0005-0000-0000-0000D77C0000}"/>
    <cellStyle name="Normal 4 2 2 2 2 2 7 2 2 2" xfId="60202" xr:uid="{00000000-0005-0000-0000-0000D87C0000}"/>
    <cellStyle name="Normal 4 2 2 2 2 2 7 2 3" xfId="40132" xr:uid="{00000000-0005-0000-0000-0000D97C0000}"/>
    <cellStyle name="Normal 4 2 2 2 2 2 7 3" xfId="20453" xr:uid="{00000000-0005-0000-0000-0000DA7C0000}"/>
    <cellStyle name="Normal 4 2 2 2 2 2 7 3 2" xfId="52324" xr:uid="{00000000-0005-0000-0000-0000DB7C0000}"/>
    <cellStyle name="Normal 4 2 2 2 2 2 7 4" xfId="40131" xr:uid="{00000000-0005-0000-0000-0000DC7C0000}"/>
    <cellStyle name="Normal 4 2 2 2 2 2 8" xfId="8254" xr:uid="{00000000-0005-0000-0000-0000DD7C0000}"/>
    <cellStyle name="Normal 4 2 2 2 2 2 8 2" xfId="24392" xr:uid="{00000000-0005-0000-0000-0000DE7C0000}"/>
    <cellStyle name="Normal 4 2 2 2 2 2 8 2 2" xfId="56263" xr:uid="{00000000-0005-0000-0000-0000DF7C0000}"/>
    <cellStyle name="Normal 4 2 2 2 2 2 8 3" xfId="40133" xr:uid="{00000000-0005-0000-0000-0000E07C0000}"/>
    <cellStyle name="Normal 4 2 2 2 2 2 9" xfId="16514" xr:uid="{00000000-0005-0000-0000-0000E17C0000}"/>
    <cellStyle name="Normal 4 2 2 2 2 2 9 2" xfId="48385" xr:uid="{00000000-0005-0000-0000-0000E27C0000}"/>
    <cellStyle name="Normal 4 2 2 2 2 3" xfId="8255" xr:uid="{00000000-0005-0000-0000-0000E37C0000}"/>
    <cellStyle name="Normal 4 2 2 2 2 3 10" xfId="40134" xr:uid="{00000000-0005-0000-0000-0000E47C0000}"/>
    <cellStyle name="Normal 4 2 2 2 2 3 2" xfId="8256" xr:uid="{00000000-0005-0000-0000-0000E57C0000}"/>
    <cellStyle name="Normal 4 2 2 2 2 3 2 2" xfId="8257" xr:uid="{00000000-0005-0000-0000-0000E67C0000}"/>
    <cellStyle name="Normal 4 2 2 2 2 3 2 2 2" xfId="8258" xr:uid="{00000000-0005-0000-0000-0000E77C0000}"/>
    <cellStyle name="Normal 4 2 2 2 2 3 2 2 2 2" xfId="8259" xr:uid="{00000000-0005-0000-0000-0000E87C0000}"/>
    <cellStyle name="Normal 4 2 2 2 2 3 2 2 2 2 2" xfId="8260" xr:uid="{00000000-0005-0000-0000-0000E97C0000}"/>
    <cellStyle name="Normal 4 2 2 2 2 3 2 2 2 2 2 2" xfId="8261" xr:uid="{00000000-0005-0000-0000-0000EA7C0000}"/>
    <cellStyle name="Normal 4 2 2 2 2 3 2 2 2 2 2 2 2" xfId="8262" xr:uid="{00000000-0005-0000-0000-0000EB7C0000}"/>
    <cellStyle name="Normal 4 2 2 2 2 3 2 2 2 2 2 2 2 2" xfId="30349" xr:uid="{00000000-0005-0000-0000-0000EC7C0000}"/>
    <cellStyle name="Normal 4 2 2 2 2 3 2 2 2 2 2 2 2 2 2" xfId="62220" xr:uid="{00000000-0005-0000-0000-0000ED7C0000}"/>
    <cellStyle name="Normal 4 2 2 2 2 3 2 2 2 2 2 2 2 3" xfId="40141" xr:uid="{00000000-0005-0000-0000-0000EE7C0000}"/>
    <cellStyle name="Normal 4 2 2 2 2 3 2 2 2 2 2 2 3" xfId="22471" xr:uid="{00000000-0005-0000-0000-0000EF7C0000}"/>
    <cellStyle name="Normal 4 2 2 2 2 3 2 2 2 2 2 2 3 2" xfId="54342" xr:uid="{00000000-0005-0000-0000-0000F07C0000}"/>
    <cellStyle name="Normal 4 2 2 2 2 3 2 2 2 2 2 2 4" xfId="40140" xr:uid="{00000000-0005-0000-0000-0000F17C0000}"/>
    <cellStyle name="Normal 4 2 2 2 2 3 2 2 2 2 2 3" xfId="8263" xr:uid="{00000000-0005-0000-0000-0000F27C0000}"/>
    <cellStyle name="Normal 4 2 2 2 2 3 2 2 2 2 2 3 2" xfId="26410" xr:uid="{00000000-0005-0000-0000-0000F37C0000}"/>
    <cellStyle name="Normal 4 2 2 2 2 3 2 2 2 2 2 3 2 2" xfId="58281" xr:uid="{00000000-0005-0000-0000-0000F47C0000}"/>
    <cellStyle name="Normal 4 2 2 2 2 3 2 2 2 2 2 3 3" xfId="40142" xr:uid="{00000000-0005-0000-0000-0000F57C0000}"/>
    <cellStyle name="Normal 4 2 2 2 2 3 2 2 2 2 2 4" xfId="18532" xr:uid="{00000000-0005-0000-0000-0000F67C0000}"/>
    <cellStyle name="Normal 4 2 2 2 2 3 2 2 2 2 2 4 2" xfId="50403" xr:uid="{00000000-0005-0000-0000-0000F77C0000}"/>
    <cellStyle name="Normal 4 2 2 2 2 3 2 2 2 2 2 5" xfId="40139" xr:uid="{00000000-0005-0000-0000-0000F87C0000}"/>
    <cellStyle name="Normal 4 2 2 2 2 3 2 2 2 2 3" xfId="8264" xr:uid="{00000000-0005-0000-0000-0000F97C0000}"/>
    <cellStyle name="Normal 4 2 2 2 2 3 2 2 2 2 3 2" xfId="8265" xr:uid="{00000000-0005-0000-0000-0000FA7C0000}"/>
    <cellStyle name="Normal 4 2 2 2 2 3 2 2 2 2 3 2 2" xfId="30348" xr:uid="{00000000-0005-0000-0000-0000FB7C0000}"/>
    <cellStyle name="Normal 4 2 2 2 2 3 2 2 2 2 3 2 2 2" xfId="62219" xr:uid="{00000000-0005-0000-0000-0000FC7C0000}"/>
    <cellStyle name="Normal 4 2 2 2 2 3 2 2 2 2 3 2 3" xfId="40144" xr:uid="{00000000-0005-0000-0000-0000FD7C0000}"/>
    <cellStyle name="Normal 4 2 2 2 2 3 2 2 2 2 3 3" xfId="22470" xr:uid="{00000000-0005-0000-0000-0000FE7C0000}"/>
    <cellStyle name="Normal 4 2 2 2 2 3 2 2 2 2 3 3 2" xfId="54341" xr:uid="{00000000-0005-0000-0000-0000FF7C0000}"/>
    <cellStyle name="Normal 4 2 2 2 2 3 2 2 2 2 3 4" xfId="40143" xr:uid="{00000000-0005-0000-0000-0000007D0000}"/>
    <cellStyle name="Normal 4 2 2 2 2 3 2 2 2 2 4" xfId="8266" xr:uid="{00000000-0005-0000-0000-0000017D0000}"/>
    <cellStyle name="Normal 4 2 2 2 2 3 2 2 2 2 4 2" xfId="26409" xr:uid="{00000000-0005-0000-0000-0000027D0000}"/>
    <cellStyle name="Normal 4 2 2 2 2 3 2 2 2 2 4 2 2" xfId="58280" xr:uid="{00000000-0005-0000-0000-0000037D0000}"/>
    <cellStyle name="Normal 4 2 2 2 2 3 2 2 2 2 4 3" xfId="40145" xr:uid="{00000000-0005-0000-0000-0000047D0000}"/>
    <cellStyle name="Normal 4 2 2 2 2 3 2 2 2 2 5" xfId="18531" xr:uid="{00000000-0005-0000-0000-0000057D0000}"/>
    <cellStyle name="Normal 4 2 2 2 2 3 2 2 2 2 5 2" xfId="50402" xr:uid="{00000000-0005-0000-0000-0000067D0000}"/>
    <cellStyle name="Normal 4 2 2 2 2 3 2 2 2 2 6" xfId="40138" xr:uid="{00000000-0005-0000-0000-0000077D0000}"/>
    <cellStyle name="Normal 4 2 2 2 2 3 2 2 2 3" xfId="8267" xr:uid="{00000000-0005-0000-0000-0000087D0000}"/>
    <cellStyle name="Normal 4 2 2 2 2 3 2 2 2 3 2" xfId="8268" xr:uid="{00000000-0005-0000-0000-0000097D0000}"/>
    <cellStyle name="Normal 4 2 2 2 2 3 2 2 2 3 2 2" xfId="8269" xr:uid="{00000000-0005-0000-0000-00000A7D0000}"/>
    <cellStyle name="Normal 4 2 2 2 2 3 2 2 2 3 2 2 2" xfId="30350" xr:uid="{00000000-0005-0000-0000-00000B7D0000}"/>
    <cellStyle name="Normal 4 2 2 2 2 3 2 2 2 3 2 2 2 2" xfId="62221" xr:uid="{00000000-0005-0000-0000-00000C7D0000}"/>
    <cellStyle name="Normal 4 2 2 2 2 3 2 2 2 3 2 2 3" xfId="40148" xr:uid="{00000000-0005-0000-0000-00000D7D0000}"/>
    <cellStyle name="Normal 4 2 2 2 2 3 2 2 2 3 2 3" xfId="22472" xr:uid="{00000000-0005-0000-0000-00000E7D0000}"/>
    <cellStyle name="Normal 4 2 2 2 2 3 2 2 2 3 2 3 2" xfId="54343" xr:uid="{00000000-0005-0000-0000-00000F7D0000}"/>
    <cellStyle name="Normal 4 2 2 2 2 3 2 2 2 3 2 4" xfId="40147" xr:uid="{00000000-0005-0000-0000-0000107D0000}"/>
    <cellStyle name="Normal 4 2 2 2 2 3 2 2 2 3 3" xfId="8270" xr:uid="{00000000-0005-0000-0000-0000117D0000}"/>
    <cellStyle name="Normal 4 2 2 2 2 3 2 2 2 3 3 2" xfId="26411" xr:uid="{00000000-0005-0000-0000-0000127D0000}"/>
    <cellStyle name="Normal 4 2 2 2 2 3 2 2 2 3 3 2 2" xfId="58282" xr:uid="{00000000-0005-0000-0000-0000137D0000}"/>
    <cellStyle name="Normal 4 2 2 2 2 3 2 2 2 3 3 3" xfId="40149" xr:uid="{00000000-0005-0000-0000-0000147D0000}"/>
    <cellStyle name="Normal 4 2 2 2 2 3 2 2 2 3 4" xfId="18533" xr:uid="{00000000-0005-0000-0000-0000157D0000}"/>
    <cellStyle name="Normal 4 2 2 2 2 3 2 2 2 3 4 2" xfId="50404" xr:uid="{00000000-0005-0000-0000-0000167D0000}"/>
    <cellStyle name="Normal 4 2 2 2 2 3 2 2 2 3 5" xfId="40146" xr:uid="{00000000-0005-0000-0000-0000177D0000}"/>
    <cellStyle name="Normal 4 2 2 2 2 3 2 2 2 4" xfId="8271" xr:uid="{00000000-0005-0000-0000-0000187D0000}"/>
    <cellStyle name="Normal 4 2 2 2 2 3 2 2 2 4 2" xfId="8272" xr:uid="{00000000-0005-0000-0000-0000197D0000}"/>
    <cellStyle name="Normal 4 2 2 2 2 3 2 2 2 4 2 2" xfId="30347" xr:uid="{00000000-0005-0000-0000-00001A7D0000}"/>
    <cellStyle name="Normal 4 2 2 2 2 3 2 2 2 4 2 2 2" xfId="62218" xr:uid="{00000000-0005-0000-0000-00001B7D0000}"/>
    <cellStyle name="Normal 4 2 2 2 2 3 2 2 2 4 2 3" xfId="40151" xr:uid="{00000000-0005-0000-0000-00001C7D0000}"/>
    <cellStyle name="Normal 4 2 2 2 2 3 2 2 2 4 3" xfId="22469" xr:uid="{00000000-0005-0000-0000-00001D7D0000}"/>
    <cellStyle name="Normal 4 2 2 2 2 3 2 2 2 4 3 2" xfId="54340" xr:uid="{00000000-0005-0000-0000-00001E7D0000}"/>
    <cellStyle name="Normal 4 2 2 2 2 3 2 2 2 4 4" xfId="40150" xr:uid="{00000000-0005-0000-0000-00001F7D0000}"/>
    <cellStyle name="Normal 4 2 2 2 2 3 2 2 2 5" xfId="8273" xr:uid="{00000000-0005-0000-0000-0000207D0000}"/>
    <cellStyle name="Normal 4 2 2 2 2 3 2 2 2 5 2" xfId="26408" xr:uid="{00000000-0005-0000-0000-0000217D0000}"/>
    <cellStyle name="Normal 4 2 2 2 2 3 2 2 2 5 2 2" xfId="58279" xr:uid="{00000000-0005-0000-0000-0000227D0000}"/>
    <cellStyle name="Normal 4 2 2 2 2 3 2 2 2 5 3" xfId="40152" xr:uid="{00000000-0005-0000-0000-0000237D0000}"/>
    <cellStyle name="Normal 4 2 2 2 2 3 2 2 2 6" xfId="18530" xr:uid="{00000000-0005-0000-0000-0000247D0000}"/>
    <cellStyle name="Normal 4 2 2 2 2 3 2 2 2 6 2" xfId="50401" xr:uid="{00000000-0005-0000-0000-0000257D0000}"/>
    <cellStyle name="Normal 4 2 2 2 2 3 2 2 2 7" xfId="40137" xr:uid="{00000000-0005-0000-0000-0000267D0000}"/>
    <cellStyle name="Normal 4 2 2 2 2 3 2 2 3" xfId="8274" xr:uid="{00000000-0005-0000-0000-0000277D0000}"/>
    <cellStyle name="Normal 4 2 2 2 2 3 2 2 3 2" xfId="8275" xr:uid="{00000000-0005-0000-0000-0000287D0000}"/>
    <cellStyle name="Normal 4 2 2 2 2 3 2 2 3 2 2" xfId="8276" xr:uid="{00000000-0005-0000-0000-0000297D0000}"/>
    <cellStyle name="Normal 4 2 2 2 2 3 2 2 3 2 2 2" xfId="8277" xr:uid="{00000000-0005-0000-0000-00002A7D0000}"/>
    <cellStyle name="Normal 4 2 2 2 2 3 2 2 3 2 2 2 2" xfId="30352" xr:uid="{00000000-0005-0000-0000-00002B7D0000}"/>
    <cellStyle name="Normal 4 2 2 2 2 3 2 2 3 2 2 2 2 2" xfId="62223" xr:uid="{00000000-0005-0000-0000-00002C7D0000}"/>
    <cellStyle name="Normal 4 2 2 2 2 3 2 2 3 2 2 2 3" xfId="40156" xr:uid="{00000000-0005-0000-0000-00002D7D0000}"/>
    <cellStyle name="Normal 4 2 2 2 2 3 2 2 3 2 2 3" xfId="22474" xr:uid="{00000000-0005-0000-0000-00002E7D0000}"/>
    <cellStyle name="Normal 4 2 2 2 2 3 2 2 3 2 2 3 2" xfId="54345" xr:uid="{00000000-0005-0000-0000-00002F7D0000}"/>
    <cellStyle name="Normal 4 2 2 2 2 3 2 2 3 2 2 4" xfId="40155" xr:uid="{00000000-0005-0000-0000-0000307D0000}"/>
    <cellStyle name="Normal 4 2 2 2 2 3 2 2 3 2 3" xfId="8278" xr:uid="{00000000-0005-0000-0000-0000317D0000}"/>
    <cellStyle name="Normal 4 2 2 2 2 3 2 2 3 2 3 2" xfId="26413" xr:uid="{00000000-0005-0000-0000-0000327D0000}"/>
    <cellStyle name="Normal 4 2 2 2 2 3 2 2 3 2 3 2 2" xfId="58284" xr:uid="{00000000-0005-0000-0000-0000337D0000}"/>
    <cellStyle name="Normal 4 2 2 2 2 3 2 2 3 2 3 3" xfId="40157" xr:uid="{00000000-0005-0000-0000-0000347D0000}"/>
    <cellStyle name="Normal 4 2 2 2 2 3 2 2 3 2 4" xfId="18535" xr:uid="{00000000-0005-0000-0000-0000357D0000}"/>
    <cellStyle name="Normal 4 2 2 2 2 3 2 2 3 2 4 2" xfId="50406" xr:uid="{00000000-0005-0000-0000-0000367D0000}"/>
    <cellStyle name="Normal 4 2 2 2 2 3 2 2 3 2 5" xfId="40154" xr:uid="{00000000-0005-0000-0000-0000377D0000}"/>
    <cellStyle name="Normal 4 2 2 2 2 3 2 2 3 3" xfId="8279" xr:uid="{00000000-0005-0000-0000-0000387D0000}"/>
    <cellStyle name="Normal 4 2 2 2 2 3 2 2 3 3 2" xfId="8280" xr:uid="{00000000-0005-0000-0000-0000397D0000}"/>
    <cellStyle name="Normal 4 2 2 2 2 3 2 2 3 3 2 2" xfId="30351" xr:uid="{00000000-0005-0000-0000-00003A7D0000}"/>
    <cellStyle name="Normal 4 2 2 2 2 3 2 2 3 3 2 2 2" xfId="62222" xr:uid="{00000000-0005-0000-0000-00003B7D0000}"/>
    <cellStyle name="Normal 4 2 2 2 2 3 2 2 3 3 2 3" xfId="40159" xr:uid="{00000000-0005-0000-0000-00003C7D0000}"/>
    <cellStyle name="Normal 4 2 2 2 2 3 2 2 3 3 3" xfId="22473" xr:uid="{00000000-0005-0000-0000-00003D7D0000}"/>
    <cellStyle name="Normal 4 2 2 2 2 3 2 2 3 3 3 2" xfId="54344" xr:uid="{00000000-0005-0000-0000-00003E7D0000}"/>
    <cellStyle name="Normal 4 2 2 2 2 3 2 2 3 3 4" xfId="40158" xr:uid="{00000000-0005-0000-0000-00003F7D0000}"/>
    <cellStyle name="Normal 4 2 2 2 2 3 2 2 3 4" xfId="8281" xr:uid="{00000000-0005-0000-0000-0000407D0000}"/>
    <cellStyle name="Normal 4 2 2 2 2 3 2 2 3 4 2" xfId="26412" xr:uid="{00000000-0005-0000-0000-0000417D0000}"/>
    <cellStyle name="Normal 4 2 2 2 2 3 2 2 3 4 2 2" xfId="58283" xr:uid="{00000000-0005-0000-0000-0000427D0000}"/>
    <cellStyle name="Normal 4 2 2 2 2 3 2 2 3 4 3" xfId="40160" xr:uid="{00000000-0005-0000-0000-0000437D0000}"/>
    <cellStyle name="Normal 4 2 2 2 2 3 2 2 3 5" xfId="18534" xr:uid="{00000000-0005-0000-0000-0000447D0000}"/>
    <cellStyle name="Normal 4 2 2 2 2 3 2 2 3 5 2" xfId="50405" xr:uid="{00000000-0005-0000-0000-0000457D0000}"/>
    <cellStyle name="Normal 4 2 2 2 2 3 2 2 3 6" xfId="40153" xr:uid="{00000000-0005-0000-0000-0000467D0000}"/>
    <cellStyle name="Normal 4 2 2 2 2 3 2 2 4" xfId="8282" xr:uid="{00000000-0005-0000-0000-0000477D0000}"/>
    <cellStyle name="Normal 4 2 2 2 2 3 2 2 4 2" xfId="8283" xr:uid="{00000000-0005-0000-0000-0000487D0000}"/>
    <cellStyle name="Normal 4 2 2 2 2 3 2 2 4 2 2" xfId="8284" xr:uid="{00000000-0005-0000-0000-0000497D0000}"/>
    <cellStyle name="Normal 4 2 2 2 2 3 2 2 4 2 2 2" xfId="30353" xr:uid="{00000000-0005-0000-0000-00004A7D0000}"/>
    <cellStyle name="Normal 4 2 2 2 2 3 2 2 4 2 2 2 2" xfId="62224" xr:uid="{00000000-0005-0000-0000-00004B7D0000}"/>
    <cellStyle name="Normal 4 2 2 2 2 3 2 2 4 2 2 3" xfId="40163" xr:uid="{00000000-0005-0000-0000-00004C7D0000}"/>
    <cellStyle name="Normal 4 2 2 2 2 3 2 2 4 2 3" xfId="22475" xr:uid="{00000000-0005-0000-0000-00004D7D0000}"/>
    <cellStyle name="Normal 4 2 2 2 2 3 2 2 4 2 3 2" xfId="54346" xr:uid="{00000000-0005-0000-0000-00004E7D0000}"/>
    <cellStyle name="Normal 4 2 2 2 2 3 2 2 4 2 4" xfId="40162" xr:uid="{00000000-0005-0000-0000-00004F7D0000}"/>
    <cellStyle name="Normal 4 2 2 2 2 3 2 2 4 3" xfId="8285" xr:uid="{00000000-0005-0000-0000-0000507D0000}"/>
    <cellStyle name="Normal 4 2 2 2 2 3 2 2 4 3 2" xfId="26414" xr:uid="{00000000-0005-0000-0000-0000517D0000}"/>
    <cellStyle name="Normal 4 2 2 2 2 3 2 2 4 3 2 2" xfId="58285" xr:uid="{00000000-0005-0000-0000-0000527D0000}"/>
    <cellStyle name="Normal 4 2 2 2 2 3 2 2 4 3 3" xfId="40164" xr:uid="{00000000-0005-0000-0000-0000537D0000}"/>
    <cellStyle name="Normal 4 2 2 2 2 3 2 2 4 4" xfId="18536" xr:uid="{00000000-0005-0000-0000-0000547D0000}"/>
    <cellStyle name="Normal 4 2 2 2 2 3 2 2 4 4 2" xfId="50407" xr:uid="{00000000-0005-0000-0000-0000557D0000}"/>
    <cellStyle name="Normal 4 2 2 2 2 3 2 2 4 5" xfId="40161" xr:uid="{00000000-0005-0000-0000-0000567D0000}"/>
    <cellStyle name="Normal 4 2 2 2 2 3 2 2 5" xfId="8286" xr:uid="{00000000-0005-0000-0000-0000577D0000}"/>
    <cellStyle name="Normal 4 2 2 2 2 3 2 2 5 2" xfId="8287" xr:uid="{00000000-0005-0000-0000-0000587D0000}"/>
    <cellStyle name="Normal 4 2 2 2 2 3 2 2 5 2 2" xfId="30346" xr:uid="{00000000-0005-0000-0000-0000597D0000}"/>
    <cellStyle name="Normal 4 2 2 2 2 3 2 2 5 2 2 2" xfId="62217" xr:uid="{00000000-0005-0000-0000-00005A7D0000}"/>
    <cellStyle name="Normal 4 2 2 2 2 3 2 2 5 2 3" xfId="40166" xr:uid="{00000000-0005-0000-0000-00005B7D0000}"/>
    <cellStyle name="Normal 4 2 2 2 2 3 2 2 5 3" xfId="22468" xr:uid="{00000000-0005-0000-0000-00005C7D0000}"/>
    <cellStyle name="Normal 4 2 2 2 2 3 2 2 5 3 2" xfId="54339" xr:uid="{00000000-0005-0000-0000-00005D7D0000}"/>
    <cellStyle name="Normal 4 2 2 2 2 3 2 2 5 4" xfId="40165" xr:uid="{00000000-0005-0000-0000-00005E7D0000}"/>
    <cellStyle name="Normal 4 2 2 2 2 3 2 2 6" xfId="8288" xr:uid="{00000000-0005-0000-0000-00005F7D0000}"/>
    <cellStyle name="Normal 4 2 2 2 2 3 2 2 6 2" xfId="26407" xr:uid="{00000000-0005-0000-0000-0000607D0000}"/>
    <cellStyle name="Normal 4 2 2 2 2 3 2 2 6 2 2" xfId="58278" xr:uid="{00000000-0005-0000-0000-0000617D0000}"/>
    <cellStyle name="Normal 4 2 2 2 2 3 2 2 6 3" xfId="40167" xr:uid="{00000000-0005-0000-0000-0000627D0000}"/>
    <cellStyle name="Normal 4 2 2 2 2 3 2 2 7" xfId="18529" xr:uid="{00000000-0005-0000-0000-0000637D0000}"/>
    <cellStyle name="Normal 4 2 2 2 2 3 2 2 7 2" xfId="50400" xr:uid="{00000000-0005-0000-0000-0000647D0000}"/>
    <cellStyle name="Normal 4 2 2 2 2 3 2 2 8" xfId="40136" xr:uid="{00000000-0005-0000-0000-0000657D0000}"/>
    <cellStyle name="Normal 4 2 2 2 2 3 2 3" xfId="8289" xr:uid="{00000000-0005-0000-0000-0000667D0000}"/>
    <cellStyle name="Normal 4 2 2 2 2 3 2 3 2" xfId="8290" xr:uid="{00000000-0005-0000-0000-0000677D0000}"/>
    <cellStyle name="Normal 4 2 2 2 2 3 2 3 2 2" xfId="8291" xr:uid="{00000000-0005-0000-0000-0000687D0000}"/>
    <cellStyle name="Normal 4 2 2 2 2 3 2 3 2 2 2" xfId="8292" xr:uid="{00000000-0005-0000-0000-0000697D0000}"/>
    <cellStyle name="Normal 4 2 2 2 2 3 2 3 2 2 2 2" xfId="8293" xr:uid="{00000000-0005-0000-0000-00006A7D0000}"/>
    <cellStyle name="Normal 4 2 2 2 2 3 2 3 2 2 2 2 2" xfId="30356" xr:uid="{00000000-0005-0000-0000-00006B7D0000}"/>
    <cellStyle name="Normal 4 2 2 2 2 3 2 3 2 2 2 2 2 2" xfId="62227" xr:uid="{00000000-0005-0000-0000-00006C7D0000}"/>
    <cellStyle name="Normal 4 2 2 2 2 3 2 3 2 2 2 2 3" xfId="40172" xr:uid="{00000000-0005-0000-0000-00006D7D0000}"/>
    <cellStyle name="Normal 4 2 2 2 2 3 2 3 2 2 2 3" xfId="22478" xr:uid="{00000000-0005-0000-0000-00006E7D0000}"/>
    <cellStyle name="Normal 4 2 2 2 2 3 2 3 2 2 2 3 2" xfId="54349" xr:uid="{00000000-0005-0000-0000-00006F7D0000}"/>
    <cellStyle name="Normal 4 2 2 2 2 3 2 3 2 2 2 4" xfId="40171" xr:uid="{00000000-0005-0000-0000-0000707D0000}"/>
    <cellStyle name="Normal 4 2 2 2 2 3 2 3 2 2 3" xfId="8294" xr:uid="{00000000-0005-0000-0000-0000717D0000}"/>
    <cellStyle name="Normal 4 2 2 2 2 3 2 3 2 2 3 2" xfId="26417" xr:uid="{00000000-0005-0000-0000-0000727D0000}"/>
    <cellStyle name="Normal 4 2 2 2 2 3 2 3 2 2 3 2 2" xfId="58288" xr:uid="{00000000-0005-0000-0000-0000737D0000}"/>
    <cellStyle name="Normal 4 2 2 2 2 3 2 3 2 2 3 3" xfId="40173" xr:uid="{00000000-0005-0000-0000-0000747D0000}"/>
    <cellStyle name="Normal 4 2 2 2 2 3 2 3 2 2 4" xfId="18539" xr:uid="{00000000-0005-0000-0000-0000757D0000}"/>
    <cellStyle name="Normal 4 2 2 2 2 3 2 3 2 2 4 2" xfId="50410" xr:uid="{00000000-0005-0000-0000-0000767D0000}"/>
    <cellStyle name="Normal 4 2 2 2 2 3 2 3 2 2 5" xfId="40170" xr:uid="{00000000-0005-0000-0000-0000777D0000}"/>
    <cellStyle name="Normal 4 2 2 2 2 3 2 3 2 3" xfId="8295" xr:uid="{00000000-0005-0000-0000-0000787D0000}"/>
    <cellStyle name="Normal 4 2 2 2 2 3 2 3 2 3 2" xfId="8296" xr:uid="{00000000-0005-0000-0000-0000797D0000}"/>
    <cellStyle name="Normal 4 2 2 2 2 3 2 3 2 3 2 2" xfId="30355" xr:uid="{00000000-0005-0000-0000-00007A7D0000}"/>
    <cellStyle name="Normal 4 2 2 2 2 3 2 3 2 3 2 2 2" xfId="62226" xr:uid="{00000000-0005-0000-0000-00007B7D0000}"/>
    <cellStyle name="Normal 4 2 2 2 2 3 2 3 2 3 2 3" xfId="40175" xr:uid="{00000000-0005-0000-0000-00007C7D0000}"/>
    <cellStyle name="Normal 4 2 2 2 2 3 2 3 2 3 3" xfId="22477" xr:uid="{00000000-0005-0000-0000-00007D7D0000}"/>
    <cellStyle name="Normal 4 2 2 2 2 3 2 3 2 3 3 2" xfId="54348" xr:uid="{00000000-0005-0000-0000-00007E7D0000}"/>
    <cellStyle name="Normal 4 2 2 2 2 3 2 3 2 3 4" xfId="40174" xr:uid="{00000000-0005-0000-0000-00007F7D0000}"/>
    <cellStyle name="Normal 4 2 2 2 2 3 2 3 2 4" xfId="8297" xr:uid="{00000000-0005-0000-0000-0000807D0000}"/>
    <cellStyle name="Normal 4 2 2 2 2 3 2 3 2 4 2" xfId="26416" xr:uid="{00000000-0005-0000-0000-0000817D0000}"/>
    <cellStyle name="Normal 4 2 2 2 2 3 2 3 2 4 2 2" xfId="58287" xr:uid="{00000000-0005-0000-0000-0000827D0000}"/>
    <cellStyle name="Normal 4 2 2 2 2 3 2 3 2 4 3" xfId="40176" xr:uid="{00000000-0005-0000-0000-0000837D0000}"/>
    <cellStyle name="Normal 4 2 2 2 2 3 2 3 2 5" xfId="18538" xr:uid="{00000000-0005-0000-0000-0000847D0000}"/>
    <cellStyle name="Normal 4 2 2 2 2 3 2 3 2 5 2" xfId="50409" xr:uid="{00000000-0005-0000-0000-0000857D0000}"/>
    <cellStyle name="Normal 4 2 2 2 2 3 2 3 2 6" xfId="40169" xr:uid="{00000000-0005-0000-0000-0000867D0000}"/>
    <cellStyle name="Normal 4 2 2 2 2 3 2 3 3" xfId="8298" xr:uid="{00000000-0005-0000-0000-0000877D0000}"/>
    <cellStyle name="Normal 4 2 2 2 2 3 2 3 3 2" xfId="8299" xr:uid="{00000000-0005-0000-0000-0000887D0000}"/>
    <cellStyle name="Normal 4 2 2 2 2 3 2 3 3 2 2" xfId="8300" xr:uid="{00000000-0005-0000-0000-0000897D0000}"/>
    <cellStyle name="Normal 4 2 2 2 2 3 2 3 3 2 2 2" xfId="30357" xr:uid="{00000000-0005-0000-0000-00008A7D0000}"/>
    <cellStyle name="Normal 4 2 2 2 2 3 2 3 3 2 2 2 2" xfId="62228" xr:uid="{00000000-0005-0000-0000-00008B7D0000}"/>
    <cellStyle name="Normal 4 2 2 2 2 3 2 3 3 2 2 3" xfId="40179" xr:uid="{00000000-0005-0000-0000-00008C7D0000}"/>
    <cellStyle name="Normal 4 2 2 2 2 3 2 3 3 2 3" xfId="22479" xr:uid="{00000000-0005-0000-0000-00008D7D0000}"/>
    <cellStyle name="Normal 4 2 2 2 2 3 2 3 3 2 3 2" xfId="54350" xr:uid="{00000000-0005-0000-0000-00008E7D0000}"/>
    <cellStyle name="Normal 4 2 2 2 2 3 2 3 3 2 4" xfId="40178" xr:uid="{00000000-0005-0000-0000-00008F7D0000}"/>
    <cellStyle name="Normal 4 2 2 2 2 3 2 3 3 3" xfId="8301" xr:uid="{00000000-0005-0000-0000-0000907D0000}"/>
    <cellStyle name="Normal 4 2 2 2 2 3 2 3 3 3 2" xfId="26418" xr:uid="{00000000-0005-0000-0000-0000917D0000}"/>
    <cellStyle name="Normal 4 2 2 2 2 3 2 3 3 3 2 2" xfId="58289" xr:uid="{00000000-0005-0000-0000-0000927D0000}"/>
    <cellStyle name="Normal 4 2 2 2 2 3 2 3 3 3 3" xfId="40180" xr:uid="{00000000-0005-0000-0000-0000937D0000}"/>
    <cellStyle name="Normal 4 2 2 2 2 3 2 3 3 4" xfId="18540" xr:uid="{00000000-0005-0000-0000-0000947D0000}"/>
    <cellStyle name="Normal 4 2 2 2 2 3 2 3 3 4 2" xfId="50411" xr:uid="{00000000-0005-0000-0000-0000957D0000}"/>
    <cellStyle name="Normal 4 2 2 2 2 3 2 3 3 5" xfId="40177" xr:uid="{00000000-0005-0000-0000-0000967D0000}"/>
    <cellStyle name="Normal 4 2 2 2 2 3 2 3 4" xfId="8302" xr:uid="{00000000-0005-0000-0000-0000977D0000}"/>
    <cellStyle name="Normal 4 2 2 2 2 3 2 3 4 2" xfId="8303" xr:uid="{00000000-0005-0000-0000-0000987D0000}"/>
    <cellStyle name="Normal 4 2 2 2 2 3 2 3 4 2 2" xfId="30354" xr:uid="{00000000-0005-0000-0000-0000997D0000}"/>
    <cellStyle name="Normal 4 2 2 2 2 3 2 3 4 2 2 2" xfId="62225" xr:uid="{00000000-0005-0000-0000-00009A7D0000}"/>
    <cellStyle name="Normal 4 2 2 2 2 3 2 3 4 2 3" xfId="40182" xr:uid="{00000000-0005-0000-0000-00009B7D0000}"/>
    <cellStyle name="Normal 4 2 2 2 2 3 2 3 4 3" xfId="22476" xr:uid="{00000000-0005-0000-0000-00009C7D0000}"/>
    <cellStyle name="Normal 4 2 2 2 2 3 2 3 4 3 2" xfId="54347" xr:uid="{00000000-0005-0000-0000-00009D7D0000}"/>
    <cellStyle name="Normal 4 2 2 2 2 3 2 3 4 4" xfId="40181" xr:uid="{00000000-0005-0000-0000-00009E7D0000}"/>
    <cellStyle name="Normal 4 2 2 2 2 3 2 3 5" xfId="8304" xr:uid="{00000000-0005-0000-0000-00009F7D0000}"/>
    <cellStyle name="Normal 4 2 2 2 2 3 2 3 5 2" xfId="26415" xr:uid="{00000000-0005-0000-0000-0000A07D0000}"/>
    <cellStyle name="Normal 4 2 2 2 2 3 2 3 5 2 2" xfId="58286" xr:uid="{00000000-0005-0000-0000-0000A17D0000}"/>
    <cellStyle name="Normal 4 2 2 2 2 3 2 3 5 3" xfId="40183" xr:uid="{00000000-0005-0000-0000-0000A27D0000}"/>
    <cellStyle name="Normal 4 2 2 2 2 3 2 3 6" xfId="18537" xr:uid="{00000000-0005-0000-0000-0000A37D0000}"/>
    <cellStyle name="Normal 4 2 2 2 2 3 2 3 6 2" xfId="50408" xr:uid="{00000000-0005-0000-0000-0000A47D0000}"/>
    <cellStyle name="Normal 4 2 2 2 2 3 2 3 7" xfId="40168" xr:uid="{00000000-0005-0000-0000-0000A57D0000}"/>
    <cellStyle name="Normal 4 2 2 2 2 3 2 4" xfId="8305" xr:uid="{00000000-0005-0000-0000-0000A67D0000}"/>
    <cellStyle name="Normal 4 2 2 2 2 3 2 4 2" xfId="8306" xr:uid="{00000000-0005-0000-0000-0000A77D0000}"/>
    <cellStyle name="Normal 4 2 2 2 2 3 2 4 2 2" xfId="8307" xr:uid="{00000000-0005-0000-0000-0000A87D0000}"/>
    <cellStyle name="Normal 4 2 2 2 2 3 2 4 2 2 2" xfId="8308" xr:uid="{00000000-0005-0000-0000-0000A97D0000}"/>
    <cellStyle name="Normal 4 2 2 2 2 3 2 4 2 2 2 2" xfId="30359" xr:uid="{00000000-0005-0000-0000-0000AA7D0000}"/>
    <cellStyle name="Normal 4 2 2 2 2 3 2 4 2 2 2 2 2" xfId="62230" xr:uid="{00000000-0005-0000-0000-0000AB7D0000}"/>
    <cellStyle name="Normal 4 2 2 2 2 3 2 4 2 2 2 3" xfId="40187" xr:uid="{00000000-0005-0000-0000-0000AC7D0000}"/>
    <cellStyle name="Normal 4 2 2 2 2 3 2 4 2 2 3" xfId="22481" xr:uid="{00000000-0005-0000-0000-0000AD7D0000}"/>
    <cellStyle name="Normal 4 2 2 2 2 3 2 4 2 2 3 2" xfId="54352" xr:uid="{00000000-0005-0000-0000-0000AE7D0000}"/>
    <cellStyle name="Normal 4 2 2 2 2 3 2 4 2 2 4" xfId="40186" xr:uid="{00000000-0005-0000-0000-0000AF7D0000}"/>
    <cellStyle name="Normal 4 2 2 2 2 3 2 4 2 3" xfId="8309" xr:uid="{00000000-0005-0000-0000-0000B07D0000}"/>
    <cellStyle name="Normal 4 2 2 2 2 3 2 4 2 3 2" xfId="26420" xr:uid="{00000000-0005-0000-0000-0000B17D0000}"/>
    <cellStyle name="Normal 4 2 2 2 2 3 2 4 2 3 2 2" xfId="58291" xr:uid="{00000000-0005-0000-0000-0000B27D0000}"/>
    <cellStyle name="Normal 4 2 2 2 2 3 2 4 2 3 3" xfId="40188" xr:uid="{00000000-0005-0000-0000-0000B37D0000}"/>
    <cellStyle name="Normal 4 2 2 2 2 3 2 4 2 4" xfId="18542" xr:uid="{00000000-0005-0000-0000-0000B47D0000}"/>
    <cellStyle name="Normal 4 2 2 2 2 3 2 4 2 4 2" xfId="50413" xr:uid="{00000000-0005-0000-0000-0000B57D0000}"/>
    <cellStyle name="Normal 4 2 2 2 2 3 2 4 2 5" xfId="40185" xr:uid="{00000000-0005-0000-0000-0000B67D0000}"/>
    <cellStyle name="Normal 4 2 2 2 2 3 2 4 3" xfId="8310" xr:uid="{00000000-0005-0000-0000-0000B77D0000}"/>
    <cellStyle name="Normal 4 2 2 2 2 3 2 4 3 2" xfId="8311" xr:uid="{00000000-0005-0000-0000-0000B87D0000}"/>
    <cellStyle name="Normal 4 2 2 2 2 3 2 4 3 2 2" xfId="30358" xr:uid="{00000000-0005-0000-0000-0000B97D0000}"/>
    <cellStyle name="Normal 4 2 2 2 2 3 2 4 3 2 2 2" xfId="62229" xr:uid="{00000000-0005-0000-0000-0000BA7D0000}"/>
    <cellStyle name="Normal 4 2 2 2 2 3 2 4 3 2 3" xfId="40190" xr:uid="{00000000-0005-0000-0000-0000BB7D0000}"/>
    <cellStyle name="Normal 4 2 2 2 2 3 2 4 3 3" xfId="22480" xr:uid="{00000000-0005-0000-0000-0000BC7D0000}"/>
    <cellStyle name="Normal 4 2 2 2 2 3 2 4 3 3 2" xfId="54351" xr:uid="{00000000-0005-0000-0000-0000BD7D0000}"/>
    <cellStyle name="Normal 4 2 2 2 2 3 2 4 3 4" xfId="40189" xr:uid="{00000000-0005-0000-0000-0000BE7D0000}"/>
    <cellStyle name="Normal 4 2 2 2 2 3 2 4 4" xfId="8312" xr:uid="{00000000-0005-0000-0000-0000BF7D0000}"/>
    <cellStyle name="Normal 4 2 2 2 2 3 2 4 4 2" xfId="26419" xr:uid="{00000000-0005-0000-0000-0000C07D0000}"/>
    <cellStyle name="Normal 4 2 2 2 2 3 2 4 4 2 2" xfId="58290" xr:uid="{00000000-0005-0000-0000-0000C17D0000}"/>
    <cellStyle name="Normal 4 2 2 2 2 3 2 4 4 3" xfId="40191" xr:uid="{00000000-0005-0000-0000-0000C27D0000}"/>
    <cellStyle name="Normal 4 2 2 2 2 3 2 4 5" xfId="18541" xr:uid="{00000000-0005-0000-0000-0000C37D0000}"/>
    <cellStyle name="Normal 4 2 2 2 2 3 2 4 5 2" xfId="50412" xr:uid="{00000000-0005-0000-0000-0000C47D0000}"/>
    <cellStyle name="Normal 4 2 2 2 2 3 2 4 6" xfId="40184" xr:uid="{00000000-0005-0000-0000-0000C57D0000}"/>
    <cellStyle name="Normal 4 2 2 2 2 3 2 5" xfId="8313" xr:uid="{00000000-0005-0000-0000-0000C67D0000}"/>
    <cellStyle name="Normal 4 2 2 2 2 3 2 5 2" xfId="8314" xr:uid="{00000000-0005-0000-0000-0000C77D0000}"/>
    <cellStyle name="Normal 4 2 2 2 2 3 2 5 2 2" xfId="8315" xr:uid="{00000000-0005-0000-0000-0000C87D0000}"/>
    <cellStyle name="Normal 4 2 2 2 2 3 2 5 2 2 2" xfId="30360" xr:uid="{00000000-0005-0000-0000-0000C97D0000}"/>
    <cellStyle name="Normal 4 2 2 2 2 3 2 5 2 2 2 2" xfId="62231" xr:uid="{00000000-0005-0000-0000-0000CA7D0000}"/>
    <cellStyle name="Normal 4 2 2 2 2 3 2 5 2 2 3" xfId="40194" xr:uid="{00000000-0005-0000-0000-0000CB7D0000}"/>
    <cellStyle name="Normal 4 2 2 2 2 3 2 5 2 3" xfId="22482" xr:uid="{00000000-0005-0000-0000-0000CC7D0000}"/>
    <cellStyle name="Normal 4 2 2 2 2 3 2 5 2 3 2" xfId="54353" xr:uid="{00000000-0005-0000-0000-0000CD7D0000}"/>
    <cellStyle name="Normal 4 2 2 2 2 3 2 5 2 4" xfId="40193" xr:uid="{00000000-0005-0000-0000-0000CE7D0000}"/>
    <cellStyle name="Normal 4 2 2 2 2 3 2 5 3" xfId="8316" xr:uid="{00000000-0005-0000-0000-0000CF7D0000}"/>
    <cellStyle name="Normal 4 2 2 2 2 3 2 5 3 2" xfId="26421" xr:uid="{00000000-0005-0000-0000-0000D07D0000}"/>
    <cellStyle name="Normal 4 2 2 2 2 3 2 5 3 2 2" xfId="58292" xr:uid="{00000000-0005-0000-0000-0000D17D0000}"/>
    <cellStyle name="Normal 4 2 2 2 2 3 2 5 3 3" xfId="40195" xr:uid="{00000000-0005-0000-0000-0000D27D0000}"/>
    <cellStyle name="Normal 4 2 2 2 2 3 2 5 4" xfId="18543" xr:uid="{00000000-0005-0000-0000-0000D37D0000}"/>
    <cellStyle name="Normal 4 2 2 2 2 3 2 5 4 2" xfId="50414" xr:uid="{00000000-0005-0000-0000-0000D47D0000}"/>
    <cellStyle name="Normal 4 2 2 2 2 3 2 5 5" xfId="40192" xr:uid="{00000000-0005-0000-0000-0000D57D0000}"/>
    <cellStyle name="Normal 4 2 2 2 2 3 2 6" xfId="8317" xr:uid="{00000000-0005-0000-0000-0000D67D0000}"/>
    <cellStyle name="Normal 4 2 2 2 2 3 2 6 2" xfId="8318" xr:uid="{00000000-0005-0000-0000-0000D77D0000}"/>
    <cellStyle name="Normal 4 2 2 2 2 3 2 6 2 2" xfId="28495" xr:uid="{00000000-0005-0000-0000-0000D87D0000}"/>
    <cellStyle name="Normal 4 2 2 2 2 3 2 6 2 2 2" xfId="60366" xr:uid="{00000000-0005-0000-0000-0000D97D0000}"/>
    <cellStyle name="Normal 4 2 2 2 2 3 2 6 2 3" xfId="40197" xr:uid="{00000000-0005-0000-0000-0000DA7D0000}"/>
    <cellStyle name="Normal 4 2 2 2 2 3 2 6 3" xfId="20617" xr:uid="{00000000-0005-0000-0000-0000DB7D0000}"/>
    <cellStyle name="Normal 4 2 2 2 2 3 2 6 3 2" xfId="52488" xr:uid="{00000000-0005-0000-0000-0000DC7D0000}"/>
    <cellStyle name="Normal 4 2 2 2 2 3 2 6 4" xfId="40196" xr:uid="{00000000-0005-0000-0000-0000DD7D0000}"/>
    <cellStyle name="Normal 4 2 2 2 2 3 2 7" xfId="8319" xr:uid="{00000000-0005-0000-0000-0000DE7D0000}"/>
    <cellStyle name="Normal 4 2 2 2 2 3 2 7 2" xfId="24556" xr:uid="{00000000-0005-0000-0000-0000DF7D0000}"/>
    <cellStyle name="Normal 4 2 2 2 2 3 2 7 2 2" xfId="56427" xr:uid="{00000000-0005-0000-0000-0000E07D0000}"/>
    <cellStyle name="Normal 4 2 2 2 2 3 2 7 3" xfId="40198" xr:uid="{00000000-0005-0000-0000-0000E17D0000}"/>
    <cellStyle name="Normal 4 2 2 2 2 3 2 8" xfId="16678" xr:uid="{00000000-0005-0000-0000-0000E27D0000}"/>
    <cellStyle name="Normal 4 2 2 2 2 3 2 8 2" xfId="48549" xr:uid="{00000000-0005-0000-0000-0000E37D0000}"/>
    <cellStyle name="Normal 4 2 2 2 2 3 2 9" xfId="40135" xr:uid="{00000000-0005-0000-0000-0000E47D0000}"/>
    <cellStyle name="Normal 4 2 2 2 2 3 3" xfId="8320" xr:uid="{00000000-0005-0000-0000-0000E57D0000}"/>
    <cellStyle name="Normal 4 2 2 2 2 3 3 2" xfId="8321" xr:uid="{00000000-0005-0000-0000-0000E67D0000}"/>
    <cellStyle name="Normal 4 2 2 2 2 3 3 2 2" xfId="8322" xr:uid="{00000000-0005-0000-0000-0000E77D0000}"/>
    <cellStyle name="Normal 4 2 2 2 2 3 3 2 2 2" xfId="8323" xr:uid="{00000000-0005-0000-0000-0000E87D0000}"/>
    <cellStyle name="Normal 4 2 2 2 2 3 3 2 2 2 2" xfId="8324" xr:uid="{00000000-0005-0000-0000-0000E97D0000}"/>
    <cellStyle name="Normal 4 2 2 2 2 3 3 2 2 2 2 2" xfId="8325" xr:uid="{00000000-0005-0000-0000-0000EA7D0000}"/>
    <cellStyle name="Normal 4 2 2 2 2 3 3 2 2 2 2 2 2" xfId="30364" xr:uid="{00000000-0005-0000-0000-0000EB7D0000}"/>
    <cellStyle name="Normal 4 2 2 2 2 3 3 2 2 2 2 2 2 2" xfId="62235" xr:uid="{00000000-0005-0000-0000-0000EC7D0000}"/>
    <cellStyle name="Normal 4 2 2 2 2 3 3 2 2 2 2 2 3" xfId="40204" xr:uid="{00000000-0005-0000-0000-0000ED7D0000}"/>
    <cellStyle name="Normal 4 2 2 2 2 3 3 2 2 2 2 3" xfId="22486" xr:uid="{00000000-0005-0000-0000-0000EE7D0000}"/>
    <cellStyle name="Normal 4 2 2 2 2 3 3 2 2 2 2 3 2" xfId="54357" xr:uid="{00000000-0005-0000-0000-0000EF7D0000}"/>
    <cellStyle name="Normal 4 2 2 2 2 3 3 2 2 2 2 4" xfId="40203" xr:uid="{00000000-0005-0000-0000-0000F07D0000}"/>
    <cellStyle name="Normal 4 2 2 2 2 3 3 2 2 2 3" xfId="8326" xr:uid="{00000000-0005-0000-0000-0000F17D0000}"/>
    <cellStyle name="Normal 4 2 2 2 2 3 3 2 2 2 3 2" xfId="26425" xr:uid="{00000000-0005-0000-0000-0000F27D0000}"/>
    <cellStyle name="Normal 4 2 2 2 2 3 3 2 2 2 3 2 2" xfId="58296" xr:uid="{00000000-0005-0000-0000-0000F37D0000}"/>
    <cellStyle name="Normal 4 2 2 2 2 3 3 2 2 2 3 3" xfId="40205" xr:uid="{00000000-0005-0000-0000-0000F47D0000}"/>
    <cellStyle name="Normal 4 2 2 2 2 3 3 2 2 2 4" xfId="18547" xr:uid="{00000000-0005-0000-0000-0000F57D0000}"/>
    <cellStyle name="Normal 4 2 2 2 2 3 3 2 2 2 4 2" xfId="50418" xr:uid="{00000000-0005-0000-0000-0000F67D0000}"/>
    <cellStyle name="Normal 4 2 2 2 2 3 3 2 2 2 5" xfId="40202" xr:uid="{00000000-0005-0000-0000-0000F77D0000}"/>
    <cellStyle name="Normal 4 2 2 2 2 3 3 2 2 3" xfId="8327" xr:uid="{00000000-0005-0000-0000-0000F87D0000}"/>
    <cellStyle name="Normal 4 2 2 2 2 3 3 2 2 3 2" xfId="8328" xr:uid="{00000000-0005-0000-0000-0000F97D0000}"/>
    <cellStyle name="Normal 4 2 2 2 2 3 3 2 2 3 2 2" xfId="30363" xr:uid="{00000000-0005-0000-0000-0000FA7D0000}"/>
    <cellStyle name="Normal 4 2 2 2 2 3 3 2 2 3 2 2 2" xfId="62234" xr:uid="{00000000-0005-0000-0000-0000FB7D0000}"/>
    <cellStyle name="Normal 4 2 2 2 2 3 3 2 2 3 2 3" xfId="40207" xr:uid="{00000000-0005-0000-0000-0000FC7D0000}"/>
    <cellStyle name="Normal 4 2 2 2 2 3 3 2 2 3 3" xfId="22485" xr:uid="{00000000-0005-0000-0000-0000FD7D0000}"/>
    <cellStyle name="Normal 4 2 2 2 2 3 3 2 2 3 3 2" xfId="54356" xr:uid="{00000000-0005-0000-0000-0000FE7D0000}"/>
    <cellStyle name="Normal 4 2 2 2 2 3 3 2 2 3 4" xfId="40206" xr:uid="{00000000-0005-0000-0000-0000FF7D0000}"/>
    <cellStyle name="Normal 4 2 2 2 2 3 3 2 2 4" xfId="8329" xr:uid="{00000000-0005-0000-0000-0000007E0000}"/>
    <cellStyle name="Normal 4 2 2 2 2 3 3 2 2 4 2" xfId="26424" xr:uid="{00000000-0005-0000-0000-0000017E0000}"/>
    <cellStyle name="Normal 4 2 2 2 2 3 3 2 2 4 2 2" xfId="58295" xr:uid="{00000000-0005-0000-0000-0000027E0000}"/>
    <cellStyle name="Normal 4 2 2 2 2 3 3 2 2 4 3" xfId="40208" xr:uid="{00000000-0005-0000-0000-0000037E0000}"/>
    <cellStyle name="Normal 4 2 2 2 2 3 3 2 2 5" xfId="18546" xr:uid="{00000000-0005-0000-0000-0000047E0000}"/>
    <cellStyle name="Normal 4 2 2 2 2 3 3 2 2 5 2" xfId="50417" xr:uid="{00000000-0005-0000-0000-0000057E0000}"/>
    <cellStyle name="Normal 4 2 2 2 2 3 3 2 2 6" xfId="40201" xr:uid="{00000000-0005-0000-0000-0000067E0000}"/>
    <cellStyle name="Normal 4 2 2 2 2 3 3 2 3" xfId="8330" xr:uid="{00000000-0005-0000-0000-0000077E0000}"/>
    <cellStyle name="Normal 4 2 2 2 2 3 3 2 3 2" xfId="8331" xr:uid="{00000000-0005-0000-0000-0000087E0000}"/>
    <cellStyle name="Normal 4 2 2 2 2 3 3 2 3 2 2" xfId="8332" xr:uid="{00000000-0005-0000-0000-0000097E0000}"/>
    <cellStyle name="Normal 4 2 2 2 2 3 3 2 3 2 2 2" xfId="30365" xr:uid="{00000000-0005-0000-0000-00000A7E0000}"/>
    <cellStyle name="Normal 4 2 2 2 2 3 3 2 3 2 2 2 2" xfId="62236" xr:uid="{00000000-0005-0000-0000-00000B7E0000}"/>
    <cellStyle name="Normal 4 2 2 2 2 3 3 2 3 2 2 3" xfId="40211" xr:uid="{00000000-0005-0000-0000-00000C7E0000}"/>
    <cellStyle name="Normal 4 2 2 2 2 3 3 2 3 2 3" xfId="22487" xr:uid="{00000000-0005-0000-0000-00000D7E0000}"/>
    <cellStyle name="Normal 4 2 2 2 2 3 3 2 3 2 3 2" xfId="54358" xr:uid="{00000000-0005-0000-0000-00000E7E0000}"/>
    <cellStyle name="Normal 4 2 2 2 2 3 3 2 3 2 4" xfId="40210" xr:uid="{00000000-0005-0000-0000-00000F7E0000}"/>
    <cellStyle name="Normal 4 2 2 2 2 3 3 2 3 3" xfId="8333" xr:uid="{00000000-0005-0000-0000-0000107E0000}"/>
    <cellStyle name="Normal 4 2 2 2 2 3 3 2 3 3 2" xfId="26426" xr:uid="{00000000-0005-0000-0000-0000117E0000}"/>
    <cellStyle name="Normal 4 2 2 2 2 3 3 2 3 3 2 2" xfId="58297" xr:uid="{00000000-0005-0000-0000-0000127E0000}"/>
    <cellStyle name="Normal 4 2 2 2 2 3 3 2 3 3 3" xfId="40212" xr:uid="{00000000-0005-0000-0000-0000137E0000}"/>
    <cellStyle name="Normal 4 2 2 2 2 3 3 2 3 4" xfId="18548" xr:uid="{00000000-0005-0000-0000-0000147E0000}"/>
    <cellStyle name="Normal 4 2 2 2 2 3 3 2 3 4 2" xfId="50419" xr:uid="{00000000-0005-0000-0000-0000157E0000}"/>
    <cellStyle name="Normal 4 2 2 2 2 3 3 2 3 5" xfId="40209" xr:uid="{00000000-0005-0000-0000-0000167E0000}"/>
    <cellStyle name="Normal 4 2 2 2 2 3 3 2 4" xfId="8334" xr:uid="{00000000-0005-0000-0000-0000177E0000}"/>
    <cellStyle name="Normal 4 2 2 2 2 3 3 2 4 2" xfId="8335" xr:uid="{00000000-0005-0000-0000-0000187E0000}"/>
    <cellStyle name="Normal 4 2 2 2 2 3 3 2 4 2 2" xfId="30362" xr:uid="{00000000-0005-0000-0000-0000197E0000}"/>
    <cellStyle name="Normal 4 2 2 2 2 3 3 2 4 2 2 2" xfId="62233" xr:uid="{00000000-0005-0000-0000-00001A7E0000}"/>
    <cellStyle name="Normal 4 2 2 2 2 3 3 2 4 2 3" xfId="40214" xr:uid="{00000000-0005-0000-0000-00001B7E0000}"/>
    <cellStyle name="Normal 4 2 2 2 2 3 3 2 4 3" xfId="22484" xr:uid="{00000000-0005-0000-0000-00001C7E0000}"/>
    <cellStyle name="Normal 4 2 2 2 2 3 3 2 4 3 2" xfId="54355" xr:uid="{00000000-0005-0000-0000-00001D7E0000}"/>
    <cellStyle name="Normal 4 2 2 2 2 3 3 2 4 4" xfId="40213" xr:uid="{00000000-0005-0000-0000-00001E7E0000}"/>
    <cellStyle name="Normal 4 2 2 2 2 3 3 2 5" xfId="8336" xr:uid="{00000000-0005-0000-0000-00001F7E0000}"/>
    <cellStyle name="Normal 4 2 2 2 2 3 3 2 5 2" xfId="26423" xr:uid="{00000000-0005-0000-0000-0000207E0000}"/>
    <cellStyle name="Normal 4 2 2 2 2 3 3 2 5 2 2" xfId="58294" xr:uid="{00000000-0005-0000-0000-0000217E0000}"/>
    <cellStyle name="Normal 4 2 2 2 2 3 3 2 5 3" xfId="40215" xr:uid="{00000000-0005-0000-0000-0000227E0000}"/>
    <cellStyle name="Normal 4 2 2 2 2 3 3 2 6" xfId="18545" xr:uid="{00000000-0005-0000-0000-0000237E0000}"/>
    <cellStyle name="Normal 4 2 2 2 2 3 3 2 6 2" xfId="50416" xr:uid="{00000000-0005-0000-0000-0000247E0000}"/>
    <cellStyle name="Normal 4 2 2 2 2 3 3 2 7" xfId="40200" xr:uid="{00000000-0005-0000-0000-0000257E0000}"/>
    <cellStyle name="Normal 4 2 2 2 2 3 3 3" xfId="8337" xr:uid="{00000000-0005-0000-0000-0000267E0000}"/>
    <cellStyle name="Normal 4 2 2 2 2 3 3 3 2" xfId="8338" xr:uid="{00000000-0005-0000-0000-0000277E0000}"/>
    <cellStyle name="Normal 4 2 2 2 2 3 3 3 2 2" xfId="8339" xr:uid="{00000000-0005-0000-0000-0000287E0000}"/>
    <cellStyle name="Normal 4 2 2 2 2 3 3 3 2 2 2" xfId="8340" xr:uid="{00000000-0005-0000-0000-0000297E0000}"/>
    <cellStyle name="Normal 4 2 2 2 2 3 3 3 2 2 2 2" xfId="30367" xr:uid="{00000000-0005-0000-0000-00002A7E0000}"/>
    <cellStyle name="Normal 4 2 2 2 2 3 3 3 2 2 2 2 2" xfId="62238" xr:uid="{00000000-0005-0000-0000-00002B7E0000}"/>
    <cellStyle name="Normal 4 2 2 2 2 3 3 3 2 2 2 3" xfId="40219" xr:uid="{00000000-0005-0000-0000-00002C7E0000}"/>
    <cellStyle name="Normal 4 2 2 2 2 3 3 3 2 2 3" xfId="22489" xr:uid="{00000000-0005-0000-0000-00002D7E0000}"/>
    <cellStyle name="Normal 4 2 2 2 2 3 3 3 2 2 3 2" xfId="54360" xr:uid="{00000000-0005-0000-0000-00002E7E0000}"/>
    <cellStyle name="Normal 4 2 2 2 2 3 3 3 2 2 4" xfId="40218" xr:uid="{00000000-0005-0000-0000-00002F7E0000}"/>
    <cellStyle name="Normal 4 2 2 2 2 3 3 3 2 3" xfId="8341" xr:uid="{00000000-0005-0000-0000-0000307E0000}"/>
    <cellStyle name="Normal 4 2 2 2 2 3 3 3 2 3 2" xfId="26428" xr:uid="{00000000-0005-0000-0000-0000317E0000}"/>
    <cellStyle name="Normal 4 2 2 2 2 3 3 3 2 3 2 2" xfId="58299" xr:uid="{00000000-0005-0000-0000-0000327E0000}"/>
    <cellStyle name="Normal 4 2 2 2 2 3 3 3 2 3 3" xfId="40220" xr:uid="{00000000-0005-0000-0000-0000337E0000}"/>
    <cellStyle name="Normal 4 2 2 2 2 3 3 3 2 4" xfId="18550" xr:uid="{00000000-0005-0000-0000-0000347E0000}"/>
    <cellStyle name="Normal 4 2 2 2 2 3 3 3 2 4 2" xfId="50421" xr:uid="{00000000-0005-0000-0000-0000357E0000}"/>
    <cellStyle name="Normal 4 2 2 2 2 3 3 3 2 5" xfId="40217" xr:uid="{00000000-0005-0000-0000-0000367E0000}"/>
    <cellStyle name="Normal 4 2 2 2 2 3 3 3 3" xfId="8342" xr:uid="{00000000-0005-0000-0000-0000377E0000}"/>
    <cellStyle name="Normal 4 2 2 2 2 3 3 3 3 2" xfId="8343" xr:uid="{00000000-0005-0000-0000-0000387E0000}"/>
    <cellStyle name="Normal 4 2 2 2 2 3 3 3 3 2 2" xfId="30366" xr:uid="{00000000-0005-0000-0000-0000397E0000}"/>
    <cellStyle name="Normal 4 2 2 2 2 3 3 3 3 2 2 2" xfId="62237" xr:uid="{00000000-0005-0000-0000-00003A7E0000}"/>
    <cellStyle name="Normal 4 2 2 2 2 3 3 3 3 2 3" xfId="40222" xr:uid="{00000000-0005-0000-0000-00003B7E0000}"/>
    <cellStyle name="Normal 4 2 2 2 2 3 3 3 3 3" xfId="22488" xr:uid="{00000000-0005-0000-0000-00003C7E0000}"/>
    <cellStyle name="Normal 4 2 2 2 2 3 3 3 3 3 2" xfId="54359" xr:uid="{00000000-0005-0000-0000-00003D7E0000}"/>
    <cellStyle name="Normal 4 2 2 2 2 3 3 3 3 4" xfId="40221" xr:uid="{00000000-0005-0000-0000-00003E7E0000}"/>
    <cellStyle name="Normal 4 2 2 2 2 3 3 3 4" xfId="8344" xr:uid="{00000000-0005-0000-0000-00003F7E0000}"/>
    <cellStyle name="Normal 4 2 2 2 2 3 3 3 4 2" xfId="26427" xr:uid="{00000000-0005-0000-0000-0000407E0000}"/>
    <cellStyle name="Normal 4 2 2 2 2 3 3 3 4 2 2" xfId="58298" xr:uid="{00000000-0005-0000-0000-0000417E0000}"/>
    <cellStyle name="Normal 4 2 2 2 2 3 3 3 4 3" xfId="40223" xr:uid="{00000000-0005-0000-0000-0000427E0000}"/>
    <cellStyle name="Normal 4 2 2 2 2 3 3 3 5" xfId="18549" xr:uid="{00000000-0005-0000-0000-0000437E0000}"/>
    <cellStyle name="Normal 4 2 2 2 2 3 3 3 5 2" xfId="50420" xr:uid="{00000000-0005-0000-0000-0000447E0000}"/>
    <cellStyle name="Normal 4 2 2 2 2 3 3 3 6" xfId="40216" xr:uid="{00000000-0005-0000-0000-0000457E0000}"/>
    <cellStyle name="Normal 4 2 2 2 2 3 3 4" xfId="8345" xr:uid="{00000000-0005-0000-0000-0000467E0000}"/>
    <cellStyle name="Normal 4 2 2 2 2 3 3 4 2" xfId="8346" xr:uid="{00000000-0005-0000-0000-0000477E0000}"/>
    <cellStyle name="Normal 4 2 2 2 2 3 3 4 2 2" xfId="8347" xr:uid="{00000000-0005-0000-0000-0000487E0000}"/>
    <cellStyle name="Normal 4 2 2 2 2 3 3 4 2 2 2" xfId="30368" xr:uid="{00000000-0005-0000-0000-0000497E0000}"/>
    <cellStyle name="Normal 4 2 2 2 2 3 3 4 2 2 2 2" xfId="62239" xr:uid="{00000000-0005-0000-0000-00004A7E0000}"/>
    <cellStyle name="Normal 4 2 2 2 2 3 3 4 2 2 3" xfId="40226" xr:uid="{00000000-0005-0000-0000-00004B7E0000}"/>
    <cellStyle name="Normal 4 2 2 2 2 3 3 4 2 3" xfId="22490" xr:uid="{00000000-0005-0000-0000-00004C7E0000}"/>
    <cellStyle name="Normal 4 2 2 2 2 3 3 4 2 3 2" xfId="54361" xr:uid="{00000000-0005-0000-0000-00004D7E0000}"/>
    <cellStyle name="Normal 4 2 2 2 2 3 3 4 2 4" xfId="40225" xr:uid="{00000000-0005-0000-0000-00004E7E0000}"/>
    <cellStyle name="Normal 4 2 2 2 2 3 3 4 3" xfId="8348" xr:uid="{00000000-0005-0000-0000-00004F7E0000}"/>
    <cellStyle name="Normal 4 2 2 2 2 3 3 4 3 2" xfId="26429" xr:uid="{00000000-0005-0000-0000-0000507E0000}"/>
    <cellStyle name="Normal 4 2 2 2 2 3 3 4 3 2 2" xfId="58300" xr:uid="{00000000-0005-0000-0000-0000517E0000}"/>
    <cellStyle name="Normal 4 2 2 2 2 3 3 4 3 3" xfId="40227" xr:uid="{00000000-0005-0000-0000-0000527E0000}"/>
    <cellStyle name="Normal 4 2 2 2 2 3 3 4 4" xfId="18551" xr:uid="{00000000-0005-0000-0000-0000537E0000}"/>
    <cellStyle name="Normal 4 2 2 2 2 3 3 4 4 2" xfId="50422" xr:uid="{00000000-0005-0000-0000-0000547E0000}"/>
    <cellStyle name="Normal 4 2 2 2 2 3 3 4 5" xfId="40224" xr:uid="{00000000-0005-0000-0000-0000557E0000}"/>
    <cellStyle name="Normal 4 2 2 2 2 3 3 5" xfId="8349" xr:uid="{00000000-0005-0000-0000-0000567E0000}"/>
    <cellStyle name="Normal 4 2 2 2 2 3 3 5 2" xfId="8350" xr:uid="{00000000-0005-0000-0000-0000577E0000}"/>
    <cellStyle name="Normal 4 2 2 2 2 3 3 5 2 2" xfId="30361" xr:uid="{00000000-0005-0000-0000-0000587E0000}"/>
    <cellStyle name="Normal 4 2 2 2 2 3 3 5 2 2 2" xfId="62232" xr:uid="{00000000-0005-0000-0000-0000597E0000}"/>
    <cellStyle name="Normal 4 2 2 2 2 3 3 5 2 3" xfId="40229" xr:uid="{00000000-0005-0000-0000-00005A7E0000}"/>
    <cellStyle name="Normal 4 2 2 2 2 3 3 5 3" xfId="22483" xr:uid="{00000000-0005-0000-0000-00005B7E0000}"/>
    <cellStyle name="Normal 4 2 2 2 2 3 3 5 3 2" xfId="54354" xr:uid="{00000000-0005-0000-0000-00005C7E0000}"/>
    <cellStyle name="Normal 4 2 2 2 2 3 3 5 4" xfId="40228" xr:uid="{00000000-0005-0000-0000-00005D7E0000}"/>
    <cellStyle name="Normal 4 2 2 2 2 3 3 6" xfId="8351" xr:uid="{00000000-0005-0000-0000-00005E7E0000}"/>
    <cellStyle name="Normal 4 2 2 2 2 3 3 6 2" xfId="26422" xr:uid="{00000000-0005-0000-0000-00005F7E0000}"/>
    <cellStyle name="Normal 4 2 2 2 2 3 3 6 2 2" xfId="58293" xr:uid="{00000000-0005-0000-0000-0000607E0000}"/>
    <cellStyle name="Normal 4 2 2 2 2 3 3 6 3" xfId="40230" xr:uid="{00000000-0005-0000-0000-0000617E0000}"/>
    <cellStyle name="Normal 4 2 2 2 2 3 3 7" xfId="18544" xr:uid="{00000000-0005-0000-0000-0000627E0000}"/>
    <cellStyle name="Normal 4 2 2 2 2 3 3 7 2" xfId="50415" xr:uid="{00000000-0005-0000-0000-0000637E0000}"/>
    <cellStyle name="Normal 4 2 2 2 2 3 3 8" xfId="40199" xr:uid="{00000000-0005-0000-0000-0000647E0000}"/>
    <cellStyle name="Normal 4 2 2 2 2 3 4" xfId="8352" xr:uid="{00000000-0005-0000-0000-0000657E0000}"/>
    <cellStyle name="Normal 4 2 2 2 2 3 4 2" xfId="8353" xr:uid="{00000000-0005-0000-0000-0000667E0000}"/>
    <cellStyle name="Normal 4 2 2 2 2 3 4 2 2" xfId="8354" xr:uid="{00000000-0005-0000-0000-0000677E0000}"/>
    <cellStyle name="Normal 4 2 2 2 2 3 4 2 2 2" xfId="8355" xr:uid="{00000000-0005-0000-0000-0000687E0000}"/>
    <cellStyle name="Normal 4 2 2 2 2 3 4 2 2 2 2" xfId="8356" xr:uid="{00000000-0005-0000-0000-0000697E0000}"/>
    <cellStyle name="Normal 4 2 2 2 2 3 4 2 2 2 2 2" xfId="30371" xr:uid="{00000000-0005-0000-0000-00006A7E0000}"/>
    <cellStyle name="Normal 4 2 2 2 2 3 4 2 2 2 2 2 2" xfId="62242" xr:uid="{00000000-0005-0000-0000-00006B7E0000}"/>
    <cellStyle name="Normal 4 2 2 2 2 3 4 2 2 2 2 3" xfId="40235" xr:uid="{00000000-0005-0000-0000-00006C7E0000}"/>
    <cellStyle name="Normal 4 2 2 2 2 3 4 2 2 2 3" xfId="22493" xr:uid="{00000000-0005-0000-0000-00006D7E0000}"/>
    <cellStyle name="Normal 4 2 2 2 2 3 4 2 2 2 3 2" xfId="54364" xr:uid="{00000000-0005-0000-0000-00006E7E0000}"/>
    <cellStyle name="Normal 4 2 2 2 2 3 4 2 2 2 4" xfId="40234" xr:uid="{00000000-0005-0000-0000-00006F7E0000}"/>
    <cellStyle name="Normal 4 2 2 2 2 3 4 2 2 3" xfId="8357" xr:uid="{00000000-0005-0000-0000-0000707E0000}"/>
    <cellStyle name="Normal 4 2 2 2 2 3 4 2 2 3 2" xfId="26432" xr:uid="{00000000-0005-0000-0000-0000717E0000}"/>
    <cellStyle name="Normal 4 2 2 2 2 3 4 2 2 3 2 2" xfId="58303" xr:uid="{00000000-0005-0000-0000-0000727E0000}"/>
    <cellStyle name="Normal 4 2 2 2 2 3 4 2 2 3 3" xfId="40236" xr:uid="{00000000-0005-0000-0000-0000737E0000}"/>
    <cellStyle name="Normal 4 2 2 2 2 3 4 2 2 4" xfId="18554" xr:uid="{00000000-0005-0000-0000-0000747E0000}"/>
    <cellStyle name="Normal 4 2 2 2 2 3 4 2 2 4 2" xfId="50425" xr:uid="{00000000-0005-0000-0000-0000757E0000}"/>
    <cellStyle name="Normal 4 2 2 2 2 3 4 2 2 5" xfId="40233" xr:uid="{00000000-0005-0000-0000-0000767E0000}"/>
    <cellStyle name="Normal 4 2 2 2 2 3 4 2 3" xfId="8358" xr:uid="{00000000-0005-0000-0000-0000777E0000}"/>
    <cellStyle name="Normal 4 2 2 2 2 3 4 2 3 2" xfId="8359" xr:uid="{00000000-0005-0000-0000-0000787E0000}"/>
    <cellStyle name="Normal 4 2 2 2 2 3 4 2 3 2 2" xfId="30370" xr:uid="{00000000-0005-0000-0000-0000797E0000}"/>
    <cellStyle name="Normal 4 2 2 2 2 3 4 2 3 2 2 2" xfId="62241" xr:uid="{00000000-0005-0000-0000-00007A7E0000}"/>
    <cellStyle name="Normal 4 2 2 2 2 3 4 2 3 2 3" xfId="40238" xr:uid="{00000000-0005-0000-0000-00007B7E0000}"/>
    <cellStyle name="Normal 4 2 2 2 2 3 4 2 3 3" xfId="22492" xr:uid="{00000000-0005-0000-0000-00007C7E0000}"/>
    <cellStyle name="Normal 4 2 2 2 2 3 4 2 3 3 2" xfId="54363" xr:uid="{00000000-0005-0000-0000-00007D7E0000}"/>
    <cellStyle name="Normal 4 2 2 2 2 3 4 2 3 4" xfId="40237" xr:uid="{00000000-0005-0000-0000-00007E7E0000}"/>
    <cellStyle name="Normal 4 2 2 2 2 3 4 2 4" xfId="8360" xr:uid="{00000000-0005-0000-0000-00007F7E0000}"/>
    <cellStyle name="Normal 4 2 2 2 2 3 4 2 4 2" xfId="26431" xr:uid="{00000000-0005-0000-0000-0000807E0000}"/>
    <cellStyle name="Normal 4 2 2 2 2 3 4 2 4 2 2" xfId="58302" xr:uid="{00000000-0005-0000-0000-0000817E0000}"/>
    <cellStyle name="Normal 4 2 2 2 2 3 4 2 4 3" xfId="40239" xr:uid="{00000000-0005-0000-0000-0000827E0000}"/>
    <cellStyle name="Normal 4 2 2 2 2 3 4 2 5" xfId="18553" xr:uid="{00000000-0005-0000-0000-0000837E0000}"/>
    <cellStyle name="Normal 4 2 2 2 2 3 4 2 5 2" xfId="50424" xr:uid="{00000000-0005-0000-0000-0000847E0000}"/>
    <cellStyle name="Normal 4 2 2 2 2 3 4 2 6" xfId="40232" xr:uid="{00000000-0005-0000-0000-0000857E0000}"/>
    <cellStyle name="Normal 4 2 2 2 2 3 4 3" xfId="8361" xr:uid="{00000000-0005-0000-0000-0000867E0000}"/>
    <cellStyle name="Normal 4 2 2 2 2 3 4 3 2" xfId="8362" xr:uid="{00000000-0005-0000-0000-0000877E0000}"/>
    <cellStyle name="Normal 4 2 2 2 2 3 4 3 2 2" xfId="8363" xr:uid="{00000000-0005-0000-0000-0000887E0000}"/>
    <cellStyle name="Normal 4 2 2 2 2 3 4 3 2 2 2" xfId="30372" xr:uid="{00000000-0005-0000-0000-0000897E0000}"/>
    <cellStyle name="Normal 4 2 2 2 2 3 4 3 2 2 2 2" xfId="62243" xr:uid="{00000000-0005-0000-0000-00008A7E0000}"/>
    <cellStyle name="Normal 4 2 2 2 2 3 4 3 2 2 3" xfId="40242" xr:uid="{00000000-0005-0000-0000-00008B7E0000}"/>
    <cellStyle name="Normal 4 2 2 2 2 3 4 3 2 3" xfId="22494" xr:uid="{00000000-0005-0000-0000-00008C7E0000}"/>
    <cellStyle name="Normal 4 2 2 2 2 3 4 3 2 3 2" xfId="54365" xr:uid="{00000000-0005-0000-0000-00008D7E0000}"/>
    <cellStyle name="Normal 4 2 2 2 2 3 4 3 2 4" xfId="40241" xr:uid="{00000000-0005-0000-0000-00008E7E0000}"/>
    <cellStyle name="Normal 4 2 2 2 2 3 4 3 3" xfId="8364" xr:uid="{00000000-0005-0000-0000-00008F7E0000}"/>
    <cellStyle name="Normal 4 2 2 2 2 3 4 3 3 2" xfId="26433" xr:uid="{00000000-0005-0000-0000-0000907E0000}"/>
    <cellStyle name="Normal 4 2 2 2 2 3 4 3 3 2 2" xfId="58304" xr:uid="{00000000-0005-0000-0000-0000917E0000}"/>
    <cellStyle name="Normal 4 2 2 2 2 3 4 3 3 3" xfId="40243" xr:uid="{00000000-0005-0000-0000-0000927E0000}"/>
    <cellStyle name="Normal 4 2 2 2 2 3 4 3 4" xfId="18555" xr:uid="{00000000-0005-0000-0000-0000937E0000}"/>
    <cellStyle name="Normal 4 2 2 2 2 3 4 3 4 2" xfId="50426" xr:uid="{00000000-0005-0000-0000-0000947E0000}"/>
    <cellStyle name="Normal 4 2 2 2 2 3 4 3 5" xfId="40240" xr:uid="{00000000-0005-0000-0000-0000957E0000}"/>
    <cellStyle name="Normal 4 2 2 2 2 3 4 4" xfId="8365" xr:uid="{00000000-0005-0000-0000-0000967E0000}"/>
    <cellStyle name="Normal 4 2 2 2 2 3 4 4 2" xfId="8366" xr:uid="{00000000-0005-0000-0000-0000977E0000}"/>
    <cellStyle name="Normal 4 2 2 2 2 3 4 4 2 2" xfId="30369" xr:uid="{00000000-0005-0000-0000-0000987E0000}"/>
    <cellStyle name="Normal 4 2 2 2 2 3 4 4 2 2 2" xfId="62240" xr:uid="{00000000-0005-0000-0000-0000997E0000}"/>
    <cellStyle name="Normal 4 2 2 2 2 3 4 4 2 3" xfId="40245" xr:uid="{00000000-0005-0000-0000-00009A7E0000}"/>
    <cellStyle name="Normal 4 2 2 2 2 3 4 4 3" xfId="22491" xr:uid="{00000000-0005-0000-0000-00009B7E0000}"/>
    <cellStyle name="Normal 4 2 2 2 2 3 4 4 3 2" xfId="54362" xr:uid="{00000000-0005-0000-0000-00009C7E0000}"/>
    <cellStyle name="Normal 4 2 2 2 2 3 4 4 4" xfId="40244" xr:uid="{00000000-0005-0000-0000-00009D7E0000}"/>
    <cellStyle name="Normal 4 2 2 2 2 3 4 5" xfId="8367" xr:uid="{00000000-0005-0000-0000-00009E7E0000}"/>
    <cellStyle name="Normal 4 2 2 2 2 3 4 5 2" xfId="26430" xr:uid="{00000000-0005-0000-0000-00009F7E0000}"/>
    <cellStyle name="Normal 4 2 2 2 2 3 4 5 2 2" xfId="58301" xr:uid="{00000000-0005-0000-0000-0000A07E0000}"/>
    <cellStyle name="Normal 4 2 2 2 2 3 4 5 3" xfId="40246" xr:uid="{00000000-0005-0000-0000-0000A17E0000}"/>
    <cellStyle name="Normal 4 2 2 2 2 3 4 6" xfId="18552" xr:uid="{00000000-0005-0000-0000-0000A27E0000}"/>
    <cellStyle name="Normal 4 2 2 2 2 3 4 6 2" xfId="50423" xr:uid="{00000000-0005-0000-0000-0000A37E0000}"/>
    <cellStyle name="Normal 4 2 2 2 2 3 4 7" xfId="40231" xr:uid="{00000000-0005-0000-0000-0000A47E0000}"/>
    <cellStyle name="Normal 4 2 2 2 2 3 5" xfId="8368" xr:uid="{00000000-0005-0000-0000-0000A57E0000}"/>
    <cellStyle name="Normal 4 2 2 2 2 3 5 2" xfId="8369" xr:uid="{00000000-0005-0000-0000-0000A67E0000}"/>
    <cellStyle name="Normal 4 2 2 2 2 3 5 2 2" xfId="8370" xr:uid="{00000000-0005-0000-0000-0000A77E0000}"/>
    <cellStyle name="Normal 4 2 2 2 2 3 5 2 2 2" xfId="8371" xr:uid="{00000000-0005-0000-0000-0000A87E0000}"/>
    <cellStyle name="Normal 4 2 2 2 2 3 5 2 2 2 2" xfId="30374" xr:uid="{00000000-0005-0000-0000-0000A97E0000}"/>
    <cellStyle name="Normal 4 2 2 2 2 3 5 2 2 2 2 2" xfId="62245" xr:uid="{00000000-0005-0000-0000-0000AA7E0000}"/>
    <cellStyle name="Normal 4 2 2 2 2 3 5 2 2 2 3" xfId="40250" xr:uid="{00000000-0005-0000-0000-0000AB7E0000}"/>
    <cellStyle name="Normal 4 2 2 2 2 3 5 2 2 3" xfId="22496" xr:uid="{00000000-0005-0000-0000-0000AC7E0000}"/>
    <cellStyle name="Normal 4 2 2 2 2 3 5 2 2 3 2" xfId="54367" xr:uid="{00000000-0005-0000-0000-0000AD7E0000}"/>
    <cellStyle name="Normal 4 2 2 2 2 3 5 2 2 4" xfId="40249" xr:uid="{00000000-0005-0000-0000-0000AE7E0000}"/>
    <cellStyle name="Normal 4 2 2 2 2 3 5 2 3" xfId="8372" xr:uid="{00000000-0005-0000-0000-0000AF7E0000}"/>
    <cellStyle name="Normal 4 2 2 2 2 3 5 2 3 2" xfId="26435" xr:uid="{00000000-0005-0000-0000-0000B07E0000}"/>
    <cellStyle name="Normal 4 2 2 2 2 3 5 2 3 2 2" xfId="58306" xr:uid="{00000000-0005-0000-0000-0000B17E0000}"/>
    <cellStyle name="Normal 4 2 2 2 2 3 5 2 3 3" xfId="40251" xr:uid="{00000000-0005-0000-0000-0000B27E0000}"/>
    <cellStyle name="Normal 4 2 2 2 2 3 5 2 4" xfId="18557" xr:uid="{00000000-0005-0000-0000-0000B37E0000}"/>
    <cellStyle name="Normal 4 2 2 2 2 3 5 2 4 2" xfId="50428" xr:uid="{00000000-0005-0000-0000-0000B47E0000}"/>
    <cellStyle name="Normal 4 2 2 2 2 3 5 2 5" xfId="40248" xr:uid="{00000000-0005-0000-0000-0000B57E0000}"/>
    <cellStyle name="Normal 4 2 2 2 2 3 5 3" xfId="8373" xr:uid="{00000000-0005-0000-0000-0000B67E0000}"/>
    <cellStyle name="Normal 4 2 2 2 2 3 5 3 2" xfId="8374" xr:uid="{00000000-0005-0000-0000-0000B77E0000}"/>
    <cellStyle name="Normal 4 2 2 2 2 3 5 3 2 2" xfId="30373" xr:uid="{00000000-0005-0000-0000-0000B87E0000}"/>
    <cellStyle name="Normal 4 2 2 2 2 3 5 3 2 2 2" xfId="62244" xr:uid="{00000000-0005-0000-0000-0000B97E0000}"/>
    <cellStyle name="Normal 4 2 2 2 2 3 5 3 2 3" xfId="40253" xr:uid="{00000000-0005-0000-0000-0000BA7E0000}"/>
    <cellStyle name="Normal 4 2 2 2 2 3 5 3 3" xfId="22495" xr:uid="{00000000-0005-0000-0000-0000BB7E0000}"/>
    <cellStyle name="Normal 4 2 2 2 2 3 5 3 3 2" xfId="54366" xr:uid="{00000000-0005-0000-0000-0000BC7E0000}"/>
    <cellStyle name="Normal 4 2 2 2 2 3 5 3 4" xfId="40252" xr:uid="{00000000-0005-0000-0000-0000BD7E0000}"/>
    <cellStyle name="Normal 4 2 2 2 2 3 5 4" xfId="8375" xr:uid="{00000000-0005-0000-0000-0000BE7E0000}"/>
    <cellStyle name="Normal 4 2 2 2 2 3 5 4 2" xfId="26434" xr:uid="{00000000-0005-0000-0000-0000BF7E0000}"/>
    <cellStyle name="Normal 4 2 2 2 2 3 5 4 2 2" xfId="58305" xr:uid="{00000000-0005-0000-0000-0000C07E0000}"/>
    <cellStyle name="Normal 4 2 2 2 2 3 5 4 3" xfId="40254" xr:uid="{00000000-0005-0000-0000-0000C17E0000}"/>
    <cellStyle name="Normal 4 2 2 2 2 3 5 5" xfId="18556" xr:uid="{00000000-0005-0000-0000-0000C27E0000}"/>
    <cellStyle name="Normal 4 2 2 2 2 3 5 5 2" xfId="50427" xr:uid="{00000000-0005-0000-0000-0000C37E0000}"/>
    <cellStyle name="Normal 4 2 2 2 2 3 5 6" xfId="40247" xr:uid="{00000000-0005-0000-0000-0000C47E0000}"/>
    <cellStyle name="Normal 4 2 2 2 2 3 6" xfId="8376" xr:uid="{00000000-0005-0000-0000-0000C57E0000}"/>
    <cellStyle name="Normal 4 2 2 2 2 3 6 2" xfId="8377" xr:uid="{00000000-0005-0000-0000-0000C67E0000}"/>
    <cellStyle name="Normal 4 2 2 2 2 3 6 2 2" xfId="8378" xr:uid="{00000000-0005-0000-0000-0000C77E0000}"/>
    <cellStyle name="Normal 4 2 2 2 2 3 6 2 2 2" xfId="30375" xr:uid="{00000000-0005-0000-0000-0000C87E0000}"/>
    <cellStyle name="Normal 4 2 2 2 2 3 6 2 2 2 2" xfId="62246" xr:uid="{00000000-0005-0000-0000-0000C97E0000}"/>
    <cellStyle name="Normal 4 2 2 2 2 3 6 2 2 3" xfId="40257" xr:uid="{00000000-0005-0000-0000-0000CA7E0000}"/>
    <cellStyle name="Normal 4 2 2 2 2 3 6 2 3" xfId="22497" xr:uid="{00000000-0005-0000-0000-0000CB7E0000}"/>
    <cellStyle name="Normal 4 2 2 2 2 3 6 2 3 2" xfId="54368" xr:uid="{00000000-0005-0000-0000-0000CC7E0000}"/>
    <cellStyle name="Normal 4 2 2 2 2 3 6 2 4" xfId="40256" xr:uid="{00000000-0005-0000-0000-0000CD7E0000}"/>
    <cellStyle name="Normal 4 2 2 2 2 3 6 3" xfId="8379" xr:uid="{00000000-0005-0000-0000-0000CE7E0000}"/>
    <cellStyle name="Normal 4 2 2 2 2 3 6 3 2" xfId="26436" xr:uid="{00000000-0005-0000-0000-0000CF7E0000}"/>
    <cellStyle name="Normal 4 2 2 2 2 3 6 3 2 2" xfId="58307" xr:uid="{00000000-0005-0000-0000-0000D07E0000}"/>
    <cellStyle name="Normal 4 2 2 2 2 3 6 3 3" xfId="40258" xr:uid="{00000000-0005-0000-0000-0000D17E0000}"/>
    <cellStyle name="Normal 4 2 2 2 2 3 6 4" xfId="18558" xr:uid="{00000000-0005-0000-0000-0000D27E0000}"/>
    <cellStyle name="Normal 4 2 2 2 2 3 6 4 2" xfId="50429" xr:uid="{00000000-0005-0000-0000-0000D37E0000}"/>
    <cellStyle name="Normal 4 2 2 2 2 3 6 5" xfId="40255" xr:uid="{00000000-0005-0000-0000-0000D47E0000}"/>
    <cellStyle name="Normal 4 2 2 2 2 3 7" xfId="8380" xr:uid="{00000000-0005-0000-0000-0000D57E0000}"/>
    <cellStyle name="Normal 4 2 2 2 2 3 7 2" xfId="8381" xr:uid="{00000000-0005-0000-0000-0000D67E0000}"/>
    <cellStyle name="Normal 4 2 2 2 2 3 7 2 2" xfId="28372" xr:uid="{00000000-0005-0000-0000-0000D77E0000}"/>
    <cellStyle name="Normal 4 2 2 2 2 3 7 2 2 2" xfId="60243" xr:uid="{00000000-0005-0000-0000-0000D87E0000}"/>
    <cellStyle name="Normal 4 2 2 2 2 3 7 2 3" xfId="40260" xr:uid="{00000000-0005-0000-0000-0000D97E0000}"/>
    <cellStyle name="Normal 4 2 2 2 2 3 7 3" xfId="20494" xr:uid="{00000000-0005-0000-0000-0000DA7E0000}"/>
    <cellStyle name="Normal 4 2 2 2 2 3 7 3 2" xfId="52365" xr:uid="{00000000-0005-0000-0000-0000DB7E0000}"/>
    <cellStyle name="Normal 4 2 2 2 2 3 7 4" xfId="40259" xr:uid="{00000000-0005-0000-0000-0000DC7E0000}"/>
    <cellStyle name="Normal 4 2 2 2 2 3 8" xfId="8382" xr:uid="{00000000-0005-0000-0000-0000DD7E0000}"/>
    <cellStyle name="Normal 4 2 2 2 2 3 8 2" xfId="24433" xr:uid="{00000000-0005-0000-0000-0000DE7E0000}"/>
    <cellStyle name="Normal 4 2 2 2 2 3 8 2 2" xfId="56304" xr:uid="{00000000-0005-0000-0000-0000DF7E0000}"/>
    <cellStyle name="Normal 4 2 2 2 2 3 8 3" xfId="40261" xr:uid="{00000000-0005-0000-0000-0000E07E0000}"/>
    <cellStyle name="Normal 4 2 2 2 2 3 9" xfId="16555" xr:uid="{00000000-0005-0000-0000-0000E17E0000}"/>
    <cellStyle name="Normal 4 2 2 2 2 3 9 2" xfId="48426" xr:uid="{00000000-0005-0000-0000-0000E27E0000}"/>
    <cellStyle name="Normal 4 2 2 2 2 4" xfId="8383" xr:uid="{00000000-0005-0000-0000-0000E37E0000}"/>
    <cellStyle name="Normal 4 2 2 2 2 4 2" xfId="8384" xr:uid="{00000000-0005-0000-0000-0000E47E0000}"/>
    <cellStyle name="Normal 4 2 2 2 2 4 2 2" xfId="8385" xr:uid="{00000000-0005-0000-0000-0000E57E0000}"/>
    <cellStyle name="Normal 4 2 2 2 2 4 2 2 2" xfId="8386" xr:uid="{00000000-0005-0000-0000-0000E67E0000}"/>
    <cellStyle name="Normal 4 2 2 2 2 4 2 2 2 2" xfId="8387" xr:uid="{00000000-0005-0000-0000-0000E77E0000}"/>
    <cellStyle name="Normal 4 2 2 2 2 4 2 2 2 2 2" xfId="8388" xr:uid="{00000000-0005-0000-0000-0000E87E0000}"/>
    <cellStyle name="Normal 4 2 2 2 2 4 2 2 2 2 2 2" xfId="8389" xr:uid="{00000000-0005-0000-0000-0000E97E0000}"/>
    <cellStyle name="Normal 4 2 2 2 2 4 2 2 2 2 2 2 2" xfId="30379" xr:uid="{00000000-0005-0000-0000-0000EA7E0000}"/>
    <cellStyle name="Normal 4 2 2 2 2 4 2 2 2 2 2 2 2 2" xfId="62250" xr:uid="{00000000-0005-0000-0000-0000EB7E0000}"/>
    <cellStyle name="Normal 4 2 2 2 2 4 2 2 2 2 2 2 3" xfId="40268" xr:uid="{00000000-0005-0000-0000-0000EC7E0000}"/>
    <cellStyle name="Normal 4 2 2 2 2 4 2 2 2 2 2 3" xfId="22501" xr:uid="{00000000-0005-0000-0000-0000ED7E0000}"/>
    <cellStyle name="Normal 4 2 2 2 2 4 2 2 2 2 2 3 2" xfId="54372" xr:uid="{00000000-0005-0000-0000-0000EE7E0000}"/>
    <cellStyle name="Normal 4 2 2 2 2 4 2 2 2 2 2 4" xfId="40267" xr:uid="{00000000-0005-0000-0000-0000EF7E0000}"/>
    <cellStyle name="Normal 4 2 2 2 2 4 2 2 2 2 3" xfId="8390" xr:uid="{00000000-0005-0000-0000-0000F07E0000}"/>
    <cellStyle name="Normal 4 2 2 2 2 4 2 2 2 2 3 2" xfId="26440" xr:uid="{00000000-0005-0000-0000-0000F17E0000}"/>
    <cellStyle name="Normal 4 2 2 2 2 4 2 2 2 2 3 2 2" xfId="58311" xr:uid="{00000000-0005-0000-0000-0000F27E0000}"/>
    <cellStyle name="Normal 4 2 2 2 2 4 2 2 2 2 3 3" xfId="40269" xr:uid="{00000000-0005-0000-0000-0000F37E0000}"/>
    <cellStyle name="Normal 4 2 2 2 2 4 2 2 2 2 4" xfId="18562" xr:uid="{00000000-0005-0000-0000-0000F47E0000}"/>
    <cellStyle name="Normal 4 2 2 2 2 4 2 2 2 2 4 2" xfId="50433" xr:uid="{00000000-0005-0000-0000-0000F57E0000}"/>
    <cellStyle name="Normal 4 2 2 2 2 4 2 2 2 2 5" xfId="40266" xr:uid="{00000000-0005-0000-0000-0000F67E0000}"/>
    <cellStyle name="Normal 4 2 2 2 2 4 2 2 2 3" xfId="8391" xr:uid="{00000000-0005-0000-0000-0000F77E0000}"/>
    <cellStyle name="Normal 4 2 2 2 2 4 2 2 2 3 2" xfId="8392" xr:uid="{00000000-0005-0000-0000-0000F87E0000}"/>
    <cellStyle name="Normal 4 2 2 2 2 4 2 2 2 3 2 2" xfId="30378" xr:uid="{00000000-0005-0000-0000-0000F97E0000}"/>
    <cellStyle name="Normal 4 2 2 2 2 4 2 2 2 3 2 2 2" xfId="62249" xr:uid="{00000000-0005-0000-0000-0000FA7E0000}"/>
    <cellStyle name="Normal 4 2 2 2 2 4 2 2 2 3 2 3" xfId="40271" xr:uid="{00000000-0005-0000-0000-0000FB7E0000}"/>
    <cellStyle name="Normal 4 2 2 2 2 4 2 2 2 3 3" xfId="22500" xr:uid="{00000000-0005-0000-0000-0000FC7E0000}"/>
    <cellStyle name="Normal 4 2 2 2 2 4 2 2 2 3 3 2" xfId="54371" xr:uid="{00000000-0005-0000-0000-0000FD7E0000}"/>
    <cellStyle name="Normal 4 2 2 2 2 4 2 2 2 3 4" xfId="40270" xr:uid="{00000000-0005-0000-0000-0000FE7E0000}"/>
    <cellStyle name="Normal 4 2 2 2 2 4 2 2 2 4" xfId="8393" xr:uid="{00000000-0005-0000-0000-0000FF7E0000}"/>
    <cellStyle name="Normal 4 2 2 2 2 4 2 2 2 4 2" xfId="26439" xr:uid="{00000000-0005-0000-0000-0000007F0000}"/>
    <cellStyle name="Normal 4 2 2 2 2 4 2 2 2 4 2 2" xfId="58310" xr:uid="{00000000-0005-0000-0000-0000017F0000}"/>
    <cellStyle name="Normal 4 2 2 2 2 4 2 2 2 4 3" xfId="40272" xr:uid="{00000000-0005-0000-0000-0000027F0000}"/>
    <cellStyle name="Normal 4 2 2 2 2 4 2 2 2 5" xfId="18561" xr:uid="{00000000-0005-0000-0000-0000037F0000}"/>
    <cellStyle name="Normal 4 2 2 2 2 4 2 2 2 5 2" xfId="50432" xr:uid="{00000000-0005-0000-0000-0000047F0000}"/>
    <cellStyle name="Normal 4 2 2 2 2 4 2 2 2 6" xfId="40265" xr:uid="{00000000-0005-0000-0000-0000057F0000}"/>
    <cellStyle name="Normal 4 2 2 2 2 4 2 2 3" xfId="8394" xr:uid="{00000000-0005-0000-0000-0000067F0000}"/>
    <cellStyle name="Normal 4 2 2 2 2 4 2 2 3 2" xfId="8395" xr:uid="{00000000-0005-0000-0000-0000077F0000}"/>
    <cellStyle name="Normal 4 2 2 2 2 4 2 2 3 2 2" xfId="8396" xr:uid="{00000000-0005-0000-0000-0000087F0000}"/>
    <cellStyle name="Normal 4 2 2 2 2 4 2 2 3 2 2 2" xfId="30380" xr:uid="{00000000-0005-0000-0000-0000097F0000}"/>
    <cellStyle name="Normal 4 2 2 2 2 4 2 2 3 2 2 2 2" xfId="62251" xr:uid="{00000000-0005-0000-0000-00000A7F0000}"/>
    <cellStyle name="Normal 4 2 2 2 2 4 2 2 3 2 2 3" xfId="40275" xr:uid="{00000000-0005-0000-0000-00000B7F0000}"/>
    <cellStyle name="Normal 4 2 2 2 2 4 2 2 3 2 3" xfId="22502" xr:uid="{00000000-0005-0000-0000-00000C7F0000}"/>
    <cellStyle name="Normal 4 2 2 2 2 4 2 2 3 2 3 2" xfId="54373" xr:uid="{00000000-0005-0000-0000-00000D7F0000}"/>
    <cellStyle name="Normal 4 2 2 2 2 4 2 2 3 2 4" xfId="40274" xr:uid="{00000000-0005-0000-0000-00000E7F0000}"/>
    <cellStyle name="Normal 4 2 2 2 2 4 2 2 3 3" xfId="8397" xr:uid="{00000000-0005-0000-0000-00000F7F0000}"/>
    <cellStyle name="Normal 4 2 2 2 2 4 2 2 3 3 2" xfId="26441" xr:uid="{00000000-0005-0000-0000-0000107F0000}"/>
    <cellStyle name="Normal 4 2 2 2 2 4 2 2 3 3 2 2" xfId="58312" xr:uid="{00000000-0005-0000-0000-0000117F0000}"/>
    <cellStyle name="Normal 4 2 2 2 2 4 2 2 3 3 3" xfId="40276" xr:uid="{00000000-0005-0000-0000-0000127F0000}"/>
    <cellStyle name="Normal 4 2 2 2 2 4 2 2 3 4" xfId="18563" xr:uid="{00000000-0005-0000-0000-0000137F0000}"/>
    <cellStyle name="Normal 4 2 2 2 2 4 2 2 3 4 2" xfId="50434" xr:uid="{00000000-0005-0000-0000-0000147F0000}"/>
    <cellStyle name="Normal 4 2 2 2 2 4 2 2 3 5" xfId="40273" xr:uid="{00000000-0005-0000-0000-0000157F0000}"/>
    <cellStyle name="Normal 4 2 2 2 2 4 2 2 4" xfId="8398" xr:uid="{00000000-0005-0000-0000-0000167F0000}"/>
    <cellStyle name="Normal 4 2 2 2 2 4 2 2 4 2" xfId="8399" xr:uid="{00000000-0005-0000-0000-0000177F0000}"/>
    <cellStyle name="Normal 4 2 2 2 2 4 2 2 4 2 2" xfId="30377" xr:uid="{00000000-0005-0000-0000-0000187F0000}"/>
    <cellStyle name="Normal 4 2 2 2 2 4 2 2 4 2 2 2" xfId="62248" xr:uid="{00000000-0005-0000-0000-0000197F0000}"/>
    <cellStyle name="Normal 4 2 2 2 2 4 2 2 4 2 3" xfId="40278" xr:uid="{00000000-0005-0000-0000-00001A7F0000}"/>
    <cellStyle name="Normal 4 2 2 2 2 4 2 2 4 3" xfId="22499" xr:uid="{00000000-0005-0000-0000-00001B7F0000}"/>
    <cellStyle name="Normal 4 2 2 2 2 4 2 2 4 3 2" xfId="54370" xr:uid="{00000000-0005-0000-0000-00001C7F0000}"/>
    <cellStyle name="Normal 4 2 2 2 2 4 2 2 4 4" xfId="40277" xr:uid="{00000000-0005-0000-0000-00001D7F0000}"/>
    <cellStyle name="Normal 4 2 2 2 2 4 2 2 5" xfId="8400" xr:uid="{00000000-0005-0000-0000-00001E7F0000}"/>
    <cellStyle name="Normal 4 2 2 2 2 4 2 2 5 2" xfId="26438" xr:uid="{00000000-0005-0000-0000-00001F7F0000}"/>
    <cellStyle name="Normal 4 2 2 2 2 4 2 2 5 2 2" xfId="58309" xr:uid="{00000000-0005-0000-0000-0000207F0000}"/>
    <cellStyle name="Normal 4 2 2 2 2 4 2 2 5 3" xfId="40279" xr:uid="{00000000-0005-0000-0000-0000217F0000}"/>
    <cellStyle name="Normal 4 2 2 2 2 4 2 2 6" xfId="18560" xr:uid="{00000000-0005-0000-0000-0000227F0000}"/>
    <cellStyle name="Normal 4 2 2 2 2 4 2 2 6 2" xfId="50431" xr:uid="{00000000-0005-0000-0000-0000237F0000}"/>
    <cellStyle name="Normal 4 2 2 2 2 4 2 2 7" xfId="40264" xr:uid="{00000000-0005-0000-0000-0000247F0000}"/>
    <cellStyle name="Normal 4 2 2 2 2 4 2 3" xfId="8401" xr:uid="{00000000-0005-0000-0000-0000257F0000}"/>
    <cellStyle name="Normal 4 2 2 2 2 4 2 3 2" xfId="8402" xr:uid="{00000000-0005-0000-0000-0000267F0000}"/>
    <cellStyle name="Normal 4 2 2 2 2 4 2 3 2 2" xfId="8403" xr:uid="{00000000-0005-0000-0000-0000277F0000}"/>
    <cellStyle name="Normal 4 2 2 2 2 4 2 3 2 2 2" xfId="8404" xr:uid="{00000000-0005-0000-0000-0000287F0000}"/>
    <cellStyle name="Normal 4 2 2 2 2 4 2 3 2 2 2 2" xfId="30382" xr:uid="{00000000-0005-0000-0000-0000297F0000}"/>
    <cellStyle name="Normal 4 2 2 2 2 4 2 3 2 2 2 2 2" xfId="62253" xr:uid="{00000000-0005-0000-0000-00002A7F0000}"/>
    <cellStyle name="Normal 4 2 2 2 2 4 2 3 2 2 2 3" xfId="40283" xr:uid="{00000000-0005-0000-0000-00002B7F0000}"/>
    <cellStyle name="Normal 4 2 2 2 2 4 2 3 2 2 3" xfId="22504" xr:uid="{00000000-0005-0000-0000-00002C7F0000}"/>
    <cellStyle name="Normal 4 2 2 2 2 4 2 3 2 2 3 2" xfId="54375" xr:uid="{00000000-0005-0000-0000-00002D7F0000}"/>
    <cellStyle name="Normal 4 2 2 2 2 4 2 3 2 2 4" xfId="40282" xr:uid="{00000000-0005-0000-0000-00002E7F0000}"/>
    <cellStyle name="Normal 4 2 2 2 2 4 2 3 2 3" xfId="8405" xr:uid="{00000000-0005-0000-0000-00002F7F0000}"/>
    <cellStyle name="Normal 4 2 2 2 2 4 2 3 2 3 2" xfId="26443" xr:uid="{00000000-0005-0000-0000-0000307F0000}"/>
    <cellStyle name="Normal 4 2 2 2 2 4 2 3 2 3 2 2" xfId="58314" xr:uid="{00000000-0005-0000-0000-0000317F0000}"/>
    <cellStyle name="Normal 4 2 2 2 2 4 2 3 2 3 3" xfId="40284" xr:uid="{00000000-0005-0000-0000-0000327F0000}"/>
    <cellStyle name="Normal 4 2 2 2 2 4 2 3 2 4" xfId="18565" xr:uid="{00000000-0005-0000-0000-0000337F0000}"/>
    <cellStyle name="Normal 4 2 2 2 2 4 2 3 2 4 2" xfId="50436" xr:uid="{00000000-0005-0000-0000-0000347F0000}"/>
    <cellStyle name="Normal 4 2 2 2 2 4 2 3 2 5" xfId="40281" xr:uid="{00000000-0005-0000-0000-0000357F0000}"/>
    <cellStyle name="Normal 4 2 2 2 2 4 2 3 3" xfId="8406" xr:uid="{00000000-0005-0000-0000-0000367F0000}"/>
    <cellStyle name="Normal 4 2 2 2 2 4 2 3 3 2" xfId="8407" xr:uid="{00000000-0005-0000-0000-0000377F0000}"/>
    <cellStyle name="Normal 4 2 2 2 2 4 2 3 3 2 2" xfId="30381" xr:uid="{00000000-0005-0000-0000-0000387F0000}"/>
    <cellStyle name="Normal 4 2 2 2 2 4 2 3 3 2 2 2" xfId="62252" xr:uid="{00000000-0005-0000-0000-0000397F0000}"/>
    <cellStyle name="Normal 4 2 2 2 2 4 2 3 3 2 3" xfId="40286" xr:uid="{00000000-0005-0000-0000-00003A7F0000}"/>
    <cellStyle name="Normal 4 2 2 2 2 4 2 3 3 3" xfId="22503" xr:uid="{00000000-0005-0000-0000-00003B7F0000}"/>
    <cellStyle name="Normal 4 2 2 2 2 4 2 3 3 3 2" xfId="54374" xr:uid="{00000000-0005-0000-0000-00003C7F0000}"/>
    <cellStyle name="Normal 4 2 2 2 2 4 2 3 3 4" xfId="40285" xr:uid="{00000000-0005-0000-0000-00003D7F0000}"/>
    <cellStyle name="Normal 4 2 2 2 2 4 2 3 4" xfId="8408" xr:uid="{00000000-0005-0000-0000-00003E7F0000}"/>
    <cellStyle name="Normal 4 2 2 2 2 4 2 3 4 2" xfId="26442" xr:uid="{00000000-0005-0000-0000-00003F7F0000}"/>
    <cellStyle name="Normal 4 2 2 2 2 4 2 3 4 2 2" xfId="58313" xr:uid="{00000000-0005-0000-0000-0000407F0000}"/>
    <cellStyle name="Normal 4 2 2 2 2 4 2 3 4 3" xfId="40287" xr:uid="{00000000-0005-0000-0000-0000417F0000}"/>
    <cellStyle name="Normal 4 2 2 2 2 4 2 3 5" xfId="18564" xr:uid="{00000000-0005-0000-0000-0000427F0000}"/>
    <cellStyle name="Normal 4 2 2 2 2 4 2 3 5 2" xfId="50435" xr:uid="{00000000-0005-0000-0000-0000437F0000}"/>
    <cellStyle name="Normal 4 2 2 2 2 4 2 3 6" xfId="40280" xr:uid="{00000000-0005-0000-0000-0000447F0000}"/>
    <cellStyle name="Normal 4 2 2 2 2 4 2 4" xfId="8409" xr:uid="{00000000-0005-0000-0000-0000457F0000}"/>
    <cellStyle name="Normal 4 2 2 2 2 4 2 4 2" xfId="8410" xr:uid="{00000000-0005-0000-0000-0000467F0000}"/>
    <cellStyle name="Normal 4 2 2 2 2 4 2 4 2 2" xfId="8411" xr:uid="{00000000-0005-0000-0000-0000477F0000}"/>
    <cellStyle name="Normal 4 2 2 2 2 4 2 4 2 2 2" xfId="30383" xr:uid="{00000000-0005-0000-0000-0000487F0000}"/>
    <cellStyle name="Normal 4 2 2 2 2 4 2 4 2 2 2 2" xfId="62254" xr:uid="{00000000-0005-0000-0000-0000497F0000}"/>
    <cellStyle name="Normal 4 2 2 2 2 4 2 4 2 2 3" xfId="40290" xr:uid="{00000000-0005-0000-0000-00004A7F0000}"/>
    <cellStyle name="Normal 4 2 2 2 2 4 2 4 2 3" xfId="22505" xr:uid="{00000000-0005-0000-0000-00004B7F0000}"/>
    <cellStyle name="Normal 4 2 2 2 2 4 2 4 2 3 2" xfId="54376" xr:uid="{00000000-0005-0000-0000-00004C7F0000}"/>
    <cellStyle name="Normal 4 2 2 2 2 4 2 4 2 4" xfId="40289" xr:uid="{00000000-0005-0000-0000-00004D7F0000}"/>
    <cellStyle name="Normal 4 2 2 2 2 4 2 4 3" xfId="8412" xr:uid="{00000000-0005-0000-0000-00004E7F0000}"/>
    <cellStyle name="Normal 4 2 2 2 2 4 2 4 3 2" xfId="26444" xr:uid="{00000000-0005-0000-0000-00004F7F0000}"/>
    <cellStyle name="Normal 4 2 2 2 2 4 2 4 3 2 2" xfId="58315" xr:uid="{00000000-0005-0000-0000-0000507F0000}"/>
    <cellStyle name="Normal 4 2 2 2 2 4 2 4 3 3" xfId="40291" xr:uid="{00000000-0005-0000-0000-0000517F0000}"/>
    <cellStyle name="Normal 4 2 2 2 2 4 2 4 4" xfId="18566" xr:uid="{00000000-0005-0000-0000-0000527F0000}"/>
    <cellStyle name="Normal 4 2 2 2 2 4 2 4 4 2" xfId="50437" xr:uid="{00000000-0005-0000-0000-0000537F0000}"/>
    <cellStyle name="Normal 4 2 2 2 2 4 2 4 5" xfId="40288" xr:uid="{00000000-0005-0000-0000-0000547F0000}"/>
    <cellStyle name="Normal 4 2 2 2 2 4 2 5" xfId="8413" xr:uid="{00000000-0005-0000-0000-0000557F0000}"/>
    <cellStyle name="Normal 4 2 2 2 2 4 2 5 2" xfId="8414" xr:uid="{00000000-0005-0000-0000-0000567F0000}"/>
    <cellStyle name="Normal 4 2 2 2 2 4 2 5 2 2" xfId="30376" xr:uid="{00000000-0005-0000-0000-0000577F0000}"/>
    <cellStyle name="Normal 4 2 2 2 2 4 2 5 2 2 2" xfId="62247" xr:uid="{00000000-0005-0000-0000-0000587F0000}"/>
    <cellStyle name="Normal 4 2 2 2 2 4 2 5 2 3" xfId="40293" xr:uid="{00000000-0005-0000-0000-0000597F0000}"/>
    <cellStyle name="Normal 4 2 2 2 2 4 2 5 3" xfId="22498" xr:uid="{00000000-0005-0000-0000-00005A7F0000}"/>
    <cellStyle name="Normal 4 2 2 2 2 4 2 5 3 2" xfId="54369" xr:uid="{00000000-0005-0000-0000-00005B7F0000}"/>
    <cellStyle name="Normal 4 2 2 2 2 4 2 5 4" xfId="40292" xr:uid="{00000000-0005-0000-0000-00005C7F0000}"/>
    <cellStyle name="Normal 4 2 2 2 2 4 2 6" xfId="8415" xr:uid="{00000000-0005-0000-0000-00005D7F0000}"/>
    <cellStyle name="Normal 4 2 2 2 2 4 2 6 2" xfId="26437" xr:uid="{00000000-0005-0000-0000-00005E7F0000}"/>
    <cellStyle name="Normal 4 2 2 2 2 4 2 6 2 2" xfId="58308" xr:uid="{00000000-0005-0000-0000-00005F7F0000}"/>
    <cellStyle name="Normal 4 2 2 2 2 4 2 6 3" xfId="40294" xr:uid="{00000000-0005-0000-0000-0000607F0000}"/>
    <cellStyle name="Normal 4 2 2 2 2 4 2 7" xfId="18559" xr:uid="{00000000-0005-0000-0000-0000617F0000}"/>
    <cellStyle name="Normal 4 2 2 2 2 4 2 7 2" xfId="50430" xr:uid="{00000000-0005-0000-0000-0000627F0000}"/>
    <cellStyle name="Normal 4 2 2 2 2 4 2 8" xfId="40263" xr:uid="{00000000-0005-0000-0000-0000637F0000}"/>
    <cellStyle name="Normal 4 2 2 2 2 4 3" xfId="8416" xr:uid="{00000000-0005-0000-0000-0000647F0000}"/>
    <cellStyle name="Normal 4 2 2 2 2 4 3 2" xfId="8417" xr:uid="{00000000-0005-0000-0000-0000657F0000}"/>
    <cellStyle name="Normal 4 2 2 2 2 4 3 2 2" xfId="8418" xr:uid="{00000000-0005-0000-0000-0000667F0000}"/>
    <cellStyle name="Normal 4 2 2 2 2 4 3 2 2 2" xfId="8419" xr:uid="{00000000-0005-0000-0000-0000677F0000}"/>
    <cellStyle name="Normal 4 2 2 2 2 4 3 2 2 2 2" xfId="8420" xr:uid="{00000000-0005-0000-0000-0000687F0000}"/>
    <cellStyle name="Normal 4 2 2 2 2 4 3 2 2 2 2 2" xfId="30386" xr:uid="{00000000-0005-0000-0000-0000697F0000}"/>
    <cellStyle name="Normal 4 2 2 2 2 4 3 2 2 2 2 2 2" xfId="62257" xr:uid="{00000000-0005-0000-0000-00006A7F0000}"/>
    <cellStyle name="Normal 4 2 2 2 2 4 3 2 2 2 2 3" xfId="40299" xr:uid="{00000000-0005-0000-0000-00006B7F0000}"/>
    <cellStyle name="Normal 4 2 2 2 2 4 3 2 2 2 3" xfId="22508" xr:uid="{00000000-0005-0000-0000-00006C7F0000}"/>
    <cellStyle name="Normal 4 2 2 2 2 4 3 2 2 2 3 2" xfId="54379" xr:uid="{00000000-0005-0000-0000-00006D7F0000}"/>
    <cellStyle name="Normal 4 2 2 2 2 4 3 2 2 2 4" xfId="40298" xr:uid="{00000000-0005-0000-0000-00006E7F0000}"/>
    <cellStyle name="Normal 4 2 2 2 2 4 3 2 2 3" xfId="8421" xr:uid="{00000000-0005-0000-0000-00006F7F0000}"/>
    <cellStyle name="Normal 4 2 2 2 2 4 3 2 2 3 2" xfId="26447" xr:uid="{00000000-0005-0000-0000-0000707F0000}"/>
    <cellStyle name="Normal 4 2 2 2 2 4 3 2 2 3 2 2" xfId="58318" xr:uid="{00000000-0005-0000-0000-0000717F0000}"/>
    <cellStyle name="Normal 4 2 2 2 2 4 3 2 2 3 3" xfId="40300" xr:uid="{00000000-0005-0000-0000-0000727F0000}"/>
    <cellStyle name="Normal 4 2 2 2 2 4 3 2 2 4" xfId="18569" xr:uid="{00000000-0005-0000-0000-0000737F0000}"/>
    <cellStyle name="Normal 4 2 2 2 2 4 3 2 2 4 2" xfId="50440" xr:uid="{00000000-0005-0000-0000-0000747F0000}"/>
    <cellStyle name="Normal 4 2 2 2 2 4 3 2 2 5" xfId="40297" xr:uid="{00000000-0005-0000-0000-0000757F0000}"/>
    <cellStyle name="Normal 4 2 2 2 2 4 3 2 3" xfId="8422" xr:uid="{00000000-0005-0000-0000-0000767F0000}"/>
    <cellStyle name="Normal 4 2 2 2 2 4 3 2 3 2" xfId="8423" xr:uid="{00000000-0005-0000-0000-0000777F0000}"/>
    <cellStyle name="Normal 4 2 2 2 2 4 3 2 3 2 2" xfId="30385" xr:uid="{00000000-0005-0000-0000-0000787F0000}"/>
    <cellStyle name="Normal 4 2 2 2 2 4 3 2 3 2 2 2" xfId="62256" xr:uid="{00000000-0005-0000-0000-0000797F0000}"/>
    <cellStyle name="Normal 4 2 2 2 2 4 3 2 3 2 3" xfId="40302" xr:uid="{00000000-0005-0000-0000-00007A7F0000}"/>
    <cellStyle name="Normal 4 2 2 2 2 4 3 2 3 3" xfId="22507" xr:uid="{00000000-0005-0000-0000-00007B7F0000}"/>
    <cellStyle name="Normal 4 2 2 2 2 4 3 2 3 3 2" xfId="54378" xr:uid="{00000000-0005-0000-0000-00007C7F0000}"/>
    <cellStyle name="Normal 4 2 2 2 2 4 3 2 3 4" xfId="40301" xr:uid="{00000000-0005-0000-0000-00007D7F0000}"/>
    <cellStyle name="Normal 4 2 2 2 2 4 3 2 4" xfId="8424" xr:uid="{00000000-0005-0000-0000-00007E7F0000}"/>
    <cellStyle name="Normal 4 2 2 2 2 4 3 2 4 2" xfId="26446" xr:uid="{00000000-0005-0000-0000-00007F7F0000}"/>
    <cellStyle name="Normal 4 2 2 2 2 4 3 2 4 2 2" xfId="58317" xr:uid="{00000000-0005-0000-0000-0000807F0000}"/>
    <cellStyle name="Normal 4 2 2 2 2 4 3 2 4 3" xfId="40303" xr:uid="{00000000-0005-0000-0000-0000817F0000}"/>
    <cellStyle name="Normal 4 2 2 2 2 4 3 2 5" xfId="18568" xr:uid="{00000000-0005-0000-0000-0000827F0000}"/>
    <cellStyle name="Normal 4 2 2 2 2 4 3 2 5 2" xfId="50439" xr:uid="{00000000-0005-0000-0000-0000837F0000}"/>
    <cellStyle name="Normal 4 2 2 2 2 4 3 2 6" xfId="40296" xr:uid="{00000000-0005-0000-0000-0000847F0000}"/>
    <cellStyle name="Normal 4 2 2 2 2 4 3 3" xfId="8425" xr:uid="{00000000-0005-0000-0000-0000857F0000}"/>
    <cellStyle name="Normal 4 2 2 2 2 4 3 3 2" xfId="8426" xr:uid="{00000000-0005-0000-0000-0000867F0000}"/>
    <cellStyle name="Normal 4 2 2 2 2 4 3 3 2 2" xfId="8427" xr:uid="{00000000-0005-0000-0000-0000877F0000}"/>
    <cellStyle name="Normal 4 2 2 2 2 4 3 3 2 2 2" xfId="30387" xr:uid="{00000000-0005-0000-0000-0000887F0000}"/>
    <cellStyle name="Normal 4 2 2 2 2 4 3 3 2 2 2 2" xfId="62258" xr:uid="{00000000-0005-0000-0000-0000897F0000}"/>
    <cellStyle name="Normal 4 2 2 2 2 4 3 3 2 2 3" xfId="40306" xr:uid="{00000000-0005-0000-0000-00008A7F0000}"/>
    <cellStyle name="Normal 4 2 2 2 2 4 3 3 2 3" xfId="22509" xr:uid="{00000000-0005-0000-0000-00008B7F0000}"/>
    <cellStyle name="Normal 4 2 2 2 2 4 3 3 2 3 2" xfId="54380" xr:uid="{00000000-0005-0000-0000-00008C7F0000}"/>
    <cellStyle name="Normal 4 2 2 2 2 4 3 3 2 4" xfId="40305" xr:uid="{00000000-0005-0000-0000-00008D7F0000}"/>
    <cellStyle name="Normal 4 2 2 2 2 4 3 3 3" xfId="8428" xr:uid="{00000000-0005-0000-0000-00008E7F0000}"/>
    <cellStyle name="Normal 4 2 2 2 2 4 3 3 3 2" xfId="26448" xr:uid="{00000000-0005-0000-0000-00008F7F0000}"/>
    <cellStyle name="Normal 4 2 2 2 2 4 3 3 3 2 2" xfId="58319" xr:uid="{00000000-0005-0000-0000-0000907F0000}"/>
    <cellStyle name="Normal 4 2 2 2 2 4 3 3 3 3" xfId="40307" xr:uid="{00000000-0005-0000-0000-0000917F0000}"/>
    <cellStyle name="Normal 4 2 2 2 2 4 3 3 4" xfId="18570" xr:uid="{00000000-0005-0000-0000-0000927F0000}"/>
    <cellStyle name="Normal 4 2 2 2 2 4 3 3 4 2" xfId="50441" xr:uid="{00000000-0005-0000-0000-0000937F0000}"/>
    <cellStyle name="Normal 4 2 2 2 2 4 3 3 5" xfId="40304" xr:uid="{00000000-0005-0000-0000-0000947F0000}"/>
    <cellStyle name="Normal 4 2 2 2 2 4 3 4" xfId="8429" xr:uid="{00000000-0005-0000-0000-0000957F0000}"/>
    <cellStyle name="Normal 4 2 2 2 2 4 3 4 2" xfId="8430" xr:uid="{00000000-0005-0000-0000-0000967F0000}"/>
    <cellStyle name="Normal 4 2 2 2 2 4 3 4 2 2" xfId="30384" xr:uid="{00000000-0005-0000-0000-0000977F0000}"/>
    <cellStyle name="Normal 4 2 2 2 2 4 3 4 2 2 2" xfId="62255" xr:uid="{00000000-0005-0000-0000-0000987F0000}"/>
    <cellStyle name="Normal 4 2 2 2 2 4 3 4 2 3" xfId="40309" xr:uid="{00000000-0005-0000-0000-0000997F0000}"/>
    <cellStyle name="Normal 4 2 2 2 2 4 3 4 3" xfId="22506" xr:uid="{00000000-0005-0000-0000-00009A7F0000}"/>
    <cellStyle name="Normal 4 2 2 2 2 4 3 4 3 2" xfId="54377" xr:uid="{00000000-0005-0000-0000-00009B7F0000}"/>
    <cellStyle name="Normal 4 2 2 2 2 4 3 4 4" xfId="40308" xr:uid="{00000000-0005-0000-0000-00009C7F0000}"/>
    <cellStyle name="Normal 4 2 2 2 2 4 3 5" xfId="8431" xr:uid="{00000000-0005-0000-0000-00009D7F0000}"/>
    <cellStyle name="Normal 4 2 2 2 2 4 3 5 2" xfId="26445" xr:uid="{00000000-0005-0000-0000-00009E7F0000}"/>
    <cellStyle name="Normal 4 2 2 2 2 4 3 5 2 2" xfId="58316" xr:uid="{00000000-0005-0000-0000-00009F7F0000}"/>
    <cellStyle name="Normal 4 2 2 2 2 4 3 5 3" xfId="40310" xr:uid="{00000000-0005-0000-0000-0000A07F0000}"/>
    <cellStyle name="Normal 4 2 2 2 2 4 3 6" xfId="18567" xr:uid="{00000000-0005-0000-0000-0000A17F0000}"/>
    <cellStyle name="Normal 4 2 2 2 2 4 3 6 2" xfId="50438" xr:uid="{00000000-0005-0000-0000-0000A27F0000}"/>
    <cellStyle name="Normal 4 2 2 2 2 4 3 7" xfId="40295" xr:uid="{00000000-0005-0000-0000-0000A37F0000}"/>
    <cellStyle name="Normal 4 2 2 2 2 4 4" xfId="8432" xr:uid="{00000000-0005-0000-0000-0000A47F0000}"/>
    <cellStyle name="Normal 4 2 2 2 2 4 4 2" xfId="8433" xr:uid="{00000000-0005-0000-0000-0000A57F0000}"/>
    <cellStyle name="Normal 4 2 2 2 2 4 4 2 2" xfId="8434" xr:uid="{00000000-0005-0000-0000-0000A67F0000}"/>
    <cellStyle name="Normal 4 2 2 2 2 4 4 2 2 2" xfId="8435" xr:uid="{00000000-0005-0000-0000-0000A77F0000}"/>
    <cellStyle name="Normal 4 2 2 2 2 4 4 2 2 2 2" xfId="30389" xr:uid="{00000000-0005-0000-0000-0000A87F0000}"/>
    <cellStyle name="Normal 4 2 2 2 2 4 4 2 2 2 2 2" xfId="62260" xr:uid="{00000000-0005-0000-0000-0000A97F0000}"/>
    <cellStyle name="Normal 4 2 2 2 2 4 4 2 2 2 3" xfId="40314" xr:uid="{00000000-0005-0000-0000-0000AA7F0000}"/>
    <cellStyle name="Normal 4 2 2 2 2 4 4 2 2 3" xfId="22511" xr:uid="{00000000-0005-0000-0000-0000AB7F0000}"/>
    <cellStyle name="Normal 4 2 2 2 2 4 4 2 2 3 2" xfId="54382" xr:uid="{00000000-0005-0000-0000-0000AC7F0000}"/>
    <cellStyle name="Normal 4 2 2 2 2 4 4 2 2 4" xfId="40313" xr:uid="{00000000-0005-0000-0000-0000AD7F0000}"/>
    <cellStyle name="Normal 4 2 2 2 2 4 4 2 3" xfId="8436" xr:uid="{00000000-0005-0000-0000-0000AE7F0000}"/>
    <cellStyle name="Normal 4 2 2 2 2 4 4 2 3 2" xfId="26450" xr:uid="{00000000-0005-0000-0000-0000AF7F0000}"/>
    <cellStyle name="Normal 4 2 2 2 2 4 4 2 3 2 2" xfId="58321" xr:uid="{00000000-0005-0000-0000-0000B07F0000}"/>
    <cellStyle name="Normal 4 2 2 2 2 4 4 2 3 3" xfId="40315" xr:uid="{00000000-0005-0000-0000-0000B17F0000}"/>
    <cellStyle name="Normal 4 2 2 2 2 4 4 2 4" xfId="18572" xr:uid="{00000000-0005-0000-0000-0000B27F0000}"/>
    <cellStyle name="Normal 4 2 2 2 2 4 4 2 4 2" xfId="50443" xr:uid="{00000000-0005-0000-0000-0000B37F0000}"/>
    <cellStyle name="Normal 4 2 2 2 2 4 4 2 5" xfId="40312" xr:uid="{00000000-0005-0000-0000-0000B47F0000}"/>
    <cellStyle name="Normal 4 2 2 2 2 4 4 3" xfId="8437" xr:uid="{00000000-0005-0000-0000-0000B57F0000}"/>
    <cellStyle name="Normal 4 2 2 2 2 4 4 3 2" xfId="8438" xr:uid="{00000000-0005-0000-0000-0000B67F0000}"/>
    <cellStyle name="Normal 4 2 2 2 2 4 4 3 2 2" xfId="30388" xr:uid="{00000000-0005-0000-0000-0000B77F0000}"/>
    <cellStyle name="Normal 4 2 2 2 2 4 4 3 2 2 2" xfId="62259" xr:uid="{00000000-0005-0000-0000-0000B87F0000}"/>
    <cellStyle name="Normal 4 2 2 2 2 4 4 3 2 3" xfId="40317" xr:uid="{00000000-0005-0000-0000-0000B97F0000}"/>
    <cellStyle name="Normal 4 2 2 2 2 4 4 3 3" xfId="22510" xr:uid="{00000000-0005-0000-0000-0000BA7F0000}"/>
    <cellStyle name="Normal 4 2 2 2 2 4 4 3 3 2" xfId="54381" xr:uid="{00000000-0005-0000-0000-0000BB7F0000}"/>
    <cellStyle name="Normal 4 2 2 2 2 4 4 3 4" xfId="40316" xr:uid="{00000000-0005-0000-0000-0000BC7F0000}"/>
    <cellStyle name="Normal 4 2 2 2 2 4 4 4" xfId="8439" xr:uid="{00000000-0005-0000-0000-0000BD7F0000}"/>
    <cellStyle name="Normal 4 2 2 2 2 4 4 4 2" xfId="26449" xr:uid="{00000000-0005-0000-0000-0000BE7F0000}"/>
    <cellStyle name="Normal 4 2 2 2 2 4 4 4 2 2" xfId="58320" xr:uid="{00000000-0005-0000-0000-0000BF7F0000}"/>
    <cellStyle name="Normal 4 2 2 2 2 4 4 4 3" xfId="40318" xr:uid="{00000000-0005-0000-0000-0000C07F0000}"/>
    <cellStyle name="Normal 4 2 2 2 2 4 4 5" xfId="18571" xr:uid="{00000000-0005-0000-0000-0000C17F0000}"/>
    <cellStyle name="Normal 4 2 2 2 2 4 4 5 2" xfId="50442" xr:uid="{00000000-0005-0000-0000-0000C27F0000}"/>
    <cellStyle name="Normal 4 2 2 2 2 4 4 6" xfId="40311" xr:uid="{00000000-0005-0000-0000-0000C37F0000}"/>
    <cellStyle name="Normal 4 2 2 2 2 4 5" xfId="8440" xr:uid="{00000000-0005-0000-0000-0000C47F0000}"/>
    <cellStyle name="Normal 4 2 2 2 2 4 5 2" xfId="8441" xr:uid="{00000000-0005-0000-0000-0000C57F0000}"/>
    <cellStyle name="Normal 4 2 2 2 2 4 5 2 2" xfId="8442" xr:uid="{00000000-0005-0000-0000-0000C67F0000}"/>
    <cellStyle name="Normal 4 2 2 2 2 4 5 2 2 2" xfId="30390" xr:uid="{00000000-0005-0000-0000-0000C77F0000}"/>
    <cellStyle name="Normal 4 2 2 2 2 4 5 2 2 2 2" xfId="62261" xr:uid="{00000000-0005-0000-0000-0000C87F0000}"/>
    <cellStyle name="Normal 4 2 2 2 2 4 5 2 2 3" xfId="40321" xr:uid="{00000000-0005-0000-0000-0000C97F0000}"/>
    <cellStyle name="Normal 4 2 2 2 2 4 5 2 3" xfId="22512" xr:uid="{00000000-0005-0000-0000-0000CA7F0000}"/>
    <cellStyle name="Normal 4 2 2 2 2 4 5 2 3 2" xfId="54383" xr:uid="{00000000-0005-0000-0000-0000CB7F0000}"/>
    <cellStyle name="Normal 4 2 2 2 2 4 5 2 4" xfId="40320" xr:uid="{00000000-0005-0000-0000-0000CC7F0000}"/>
    <cellStyle name="Normal 4 2 2 2 2 4 5 3" xfId="8443" xr:uid="{00000000-0005-0000-0000-0000CD7F0000}"/>
    <cellStyle name="Normal 4 2 2 2 2 4 5 3 2" xfId="26451" xr:uid="{00000000-0005-0000-0000-0000CE7F0000}"/>
    <cellStyle name="Normal 4 2 2 2 2 4 5 3 2 2" xfId="58322" xr:uid="{00000000-0005-0000-0000-0000CF7F0000}"/>
    <cellStyle name="Normal 4 2 2 2 2 4 5 3 3" xfId="40322" xr:uid="{00000000-0005-0000-0000-0000D07F0000}"/>
    <cellStyle name="Normal 4 2 2 2 2 4 5 4" xfId="18573" xr:uid="{00000000-0005-0000-0000-0000D17F0000}"/>
    <cellStyle name="Normal 4 2 2 2 2 4 5 4 2" xfId="50444" xr:uid="{00000000-0005-0000-0000-0000D27F0000}"/>
    <cellStyle name="Normal 4 2 2 2 2 4 5 5" xfId="40319" xr:uid="{00000000-0005-0000-0000-0000D37F0000}"/>
    <cellStyle name="Normal 4 2 2 2 2 4 6" xfId="8444" xr:uid="{00000000-0005-0000-0000-0000D47F0000}"/>
    <cellStyle name="Normal 4 2 2 2 2 4 6 2" xfId="8445" xr:uid="{00000000-0005-0000-0000-0000D57F0000}"/>
    <cellStyle name="Normal 4 2 2 2 2 4 6 2 2" xfId="28413" xr:uid="{00000000-0005-0000-0000-0000D67F0000}"/>
    <cellStyle name="Normal 4 2 2 2 2 4 6 2 2 2" xfId="60284" xr:uid="{00000000-0005-0000-0000-0000D77F0000}"/>
    <cellStyle name="Normal 4 2 2 2 2 4 6 2 3" xfId="40324" xr:uid="{00000000-0005-0000-0000-0000D87F0000}"/>
    <cellStyle name="Normal 4 2 2 2 2 4 6 3" xfId="20535" xr:uid="{00000000-0005-0000-0000-0000D97F0000}"/>
    <cellStyle name="Normal 4 2 2 2 2 4 6 3 2" xfId="52406" xr:uid="{00000000-0005-0000-0000-0000DA7F0000}"/>
    <cellStyle name="Normal 4 2 2 2 2 4 6 4" xfId="40323" xr:uid="{00000000-0005-0000-0000-0000DB7F0000}"/>
    <cellStyle name="Normal 4 2 2 2 2 4 7" xfId="8446" xr:uid="{00000000-0005-0000-0000-0000DC7F0000}"/>
    <cellStyle name="Normal 4 2 2 2 2 4 7 2" xfId="24474" xr:uid="{00000000-0005-0000-0000-0000DD7F0000}"/>
    <cellStyle name="Normal 4 2 2 2 2 4 7 2 2" xfId="56345" xr:uid="{00000000-0005-0000-0000-0000DE7F0000}"/>
    <cellStyle name="Normal 4 2 2 2 2 4 7 3" xfId="40325" xr:uid="{00000000-0005-0000-0000-0000DF7F0000}"/>
    <cellStyle name="Normal 4 2 2 2 2 4 8" xfId="16596" xr:uid="{00000000-0005-0000-0000-0000E07F0000}"/>
    <cellStyle name="Normal 4 2 2 2 2 4 8 2" xfId="48467" xr:uid="{00000000-0005-0000-0000-0000E17F0000}"/>
    <cellStyle name="Normal 4 2 2 2 2 4 9" xfId="40262" xr:uid="{00000000-0005-0000-0000-0000E27F0000}"/>
    <cellStyle name="Normal 4 2 2 2 2 5" xfId="8447" xr:uid="{00000000-0005-0000-0000-0000E37F0000}"/>
    <cellStyle name="Normal 4 2 2 2 2 5 2" xfId="8448" xr:uid="{00000000-0005-0000-0000-0000E47F0000}"/>
    <cellStyle name="Normal 4 2 2 2 2 5 2 2" xfId="8449" xr:uid="{00000000-0005-0000-0000-0000E57F0000}"/>
    <cellStyle name="Normal 4 2 2 2 2 5 2 2 2" xfId="8450" xr:uid="{00000000-0005-0000-0000-0000E67F0000}"/>
    <cellStyle name="Normal 4 2 2 2 2 5 2 2 2 2" xfId="8451" xr:uid="{00000000-0005-0000-0000-0000E77F0000}"/>
    <cellStyle name="Normal 4 2 2 2 2 5 2 2 2 2 2" xfId="8452" xr:uid="{00000000-0005-0000-0000-0000E87F0000}"/>
    <cellStyle name="Normal 4 2 2 2 2 5 2 2 2 2 2 2" xfId="30394" xr:uid="{00000000-0005-0000-0000-0000E97F0000}"/>
    <cellStyle name="Normal 4 2 2 2 2 5 2 2 2 2 2 2 2" xfId="62265" xr:uid="{00000000-0005-0000-0000-0000EA7F0000}"/>
    <cellStyle name="Normal 4 2 2 2 2 5 2 2 2 2 2 3" xfId="40331" xr:uid="{00000000-0005-0000-0000-0000EB7F0000}"/>
    <cellStyle name="Normal 4 2 2 2 2 5 2 2 2 2 3" xfId="22516" xr:uid="{00000000-0005-0000-0000-0000EC7F0000}"/>
    <cellStyle name="Normal 4 2 2 2 2 5 2 2 2 2 3 2" xfId="54387" xr:uid="{00000000-0005-0000-0000-0000ED7F0000}"/>
    <cellStyle name="Normal 4 2 2 2 2 5 2 2 2 2 4" xfId="40330" xr:uid="{00000000-0005-0000-0000-0000EE7F0000}"/>
    <cellStyle name="Normal 4 2 2 2 2 5 2 2 2 3" xfId="8453" xr:uid="{00000000-0005-0000-0000-0000EF7F0000}"/>
    <cellStyle name="Normal 4 2 2 2 2 5 2 2 2 3 2" xfId="26455" xr:uid="{00000000-0005-0000-0000-0000F07F0000}"/>
    <cellStyle name="Normal 4 2 2 2 2 5 2 2 2 3 2 2" xfId="58326" xr:uid="{00000000-0005-0000-0000-0000F17F0000}"/>
    <cellStyle name="Normal 4 2 2 2 2 5 2 2 2 3 3" xfId="40332" xr:uid="{00000000-0005-0000-0000-0000F27F0000}"/>
    <cellStyle name="Normal 4 2 2 2 2 5 2 2 2 4" xfId="18577" xr:uid="{00000000-0005-0000-0000-0000F37F0000}"/>
    <cellStyle name="Normal 4 2 2 2 2 5 2 2 2 4 2" xfId="50448" xr:uid="{00000000-0005-0000-0000-0000F47F0000}"/>
    <cellStyle name="Normal 4 2 2 2 2 5 2 2 2 5" xfId="40329" xr:uid="{00000000-0005-0000-0000-0000F57F0000}"/>
    <cellStyle name="Normal 4 2 2 2 2 5 2 2 3" xfId="8454" xr:uid="{00000000-0005-0000-0000-0000F67F0000}"/>
    <cellStyle name="Normal 4 2 2 2 2 5 2 2 3 2" xfId="8455" xr:uid="{00000000-0005-0000-0000-0000F77F0000}"/>
    <cellStyle name="Normal 4 2 2 2 2 5 2 2 3 2 2" xfId="30393" xr:uid="{00000000-0005-0000-0000-0000F87F0000}"/>
    <cellStyle name="Normal 4 2 2 2 2 5 2 2 3 2 2 2" xfId="62264" xr:uid="{00000000-0005-0000-0000-0000F97F0000}"/>
    <cellStyle name="Normal 4 2 2 2 2 5 2 2 3 2 3" xfId="40334" xr:uid="{00000000-0005-0000-0000-0000FA7F0000}"/>
    <cellStyle name="Normal 4 2 2 2 2 5 2 2 3 3" xfId="22515" xr:uid="{00000000-0005-0000-0000-0000FB7F0000}"/>
    <cellStyle name="Normal 4 2 2 2 2 5 2 2 3 3 2" xfId="54386" xr:uid="{00000000-0005-0000-0000-0000FC7F0000}"/>
    <cellStyle name="Normal 4 2 2 2 2 5 2 2 3 4" xfId="40333" xr:uid="{00000000-0005-0000-0000-0000FD7F0000}"/>
    <cellStyle name="Normal 4 2 2 2 2 5 2 2 4" xfId="8456" xr:uid="{00000000-0005-0000-0000-0000FE7F0000}"/>
    <cellStyle name="Normal 4 2 2 2 2 5 2 2 4 2" xfId="26454" xr:uid="{00000000-0005-0000-0000-0000FF7F0000}"/>
    <cellStyle name="Normal 4 2 2 2 2 5 2 2 4 2 2" xfId="58325" xr:uid="{00000000-0005-0000-0000-000000800000}"/>
    <cellStyle name="Normal 4 2 2 2 2 5 2 2 4 3" xfId="40335" xr:uid="{00000000-0005-0000-0000-000001800000}"/>
    <cellStyle name="Normal 4 2 2 2 2 5 2 2 5" xfId="18576" xr:uid="{00000000-0005-0000-0000-000002800000}"/>
    <cellStyle name="Normal 4 2 2 2 2 5 2 2 5 2" xfId="50447" xr:uid="{00000000-0005-0000-0000-000003800000}"/>
    <cellStyle name="Normal 4 2 2 2 2 5 2 2 6" xfId="40328" xr:uid="{00000000-0005-0000-0000-000004800000}"/>
    <cellStyle name="Normal 4 2 2 2 2 5 2 3" xfId="8457" xr:uid="{00000000-0005-0000-0000-000005800000}"/>
    <cellStyle name="Normal 4 2 2 2 2 5 2 3 2" xfId="8458" xr:uid="{00000000-0005-0000-0000-000006800000}"/>
    <cellStyle name="Normal 4 2 2 2 2 5 2 3 2 2" xfId="8459" xr:uid="{00000000-0005-0000-0000-000007800000}"/>
    <cellStyle name="Normal 4 2 2 2 2 5 2 3 2 2 2" xfId="30395" xr:uid="{00000000-0005-0000-0000-000008800000}"/>
    <cellStyle name="Normal 4 2 2 2 2 5 2 3 2 2 2 2" xfId="62266" xr:uid="{00000000-0005-0000-0000-000009800000}"/>
    <cellStyle name="Normal 4 2 2 2 2 5 2 3 2 2 3" xfId="40338" xr:uid="{00000000-0005-0000-0000-00000A800000}"/>
    <cellStyle name="Normal 4 2 2 2 2 5 2 3 2 3" xfId="22517" xr:uid="{00000000-0005-0000-0000-00000B800000}"/>
    <cellStyle name="Normal 4 2 2 2 2 5 2 3 2 3 2" xfId="54388" xr:uid="{00000000-0005-0000-0000-00000C800000}"/>
    <cellStyle name="Normal 4 2 2 2 2 5 2 3 2 4" xfId="40337" xr:uid="{00000000-0005-0000-0000-00000D800000}"/>
    <cellStyle name="Normal 4 2 2 2 2 5 2 3 3" xfId="8460" xr:uid="{00000000-0005-0000-0000-00000E800000}"/>
    <cellStyle name="Normal 4 2 2 2 2 5 2 3 3 2" xfId="26456" xr:uid="{00000000-0005-0000-0000-00000F800000}"/>
    <cellStyle name="Normal 4 2 2 2 2 5 2 3 3 2 2" xfId="58327" xr:uid="{00000000-0005-0000-0000-000010800000}"/>
    <cellStyle name="Normal 4 2 2 2 2 5 2 3 3 3" xfId="40339" xr:uid="{00000000-0005-0000-0000-000011800000}"/>
    <cellStyle name="Normal 4 2 2 2 2 5 2 3 4" xfId="18578" xr:uid="{00000000-0005-0000-0000-000012800000}"/>
    <cellStyle name="Normal 4 2 2 2 2 5 2 3 4 2" xfId="50449" xr:uid="{00000000-0005-0000-0000-000013800000}"/>
    <cellStyle name="Normal 4 2 2 2 2 5 2 3 5" xfId="40336" xr:uid="{00000000-0005-0000-0000-000014800000}"/>
    <cellStyle name="Normal 4 2 2 2 2 5 2 4" xfId="8461" xr:uid="{00000000-0005-0000-0000-000015800000}"/>
    <cellStyle name="Normal 4 2 2 2 2 5 2 4 2" xfId="8462" xr:uid="{00000000-0005-0000-0000-000016800000}"/>
    <cellStyle name="Normal 4 2 2 2 2 5 2 4 2 2" xfId="30392" xr:uid="{00000000-0005-0000-0000-000017800000}"/>
    <cellStyle name="Normal 4 2 2 2 2 5 2 4 2 2 2" xfId="62263" xr:uid="{00000000-0005-0000-0000-000018800000}"/>
    <cellStyle name="Normal 4 2 2 2 2 5 2 4 2 3" xfId="40341" xr:uid="{00000000-0005-0000-0000-000019800000}"/>
    <cellStyle name="Normal 4 2 2 2 2 5 2 4 3" xfId="22514" xr:uid="{00000000-0005-0000-0000-00001A800000}"/>
    <cellStyle name="Normal 4 2 2 2 2 5 2 4 3 2" xfId="54385" xr:uid="{00000000-0005-0000-0000-00001B800000}"/>
    <cellStyle name="Normal 4 2 2 2 2 5 2 4 4" xfId="40340" xr:uid="{00000000-0005-0000-0000-00001C800000}"/>
    <cellStyle name="Normal 4 2 2 2 2 5 2 5" xfId="8463" xr:uid="{00000000-0005-0000-0000-00001D800000}"/>
    <cellStyle name="Normal 4 2 2 2 2 5 2 5 2" xfId="26453" xr:uid="{00000000-0005-0000-0000-00001E800000}"/>
    <cellStyle name="Normal 4 2 2 2 2 5 2 5 2 2" xfId="58324" xr:uid="{00000000-0005-0000-0000-00001F800000}"/>
    <cellStyle name="Normal 4 2 2 2 2 5 2 5 3" xfId="40342" xr:uid="{00000000-0005-0000-0000-000020800000}"/>
    <cellStyle name="Normal 4 2 2 2 2 5 2 6" xfId="18575" xr:uid="{00000000-0005-0000-0000-000021800000}"/>
    <cellStyle name="Normal 4 2 2 2 2 5 2 6 2" xfId="50446" xr:uid="{00000000-0005-0000-0000-000022800000}"/>
    <cellStyle name="Normal 4 2 2 2 2 5 2 7" xfId="40327" xr:uid="{00000000-0005-0000-0000-000023800000}"/>
    <cellStyle name="Normal 4 2 2 2 2 5 3" xfId="8464" xr:uid="{00000000-0005-0000-0000-000024800000}"/>
    <cellStyle name="Normal 4 2 2 2 2 5 3 2" xfId="8465" xr:uid="{00000000-0005-0000-0000-000025800000}"/>
    <cellStyle name="Normal 4 2 2 2 2 5 3 2 2" xfId="8466" xr:uid="{00000000-0005-0000-0000-000026800000}"/>
    <cellStyle name="Normal 4 2 2 2 2 5 3 2 2 2" xfId="8467" xr:uid="{00000000-0005-0000-0000-000027800000}"/>
    <cellStyle name="Normal 4 2 2 2 2 5 3 2 2 2 2" xfId="30397" xr:uid="{00000000-0005-0000-0000-000028800000}"/>
    <cellStyle name="Normal 4 2 2 2 2 5 3 2 2 2 2 2" xfId="62268" xr:uid="{00000000-0005-0000-0000-000029800000}"/>
    <cellStyle name="Normal 4 2 2 2 2 5 3 2 2 2 3" xfId="40346" xr:uid="{00000000-0005-0000-0000-00002A800000}"/>
    <cellStyle name="Normal 4 2 2 2 2 5 3 2 2 3" xfId="22519" xr:uid="{00000000-0005-0000-0000-00002B800000}"/>
    <cellStyle name="Normal 4 2 2 2 2 5 3 2 2 3 2" xfId="54390" xr:uid="{00000000-0005-0000-0000-00002C800000}"/>
    <cellStyle name="Normal 4 2 2 2 2 5 3 2 2 4" xfId="40345" xr:uid="{00000000-0005-0000-0000-00002D800000}"/>
    <cellStyle name="Normal 4 2 2 2 2 5 3 2 3" xfId="8468" xr:uid="{00000000-0005-0000-0000-00002E800000}"/>
    <cellStyle name="Normal 4 2 2 2 2 5 3 2 3 2" xfId="26458" xr:uid="{00000000-0005-0000-0000-00002F800000}"/>
    <cellStyle name="Normal 4 2 2 2 2 5 3 2 3 2 2" xfId="58329" xr:uid="{00000000-0005-0000-0000-000030800000}"/>
    <cellStyle name="Normal 4 2 2 2 2 5 3 2 3 3" xfId="40347" xr:uid="{00000000-0005-0000-0000-000031800000}"/>
    <cellStyle name="Normal 4 2 2 2 2 5 3 2 4" xfId="18580" xr:uid="{00000000-0005-0000-0000-000032800000}"/>
    <cellStyle name="Normal 4 2 2 2 2 5 3 2 4 2" xfId="50451" xr:uid="{00000000-0005-0000-0000-000033800000}"/>
    <cellStyle name="Normal 4 2 2 2 2 5 3 2 5" xfId="40344" xr:uid="{00000000-0005-0000-0000-000034800000}"/>
    <cellStyle name="Normal 4 2 2 2 2 5 3 3" xfId="8469" xr:uid="{00000000-0005-0000-0000-000035800000}"/>
    <cellStyle name="Normal 4 2 2 2 2 5 3 3 2" xfId="8470" xr:uid="{00000000-0005-0000-0000-000036800000}"/>
    <cellStyle name="Normal 4 2 2 2 2 5 3 3 2 2" xfId="30396" xr:uid="{00000000-0005-0000-0000-000037800000}"/>
    <cellStyle name="Normal 4 2 2 2 2 5 3 3 2 2 2" xfId="62267" xr:uid="{00000000-0005-0000-0000-000038800000}"/>
    <cellStyle name="Normal 4 2 2 2 2 5 3 3 2 3" xfId="40349" xr:uid="{00000000-0005-0000-0000-000039800000}"/>
    <cellStyle name="Normal 4 2 2 2 2 5 3 3 3" xfId="22518" xr:uid="{00000000-0005-0000-0000-00003A800000}"/>
    <cellStyle name="Normal 4 2 2 2 2 5 3 3 3 2" xfId="54389" xr:uid="{00000000-0005-0000-0000-00003B800000}"/>
    <cellStyle name="Normal 4 2 2 2 2 5 3 3 4" xfId="40348" xr:uid="{00000000-0005-0000-0000-00003C800000}"/>
    <cellStyle name="Normal 4 2 2 2 2 5 3 4" xfId="8471" xr:uid="{00000000-0005-0000-0000-00003D800000}"/>
    <cellStyle name="Normal 4 2 2 2 2 5 3 4 2" xfId="26457" xr:uid="{00000000-0005-0000-0000-00003E800000}"/>
    <cellStyle name="Normal 4 2 2 2 2 5 3 4 2 2" xfId="58328" xr:uid="{00000000-0005-0000-0000-00003F800000}"/>
    <cellStyle name="Normal 4 2 2 2 2 5 3 4 3" xfId="40350" xr:uid="{00000000-0005-0000-0000-000040800000}"/>
    <cellStyle name="Normal 4 2 2 2 2 5 3 5" xfId="18579" xr:uid="{00000000-0005-0000-0000-000041800000}"/>
    <cellStyle name="Normal 4 2 2 2 2 5 3 5 2" xfId="50450" xr:uid="{00000000-0005-0000-0000-000042800000}"/>
    <cellStyle name="Normal 4 2 2 2 2 5 3 6" xfId="40343" xr:uid="{00000000-0005-0000-0000-000043800000}"/>
    <cellStyle name="Normal 4 2 2 2 2 5 4" xfId="8472" xr:uid="{00000000-0005-0000-0000-000044800000}"/>
    <cellStyle name="Normal 4 2 2 2 2 5 4 2" xfId="8473" xr:uid="{00000000-0005-0000-0000-000045800000}"/>
    <cellStyle name="Normal 4 2 2 2 2 5 4 2 2" xfId="8474" xr:uid="{00000000-0005-0000-0000-000046800000}"/>
    <cellStyle name="Normal 4 2 2 2 2 5 4 2 2 2" xfId="30398" xr:uid="{00000000-0005-0000-0000-000047800000}"/>
    <cellStyle name="Normal 4 2 2 2 2 5 4 2 2 2 2" xfId="62269" xr:uid="{00000000-0005-0000-0000-000048800000}"/>
    <cellStyle name="Normal 4 2 2 2 2 5 4 2 2 3" xfId="40353" xr:uid="{00000000-0005-0000-0000-000049800000}"/>
    <cellStyle name="Normal 4 2 2 2 2 5 4 2 3" xfId="22520" xr:uid="{00000000-0005-0000-0000-00004A800000}"/>
    <cellStyle name="Normal 4 2 2 2 2 5 4 2 3 2" xfId="54391" xr:uid="{00000000-0005-0000-0000-00004B800000}"/>
    <cellStyle name="Normal 4 2 2 2 2 5 4 2 4" xfId="40352" xr:uid="{00000000-0005-0000-0000-00004C800000}"/>
    <cellStyle name="Normal 4 2 2 2 2 5 4 3" xfId="8475" xr:uid="{00000000-0005-0000-0000-00004D800000}"/>
    <cellStyle name="Normal 4 2 2 2 2 5 4 3 2" xfId="26459" xr:uid="{00000000-0005-0000-0000-00004E800000}"/>
    <cellStyle name="Normal 4 2 2 2 2 5 4 3 2 2" xfId="58330" xr:uid="{00000000-0005-0000-0000-00004F800000}"/>
    <cellStyle name="Normal 4 2 2 2 2 5 4 3 3" xfId="40354" xr:uid="{00000000-0005-0000-0000-000050800000}"/>
    <cellStyle name="Normal 4 2 2 2 2 5 4 4" xfId="18581" xr:uid="{00000000-0005-0000-0000-000051800000}"/>
    <cellStyle name="Normal 4 2 2 2 2 5 4 4 2" xfId="50452" xr:uid="{00000000-0005-0000-0000-000052800000}"/>
    <cellStyle name="Normal 4 2 2 2 2 5 4 5" xfId="40351" xr:uid="{00000000-0005-0000-0000-000053800000}"/>
    <cellStyle name="Normal 4 2 2 2 2 5 5" xfId="8476" xr:uid="{00000000-0005-0000-0000-000054800000}"/>
    <cellStyle name="Normal 4 2 2 2 2 5 5 2" xfId="8477" xr:uid="{00000000-0005-0000-0000-000055800000}"/>
    <cellStyle name="Normal 4 2 2 2 2 5 5 2 2" xfId="30391" xr:uid="{00000000-0005-0000-0000-000056800000}"/>
    <cellStyle name="Normal 4 2 2 2 2 5 5 2 2 2" xfId="62262" xr:uid="{00000000-0005-0000-0000-000057800000}"/>
    <cellStyle name="Normal 4 2 2 2 2 5 5 2 3" xfId="40356" xr:uid="{00000000-0005-0000-0000-000058800000}"/>
    <cellStyle name="Normal 4 2 2 2 2 5 5 3" xfId="22513" xr:uid="{00000000-0005-0000-0000-000059800000}"/>
    <cellStyle name="Normal 4 2 2 2 2 5 5 3 2" xfId="54384" xr:uid="{00000000-0005-0000-0000-00005A800000}"/>
    <cellStyle name="Normal 4 2 2 2 2 5 5 4" xfId="40355" xr:uid="{00000000-0005-0000-0000-00005B800000}"/>
    <cellStyle name="Normal 4 2 2 2 2 5 6" xfId="8478" xr:uid="{00000000-0005-0000-0000-00005C800000}"/>
    <cellStyle name="Normal 4 2 2 2 2 5 6 2" xfId="26452" xr:uid="{00000000-0005-0000-0000-00005D800000}"/>
    <cellStyle name="Normal 4 2 2 2 2 5 6 2 2" xfId="58323" xr:uid="{00000000-0005-0000-0000-00005E800000}"/>
    <cellStyle name="Normal 4 2 2 2 2 5 6 3" xfId="40357" xr:uid="{00000000-0005-0000-0000-00005F800000}"/>
    <cellStyle name="Normal 4 2 2 2 2 5 7" xfId="18574" xr:uid="{00000000-0005-0000-0000-000060800000}"/>
    <cellStyle name="Normal 4 2 2 2 2 5 7 2" xfId="50445" xr:uid="{00000000-0005-0000-0000-000061800000}"/>
    <cellStyle name="Normal 4 2 2 2 2 5 8" xfId="40326" xr:uid="{00000000-0005-0000-0000-000062800000}"/>
    <cellStyle name="Normal 4 2 2 2 2 6" xfId="8479" xr:uid="{00000000-0005-0000-0000-000063800000}"/>
    <cellStyle name="Normal 4 2 2 2 2 6 2" xfId="8480" xr:uid="{00000000-0005-0000-0000-000064800000}"/>
    <cellStyle name="Normal 4 2 2 2 2 6 2 2" xfId="8481" xr:uid="{00000000-0005-0000-0000-000065800000}"/>
    <cellStyle name="Normal 4 2 2 2 2 6 2 2 2" xfId="8482" xr:uid="{00000000-0005-0000-0000-000066800000}"/>
    <cellStyle name="Normal 4 2 2 2 2 6 2 2 2 2" xfId="8483" xr:uid="{00000000-0005-0000-0000-000067800000}"/>
    <cellStyle name="Normal 4 2 2 2 2 6 2 2 2 2 2" xfId="30401" xr:uid="{00000000-0005-0000-0000-000068800000}"/>
    <cellStyle name="Normal 4 2 2 2 2 6 2 2 2 2 2 2" xfId="62272" xr:uid="{00000000-0005-0000-0000-000069800000}"/>
    <cellStyle name="Normal 4 2 2 2 2 6 2 2 2 2 3" xfId="40362" xr:uid="{00000000-0005-0000-0000-00006A800000}"/>
    <cellStyle name="Normal 4 2 2 2 2 6 2 2 2 3" xfId="22523" xr:uid="{00000000-0005-0000-0000-00006B800000}"/>
    <cellStyle name="Normal 4 2 2 2 2 6 2 2 2 3 2" xfId="54394" xr:uid="{00000000-0005-0000-0000-00006C800000}"/>
    <cellStyle name="Normal 4 2 2 2 2 6 2 2 2 4" xfId="40361" xr:uid="{00000000-0005-0000-0000-00006D800000}"/>
    <cellStyle name="Normal 4 2 2 2 2 6 2 2 3" xfId="8484" xr:uid="{00000000-0005-0000-0000-00006E800000}"/>
    <cellStyle name="Normal 4 2 2 2 2 6 2 2 3 2" xfId="26462" xr:uid="{00000000-0005-0000-0000-00006F800000}"/>
    <cellStyle name="Normal 4 2 2 2 2 6 2 2 3 2 2" xfId="58333" xr:uid="{00000000-0005-0000-0000-000070800000}"/>
    <cellStyle name="Normal 4 2 2 2 2 6 2 2 3 3" xfId="40363" xr:uid="{00000000-0005-0000-0000-000071800000}"/>
    <cellStyle name="Normal 4 2 2 2 2 6 2 2 4" xfId="18584" xr:uid="{00000000-0005-0000-0000-000072800000}"/>
    <cellStyle name="Normal 4 2 2 2 2 6 2 2 4 2" xfId="50455" xr:uid="{00000000-0005-0000-0000-000073800000}"/>
    <cellStyle name="Normal 4 2 2 2 2 6 2 2 5" xfId="40360" xr:uid="{00000000-0005-0000-0000-000074800000}"/>
    <cellStyle name="Normal 4 2 2 2 2 6 2 3" xfId="8485" xr:uid="{00000000-0005-0000-0000-000075800000}"/>
    <cellStyle name="Normal 4 2 2 2 2 6 2 3 2" xfId="8486" xr:uid="{00000000-0005-0000-0000-000076800000}"/>
    <cellStyle name="Normal 4 2 2 2 2 6 2 3 2 2" xfId="30400" xr:uid="{00000000-0005-0000-0000-000077800000}"/>
    <cellStyle name="Normal 4 2 2 2 2 6 2 3 2 2 2" xfId="62271" xr:uid="{00000000-0005-0000-0000-000078800000}"/>
    <cellStyle name="Normal 4 2 2 2 2 6 2 3 2 3" xfId="40365" xr:uid="{00000000-0005-0000-0000-000079800000}"/>
    <cellStyle name="Normal 4 2 2 2 2 6 2 3 3" xfId="22522" xr:uid="{00000000-0005-0000-0000-00007A800000}"/>
    <cellStyle name="Normal 4 2 2 2 2 6 2 3 3 2" xfId="54393" xr:uid="{00000000-0005-0000-0000-00007B800000}"/>
    <cellStyle name="Normal 4 2 2 2 2 6 2 3 4" xfId="40364" xr:uid="{00000000-0005-0000-0000-00007C800000}"/>
    <cellStyle name="Normal 4 2 2 2 2 6 2 4" xfId="8487" xr:uid="{00000000-0005-0000-0000-00007D800000}"/>
    <cellStyle name="Normal 4 2 2 2 2 6 2 4 2" xfId="26461" xr:uid="{00000000-0005-0000-0000-00007E800000}"/>
    <cellStyle name="Normal 4 2 2 2 2 6 2 4 2 2" xfId="58332" xr:uid="{00000000-0005-0000-0000-00007F800000}"/>
    <cellStyle name="Normal 4 2 2 2 2 6 2 4 3" xfId="40366" xr:uid="{00000000-0005-0000-0000-000080800000}"/>
    <cellStyle name="Normal 4 2 2 2 2 6 2 5" xfId="18583" xr:uid="{00000000-0005-0000-0000-000081800000}"/>
    <cellStyle name="Normal 4 2 2 2 2 6 2 5 2" xfId="50454" xr:uid="{00000000-0005-0000-0000-000082800000}"/>
    <cellStyle name="Normal 4 2 2 2 2 6 2 6" xfId="40359" xr:uid="{00000000-0005-0000-0000-000083800000}"/>
    <cellStyle name="Normal 4 2 2 2 2 6 3" xfId="8488" xr:uid="{00000000-0005-0000-0000-000084800000}"/>
    <cellStyle name="Normal 4 2 2 2 2 6 3 2" xfId="8489" xr:uid="{00000000-0005-0000-0000-000085800000}"/>
    <cellStyle name="Normal 4 2 2 2 2 6 3 2 2" xfId="8490" xr:uid="{00000000-0005-0000-0000-000086800000}"/>
    <cellStyle name="Normal 4 2 2 2 2 6 3 2 2 2" xfId="30402" xr:uid="{00000000-0005-0000-0000-000087800000}"/>
    <cellStyle name="Normal 4 2 2 2 2 6 3 2 2 2 2" xfId="62273" xr:uid="{00000000-0005-0000-0000-000088800000}"/>
    <cellStyle name="Normal 4 2 2 2 2 6 3 2 2 3" xfId="40369" xr:uid="{00000000-0005-0000-0000-000089800000}"/>
    <cellStyle name="Normal 4 2 2 2 2 6 3 2 3" xfId="22524" xr:uid="{00000000-0005-0000-0000-00008A800000}"/>
    <cellStyle name="Normal 4 2 2 2 2 6 3 2 3 2" xfId="54395" xr:uid="{00000000-0005-0000-0000-00008B800000}"/>
    <cellStyle name="Normal 4 2 2 2 2 6 3 2 4" xfId="40368" xr:uid="{00000000-0005-0000-0000-00008C800000}"/>
    <cellStyle name="Normal 4 2 2 2 2 6 3 3" xfId="8491" xr:uid="{00000000-0005-0000-0000-00008D800000}"/>
    <cellStyle name="Normal 4 2 2 2 2 6 3 3 2" xfId="26463" xr:uid="{00000000-0005-0000-0000-00008E800000}"/>
    <cellStyle name="Normal 4 2 2 2 2 6 3 3 2 2" xfId="58334" xr:uid="{00000000-0005-0000-0000-00008F800000}"/>
    <cellStyle name="Normal 4 2 2 2 2 6 3 3 3" xfId="40370" xr:uid="{00000000-0005-0000-0000-000090800000}"/>
    <cellStyle name="Normal 4 2 2 2 2 6 3 4" xfId="18585" xr:uid="{00000000-0005-0000-0000-000091800000}"/>
    <cellStyle name="Normal 4 2 2 2 2 6 3 4 2" xfId="50456" xr:uid="{00000000-0005-0000-0000-000092800000}"/>
    <cellStyle name="Normal 4 2 2 2 2 6 3 5" xfId="40367" xr:uid="{00000000-0005-0000-0000-000093800000}"/>
    <cellStyle name="Normal 4 2 2 2 2 6 4" xfId="8492" xr:uid="{00000000-0005-0000-0000-000094800000}"/>
    <cellStyle name="Normal 4 2 2 2 2 6 4 2" xfId="8493" xr:uid="{00000000-0005-0000-0000-000095800000}"/>
    <cellStyle name="Normal 4 2 2 2 2 6 4 2 2" xfId="30399" xr:uid="{00000000-0005-0000-0000-000096800000}"/>
    <cellStyle name="Normal 4 2 2 2 2 6 4 2 2 2" xfId="62270" xr:uid="{00000000-0005-0000-0000-000097800000}"/>
    <cellStyle name="Normal 4 2 2 2 2 6 4 2 3" xfId="40372" xr:uid="{00000000-0005-0000-0000-000098800000}"/>
    <cellStyle name="Normal 4 2 2 2 2 6 4 3" xfId="22521" xr:uid="{00000000-0005-0000-0000-000099800000}"/>
    <cellStyle name="Normal 4 2 2 2 2 6 4 3 2" xfId="54392" xr:uid="{00000000-0005-0000-0000-00009A800000}"/>
    <cellStyle name="Normal 4 2 2 2 2 6 4 4" xfId="40371" xr:uid="{00000000-0005-0000-0000-00009B800000}"/>
    <cellStyle name="Normal 4 2 2 2 2 6 5" xfId="8494" xr:uid="{00000000-0005-0000-0000-00009C800000}"/>
    <cellStyle name="Normal 4 2 2 2 2 6 5 2" xfId="26460" xr:uid="{00000000-0005-0000-0000-00009D800000}"/>
    <cellStyle name="Normal 4 2 2 2 2 6 5 2 2" xfId="58331" xr:uid="{00000000-0005-0000-0000-00009E800000}"/>
    <cellStyle name="Normal 4 2 2 2 2 6 5 3" xfId="40373" xr:uid="{00000000-0005-0000-0000-00009F800000}"/>
    <cellStyle name="Normal 4 2 2 2 2 6 6" xfId="18582" xr:uid="{00000000-0005-0000-0000-0000A0800000}"/>
    <cellStyle name="Normal 4 2 2 2 2 6 6 2" xfId="50453" xr:uid="{00000000-0005-0000-0000-0000A1800000}"/>
    <cellStyle name="Normal 4 2 2 2 2 6 7" xfId="40358" xr:uid="{00000000-0005-0000-0000-0000A2800000}"/>
    <cellStyle name="Normal 4 2 2 2 2 7" xfId="8495" xr:uid="{00000000-0005-0000-0000-0000A3800000}"/>
    <cellStyle name="Normal 4 2 2 2 2 7 2" xfId="8496" xr:uid="{00000000-0005-0000-0000-0000A4800000}"/>
    <cellStyle name="Normal 4 2 2 2 2 7 2 2" xfId="8497" xr:uid="{00000000-0005-0000-0000-0000A5800000}"/>
    <cellStyle name="Normal 4 2 2 2 2 7 2 2 2" xfId="8498" xr:uid="{00000000-0005-0000-0000-0000A6800000}"/>
    <cellStyle name="Normal 4 2 2 2 2 7 2 2 2 2" xfId="30404" xr:uid="{00000000-0005-0000-0000-0000A7800000}"/>
    <cellStyle name="Normal 4 2 2 2 2 7 2 2 2 2 2" xfId="62275" xr:uid="{00000000-0005-0000-0000-0000A8800000}"/>
    <cellStyle name="Normal 4 2 2 2 2 7 2 2 2 3" xfId="40377" xr:uid="{00000000-0005-0000-0000-0000A9800000}"/>
    <cellStyle name="Normal 4 2 2 2 2 7 2 2 3" xfId="22526" xr:uid="{00000000-0005-0000-0000-0000AA800000}"/>
    <cellStyle name="Normal 4 2 2 2 2 7 2 2 3 2" xfId="54397" xr:uid="{00000000-0005-0000-0000-0000AB800000}"/>
    <cellStyle name="Normal 4 2 2 2 2 7 2 2 4" xfId="40376" xr:uid="{00000000-0005-0000-0000-0000AC800000}"/>
    <cellStyle name="Normal 4 2 2 2 2 7 2 3" xfId="8499" xr:uid="{00000000-0005-0000-0000-0000AD800000}"/>
    <cellStyle name="Normal 4 2 2 2 2 7 2 3 2" xfId="26465" xr:uid="{00000000-0005-0000-0000-0000AE800000}"/>
    <cellStyle name="Normal 4 2 2 2 2 7 2 3 2 2" xfId="58336" xr:uid="{00000000-0005-0000-0000-0000AF800000}"/>
    <cellStyle name="Normal 4 2 2 2 2 7 2 3 3" xfId="40378" xr:uid="{00000000-0005-0000-0000-0000B0800000}"/>
    <cellStyle name="Normal 4 2 2 2 2 7 2 4" xfId="18587" xr:uid="{00000000-0005-0000-0000-0000B1800000}"/>
    <cellStyle name="Normal 4 2 2 2 2 7 2 4 2" xfId="50458" xr:uid="{00000000-0005-0000-0000-0000B2800000}"/>
    <cellStyle name="Normal 4 2 2 2 2 7 2 5" xfId="40375" xr:uid="{00000000-0005-0000-0000-0000B3800000}"/>
    <cellStyle name="Normal 4 2 2 2 2 7 3" xfId="8500" xr:uid="{00000000-0005-0000-0000-0000B4800000}"/>
    <cellStyle name="Normal 4 2 2 2 2 7 3 2" xfId="8501" xr:uid="{00000000-0005-0000-0000-0000B5800000}"/>
    <cellStyle name="Normal 4 2 2 2 2 7 3 2 2" xfId="30403" xr:uid="{00000000-0005-0000-0000-0000B6800000}"/>
    <cellStyle name="Normal 4 2 2 2 2 7 3 2 2 2" xfId="62274" xr:uid="{00000000-0005-0000-0000-0000B7800000}"/>
    <cellStyle name="Normal 4 2 2 2 2 7 3 2 3" xfId="40380" xr:uid="{00000000-0005-0000-0000-0000B8800000}"/>
    <cellStyle name="Normal 4 2 2 2 2 7 3 3" xfId="22525" xr:uid="{00000000-0005-0000-0000-0000B9800000}"/>
    <cellStyle name="Normal 4 2 2 2 2 7 3 3 2" xfId="54396" xr:uid="{00000000-0005-0000-0000-0000BA800000}"/>
    <cellStyle name="Normal 4 2 2 2 2 7 3 4" xfId="40379" xr:uid="{00000000-0005-0000-0000-0000BB800000}"/>
    <cellStyle name="Normal 4 2 2 2 2 7 4" xfId="8502" xr:uid="{00000000-0005-0000-0000-0000BC800000}"/>
    <cellStyle name="Normal 4 2 2 2 2 7 4 2" xfId="26464" xr:uid="{00000000-0005-0000-0000-0000BD800000}"/>
    <cellStyle name="Normal 4 2 2 2 2 7 4 2 2" xfId="58335" xr:uid="{00000000-0005-0000-0000-0000BE800000}"/>
    <cellStyle name="Normal 4 2 2 2 2 7 4 3" xfId="40381" xr:uid="{00000000-0005-0000-0000-0000BF800000}"/>
    <cellStyle name="Normal 4 2 2 2 2 7 5" xfId="18586" xr:uid="{00000000-0005-0000-0000-0000C0800000}"/>
    <cellStyle name="Normal 4 2 2 2 2 7 5 2" xfId="50457" xr:uid="{00000000-0005-0000-0000-0000C1800000}"/>
    <cellStyle name="Normal 4 2 2 2 2 7 6" xfId="40374" xr:uid="{00000000-0005-0000-0000-0000C2800000}"/>
    <cellStyle name="Normal 4 2 2 2 2 8" xfId="8503" xr:uid="{00000000-0005-0000-0000-0000C3800000}"/>
    <cellStyle name="Normal 4 2 2 2 2 8 2" xfId="8504" xr:uid="{00000000-0005-0000-0000-0000C4800000}"/>
    <cellStyle name="Normal 4 2 2 2 2 8 2 2" xfId="8505" xr:uid="{00000000-0005-0000-0000-0000C5800000}"/>
    <cellStyle name="Normal 4 2 2 2 2 8 2 2 2" xfId="30405" xr:uid="{00000000-0005-0000-0000-0000C6800000}"/>
    <cellStyle name="Normal 4 2 2 2 2 8 2 2 2 2" xfId="62276" xr:uid="{00000000-0005-0000-0000-0000C7800000}"/>
    <cellStyle name="Normal 4 2 2 2 2 8 2 2 3" xfId="40384" xr:uid="{00000000-0005-0000-0000-0000C8800000}"/>
    <cellStyle name="Normal 4 2 2 2 2 8 2 3" xfId="22527" xr:uid="{00000000-0005-0000-0000-0000C9800000}"/>
    <cellStyle name="Normal 4 2 2 2 2 8 2 3 2" xfId="54398" xr:uid="{00000000-0005-0000-0000-0000CA800000}"/>
    <cellStyle name="Normal 4 2 2 2 2 8 2 4" xfId="40383" xr:uid="{00000000-0005-0000-0000-0000CB800000}"/>
    <cellStyle name="Normal 4 2 2 2 2 8 3" xfId="8506" xr:uid="{00000000-0005-0000-0000-0000CC800000}"/>
    <cellStyle name="Normal 4 2 2 2 2 8 3 2" xfId="26466" xr:uid="{00000000-0005-0000-0000-0000CD800000}"/>
    <cellStyle name="Normal 4 2 2 2 2 8 3 2 2" xfId="58337" xr:uid="{00000000-0005-0000-0000-0000CE800000}"/>
    <cellStyle name="Normal 4 2 2 2 2 8 3 3" xfId="40385" xr:uid="{00000000-0005-0000-0000-0000CF800000}"/>
    <cellStyle name="Normal 4 2 2 2 2 8 4" xfId="18588" xr:uid="{00000000-0005-0000-0000-0000D0800000}"/>
    <cellStyle name="Normal 4 2 2 2 2 8 4 2" xfId="50459" xr:uid="{00000000-0005-0000-0000-0000D1800000}"/>
    <cellStyle name="Normal 4 2 2 2 2 8 5" xfId="40382" xr:uid="{00000000-0005-0000-0000-0000D2800000}"/>
    <cellStyle name="Normal 4 2 2 2 2 9" xfId="8507" xr:uid="{00000000-0005-0000-0000-0000D3800000}"/>
    <cellStyle name="Normal 4 2 2 2 2 9 2" xfId="8508" xr:uid="{00000000-0005-0000-0000-0000D4800000}"/>
    <cellStyle name="Normal 4 2 2 2 2 9 2 2" xfId="28290" xr:uid="{00000000-0005-0000-0000-0000D5800000}"/>
    <cellStyle name="Normal 4 2 2 2 2 9 2 2 2" xfId="60161" xr:uid="{00000000-0005-0000-0000-0000D6800000}"/>
    <cellStyle name="Normal 4 2 2 2 2 9 2 3" xfId="40387" xr:uid="{00000000-0005-0000-0000-0000D7800000}"/>
    <cellStyle name="Normal 4 2 2 2 2 9 3" xfId="20412" xr:uid="{00000000-0005-0000-0000-0000D8800000}"/>
    <cellStyle name="Normal 4 2 2 2 2 9 3 2" xfId="52283" xr:uid="{00000000-0005-0000-0000-0000D9800000}"/>
    <cellStyle name="Normal 4 2 2 2 2 9 4" xfId="40386" xr:uid="{00000000-0005-0000-0000-0000DA800000}"/>
    <cellStyle name="Normal 4 2 2 2 3" xfId="8509" xr:uid="{00000000-0005-0000-0000-0000DB800000}"/>
    <cellStyle name="Normal 4 2 2 2 3 10" xfId="40388" xr:uid="{00000000-0005-0000-0000-0000DC800000}"/>
    <cellStyle name="Normal 4 2 2 2 3 2" xfId="8510" xr:uid="{00000000-0005-0000-0000-0000DD800000}"/>
    <cellStyle name="Normal 4 2 2 2 3 2 2" xfId="8511" xr:uid="{00000000-0005-0000-0000-0000DE800000}"/>
    <cellStyle name="Normal 4 2 2 2 3 2 2 2" xfId="8512" xr:uid="{00000000-0005-0000-0000-0000DF800000}"/>
    <cellStyle name="Normal 4 2 2 2 3 2 2 2 2" xfId="8513" xr:uid="{00000000-0005-0000-0000-0000E0800000}"/>
    <cellStyle name="Normal 4 2 2 2 3 2 2 2 2 2" xfId="8514" xr:uid="{00000000-0005-0000-0000-0000E1800000}"/>
    <cellStyle name="Normal 4 2 2 2 3 2 2 2 2 2 2" xfId="8515" xr:uid="{00000000-0005-0000-0000-0000E2800000}"/>
    <cellStyle name="Normal 4 2 2 2 3 2 2 2 2 2 2 2" xfId="8516" xr:uid="{00000000-0005-0000-0000-0000E3800000}"/>
    <cellStyle name="Normal 4 2 2 2 3 2 2 2 2 2 2 2 2" xfId="30409" xr:uid="{00000000-0005-0000-0000-0000E4800000}"/>
    <cellStyle name="Normal 4 2 2 2 3 2 2 2 2 2 2 2 2 2" xfId="62280" xr:uid="{00000000-0005-0000-0000-0000E5800000}"/>
    <cellStyle name="Normal 4 2 2 2 3 2 2 2 2 2 2 2 3" xfId="40395" xr:uid="{00000000-0005-0000-0000-0000E6800000}"/>
    <cellStyle name="Normal 4 2 2 2 3 2 2 2 2 2 2 3" xfId="22531" xr:uid="{00000000-0005-0000-0000-0000E7800000}"/>
    <cellStyle name="Normal 4 2 2 2 3 2 2 2 2 2 2 3 2" xfId="54402" xr:uid="{00000000-0005-0000-0000-0000E8800000}"/>
    <cellStyle name="Normal 4 2 2 2 3 2 2 2 2 2 2 4" xfId="40394" xr:uid="{00000000-0005-0000-0000-0000E9800000}"/>
    <cellStyle name="Normal 4 2 2 2 3 2 2 2 2 2 3" xfId="8517" xr:uid="{00000000-0005-0000-0000-0000EA800000}"/>
    <cellStyle name="Normal 4 2 2 2 3 2 2 2 2 2 3 2" xfId="26470" xr:uid="{00000000-0005-0000-0000-0000EB800000}"/>
    <cellStyle name="Normal 4 2 2 2 3 2 2 2 2 2 3 2 2" xfId="58341" xr:uid="{00000000-0005-0000-0000-0000EC800000}"/>
    <cellStyle name="Normal 4 2 2 2 3 2 2 2 2 2 3 3" xfId="40396" xr:uid="{00000000-0005-0000-0000-0000ED800000}"/>
    <cellStyle name="Normal 4 2 2 2 3 2 2 2 2 2 4" xfId="18592" xr:uid="{00000000-0005-0000-0000-0000EE800000}"/>
    <cellStyle name="Normal 4 2 2 2 3 2 2 2 2 2 4 2" xfId="50463" xr:uid="{00000000-0005-0000-0000-0000EF800000}"/>
    <cellStyle name="Normal 4 2 2 2 3 2 2 2 2 2 5" xfId="40393" xr:uid="{00000000-0005-0000-0000-0000F0800000}"/>
    <cellStyle name="Normal 4 2 2 2 3 2 2 2 2 3" xfId="8518" xr:uid="{00000000-0005-0000-0000-0000F1800000}"/>
    <cellStyle name="Normal 4 2 2 2 3 2 2 2 2 3 2" xfId="8519" xr:uid="{00000000-0005-0000-0000-0000F2800000}"/>
    <cellStyle name="Normal 4 2 2 2 3 2 2 2 2 3 2 2" xfId="30408" xr:uid="{00000000-0005-0000-0000-0000F3800000}"/>
    <cellStyle name="Normal 4 2 2 2 3 2 2 2 2 3 2 2 2" xfId="62279" xr:uid="{00000000-0005-0000-0000-0000F4800000}"/>
    <cellStyle name="Normal 4 2 2 2 3 2 2 2 2 3 2 3" xfId="40398" xr:uid="{00000000-0005-0000-0000-0000F5800000}"/>
    <cellStyle name="Normal 4 2 2 2 3 2 2 2 2 3 3" xfId="22530" xr:uid="{00000000-0005-0000-0000-0000F6800000}"/>
    <cellStyle name="Normal 4 2 2 2 3 2 2 2 2 3 3 2" xfId="54401" xr:uid="{00000000-0005-0000-0000-0000F7800000}"/>
    <cellStyle name="Normal 4 2 2 2 3 2 2 2 2 3 4" xfId="40397" xr:uid="{00000000-0005-0000-0000-0000F8800000}"/>
    <cellStyle name="Normal 4 2 2 2 3 2 2 2 2 4" xfId="8520" xr:uid="{00000000-0005-0000-0000-0000F9800000}"/>
    <cellStyle name="Normal 4 2 2 2 3 2 2 2 2 4 2" xfId="26469" xr:uid="{00000000-0005-0000-0000-0000FA800000}"/>
    <cellStyle name="Normal 4 2 2 2 3 2 2 2 2 4 2 2" xfId="58340" xr:uid="{00000000-0005-0000-0000-0000FB800000}"/>
    <cellStyle name="Normal 4 2 2 2 3 2 2 2 2 4 3" xfId="40399" xr:uid="{00000000-0005-0000-0000-0000FC800000}"/>
    <cellStyle name="Normal 4 2 2 2 3 2 2 2 2 5" xfId="18591" xr:uid="{00000000-0005-0000-0000-0000FD800000}"/>
    <cellStyle name="Normal 4 2 2 2 3 2 2 2 2 5 2" xfId="50462" xr:uid="{00000000-0005-0000-0000-0000FE800000}"/>
    <cellStyle name="Normal 4 2 2 2 3 2 2 2 2 6" xfId="40392" xr:uid="{00000000-0005-0000-0000-0000FF800000}"/>
    <cellStyle name="Normal 4 2 2 2 3 2 2 2 3" xfId="8521" xr:uid="{00000000-0005-0000-0000-000000810000}"/>
    <cellStyle name="Normal 4 2 2 2 3 2 2 2 3 2" xfId="8522" xr:uid="{00000000-0005-0000-0000-000001810000}"/>
    <cellStyle name="Normal 4 2 2 2 3 2 2 2 3 2 2" xfId="8523" xr:uid="{00000000-0005-0000-0000-000002810000}"/>
    <cellStyle name="Normal 4 2 2 2 3 2 2 2 3 2 2 2" xfId="30410" xr:uid="{00000000-0005-0000-0000-000003810000}"/>
    <cellStyle name="Normal 4 2 2 2 3 2 2 2 3 2 2 2 2" xfId="62281" xr:uid="{00000000-0005-0000-0000-000004810000}"/>
    <cellStyle name="Normal 4 2 2 2 3 2 2 2 3 2 2 3" xfId="40402" xr:uid="{00000000-0005-0000-0000-000005810000}"/>
    <cellStyle name="Normal 4 2 2 2 3 2 2 2 3 2 3" xfId="22532" xr:uid="{00000000-0005-0000-0000-000006810000}"/>
    <cellStyle name="Normal 4 2 2 2 3 2 2 2 3 2 3 2" xfId="54403" xr:uid="{00000000-0005-0000-0000-000007810000}"/>
    <cellStyle name="Normal 4 2 2 2 3 2 2 2 3 2 4" xfId="40401" xr:uid="{00000000-0005-0000-0000-000008810000}"/>
    <cellStyle name="Normal 4 2 2 2 3 2 2 2 3 3" xfId="8524" xr:uid="{00000000-0005-0000-0000-000009810000}"/>
    <cellStyle name="Normal 4 2 2 2 3 2 2 2 3 3 2" xfId="26471" xr:uid="{00000000-0005-0000-0000-00000A810000}"/>
    <cellStyle name="Normal 4 2 2 2 3 2 2 2 3 3 2 2" xfId="58342" xr:uid="{00000000-0005-0000-0000-00000B810000}"/>
    <cellStyle name="Normal 4 2 2 2 3 2 2 2 3 3 3" xfId="40403" xr:uid="{00000000-0005-0000-0000-00000C810000}"/>
    <cellStyle name="Normal 4 2 2 2 3 2 2 2 3 4" xfId="18593" xr:uid="{00000000-0005-0000-0000-00000D810000}"/>
    <cellStyle name="Normal 4 2 2 2 3 2 2 2 3 4 2" xfId="50464" xr:uid="{00000000-0005-0000-0000-00000E810000}"/>
    <cellStyle name="Normal 4 2 2 2 3 2 2 2 3 5" xfId="40400" xr:uid="{00000000-0005-0000-0000-00000F810000}"/>
    <cellStyle name="Normal 4 2 2 2 3 2 2 2 4" xfId="8525" xr:uid="{00000000-0005-0000-0000-000010810000}"/>
    <cellStyle name="Normal 4 2 2 2 3 2 2 2 4 2" xfId="8526" xr:uid="{00000000-0005-0000-0000-000011810000}"/>
    <cellStyle name="Normal 4 2 2 2 3 2 2 2 4 2 2" xfId="30407" xr:uid="{00000000-0005-0000-0000-000012810000}"/>
    <cellStyle name="Normal 4 2 2 2 3 2 2 2 4 2 2 2" xfId="62278" xr:uid="{00000000-0005-0000-0000-000013810000}"/>
    <cellStyle name="Normal 4 2 2 2 3 2 2 2 4 2 3" xfId="40405" xr:uid="{00000000-0005-0000-0000-000014810000}"/>
    <cellStyle name="Normal 4 2 2 2 3 2 2 2 4 3" xfId="22529" xr:uid="{00000000-0005-0000-0000-000015810000}"/>
    <cellStyle name="Normal 4 2 2 2 3 2 2 2 4 3 2" xfId="54400" xr:uid="{00000000-0005-0000-0000-000016810000}"/>
    <cellStyle name="Normal 4 2 2 2 3 2 2 2 4 4" xfId="40404" xr:uid="{00000000-0005-0000-0000-000017810000}"/>
    <cellStyle name="Normal 4 2 2 2 3 2 2 2 5" xfId="8527" xr:uid="{00000000-0005-0000-0000-000018810000}"/>
    <cellStyle name="Normal 4 2 2 2 3 2 2 2 5 2" xfId="26468" xr:uid="{00000000-0005-0000-0000-000019810000}"/>
    <cellStyle name="Normal 4 2 2 2 3 2 2 2 5 2 2" xfId="58339" xr:uid="{00000000-0005-0000-0000-00001A810000}"/>
    <cellStyle name="Normal 4 2 2 2 3 2 2 2 5 3" xfId="40406" xr:uid="{00000000-0005-0000-0000-00001B810000}"/>
    <cellStyle name="Normal 4 2 2 2 3 2 2 2 6" xfId="18590" xr:uid="{00000000-0005-0000-0000-00001C810000}"/>
    <cellStyle name="Normal 4 2 2 2 3 2 2 2 6 2" xfId="50461" xr:uid="{00000000-0005-0000-0000-00001D810000}"/>
    <cellStyle name="Normal 4 2 2 2 3 2 2 2 7" xfId="40391" xr:uid="{00000000-0005-0000-0000-00001E810000}"/>
    <cellStyle name="Normal 4 2 2 2 3 2 2 3" xfId="8528" xr:uid="{00000000-0005-0000-0000-00001F810000}"/>
    <cellStyle name="Normal 4 2 2 2 3 2 2 3 2" xfId="8529" xr:uid="{00000000-0005-0000-0000-000020810000}"/>
    <cellStyle name="Normal 4 2 2 2 3 2 2 3 2 2" xfId="8530" xr:uid="{00000000-0005-0000-0000-000021810000}"/>
    <cellStyle name="Normal 4 2 2 2 3 2 2 3 2 2 2" xfId="8531" xr:uid="{00000000-0005-0000-0000-000022810000}"/>
    <cellStyle name="Normal 4 2 2 2 3 2 2 3 2 2 2 2" xfId="30412" xr:uid="{00000000-0005-0000-0000-000023810000}"/>
    <cellStyle name="Normal 4 2 2 2 3 2 2 3 2 2 2 2 2" xfId="62283" xr:uid="{00000000-0005-0000-0000-000024810000}"/>
    <cellStyle name="Normal 4 2 2 2 3 2 2 3 2 2 2 3" xfId="40410" xr:uid="{00000000-0005-0000-0000-000025810000}"/>
    <cellStyle name="Normal 4 2 2 2 3 2 2 3 2 2 3" xfId="22534" xr:uid="{00000000-0005-0000-0000-000026810000}"/>
    <cellStyle name="Normal 4 2 2 2 3 2 2 3 2 2 3 2" xfId="54405" xr:uid="{00000000-0005-0000-0000-000027810000}"/>
    <cellStyle name="Normal 4 2 2 2 3 2 2 3 2 2 4" xfId="40409" xr:uid="{00000000-0005-0000-0000-000028810000}"/>
    <cellStyle name="Normal 4 2 2 2 3 2 2 3 2 3" xfId="8532" xr:uid="{00000000-0005-0000-0000-000029810000}"/>
    <cellStyle name="Normal 4 2 2 2 3 2 2 3 2 3 2" xfId="26473" xr:uid="{00000000-0005-0000-0000-00002A810000}"/>
    <cellStyle name="Normal 4 2 2 2 3 2 2 3 2 3 2 2" xfId="58344" xr:uid="{00000000-0005-0000-0000-00002B810000}"/>
    <cellStyle name="Normal 4 2 2 2 3 2 2 3 2 3 3" xfId="40411" xr:uid="{00000000-0005-0000-0000-00002C810000}"/>
    <cellStyle name="Normal 4 2 2 2 3 2 2 3 2 4" xfId="18595" xr:uid="{00000000-0005-0000-0000-00002D810000}"/>
    <cellStyle name="Normal 4 2 2 2 3 2 2 3 2 4 2" xfId="50466" xr:uid="{00000000-0005-0000-0000-00002E810000}"/>
    <cellStyle name="Normal 4 2 2 2 3 2 2 3 2 5" xfId="40408" xr:uid="{00000000-0005-0000-0000-00002F810000}"/>
    <cellStyle name="Normal 4 2 2 2 3 2 2 3 3" xfId="8533" xr:uid="{00000000-0005-0000-0000-000030810000}"/>
    <cellStyle name="Normal 4 2 2 2 3 2 2 3 3 2" xfId="8534" xr:uid="{00000000-0005-0000-0000-000031810000}"/>
    <cellStyle name="Normal 4 2 2 2 3 2 2 3 3 2 2" xfId="30411" xr:uid="{00000000-0005-0000-0000-000032810000}"/>
    <cellStyle name="Normal 4 2 2 2 3 2 2 3 3 2 2 2" xfId="62282" xr:uid="{00000000-0005-0000-0000-000033810000}"/>
    <cellStyle name="Normal 4 2 2 2 3 2 2 3 3 2 3" xfId="40413" xr:uid="{00000000-0005-0000-0000-000034810000}"/>
    <cellStyle name="Normal 4 2 2 2 3 2 2 3 3 3" xfId="22533" xr:uid="{00000000-0005-0000-0000-000035810000}"/>
    <cellStyle name="Normal 4 2 2 2 3 2 2 3 3 3 2" xfId="54404" xr:uid="{00000000-0005-0000-0000-000036810000}"/>
    <cellStyle name="Normal 4 2 2 2 3 2 2 3 3 4" xfId="40412" xr:uid="{00000000-0005-0000-0000-000037810000}"/>
    <cellStyle name="Normal 4 2 2 2 3 2 2 3 4" xfId="8535" xr:uid="{00000000-0005-0000-0000-000038810000}"/>
    <cellStyle name="Normal 4 2 2 2 3 2 2 3 4 2" xfId="26472" xr:uid="{00000000-0005-0000-0000-000039810000}"/>
    <cellStyle name="Normal 4 2 2 2 3 2 2 3 4 2 2" xfId="58343" xr:uid="{00000000-0005-0000-0000-00003A810000}"/>
    <cellStyle name="Normal 4 2 2 2 3 2 2 3 4 3" xfId="40414" xr:uid="{00000000-0005-0000-0000-00003B810000}"/>
    <cellStyle name="Normal 4 2 2 2 3 2 2 3 5" xfId="18594" xr:uid="{00000000-0005-0000-0000-00003C810000}"/>
    <cellStyle name="Normal 4 2 2 2 3 2 2 3 5 2" xfId="50465" xr:uid="{00000000-0005-0000-0000-00003D810000}"/>
    <cellStyle name="Normal 4 2 2 2 3 2 2 3 6" xfId="40407" xr:uid="{00000000-0005-0000-0000-00003E810000}"/>
    <cellStyle name="Normal 4 2 2 2 3 2 2 4" xfId="8536" xr:uid="{00000000-0005-0000-0000-00003F810000}"/>
    <cellStyle name="Normal 4 2 2 2 3 2 2 4 2" xfId="8537" xr:uid="{00000000-0005-0000-0000-000040810000}"/>
    <cellStyle name="Normal 4 2 2 2 3 2 2 4 2 2" xfId="8538" xr:uid="{00000000-0005-0000-0000-000041810000}"/>
    <cellStyle name="Normal 4 2 2 2 3 2 2 4 2 2 2" xfId="30413" xr:uid="{00000000-0005-0000-0000-000042810000}"/>
    <cellStyle name="Normal 4 2 2 2 3 2 2 4 2 2 2 2" xfId="62284" xr:uid="{00000000-0005-0000-0000-000043810000}"/>
    <cellStyle name="Normal 4 2 2 2 3 2 2 4 2 2 3" xfId="40417" xr:uid="{00000000-0005-0000-0000-000044810000}"/>
    <cellStyle name="Normal 4 2 2 2 3 2 2 4 2 3" xfId="22535" xr:uid="{00000000-0005-0000-0000-000045810000}"/>
    <cellStyle name="Normal 4 2 2 2 3 2 2 4 2 3 2" xfId="54406" xr:uid="{00000000-0005-0000-0000-000046810000}"/>
    <cellStyle name="Normal 4 2 2 2 3 2 2 4 2 4" xfId="40416" xr:uid="{00000000-0005-0000-0000-000047810000}"/>
    <cellStyle name="Normal 4 2 2 2 3 2 2 4 3" xfId="8539" xr:uid="{00000000-0005-0000-0000-000048810000}"/>
    <cellStyle name="Normal 4 2 2 2 3 2 2 4 3 2" xfId="26474" xr:uid="{00000000-0005-0000-0000-000049810000}"/>
    <cellStyle name="Normal 4 2 2 2 3 2 2 4 3 2 2" xfId="58345" xr:uid="{00000000-0005-0000-0000-00004A810000}"/>
    <cellStyle name="Normal 4 2 2 2 3 2 2 4 3 3" xfId="40418" xr:uid="{00000000-0005-0000-0000-00004B810000}"/>
    <cellStyle name="Normal 4 2 2 2 3 2 2 4 4" xfId="18596" xr:uid="{00000000-0005-0000-0000-00004C810000}"/>
    <cellStyle name="Normal 4 2 2 2 3 2 2 4 4 2" xfId="50467" xr:uid="{00000000-0005-0000-0000-00004D810000}"/>
    <cellStyle name="Normal 4 2 2 2 3 2 2 4 5" xfId="40415" xr:uid="{00000000-0005-0000-0000-00004E810000}"/>
    <cellStyle name="Normal 4 2 2 2 3 2 2 5" xfId="8540" xr:uid="{00000000-0005-0000-0000-00004F810000}"/>
    <cellStyle name="Normal 4 2 2 2 3 2 2 5 2" xfId="8541" xr:uid="{00000000-0005-0000-0000-000050810000}"/>
    <cellStyle name="Normal 4 2 2 2 3 2 2 5 2 2" xfId="30406" xr:uid="{00000000-0005-0000-0000-000051810000}"/>
    <cellStyle name="Normal 4 2 2 2 3 2 2 5 2 2 2" xfId="62277" xr:uid="{00000000-0005-0000-0000-000052810000}"/>
    <cellStyle name="Normal 4 2 2 2 3 2 2 5 2 3" xfId="40420" xr:uid="{00000000-0005-0000-0000-000053810000}"/>
    <cellStyle name="Normal 4 2 2 2 3 2 2 5 3" xfId="22528" xr:uid="{00000000-0005-0000-0000-000054810000}"/>
    <cellStyle name="Normal 4 2 2 2 3 2 2 5 3 2" xfId="54399" xr:uid="{00000000-0005-0000-0000-000055810000}"/>
    <cellStyle name="Normal 4 2 2 2 3 2 2 5 4" xfId="40419" xr:uid="{00000000-0005-0000-0000-000056810000}"/>
    <cellStyle name="Normal 4 2 2 2 3 2 2 6" xfId="8542" xr:uid="{00000000-0005-0000-0000-000057810000}"/>
    <cellStyle name="Normal 4 2 2 2 3 2 2 6 2" xfId="26467" xr:uid="{00000000-0005-0000-0000-000058810000}"/>
    <cellStyle name="Normal 4 2 2 2 3 2 2 6 2 2" xfId="58338" xr:uid="{00000000-0005-0000-0000-000059810000}"/>
    <cellStyle name="Normal 4 2 2 2 3 2 2 6 3" xfId="40421" xr:uid="{00000000-0005-0000-0000-00005A810000}"/>
    <cellStyle name="Normal 4 2 2 2 3 2 2 7" xfId="18589" xr:uid="{00000000-0005-0000-0000-00005B810000}"/>
    <cellStyle name="Normal 4 2 2 2 3 2 2 7 2" xfId="50460" xr:uid="{00000000-0005-0000-0000-00005C810000}"/>
    <cellStyle name="Normal 4 2 2 2 3 2 2 8" xfId="40390" xr:uid="{00000000-0005-0000-0000-00005D810000}"/>
    <cellStyle name="Normal 4 2 2 2 3 2 3" xfId="8543" xr:uid="{00000000-0005-0000-0000-00005E810000}"/>
    <cellStyle name="Normal 4 2 2 2 3 2 3 2" xfId="8544" xr:uid="{00000000-0005-0000-0000-00005F810000}"/>
    <cellStyle name="Normal 4 2 2 2 3 2 3 2 2" xfId="8545" xr:uid="{00000000-0005-0000-0000-000060810000}"/>
    <cellStyle name="Normal 4 2 2 2 3 2 3 2 2 2" xfId="8546" xr:uid="{00000000-0005-0000-0000-000061810000}"/>
    <cellStyle name="Normal 4 2 2 2 3 2 3 2 2 2 2" xfId="8547" xr:uid="{00000000-0005-0000-0000-000062810000}"/>
    <cellStyle name="Normal 4 2 2 2 3 2 3 2 2 2 2 2" xfId="30416" xr:uid="{00000000-0005-0000-0000-000063810000}"/>
    <cellStyle name="Normal 4 2 2 2 3 2 3 2 2 2 2 2 2" xfId="62287" xr:uid="{00000000-0005-0000-0000-000064810000}"/>
    <cellStyle name="Normal 4 2 2 2 3 2 3 2 2 2 2 3" xfId="40426" xr:uid="{00000000-0005-0000-0000-000065810000}"/>
    <cellStyle name="Normal 4 2 2 2 3 2 3 2 2 2 3" xfId="22538" xr:uid="{00000000-0005-0000-0000-000066810000}"/>
    <cellStyle name="Normal 4 2 2 2 3 2 3 2 2 2 3 2" xfId="54409" xr:uid="{00000000-0005-0000-0000-000067810000}"/>
    <cellStyle name="Normal 4 2 2 2 3 2 3 2 2 2 4" xfId="40425" xr:uid="{00000000-0005-0000-0000-000068810000}"/>
    <cellStyle name="Normal 4 2 2 2 3 2 3 2 2 3" xfId="8548" xr:uid="{00000000-0005-0000-0000-000069810000}"/>
    <cellStyle name="Normal 4 2 2 2 3 2 3 2 2 3 2" xfId="26477" xr:uid="{00000000-0005-0000-0000-00006A810000}"/>
    <cellStyle name="Normal 4 2 2 2 3 2 3 2 2 3 2 2" xfId="58348" xr:uid="{00000000-0005-0000-0000-00006B810000}"/>
    <cellStyle name="Normal 4 2 2 2 3 2 3 2 2 3 3" xfId="40427" xr:uid="{00000000-0005-0000-0000-00006C810000}"/>
    <cellStyle name="Normal 4 2 2 2 3 2 3 2 2 4" xfId="18599" xr:uid="{00000000-0005-0000-0000-00006D810000}"/>
    <cellStyle name="Normal 4 2 2 2 3 2 3 2 2 4 2" xfId="50470" xr:uid="{00000000-0005-0000-0000-00006E810000}"/>
    <cellStyle name="Normal 4 2 2 2 3 2 3 2 2 5" xfId="40424" xr:uid="{00000000-0005-0000-0000-00006F810000}"/>
    <cellStyle name="Normal 4 2 2 2 3 2 3 2 3" xfId="8549" xr:uid="{00000000-0005-0000-0000-000070810000}"/>
    <cellStyle name="Normal 4 2 2 2 3 2 3 2 3 2" xfId="8550" xr:uid="{00000000-0005-0000-0000-000071810000}"/>
    <cellStyle name="Normal 4 2 2 2 3 2 3 2 3 2 2" xfId="30415" xr:uid="{00000000-0005-0000-0000-000072810000}"/>
    <cellStyle name="Normal 4 2 2 2 3 2 3 2 3 2 2 2" xfId="62286" xr:uid="{00000000-0005-0000-0000-000073810000}"/>
    <cellStyle name="Normal 4 2 2 2 3 2 3 2 3 2 3" xfId="40429" xr:uid="{00000000-0005-0000-0000-000074810000}"/>
    <cellStyle name="Normal 4 2 2 2 3 2 3 2 3 3" xfId="22537" xr:uid="{00000000-0005-0000-0000-000075810000}"/>
    <cellStyle name="Normal 4 2 2 2 3 2 3 2 3 3 2" xfId="54408" xr:uid="{00000000-0005-0000-0000-000076810000}"/>
    <cellStyle name="Normal 4 2 2 2 3 2 3 2 3 4" xfId="40428" xr:uid="{00000000-0005-0000-0000-000077810000}"/>
    <cellStyle name="Normal 4 2 2 2 3 2 3 2 4" xfId="8551" xr:uid="{00000000-0005-0000-0000-000078810000}"/>
    <cellStyle name="Normal 4 2 2 2 3 2 3 2 4 2" xfId="26476" xr:uid="{00000000-0005-0000-0000-000079810000}"/>
    <cellStyle name="Normal 4 2 2 2 3 2 3 2 4 2 2" xfId="58347" xr:uid="{00000000-0005-0000-0000-00007A810000}"/>
    <cellStyle name="Normal 4 2 2 2 3 2 3 2 4 3" xfId="40430" xr:uid="{00000000-0005-0000-0000-00007B810000}"/>
    <cellStyle name="Normal 4 2 2 2 3 2 3 2 5" xfId="18598" xr:uid="{00000000-0005-0000-0000-00007C810000}"/>
    <cellStyle name="Normal 4 2 2 2 3 2 3 2 5 2" xfId="50469" xr:uid="{00000000-0005-0000-0000-00007D810000}"/>
    <cellStyle name="Normal 4 2 2 2 3 2 3 2 6" xfId="40423" xr:uid="{00000000-0005-0000-0000-00007E810000}"/>
    <cellStyle name="Normal 4 2 2 2 3 2 3 3" xfId="8552" xr:uid="{00000000-0005-0000-0000-00007F810000}"/>
    <cellStyle name="Normal 4 2 2 2 3 2 3 3 2" xfId="8553" xr:uid="{00000000-0005-0000-0000-000080810000}"/>
    <cellStyle name="Normal 4 2 2 2 3 2 3 3 2 2" xfId="8554" xr:uid="{00000000-0005-0000-0000-000081810000}"/>
    <cellStyle name="Normal 4 2 2 2 3 2 3 3 2 2 2" xfId="30417" xr:uid="{00000000-0005-0000-0000-000082810000}"/>
    <cellStyle name="Normal 4 2 2 2 3 2 3 3 2 2 2 2" xfId="62288" xr:uid="{00000000-0005-0000-0000-000083810000}"/>
    <cellStyle name="Normal 4 2 2 2 3 2 3 3 2 2 3" xfId="40433" xr:uid="{00000000-0005-0000-0000-000084810000}"/>
    <cellStyle name="Normal 4 2 2 2 3 2 3 3 2 3" xfId="22539" xr:uid="{00000000-0005-0000-0000-000085810000}"/>
    <cellStyle name="Normal 4 2 2 2 3 2 3 3 2 3 2" xfId="54410" xr:uid="{00000000-0005-0000-0000-000086810000}"/>
    <cellStyle name="Normal 4 2 2 2 3 2 3 3 2 4" xfId="40432" xr:uid="{00000000-0005-0000-0000-000087810000}"/>
    <cellStyle name="Normal 4 2 2 2 3 2 3 3 3" xfId="8555" xr:uid="{00000000-0005-0000-0000-000088810000}"/>
    <cellStyle name="Normal 4 2 2 2 3 2 3 3 3 2" xfId="26478" xr:uid="{00000000-0005-0000-0000-000089810000}"/>
    <cellStyle name="Normal 4 2 2 2 3 2 3 3 3 2 2" xfId="58349" xr:uid="{00000000-0005-0000-0000-00008A810000}"/>
    <cellStyle name="Normal 4 2 2 2 3 2 3 3 3 3" xfId="40434" xr:uid="{00000000-0005-0000-0000-00008B810000}"/>
    <cellStyle name="Normal 4 2 2 2 3 2 3 3 4" xfId="18600" xr:uid="{00000000-0005-0000-0000-00008C810000}"/>
    <cellStyle name="Normal 4 2 2 2 3 2 3 3 4 2" xfId="50471" xr:uid="{00000000-0005-0000-0000-00008D810000}"/>
    <cellStyle name="Normal 4 2 2 2 3 2 3 3 5" xfId="40431" xr:uid="{00000000-0005-0000-0000-00008E810000}"/>
    <cellStyle name="Normal 4 2 2 2 3 2 3 4" xfId="8556" xr:uid="{00000000-0005-0000-0000-00008F810000}"/>
    <cellStyle name="Normal 4 2 2 2 3 2 3 4 2" xfId="8557" xr:uid="{00000000-0005-0000-0000-000090810000}"/>
    <cellStyle name="Normal 4 2 2 2 3 2 3 4 2 2" xfId="30414" xr:uid="{00000000-0005-0000-0000-000091810000}"/>
    <cellStyle name="Normal 4 2 2 2 3 2 3 4 2 2 2" xfId="62285" xr:uid="{00000000-0005-0000-0000-000092810000}"/>
    <cellStyle name="Normal 4 2 2 2 3 2 3 4 2 3" xfId="40436" xr:uid="{00000000-0005-0000-0000-000093810000}"/>
    <cellStyle name="Normal 4 2 2 2 3 2 3 4 3" xfId="22536" xr:uid="{00000000-0005-0000-0000-000094810000}"/>
    <cellStyle name="Normal 4 2 2 2 3 2 3 4 3 2" xfId="54407" xr:uid="{00000000-0005-0000-0000-000095810000}"/>
    <cellStyle name="Normal 4 2 2 2 3 2 3 4 4" xfId="40435" xr:uid="{00000000-0005-0000-0000-000096810000}"/>
    <cellStyle name="Normal 4 2 2 2 3 2 3 5" xfId="8558" xr:uid="{00000000-0005-0000-0000-000097810000}"/>
    <cellStyle name="Normal 4 2 2 2 3 2 3 5 2" xfId="26475" xr:uid="{00000000-0005-0000-0000-000098810000}"/>
    <cellStyle name="Normal 4 2 2 2 3 2 3 5 2 2" xfId="58346" xr:uid="{00000000-0005-0000-0000-000099810000}"/>
    <cellStyle name="Normal 4 2 2 2 3 2 3 5 3" xfId="40437" xr:uid="{00000000-0005-0000-0000-00009A810000}"/>
    <cellStyle name="Normal 4 2 2 2 3 2 3 6" xfId="18597" xr:uid="{00000000-0005-0000-0000-00009B810000}"/>
    <cellStyle name="Normal 4 2 2 2 3 2 3 6 2" xfId="50468" xr:uid="{00000000-0005-0000-0000-00009C810000}"/>
    <cellStyle name="Normal 4 2 2 2 3 2 3 7" xfId="40422" xr:uid="{00000000-0005-0000-0000-00009D810000}"/>
    <cellStyle name="Normal 4 2 2 2 3 2 4" xfId="8559" xr:uid="{00000000-0005-0000-0000-00009E810000}"/>
    <cellStyle name="Normal 4 2 2 2 3 2 4 2" xfId="8560" xr:uid="{00000000-0005-0000-0000-00009F810000}"/>
    <cellStyle name="Normal 4 2 2 2 3 2 4 2 2" xfId="8561" xr:uid="{00000000-0005-0000-0000-0000A0810000}"/>
    <cellStyle name="Normal 4 2 2 2 3 2 4 2 2 2" xfId="8562" xr:uid="{00000000-0005-0000-0000-0000A1810000}"/>
    <cellStyle name="Normal 4 2 2 2 3 2 4 2 2 2 2" xfId="30419" xr:uid="{00000000-0005-0000-0000-0000A2810000}"/>
    <cellStyle name="Normal 4 2 2 2 3 2 4 2 2 2 2 2" xfId="62290" xr:uid="{00000000-0005-0000-0000-0000A3810000}"/>
    <cellStyle name="Normal 4 2 2 2 3 2 4 2 2 2 3" xfId="40441" xr:uid="{00000000-0005-0000-0000-0000A4810000}"/>
    <cellStyle name="Normal 4 2 2 2 3 2 4 2 2 3" xfId="22541" xr:uid="{00000000-0005-0000-0000-0000A5810000}"/>
    <cellStyle name="Normal 4 2 2 2 3 2 4 2 2 3 2" xfId="54412" xr:uid="{00000000-0005-0000-0000-0000A6810000}"/>
    <cellStyle name="Normal 4 2 2 2 3 2 4 2 2 4" xfId="40440" xr:uid="{00000000-0005-0000-0000-0000A7810000}"/>
    <cellStyle name="Normal 4 2 2 2 3 2 4 2 3" xfId="8563" xr:uid="{00000000-0005-0000-0000-0000A8810000}"/>
    <cellStyle name="Normal 4 2 2 2 3 2 4 2 3 2" xfId="26480" xr:uid="{00000000-0005-0000-0000-0000A9810000}"/>
    <cellStyle name="Normal 4 2 2 2 3 2 4 2 3 2 2" xfId="58351" xr:uid="{00000000-0005-0000-0000-0000AA810000}"/>
    <cellStyle name="Normal 4 2 2 2 3 2 4 2 3 3" xfId="40442" xr:uid="{00000000-0005-0000-0000-0000AB810000}"/>
    <cellStyle name="Normal 4 2 2 2 3 2 4 2 4" xfId="18602" xr:uid="{00000000-0005-0000-0000-0000AC810000}"/>
    <cellStyle name="Normal 4 2 2 2 3 2 4 2 4 2" xfId="50473" xr:uid="{00000000-0005-0000-0000-0000AD810000}"/>
    <cellStyle name="Normal 4 2 2 2 3 2 4 2 5" xfId="40439" xr:uid="{00000000-0005-0000-0000-0000AE810000}"/>
    <cellStyle name="Normal 4 2 2 2 3 2 4 3" xfId="8564" xr:uid="{00000000-0005-0000-0000-0000AF810000}"/>
    <cellStyle name="Normal 4 2 2 2 3 2 4 3 2" xfId="8565" xr:uid="{00000000-0005-0000-0000-0000B0810000}"/>
    <cellStyle name="Normal 4 2 2 2 3 2 4 3 2 2" xfId="30418" xr:uid="{00000000-0005-0000-0000-0000B1810000}"/>
    <cellStyle name="Normal 4 2 2 2 3 2 4 3 2 2 2" xfId="62289" xr:uid="{00000000-0005-0000-0000-0000B2810000}"/>
    <cellStyle name="Normal 4 2 2 2 3 2 4 3 2 3" xfId="40444" xr:uid="{00000000-0005-0000-0000-0000B3810000}"/>
    <cellStyle name="Normal 4 2 2 2 3 2 4 3 3" xfId="22540" xr:uid="{00000000-0005-0000-0000-0000B4810000}"/>
    <cellStyle name="Normal 4 2 2 2 3 2 4 3 3 2" xfId="54411" xr:uid="{00000000-0005-0000-0000-0000B5810000}"/>
    <cellStyle name="Normal 4 2 2 2 3 2 4 3 4" xfId="40443" xr:uid="{00000000-0005-0000-0000-0000B6810000}"/>
    <cellStyle name="Normal 4 2 2 2 3 2 4 4" xfId="8566" xr:uid="{00000000-0005-0000-0000-0000B7810000}"/>
    <cellStyle name="Normal 4 2 2 2 3 2 4 4 2" xfId="26479" xr:uid="{00000000-0005-0000-0000-0000B8810000}"/>
    <cellStyle name="Normal 4 2 2 2 3 2 4 4 2 2" xfId="58350" xr:uid="{00000000-0005-0000-0000-0000B9810000}"/>
    <cellStyle name="Normal 4 2 2 2 3 2 4 4 3" xfId="40445" xr:uid="{00000000-0005-0000-0000-0000BA810000}"/>
    <cellStyle name="Normal 4 2 2 2 3 2 4 5" xfId="18601" xr:uid="{00000000-0005-0000-0000-0000BB810000}"/>
    <cellStyle name="Normal 4 2 2 2 3 2 4 5 2" xfId="50472" xr:uid="{00000000-0005-0000-0000-0000BC810000}"/>
    <cellStyle name="Normal 4 2 2 2 3 2 4 6" xfId="40438" xr:uid="{00000000-0005-0000-0000-0000BD810000}"/>
    <cellStyle name="Normal 4 2 2 2 3 2 5" xfId="8567" xr:uid="{00000000-0005-0000-0000-0000BE810000}"/>
    <cellStyle name="Normal 4 2 2 2 3 2 5 2" xfId="8568" xr:uid="{00000000-0005-0000-0000-0000BF810000}"/>
    <cellStyle name="Normal 4 2 2 2 3 2 5 2 2" xfId="8569" xr:uid="{00000000-0005-0000-0000-0000C0810000}"/>
    <cellStyle name="Normal 4 2 2 2 3 2 5 2 2 2" xfId="30420" xr:uid="{00000000-0005-0000-0000-0000C1810000}"/>
    <cellStyle name="Normal 4 2 2 2 3 2 5 2 2 2 2" xfId="62291" xr:uid="{00000000-0005-0000-0000-0000C2810000}"/>
    <cellStyle name="Normal 4 2 2 2 3 2 5 2 2 3" xfId="40448" xr:uid="{00000000-0005-0000-0000-0000C3810000}"/>
    <cellStyle name="Normal 4 2 2 2 3 2 5 2 3" xfId="22542" xr:uid="{00000000-0005-0000-0000-0000C4810000}"/>
    <cellStyle name="Normal 4 2 2 2 3 2 5 2 3 2" xfId="54413" xr:uid="{00000000-0005-0000-0000-0000C5810000}"/>
    <cellStyle name="Normal 4 2 2 2 3 2 5 2 4" xfId="40447" xr:uid="{00000000-0005-0000-0000-0000C6810000}"/>
    <cellStyle name="Normal 4 2 2 2 3 2 5 3" xfId="8570" xr:uid="{00000000-0005-0000-0000-0000C7810000}"/>
    <cellStyle name="Normal 4 2 2 2 3 2 5 3 2" xfId="26481" xr:uid="{00000000-0005-0000-0000-0000C8810000}"/>
    <cellStyle name="Normal 4 2 2 2 3 2 5 3 2 2" xfId="58352" xr:uid="{00000000-0005-0000-0000-0000C9810000}"/>
    <cellStyle name="Normal 4 2 2 2 3 2 5 3 3" xfId="40449" xr:uid="{00000000-0005-0000-0000-0000CA810000}"/>
    <cellStyle name="Normal 4 2 2 2 3 2 5 4" xfId="18603" xr:uid="{00000000-0005-0000-0000-0000CB810000}"/>
    <cellStyle name="Normal 4 2 2 2 3 2 5 4 2" xfId="50474" xr:uid="{00000000-0005-0000-0000-0000CC810000}"/>
    <cellStyle name="Normal 4 2 2 2 3 2 5 5" xfId="40446" xr:uid="{00000000-0005-0000-0000-0000CD810000}"/>
    <cellStyle name="Normal 4 2 2 2 3 2 6" xfId="8571" xr:uid="{00000000-0005-0000-0000-0000CE810000}"/>
    <cellStyle name="Normal 4 2 2 2 3 2 6 2" xfId="8572" xr:uid="{00000000-0005-0000-0000-0000CF810000}"/>
    <cellStyle name="Normal 4 2 2 2 3 2 6 2 2" xfId="28437" xr:uid="{00000000-0005-0000-0000-0000D0810000}"/>
    <cellStyle name="Normal 4 2 2 2 3 2 6 2 2 2" xfId="60308" xr:uid="{00000000-0005-0000-0000-0000D1810000}"/>
    <cellStyle name="Normal 4 2 2 2 3 2 6 2 3" xfId="40451" xr:uid="{00000000-0005-0000-0000-0000D2810000}"/>
    <cellStyle name="Normal 4 2 2 2 3 2 6 3" xfId="20559" xr:uid="{00000000-0005-0000-0000-0000D3810000}"/>
    <cellStyle name="Normal 4 2 2 2 3 2 6 3 2" xfId="52430" xr:uid="{00000000-0005-0000-0000-0000D4810000}"/>
    <cellStyle name="Normal 4 2 2 2 3 2 6 4" xfId="40450" xr:uid="{00000000-0005-0000-0000-0000D5810000}"/>
    <cellStyle name="Normal 4 2 2 2 3 2 7" xfId="8573" xr:uid="{00000000-0005-0000-0000-0000D6810000}"/>
    <cellStyle name="Normal 4 2 2 2 3 2 7 2" xfId="24498" xr:uid="{00000000-0005-0000-0000-0000D7810000}"/>
    <cellStyle name="Normal 4 2 2 2 3 2 7 2 2" xfId="56369" xr:uid="{00000000-0005-0000-0000-0000D8810000}"/>
    <cellStyle name="Normal 4 2 2 2 3 2 7 3" xfId="40452" xr:uid="{00000000-0005-0000-0000-0000D9810000}"/>
    <cellStyle name="Normal 4 2 2 2 3 2 8" xfId="16620" xr:uid="{00000000-0005-0000-0000-0000DA810000}"/>
    <cellStyle name="Normal 4 2 2 2 3 2 8 2" xfId="48491" xr:uid="{00000000-0005-0000-0000-0000DB810000}"/>
    <cellStyle name="Normal 4 2 2 2 3 2 9" xfId="40389" xr:uid="{00000000-0005-0000-0000-0000DC810000}"/>
    <cellStyle name="Normal 4 2 2 2 3 3" xfId="8574" xr:uid="{00000000-0005-0000-0000-0000DD810000}"/>
    <cellStyle name="Normal 4 2 2 2 3 3 2" xfId="8575" xr:uid="{00000000-0005-0000-0000-0000DE810000}"/>
    <cellStyle name="Normal 4 2 2 2 3 3 2 2" xfId="8576" xr:uid="{00000000-0005-0000-0000-0000DF810000}"/>
    <cellStyle name="Normal 4 2 2 2 3 3 2 2 2" xfId="8577" xr:uid="{00000000-0005-0000-0000-0000E0810000}"/>
    <cellStyle name="Normal 4 2 2 2 3 3 2 2 2 2" xfId="8578" xr:uid="{00000000-0005-0000-0000-0000E1810000}"/>
    <cellStyle name="Normal 4 2 2 2 3 3 2 2 2 2 2" xfId="8579" xr:uid="{00000000-0005-0000-0000-0000E2810000}"/>
    <cellStyle name="Normal 4 2 2 2 3 3 2 2 2 2 2 2" xfId="30424" xr:uid="{00000000-0005-0000-0000-0000E3810000}"/>
    <cellStyle name="Normal 4 2 2 2 3 3 2 2 2 2 2 2 2" xfId="62295" xr:uid="{00000000-0005-0000-0000-0000E4810000}"/>
    <cellStyle name="Normal 4 2 2 2 3 3 2 2 2 2 2 3" xfId="40458" xr:uid="{00000000-0005-0000-0000-0000E5810000}"/>
    <cellStyle name="Normal 4 2 2 2 3 3 2 2 2 2 3" xfId="22546" xr:uid="{00000000-0005-0000-0000-0000E6810000}"/>
    <cellStyle name="Normal 4 2 2 2 3 3 2 2 2 2 3 2" xfId="54417" xr:uid="{00000000-0005-0000-0000-0000E7810000}"/>
    <cellStyle name="Normal 4 2 2 2 3 3 2 2 2 2 4" xfId="40457" xr:uid="{00000000-0005-0000-0000-0000E8810000}"/>
    <cellStyle name="Normal 4 2 2 2 3 3 2 2 2 3" xfId="8580" xr:uid="{00000000-0005-0000-0000-0000E9810000}"/>
    <cellStyle name="Normal 4 2 2 2 3 3 2 2 2 3 2" xfId="26485" xr:uid="{00000000-0005-0000-0000-0000EA810000}"/>
    <cellStyle name="Normal 4 2 2 2 3 3 2 2 2 3 2 2" xfId="58356" xr:uid="{00000000-0005-0000-0000-0000EB810000}"/>
    <cellStyle name="Normal 4 2 2 2 3 3 2 2 2 3 3" xfId="40459" xr:uid="{00000000-0005-0000-0000-0000EC810000}"/>
    <cellStyle name="Normal 4 2 2 2 3 3 2 2 2 4" xfId="18607" xr:uid="{00000000-0005-0000-0000-0000ED810000}"/>
    <cellStyle name="Normal 4 2 2 2 3 3 2 2 2 4 2" xfId="50478" xr:uid="{00000000-0005-0000-0000-0000EE810000}"/>
    <cellStyle name="Normal 4 2 2 2 3 3 2 2 2 5" xfId="40456" xr:uid="{00000000-0005-0000-0000-0000EF810000}"/>
    <cellStyle name="Normal 4 2 2 2 3 3 2 2 3" xfId="8581" xr:uid="{00000000-0005-0000-0000-0000F0810000}"/>
    <cellStyle name="Normal 4 2 2 2 3 3 2 2 3 2" xfId="8582" xr:uid="{00000000-0005-0000-0000-0000F1810000}"/>
    <cellStyle name="Normal 4 2 2 2 3 3 2 2 3 2 2" xfId="30423" xr:uid="{00000000-0005-0000-0000-0000F2810000}"/>
    <cellStyle name="Normal 4 2 2 2 3 3 2 2 3 2 2 2" xfId="62294" xr:uid="{00000000-0005-0000-0000-0000F3810000}"/>
    <cellStyle name="Normal 4 2 2 2 3 3 2 2 3 2 3" xfId="40461" xr:uid="{00000000-0005-0000-0000-0000F4810000}"/>
    <cellStyle name="Normal 4 2 2 2 3 3 2 2 3 3" xfId="22545" xr:uid="{00000000-0005-0000-0000-0000F5810000}"/>
    <cellStyle name="Normal 4 2 2 2 3 3 2 2 3 3 2" xfId="54416" xr:uid="{00000000-0005-0000-0000-0000F6810000}"/>
    <cellStyle name="Normal 4 2 2 2 3 3 2 2 3 4" xfId="40460" xr:uid="{00000000-0005-0000-0000-0000F7810000}"/>
    <cellStyle name="Normal 4 2 2 2 3 3 2 2 4" xfId="8583" xr:uid="{00000000-0005-0000-0000-0000F8810000}"/>
    <cellStyle name="Normal 4 2 2 2 3 3 2 2 4 2" xfId="26484" xr:uid="{00000000-0005-0000-0000-0000F9810000}"/>
    <cellStyle name="Normal 4 2 2 2 3 3 2 2 4 2 2" xfId="58355" xr:uid="{00000000-0005-0000-0000-0000FA810000}"/>
    <cellStyle name="Normal 4 2 2 2 3 3 2 2 4 3" xfId="40462" xr:uid="{00000000-0005-0000-0000-0000FB810000}"/>
    <cellStyle name="Normal 4 2 2 2 3 3 2 2 5" xfId="18606" xr:uid="{00000000-0005-0000-0000-0000FC810000}"/>
    <cellStyle name="Normal 4 2 2 2 3 3 2 2 5 2" xfId="50477" xr:uid="{00000000-0005-0000-0000-0000FD810000}"/>
    <cellStyle name="Normal 4 2 2 2 3 3 2 2 6" xfId="40455" xr:uid="{00000000-0005-0000-0000-0000FE810000}"/>
    <cellStyle name="Normal 4 2 2 2 3 3 2 3" xfId="8584" xr:uid="{00000000-0005-0000-0000-0000FF810000}"/>
    <cellStyle name="Normal 4 2 2 2 3 3 2 3 2" xfId="8585" xr:uid="{00000000-0005-0000-0000-000000820000}"/>
    <cellStyle name="Normal 4 2 2 2 3 3 2 3 2 2" xfId="8586" xr:uid="{00000000-0005-0000-0000-000001820000}"/>
    <cellStyle name="Normal 4 2 2 2 3 3 2 3 2 2 2" xfId="30425" xr:uid="{00000000-0005-0000-0000-000002820000}"/>
    <cellStyle name="Normal 4 2 2 2 3 3 2 3 2 2 2 2" xfId="62296" xr:uid="{00000000-0005-0000-0000-000003820000}"/>
    <cellStyle name="Normal 4 2 2 2 3 3 2 3 2 2 3" xfId="40465" xr:uid="{00000000-0005-0000-0000-000004820000}"/>
    <cellStyle name="Normal 4 2 2 2 3 3 2 3 2 3" xfId="22547" xr:uid="{00000000-0005-0000-0000-000005820000}"/>
    <cellStyle name="Normal 4 2 2 2 3 3 2 3 2 3 2" xfId="54418" xr:uid="{00000000-0005-0000-0000-000006820000}"/>
    <cellStyle name="Normal 4 2 2 2 3 3 2 3 2 4" xfId="40464" xr:uid="{00000000-0005-0000-0000-000007820000}"/>
    <cellStyle name="Normal 4 2 2 2 3 3 2 3 3" xfId="8587" xr:uid="{00000000-0005-0000-0000-000008820000}"/>
    <cellStyle name="Normal 4 2 2 2 3 3 2 3 3 2" xfId="26486" xr:uid="{00000000-0005-0000-0000-000009820000}"/>
    <cellStyle name="Normal 4 2 2 2 3 3 2 3 3 2 2" xfId="58357" xr:uid="{00000000-0005-0000-0000-00000A820000}"/>
    <cellStyle name="Normal 4 2 2 2 3 3 2 3 3 3" xfId="40466" xr:uid="{00000000-0005-0000-0000-00000B820000}"/>
    <cellStyle name="Normal 4 2 2 2 3 3 2 3 4" xfId="18608" xr:uid="{00000000-0005-0000-0000-00000C820000}"/>
    <cellStyle name="Normal 4 2 2 2 3 3 2 3 4 2" xfId="50479" xr:uid="{00000000-0005-0000-0000-00000D820000}"/>
    <cellStyle name="Normal 4 2 2 2 3 3 2 3 5" xfId="40463" xr:uid="{00000000-0005-0000-0000-00000E820000}"/>
    <cellStyle name="Normal 4 2 2 2 3 3 2 4" xfId="8588" xr:uid="{00000000-0005-0000-0000-00000F820000}"/>
    <cellStyle name="Normal 4 2 2 2 3 3 2 4 2" xfId="8589" xr:uid="{00000000-0005-0000-0000-000010820000}"/>
    <cellStyle name="Normal 4 2 2 2 3 3 2 4 2 2" xfId="30422" xr:uid="{00000000-0005-0000-0000-000011820000}"/>
    <cellStyle name="Normal 4 2 2 2 3 3 2 4 2 2 2" xfId="62293" xr:uid="{00000000-0005-0000-0000-000012820000}"/>
    <cellStyle name="Normal 4 2 2 2 3 3 2 4 2 3" xfId="40468" xr:uid="{00000000-0005-0000-0000-000013820000}"/>
    <cellStyle name="Normal 4 2 2 2 3 3 2 4 3" xfId="22544" xr:uid="{00000000-0005-0000-0000-000014820000}"/>
    <cellStyle name="Normal 4 2 2 2 3 3 2 4 3 2" xfId="54415" xr:uid="{00000000-0005-0000-0000-000015820000}"/>
    <cellStyle name="Normal 4 2 2 2 3 3 2 4 4" xfId="40467" xr:uid="{00000000-0005-0000-0000-000016820000}"/>
    <cellStyle name="Normal 4 2 2 2 3 3 2 5" xfId="8590" xr:uid="{00000000-0005-0000-0000-000017820000}"/>
    <cellStyle name="Normal 4 2 2 2 3 3 2 5 2" xfId="26483" xr:uid="{00000000-0005-0000-0000-000018820000}"/>
    <cellStyle name="Normal 4 2 2 2 3 3 2 5 2 2" xfId="58354" xr:uid="{00000000-0005-0000-0000-000019820000}"/>
    <cellStyle name="Normal 4 2 2 2 3 3 2 5 3" xfId="40469" xr:uid="{00000000-0005-0000-0000-00001A820000}"/>
    <cellStyle name="Normal 4 2 2 2 3 3 2 6" xfId="18605" xr:uid="{00000000-0005-0000-0000-00001B820000}"/>
    <cellStyle name="Normal 4 2 2 2 3 3 2 6 2" xfId="50476" xr:uid="{00000000-0005-0000-0000-00001C820000}"/>
    <cellStyle name="Normal 4 2 2 2 3 3 2 7" xfId="40454" xr:uid="{00000000-0005-0000-0000-00001D820000}"/>
    <cellStyle name="Normal 4 2 2 2 3 3 3" xfId="8591" xr:uid="{00000000-0005-0000-0000-00001E820000}"/>
    <cellStyle name="Normal 4 2 2 2 3 3 3 2" xfId="8592" xr:uid="{00000000-0005-0000-0000-00001F820000}"/>
    <cellStyle name="Normal 4 2 2 2 3 3 3 2 2" xfId="8593" xr:uid="{00000000-0005-0000-0000-000020820000}"/>
    <cellStyle name="Normal 4 2 2 2 3 3 3 2 2 2" xfId="8594" xr:uid="{00000000-0005-0000-0000-000021820000}"/>
    <cellStyle name="Normal 4 2 2 2 3 3 3 2 2 2 2" xfId="30427" xr:uid="{00000000-0005-0000-0000-000022820000}"/>
    <cellStyle name="Normal 4 2 2 2 3 3 3 2 2 2 2 2" xfId="62298" xr:uid="{00000000-0005-0000-0000-000023820000}"/>
    <cellStyle name="Normal 4 2 2 2 3 3 3 2 2 2 3" xfId="40473" xr:uid="{00000000-0005-0000-0000-000024820000}"/>
    <cellStyle name="Normal 4 2 2 2 3 3 3 2 2 3" xfId="22549" xr:uid="{00000000-0005-0000-0000-000025820000}"/>
    <cellStyle name="Normal 4 2 2 2 3 3 3 2 2 3 2" xfId="54420" xr:uid="{00000000-0005-0000-0000-000026820000}"/>
    <cellStyle name="Normal 4 2 2 2 3 3 3 2 2 4" xfId="40472" xr:uid="{00000000-0005-0000-0000-000027820000}"/>
    <cellStyle name="Normal 4 2 2 2 3 3 3 2 3" xfId="8595" xr:uid="{00000000-0005-0000-0000-000028820000}"/>
    <cellStyle name="Normal 4 2 2 2 3 3 3 2 3 2" xfId="26488" xr:uid="{00000000-0005-0000-0000-000029820000}"/>
    <cellStyle name="Normal 4 2 2 2 3 3 3 2 3 2 2" xfId="58359" xr:uid="{00000000-0005-0000-0000-00002A820000}"/>
    <cellStyle name="Normal 4 2 2 2 3 3 3 2 3 3" xfId="40474" xr:uid="{00000000-0005-0000-0000-00002B820000}"/>
    <cellStyle name="Normal 4 2 2 2 3 3 3 2 4" xfId="18610" xr:uid="{00000000-0005-0000-0000-00002C820000}"/>
    <cellStyle name="Normal 4 2 2 2 3 3 3 2 4 2" xfId="50481" xr:uid="{00000000-0005-0000-0000-00002D820000}"/>
    <cellStyle name="Normal 4 2 2 2 3 3 3 2 5" xfId="40471" xr:uid="{00000000-0005-0000-0000-00002E820000}"/>
    <cellStyle name="Normal 4 2 2 2 3 3 3 3" xfId="8596" xr:uid="{00000000-0005-0000-0000-00002F820000}"/>
    <cellStyle name="Normal 4 2 2 2 3 3 3 3 2" xfId="8597" xr:uid="{00000000-0005-0000-0000-000030820000}"/>
    <cellStyle name="Normal 4 2 2 2 3 3 3 3 2 2" xfId="30426" xr:uid="{00000000-0005-0000-0000-000031820000}"/>
    <cellStyle name="Normal 4 2 2 2 3 3 3 3 2 2 2" xfId="62297" xr:uid="{00000000-0005-0000-0000-000032820000}"/>
    <cellStyle name="Normal 4 2 2 2 3 3 3 3 2 3" xfId="40476" xr:uid="{00000000-0005-0000-0000-000033820000}"/>
    <cellStyle name="Normal 4 2 2 2 3 3 3 3 3" xfId="22548" xr:uid="{00000000-0005-0000-0000-000034820000}"/>
    <cellStyle name="Normal 4 2 2 2 3 3 3 3 3 2" xfId="54419" xr:uid="{00000000-0005-0000-0000-000035820000}"/>
    <cellStyle name="Normal 4 2 2 2 3 3 3 3 4" xfId="40475" xr:uid="{00000000-0005-0000-0000-000036820000}"/>
    <cellStyle name="Normal 4 2 2 2 3 3 3 4" xfId="8598" xr:uid="{00000000-0005-0000-0000-000037820000}"/>
    <cellStyle name="Normal 4 2 2 2 3 3 3 4 2" xfId="26487" xr:uid="{00000000-0005-0000-0000-000038820000}"/>
    <cellStyle name="Normal 4 2 2 2 3 3 3 4 2 2" xfId="58358" xr:uid="{00000000-0005-0000-0000-000039820000}"/>
    <cellStyle name="Normal 4 2 2 2 3 3 3 4 3" xfId="40477" xr:uid="{00000000-0005-0000-0000-00003A820000}"/>
    <cellStyle name="Normal 4 2 2 2 3 3 3 5" xfId="18609" xr:uid="{00000000-0005-0000-0000-00003B820000}"/>
    <cellStyle name="Normal 4 2 2 2 3 3 3 5 2" xfId="50480" xr:uid="{00000000-0005-0000-0000-00003C820000}"/>
    <cellStyle name="Normal 4 2 2 2 3 3 3 6" xfId="40470" xr:uid="{00000000-0005-0000-0000-00003D820000}"/>
    <cellStyle name="Normal 4 2 2 2 3 3 4" xfId="8599" xr:uid="{00000000-0005-0000-0000-00003E820000}"/>
    <cellStyle name="Normal 4 2 2 2 3 3 4 2" xfId="8600" xr:uid="{00000000-0005-0000-0000-00003F820000}"/>
    <cellStyle name="Normal 4 2 2 2 3 3 4 2 2" xfId="8601" xr:uid="{00000000-0005-0000-0000-000040820000}"/>
    <cellStyle name="Normal 4 2 2 2 3 3 4 2 2 2" xfId="30428" xr:uid="{00000000-0005-0000-0000-000041820000}"/>
    <cellStyle name="Normal 4 2 2 2 3 3 4 2 2 2 2" xfId="62299" xr:uid="{00000000-0005-0000-0000-000042820000}"/>
    <cellStyle name="Normal 4 2 2 2 3 3 4 2 2 3" xfId="40480" xr:uid="{00000000-0005-0000-0000-000043820000}"/>
    <cellStyle name="Normal 4 2 2 2 3 3 4 2 3" xfId="22550" xr:uid="{00000000-0005-0000-0000-000044820000}"/>
    <cellStyle name="Normal 4 2 2 2 3 3 4 2 3 2" xfId="54421" xr:uid="{00000000-0005-0000-0000-000045820000}"/>
    <cellStyle name="Normal 4 2 2 2 3 3 4 2 4" xfId="40479" xr:uid="{00000000-0005-0000-0000-000046820000}"/>
    <cellStyle name="Normal 4 2 2 2 3 3 4 3" xfId="8602" xr:uid="{00000000-0005-0000-0000-000047820000}"/>
    <cellStyle name="Normal 4 2 2 2 3 3 4 3 2" xfId="26489" xr:uid="{00000000-0005-0000-0000-000048820000}"/>
    <cellStyle name="Normal 4 2 2 2 3 3 4 3 2 2" xfId="58360" xr:uid="{00000000-0005-0000-0000-000049820000}"/>
    <cellStyle name="Normal 4 2 2 2 3 3 4 3 3" xfId="40481" xr:uid="{00000000-0005-0000-0000-00004A820000}"/>
    <cellStyle name="Normal 4 2 2 2 3 3 4 4" xfId="18611" xr:uid="{00000000-0005-0000-0000-00004B820000}"/>
    <cellStyle name="Normal 4 2 2 2 3 3 4 4 2" xfId="50482" xr:uid="{00000000-0005-0000-0000-00004C820000}"/>
    <cellStyle name="Normal 4 2 2 2 3 3 4 5" xfId="40478" xr:uid="{00000000-0005-0000-0000-00004D820000}"/>
    <cellStyle name="Normal 4 2 2 2 3 3 5" xfId="8603" xr:uid="{00000000-0005-0000-0000-00004E820000}"/>
    <cellStyle name="Normal 4 2 2 2 3 3 5 2" xfId="8604" xr:uid="{00000000-0005-0000-0000-00004F820000}"/>
    <cellStyle name="Normal 4 2 2 2 3 3 5 2 2" xfId="30421" xr:uid="{00000000-0005-0000-0000-000050820000}"/>
    <cellStyle name="Normal 4 2 2 2 3 3 5 2 2 2" xfId="62292" xr:uid="{00000000-0005-0000-0000-000051820000}"/>
    <cellStyle name="Normal 4 2 2 2 3 3 5 2 3" xfId="40483" xr:uid="{00000000-0005-0000-0000-000052820000}"/>
    <cellStyle name="Normal 4 2 2 2 3 3 5 3" xfId="22543" xr:uid="{00000000-0005-0000-0000-000053820000}"/>
    <cellStyle name="Normal 4 2 2 2 3 3 5 3 2" xfId="54414" xr:uid="{00000000-0005-0000-0000-000054820000}"/>
    <cellStyle name="Normal 4 2 2 2 3 3 5 4" xfId="40482" xr:uid="{00000000-0005-0000-0000-000055820000}"/>
    <cellStyle name="Normal 4 2 2 2 3 3 6" xfId="8605" xr:uid="{00000000-0005-0000-0000-000056820000}"/>
    <cellStyle name="Normal 4 2 2 2 3 3 6 2" xfId="26482" xr:uid="{00000000-0005-0000-0000-000057820000}"/>
    <cellStyle name="Normal 4 2 2 2 3 3 6 2 2" xfId="58353" xr:uid="{00000000-0005-0000-0000-000058820000}"/>
    <cellStyle name="Normal 4 2 2 2 3 3 6 3" xfId="40484" xr:uid="{00000000-0005-0000-0000-000059820000}"/>
    <cellStyle name="Normal 4 2 2 2 3 3 7" xfId="18604" xr:uid="{00000000-0005-0000-0000-00005A820000}"/>
    <cellStyle name="Normal 4 2 2 2 3 3 7 2" xfId="50475" xr:uid="{00000000-0005-0000-0000-00005B820000}"/>
    <cellStyle name="Normal 4 2 2 2 3 3 8" xfId="40453" xr:uid="{00000000-0005-0000-0000-00005C820000}"/>
    <cellStyle name="Normal 4 2 2 2 3 4" xfId="8606" xr:uid="{00000000-0005-0000-0000-00005D820000}"/>
    <cellStyle name="Normal 4 2 2 2 3 4 2" xfId="8607" xr:uid="{00000000-0005-0000-0000-00005E820000}"/>
    <cellStyle name="Normal 4 2 2 2 3 4 2 2" xfId="8608" xr:uid="{00000000-0005-0000-0000-00005F820000}"/>
    <cellStyle name="Normal 4 2 2 2 3 4 2 2 2" xfId="8609" xr:uid="{00000000-0005-0000-0000-000060820000}"/>
    <cellStyle name="Normal 4 2 2 2 3 4 2 2 2 2" xfId="8610" xr:uid="{00000000-0005-0000-0000-000061820000}"/>
    <cellStyle name="Normal 4 2 2 2 3 4 2 2 2 2 2" xfId="30431" xr:uid="{00000000-0005-0000-0000-000062820000}"/>
    <cellStyle name="Normal 4 2 2 2 3 4 2 2 2 2 2 2" xfId="62302" xr:uid="{00000000-0005-0000-0000-000063820000}"/>
    <cellStyle name="Normal 4 2 2 2 3 4 2 2 2 2 3" xfId="40489" xr:uid="{00000000-0005-0000-0000-000064820000}"/>
    <cellStyle name="Normal 4 2 2 2 3 4 2 2 2 3" xfId="22553" xr:uid="{00000000-0005-0000-0000-000065820000}"/>
    <cellStyle name="Normal 4 2 2 2 3 4 2 2 2 3 2" xfId="54424" xr:uid="{00000000-0005-0000-0000-000066820000}"/>
    <cellStyle name="Normal 4 2 2 2 3 4 2 2 2 4" xfId="40488" xr:uid="{00000000-0005-0000-0000-000067820000}"/>
    <cellStyle name="Normal 4 2 2 2 3 4 2 2 3" xfId="8611" xr:uid="{00000000-0005-0000-0000-000068820000}"/>
    <cellStyle name="Normal 4 2 2 2 3 4 2 2 3 2" xfId="26492" xr:uid="{00000000-0005-0000-0000-000069820000}"/>
    <cellStyle name="Normal 4 2 2 2 3 4 2 2 3 2 2" xfId="58363" xr:uid="{00000000-0005-0000-0000-00006A820000}"/>
    <cellStyle name="Normal 4 2 2 2 3 4 2 2 3 3" xfId="40490" xr:uid="{00000000-0005-0000-0000-00006B820000}"/>
    <cellStyle name="Normal 4 2 2 2 3 4 2 2 4" xfId="18614" xr:uid="{00000000-0005-0000-0000-00006C820000}"/>
    <cellStyle name="Normal 4 2 2 2 3 4 2 2 4 2" xfId="50485" xr:uid="{00000000-0005-0000-0000-00006D820000}"/>
    <cellStyle name="Normal 4 2 2 2 3 4 2 2 5" xfId="40487" xr:uid="{00000000-0005-0000-0000-00006E820000}"/>
    <cellStyle name="Normal 4 2 2 2 3 4 2 3" xfId="8612" xr:uid="{00000000-0005-0000-0000-00006F820000}"/>
    <cellStyle name="Normal 4 2 2 2 3 4 2 3 2" xfId="8613" xr:uid="{00000000-0005-0000-0000-000070820000}"/>
    <cellStyle name="Normal 4 2 2 2 3 4 2 3 2 2" xfId="30430" xr:uid="{00000000-0005-0000-0000-000071820000}"/>
    <cellStyle name="Normal 4 2 2 2 3 4 2 3 2 2 2" xfId="62301" xr:uid="{00000000-0005-0000-0000-000072820000}"/>
    <cellStyle name="Normal 4 2 2 2 3 4 2 3 2 3" xfId="40492" xr:uid="{00000000-0005-0000-0000-000073820000}"/>
    <cellStyle name="Normal 4 2 2 2 3 4 2 3 3" xfId="22552" xr:uid="{00000000-0005-0000-0000-000074820000}"/>
    <cellStyle name="Normal 4 2 2 2 3 4 2 3 3 2" xfId="54423" xr:uid="{00000000-0005-0000-0000-000075820000}"/>
    <cellStyle name="Normal 4 2 2 2 3 4 2 3 4" xfId="40491" xr:uid="{00000000-0005-0000-0000-000076820000}"/>
    <cellStyle name="Normal 4 2 2 2 3 4 2 4" xfId="8614" xr:uid="{00000000-0005-0000-0000-000077820000}"/>
    <cellStyle name="Normal 4 2 2 2 3 4 2 4 2" xfId="26491" xr:uid="{00000000-0005-0000-0000-000078820000}"/>
    <cellStyle name="Normal 4 2 2 2 3 4 2 4 2 2" xfId="58362" xr:uid="{00000000-0005-0000-0000-000079820000}"/>
    <cellStyle name="Normal 4 2 2 2 3 4 2 4 3" xfId="40493" xr:uid="{00000000-0005-0000-0000-00007A820000}"/>
    <cellStyle name="Normal 4 2 2 2 3 4 2 5" xfId="18613" xr:uid="{00000000-0005-0000-0000-00007B820000}"/>
    <cellStyle name="Normal 4 2 2 2 3 4 2 5 2" xfId="50484" xr:uid="{00000000-0005-0000-0000-00007C820000}"/>
    <cellStyle name="Normal 4 2 2 2 3 4 2 6" xfId="40486" xr:uid="{00000000-0005-0000-0000-00007D820000}"/>
    <cellStyle name="Normal 4 2 2 2 3 4 3" xfId="8615" xr:uid="{00000000-0005-0000-0000-00007E820000}"/>
    <cellStyle name="Normal 4 2 2 2 3 4 3 2" xfId="8616" xr:uid="{00000000-0005-0000-0000-00007F820000}"/>
    <cellStyle name="Normal 4 2 2 2 3 4 3 2 2" xfId="8617" xr:uid="{00000000-0005-0000-0000-000080820000}"/>
    <cellStyle name="Normal 4 2 2 2 3 4 3 2 2 2" xfId="30432" xr:uid="{00000000-0005-0000-0000-000081820000}"/>
    <cellStyle name="Normal 4 2 2 2 3 4 3 2 2 2 2" xfId="62303" xr:uid="{00000000-0005-0000-0000-000082820000}"/>
    <cellStyle name="Normal 4 2 2 2 3 4 3 2 2 3" xfId="40496" xr:uid="{00000000-0005-0000-0000-000083820000}"/>
    <cellStyle name="Normal 4 2 2 2 3 4 3 2 3" xfId="22554" xr:uid="{00000000-0005-0000-0000-000084820000}"/>
    <cellStyle name="Normal 4 2 2 2 3 4 3 2 3 2" xfId="54425" xr:uid="{00000000-0005-0000-0000-000085820000}"/>
    <cellStyle name="Normal 4 2 2 2 3 4 3 2 4" xfId="40495" xr:uid="{00000000-0005-0000-0000-000086820000}"/>
    <cellStyle name="Normal 4 2 2 2 3 4 3 3" xfId="8618" xr:uid="{00000000-0005-0000-0000-000087820000}"/>
    <cellStyle name="Normal 4 2 2 2 3 4 3 3 2" xfId="26493" xr:uid="{00000000-0005-0000-0000-000088820000}"/>
    <cellStyle name="Normal 4 2 2 2 3 4 3 3 2 2" xfId="58364" xr:uid="{00000000-0005-0000-0000-000089820000}"/>
    <cellStyle name="Normal 4 2 2 2 3 4 3 3 3" xfId="40497" xr:uid="{00000000-0005-0000-0000-00008A820000}"/>
    <cellStyle name="Normal 4 2 2 2 3 4 3 4" xfId="18615" xr:uid="{00000000-0005-0000-0000-00008B820000}"/>
    <cellStyle name="Normal 4 2 2 2 3 4 3 4 2" xfId="50486" xr:uid="{00000000-0005-0000-0000-00008C820000}"/>
    <cellStyle name="Normal 4 2 2 2 3 4 3 5" xfId="40494" xr:uid="{00000000-0005-0000-0000-00008D820000}"/>
    <cellStyle name="Normal 4 2 2 2 3 4 4" xfId="8619" xr:uid="{00000000-0005-0000-0000-00008E820000}"/>
    <cellStyle name="Normal 4 2 2 2 3 4 4 2" xfId="8620" xr:uid="{00000000-0005-0000-0000-00008F820000}"/>
    <cellStyle name="Normal 4 2 2 2 3 4 4 2 2" xfId="30429" xr:uid="{00000000-0005-0000-0000-000090820000}"/>
    <cellStyle name="Normal 4 2 2 2 3 4 4 2 2 2" xfId="62300" xr:uid="{00000000-0005-0000-0000-000091820000}"/>
    <cellStyle name="Normal 4 2 2 2 3 4 4 2 3" xfId="40499" xr:uid="{00000000-0005-0000-0000-000092820000}"/>
    <cellStyle name="Normal 4 2 2 2 3 4 4 3" xfId="22551" xr:uid="{00000000-0005-0000-0000-000093820000}"/>
    <cellStyle name="Normal 4 2 2 2 3 4 4 3 2" xfId="54422" xr:uid="{00000000-0005-0000-0000-000094820000}"/>
    <cellStyle name="Normal 4 2 2 2 3 4 4 4" xfId="40498" xr:uid="{00000000-0005-0000-0000-000095820000}"/>
    <cellStyle name="Normal 4 2 2 2 3 4 5" xfId="8621" xr:uid="{00000000-0005-0000-0000-000096820000}"/>
    <cellStyle name="Normal 4 2 2 2 3 4 5 2" xfId="26490" xr:uid="{00000000-0005-0000-0000-000097820000}"/>
    <cellStyle name="Normal 4 2 2 2 3 4 5 2 2" xfId="58361" xr:uid="{00000000-0005-0000-0000-000098820000}"/>
    <cellStyle name="Normal 4 2 2 2 3 4 5 3" xfId="40500" xr:uid="{00000000-0005-0000-0000-000099820000}"/>
    <cellStyle name="Normal 4 2 2 2 3 4 6" xfId="18612" xr:uid="{00000000-0005-0000-0000-00009A820000}"/>
    <cellStyle name="Normal 4 2 2 2 3 4 6 2" xfId="50483" xr:uid="{00000000-0005-0000-0000-00009B820000}"/>
    <cellStyle name="Normal 4 2 2 2 3 4 7" xfId="40485" xr:uid="{00000000-0005-0000-0000-00009C820000}"/>
    <cellStyle name="Normal 4 2 2 2 3 5" xfId="8622" xr:uid="{00000000-0005-0000-0000-00009D820000}"/>
    <cellStyle name="Normal 4 2 2 2 3 5 2" xfId="8623" xr:uid="{00000000-0005-0000-0000-00009E820000}"/>
    <cellStyle name="Normal 4 2 2 2 3 5 2 2" xfId="8624" xr:uid="{00000000-0005-0000-0000-00009F820000}"/>
    <cellStyle name="Normal 4 2 2 2 3 5 2 2 2" xfId="8625" xr:uid="{00000000-0005-0000-0000-0000A0820000}"/>
    <cellStyle name="Normal 4 2 2 2 3 5 2 2 2 2" xfId="30434" xr:uid="{00000000-0005-0000-0000-0000A1820000}"/>
    <cellStyle name="Normal 4 2 2 2 3 5 2 2 2 2 2" xfId="62305" xr:uid="{00000000-0005-0000-0000-0000A2820000}"/>
    <cellStyle name="Normal 4 2 2 2 3 5 2 2 2 3" xfId="40504" xr:uid="{00000000-0005-0000-0000-0000A3820000}"/>
    <cellStyle name="Normal 4 2 2 2 3 5 2 2 3" xfId="22556" xr:uid="{00000000-0005-0000-0000-0000A4820000}"/>
    <cellStyle name="Normal 4 2 2 2 3 5 2 2 3 2" xfId="54427" xr:uid="{00000000-0005-0000-0000-0000A5820000}"/>
    <cellStyle name="Normal 4 2 2 2 3 5 2 2 4" xfId="40503" xr:uid="{00000000-0005-0000-0000-0000A6820000}"/>
    <cellStyle name="Normal 4 2 2 2 3 5 2 3" xfId="8626" xr:uid="{00000000-0005-0000-0000-0000A7820000}"/>
    <cellStyle name="Normal 4 2 2 2 3 5 2 3 2" xfId="26495" xr:uid="{00000000-0005-0000-0000-0000A8820000}"/>
    <cellStyle name="Normal 4 2 2 2 3 5 2 3 2 2" xfId="58366" xr:uid="{00000000-0005-0000-0000-0000A9820000}"/>
    <cellStyle name="Normal 4 2 2 2 3 5 2 3 3" xfId="40505" xr:uid="{00000000-0005-0000-0000-0000AA820000}"/>
    <cellStyle name="Normal 4 2 2 2 3 5 2 4" xfId="18617" xr:uid="{00000000-0005-0000-0000-0000AB820000}"/>
    <cellStyle name="Normal 4 2 2 2 3 5 2 4 2" xfId="50488" xr:uid="{00000000-0005-0000-0000-0000AC820000}"/>
    <cellStyle name="Normal 4 2 2 2 3 5 2 5" xfId="40502" xr:uid="{00000000-0005-0000-0000-0000AD820000}"/>
    <cellStyle name="Normal 4 2 2 2 3 5 3" xfId="8627" xr:uid="{00000000-0005-0000-0000-0000AE820000}"/>
    <cellStyle name="Normal 4 2 2 2 3 5 3 2" xfId="8628" xr:uid="{00000000-0005-0000-0000-0000AF820000}"/>
    <cellStyle name="Normal 4 2 2 2 3 5 3 2 2" xfId="30433" xr:uid="{00000000-0005-0000-0000-0000B0820000}"/>
    <cellStyle name="Normal 4 2 2 2 3 5 3 2 2 2" xfId="62304" xr:uid="{00000000-0005-0000-0000-0000B1820000}"/>
    <cellStyle name="Normal 4 2 2 2 3 5 3 2 3" xfId="40507" xr:uid="{00000000-0005-0000-0000-0000B2820000}"/>
    <cellStyle name="Normal 4 2 2 2 3 5 3 3" xfId="22555" xr:uid="{00000000-0005-0000-0000-0000B3820000}"/>
    <cellStyle name="Normal 4 2 2 2 3 5 3 3 2" xfId="54426" xr:uid="{00000000-0005-0000-0000-0000B4820000}"/>
    <cellStyle name="Normal 4 2 2 2 3 5 3 4" xfId="40506" xr:uid="{00000000-0005-0000-0000-0000B5820000}"/>
    <cellStyle name="Normal 4 2 2 2 3 5 4" xfId="8629" xr:uid="{00000000-0005-0000-0000-0000B6820000}"/>
    <cellStyle name="Normal 4 2 2 2 3 5 4 2" xfId="26494" xr:uid="{00000000-0005-0000-0000-0000B7820000}"/>
    <cellStyle name="Normal 4 2 2 2 3 5 4 2 2" xfId="58365" xr:uid="{00000000-0005-0000-0000-0000B8820000}"/>
    <cellStyle name="Normal 4 2 2 2 3 5 4 3" xfId="40508" xr:uid="{00000000-0005-0000-0000-0000B9820000}"/>
    <cellStyle name="Normal 4 2 2 2 3 5 5" xfId="18616" xr:uid="{00000000-0005-0000-0000-0000BA820000}"/>
    <cellStyle name="Normal 4 2 2 2 3 5 5 2" xfId="50487" xr:uid="{00000000-0005-0000-0000-0000BB820000}"/>
    <cellStyle name="Normal 4 2 2 2 3 5 6" xfId="40501" xr:uid="{00000000-0005-0000-0000-0000BC820000}"/>
    <cellStyle name="Normal 4 2 2 2 3 6" xfId="8630" xr:uid="{00000000-0005-0000-0000-0000BD820000}"/>
    <cellStyle name="Normal 4 2 2 2 3 6 2" xfId="8631" xr:uid="{00000000-0005-0000-0000-0000BE820000}"/>
    <cellStyle name="Normal 4 2 2 2 3 6 2 2" xfId="8632" xr:uid="{00000000-0005-0000-0000-0000BF820000}"/>
    <cellStyle name="Normal 4 2 2 2 3 6 2 2 2" xfId="30435" xr:uid="{00000000-0005-0000-0000-0000C0820000}"/>
    <cellStyle name="Normal 4 2 2 2 3 6 2 2 2 2" xfId="62306" xr:uid="{00000000-0005-0000-0000-0000C1820000}"/>
    <cellStyle name="Normal 4 2 2 2 3 6 2 2 3" xfId="40511" xr:uid="{00000000-0005-0000-0000-0000C2820000}"/>
    <cellStyle name="Normal 4 2 2 2 3 6 2 3" xfId="22557" xr:uid="{00000000-0005-0000-0000-0000C3820000}"/>
    <cellStyle name="Normal 4 2 2 2 3 6 2 3 2" xfId="54428" xr:uid="{00000000-0005-0000-0000-0000C4820000}"/>
    <cellStyle name="Normal 4 2 2 2 3 6 2 4" xfId="40510" xr:uid="{00000000-0005-0000-0000-0000C5820000}"/>
    <cellStyle name="Normal 4 2 2 2 3 6 3" xfId="8633" xr:uid="{00000000-0005-0000-0000-0000C6820000}"/>
    <cellStyle name="Normal 4 2 2 2 3 6 3 2" xfId="26496" xr:uid="{00000000-0005-0000-0000-0000C7820000}"/>
    <cellStyle name="Normal 4 2 2 2 3 6 3 2 2" xfId="58367" xr:uid="{00000000-0005-0000-0000-0000C8820000}"/>
    <cellStyle name="Normal 4 2 2 2 3 6 3 3" xfId="40512" xr:uid="{00000000-0005-0000-0000-0000C9820000}"/>
    <cellStyle name="Normal 4 2 2 2 3 6 4" xfId="18618" xr:uid="{00000000-0005-0000-0000-0000CA820000}"/>
    <cellStyle name="Normal 4 2 2 2 3 6 4 2" xfId="50489" xr:uid="{00000000-0005-0000-0000-0000CB820000}"/>
    <cellStyle name="Normal 4 2 2 2 3 6 5" xfId="40509" xr:uid="{00000000-0005-0000-0000-0000CC820000}"/>
    <cellStyle name="Normal 4 2 2 2 3 7" xfId="8634" xr:uid="{00000000-0005-0000-0000-0000CD820000}"/>
    <cellStyle name="Normal 4 2 2 2 3 7 2" xfId="8635" xr:uid="{00000000-0005-0000-0000-0000CE820000}"/>
    <cellStyle name="Normal 4 2 2 2 3 7 2 2" xfId="28314" xr:uid="{00000000-0005-0000-0000-0000CF820000}"/>
    <cellStyle name="Normal 4 2 2 2 3 7 2 2 2" xfId="60185" xr:uid="{00000000-0005-0000-0000-0000D0820000}"/>
    <cellStyle name="Normal 4 2 2 2 3 7 2 3" xfId="40514" xr:uid="{00000000-0005-0000-0000-0000D1820000}"/>
    <cellStyle name="Normal 4 2 2 2 3 7 3" xfId="20436" xr:uid="{00000000-0005-0000-0000-0000D2820000}"/>
    <cellStyle name="Normal 4 2 2 2 3 7 3 2" xfId="52307" xr:uid="{00000000-0005-0000-0000-0000D3820000}"/>
    <cellStyle name="Normal 4 2 2 2 3 7 4" xfId="40513" xr:uid="{00000000-0005-0000-0000-0000D4820000}"/>
    <cellStyle name="Normal 4 2 2 2 3 8" xfId="8636" xr:uid="{00000000-0005-0000-0000-0000D5820000}"/>
    <cellStyle name="Normal 4 2 2 2 3 8 2" xfId="24375" xr:uid="{00000000-0005-0000-0000-0000D6820000}"/>
    <cellStyle name="Normal 4 2 2 2 3 8 2 2" xfId="56246" xr:uid="{00000000-0005-0000-0000-0000D7820000}"/>
    <cellStyle name="Normal 4 2 2 2 3 8 3" xfId="40515" xr:uid="{00000000-0005-0000-0000-0000D8820000}"/>
    <cellStyle name="Normal 4 2 2 2 3 9" xfId="16497" xr:uid="{00000000-0005-0000-0000-0000D9820000}"/>
    <cellStyle name="Normal 4 2 2 2 3 9 2" xfId="48368" xr:uid="{00000000-0005-0000-0000-0000DA820000}"/>
    <cellStyle name="Normal 4 2 2 2 4" xfId="8637" xr:uid="{00000000-0005-0000-0000-0000DB820000}"/>
    <cellStyle name="Normal 4 2 2 2 4 10" xfId="40516" xr:uid="{00000000-0005-0000-0000-0000DC820000}"/>
    <cellStyle name="Normal 4 2 2 2 4 2" xfId="8638" xr:uid="{00000000-0005-0000-0000-0000DD820000}"/>
    <cellStyle name="Normal 4 2 2 2 4 2 2" xfId="8639" xr:uid="{00000000-0005-0000-0000-0000DE820000}"/>
    <cellStyle name="Normal 4 2 2 2 4 2 2 2" xfId="8640" xr:uid="{00000000-0005-0000-0000-0000DF820000}"/>
    <cellStyle name="Normal 4 2 2 2 4 2 2 2 2" xfId="8641" xr:uid="{00000000-0005-0000-0000-0000E0820000}"/>
    <cellStyle name="Normal 4 2 2 2 4 2 2 2 2 2" xfId="8642" xr:uid="{00000000-0005-0000-0000-0000E1820000}"/>
    <cellStyle name="Normal 4 2 2 2 4 2 2 2 2 2 2" xfId="8643" xr:uid="{00000000-0005-0000-0000-0000E2820000}"/>
    <cellStyle name="Normal 4 2 2 2 4 2 2 2 2 2 2 2" xfId="8644" xr:uid="{00000000-0005-0000-0000-0000E3820000}"/>
    <cellStyle name="Normal 4 2 2 2 4 2 2 2 2 2 2 2 2" xfId="30439" xr:uid="{00000000-0005-0000-0000-0000E4820000}"/>
    <cellStyle name="Normal 4 2 2 2 4 2 2 2 2 2 2 2 2 2" xfId="62310" xr:uid="{00000000-0005-0000-0000-0000E5820000}"/>
    <cellStyle name="Normal 4 2 2 2 4 2 2 2 2 2 2 2 3" xfId="40523" xr:uid="{00000000-0005-0000-0000-0000E6820000}"/>
    <cellStyle name="Normal 4 2 2 2 4 2 2 2 2 2 2 3" xfId="22561" xr:uid="{00000000-0005-0000-0000-0000E7820000}"/>
    <cellStyle name="Normal 4 2 2 2 4 2 2 2 2 2 2 3 2" xfId="54432" xr:uid="{00000000-0005-0000-0000-0000E8820000}"/>
    <cellStyle name="Normal 4 2 2 2 4 2 2 2 2 2 2 4" xfId="40522" xr:uid="{00000000-0005-0000-0000-0000E9820000}"/>
    <cellStyle name="Normal 4 2 2 2 4 2 2 2 2 2 3" xfId="8645" xr:uid="{00000000-0005-0000-0000-0000EA820000}"/>
    <cellStyle name="Normal 4 2 2 2 4 2 2 2 2 2 3 2" xfId="26500" xr:uid="{00000000-0005-0000-0000-0000EB820000}"/>
    <cellStyle name="Normal 4 2 2 2 4 2 2 2 2 2 3 2 2" xfId="58371" xr:uid="{00000000-0005-0000-0000-0000EC820000}"/>
    <cellStyle name="Normal 4 2 2 2 4 2 2 2 2 2 3 3" xfId="40524" xr:uid="{00000000-0005-0000-0000-0000ED820000}"/>
    <cellStyle name="Normal 4 2 2 2 4 2 2 2 2 2 4" xfId="18622" xr:uid="{00000000-0005-0000-0000-0000EE820000}"/>
    <cellStyle name="Normal 4 2 2 2 4 2 2 2 2 2 4 2" xfId="50493" xr:uid="{00000000-0005-0000-0000-0000EF820000}"/>
    <cellStyle name="Normal 4 2 2 2 4 2 2 2 2 2 5" xfId="40521" xr:uid="{00000000-0005-0000-0000-0000F0820000}"/>
    <cellStyle name="Normal 4 2 2 2 4 2 2 2 2 3" xfId="8646" xr:uid="{00000000-0005-0000-0000-0000F1820000}"/>
    <cellStyle name="Normal 4 2 2 2 4 2 2 2 2 3 2" xfId="8647" xr:uid="{00000000-0005-0000-0000-0000F2820000}"/>
    <cellStyle name="Normal 4 2 2 2 4 2 2 2 2 3 2 2" xfId="30438" xr:uid="{00000000-0005-0000-0000-0000F3820000}"/>
    <cellStyle name="Normal 4 2 2 2 4 2 2 2 2 3 2 2 2" xfId="62309" xr:uid="{00000000-0005-0000-0000-0000F4820000}"/>
    <cellStyle name="Normal 4 2 2 2 4 2 2 2 2 3 2 3" xfId="40526" xr:uid="{00000000-0005-0000-0000-0000F5820000}"/>
    <cellStyle name="Normal 4 2 2 2 4 2 2 2 2 3 3" xfId="22560" xr:uid="{00000000-0005-0000-0000-0000F6820000}"/>
    <cellStyle name="Normal 4 2 2 2 4 2 2 2 2 3 3 2" xfId="54431" xr:uid="{00000000-0005-0000-0000-0000F7820000}"/>
    <cellStyle name="Normal 4 2 2 2 4 2 2 2 2 3 4" xfId="40525" xr:uid="{00000000-0005-0000-0000-0000F8820000}"/>
    <cellStyle name="Normal 4 2 2 2 4 2 2 2 2 4" xfId="8648" xr:uid="{00000000-0005-0000-0000-0000F9820000}"/>
    <cellStyle name="Normal 4 2 2 2 4 2 2 2 2 4 2" xfId="26499" xr:uid="{00000000-0005-0000-0000-0000FA820000}"/>
    <cellStyle name="Normal 4 2 2 2 4 2 2 2 2 4 2 2" xfId="58370" xr:uid="{00000000-0005-0000-0000-0000FB820000}"/>
    <cellStyle name="Normal 4 2 2 2 4 2 2 2 2 4 3" xfId="40527" xr:uid="{00000000-0005-0000-0000-0000FC820000}"/>
    <cellStyle name="Normal 4 2 2 2 4 2 2 2 2 5" xfId="18621" xr:uid="{00000000-0005-0000-0000-0000FD820000}"/>
    <cellStyle name="Normal 4 2 2 2 4 2 2 2 2 5 2" xfId="50492" xr:uid="{00000000-0005-0000-0000-0000FE820000}"/>
    <cellStyle name="Normal 4 2 2 2 4 2 2 2 2 6" xfId="40520" xr:uid="{00000000-0005-0000-0000-0000FF820000}"/>
    <cellStyle name="Normal 4 2 2 2 4 2 2 2 3" xfId="8649" xr:uid="{00000000-0005-0000-0000-000000830000}"/>
    <cellStyle name="Normal 4 2 2 2 4 2 2 2 3 2" xfId="8650" xr:uid="{00000000-0005-0000-0000-000001830000}"/>
    <cellStyle name="Normal 4 2 2 2 4 2 2 2 3 2 2" xfId="8651" xr:uid="{00000000-0005-0000-0000-000002830000}"/>
    <cellStyle name="Normal 4 2 2 2 4 2 2 2 3 2 2 2" xfId="30440" xr:uid="{00000000-0005-0000-0000-000003830000}"/>
    <cellStyle name="Normal 4 2 2 2 4 2 2 2 3 2 2 2 2" xfId="62311" xr:uid="{00000000-0005-0000-0000-000004830000}"/>
    <cellStyle name="Normal 4 2 2 2 4 2 2 2 3 2 2 3" xfId="40530" xr:uid="{00000000-0005-0000-0000-000005830000}"/>
    <cellStyle name="Normal 4 2 2 2 4 2 2 2 3 2 3" xfId="22562" xr:uid="{00000000-0005-0000-0000-000006830000}"/>
    <cellStyle name="Normal 4 2 2 2 4 2 2 2 3 2 3 2" xfId="54433" xr:uid="{00000000-0005-0000-0000-000007830000}"/>
    <cellStyle name="Normal 4 2 2 2 4 2 2 2 3 2 4" xfId="40529" xr:uid="{00000000-0005-0000-0000-000008830000}"/>
    <cellStyle name="Normal 4 2 2 2 4 2 2 2 3 3" xfId="8652" xr:uid="{00000000-0005-0000-0000-000009830000}"/>
    <cellStyle name="Normal 4 2 2 2 4 2 2 2 3 3 2" xfId="26501" xr:uid="{00000000-0005-0000-0000-00000A830000}"/>
    <cellStyle name="Normal 4 2 2 2 4 2 2 2 3 3 2 2" xfId="58372" xr:uid="{00000000-0005-0000-0000-00000B830000}"/>
    <cellStyle name="Normal 4 2 2 2 4 2 2 2 3 3 3" xfId="40531" xr:uid="{00000000-0005-0000-0000-00000C830000}"/>
    <cellStyle name="Normal 4 2 2 2 4 2 2 2 3 4" xfId="18623" xr:uid="{00000000-0005-0000-0000-00000D830000}"/>
    <cellStyle name="Normal 4 2 2 2 4 2 2 2 3 4 2" xfId="50494" xr:uid="{00000000-0005-0000-0000-00000E830000}"/>
    <cellStyle name="Normal 4 2 2 2 4 2 2 2 3 5" xfId="40528" xr:uid="{00000000-0005-0000-0000-00000F830000}"/>
    <cellStyle name="Normal 4 2 2 2 4 2 2 2 4" xfId="8653" xr:uid="{00000000-0005-0000-0000-000010830000}"/>
    <cellStyle name="Normal 4 2 2 2 4 2 2 2 4 2" xfId="8654" xr:uid="{00000000-0005-0000-0000-000011830000}"/>
    <cellStyle name="Normal 4 2 2 2 4 2 2 2 4 2 2" xfId="30437" xr:uid="{00000000-0005-0000-0000-000012830000}"/>
    <cellStyle name="Normal 4 2 2 2 4 2 2 2 4 2 2 2" xfId="62308" xr:uid="{00000000-0005-0000-0000-000013830000}"/>
    <cellStyle name="Normal 4 2 2 2 4 2 2 2 4 2 3" xfId="40533" xr:uid="{00000000-0005-0000-0000-000014830000}"/>
    <cellStyle name="Normal 4 2 2 2 4 2 2 2 4 3" xfId="22559" xr:uid="{00000000-0005-0000-0000-000015830000}"/>
    <cellStyle name="Normal 4 2 2 2 4 2 2 2 4 3 2" xfId="54430" xr:uid="{00000000-0005-0000-0000-000016830000}"/>
    <cellStyle name="Normal 4 2 2 2 4 2 2 2 4 4" xfId="40532" xr:uid="{00000000-0005-0000-0000-000017830000}"/>
    <cellStyle name="Normal 4 2 2 2 4 2 2 2 5" xfId="8655" xr:uid="{00000000-0005-0000-0000-000018830000}"/>
    <cellStyle name="Normal 4 2 2 2 4 2 2 2 5 2" xfId="26498" xr:uid="{00000000-0005-0000-0000-000019830000}"/>
    <cellStyle name="Normal 4 2 2 2 4 2 2 2 5 2 2" xfId="58369" xr:uid="{00000000-0005-0000-0000-00001A830000}"/>
    <cellStyle name="Normal 4 2 2 2 4 2 2 2 5 3" xfId="40534" xr:uid="{00000000-0005-0000-0000-00001B830000}"/>
    <cellStyle name="Normal 4 2 2 2 4 2 2 2 6" xfId="18620" xr:uid="{00000000-0005-0000-0000-00001C830000}"/>
    <cellStyle name="Normal 4 2 2 2 4 2 2 2 6 2" xfId="50491" xr:uid="{00000000-0005-0000-0000-00001D830000}"/>
    <cellStyle name="Normal 4 2 2 2 4 2 2 2 7" xfId="40519" xr:uid="{00000000-0005-0000-0000-00001E830000}"/>
    <cellStyle name="Normal 4 2 2 2 4 2 2 3" xfId="8656" xr:uid="{00000000-0005-0000-0000-00001F830000}"/>
    <cellStyle name="Normal 4 2 2 2 4 2 2 3 2" xfId="8657" xr:uid="{00000000-0005-0000-0000-000020830000}"/>
    <cellStyle name="Normal 4 2 2 2 4 2 2 3 2 2" xfId="8658" xr:uid="{00000000-0005-0000-0000-000021830000}"/>
    <cellStyle name="Normal 4 2 2 2 4 2 2 3 2 2 2" xfId="8659" xr:uid="{00000000-0005-0000-0000-000022830000}"/>
    <cellStyle name="Normal 4 2 2 2 4 2 2 3 2 2 2 2" xfId="30442" xr:uid="{00000000-0005-0000-0000-000023830000}"/>
    <cellStyle name="Normal 4 2 2 2 4 2 2 3 2 2 2 2 2" xfId="62313" xr:uid="{00000000-0005-0000-0000-000024830000}"/>
    <cellStyle name="Normal 4 2 2 2 4 2 2 3 2 2 2 3" xfId="40538" xr:uid="{00000000-0005-0000-0000-000025830000}"/>
    <cellStyle name="Normal 4 2 2 2 4 2 2 3 2 2 3" xfId="22564" xr:uid="{00000000-0005-0000-0000-000026830000}"/>
    <cellStyle name="Normal 4 2 2 2 4 2 2 3 2 2 3 2" xfId="54435" xr:uid="{00000000-0005-0000-0000-000027830000}"/>
    <cellStyle name="Normal 4 2 2 2 4 2 2 3 2 2 4" xfId="40537" xr:uid="{00000000-0005-0000-0000-000028830000}"/>
    <cellStyle name="Normal 4 2 2 2 4 2 2 3 2 3" xfId="8660" xr:uid="{00000000-0005-0000-0000-000029830000}"/>
    <cellStyle name="Normal 4 2 2 2 4 2 2 3 2 3 2" xfId="26503" xr:uid="{00000000-0005-0000-0000-00002A830000}"/>
    <cellStyle name="Normal 4 2 2 2 4 2 2 3 2 3 2 2" xfId="58374" xr:uid="{00000000-0005-0000-0000-00002B830000}"/>
    <cellStyle name="Normal 4 2 2 2 4 2 2 3 2 3 3" xfId="40539" xr:uid="{00000000-0005-0000-0000-00002C830000}"/>
    <cellStyle name="Normal 4 2 2 2 4 2 2 3 2 4" xfId="18625" xr:uid="{00000000-0005-0000-0000-00002D830000}"/>
    <cellStyle name="Normal 4 2 2 2 4 2 2 3 2 4 2" xfId="50496" xr:uid="{00000000-0005-0000-0000-00002E830000}"/>
    <cellStyle name="Normal 4 2 2 2 4 2 2 3 2 5" xfId="40536" xr:uid="{00000000-0005-0000-0000-00002F830000}"/>
    <cellStyle name="Normal 4 2 2 2 4 2 2 3 3" xfId="8661" xr:uid="{00000000-0005-0000-0000-000030830000}"/>
    <cellStyle name="Normal 4 2 2 2 4 2 2 3 3 2" xfId="8662" xr:uid="{00000000-0005-0000-0000-000031830000}"/>
    <cellStyle name="Normal 4 2 2 2 4 2 2 3 3 2 2" xfId="30441" xr:uid="{00000000-0005-0000-0000-000032830000}"/>
    <cellStyle name="Normal 4 2 2 2 4 2 2 3 3 2 2 2" xfId="62312" xr:uid="{00000000-0005-0000-0000-000033830000}"/>
    <cellStyle name="Normal 4 2 2 2 4 2 2 3 3 2 3" xfId="40541" xr:uid="{00000000-0005-0000-0000-000034830000}"/>
    <cellStyle name="Normal 4 2 2 2 4 2 2 3 3 3" xfId="22563" xr:uid="{00000000-0005-0000-0000-000035830000}"/>
    <cellStyle name="Normal 4 2 2 2 4 2 2 3 3 3 2" xfId="54434" xr:uid="{00000000-0005-0000-0000-000036830000}"/>
    <cellStyle name="Normal 4 2 2 2 4 2 2 3 3 4" xfId="40540" xr:uid="{00000000-0005-0000-0000-000037830000}"/>
    <cellStyle name="Normal 4 2 2 2 4 2 2 3 4" xfId="8663" xr:uid="{00000000-0005-0000-0000-000038830000}"/>
    <cellStyle name="Normal 4 2 2 2 4 2 2 3 4 2" xfId="26502" xr:uid="{00000000-0005-0000-0000-000039830000}"/>
    <cellStyle name="Normal 4 2 2 2 4 2 2 3 4 2 2" xfId="58373" xr:uid="{00000000-0005-0000-0000-00003A830000}"/>
    <cellStyle name="Normal 4 2 2 2 4 2 2 3 4 3" xfId="40542" xr:uid="{00000000-0005-0000-0000-00003B830000}"/>
    <cellStyle name="Normal 4 2 2 2 4 2 2 3 5" xfId="18624" xr:uid="{00000000-0005-0000-0000-00003C830000}"/>
    <cellStyle name="Normal 4 2 2 2 4 2 2 3 5 2" xfId="50495" xr:uid="{00000000-0005-0000-0000-00003D830000}"/>
    <cellStyle name="Normal 4 2 2 2 4 2 2 3 6" xfId="40535" xr:uid="{00000000-0005-0000-0000-00003E830000}"/>
    <cellStyle name="Normal 4 2 2 2 4 2 2 4" xfId="8664" xr:uid="{00000000-0005-0000-0000-00003F830000}"/>
    <cellStyle name="Normal 4 2 2 2 4 2 2 4 2" xfId="8665" xr:uid="{00000000-0005-0000-0000-000040830000}"/>
    <cellStyle name="Normal 4 2 2 2 4 2 2 4 2 2" xfId="8666" xr:uid="{00000000-0005-0000-0000-000041830000}"/>
    <cellStyle name="Normal 4 2 2 2 4 2 2 4 2 2 2" xfId="30443" xr:uid="{00000000-0005-0000-0000-000042830000}"/>
    <cellStyle name="Normal 4 2 2 2 4 2 2 4 2 2 2 2" xfId="62314" xr:uid="{00000000-0005-0000-0000-000043830000}"/>
    <cellStyle name="Normal 4 2 2 2 4 2 2 4 2 2 3" xfId="40545" xr:uid="{00000000-0005-0000-0000-000044830000}"/>
    <cellStyle name="Normal 4 2 2 2 4 2 2 4 2 3" xfId="22565" xr:uid="{00000000-0005-0000-0000-000045830000}"/>
    <cellStyle name="Normal 4 2 2 2 4 2 2 4 2 3 2" xfId="54436" xr:uid="{00000000-0005-0000-0000-000046830000}"/>
    <cellStyle name="Normal 4 2 2 2 4 2 2 4 2 4" xfId="40544" xr:uid="{00000000-0005-0000-0000-000047830000}"/>
    <cellStyle name="Normal 4 2 2 2 4 2 2 4 3" xfId="8667" xr:uid="{00000000-0005-0000-0000-000048830000}"/>
    <cellStyle name="Normal 4 2 2 2 4 2 2 4 3 2" xfId="26504" xr:uid="{00000000-0005-0000-0000-000049830000}"/>
    <cellStyle name="Normal 4 2 2 2 4 2 2 4 3 2 2" xfId="58375" xr:uid="{00000000-0005-0000-0000-00004A830000}"/>
    <cellStyle name="Normal 4 2 2 2 4 2 2 4 3 3" xfId="40546" xr:uid="{00000000-0005-0000-0000-00004B830000}"/>
    <cellStyle name="Normal 4 2 2 2 4 2 2 4 4" xfId="18626" xr:uid="{00000000-0005-0000-0000-00004C830000}"/>
    <cellStyle name="Normal 4 2 2 2 4 2 2 4 4 2" xfId="50497" xr:uid="{00000000-0005-0000-0000-00004D830000}"/>
    <cellStyle name="Normal 4 2 2 2 4 2 2 4 5" xfId="40543" xr:uid="{00000000-0005-0000-0000-00004E830000}"/>
    <cellStyle name="Normal 4 2 2 2 4 2 2 5" xfId="8668" xr:uid="{00000000-0005-0000-0000-00004F830000}"/>
    <cellStyle name="Normal 4 2 2 2 4 2 2 5 2" xfId="8669" xr:uid="{00000000-0005-0000-0000-000050830000}"/>
    <cellStyle name="Normal 4 2 2 2 4 2 2 5 2 2" xfId="30436" xr:uid="{00000000-0005-0000-0000-000051830000}"/>
    <cellStyle name="Normal 4 2 2 2 4 2 2 5 2 2 2" xfId="62307" xr:uid="{00000000-0005-0000-0000-000052830000}"/>
    <cellStyle name="Normal 4 2 2 2 4 2 2 5 2 3" xfId="40548" xr:uid="{00000000-0005-0000-0000-000053830000}"/>
    <cellStyle name="Normal 4 2 2 2 4 2 2 5 3" xfId="22558" xr:uid="{00000000-0005-0000-0000-000054830000}"/>
    <cellStyle name="Normal 4 2 2 2 4 2 2 5 3 2" xfId="54429" xr:uid="{00000000-0005-0000-0000-000055830000}"/>
    <cellStyle name="Normal 4 2 2 2 4 2 2 5 4" xfId="40547" xr:uid="{00000000-0005-0000-0000-000056830000}"/>
    <cellStyle name="Normal 4 2 2 2 4 2 2 6" xfId="8670" xr:uid="{00000000-0005-0000-0000-000057830000}"/>
    <cellStyle name="Normal 4 2 2 2 4 2 2 6 2" xfId="26497" xr:uid="{00000000-0005-0000-0000-000058830000}"/>
    <cellStyle name="Normal 4 2 2 2 4 2 2 6 2 2" xfId="58368" xr:uid="{00000000-0005-0000-0000-000059830000}"/>
    <cellStyle name="Normal 4 2 2 2 4 2 2 6 3" xfId="40549" xr:uid="{00000000-0005-0000-0000-00005A830000}"/>
    <cellStyle name="Normal 4 2 2 2 4 2 2 7" xfId="18619" xr:uid="{00000000-0005-0000-0000-00005B830000}"/>
    <cellStyle name="Normal 4 2 2 2 4 2 2 7 2" xfId="50490" xr:uid="{00000000-0005-0000-0000-00005C830000}"/>
    <cellStyle name="Normal 4 2 2 2 4 2 2 8" xfId="40518" xr:uid="{00000000-0005-0000-0000-00005D830000}"/>
    <cellStyle name="Normal 4 2 2 2 4 2 3" xfId="8671" xr:uid="{00000000-0005-0000-0000-00005E830000}"/>
    <cellStyle name="Normal 4 2 2 2 4 2 3 2" xfId="8672" xr:uid="{00000000-0005-0000-0000-00005F830000}"/>
    <cellStyle name="Normal 4 2 2 2 4 2 3 2 2" xfId="8673" xr:uid="{00000000-0005-0000-0000-000060830000}"/>
    <cellStyle name="Normal 4 2 2 2 4 2 3 2 2 2" xfId="8674" xr:uid="{00000000-0005-0000-0000-000061830000}"/>
    <cellStyle name="Normal 4 2 2 2 4 2 3 2 2 2 2" xfId="8675" xr:uid="{00000000-0005-0000-0000-000062830000}"/>
    <cellStyle name="Normal 4 2 2 2 4 2 3 2 2 2 2 2" xfId="30446" xr:uid="{00000000-0005-0000-0000-000063830000}"/>
    <cellStyle name="Normal 4 2 2 2 4 2 3 2 2 2 2 2 2" xfId="62317" xr:uid="{00000000-0005-0000-0000-000064830000}"/>
    <cellStyle name="Normal 4 2 2 2 4 2 3 2 2 2 2 3" xfId="40554" xr:uid="{00000000-0005-0000-0000-000065830000}"/>
    <cellStyle name="Normal 4 2 2 2 4 2 3 2 2 2 3" xfId="22568" xr:uid="{00000000-0005-0000-0000-000066830000}"/>
    <cellStyle name="Normal 4 2 2 2 4 2 3 2 2 2 3 2" xfId="54439" xr:uid="{00000000-0005-0000-0000-000067830000}"/>
    <cellStyle name="Normal 4 2 2 2 4 2 3 2 2 2 4" xfId="40553" xr:uid="{00000000-0005-0000-0000-000068830000}"/>
    <cellStyle name="Normal 4 2 2 2 4 2 3 2 2 3" xfId="8676" xr:uid="{00000000-0005-0000-0000-000069830000}"/>
    <cellStyle name="Normal 4 2 2 2 4 2 3 2 2 3 2" xfId="26507" xr:uid="{00000000-0005-0000-0000-00006A830000}"/>
    <cellStyle name="Normal 4 2 2 2 4 2 3 2 2 3 2 2" xfId="58378" xr:uid="{00000000-0005-0000-0000-00006B830000}"/>
    <cellStyle name="Normal 4 2 2 2 4 2 3 2 2 3 3" xfId="40555" xr:uid="{00000000-0005-0000-0000-00006C830000}"/>
    <cellStyle name="Normal 4 2 2 2 4 2 3 2 2 4" xfId="18629" xr:uid="{00000000-0005-0000-0000-00006D830000}"/>
    <cellStyle name="Normal 4 2 2 2 4 2 3 2 2 4 2" xfId="50500" xr:uid="{00000000-0005-0000-0000-00006E830000}"/>
    <cellStyle name="Normal 4 2 2 2 4 2 3 2 2 5" xfId="40552" xr:uid="{00000000-0005-0000-0000-00006F830000}"/>
    <cellStyle name="Normal 4 2 2 2 4 2 3 2 3" xfId="8677" xr:uid="{00000000-0005-0000-0000-000070830000}"/>
    <cellStyle name="Normal 4 2 2 2 4 2 3 2 3 2" xfId="8678" xr:uid="{00000000-0005-0000-0000-000071830000}"/>
    <cellStyle name="Normal 4 2 2 2 4 2 3 2 3 2 2" xfId="30445" xr:uid="{00000000-0005-0000-0000-000072830000}"/>
    <cellStyle name="Normal 4 2 2 2 4 2 3 2 3 2 2 2" xfId="62316" xr:uid="{00000000-0005-0000-0000-000073830000}"/>
    <cellStyle name="Normal 4 2 2 2 4 2 3 2 3 2 3" xfId="40557" xr:uid="{00000000-0005-0000-0000-000074830000}"/>
    <cellStyle name="Normal 4 2 2 2 4 2 3 2 3 3" xfId="22567" xr:uid="{00000000-0005-0000-0000-000075830000}"/>
    <cellStyle name="Normal 4 2 2 2 4 2 3 2 3 3 2" xfId="54438" xr:uid="{00000000-0005-0000-0000-000076830000}"/>
    <cellStyle name="Normal 4 2 2 2 4 2 3 2 3 4" xfId="40556" xr:uid="{00000000-0005-0000-0000-000077830000}"/>
    <cellStyle name="Normal 4 2 2 2 4 2 3 2 4" xfId="8679" xr:uid="{00000000-0005-0000-0000-000078830000}"/>
    <cellStyle name="Normal 4 2 2 2 4 2 3 2 4 2" xfId="26506" xr:uid="{00000000-0005-0000-0000-000079830000}"/>
    <cellStyle name="Normal 4 2 2 2 4 2 3 2 4 2 2" xfId="58377" xr:uid="{00000000-0005-0000-0000-00007A830000}"/>
    <cellStyle name="Normal 4 2 2 2 4 2 3 2 4 3" xfId="40558" xr:uid="{00000000-0005-0000-0000-00007B830000}"/>
    <cellStyle name="Normal 4 2 2 2 4 2 3 2 5" xfId="18628" xr:uid="{00000000-0005-0000-0000-00007C830000}"/>
    <cellStyle name="Normal 4 2 2 2 4 2 3 2 5 2" xfId="50499" xr:uid="{00000000-0005-0000-0000-00007D830000}"/>
    <cellStyle name="Normal 4 2 2 2 4 2 3 2 6" xfId="40551" xr:uid="{00000000-0005-0000-0000-00007E830000}"/>
    <cellStyle name="Normal 4 2 2 2 4 2 3 3" xfId="8680" xr:uid="{00000000-0005-0000-0000-00007F830000}"/>
    <cellStyle name="Normal 4 2 2 2 4 2 3 3 2" xfId="8681" xr:uid="{00000000-0005-0000-0000-000080830000}"/>
    <cellStyle name="Normal 4 2 2 2 4 2 3 3 2 2" xfId="8682" xr:uid="{00000000-0005-0000-0000-000081830000}"/>
    <cellStyle name="Normal 4 2 2 2 4 2 3 3 2 2 2" xfId="30447" xr:uid="{00000000-0005-0000-0000-000082830000}"/>
    <cellStyle name="Normal 4 2 2 2 4 2 3 3 2 2 2 2" xfId="62318" xr:uid="{00000000-0005-0000-0000-000083830000}"/>
    <cellStyle name="Normal 4 2 2 2 4 2 3 3 2 2 3" xfId="40561" xr:uid="{00000000-0005-0000-0000-000084830000}"/>
    <cellStyle name="Normal 4 2 2 2 4 2 3 3 2 3" xfId="22569" xr:uid="{00000000-0005-0000-0000-000085830000}"/>
    <cellStyle name="Normal 4 2 2 2 4 2 3 3 2 3 2" xfId="54440" xr:uid="{00000000-0005-0000-0000-000086830000}"/>
    <cellStyle name="Normal 4 2 2 2 4 2 3 3 2 4" xfId="40560" xr:uid="{00000000-0005-0000-0000-000087830000}"/>
    <cellStyle name="Normal 4 2 2 2 4 2 3 3 3" xfId="8683" xr:uid="{00000000-0005-0000-0000-000088830000}"/>
    <cellStyle name="Normal 4 2 2 2 4 2 3 3 3 2" xfId="26508" xr:uid="{00000000-0005-0000-0000-000089830000}"/>
    <cellStyle name="Normal 4 2 2 2 4 2 3 3 3 2 2" xfId="58379" xr:uid="{00000000-0005-0000-0000-00008A830000}"/>
    <cellStyle name="Normal 4 2 2 2 4 2 3 3 3 3" xfId="40562" xr:uid="{00000000-0005-0000-0000-00008B830000}"/>
    <cellStyle name="Normal 4 2 2 2 4 2 3 3 4" xfId="18630" xr:uid="{00000000-0005-0000-0000-00008C830000}"/>
    <cellStyle name="Normal 4 2 2 2 4 2 3 3 4 2" xfId="50501" xr:uid="{00000000-0005-0000-0000-00008D830000}"/>
    <cellStyle name="Normal 4 2 2 2 4 2 3 3 5" xfId="40559" xr:uid="{00000000-0005-0000-0000-00008E830000}"/>
    <cellStyle name="Normal 4 2 2 2 4 2 3 4" xfId="8684" xr:uid="{00000000-0005-0000-0000-00008F830000}"/>
    <cellStyle name="Normal 4 2 2 2 4 2 3 4 2" xfId="8685" xr:uid="{00000000-0005-0000-0000-000090830000}"/>
    <cellStyle name="Normal 4 2 2 2 4 2 3 4 2 2" xfId="30444" xr:uid="{00000000-0005-0000-0000-000091830000}"/>
    <cellStyle name="Normal 4 2 2 2 4 2 3 4 2 2 2" xfId="62315" xr:uid="{00000000-0005-0000-0000-000092830000}"/>
    <cellStyle name="Normal 4 2 2 2 4 2 3 4 2 3" xfId="40564" xr:uid="{00000000-0005-0000-0000-000093830000}"/>
    <cellStyle name="Normal 4 2 2 2 4 2 3 4 3" xfId="22566" xr:uid="{00000000-0005-0000-0000-000094830000}"/>
    <cellStyle name="Normal 4 2 2 2 4 2 3 4 3 2" xfId="54437" xr:uid="{00000000-0005-0000-0000-000095830000}"/>
    <cellStyle name="Normal 4 2 2 2 4 2 3 4 4" xfId="40563" xr:uid="{00000000-0005-0000-0000-000096830000}"/>
    <cellStyle name="Normal 4 2 2 2 4 2 3 5" xfId="8686" xr:uid="{00000000-0005-0000-0000-000097830000}"/>
    <cellStyle name="Normal 4 2 2 2 4 2 3 5 2" xfId="26505" xr:uid="{00000000-0005-0000-0000-000098830000}"/>
    <cellStyle name="Normal 4 2 2 2 4 2 3 5 2 2" xfId="58376" xr:uid="{00000000-0005-0000-0000-000099830000}"/>
    <cellStyle name="Normal 4 2 2 2 4 2 3 5 3" xfId="40565" xr:uid="{00000000-0005-0000-0000-00009A830000}"/>
    <cellStyle name="Normal 4 2 2 2 4 2 3 6" xfId="18627" xr:uid="{00000000-0005-0000-0000-00009B830000}"/>
    <cellStyle name="Normal 4 2 2 2 4 2 3 6 2" xfId="50498" xr:uid="{00000000-0005-0000-0000-00009C830000}"/>
    <cellStyle name="Normal 4 2 2 2 4 2 3 7" xfId="40550" xr:uid="{00000000-0005-0000-0000-00009D830000}"/>
    <cellStyle name="Normal 4 2 2 2 4 2 4" xfId="8687" xr:uid="{00000000-0005-0000-0000-00009E830000}"/>
    <cellStyle name="Normal 4 2 2 2 4 2 4 2" xfId="8688" xr:uid="{00000000-0005-0000-0000-00009F830000}"/>
    <cellStyle name="Normal 4 2 2 2 4 2 4 2 2" xfId="8689" xr:uid="{00000000-0005-0000-0000-0000A0830000}"/>
    <cellStyle name="Normal 4 2 2 2 4 2 4 2 2 2" xfId="8690" xr:uid="{00000000-0005-0000-0000-0000A1830000}"/>
    <cellStyle name="Normal 4 2 2 2 4 2 4 2 2 2 2" xfId="30449" xr:uid="{00000000-0005-0000-0000-0000A2830000}"/>
    <cellStyle name="Normal 4 2 2 2 4 2 4 2 2 2 2 2" xfId="62320" xr:uid="{00000000-0005-0000-0000-0000A3830000}"/>
    <cellStyle name="Normal 4 2 2 2 4 2 4 2 2 2 3" xfId="40569" xr:uid="{00000000-0005-0000-0000-0000A4830000}"/>
    <cellStyle name="Normal 4 2 2 2 4 2 4 2 2 3" xfId="22571" xr:uid="{00000000-0005-0000-0000-0000A5830000}"/>
    <cellStyle name="Normal 4 2 2 2 4 2 4 2 2 3 2" xfId="54442" xr:uid="{00000000-0005-0000-0000-0000A6830000}"/>
    <cellStyle name="Normal 4 2 2 2 4 2 4 2 2 4" xfId="40568" xr:uid="{00000000-0005-0000-0000-0000A7830000}"/>
    <cellStyle name="Normal 4 2 2 2 4 2 4 2 3" xfId="8691" xr:uid="{00000000-0005-0000-0000-0000A8830000}"/>
    <cellStyle name="Normal 4 2 2 2 4 2 4 2 3 2" xfId="26510" xr:uid="{00000000-0005-0000-0000-0000A9830000}"/>
    <cellStyle name="Normal 4 2 2 2 4 2 4 2 3 2 2" xfId="58381" xr:uid="{00000000-0005-0000-0000-0000AA830000}"/>
    <cellStyle name="Normal 4 2 2 2 4 2 4 2 3 3" xfId="40570" xr:uid="{00000000-0005-0000-0000-0000AB830000}"/>
    <cellStyle name="Normal 4 2 2 2 4 2 4 2 4" xfId="18632" xr:uid="{00000000-0005-0000-0000-0000AC830000}"/>
    <cellStyle name="Normal 4 2 2 2 4 2 4 2 4 2" xfId="50503" xr:uid="{00000000-0005-0000-0000-0000AD830000}"/>
    <cellStyle name="Normal 4 2 2 2 4 2 4 2 5" xfId="40567" xr:uid="{00000000-0005-0000-0000-0000AE830000}"/>
    <cellStyle name="Normal 4 2 2 2 4 2 4 3" xfId="8692" xr:uid="{00000000-0005-0000-0000-0000AF830000}"/>
    <cellStyle name="Normal 4 2 2 2 4 2 4 3 2" xfId="8693" xr:uid="{00000000-0005-0000-0000-0000B0830000}"/>
    <cellStyle name="Normal 4 2 2 2 4 2 4 3 2 2" xfId="30448" xr:uid="{00000000-0005-0000-0000-0000B1830000}"/>
    <cellStyle name="Normal 4 2 2 2 4 2 4 3 2 2 2" xfId="62319" xr:uid="{00000000-0005-0000-0000-0000B2830000}"/>
    <cellStyle name="Normal 4 2 2 2 4 2 4 3 2 3" xfId="40572" xr:uid="{00000000-0005-0000-0000-0000B3830000}"/>
    <cellStyle name="Normal 4 2 2 2 4 2 4 3 3" xfId="22570" xr:uid="{00000000-0005-0000-0000-0000B4830000}"/>
    <cellStyle name="Normal 4 2 2 2 4 2 4 3 3 2" xfId="54441" xr:uid="{00000000-0005-0000-0000-0000B5830000}"/>
    <cellStyle name="Normal 4 2 2 2 4 2 4 3 4" xfId="40571" xr:uid="{00000000-0005-0000-0000-0000B6830000}"/>
    <cellStyle name="Normal 4 2 2 2 4 2 4 4" xfId="8694" xr:uid="{00000000-0005-0000-0000-0000B7830000}"/>
    <cellStyle name="Normal 4 2 2 2 4 2 4 4 2" xfId="26509" xr:uid="{00000000-0005-0000-0000-0000B8830000}"/>
    <cellStyle name="Normal 4 2 2 2 4 2 4 4 2 2" xfId="58380" xr:uid="{00000000-0005-0000-0000-0000B9830000}"/>
    <cellStyle name="Normal 4 2 2 2 4 2 4 4 3" xfId="40573" xr:uid="{00000000-0005-0000-0000-0000BA830000}"/>
    <cellStyle name="Normal 4 2 2 2 4 2 4 5" xfId="18631" xr:uid="{00000000-0005-0000-0000-0000BB830000}"/>
    <cellStyle name="Normal 4 2 2 2 4 2 4 5 2" xfId="50502" xr:uid="{00000000-0005-0000-0000-0000BC830000}"/>
    <cellStyle name="Normal 4 2 2 2 4 2 4 6" xfId="40566" xr:uid="{00000000-0005-0000-0000-0000BD830000}"/>
    <cellStyle name="Normal 4 2 2 2 4 2 5" xfId="8695" xr:uid="{00000000-0005-0000-0000-0000BE830000}"/>
    <cellStyle name="Normal 4 2 2 2 4 2 5 2" xfId="8696" xr:uid="{00000000-0005-0000-0000-0000BF830000}"/>
    <cellStyle name="Normal 4 2 2 2 4 2 5 2 2" xfId="8697" xr:uid="{00000000-0005-0000-0000-0000C0830000}"/>
    <cellStyle name="Normal 4 2 2 2 4 2 5 2 2 2" xfId="30450" xr:uid="{00000000-0005-0000-0000-0000C1830000}"/>
    <cellStyle name="Normal 4 2 2 2 4 2 5 2 2 2 2" xfId="62321" xr:uid="{00000000-0005-0000-0000-0000C2830000}"/>
    <cellStyle name="Normal 4 2 2 2 4 2 5 2 2 3" xfId="40576" xr:uid="{00000000-0005-0000-0000-0000C3830000}"/>
    <cellStyle name="Normal 4 2 2 2 4 2 5 2 3" xfId="22572" xr:uid="{00000000-0005-0000-0000-0000C4830000}"/>
    <cellStyle name="Normal 4 2 2 2 4 2 5 2 3 2" xfId="54443" xr:uid="{00000000-0005-0000-0000-0000C5830000}"/>
    <cellStyle name="Normal 4 2 2 2 4 2 5 2 4" xfId="40575" xr:uid="{00000000-0005-0000-0000-0000C6830000}"/>
    <cellStyle name="Normal 4 2 2 2 4 2 5 3" xfId="8698" xr:uid="{00000000-0005-0000-0000-0000C7830000}"/>
    <cellStyle name="Normal 4 2 2 2 4 2 5 3 2" xfId="26511" xr:uid="{00000000-0005-0000-0000-0000C8830000}"/>
    <cellStyle name="Normal 4 2 2 2 4 2 5 3 2 2" xfId="58382" xr:uid="{00000000-0005-0000-0000-0000C9830000}"/>
    <cellStyle name="Normal 4 2 2 2 4 2 5 3 3" xfId="40577" xr:uid="{00000000-0005-0000-0000-0000CA830000}"/>
    <cellStyle name="Normal 4 2 2 2 4 2 5 4" xfId="18633" xr:uid="{00000000-0005-0000-0000-0000CB830000}"/>
    <cellStyle name="Normal 4 2 2 2 4 2 5 4 2" xfId="50504" xr:uid="{00000000-0005-0000-0000-0000CC830000}"/>
    <cellStyle name="Normal 4 2 2 2 4 2 5 5" xfId="40574" xr:uid="{00000000-0005-0000-0000-0000CD830000}"/>
    <cellStyle name="Normal 4 2 2 2 4 2 6" xfId="8699" xr:uid="{00000000-0005-0000-0000-0000CE830000}"/>
    <cellStyle name="Normal 4 2 2 2 4 2 6 2" xfId="8700" xr:uid="{00000000-0005-0000-0000-0000CF830000}"/>
    <cellStyle name="Normal 4 2 2 2 4 2 6 2 2" xfId="28478" xr:uid="{00000000-0005-0000-0000-0000D0830000}"/>
    <cellStyle name="Normal 4 2 2 2 4 2 6 2 2 2" xfId="60349" xr:uid="{00000000-0005-0000-0000-0000D1830000}"/>
    <cellStyle name="Normal 4 2 2 2 4 2 6 2 3" xfId="40579" xr:uid="{00000000-0005-0000-0000-0000D2830000}"/>
    <cellStyle name="Normal 4 2 2 2 4 2 6 3" xfId="20600" xr:uid="{00000000-0005-0000-0000-0000D3830000}"/>
    <cellStyle name="Normal 4 2 2 2 4 2 6 3 2" xfId="52471" xr:uid="{00000000-0005-0000-0000-0000D4830000}"/>
    <cellStyle name="Normal 4 2 2 2 4 2 6 4" xfId="40578" xr:uid="{00000000-0005-0000-0000-0000D5830000}"/>
    <cellStyle name="Normal 4 2 2 2 4 2 7" xfId="8701" xr:uid="{00000000-0005-0000-0000-0000D6830000}"/>
    <cellStyle name="Normal 4 2 2 2 4 2 7 2" xfId="24539" xr:uid="{00000000-0005-0000-0000-0000D7830000}"/>
    <cellStyle name="Normal 4 2 2 2 4 2 7 2 2" xfId="56410" xr:uid="{00000000-0005-0000-0000-0000D8830000}"/>
    <cellStyle name="Normal 4 2 2 2 4 2 7 3" xfId="40580" xr:uid="{00000000-0005-0000-0000-0000D9830000}"/>
    <cellStyle name="Normal 4 2 2 2 4 2 8" xfId="16661" xr:uid="{00000000-0005-0000-0000-0000DA830000}"/>
    <cellStyle name="Normal 4 2 2 2 4 2 8 2" xfId="48532" xr:uid="{00000000-0005-0000-0000-0000DB830000}"/>
    <cellStyle name="Normal 4 2 2 2 4 2 9" xfId="40517" xr:uid="{00000000-0005-0000-0000-0000DC830000}"/>
    <cellStyle name="Normal 4 2 2 2 4 3" xfId="8702" xr:uid="{00000000-0005-0000-0000-0000DD830000}"/>
    <cellStyle name="Normal 4 2 2 2 4 3 2" xfId="8703" xr:uid="{00000000-0005-0000-0000-0000DE830000}"/>
    <cellStyle name="Normal 4 2 2 2 4 3 2 2" xfId="8704" xr:uid="{00000000-0005-0000-0000-0000DF830000}"/>
    <cellStyle name="Normal 4 2 2 2 4 3 2 2 2" xfId="8705" xr:uid="{00000000-0005-0000-0000-0000E0830000}"/>
    <cellStyle name="Normal 4 2 2 2 4 3 2 2 2 2" xfId="8706" xr:uid="{00000000-0005-0000-0000-0000E1830000}"/>
    <cellStyle name="Normal 4 2 2 2 4 3 2 2 2 2 2" xfId="8707" xr:uid="{00000000-0005-0000-0000-0000E2830000}"/>
    <cellStyle name="Normal 4 2 2 2 4 3 2 2 2 2 2 2" xfId="30454" xr:uid="{00000000-0005-0000-0000-0000E3830000}"/>
    <cellStyle name="Normal 4 2 2 2 4 3 2 2 2 2 2 2 2" xfId="62325" xr:uid="{00000000-0005-0000-0000-0000E4830000}"/>
    <cellStyle name="Normal 4 2 2 2 4 3 2 2 2 2 2 3" xfId="40586" xr:uid="{00000000-0005-0000-0000-0000E5830000}"/>
    <cellStyle name="Normal 4 2 2 2 4 3 2 2 2 2 3" xfId="22576" xr:uid="{00000000-0005-0000-0000-0000E6830000}"/>
    <cellStyle name="Normal 4 2 2 2 4 3 2 2 2 2 3 2" xfId="54447" xr:uid="{00000000-0005-0000-0000-0000E7830000}"/>
    <cellStyle name="Normal 4 2 2 2 4 3 2 2 2 2 4" xfId="40585" xr:uid="{00000000-0005-0000-0000-0000E8830000}"/>
    <cellStyle name="Normal 4 2 2 2 4 3 2 2 2 3" xfId="8708" xr:uid="{00000000-0005-0000-0000-0000E9830000}"/>
    <cellStyle name="Normal 4 2 2 2 4 3 2 2 2 3 2" xfId="26515" xr:uid="{00000000-0005-0000-0000-0000EA830000}"/>
    <cellStyle name="Normal 4 2 2 2 4 3 2 2 2 3 2 2" xfId="58386" xr:uid="{00000000-0005-0000-0000-0000EB830000}"/>
    <cellStyle name="Normal 4 2 2 2 4 3 2 2 2 3 3" xfId="40587" xr:uid="{00000000-0005-0000-0000-0000EC830000}"/>
    <cellStyle name="Normal 4 2 2 2 4 3 2 2 2 4" xfId="18637" xr:uid="{00000000-0005-0000-0000-0000ED830000}"/>
    <cellStyle name="Normal 4 2 2 2 4 3 2 2 2 4 2" xfId="50508" xr:uid="{00000000-0005-0000-0000-0000EE830000}"/>
    <cellStyle name="Normal 4 2 2 2 4 3 2 2 2 5" xfId="40584" xr:uid="{00000000-0005-0000-0000-0000EF830000}"/>
    <cellStyle name="Normal 4 2 2 2 4 3 2 2 3" xfId="8709" xr:uid="{00000000-0005-0000-0000-0000F0830000}"/>
    <cellStyle name="Normal 4 2 2 2 4 3 2 2 3 2" xfId="8710" xr:uid="{00000000-0005-0000-0000-0000F1830000}"/>
    <cellStyle name="Normal 4 2 2 2 4 3 2 2 3 2 2" xfId="30453" xr:uid="{00000000-0005-0000-0000-0000F2830000}"/>
    <cellStyle name="Normal 4 2 2 2 4 3 2 2 3 2 2 2" xfId="62324" xr:uid="{00000000-0005-0000-0000-0000F3830000}"/>
    <cellStyle name="Normal 4 2 2 2 4 3 2 2 3 2 3" xfId="40589" xr:uid="{00000000-0005-0000-0000-0000F4830000}"/>
    <cellStyle name="Normal 4 2 2 2 4 3 2 2 3 3" xfId="22575" xr:uid="{00000000-0005-0000-0000-0000F5830000}"/>
    <cellStyle name="Normal 4 2 2 2 4 3 2 2 3 3 2" xfId="54446" xr:uid="{00000000-0005-0000-0000-0000F6830000}"/>
    <cellStyle name="Normal 4 2 2 2 4 3 2 2 3 4" xfId="40588" xr:uid="{00000000-0005-0000-0000-0000F7830000}"/>
    <cellStyle name="Normal 4 2 2 2 4 3 2 2 4" xfId="8711" xr:uid="{00000000-0005-0000-0000-0000F8830000}"/>
    <cellStyle name="Normal 4 2 2 2 4 3 2 2 4 2" xfId="26514" xr:uid="{00000000-0005-0000-0000-0000F9830000}"/>
    <cellStyle name="Normal 4 2 2 2 4 3 2 2 4 2 2" xfId="58385" xr:uid="{00000000-0005-0000-0000-0000FA830000}"/>
    <cellStyle name="Normal 4 2 2 2 4 3 2 2 4 3" xfId="40590" xr:uid="{00000000-0005-0000-0000-0000FB830000}"/>
    <cellStyle name="Normal 4 2 2 2 4 3 2 2 5" xfId="18636" xr:uid="{00000000-0005-0000-0000-0000FC830000}"/>
    <cellStyle name="Normal 4 2 2 2 4 3 2 2 5 2" xfId="50507" xr:uid="{00000000-0005-0000-0000-0000FD830000}"/>
    <cellStyle name="Normal 4 2 2 2 4 3 2 2 6" xfId="40583" xr:uid="{00000000-0005-0000-0000-0000FE830000}"/>
    <cellStyle name="Normal 4 2 2 2 4 3 2 3" xfId="8712" xr:uid="{00000000-0005-0000-0000-0000FF830000}"/>
    <cellStyle name="Normal 4 2 2 2 4 3 2 3 2" xfId="8713" xr:uid="{00000000-0005-0000-0000-000000840000}"/>
    <cellStyle name="Normal 4 2 2 2 4 3 2 3 2 2" xfId="8714" xr:uid="{00000000-0005-0000-0000-000001840000}"/>
    <cellStyle name="Normal 4 2 2 2 4 3 2 3 2 2 2" xfId="30455" xr:uid="{00000000-0005-0000-0000-000002840000}"/>
    <cellStyle name="Normal 4 2 2 2 4 3 2 3 2 2 2 2" xfId="62326" xr:uid="{00000000-0005-0000-0000-000003840000}"/>
    <cellStyle name="Normal 4 2 2 2 4 3 2 3 2 2 3" xfId="40593" xr:uid="{00000000-0005-0000-0000-000004840000}"/>
    <cellStyle name="Normal 4 2 2 2 4 3 2 3 2 3" xfId="22577" xr:uid="{00000000-0005-0000-0000-000005840000}"/>
    <cellStyle name="Normal 4 2 2 2 4 3 2 3 2 3 2" xfId="54448" xr:uid="{00000000-0005-0000-0000-000006840000}"/>
    <cellStyle name="Normal 4 2 2 2 4 3 2 3 2 4" xfId="40592" xr:uid="{00000000-0005-0000-0000-000007840000}"/>
    <cellStyle name="Normal 4 2 2 2 4 3 2 3 3" xfId="8715" xr:uid="{00000000-0005-0000-0000-000008840000}"/>
    <cellStyle name="Normal 4 2 2 2 4 3 2 3 3 2" xfId="26516" xr:uid="{00000000-0005-0000-0000-000009840000}"/>
    <cellStyle name="Normal 4 2 2 2 4 3 2 3 3 2 2" xfId="58387" xr:uid="{00000000-0005-0000-0000-00000A840000}"/>
    <cellStyle name="Normal 4 2 2 2 4 3 2 3 3 3" xfId="40594" xr:uid="{00000000-0005-0000-0000-00000B840000}"/>
    <cellStyle name="Normal 4 2 2 2 4 3 2 3 4" xfId="18638" xr:uid="{00000000-0005-0000-0000-00000C840000}"/>
    <cellStyle name="Normal 4 2 2 2 4 3 2 3 4 2" xfId="50509" xr:uid="{00000000-0005-0000-0000-00000D840000}"/>
    <cellStyle name="Normal 4 2 2 2 4 3 2 3 5" xfId="40591" xr:uid="{00000000-0005-0000-0000-00000E840000}"/>
    <cellStyle name="Normal 4 2 2 2 4 3 2 4" xfId="8716" xr:uid="{00000000-0005-0000-0000-00000F840000}"/>
    <cellStyle name="Normal 4 2 2 2 4 3 2 4 2" xfId="8717" xr:uid="{00000000-0005-0000-0000-000010840000}"/>
    <cellStyle name="Normal 4 2 2 2 4 3 2 4 2 2" xfId="30452" xr:uid="{00000000-0005-0000-0000-000011840000}"/>
    <cellStyle name="Normal 4 2 2 2 4 3 2 4 2 2 2" xfId="62323" xr:uid="{00000000-0005-0000-0000-000012840000}"/>
    <cellStyle name="Normal 4 2 2 2 4 3 2 4 2 3" xfId="40596" xr:uid="{00000000-0005-0000-0000-000013840000}"/>
    <cellStyle name="Normal 4 2 2 2 4 3 2 4 3" xfId="22574" xr:uid="{00000000-0005-0000-0000-000014840000}"/>
    <cellStyle name="Normal 4 2 2 2 4 3 2 4 3 2" xfId="54445" xr:uid="{00000000-0005-0000-0000-000015840000}"/>
    <cellStyle name="Normal 4 2 2 2 4 3 2 4 4" xfId="40595" xr:uid="{00000000-0005-0000-0000-000016840000}"/>
    <cellStyle name="Normal 4 2 2 2 4 3 2 5" xfId="8718" xr:uid="{00000000-0005-0000-0000-000017840000}"/>
    <cellStyle name="Normal 4 2 2 2 4 3 2 5 2" xfId="26513" xr:uid="{00000000-0005-0000-0000-000018840000}"/>
    <cellStyle name="Normal 4 2 2 2 4 3 2 5 2 2" xfId="58384" xr:uid="{00000000-0005-0000-0000-000019840000}"/>
    <cellStyle name="Normal 4 2 2 2 4 3 2 5 3" xfId="40597" xr:uid="{00000000-0005-0000-0000-00001A840000}"/>
    <cellStyle name="Normal 4 2 2 2 4 3 2 6" xfId="18635" xr:uid="{00000000-0005-0000-0000-00001B840000}"/>
    <cellStyle name="Normal 4 2 2 2 4 3 2 6 2" xfId="50506" xr:uid="{00000000-0005-0000-0000-00001C840000}"/>
    <cellStyle name="Normal 4 2 2 2 4 3 2 7" xfId="40582" xr:uid="{00000000-0005-0000-0000-00001D840000}"/>
    <cellStyle name="Normal 4 2 2 2 4 3 3" xfId="8719" xr:uid="{00000000-0005-0000-0000-00001E840000}"/>
    <cellStyle name="Normal 4 2 2 2 4 3 3 2" xfId="8720" xr:uid="{00000000-0005-0000-0000-00001F840000}"/>
    <cellStyle name="Normal 4 2 2 2 4 3 3 2 2" xfId="8721" xr:uid="{00000000-0005-0000-0000-000020840000}"/>
    <cellStyle name="Normal 4 2 2 2 4 3 3 2 2 2" xfId="8722" xr:uid="{00000000-0005-0000-0000-000021840000}"/>
    <cellStyle name="Normal 4 2 2 2 4 3 3 2 2 2 2" xfId="30457" xr:uid="{00000000-0005-0000-0000-000022840000}"/>
    <cellStyle name="Normal 4 2 2 2 4 3 3 2 2 2 2 2" xfId="62328" xr:uid="{00000000-0005-0000-0000-000023840000}"/>
    <cellStyle name="Normal 4 2 2 2 4 3 3 2 2 2 3" xfId="40601" xr:uid="{00000000-0005-0000-0000-000024840000}"/>
    <cellStyle name="Normal 4 2 2 2 4 3 3 2 2 3" xfId="22579" xr:uid="{00000000-0005-0000-0000-000025840000}"/>
    <cellStyle name="Normal 4 2 2 2 4 3 3 2 2 3 2" xfId="54450" xr:uid="{00000000-0005-0000-0000-000026840000}"/>
    <cellStyle name="Normal 4 2 2 2 4 3 3 2 2 4" xfId="40600" xr:uid="{00000000-0005-0000-0000-000027840000}"/>
    <cellStyle name="Normal 4 2 2 2 4 3 3 2 3" xfId="8723" xr:uid="{00000000-0005-0000-0000-000028840000}"/>
    <cellStyle name="Normal 4 2 2 2 4 3 3 2 3 2" xfId="26518" xr:uid="{00000000-0005-0000-0000-000029840000}"/>
    <cellStyle name="Normal 4 2 2 2 4 3 3 2 3 2 2" xfId="58389" xr:uid="{00000000-0005-0000-0000-00002A840000}"/>
    <cellStyle name="Normal 4 2 2 2 4 3 3 2 3 3" xfId="40602" xr:uid="{00000000-0005-0000-0000-00002B840000}"/>
    <cellStyle name="Normal 4 2 2 2 4 3 3 2 4" xfId="18640" xr:uid="{00000000-0005-0000-0000-00002C840000}"/>
    <cellStyle name="Normal 4 2 2 2 4 3 3 2 4 2" xfId="50511" xr:uid="{00000000-0005-0000-0000-00002D840000}"/>
    <cellStyle name="Normal 4 2 2 2 4 3 3 2 5" xfId="40599" xr:uid="{00000000-0005-0000-0000-00002E840000}"/>
    <cellStyle name="Normal 4 2 2 2 4 3 3 3" xfId="8724" xr:uid="{00000000-0005-0000-0000-00002F840000}"/>
    <cellStyle name="Normal 4 2 2 2 4 3 3 3 2" xfId="8725" xr:uid="{00000000-0005-0000-0000-000030840000}"/>
    <cellStyle name="Normal 4 2 2 2 4 3 3 3 2 2" xfId="30456" xr:uid="{00000000-0005-0000-0000-000031840000}"/>
    <cellStyle name="Normal 4 2 2 2 4 3 3 3 2 2 2" xfId="62327" xr:uid="{00000000-0005-0000-0000-000032840000}"/>
    <cellStyle name="Normal 4 2 2 2 4 3 3 3 2 3" xfId="40604" xr:uid="{00000000-0005-0000-0000-000033840000}"/>
    <cellStyle name="Normal 4 2 2 2 4 3 3 3 3" xfId="22578" xr:uid="{00000000-0005-0000-0000-000034840000}"/>
    <cellStyle name="Normal 4 2 2 2 4 3 3 3 3 2" xfId="54449" xr:uid="{00000000-0005-0000-0000-000035840000}"/>
    <cellStyle name="Normal 4 2 2 2 4 3 3 3 4" xfId="40603" xr:uid="{00000000-0005-0000-0000-000036840000}"/>
    <cellStyle name="Normal 4 2 2 2 4 3 3 4" xfId="8726" xr:uid="{00000000-0005-0000-0000-000037840000}"/>
    <cellStyle name="Normal 4 2 2 2 4 3 3 4 2" xfId="26517" xr:uid="{00000000-0005-0000-0000-000038840000}"/>
    <cellStyle name="Normal 4 2 2 2 4 3 3 4 2 2" xfId="58388" xr:uid="{00000000-0005-0000-0000-000039840000}"/>
    <cellStyle name="Normal 4 2 2 2 4 3 3 4 3" xfId="40605" xr:uid="{00000000-0005-0000-0000-00003A840000}"/>
    <cellStyle name="Normal 4 2 2 2 4 3 3 5" xfId="18639" xr:uid="{00000000-0005-0000-0000-00003B840000}"/>
    <cellStyle name="Normal 4 2 2 2 4 3 3 5 2" xfId="50510" xr:uid="{00000000-0005-0000-0000-00003C840000}"/>
    <cellStyle name="Normal 4 2 2 2 4 3 3 6" xfId="40598" xr:uid="{00000000-0005-0000-0000-00003D840000}"/>
    <cellStyle name="Normal 4 2 2 2 4 3 4" xfId="8727" xr:uid="{00000000-0005-0000-0000-00003E840000}"/>
    <cellStyle name="Normal 4 2 2 2 4 3 4 2" xfId="8728" xr:uid="{00000000-0005-0000-0000-00003F840000}"/>
    <cellStyle name="Normal 4 2 2 2 4 3 4 2 2" xfId="8729" xr:uid="{00000000-0005-0000-0000-000040840000}"/>
    <cellStyle name="Normal 4 2 2 2 4 3 4 2 2 2" xfId="30458" xr:uid="{00000000-0005-0000-0000-000041840000}"/>
    <cellStyle name="Normal 4 2 2 2 4 3 4 2 2 2 2" xfId="62329" xr:uid="{00000000-0005-0000-0000-000042840000}"/>
    <cellStyle name="Normal 4 2 2 2 4 3 4 2 2 3" xfId="40608" xr:uid="{00000000-0005-0000-0000-000043840000}"/>
    <cellStyle name="Normal 4 2 2 2 4 3 4 2 3" xfId="22580" xr:uid="{00000000-0005-0000-0000-000044840000}"/>
    <cellStyle name="Normal 4 2 2 2 4 3 4 2 3 2" xfId="54451" xr:uid="{00000000-0005-0000-0000-000045840000}"/>
    <cellStyle name="Normal 4 2 2 2 4 3 4 2 4" xfId="40607" xr:uid="{00000000-0005-0000-0000-000046840000}"/>
    <cellStyle name="Normal 4 2 2 2 4 3 4 3" xfId="8730" xr:uid="{00000000-0005-0000-0000-000047840000}"/>
    <cellStyle name="Normal 4 2 2 2 4 3 4 3 2" xfId="26519" xr:uid="{00000000-0005-0000-0000-000048840000}"/>
    <cellStyle name="Normal 4 2 2 2 4 3 4 3 2 2" xfId="58390" xr:uid="{00000000-0005-0000-0000-000049840000}"/>
    <cellStyle name="Normal 4 2 2 2 4 3 4 3 3" xfId="40609" xr:uid="{00000000-0005-0000-0000-00004A840000}"/>
    <cellStyle name="Normal 4 2 2 2 4 3 4 4" xfId="18641" xr:uid="{00000000-0005-0000-0000-00004B840000}"/>
    <cellStyle name="Normal 4 2 2 2 4 3 4 4 2" xfId="50512" xr:uid="{00000000-0005-0000-0000-00004C840000}"/>
    <cellStyle name="Normal 4 2 2 2 4 3 4 5" xfId="40606" xr:uid="{00000000-0005-0000-0000-00004D840000}"/>
    <cellStyle name="Normal 4 2 2 2 4 3 5" xfId="8731" xr:uid="{00000000-0005-0000-0000-00004E840000}"/>
    <cellStyle name="Normal 4 2 2 2 4 3 5 2" xfId="8732" xr:uid="{00000000-0005-0000-0000-00004F840000}"/>
    <cellStyle name="Normal 4 2 2 2 4 3 5 2 2" xfId="30451" xr:uid="{00000000-0005-0000-0000-000050840000}"/>
    <cellStyle name="Normal 4 2 2 2 4 3 5 2 2 2" xfId="62322" xr:uid="{00000000-0005-0000-0000-000051840000}"/>
    <cellStyle name="Normal 4 2 2 2 4 3 5 2 3" xfId="40611" xr:uid="{00000000-0005-0000-0000-000052840000}"/>
    <cellStyle name="Normal 4 2 2 2 4 3 5 3" xfId="22573" xr:uid="{00000000-0005-0000-0000-000053840000}"/>
    <cellStyle name="Normal 4 2 2 2 4 3 5 3 2" xfId="54444" xr:uid="{00000000-0005-0000-0000-000054840000}"/>
    <cellStyle name="Normal 4 2 2 2 4 3 5 4" xfId="40610" xr:uid="{00000000-0005-0000-0000-000055840000}"/>
    <cellStyle name="Normal 4 2 2 2 4 3 6" xfId="8733" xr:uid="{00000000-0005-0000-0000-000056840000}"/>
    <cellStyle name="Normal 4 2 2 2 4 3 6 2" xfId="26512" xr:uid="{00000000-0005-0000-0000-000057840000}"/>
    <cellStyle name="Normal 4 2 2 2 4 3 6 2 2" xfId="58383" xr:uid="{00000000-0005-0000-0000-000058840000}"/>
    <cellStyle name="Normal 4 2 2 2 4 3 6 3" xfId="40612" xr:uid="{00000000-0005-0000-0000-000059840000}"/>
    <cellStyle name="Normal 4 2 2 2 4 3 7" xfId="18634" xr:uid="{00000000-0005-0000-0000-00005A840000}"/>
    <cellStyle name="Normal 4 2 2 2 4 3 7 2" xfId="50505" xr:uid="{00000000-0005-0000-0000-00005B840000}"/>
    <cellStyle name="Normal 4 2 2 2 4 3 8" xfId="40581" xr:uid="{00000000-0005-0000-0000-00005C840000}"/>
    <cellStyle name="Normal 4 2 2 2 4 4" xfId="8734" xr:uid="{00000000-0005-0000-0000-00005D840000}"/>
    <cellStyle name="Normal 4 2 2 2 4 4 2" xfId="8735" xr:uid="{00000000-0005-0000-0000-00005E840000}"/>
    <cellStyle name="Normal 4 2 2 2 4 4 2 2" xfId="8736" xr:uid="{00000000-0005-0000-0000-00005F840000}"/>
    <cellStyle name="Normal 4 2 2 2 4 4 2 2 2" xfId="8737" xr:uid="{00000000-0005-0000-0000-000060840000}"/>
    <cellStyle name="Normal 4 2 2 2 4 4 2 2 2 2" xfId="8738" xr:uid="{00000000-0005-0000-0000-000061840000}"/>
    <cellStyle name="Normal 4 2 2 2 4 4 2 2 2 2 2" xfId="30461" xr:uid="{00000000-0005-0000-0000-000062840000}"/>
    <cellStyle name="Normal 4 2 2 2 4 4 2 2 2 2 2 2" xfId="62332" xr:uid="{00000000-0005-0000-0000-000063840000}"/>
    <cellStyle name="Normal 4 2 2 2 4 4 2 2 2 2 3" xfId="40617" xr:uid="{00000000-0005-0000-0000-000064840000}"/>
    <cellStyle name="Normal 4 2 2 2 4 4 2 2 2 3" xfId="22583" xr:uid="{00000000-0005-0000-0000-000065840000}"/>
    <cellStyle name="Normal 4 2 2 2 4 4 2 2 2 3 2" xfId="54454" xr:uid="{00000000-0005-0000-0000-000066840000}"/>
    <cellStyle name="Normal 4 2 2 2 4 4 2 2 2 4" xfId="40616" xr:uid="{00000000-0005-0000-0000-000067840000}"/>
    <cellStyle name="Normal 4 2 2 2 4 4 2 2 3" xfId="8739" xr:uid="{00000000-0005-0000-0000-000068840000}"/>
    <cellStyle name="Normal 4 2 2 2 4 4 2 2 3 2" xfId="26522" xr:uid="{00000000-0005-0000-0000-000069840000}"/>
    <cellStyle name="Normal 4 2 2 2 4 4 2 2 3 2 2" xfId="58393" xr:uid="{00000000-0005-0000-0000-00006A840000}"/>
    <cellStyle name="Normal 4 2 2 2 4 4 2 2 3 3" xfId="40618" xr:uid="{00000000-0005-0000-0000-00006B840000}"/>
    <cellStyle name="Normal 4 2 2 2 4 4 2 2 4" xfId="18644" xr:uid="{00000000-0005-0000-0000-00006C840000}"/>
    <cellStyle name="Normal 4 2 2 2 4 4 2 2 4 2" xfId="50515" xr:uid="{00000000-0005-0000-0000-00006D840000}"/>
    <cellStyle name="Normal 4 2 2 2 4 4 2 2 5" xfId="40615" xr:uid="{00000000-0005-0000-0000-00006E840000}"/>
    <cellStyle name="Normal 4 2 2 2 4 4 2 3" xfId="8740" xr:uid="{00000000-0005-0000-0000-00006F840000}"/>
    <cellStyle name="Normal 4 2 2 2 4 4 2 3 2" xfId="8741" xr:uid="{00000000-0005-0000-0000-000070840000}"/>
    <cellStyle name="Normal 4 2 2 2 4 4 2 3 2 2" xfId="30460" xr:uid="{00000000-0005-0000-0000-000071840000}"/>
    <cellStyle name="Normal 4 2 2 2 4 4 2 3 2 2 2" xfId="62331" xr:uid="{00000000-0005-0000-0000-000072840000}"/>
    <cellStyle name="Normal 4 2 2 2 4 4 2 3 2 3" xfId="40620" xr:uid="{00000000-0005-0000-0000-000073840000}"/>
    <cellStyle name="Normal 4 2 2 2 4 4 2 3 3" xfId="22582" xr:uid="{00000000-0005-0000-0000-000074840000}"/>
    <cellStyle name="Normal 4 2 2 2 4 4 2 3 3 2" xfId="54453" xr:uid="{00000000-0005-0000-0000-000075840000}"/>
    <cellStyle name="Normal 4 2 2 2 4 4 2 3 4" xfId="40619" xr:uid="{00000000-0005-0000-0000-000076840000}"/>
    <cellStyle name="Normal 4 2 2 2 4 4 2 4" xfId="8742" xr:uid="{00000000-0005-0000-0000-000077840000}"/>
    <cellStyle name="Normal 4 2 2 2 4 4 2 4 2" xfId="26521" xr:uid="{00000000-0005-0000-0000-000078840000}"/>
    <cellStyle name="Normal 4 2 2 2 4 4 2 4 2 2" xfId="58392" xr:uid="{00000000-0005-0000-0000-000079840000}"/>
    <cellStyle name="Normal 4 2 2 2 4 4 2 4 3" xfId="40621" xr:uid="{00000000-0005-0000-0000-00007A840000}"/>
    <cellStyle name="Normal 4 2 2 2 4 4 2 5" xfId="18643" xr:uid="{00000000-0005-0000-0000-00007B840000}"/>
    <cellStyle name="Normal 4 2 2 2 4 4 2 5 2" xfId="50514" xr:uid="{00000000-0005-0000-0000-00007C840000}"/>
    <cellStyle name="Normal 4 2 2 2 4 4 2 6" xfId="40614" xr:uid="{00000000-0005-0000-0000-00007D840000}"/>
    <cellStyle name="Normal 4 2 2 2 4 4 3" xfId="8743" xr:uid="{00000000-0005-0000-0000-00007E840000}"/>
    <cellStyle name="Normal 4 2 2 2 4 4 3 2" xfId="8744" xr:uid="{00000000-0005-0000-0000-00007F840000}"/>
    <cellStyle name="Normal 4 2 2 2 4 4 3 2 2" xfId="8745" xr:uid="{00000000-0005-0000-0000-000080840000}"/>
    <cellStyle name="Normal 4 2 2 2 4 4 3 2 2 2" xfId="30462" xr:uid="{00000000-0005-0000-0000-000081840000}"/>
    <cellStyle name="Normal 4 2 2 2 4 4 3 2 2 2 2" xfId="62333" xr:uid="{00000000-0005-0000-0000-000082840000}"/>
    <cellStyle name="Normal 4 2 2 2 4 4 3 2 2 3" xfId="40624" xr:uid="{00000000-0005-0000-0000-000083840000}"/>
    <cellStyle name="Normal 4 2 2 2 4 4 3 2 3" xfId="22584" xr:uid="{00000000-0005-0000-0000-000084840000}"/>
    <cellStyle name="Normal 4 2 2 2 4 4 3 2 3 2" xfId="54455" xr:uid="{00000000-0005-0000-0000-000085840000}"/>
    <cellStyle name="Normal 4 2 2 2 4 4 3 2 4" xfId="40623" xr:uid="{00000000-0005-0000-0000-000086840000}"/>
    <cellStyle name="Normal 4 2 2 2 4 4 3 3" xfId="8746" xr:uid="{00000000-0005-0000-0000-000087840000}"/>
    <cellStyle name="Normal 4 2 2 2 4 4 3 3 2" xfId="26523" xr:uid="{00000000-0005-0000-0000-000088840000}"/>
    <cellStyle name="Normal 4 2 2 2 4 4 3 3 2 2" xfId="58394" xr:uid="{00000000-0005-0000-0000-000089840000}"/>
    <cellStyle name="Normal 4 2 2 2 4 4 3 3 3" xfId="40625" xr:uid="{00000000-0005-0000-0000-00008A840000}"/>
    <cellStyle name="Normal 4 2 2 2 4 4 3 4" xfId="18645" xr:uid="{00000000-0005-0000-0000-00008B840000}"/>
    <cellStyle name="Normal 4 2 2 2 4 4 3 4 2" xfId="50516" xr:uid="{00000000-0005-0000-0000-00008C840000}"/>
    <cellStyle name="Normal 4 2 2 2 4 4 3 5" xfId="40622" xr:uid="{00000000-0005-0000-0000-00008D840000}"/>
    <cellStyle name="Normal 4 2 2 2 4 4 4" xfId="8747" xr:uid="{00000000-0005-0000-0000-00008E840000}"/>
    <cellStyle name="Normal 4 2 2 2 4 4 4 2" xfId="8748" xr:uid="{00000000-0005-0000-0000-00008F840000}"/>
    <cellStyle name="Normal 4 2 2 2 4 4 4 2 2" xfId="30459" xr:uid="{00000000-0005-0000-0000-000090840000}"/>
    <cellStyle name="Normal 4 2 2 2 4 4 4 2 2 2" xfId="62330" xr:uid="{00000000-0005-0000-0000-000091840000}"/>
    <cellStyle name="Normal 4 2 2 2 4 4 4 2 3" xfId="40627" xr:uid="{00000000-0005-0000-0000-000092840000}"/>
    <cellStyle name="Normal 4 2 2 2 4 4 4 3" xfId="22581" xr:uid="{00000000-0005-0000-0000-000093840000}"/>
    <cellStyle name="Normal 4 2 2 2 4 4 4 3 2" xfId="54452" xr:uid="{00000000-0005-0000-0000-000094840000}"/>
    <cellStyle name="Normal 4 2 2 2 4 4 4 4" xfId="40626" xr:uid="{00000000-0005-0000-0000-000095840000}"/>
    <cellStyle name="Normal 4 2 2 2 4 4 5" xfId="8749" xr:uid="{00000000-0005-0000-0000-000096840000}"/>
    <cellStyle name="Normal 4 2 2 2 4 4 5 2" xfId="26520" xr:uid="{00000000-0005-0000-0000-000097840000}"/>
    <cellStyle name="Normal 4 2 2 2 4 4 5 2 2" xfId="58391" xr:uid="{00000000-0005-0000-0000-000098840000}"/>
    <cellStyle name="Normal 4 2 2 2 4 4 5 3" xfId="40628" xr:uid="{00000000-0005-0000-0000-000099840000}"/>
    <cellStyle name="Normal 4 2 2 2 4 4 6" xfId="18642" xr:uid="{00000000-0005-0000-0000-00009A840000}"/>
    <cellStyle name="Normal 4 2 2 2 4 4 6 2" xfId="50513" xr:uid="{00000000-0005-0000-0000-00009B840000}"/>
    <cellStyle name="Normal 4 2 2 2 4 4 7" xfId="40613" xr:uid="{00000000-0005-0000-0000-00009C840000}"/>
    <cellStyle name="Normal 4 2 2 2 4 5" xfId="8750" xr:uid="{00000000-0005-0000-0000-00009D840000}"/>
    <cellStyle name="Normal 4 2 2 2 4 5 2" xfId="8751" xr:uid="{00000000-0005-0000-0000-00009E840000}"/>
    <cellStyle name="Normal 4 2 2 2 4 5 2 2" xfId="8752" xr:uid="{00000000-0005-0000-0000-00009F840000}"/>
    <cellStyle name="Normal 4 2 2 2 4 5 2 2 2" xfId="8753" xr:uid="{00000000-0005-0000-0000-0000A0840000}"/>
    <cellStyle name="Normal 4 2 2 2 4 5 2 2 2 2" xfId="30464" xr:uid="{00000000-0005-0000-0000-0000A1840000}"/>
    <cellStyle name="Normal 4 2 2 2 4 5 2 2 2 2 2" xfId="62335" xr:uid="{00000000-0005-0000-0000-0000A2840000}"/>
    <cellStyle name="Normal 4 2 2 2 4 5 2 2 2 3" xfId="40632" xr:uid="{00000000-0005-0000-0000-0000A3840000}"/>
    <cellStyle name="Normal 4 2 2 2 4 5 2 2 3" xfId="22586" xr:uid="{00000000-0005-0000-0000-0000A4840000}"/>
    <cellStyle name="Normal 4 2 2 2 4 5 2 2 3 2" xfId="54457" xr:uid="{00000000-0005-0000-0000-0000A5840000}"/>
    <cellStyle name="Normal 4 2 2 2 4 5 2 2 4" xfId="40631" xr:uid="{00000000-0005-0000-0000-0000A6840000}"/>
    <cellStyle name="Normal 4 2 2 2 4 5 2 3" xfId="8754" xr:uid="{00000000-0005-0000-0000-0000A7840000}"/>
    <cellStyle name="Normal 4 2 2 2 4 5 2 3 2" xfId="26525" xr:uid="{00000000-0005-0000-0000-0000A8840000}"/>
    <cellStyle name="Normal 4 2 2 2 4 5 2 3 2 2" xfId="58396" xr:uid="{00000000-0005-0000-0000-0000A9840000}"/>
    <cellStyle name="Normal 4 2 2 2 4 5 2 3 3" xfId="40633" xr:uid="{00000000-0005-0000-0000-0000AA840000}"/>
    <cellStyle name="Normal 4 2 2 2 4 5 2 4" xfId="18647" xr:uid="{00000000-0005-0000-0000-0000AB840000}"/>
    <cellStyle name="Normal 4 2 2 2 4 5 2 4 2" xfId="50518" xr:uid="{00000000-0005-0000-0000-0000AC840000}"/>
    <cellStyle name="Normal 4 2 2 2 4 5 2 5" xfId="40630" xr:uid="{00000000-0005-0000-0000-0000AD840000}"/>
    <cellStyle name="Normal 4 2 2 2 4 5 3" xfId="8755" xr:uid="{00000000-0005-0000-0000-0000AE840000}"/>
    <cellStyle name="Normal 4 2 2 2 4 5 3 2" xfId="8756" xr:uid="{00000000-0005-0000-0000-0000AF840000}"/>
    <cellStyle name="Normal 4 2 2 2 4 5 3 2 2" xfId="30463" xr:uid="{00000000-0005-0000-0000-0000B0840000}"/>
    <cellStyle name="Normal 4 2 2 2 4 5 3 2 2 2" xfId="62334" xr:uid="{00000000-0005-0000-0000-0000B1840000}"/>
    <cellStyle name="Normal 4 2 2 2 4 5 3 2 3" xfId="40635" xr:uid="{00000000-0005-0000-0000-0000B2840000}"/>
    <cellStyle name="Normal 4 2 2 2 4 5 3 3" xfId="22585" xr:uid="{00000000-0005-0000-0000-0000B3840000}"/>
    <cellStyle name="Normal 4 2 2 2 4 5 3 3 2" xfId="54456" xr:uid="{00000000-0005-0000-0000-0000B4840000}"/>
    <cellStyle name="Normal 4 2 2 2 4 5 3 4" xfId="40634" xr:uid="{00000000-0005-0000-0000-0000B5840000}"/>
    <cellStyle name="Normal 4 2 2 2 4 5 4" xfId="8757" xr:uid="{00000000-0005-0000-0000-0000B6840000}"/>
    <cellStyle name="Normal 4 2 2 2 4 5 4 2" xfId="26524" xr:uid="{00000000-0005-0000-0000-0000B7840000}"/>
    <cellStyle name="Normal 4 2 2 2 4 5 4 2 2" xfId="58395" xr:uid="{00000000-0005-0000-0000-0000B8840000}"/>
    <cellStyle name="Normal 4 2 2 2 4 5 4 3" xfId="40636" xr:uid="{00000000-0005-0000-0000-0000B9840000}"/>
    <cellStyle name="Normal 4 2 2 2 4 5 5" xfId="18646" xr:uid="{00000000-0005-0000-0000-0000BA840000}"/>
    <cellStyle name="Normal 4 2 2 2 4 5 5 2" xfId="50517" xr:uid="{00000000-0005-0000-0000-0000BB840000}"/>
    <cellStyle name="Normal 4 2 2 2 4 5 6" xfId="40629" xr:uid="{00000000-0005-0000-0000-0000BC840000}"/>
    <cellStyle name="Normal 4 2 2 2 4 6" xfId="8758" xr:uid="{00000000-0005-0000-0000-0000BD840000}"/>
    <cellStyle name="Normal 4 2 2 2 4 6 2" xfId="8759" xr:uid="{00000000-0005-0000-0000-0000BE840000}"/>
    <cellStyle name="Normal 4 2 2 2 4 6 2 2" xfId="8760" xr:uid="{00000000-0005-0000-0000-0000BF840000}"/>
    <cellStyle name="Normal 4 2 2 2 4 6 2 2 2" xfId="30465" xr:uid="{00000000-0005-0000-0000-0000C0840000}"/>
    <cellStyle name="Normal 4 2 2 2 4 6 2 2 2 2" xfId="62336" xr:uid="{00000000-0005-0000-0000-0000C1840000}"/>
    <cellStyle name="Normal 4 2 2 2 4 6 2 2 3" xfId="40639" xr:uid="{00000000-0005-0000-0000-0000C2840000}"/>
    <cellStyle name="Normal 4 2 2 2 4 6 2 3" xfId="22587" xr:uid="{00000000-0005-0000-0000-0000C3840000}"/>
    <cellStyle name="Normal 4 2 2 2 4 6 2 3 2" xfId="54458" xr:uid="{00000000-0005-0000-0000-0000C4840000}"/>
    <cellStyle name="Normal 4 2 2 2 4 6 2 4" xfId="40638" xr:uid="{00000000-0005-0000-0000-0000C5840000}"/>
    <cellStyle name="Normal 4 2 2 2 4 6 3" xfId="8761" xr:uid="{00000000-0005-0000-0000-0000C6840000}"/>
    <cellStyle name="Normal 4 2 2 2 4 6 3 2" xfId="26526" xr:uid="{00000000-0005-0000-0000-0000C7840000}"/>
    <cellStyle name="Normal 4 2 2 2 4 6 3 2 2" xfId="58397" xr:uid="{00000000-0005-0000-0000-0000C8840000}"/>
    <cellStyle name="Normal 4 2 2 2 4 6 3 3" xfId="40640" xr:uid="{00000000-0005-0000-0000-0000C9840000}"/>
    <cellStyle name="Normal 4 2 2 2 4 6 4" xfId="18648" xr:uid="{00000000-0005-0000-0000-0000CA840000}"/>
    <cellStyle name="Normal 4 2 2 2 4 6 4 2" xfId="50519" xr:uid="{00000000-0005-0000-0000-0000CB840000}"/>
    <cellStyle name="Normal 4 2 2 2 4 6 5" xfId="40637" xr:uid="{00000000-0005-0000-0000-0000CC840000}"/>
    <cellStyle name="Normal 4 2 2 2 4 7" xfId="8762" xr:uid="{00000000-0005-0000-0000-0000CD840000}"/>
    <cellStyle name="Normal 4 2 2 2 4 7 2" xfId="8763" xr:uid="{00000000-0005-0000-0000-0000CE840000}"/>
    <cellStyle name="Normal 4 2 2 2 4 7 2 2" xfId="28355" xr:uid="{00000000-0005-0000-0000-0000CF840000}"/>
    <cellStyle name="Normal 4 2 2 2 4 7 2 2 2" xfId="60226" xr:uid="{00000000-0005-0000-0000-0000D0840000}"/>
    <cellStyle name="Normal 4 2 2 2 4 7 2 3" xfId="40642" xr:uid="{00000000-0005-0000-0000-0000D1840000}"/>
    <cellStyle name="Normal 4 2 2 2 4 7 3" xfId="20477" xr:uid="{00000000-0005-0000-0000-0000D2840000}"/>
    <cellStyle name="Normal 4 2 2 2 4 7 3 2" xfId="52348" xr:uid="{00000000-0005-0000-0000-0000D3840000}"/>
    <cellStyle name="Normal 4 2 2 2 4 7 4" xfId="40641" xr:uid="{00000000-0005-0000-0000-0000D4840000}"/>
    <cellStyle name="Normal 4 2 2 2 4 8" xfId="8764" xr:uid="{00000000-0005-0000-0000-0000D5840000}"/>
    <cellStyle name="Normal 4 2 2 2 4 8 2" xfId="24416" xr:uid="{00000000-0005-0000-0000-0000D6840000}"/>
    <cellStyle name="Normal 4 2 2 2 4 8 2 2" xfId="56287" xr:uid="{00000000-0005-0000-0000-0000D7840000}"/>
    <cellStyle name="Normal 4 2 2 2 4 8 3" xfId="40643" xr:uid="{00000000-0005-0000-0000-0000D8840000}"/>
    <cellStyle name="Normal 4 2 2 2 4 9" xfId="16538" xr:uid="{00000000-0005-0000-0000-0000D9840000}"/>
    <cellStyle name="Normal 4 2 2 2 4 9 2" xfId="48409" xr:uid="{00000000-0005-0000-0000-0000DA840000}"/>
    <cellStyle name="Normal 4 2 2 2 5" xfId="8765" xr:uid="{00000000-0005-0000-0000-0000DB840000}"/>
    <cellStyle name="Normal 4 2 2 2 5 2" xfId="8766" xr:uid="{00000000-0005-0000-0000-0000DC840000}"/>
    <cellStyle name="Normal 4 2 2 2 5 2 2" xfId="8767" xr:uid="{00000000-0005-0000-0000-0000DD840000}"/>
    <cellStyle name="Normal 4 2 2 2 5 2 2 2" xfId="8768" xr:uid="{00000000-0005-0000-0000-0000DE840000}"/>
    <cellStyle name="Normal 4 2 2 2 5 2 2 2 2" xfId="8769" xr:uid="{00000000-0005-0000-0000-0000DF840000}"/>
    <cellStyle name="Normal 4 2 2 2 5 2 2 2 2 2" xfId="8770" xr:uid="{00000000-0005-0000-0000-0000E0840000}"/>
    <cellStyle name="Normal 4 2 2 2 5 2 2 2 2 2 2" xfId="8771" xr:uid="{00000000-0005-0000-0000-0000E1840000}"/>
    <cellStyle name="Normal 4 2 2 2 5 2 2 2 2 2 2 2" xfId="30469" xr:uid="{00000000-0005-0000-0000-0000E2840000}"/>
    <cellStyle name="Normal 4 2 2 2 5 2 2 2 2 2 2 2 2" xfId="62340" xr:uid="{00000000-0005-0000-0000-0000E3840000}"/>
    <cellStyle name="Normal 4 2 2 2 5 2 2 2 2 2 2 3" xfId="40650" xr:uid="{00000000-0005-0000-0000-0000E4840000}"/>
    <cellStyle name="Normal 4 2 2 2 5 2 2 2 2 2 3" xfId="22591" xr:uid="{00000000-0005-0000-0000-0000E5840000}"/>
    <cellStyle name="Normal 4 2 2 2 5 2 2 2 2 2 3 2" xfId="54462" xr:uid="{00000000-0005-0000-0000-0000E6840000}"/>
    <cellStyle name="Normal 4 2 2 2 5 2 2 2 2 2 4" xfId="40649" xr:uid="{00000000-0005-0000-0000-0000E7840000}"/>
    <cellStyle name="Normal 4 2 2 2 5 2 2 2 2 3" xfId="8772" xr:uid="{00000000-0005-0000-0000-0000E8840000}"/>
    <cellStyle name="Normal 4 2 2 2 5 2 2 2 2 3 2" xfId="26530" xr:uid="{00000000-0005-0000-0000-0000E9840000}"/>
    <cellStyle name="Normal 4 2 2 2 5 2 2 2 2 3 2 2" xfId="58401" xr:uid="{00000000-0005-0000-0000-0000EA840000}"/>
    <cellStyle name="Normal 4 2 2 2 5 2 2 2 2 3 3" xfId="40651" xr:uid="{00000000-0005-0000-0000-0000EB840000}"/>
    <cellStyle name="Normal 4 2 2 2 5 2 2 2 2 4" xfId="18652" xr:uid="{00000000-0005-0000-0000-0000EC840000}"/>
    <cellStyle name="Normal 4 2 2 2 5 2 2 2 2 4 2" xfId="50523" xr:uid="{00000000-0005-0000-0000-0000ED840000}"/>
    <cellStyle name="Normal 4 2 2 2 5 2 2 2 2 5" xfId="40648" xr:uid="{00000000-0005-0000-0000-0000EE840000}"/>
    <cellStyle name="Normal 4 2 2 2 5 2 2 2 3" xfId="8773" xr:uid="{00000000-0005-0000-0000-0000EF840000}"/>
    <cellStyle name="Normal 4 2 2 2 5 2 2 2 3 2" xfId="8774" xr:uid="{00000000-0005-0000-0000-0000F0840000}"/>
    <cellStyle name="Normal 4 2 2 2 5 2 2 2 3 2 2" xfId="30468" xr:uid="{00000000-0005-0000-0000-0000F1840000}"/>
    <cellStyle name="Normal 4 2 2 2 5 2 2 2 3 2 2 2" xfId="62339" xr:uid="{00000000-0005-0000-0000-0000F2840000}"/>
    <cellStyle name="Normal 4 2 2 2 5 2 2 2 3 2 3" xfId="40653" xr:uid="{00000000-0005-0000-0000-0000F3840000}"/>
    <cellStyle name="Normal 4 2 2 2 5 2 2 2 3 3" xfId="22590" xr:uid="{00000000-0005-0000-0000-0000F4840000}"/>
    <cellStyle name="Normal 4 2 2 2 5 2 2 2 3 3 2" xfId="54461" xr:uid="{00000000-0005-0000-0000-0000F5840000}"/>
    <cellStyle name="Normal 4 2 2 2 5 2 2 2 3 4" xfId="40652" xr:uid="{00000000-0005-0000-0000-0000F6840000}"/>
    <cellStyle name="Normal 4 2 2 2 5 2 2 2 4" xfId="8775" xr:uid="{00000000-0005-0000-0000-0000F7840000}"/>
    <cellStyle name="Normal 4 2 2 2 5 2 2 2 4 2" xfId="26529" xr:uid="{00000000-0005-0000-0000-0000F8840000}"/>
    <cellStyle name="Normal 4 2 2 2 5 2 2 2 4 2 2" xfId="58400" xr:uid="{00000000-0005-0000-0000-0000F9840000}"/>
    <cellStyle name="Normal 4 2 2 2 5 2 2 2 4 3" xfId="40654" xr:uid="{00000000-0005-0000-0000-0000FA840000}"/>
    <cellStyle name="Normal 4 2 2 2 5 2 2 2 5" xfId="18651" xr:uid="{00000000-0005-0000-0000-0000FB840000}"/>
    <cellStyle name="Normal 4 2 2 2 5 2 2 2 5 2" xfId="50522" xr:uid="{00000000-0005-0000-0000-0000FC840000}"/>
    <cellStyle name="Normal 4 2 2 2 5 2 2 2 6" xfId="40647" xr:uid="{00000000-0005-0000-0000-0000FD840000}"/>
    <cellStyle name="Normal 4 2 2 2 5 2 2 3" xfId="8776" xr:uid="{00000000-0005-0000-0000-0000FE840000}"/>
    <cellStyle name="Normal 4 2 2 2 5 2 2 3 2" xfId="8777" xr:uid="{00000000-0005-0000-0000-0000FF840000}"/>
    <cellStyle name="Normal 4 2 2 2 5 2 2 3 2 2" xfId="8778" xr:uid="{00000000-0005-0000-0000-000000850000}"/>
    <cellStyle name="Normal 4 2 2 2 5 2 2 3 2 2 2" xfId="30470" xr:uid="{00000000-0005-0000-0000-000001850000}"/>
    <cellStyle name="Normal 4 2 2 2 5 2 2 3 2 2 2 2" xfId="62341" xr:uid="{00000000-0005-0000-0000-000002850000}"/>
    <cellStyle name="Normal 4 2 2 2 5 2 2 3 2 2 3" xfId="40657" xr:uid="{00000000-0005-0000-0000-000003850000}"/>
    <cellStyle name="Normal 4 2 2 2 5 2 2 3 2 3" xfId="22592" xr:uid="{00000000-0005-0000-0000-000004850000}"/>
    <cellStyle name="Normal 4 2 2 2 5 2 2 3 2 3 2" xfId="54463" xr:uid="{00000000-0005-0000-0000-000005850000}"/>
    <cellStyle name="Normal 4 2 2 2 5 2 2 3 2 4" xfId="40656" xr:uid="{00000000-0005-0000-0000-000006850000}"/>
    <cellStyle name="Normal 4 2 2 2 5 2 2 3 3" xfId="8779" xr:uid="{00000000-0005-0000-0000-000007850000}"/>
    <cellStyle name="Normal 4 2 2 2 5 2 2 3 3 2" xfId="26531" xr:uid="{00000000-0005-0000-0000-000008850000}"/>
    <cellStyle name="Normal 4 2 2 2 5 2 2 3 3 2 2" xfId="58402" xr:uid="{00000000-0005-0000-0000-000009850000}"/>
    <cellStyle name="Normal 4 2 2 2 5 2 2 3 3 3" xfId="40658" xr:uid="{00000000-0005-0000-0000-00000A850000}"/>
    <cellStyle name="Normal 4 2 2 2 5 2 2 3 4" xfId="18653" xr:uid="{00000000-0005-0000-0000-00000B850000}"/>
    <cellStyle name="Normal 4 2 2 2 5 2 2 3 4 2" xfId="50524" xr:uid="{00000000-0005-0000-0000-00000C850000}"/>
    <cellStyle name="Normal 4 2 2 2 5 2 2 3 5" xfId="40655" xr:uid="{00000000-0005-0000-0000-00000D850000}"/>
    <cellStyle name="Normal 4 2 2 2 5 2 2 4" xfId="8780" xr:uid="{00000000-0005-0000-0000-00000E850000}"/>
    <cellStyle name="Normal 4 2 2 2 5 2 2 4 2" xfId="8781" xr:uid="{00000000-0005-0000-0000-00000F850000}"/>
    <cellStyle name="Normal 4 2 2 2 5 2 2 4 2 2" xfId="30467" xr:uid="{00000000-0005-0000-0000-000010850000}"/>
    <cellStyle name="Normal 4 2 2 2 5 2 2 4 2 2 2" xfId="62338" xr:uid="{00000000-0005-0000-0000-000011850000}"/>
    <cellStyle name="Normal 4 2 2 2 5 2 2 4 2 3" xfId="40660" xr:uid="{00000000-0005-0000-0000-000012850000}"/>
    <cellStyle name="Normal 4 2 2 2 5 2 2 4 3" xfId="22589" xr:uid="{00000000-0005-0000-0000-000013850000}"/>
    <cellStyle name="Normal 4 2 2 2 5 2 2 4 3 2" xfId="54460" xr:uid="{00000000-0005-0000-0000-000014850000}"/>
    <cellStyle name="Normal 4 2 2 2 5 2 2 4 4" xfId="40659" xr:uid="{00000000-0005-0000-0000-000015850000}"/>
    <cellStyle name="Normal 4 2 2 2 5 2 2 5" xfId="8782" xr:uid="{00000000-0005-0000-0000-000016850000}"/>
    <cellStyle name="Normal 4 2 2 2 5 2 2 5 2" xfId="26528" xr:uid="{00000000-0005-0000-0000-000017850000}"/>
    <cellStyle name="Normal 4 2 2 2 5 2 2 5 2 2" xfId="58399" xr:uid="{00000000-0005-0000-0000-000018850000}"/>
    <cellStyle name="Normal 4 2 2 2 5 2 2 5 3" xfId="40661" xr:uid="{00000000-0005-0000-0000-000019850000}"/>
    <cellStyle name="Normal 4 2 2 2 5 2 2 6" xfId="18650" xr:uid="{00000000-0005-0000-0000-00001A850000}"/>
    <cellStyle name="Normal 4 2 2 2 5 2 2 6 2" xfId="50521" xr:uid="{00000000-0005-0000-0000-00001B850000}"/>
    <cellStyle name="Normal 4 2 2 2 5 2 2 7" xfId="40646" xr:uid="{00000000-0005-0000-0000-00001C850000}"/>
    <cellStyle name="Normal 4 2 2 2 5 2 3" xfId="8783" xr:uid="{00000000-0005-0000-0000-00001D850000}"/>
    <cellStyle name="Normal 4 2 2 2 5 2 3 2" xfId="8784" xr:uid="{00000000-0005-0000-0000-00001E850000}"/>
    <cellStyle name="Normal 4 2 2 2 5 2 3 2 2" xfId="8785" xr:uid="{00000000-0005-0000-0000-00001F850000}"/>
    <cellStyle name="Normal 4 2 2 2 5 2 3 2 2 2" xfId="8786" xr:uid="{00000000-0005-0000-0000-000020850000}"/>
    <cellStyle name="Normal 4 2 2 2 5 2 3 2 2 2 2" xfId="30472" xr:uid="{00000000-0005-0000-0000-000021850000}"/>
    <cellStyle name="Normal 4 2 2 2 5 2 3 2 2 2 2 2" xfId="62343" xr:uid="{00000000-0005-0000-0000-000022850000}"/>
    <cellStyle name="Normal 4 2 2 2 5 2 3 2 2 2 3" xfId="40665" xr:uid="{00000000-0005-0000-0000-000023850000}"/>
    <cellStyle name="Normal 4 2 2 2 5 2 3 2 2 3" xfId="22594" xr:uid="{00000000-0005-0000-0000-000024850000}"/>
    <cellStyle name="Normal 4 2 2 2 5 2 3 2 2 3 2" xfId="54465" xr:uid="{00000000-0005-0000-0000-000025850000}"/>
    <cellStyle name="Normal 4 2 2 2 5 2 3 2 2 4" xfId="40664" xr:uid="{00000000-0005-0000-0000-000026850000}"/>
    <cellStyle name="Normal 4 2 2 2 5 2 3 2 3" xfId="8787" xr:uid="{00000000-0005-0000-0000-000027850000}"/>
    <cellStyle name="Normal 4 2 2 2 5 2 3 2 3 2" xfId="26533" xr:uid="{00000000-0005-0000-0000-000028850000}"/>
    <cellStyle name="Normal 4 2 2 2 5 2 3 2 3 2 2" xfId="58404" xr:uid="{00000000-0005-0000-0000-000029850000}"/>
    <cellStyle name="Normal 4 2 2 2 5 2 3 2 3 3" xfId="40666" xr:uid="{00000000-0005-0000-0000-00002A850000}"/>
    <cellStyle name="Normal 4 2 2 2 5 2 3 2 4" xfId="18655" xr:uid="{00000000-0005-0000-0000-00002B850000}"/>
    <cellStyle name="Normal 4 2 2 2 5 2 3 2 4 2" xfId="50526" xr:uid="{00000000-0005-0000-0000-00002C850000}"/>
    <cellStyle name="Normal 4 2 2 2 5 2 3 2 5" xfId="40663" xr:uid="{00000000-0005-0000-0000-00002D850000}"/>
    <cellStyle name="Normal 4 2 2 2 5 2 3 3" xfId="8788" xr:uid="{00000000-0005-0000-0000-00002E850000}"/>
    <cellStyle name="Normal 4 2 2 2 5 2 3 3 2" xfId="8789" xr:uid="{00000000-0005-0000-0000-00002F850000}"/>
    <cellStyle name="Normal 4 2 2 2 5 2 3 3 2 2" xfId="30471" xr:uid="{00000000-0005-0000-0000-000030850000}"/>
    <cellStyle name="Normal 4 2 2 2 5 2 3 3 2 2 2" xfId="62342" xr:uid="{00000000-0005-0000-0000-000031850000}"/>
    <cellStyle name="Normal 4 2 2 2 5 2 3 3 2 3" xfId="40668" xr:uid="{00000000-0005-0000-0000-000032850000}"/>
    <cellStyle name="Normal 4 2 2 2 5 2 3 3 3" xfId="22593" xr:uid="{00000000-0005-0000-0000-000033850000}"/>
    <cellStyle name="Normal 4 2 2 2 5 2 3 3 3 2" xfId="54464" xr:uid="{00000000-0005-0000-0000-000034850000}"/>
    <cellStyle name="Normal 4 2 2 2 5 2 3 3 4" xfId="40667" xr:uid="{00000000-0005-0000-0000-000035850000}"/>
    <cellStyle name="Normal 4 2 2 2 5 2 3 4" xfId="8790" xr:uid="{00000000-0005-0000-0000-000036850000}"/>
    <cellStyle name="Normal 4 2 2 2 5 2 3 4 2" xfId="26532" xr:uid="{00000000-0005-0000-0000-000037850000}"/>
    <cellStyle name="Normal 4 2 2 2 5 2 3 4 2 2" xfId="58403" xr:uid="{00000000-0005-0000-0000-000038850000}"/>
    <cellStyle name="Normal 4 2 2 2 5 2 3 4 3" xfId="40669" xr:uid="{00000000-0005-0000-0000-000039850000}"/>
    <cellStyle name="Normal 4 2 2 2 5 2 3 5" xfId="18654" xr:uid="{00000000-0005-0000-0000-00003A850000}"/>
    <cellStyle name="Normal 4 2 2 2 5 2 3 5 2" xfId="50525" xr:uid="{00000000-0005-0000-0000-00003B850000}"/>
    <cellStyle name="Normal 4 2 2 2 5 2 3 6" xfId="40662" xr:uid="{00000000-0005-0000-0000-00003C850000}"/>
    <cellStyle name="Normal 4 2 2 2 5 2 4" xfId="8791" xr:uid="{00000000-0005-0000-0000-00003D850000}"/>
    <cellStyle name="Normal 4 2 2 2 5 2 4 2" xfId="8792" xr:uid="{00000000-0005-0000-0000-00003E850000}"/>
    <cellStyle name="Normal 4 2 2 2 5 2 4 2 2" xfId="8793" xr:uid="{00000000-0005-0000-0000-00003F850000}"/>
    <cellStyle name="Normal 4 2 2 2 5 2 4 2 2 2" xfId="30473" xr:uid="{00000000-0005-0000-0000-000040850000}"/>
    <cellStyle name="Normal 4 2 2 2 5 2 4 2 2 2 2" xfId="62344" xr:uid="{00000000-0005-0000-0000-000041850000}"/>
    <cellStyle name="Normal 4 2 2 2 5 2 4 2 2 3" xfId="40672" xr:uid="{00000000-0005-0000-0000-000042850000}"/>
    <cellStyle name="Normal 4 2 2 2 5 2 4 2 3" xfId="22595" xr:uid="{00000000-0005-0000-0000-000043850000}"/>
    <cellStyle name="Normal 4 2 2 2 5 2 4 2 3 2" xfId="54466" xr:uid="{00000000-0005-0000-0000-000044850000}"/>
    <cellStyle name="Normal 4 2 2 2 5 2 4 2 4" xfId="40671" xr:uid="{00000000-0005-0000-0000-000045850000}"/>
    <cellStyle name="Normal 4 2 2 2 5 2 4 3" xfId="8794" xr:uid="{00000000-0005-0000-0000-000046850000}"/>
    <cellStyle name="Normal 4 2 2 2 5 2 4 3 2" xfId="26534" xr:uid="{00000000-0005-0000-0000-000047850000}"/>
    <cellStyle name="Normal 4 2 2 2 5 2 4 3 2 2" xfId="58405" xr:uid="{00000000-0005-0000-0000-000048850000}"/>
    <cellStyle name="Normal 4 2 2 2 5 2 4 3 3" xfId="40673" xr:uid="{00000000-0005-0000-0000-000049850000}"/>
    <cellStyle name="Normal 4 2 2 2 5 2 4 4" xfId="18656" xr:uid="{00000000-0005-0000-0000-00004A850000}"/>
    <cellStyle name="Normal 4 2 2 2 5 2 4 4 2" xfId="50527" xr:uid="{00000000-0005-0000-0000-00004B850000}"/>
    <cellStyle name="Normal 4 2 2 2 5 2 4 5" xfId="40670" xr:uid="{00000000-0005-0000-0000-00004C850000}"/>
    <cellStyle name="Normal 4 2 2 2 5 2 5" xfId="8795" xr:uid="{00000000-0005-0000-0000-00004D850000}"/>
    <cellStyle name="Normal 4 2 2 2 5 2 5 2" xfId="8796" xr:uid="{00000000-0005-0000-0000-00004E850000}"/>
    <cellStyle name="Normal 4 2 2 2 5 2 5 2 2" xfId="30466" xr:uid="{00000000-0005-0000-0000-00004F850000}"/>
    <cellStyle name="Normal 4 2 2 2 5 2 5 2 2 2" xfId="62337" xr:uid="{00000000-0005-0000-0000-000050850000}"/>
    <cellStyle name="Normal 4 2 2 2 5 2 5 2 3" xfId="40675" xr:uid="{00000000-0005-0000-0000-000051850000}"/>
    <cellStyle name="Normal 4 2 2 2 5 2 5 3" xfId="22588" xr:uid="{00000000-0005-0000-0000-000052850000}"/>
    <cellStyle name="Normal 4 2 2 2 5 2 5 3 2" xfId="54459" xr:uid="{00000000-0005-0000-0000-000053850000}"/>
    <cellStyle name="Normal 4 2 2 2 5 2 5 4" xfId="40674" xr:uid="{00000000-0005-0000-0000-000054850000}"/>
    <cellStyle name="Normal 4 2 2 2 5 2 6" xfId="8797" xr:uid="{00000000-0005-0000-0000-000055850000}"/>
    <cellStyle name="Normal 4 2 2 2 5 2 6 2" xfId="26527" xr:uid="{00000000-0005-0000-0000-000056850000}"/>
    <cellStyle name="Normal 4 2 2 2 5 2 6 2 2" xfId="58398" xr:uid="{00000000-0005-0000-0000-000057850000}"/>
    <cellStyle name="Normal 4 2 2 2 5 2 6 3" xfId="40676" xr:uid="{00000000-0005-0000-0000-000058850000}"/>
    <cellStyle name="Normal 4 2 2 2 5 2 7" xfId="18649" xr:uid="{00000000-0005-0000-0000-000059850000}"/>
    <cellStyle name="Normal 4 2 2 2 5 2 7 2" xfId="50520" xr:uid="{00000000-0005-0000-0000-00005A850000}"/>
    <cellStyle name="Normal 4 2 2 2 5 2 8" xfId="40645" xr:uid="{00000000-0005-0000-0000-00005B850000}"/>
    <cellStyle name="Normal 4 2 2 2 5 3" xfId="8798" xr:uid="{00000000-0005-0000-0000-00005C850000}"/>
    <cellStyle name="Normal 4 2 2 2 5 3 2" xfId="8799" xr:uid="{00000000-0005-0000-0000-00005D850000}"/>
    <cellStyle name="Normal 4 2 2 2 5 3 2 2" xfId="8800" xr:uid="{00000000-0005-0000-0000-00005E850000}"/>
    <cellStyle name="Normal 4 2 2 2 5 3 2 2 2" xfId="8801" xr:uid="{00000000-0005-0000-0000-00005F850000}"/>
    <cellStyle name="Normal 4 2 2 2 5 3 2 2 2 2" xfId="8802" xr:uid="{00000000-0005-0000-0000-000060850000}"/>
    <cellStyle name="Normal 4 2 2 2 5 3 2 2 2 2 2" xfId="30476" xr:uid="{00000000-0005-0000-0000-000061850000}"/>
    <cellStyle name="Normal 4 2 2 2 5 3 2 2 2 2 2 2" xfId="62347" xr:uid="{00000000-0005-0000-0000-000062850000}"/>
    <cellStyle name="Normal 4 2 2 2 5 3 2 2 2 2 3" xfId="40681" xr:uid="{00000000-0005-0000-0000-000063850000}"/>
    <cellStyle name="Normal 4 2 2 2 5 3 2 2 2 3" xfId="22598" xr:uid="{00000000-0005-0000-0000-000064850000}"/>
    <cellStyle name="Normal 4 2 2 2 5 3 2 2 2 3 2" xfId="54469" xr:uid="{00000000-0005-0000-0000-000065850000}"/>
    <cellStyle name="Normal 4 2 2 2 5 3 2 2 2 4" xfId="40680" xr:uid="{00000000-0005-0000-0000-000066850000}"/>
    <cellStyle name="Normal 4 2 2 2 5 3 2 2 3" xfId="8803" xr:uid="{00000000-0005-0000-0000-000067850000}"/>
    <cellStyle name="Normal 4 2 2 2 5 3 2 2 3 2" xfId="26537" xr:uid="{00000000-0005-0000-0000-000068850000}"/>
    <cellStyle name="Normal 4 2 2 2 5 3 2 2 3 2 2" xfId="58408" xr:uid="{00000000-0005-0000-0000-000069850000}"/>
    <cellStyle name="Normal 4 2 2 2 5 3 2 2 3 3" xfId="40682" xr:uid="{00000000-0005-0000-0000-00006A850000}"/>
    <cellStyle name="Normal 4 2 2 2 5 3 2 2 4" xfId="18659" xr:uid="{00000000-0005-0000-0000-00006B850000}"/>
    <cellStyle name="Normal 4 2 2 2 5 3 2 2 4 2" xfId="50530" xr:uid="{00000000-0005-0000-0000-00006C850000}"/>
    <cellStyle name="Normal 4 2 2 2 5 3 2 2 5" xfId="40679" xr:uid="{00000000-0005-0000-0000-00006D850000}"/>
    <cellStyle name="Normal 4 2 2 2 5 3 2 3" xfId="8804" xr:uid="{00000000-0005-0000-0000-00006E850000}"/>
    <cellStyle name="Normal 4 2 2 2 5 3 2 3 2" xfId="8805" xr:uid="{00000000-0005-0000-0000-00006F850000}"/>
    <cellStyle name="Normal 4 2 2 2 5 3 2 3 2 2" xfId="30475" xr:uid="{00000000-0005-0000-0000-000070850000}"/>
    <cellStyle name="Normal 4 2 2 2 5 3 2 3 2 2 2" xfId="62346" xr:uid="{00000000-0005-0000-0000-000071850000}"/>
    <cellStyle name="Normal 4 2 2 2 5 3 2 3 2 3" xfId="40684" xr:uid="{00000000-0005-0000-0000-000072850000}"/>
    <cellStyle name="Normal 4 2 2 2 5 3 2 3 3" xfId="22597" xr:uid="{00000000-0005-0000-0000-000073850000}"/>
    <cellStyle name="Normal 4 2 2 2 5 3 2 3 3 2" xfId="54468" xr:uid="{00000000-0005-0000-0000-000074850000}"/>
    <cellStyle name="Normal 4 2 2 2 5 3 2 3 4" xfId="40683" xr:uid="{00000000-0005-0000-0000-000075850000}"/>
    <cellStyle name="Normal 4 2 2 2 5 3 2 4" xfId="8806" xr:uid="{00000000-0005-0000-0000-000076850000}"/>
    <cellStyle name="Normal 4 2 2 2 5 3 2 4 2" xfId="26536" xr:uid="{00000000-0005-0000-0000-000077850000}"/>
    <cellStyle name="Normal 4 2 2 2 5 3 2 4 2 2" xfId="58407" xr:uid="{00000000-0005-0000-0000-000078850000}"/>
    <cellStyle name="Normal 4 2 2 2 5 3 2 4 3" xfId="40685" xr:uid="{00000000-0005-0000-0000-000079850000}"/>
    <cellStyle name="Normal 4 2 2 2 5 3 2 5" xfId="18658" xr:uid="{00000000-0005-0000-0000-00007A850000}"/>
    <cellStyle name="Normal 4 2 2 2 5 3 2 5 2" xfId="50529" xr:uid="{00000000-0005-0000-0000-00007B850000}"/>
    <cellStyle name="Normal 4 2 2 2 5 3 2 6" xfId="40678" xr:uid="{00000000-0005-0000-0000-00007C850000}"/>
    <cellStyle name="Normal 4 2 2 2 5 3 3" xfId="8807" xr:uid="{00000000-0005-0000-0000-00007D850000}"/>
    <cellStyle name="Normal 4 2 2 2 5 3 3 2" xfId="8808" xr:uid="{00000000-0005-0000-0000-00007E850000}"/>
    <cellStyle name="Normal 4 2 2 2 5 3 3 2 2" xfId="8809" xr:uid="{00000000-0005-0000-0000-00007F850000}"/>
    <cellStyle name="Normal 4 2 2 2 5 3 3 2 2 2" xfId="30477" xr:uid="{00000000-0005-0000-0000-000080850000}"/>
    <cellStyle name="Normal 4 2 2 2 5 3 3 2 2 2 2" xfId="62348" xr:uid="{00000000-0005-0000-0000-000081850000}"/>
    <cellStyle name="Normal 4 2 2 2 5 3 3 2 2 3" xfId="40688" xr:uid="{00000000-0005-0000-0000-000082850000}"/>
    <cellStyle name="Normal 4 2 2 2 5 3 3 2 3" xfId="22599" xr:uid="{00000000-0005-0000-0000-000083850000}"/>
    <cellStyle name="Normal 4 2 2 2 5 3 3 2 3 2" xfId="54470" xr:uid="{00000000-0005-0000-0000-000084850000}"/>
    <cellStyle name="Normal 4 2 2 2 5 3 3 2 4" xfId="40687" xr:uid="{00000000-0005-0000-0000-000085850000}"/>
    <cellStyle name="Normal 4 2 2 2 5 3 3 3" xfId="8810" xr:uid="{00000000-0005-0000-0000-000086850000}"/>
    <cellStyle name="Normal 4 2 2 2 5 3 3 3 2" xfId="26538" xr:uid="{00000000-0005-0000-0000-000087850000}"/>
    <cellStyle name="Normal 4 2 2 2 5 3 3 3 2 2" xfId="58409" xr:uid="{00000000-0005-0000-0000-000088850000}"/>
    <cellStyle name="Normal 4 2 2 2 5 3 3 3 3" xfId="40689" xr:uid="{00000000-0005-0000-0000-000089850000}"/>
    <cellStyle name="Normal 4 2 2 2 5 3 3 4" xfId="18660" xr:uid="{00000000-0005-0000-0000-00008A850000}"/>
    <cellStyle name="Normal 4 2 2 2 5 3 3 4 2" xfId="50531" xr:uid="{00000000-0005-0000-0000-00008B850000}"/>
    <cellStyle name="Normal 4 2 2 2 5 3 3 5" xfId="40686" xr:uid="{00000000-0005-0000-0000-00008C850000}"/>
    <cellStyle name="Normal 4 2 2 2 5 3 4" xfId="8811" xr:uid="{00000000-0005-0000-0000-00008D850000}"/>
    <cellStyle name="Normal 4 2 2 2 5 3 4 2" xfId="8812" xr:uid="{00000000-0005-0000-0000-00008E850000}"/>
    <cellStyle name="Normal 4 2 2 2 5 3 4 2 2" xfId="30474" xr:uid="{00000000-0005-0000-0000-00008F850000}"/>
    <cellStyle name="Normal 4 2 2 2 5 3 4 2 2 2" xfId="62345" xr:uid="{00000000-0005-0000-0000-000090850000}"/>
    <cellStyle name="Normal 4 2 2 2 5 3 4 2 3" xfId="40691" xr:uid="{00000000-0005-0000-0000-000091850000}"/>
    <cellStyle name="Normal 4 2 2 2 5 3 4 3" xfId="22596" xr:uid="{00000000-0005-0000-0000-000092850000}"/>
    <cellStyle name="Normal 4 2 2 2 5 3 4 3 2" xfId="54467" xr:uid="{00000000-0005-0000-0000-000093850000}"/>
    <cellStyle name="Normal 4 2 2 2 5 3 4 4" xfId="40690" xr:uid="{00000000-0005-0000-0000-000094850000}"/>
    <cellStyle name="Normal 4 2 2 2 5 3 5" xfId="8813" xr:uid="{00000000-0005-0000-0000-000095850000}"/>
    <cellStyle name="Normal 4 2 2 2 5 3 5 2" xfId="26535" xr:uid="{00000000-0005-0000-0000-000096850000}"/>
    <cellStyle name="Normal 4 2 2 2 5 3 5 2 2" xfId="58406" xr:uid="{00000000-0005-0000-0000-000097850000}"/>
    <cellStyle name="Normal 4 2 2 2 5 3 5 3" xfId="40692" xr:uid="{00000000-0005-0000-0000-000098850000}"/>
    <cellStyle name="Normal 4 2 2 2 5 3 6" xfId="18657" xr:uid="{00000000-0005-0000-0000-000099850000}"/>
    <cellStyle name="Normal 4 2 2 2 5 3 6 2" xfId="50528" xr:uid="{00000000-0005-0000-0000-00009A850000}"/>
    <cellStyle name="Normal 4 2 2 2 5 3 7" xfId="40677" xr:uid="{00000000-0005-0000-0000-00009B850000}"/>
    <cellStyle name="Normal 4 2 2 2 5 4" xfId="8814" xr:uid="{00000000-0005-0000-0000-00009C850000}"/>
    <cellStyle name="Normal 4 2 2 2 5 4 2" xfId="8815" xr:uid="{00000000-0005-0000-0000-00009D850000}"/>
    <cellStyle name="Normal 4 2 2 2 5 4 2 2" xfId="8816" xr:uid="{00000000-0005-0000-0000-00009E850000}"/>
    <cellStyle name="Normal 4 2 2 2 5 4 2 2 2" xfId="8817" xr:uid="{00000000-0005-0000-0000-00009F850000}"/>
    <cellStyle name="Normal 4 2 2 2 5 4 2 2 2 2" xfId="30479" xr:uid="{00000000-0005-0000-0000-0000A0850000}"/>
    <cellStyle name="Normal 4 2 2 2 5 4 2 2 2 2 2" xfId="62350" xr:uid="{00000000-0005-0000-0000-0000A1850000}"/>
    <cellStyle name="Normal 4 2 2 2 5 4 2 2 2 3" xfId="40696" xr:uid="{00000000-0005-0000-0000-0000A2850000}"/>
    <cellStyle name="Normal 4 2 2 2 5 4 2 2 3" xfId="22601" xr:uid="{00000000-0005-0000-0000-0000A3850000}"/>
    <cellStyle name="Normal 4 2 2 2 5 4 2 2 3 2" xfId="54472" xr:uid="{00000000-0005-0000-0000-0000A4850000}"/>
    <cellStyle name="Normal 4 2 2 2 5 4 2 2 4" xfId="40695" xr:uid="{00000000-0005-0000-0000-0000A5850000}"/>
    <cellStyle name="Normal 4 2 2 2 5 4 2 3" xfId="8818" xr:uid="{00000000-0005-0000-0000-0000A6850000}"/>
    <cellStyle name="Normal 4 2 2 2 5 4 2 3 2" xfId="26540" xr:uid="{00000000-0005-0000-0000-0000A7850000}"/>
    <cellStyle name="Normal 4 2 2 2 5 4 2 3 2 2" xfId="58411" xr:uid="{00000000-0005-0000-0000-0000A8850000}"/>
    <cellStyle name="Normal 4 2 2 2 5 4 2 3 3" xfId="40697" xr:uid="{00000000-0005-0000-0000-0000A9850000}"/>
    <cellStyle name="Normal 4 2 2 2 5 4 2 4" xfId="18662" xr:uid="{00000000-0005-0000-0000-0000AA850000}"/>
    <cellStyle name="Normal 4 2 2 2 5 4 2 4 2" xfId="50533" xr:uid="{00000000-0005-0000-0000-0000AB850000}"/>
    <cellStyle name="Normal 4 2 2 2 5 4 2 5" xfId="40694" xr:uid="{00000000-0005-0000-0000-0000AC850000}"/>
    <cellStyle name="Normal 4 2 2 2 5 4 3" xfId="8819" xr:uid="{00000000-0005-0000-0000-0000AD850000}"/>
    <cellStyle name="Normal 4 2 2 2 5 4 3 2" xfId="8820" xr:uid="{00000000-0005-0000-0000-0000AE850000}"/>
    <cellStyle name="Normal 4 2 2 2 5 4 3 2 2" xfId="30478" xr:uid="{00000000-0005-0000-0000-0000AF850000}"/>
    <cellStyle name="Normal 4 2 2 2 5 4 3 2 2 2" xfId="62349" xr:uid="{00000000-0005-0000-0000-0000B0850000}"/>
    <cellStyle name="Normal 4 2 2 2 5 4 3 2 3" xfId="40699" xr:uid="{00000000-0005-0000-0000-0000B1850000}"/>
    <cellStyle name="Normal 4 2 2 2 5 4 3 3" xfId="22600" xr:uid="{00000000-0005-0000-0000-0000B2850000}"/>
    <cellStyle name="Normal 4 2 2 2 5 4 3 3 2" xfId="54471" xr:uid="{00000000-0005-0000-0000-0000B3850000}"/>
    <cellStyle name="Normal 4 2 2 2 5 4 3 4" xfId="40698" xr:uid="{00000000-0005-0000-0000-0000B4850000}"/>
    <cellStyle name="Normal 4 2 2 2 5 4 4" xfId="8821" xr:uid="{00000000-0005-0000-0000-0000B5850000}"/>
    <cellStyle name="Normal 4 2 2 2 5 4 4 2" xfId="26539" xr:uid="{00000000-0005-0000-0000-0000B6850000}"/>
    <cellStyle name="Normal 4 2 2 2 5 4 4 2 2" xfId="58410" xr:uid="{00000000-0005-0000-0000-0000B7850000}"/>
    <cellStyle name="Normal 4 2 2 2 5 4 4 3" xfId="40700" xr:uid="{00000000-0005-0000-0000-0000B8850000}"/>
    <cellStyle name="Normal 4 2 2 2 5 4 5" xfId="18661" xr:uid="{00000000-0005-0000-0000-0000B9850000}"/>
    <cellStyle name="Normal 4 2 2 2 5 4 5 2" xfId="50532" xr:uid="{00000000-0005-0000-0000-0000BA850000}"/>
    <cellStyle name="Normal 4 2 2 2 5 4 6" xfId="40693" xr:uid="{00000000-0005-0000-0000-0000BB850000}"/>
    <cellStyle name="Normal 4 2 2 2 5 5" xfId="8822" xr:uid="{00000000-0005-0000-0000-0000BC850000}"/>
    <cellStyle name="Normal 4 2 2 2 5 5 2" xfId="8823" xr:uid="{00000000-0005-0000-0000-0000BD850000}"/>
    <cellStyle name="Normal 4 2 2 2 5 5 2 2" xfId="8824" xr:uid="{00000000-0005-0000-0000-0000BE850000}"/>
    <cellStyle name="Normal 4 2 2 2 5 5 2 2 2" xfId="30480" xr:uid="{00000000-0005-0000-0000-0000BF850000}"/>
    <cellStyle name="Normal 4 2 2 2 5 5 2 2 2 2" xfId="62351" xr:uid="{00000000-0005-0000-0000-0000C0850000}"/>
    <cellStyle name="Normal 4 2 2 2 5 5 2 2 3" xfId="40703" xr:uid="{00000000-0005-0000-0000-0000C1850000}"/>
    <cellStyle name="Normal 4 2 2 2 5 5 2 3" xfId="22602" xr:uid="{00000000-0005-0000-0000-0000C2850000}"/>
    <cellStyle name="Normal 4 2 2 2 5 5 2 3 2" xfId="54473" xr:uid="{00000000-0005-0000-0000-0000C3850000}"/>
    <cellStyle name="Normal 4 2 2 2 5 5 2 4" xfId="40702" xr:uid="{00000000-0005-0000-0000-0000C4850000}"/>
    <cellStyle name="Normal 4 2 2 2 5 5 3" xfId="8825" xr:uid="{00000000-0005-0000-0000-0000C5850000}"/>
    <cellStyle name="Normal 4 2 2 2 5 5 3 2" xfId="26541" xr:uid="{00000000-0005-0000-0000-0000C6850000}"/>
    <cellStyle name="Normal 4 2 2 2 5 5 3 2 2" xfId="58412" xr:uid="{00000000-0005-0000-0000-0000C7850000}"/>
    <cellStyle name="Normal 4 2 2 2 5 5 3 3" xfId="40704" xr:uid="{00000000-0005-0000-0000-0000C8850000}"/>
    <cellStyle name="Normal 4 2 2 2 5 5 4" xfId="18663" xr:uid="{00000000-0005-0000-0000-0000C9850000}"/>
    <cellStyle name="Normal 4 2 2 2 5 5 4 2" xfId="50534" xr:uid="{00000000-0005-0000-0000-0000CA850000}"/>
    <cellStyle name="Normal 4 2 2 2 5 5 5" xfId="40701" xr:uid="{00000000-0005-0000-0000-0000CB850000}"/>
    <cellStyle name="Normal 4 2 2 2 5 6" xfId="8826" xr:uid="{00000000-0005-0000-0000-0000CC850000}"/>
    <cellStyle name="Normal 4 2 2 2 5 6 2" xfId="8827" xr:uid="{00000000-0005-0000-0000-0000CD850000}"/>
    <cellStyle name="Normal 4 2 2 2 5 6 2 2" xfId="28396" xr:uid="{00000000-0005-0000-0000-0000CE850000}"/>
    <cellStyle name="Normal 4 2 2 2 5 6 2 2 2" xfId="60267" xr:uid="{00000000-0005-0000-0000-0000CF850000}"/>
    <cellStyle name="Normal 4 2 2 2 5 6 2 3" xfId="40706" xr:uid="{00000000-0005-0000-0000-0000D0850000}"/>
    <cellStyle name="Normal 4 2 2 2 5 6 3" xfId="20518" xr:uid="{00000000-0005-0000-0000-0000D1850000}"/>
    <cellStyle name="Normal 4 2 2 2 5 6 3 2" xfId="52389" xr:uid="{00000000-0005-0000-0000-0000D2850000}"/>
    <cellStyle name="Normal 4 2 2 2 5 6 4" xfId="40705" xr:uid="{00000000-0005-0000-0000-0000D3850000}"/>
    <cellStyle name="Normal 4 2 2 2 5 7" xfId="8828" xr:uid="{00000000-0005-0000-0000-0000D4850000}"/>
    <cellStyle name="Normal 4 2 2 2 5 7 2" xfId="24457" xr:uid="{00000000-0005-0000-0000-0000D5850000}"/>
    <cellStyle name="Normal 4 2 2 2 5 7 2 2" xfId="56328" xr:uid="{00000000-0005-0000-0000-0000D6850000}"/>
    <cellStyle name="Normal 4 2 2 2 5 7 3" xfId="40707" xr:uid="{00000000-0005-0000-0000-0000D7850000}"/>
    <cellStyle name="Normal 4 2 2 2 5 8" xfId="16579" xr:uid="{00000000-0005-0000-0000-0000D8850000}"/>
    <cellStyle name="Normal 4 2 2 2 5 8 2" xfId="48450" xr:uid="{00000000-0005-0000-0000-0000D9850000}"/>
    <cellStyle name="Normal 4 2 2 2 5 9" xfId="40644" xr:uid="{00000000-0005-0000-0000-0000DA850000}"/>
    <cellStyle name="Normal 4 2 2 2 6" xfId="8829" xr:uid="{00000000-0005-0000-0000-0000DB850000}"/>
    <cellStyle name="Normal 4 2 2 2 6 2" xfId="8830" xr:uid="{00000000-0005-0000-0000-0000DC850000}"/>
    <cellStyle name="Normal 4 2 2 2 6 2 2" xfId="8831" xr:uid="{00000000-0005-0000-0000-0000DD850000}"/>
    <cellStyle name="Normal 4 2 2 2 6 2 2 2" xfId="8832" xr:uid="{00000000-0005-0000-0000-0000DE850000}"/>
    <cellStyle name="Normal 4 2 2 2 6 2 2 2 2" xfId="8833" xr:uid="{00000000-0005-0000-0000-0000DF850000}"/>
    <cellStyle name="Normal 4 2 2 2 6 2 2 2 2 2" xfId="8834" xr:uid="{00000000-0005-0000-0000-0000E0850000}"/>
    <cellStyle name="Normal 4 2 2 2 6 2 2 2 2 2 2" xfId="30483" xr:uid="{00000000-0005-0000-0000-0000E1850000}"/>
    <cellStyle name="Normal 4 2 2 2 6 2 2 2 2 2 2 2" xfId="62354" xr:uid="{00000000-0005-0000-0000-0000E2850000}"/>
    <cellStyle name="Normal 4 2 2 2 6 2 2 2 2 2 3" xfId="40713" xr:uid="{00000000-0005-0000-0000-0000E3850000}"/>
    <cellStyle name="Normal 4 2 2 2 6 2 2 2 2 3" xfId="22605" xr:uid="{00000000-0005-0000-0000-0000E4850000}"/>
    <cellStyle name="Normal 4 2 2 2 6 2 2 2 2 3 2" xfId="54476" xr:uid="{00000000-0005-0000-0000-0000E5850000}"/>
    <cellStyle name="Normal 4 2 2 2 6 2 2 2 2 4" xfId="40712" xr:uid="{00000000-0005-0000-0000-0000E6850000}"/>
    <cellStyle name="Normal 4 2 2 2 6 2 2 2 3" xfId="8835" xr:uid="{00000000-0005-0000-0000-0000E7850000}"/>
    <cellStyle name="Normal 4 2 2 2 6 2 2 2 3 2" xfId="26544" xr:uid="{00000000-0005-0000-0000-0000E8850000}"/>
    <cellStyle name="Normal 4 2 2 2 6 2 2 2 3 2 2" xfId="58415" xr:uid="{00000000-0005-0000-0000-0000E9850000}"/>
    <cellStyle name="Normal 4 2 2 2 6 2 2 2 3 3" xfId="40714" xr:uid="{00000000-0005-0000-0000-0000EA850000}"/>
    <cellStyle name="Normal 4 2 2 2 6 2 2 2 4" xfId="18666" xr:uid="{00000000-0005-0000-0000-0000EB850000}"/>
    <cellStyle name="Normal 4 2 2 2 6 2 2 2 4 2" xfId="50537" xr:uid="{00000000-0005-0000-0000-0000EC850000}"/>
    <cellStyle name="Normal 4 2 2 2 6 2 2 2 5" xfId="40711" xr:uid="{00000000-0005-0000-0000-0000ED850000}"/>
    <cellStyle name="Normal 4 2 2 2 6 2 2 3" xfId="8836" xr:uid="{00000000-0005-0000-0000-0000EE850000}"/>
    <cellStyle name="Normal 4 2 2 2 6 2 2 3 2" xfId="8837" xr:uid="{00000000-0005-0000-0000-0000EF850000}"/>
    <cellStyle name="Normal 4 2 2 2 6 2 2 3 2 2" xfId="30482" xr:uid="{00000000-0005-0000-0000-0000F0850000}"/>
    <cellStyle name="Normal 4 2 2 2 6 2 2 3 2 2 2" xfId="62353" xr:uid="{00000000-0005-0000-0000-0000F1850000}"/>
    <cellStyle name="Normal 4 2 2 2 6 2 2 3 2 3" xfId="40716" xr:uid="{00000000-0005-0000-0000-0000F2850000}"/>
    <cellStyle name="Normal 4 2 2 2 6 2 2 3 3" xfId="22604" xr:uid="{00000000-0005-0000-0000-0000F3850000}"/>
    <cellStyle name="Normal 4 2 2 2 6 2 2 3 3 2" xfId="54475" xr:uid="{00000000-0005-0000-0000-0000F4850000}"/>
    <cellStyle name="Normal 4 2 2 2 6 2 2 3 4" xfId="40715" xr:uid="{00000000-0005-0000-0000-0000F5850000}"/>
    <cellStyle name="Normal 4 2 2 2 6 2 2 4" xfId="8838" xr:uid="{00000000-0005-0000-0000-0000F6850000}"/>
    <cellStyle name="Normal 4 2 2 2 6 2 2 4 2" xfId="26543" xr:uid="{00000000-0005-0000-0000-0000F7850000}"/>
    <cellStyle name="Normal 4 2 2 2 6 2 2 4 2 2" xfId="58414" xr:uid="{00000000-0005-0000-0000-0000F8850000}"/>
    <cellStyle name="Normal 4 2 2 2 6 2 2 4 3" xfId="40717" xr:uid="{00000000-0005-0000-0000-0000F9850000}"/>
    <cellStyle name="Normal 4 2 2 2 6 2 2 5" xfId="18665" xr:uid="{00000000-0005-0000-0000-0000FA850000}"/>
    <cellStyle name="Normal 4 2 2 2 6 2 2 5 2" xfId="50536" xr:uid="{00000000-0005-0000-0000-0000FB850000}"/>
    <cellStyle name="Normal 4 2 2 2 6 2 2 6" xfId="40710" xr:uid="{00000000-0005-0000-0000-0000FC850000}"/>
    <cellStyle name="Normal 4 2 2 2 6 2 3" xfId="8839" xr:uid="{00000000-0005-0000-0000-0000FD850000}"/>
    <cellStyle name="Normal 4 2 2 2 6 2 3 2" xfId="8840" xr:uid="{00000000-0005-0000-0000-0000FE850000}"/>
    <cellStyle name="Normal 4 2 2 2 6 2 3 2 2" xfId="8841" xr:uid="{00000000-0005-0000-0000-0000FF850000}"/>
    <cellStyle name="Normal 4 2 2 2 6 2 3 2 2 2" xfId="30484" xr:uid="{00000000-0005-0000-0000-000000860000}"/>
    <cellStyle name="Normal 4 2 2 2 6 2 3 2 2 2 2" xfId="62355" xr:uid="{00000000-0005-0000-0000-000001860000}"/>
    <cellStyle name="Normal 4 2 2 2 6 2 3 2 2 3" xfId="40720" xr:uid="{00000000-0005-0000-0000-000002860000}"/>
    <cellStyle name="Normal 4 2 2 2 6 2 3 2 3" xfId="22606" xr:uid="{00000000-0005-0000-0000-000003860000}"/>
    <cellStyle name="Normal 4 2 2 2 6 2 3 2 3 2" xfId="54477" xr:uid="{00000000-0005-0000-0000-000004860000}"/>
    <cellStyle name="Normal 4 2 2 2 6 2 3 2 4" xfId="40719" xr:uid="{00000000-0005-0000-0000-000005860000}"/>
    <cellStyle name="Normal 4 2 2 2 6 2 3 3" xfId="8842" xr:uid="{00000000-0005-0000-0000-000006860000}"/>
    <cellStyle name="Normal 4 2 2 2 6 2 3 3 2" xfId="26545" xr:uid="{00000000-0005-0000-0000-000007860000}"/>
    <cellStyle name="Normal 4 2 2 2 6 2 3 3 2 2" xfId="58416" xr:uid="{00000000-0005-0000-0000-000008860000}"/>
    <cellStyle name="Normal 4 2 2 2 6 2 3 3 3" xfId="40721" xr:uid="{00000000-0005-0000-0000-000009860000}"/>
    <cellStyle name="Normal 4 2 2 2 6 2 3 4" xfId="18667" xr:uid="{00000000-0005-0000-0000-00000A860000}"/>
    <cellStyle name="Normal 4 2 2 2 6 2 3 4 2" xfId="50538" xr:uid="{00000000-0005-0000-0000-00000B860000}"/>
    <cellStyle name="Normal 4 2 2 2 6 2 3 5" xfId="40718" xr:uid="{00000000-0005-0000-0000-00000C860000}"/>
    <cellStyle name="Normal 4 2 2 2 6 2 4" xfId="8843" xr:uid="{00000000-0005-0000-0000-00000D860000}"/>
    <cellStyle name="Normal 4 2 2 2 6 2 4 2" xfId="8844" xr:uid="{00000000-0005-0000-0000-00000E860000}"/>
    <cellStyle name="Normal 4 2 2 2 6 2 4 2 2" xfId="30481" xr:uid="{00000000-0005-0000-0000-00000F860000}"/>
    <cellStyle name="Normal 4 2 2 2 6 2 4 2 2 2" xfId="62352" xr:uid="{00000000-0005-0000-0000-000010860000}"/>
    <cellStyle name="Normal 4 2 2 2 6 2 4 2 3" xfId="40723" xr:uid="{00000000-0005-0000-0000-000011860000}"/>
    <cellStyle name="Normal 4 2 2 2 6 2 4 3" xfId="22603" xr:uid="{00000000-0005-0000-0000-000012860000}"/>
    <cellStyle name="Normal 4 2 2 2 6 2 4 3 2" xfId="54474" xr:uid="{00000000-0005-0000-0000-000013860000}"/>
    <cellStyle name="Normal 4 2 2 2 6 2 4 4" xfId="40722" xr:uid="{00000000-0005-0000-0000-000014860000}"/>
    <cellStyle name="Normal 4 2 2 2 6 2 5" xfId="8845" xr:uid="{00000000-0005-0000-0000-000015860000}"/>
    <cellStyle name="Normal 4 2 2 2 6 2 5 2" xfId="26542" xr:uid="{00000000-0005-0000-0000-000016860000}"/>
    <cellStyle name="Normal 4 2 2 2 6 2 5 2 2" xfId="58413" xr:uid="{00000000-0005-0000-0000-000017860000}"/>
    <cellStyle name="Normal 4 2 2 2 6 2 5 3" xfId="40724" xr:uid="{00000000-0005-0000-0000-000018860000}"/>
    <cellStyle name="Normal 4 2 2 2 6 2 6" xfId="18664" xr:uid="{00000000-0005-0000-0000-000019860000}"/>
    <cellStyle name="Normal 4 2 2 2 6 2 6 2" xfId="50535" xr:uid="{00000000-0005-0000-0000-00001A860000}"/>
    <cellStyle name="Normal 4 2 2 2 6 2 7" xfId="40709" xr:uid="{00000000-0005-0000-0000-00001B860000}"/>
    <cellStyle name="Normal 4 2 2 2 6 3" xfId="8846" xr:uid="{00000000-0005-0000-0000-00001C860000}"/>
    <cellStyle name="Normal 4 2 2 2 6 3 2" xfId="8847" xr:uid="{00000000-0005-0000-0000-00001D860000}"/>
    <cellStyle name="Normal 4 2 2 2 6 3 2 2" xfId="8848" xr:uid="{00000000-0005-0000-0000-00001E860000}"/>
    <cellStyle name="Normal 4 2 2 2 6 3 2 2 2" xfId="8849" xr:uid="{00000000-0005-0000-0000-00001F860000}"/>
    <cellStyle name="Normal 4 2 2 2 6 3 2 2 2 2" xfId="30486" xr:uid="{00000000-0005-0000-0000-000020860000}"/>
    <cellStyle name="Normal 4 2 2 2 6 3 2 2 2 2 2" xfId="62357" xr:uid="{00000000-0005-0000-0000-000021860000}"/>
    <cellStyle name="Normal 4 2 2 2 6 3 2 2 2 3" xfId="40728" xr:uid="{00000000-0005-0000-0000-000022860000}"/>
    <cellStyle name="Normal 4 2 2 2 6 3 2 2 3" xfId="22608" xr:uid="{00000000-0005-0000-0000-000023860000}"/>
    <cellStyle name="Normal 4 2 2 2 6 3 2 2 3 2" xfId="54479" xr:uid="{00000000-0005-0000-0000-000024860000}"/>
    <cellStyle name="Normal 4 2 2 2 6 3 2 2 4" xfId="40727" xr:uid="{00000000-0005-0000-0000-000025860000}"/>
    <cellStyle name="Normal 4 2 2 2 6 3 2 3" xfId="8850" xr:uid="{00000000-0005-0000-0000-000026860000}"/>
    <cellStyle name="Normal 4 2 2 2 6 3 2 3 2" xfId="26547" xr:uid="{00000000-0005-0000-0000-000027860000}"/>
    <cellStyle name="Normal 4 2 2 2 6 3 2 3 2 2" xfId="58418" xr:uid="{00000000-0005-0000-0000-000028860000}"/>
    <cellStyle name="Normal 4 2 2 2 6 3 2 3 3" xfId="40729" xr:uid="{00000000-0005-0000-0000-000029860000}"/>
    <cellStyle name="Normal 4 2 2 2 6 3 2 4" xfId="18669" xr:uid="{00000000-0005-0000-0000-00002A860000}"/>
    <cellStyle name="Normal 4 2 2 2 6 3 2 4 2" xfId="50540" xr:uid="{00000000-0005-0000-0000-00002B860000}"/>
    <cellStyle name="Normal 4 2 2 2 6 3 2 5" xfId="40726" xr:uid="{00000000-0005-0000-0000-00002C860000}"/>
    <cellStyle name="Normal 4 2 2 2 6 3 3" xfId="8851" xr:uid="{00000000-0005-0000-0000-00002D860000}"/>
    <cellStyle name="Normal 4 2 2 2 6 3 3 2" xfId="8852" xr:uid="{00000000-0005-0000-0000-00002E860000}"/>
    <cellStyle name="Normal 4 2 2 2 6 3 3 2 2" xfId="30485" xr:uid="{00000000-0005-0000-0000-00002F860000}"/>
    <cellStyle name="Normal 4 2 2 2 6 3 3 2 2 2" xfId="62356" xr:uid="{00000000-0005-0000-0000-000030860000}"/>
    <cellStyle name="Normal 4 2 2 2 6 3 3 2 3" xfId="40731" xr:uid="{00000000-0005-0000-0000-000031860000}"/>
    <cellStyle name="Normal 4 2 2 2 6 3 3 3" xfId="22607" xr:uid="{00000000-0005-0000-0000-000032860000}"/>
    <cellStyle name="Normal 4 2 2 2 6 3 3 3 2" xfId="54478" xr:uid="{00000000-0005-0000-0000-000033860000}"/>
    <cellStyle name="Normal 4 2 2 2 6 3 3 4" xfId="40730" xr:uid="{00000000-0005-0000-0000-000034860000}"/>
    <cellStyle name="Normal 4 2 2 2 6 3 4" xfId="8853" xr:uid="{00000000-0005-0000-0000-000035860000}"/>
    <cellStyle name="Normal 4 2 2 2 6 3 4 2" xfId="26546" xr:uid="{00000000-0005-0000-0000-000036860000}"/>
    <cellStyle name="Normal 4 2 2 2 6 3 4 2 2" xfId="58417" xr:uid="{00000000-0005-0000-0000-000037860000}"/>
    <cellStyle name="Normal 4 2 2 2 6 3 4 3" xfId="40732" xr:uid="{00000000-0005-0000-0000-000038860000}"/>
    <cellStyle name="Normal 4 2 2 2 6 3 5" xfId="18668" xr:uid="{00000000-0005-0000-0000-000039860000}"/>
    <cellStyle name="Normal 4 2 2 2 6 3 5 2" xfId="50539" xr:uid="{00000000-0005-0000-0000-00003A860000}"/>
    <cellStyle name="Normal 4 2 2 2 6 3 6" xfId="40725" xr:uid="{00000000-0005-0000-0000-00003B860000}"/>
    <cellStyle name="Normal 4 2 2 2 6 4" xfId="8854" xr:uid="{00000000-0005-0000-0000-00003C860000}"/>
    <cellStyle name="Normal 4 2 2 2 6 4 2" xfId="8855" xr:uid="{00000000-0005-0000-0000-00003D860000}"/>
    <cellStyle name="Normal 4 2 2 2 6 4 2 2" xfId="8856" xr:uid="{00000000-0005-0000-0000-00003E860000}"/>
    <cellStyle name="Normal 4 2 2 2 6 4 2 2 2" xfId="30487" xr:uid="{00000000-0005-0000-0000-00003F860000}"/>
    <cellStyle name="Normal 4 2 2 2 6 4 2 2 2 2" xfId="62358" xr:uid="{00000000-0005-0000-0000-000040860000}"/>
    <cellStyle name="Normal 4 2 2 2 6 4 2 2 3" xfId="40735" xr:uid="{00000000-0005-0000-0000-000041860000}"/>
    <cellStyle name="Normal 4 2 2 2 6 4 2 3" xfId="22609" xr:uid="{00000000-0005-0000-0000-000042860000}"/>
    <cellStyle name="Normal 4 2 2 2 6 4 2 3 2" xfId="54480" xr:uid="{00000000-0005-0000-0000-000043860000}"/>
    <cellStyle name="Normal 4 2 2 2 6 4 2 4" xfId="40734" xr:uid="{00000000-0005-0000-0000-000044860000}"/>
    <cellStyle name="Normal 4 2 2 2 6 4 3" xfId="8857" xr:uid="{00000000-0005-0000-0000-000045860000}"/>
    <cellStyle name="Normal 4 2 2 2 6 4 3 2" xfId="26548" xr:uid="{00000000-0005-0000-0000-000046860000}"/>
    <cellStyle name="Normal 4 2 2 2 6 4 3 2 2" xfId="58419" xr:uid="{00000000-0005-0000-0000-000047860000}"/>
    <cellStyle name="Normal 4 2 2 2 6 4 3 3" xfId="40736" xr:uid="{00000000-0005-0000-0000-000048860000}"/>
    <cellStyle name="Normal 4 2 2 2 6 4 4" xfId="18670" xr:uid="{00000000-0005-0000-0000-000049860000}"/>
    <cellStyle name="Normal 4 2 2 2 6 4 4 2" xfId="50541" xr:uid="{00000000-0005-0000-0000-00004A860000}"/>
    <cellStyle name="Normal 4 2 2 2 6 4 5" xfId="40733" xr:uid="{00000000-0005-0000-0000-00004B860000}"/>
    <cellStyle name="Normal 4 2 2 2 6 5" xfId="8858" xr:uid="{00000000-0005-0000-0000-00004C860000}"/>
    <cellStyle name="Normal 4 2 2 2 6 5 2" xfId="8859" xr:uid="{00000000-0005-0000-0000-00004D860000}"/>
    <cellStyle name="Normal 4 2 2 2 6 5 2 2" xfId="28273" xr:uid="{00000000-0005-0000-0000-00004E860000}"/>
    <cellStyle name="Normal 4 2 2 2 6 5 2 2 2" xfId="60144" xr:uid="{00000000-0005-0000-0000-00004F860000}"/>
    <cellStyle name="Normal 4 2 2 2 6 5 2 3" xfId="40738" xr:uid="{00000000-0005-0000-0000-000050860000}"/>
    <cellStyle name="Normal 4 2 2 2 6 5 3" xfId="20395" xr:uid="{00000000-0005-0000-0000-000051860000}"/>
    <cellStyle name="Normal 4 2 2 2 6 5 3 2" xfId="52266" xr:uid="{00000000-0005-0000-0000-000052860000}"/>
    <cellStyle name="Normal 4 2 2 2 6 5 4" xfId="40737" xr:uid="{00000000-0005-0000-0000-000053860000}"/>
    <cellStyle name="Normal 4 2 2 2 6 6" xfId="8860" xr:uid="{00000000-0005-0000-0000-000054860000}"/>
    <cellStyle name="Normal 4 2 2 2 6 6 2" xfId="24334" xr:uid="{00000000-0005-0000-0000-000055860000}"/>
    <cellStyle name="Normal 4 2 2 2 6 6 2 2" xfId="56205" xr:uid="{00000000-0005-0000-0000-000056860000}"/>
    <cellStyle name="Normal 4 2 2 2 6 6 3" xfId="40739" xr:uid="{00000000-0005-0000-0000-000057860000}"/>
    <cellStyle name="Normal 4 2 2 2 6 7" xfId="16456" xr:uid="{00000000-0005-0000-0000-000058860000}"/>
    <cellStyle name="Normal 4 2 2 2 6 7 2" xfId="48327" xr:uid="{00000000-0005-0000-0000-000059860000}"/>
    <cellStyle name="Normal 4 2 2 2 6 8" xfId="40708" xr:uid="{00000000-0005-0000-0000-00005A860000}"/>
    <cellStyle name="Normal 4 2 2 2 7" xfId="8861" xr:uid="{00000000-0005-0000-0000-00005B860000}"/>
    <cellStyle name="Normal 4 2 2 2 7 2" xfId="8862" xr:uid="{00000000-0005-0000-0000-00005C860000}"/>
    <cellStyle name="Normal 4 2 2 2 7 2 2" xfId="8863" xr:uid="{00000000-0005-0000-0000-00005D860000}"/>
    <cellStyle name="Normal 4 2 2 2 7 2 2 2" xfId="8864" xr:uid="{00000000-0005-0000-0000-00005E860000}"/>
    <cellStyle name="Normal 4 2 2 2 7 2 2 2 2" xfId="8865" xr:uid="{00000000-0005-0000-0000-00005F860000}"/>
    <cellStyle name="Normal 4 2 2 2 7 2 2 2 2 2" xfId="30490" xr:uid="{00000000-0005-0000-0000-000060860000}"/>
    <cellStyle name="Normal 4 2 2 2 7 2 2 2 2 2 2" xfId="62361" xr:uid="{00000000-0005-0000-0000-000061860000}"/>
    <cellStyle name="Normal 4 2 2 2 7 2 2 2 2 3" xfId="40744" xr:uid="{00000000-0005-0000-0000-000062860000}"/>
    <cellStyle name="Normal 4 2 2 2 7 2 2 2 3" xfId="22612" xr:uid="{00000000-0005-0000-0000-000063860000}"/>
    <cellStyle name="Normal 4 2 2 2 7 2 2 2 3 2" xfId="54483" xr:uid="{00000000-0005-0000-0000-000064860000}"/>
    <cellStyle name="Normal 4 2 2 2 7 2 2 2 4" xfId="40743" xr:uid="{00000000-0005-0000-0000-000065860000}"/>
    <cellStyle name="Normal 4 2 2 2 7 2 2 3" xfId="8866" xr:uid="{00000000-0005-0000-0000-000066860000}"/>
    <cellStyle name="Normal 4 2 2 2 7 2 2 3 2" xfId="26551" xr:uid="{00000000-0005-0000-0000-000067860000}"/>
    <cellStyle name="Normal 4 2 2 2 7 2 2 3 2 2" xfId="58422" xr:uid="{00000000-0005-0000-0000-000068860000}"/>
    <cellStyle name="Normal 4 2 2 2 7 2 2 3 3" xfId="40745" xr:uid="{00000000-0005-0000-0000-000069860000}"/>
    <cellStyle name="Normal 4 2 2 2 7 2 2 4" xfId="18673" xr:uid="{00000000-0005-0000-0000-00006A860000}"/>
    <cellStyle name="Normal 4 2 2 2 7 2 2 4 2" xfId="50544" xr:uid="{00000000-0005-0000-0000-00006B860000}"/>
    <cellStyle name="Normal 4 2 2 2 7 2 2 5" xfId="40742" xr:uid="{00000000-0005-0000-0000-00006C860000}"/>
    <cellStyle name="Normal 4 2 2 2 7 2 3" xfId="8867" xr:uid="{00000000-0005-0000-0000-00006D860000}"/>
    <cellStyle name="Normal 4 2 2 2 7 2 3 2" xfId="8868" xr:uid="{00000000-0005-0000-0000-00006E860000}"/>
    <cellStyle name="Normal 4 2 2 2 7 2 3 2 2" xfId="30489" xr:uid="{00000000-0005-0000-0000-00006F860000}"/>
    <cellStyle name="Normal 4 2 2 2 7 2 3 2 2 2" xfId="62360" xr:uid="{00000000-0005-0000-0000-000070860000}"/>
    <cellStyle name="Normal 4 2 2 2 7 2 3 2 3" xfId="40747" xr:uid="{00000000-0005-0000-0000-000071860000}"/>
    <cellStyle name="Normal 4 2 2 2 7 2 3 3" xfId="22611" xr:uid="{00000000-0005-0000-0000-000072860000}"/>
    <cellStyle name="Normal 4 2 2 2 7 2 3 3 2" xfId="54482" xr:uid="{00000000-0005-0000-0000-000073860000}"/>
    <cellStyle name="Normal 4 2 2 2 7 2 3 4" xfId="40746" xr:uid="{00000000-0005-0000-0000-000074860000}"/>
    <cellStyle name="Normal 4 2 2 2 7 2 4" xfId="8869" xr:uid="{00000000-0005-0000-0000-000075860000}"/>
    <cellStyle name="Normal 4 2 2 2 7 2 4 2" xfId="26550" xr:uid="{00000000-0005-0000-0000-000076860000}"/>
    <cellStyle name="Normal 4 2 2 2 7 2 4 2 2" xfId="58421" xr:uid="{00000000-0005-0000-0000-000077860000}"/>
    <cellStyle name="Normal 4 2 2 2 7 2 4 3" xfId="40748" xr:uid="{00000000-0005-0000-0000-000078860000}"/>
    <cellStyle name="Normal 4 2 2 2 7 2 5" xfId="18672" xr:uid="{00000000-0005-0000-0000-000079860000}"/>
    <cellStyle name="Normal 4 2 2 2 7 2 5 2" xfId="50543" xr:uid="{00000000-0005-0000-0000-00007A860000}"/>
    <cellStyle name="Normal 4 2 2 2 7 2 6" xfId="40741" xr:uid="{00000000-0005-0000-0000-00007B860000}"/>
    <cellStyle name="Normal 4 2 2 2 7 3" xfId="8870" xr:uid="{00000000-0005-0000-0000-00007C860000}"/>
    <cellStyle name="Normal 4 2 2 2 7 3 2" xfId="8871" xr:uid="{00000000-0005-0000-0000-00007D860000}"/>
    <cellStyle name="Normal 4 2 2 2 7 3 2 2" xfId="8872" xr:uid="{00000000-0005-0000-0000-00007E860000}"/>
    <cellStyle name="Normal 4 2 2 2 7 3 2 2 2" xfId="30491" xr:uid="{00000000-0005-0000-0000-00007F860000}"/>
    <cellStyle name="Normal 4 2 2 2 7 3 2 2 2 2" xfId="62362" xr:uid="{00000000-0005-0000-0000-000080860000}"/>
    <cellStyle name="Normal 4 2 2 2 7 3 2 2 3" xfId="40751" xr:uid="{00000000-0005-0000-0000-000081860000}"/>
    <cellStyle name="Normal 4 2 2 2 7 3 2 3" xfId="22613" xr:uid="{00000000-0005-0000-0000-000082860000}"/>
    <cellStyle name="Normal 4 2 2 2 7 3 2 3 2" xfId="54484" xr:uid="{00000000-0005-0000-0000-000083860000}"/>
    <cellStyle name="Normal 4 2 2 2 7 3 2 4" xfId="40750" xr:uid="{00000000-0005-0000-0000-000084860000}"/>
    <cellStyle name="Normal 4 2 2 2 7 3 3" xfId="8873" xr:uid="{00000000-0005-0000-0000-000085860000}"/>
    <cellStyle name="Normal 4 2 2 2 7 3 3 2" xfId="26552" xr:uid="{00000000-0005-0000-0000-000086860000}"/>
    <cellStyle name="Normal 4 2 2 2 7 3 3 2 2" xfId="58423" xr:uid="{00000000-0005-0000-0000-000087860000}"/>
    <cellStyle name="Normal 4 2 2 2 7 3 3 3" xfId="40752" xr:uid="{00000000-0005-0000-0000-000088860000}"/>
    <cellStyle name="Normal 4 2 2 2 7 3 4" xfId="18674" xr:uid="{00000000-0005-0000-0000-000089860000}"/>
    <cellStyle name="Normal 4 2 2 2 7 3 4 2" xfId="50545" xr:uid="{00000000-0005-0000-0000-00008A860000}"/>
    <cellStyle name="Normal 4 2 2 2 7 3 5" xfId="40749" xr:uid="{00000000-0005-0000-0000-00008B860000}"/>
    <cellStyle name="Normal 4 2 2 2 7 4" xfId="8874" xr:uid="{00000000-0005-0000-0000-00008C860000}"/>
    <cellStyle name="Normal 4 2 2 2 7 4 2" xfId="8875" xr:uid="{00000000-0005-0000-0000-00008D860000}"/>
    <cellStyle name="Normal 4 2 2 2 7 4 2 2" xfId="30488" xr:uid="{00000000-0005-0000-0000-00008E860000}"/>
    <cellStyle name="Normal 4 2 2 2 7 4 2 2 2" xfId="62359" xr:uid="{00000000-0005-0000-0000-00008F860000}"/>
    <cellStyle name="Normal 4 2 2 2 7 4 2 3" xfId="40754" xr:uid="{00000000-0005-0000-0000-000090860000}"/>
    <cellStyle name="Normal 4 2 2 2 7 4 3" xfId="22610" xr:uid="{00000000-0005-0000-0000-000091860000}"/>
    <cellStyle name="Normal 4 2 2 2 7 4 3 2" xfId="54481" xr:uid="{00000000-0005-0000-0000-000092860000}"/>
    <cellStyle name="Normal 4 2 2 2 7 4 4" xfId="40753" xr:uid="{00000000-0005-0000-0000-000093860000}"/>
    <cellStyle name="Normal 4 2 2 2 7 5" xfId="8876" xr:uid="{00000000-0005-0000-0000-000094860000}"/>
    <cellStyle name="Normal 4 2 2 2 7 5 2" xfId="26549" xr:uid="{00000000-0005-0000-0000-000095860000}"/>
    <cellStyle name="Normal 4 2 2 2 7 5 2 2" xfId="58420" xr:uid="{00000000-0005-0000-0000-000096860000}"/>
    <cellStyle name="Normal 4 2 2 2 7 5 3" xfId="40755" xr:uid="{00000000-0005-0000-0000-000097860000}"/>
    <cellStyle name="Normal 4 2 2 2 7 6" xfId="18671" xr:uid="{00000000-0005-0000-0000-000098860000}"/>
    <cellStyle name="Normal 4 2 2 2 7 6 2" xfId="50542" xr:uid="{00000000-0005-0000-0000-000099860000}"/>
    <cellStyle name="Normal 4 2 2 2 7 7" xfId="40740" xr:uid="{00000000-0005-0000-0000-00009A860000}"/>
    <cellStyle name="Normal 4 2 2 2 8" xfId="8877" xr:uid="{00000000-0005-0000-0000-00009B860000}"/>
    <cellStyle name="Normal 4 2 2 2 8 2" xfId="8878" xr:uid="{00000000-0005-0000-0000-00009C860000}"/>
    <cellStyle name="Normal 4 2 2 2 8 2 2" xfId="8879" xr:uid="{00000000-0005-0000-0000-00009D860000}"/>
    <cellStyle name="Normal 4 2 2 2 8 2 2 2" xfId="8880" xr:uid="{00000000-0005-0000-0000-00009E860000}"/>
    <cellStyle name="Normal 4 2 2 2 8 2 2 2 2" xfId="30493" xr:uid="{00000000-0005-0000-0000-00009F860000}"/>
    <cellStyle name="Normal 4 2 2 2 8 2 2 2 2 2" xfId="62364" xr:uid="{00000000-0005-0000-0000-0000A0860000}"/>
    <cellStyle name="Normal 4 2 2 2 8 2 2 2 3" xfId="40759" xr:uid="{00000000-0005-0000-0000-0000A1860000}"/>
    <cellStyle name="Normal 4 2 2 2 8 2 2 3" xfId="22615" xr:uid="{00000000-0005-0000-0000-0000A2860000}"/>
    <cellStyle name="Normal 4 2 2 2 8 2 2 3 2" xfId="54486" xr:uid="{00000000-0005-0000-0000-0000A3860000}"/>
    <cellStyle name="Normal 4 2 2 2 8 2 2 4" xfId="40758" xr:uid="{00000000-0005-0000-0000-0000A4860000}"/>
    <cellStyle name="Normal 4 2 2 2 8 2 3" xfId="8881" xr:uid="{00000000-0005-0000-0000-0000A5860000}"/>
    <cellStyle name="Normal 4 2 2 2 8 2 3 2" xfId="26554" xr:uid="{00000000-0005-0000-0000-0000A6860000}"/>
    <cellStyle name="Normal 4 2 2 2 8 2 3 2 2" xfId="58425" xr:uid="{00000000-0005-0000-0000-0000A7860000}"/>
    <cellStyle name="Normal 4 2 2 2 8 2 3 3" xfId="40760" xr:uid="{00000000-0005-0000-0000-0000A8860000}"/>
    <cellStyle name="Normal 4 2 2 2 8 2 4" xfId="18676" xr:uid="{00000000-0005-0000-0000-0000A9860000}"/>
    <cellStyle name="Normal 4 2 2 2 8 2 4 2" xfId="50547" xr:uid="{00000000-0005-0000-0000-0000AA860000}"/>
    <cellStyle name="Normal 4 2 2 2 8 2 5" xfId="40757" xr:uid="{00000000-0005-0000-0000-0000AB860000}"/>
    <cellStyle name="Normal 4 2 2 2 8 3" xfId="8882" xr:uid="{00000000-0005-0000-0000-0000AC860000}"/>
    <cellStyle name="Normal 4 2 2 2 8 3 2" xfId="8883" xr:uid="{00000000-0005-0000-0000-0000AD860000}"/>
    <cellStyle name="Normal 4 2 2 2 8 3 2 2" xfId="30492" xr:uid="{00000000-0005-0000-0000-0000AE860000}"/>
    <cellStyle name="Normal 4 2 2 2 8 3 2 2 2" xfId="62363" xr:uid="{00000000-0005-0000-0000-0000AF860000}"/>
    <cellStyle name="Normal 4 2 2 2 8 3 2 3" xfId="40762" xr:uid="{00000000-0005-0000-0000-0000B0860000}"/>
    <cellStyle name="Normal 4 2 2 2 8 3 3" xfId="22614" xr:uid="{00000000-0005-0000-0000-0000B1860000}"/>
    <cellStyle name="Normal 4 2 2 2 8 3 3 2" xfId="54485" xr:uid="{00000000-0005-0000-0000-0000B2860000}"/>
    <cellStyle name="Normal 4 2 2 2 8 3 4" xfId="40761" xr:uid="{00000000-0005-0000-0000-0000B3860000}"/>
    <cellStyle name="Normal 4 2 2 2 8 4" xfId="8884" xr:uid="{00000000-0005-0000-0000-0000B4860000}"/>
    <cellStyle name="Normal 4 2 2 2 8 4 2" xfId="26553" xr:uid="{00000000-0005-0000-0000-0000B5860000}"/>
    <cellStyle name="Normal 4 2 2 2 8 4 2 2" xfId="58424" xr:uid="{00000000-0005-0000-0000-0000B6860000}"/>
    <cellStyle name="Normal 4 2 2 2 8 4 3" xfId="40763" xr:uid="{00000000-0005-0000-0000-0000B7860000}"/>
    <cellStyle name="Normal 4 2 2 2 8 5" xfId="18675" xr:uid="{00000000-0005-0000-0000-0000B8860000}"/>
    <cellStyle name="Normal 4 2 2 2 8 5 2" xfId="50546" xr:uid="{00000000-0005-0000-0000-0000B9860000}"/>
    <cellStyle name="Normal 4 2 2 2 8 6" xfId="40756" xr:uid="{00000000-0005-0000-0000-0000BA860000}"/>
    <cellStyle name="Normal 4 2 2 2 9" xfId="8885" xr:uid="{00000000-0005-0000-0000-0000BB860000}"/>
    <cellStyle name="Normal 4 2 2 2 9 2" xfId="8886" xr:uid="{00000000-0005-0000-0000-0000BC860000}"/>
    <cellStyle name="Normal 4 2 2 2 9 2 2" xfId="8887" xr:uid="{00000000-0005-0000-0000-0000BD860000}"/>
    <cellStyle name="Normal 4 2 2 2 9 2 2 2" xfId="30494" xr:uid="{00000000-0005-0000-0000-0000BE860000}"/>
    <cellStyle name="Normal 4 2 2 2 9 2 2 2 2" xfId="62365" xr:uid="{00000000-0005-0000-0000-0000BF860000}"/>
    <cellStyle name="Normal 4 2 2 2 9 2 2 3" xfId="40766" xr:uid="{00000000-0005-0000-0000-0000C0860000}"/>
    <cellStyle name="Normal 4 2 2 2 9 2 3" xfId="22616" xr:uid="{00000000-0005-0000-0000-0000C1860000}"/>
    <cellStyle name="Normal 4 2 2 2 9 2 3 2" xfId="54487" xr:uid="{00000000-0005-0000-0000-0000C2860000}"/>
    <cellStyle name="Normal 4 2 2 2 9 2 4" xfId="40765" xr:uid="{00000000-0005-0000-0000-0000C3860000}"/>
    <cellStyle name="Normal 4 2 2 2 9 3" xfId="8888" xr:uid="{00000000-0005-0000-0000-0000C4860000}"/>
    <cellStyle name="Normal 4 2 2 2 9 3 2" xfId="26555" xr:uid="{00000000-0005-0000-0000-0000C5860000}"/>
    <cellStyle name="Normal 4 2 2 2 9 3 2 2" xfId="58426" xr:uid="{00000000-0005-0000-0000-0000C6860000}"/>
    <cellStyle name="Normal 4 2 2 2 9 3 3" xfId="40767" xr:uid="{00000000-0005-0000-0000-0000C7860000}"/>
    <cellStyle name="Normal 4 2 2 2 9 4" xfId="18677" xr:uid="{00000000-0005-0000-0000-0000C8860000}"/>
    <cellStyle name="Normal 4 2 2 2 9 4 2" xfId="50548" xr:uid="{00000000-0005-0000-0000-0000C9860000}"/>
    <cellStyle name="Normal 4 2 2 2 9 5" xfId="40764" xr:uid="{00000000-0005-0000-0000-0000CA860000}"/>
    <cellStyle name="Normal 4 2 2 3" xfId="8889" xr:uid="{00000000-0005-0000-0000-0000CB860000}"/>
    <cellStyle name="Normal 4 2 2 3 10" xfId="8890" xr:uid="{00000000-0005-0000-0000-0000CC860000}"/>
    <cellStyle name="Normal 4 2 2 3 10 2" xfId="24318" xr:uid="{00000000-0005-0000-0000-0000CD860000}"/>
    <cellStyle name="Normal 4 2 2 3 10 2 2" xfId="56189" xr:uid="{00000000-0005-0000-0000-0000CE860000}"/>
    <cellStyle name="Normal 4 2 2 3 10 3" xfId="40769" xr:uid="{00000000-0005-0000-0000-0000CF860000}"/>
    <cellStyle name="Normal 4 2 2 3 11" xfId="16440" xr:uid="{00000000-0005-0000-0000-0000D0860000}"/>
    <cellStyle name="Normal 4 2 2 3 11 2" xfId="48311" xr:uid="{00000000-0005-0000-0000-0000D1860000}"/>
    <cellStyle name="Normal 4 2 2 3 12" xfId="40768" xr:uid="{00000000-0005-0000-0000-0000D2860000}"/>
    <cellStyle name="Normal 4 2 2 3 2" xfId="8891" xr:uid="{00000000-0005-0000-0000-0000D3860000}"/>
    <cellStyle name="Normal 4 2 2 3 2 10" xfId="40770" xr:uid="{00000000-0005-0000-0000-0000D4860000}"/>
    <cellStyle name="Normal 4 2 2 3 2 2" xfId="8892" xr:uid="{00000000-0005-0000-0000-0000D5860000}"/>
    <cellStyle name="Normal 4 2 2 3 2 2 2" xfId="8893" xr:uid="{00000000-0005-0000-0000-0000D6860000}"/>
    <cellStyle name="Normal 4 2 2 3 2 2 2 2" xfId="8894" xr:uid="{00000000-0005-0000-0000-0000D7860000}"/>
    <cellStyle name="Normal 4 2 2 3 2 2 2 2 2" xfId="8895" xr:uid="{00000000-0005-0000-0000-0000D8860000}"/>
    <cellStyle name="Normal 4 2 2 3 2 2 2 2 2 2" xfId="8896" xr:uid="{00000000-0005-0000-0000-0000D9860000}"/>
    <cellStyle name="Normal 4 2 2 3 2 2 2 2 2 2 2" xfId="8897" xr:uid="{00000000-0005-0000-0000-0000DA860000}"/>
    <cellStyle name="Normal 4 2 2 3 2 2 2 2 2 2 2 2" xfId="8898" xr:uid="{00000000-0005-0000-0000-0000DB860000}"/>
    <cellStyle name="Normal 4 2 2 3 2 2 2 2 2 2 2 2 2" xfId="30498" xr:uid="{00000000-0005-0000-0000-0000DC860000}"/>
    <cellStyle name="Normal 4 2 2 3 2 2 2 2 2 2 2 2 2 2" xfId="62369" xr:uid="{00000000-0005-0000-0000-0000DD860000}"/>
    <cellStyle name="Normal 4 2 2 3 2 2 2 2 2 2 2 2 3" xfId="40777" xr:uid="{00000000-0005-0000-0000-0000DE860000}"/>
    <cellStyle name="Normal 4 2 2 3 2 2 2 2 2 2 2 3" xfId="22620" xr:uid="{00000000-0005-0000-0000-0000DF860000}"/>
    <cellStyle name="Normal 4 2 2 3 2 2 2 2 2 2 2 3 2" xfId="54491" xr:uid="{00000000-0005-0000-0000-0000E0860000}"/>
    <cellStyle name="Normal 4 2 2 3 2 2 2 2 2 2 2 4" xfId="40776" xr:uid="{00000000-0005-0000-0000-0000E1860000}"/>
    <cellStyle name="Normal 4 2 2 3 2 2 2 2 2 2 3" xfId="8899" xr:uid="{00000000-0005-0000-0000-0000E2860000}"/>
    <cellStyle name="Normal 4 2 2 3 2 2 2 2 2 2 3 2" xfId="26559" xr:uid="{00000000-0005-0000-0000-0000E3860000}"/>
    <cellStyle name="Normal 4 2 2 3 2 2 2 2 2 2 3 2 2" xfId="58430" xr:uid="{00000000-0005-0000-0000-0000E4860000}"/>
    <cellStyle name="Normal 4 2 2 3 2 2 2 2 2 2 3 3" xfId="40778" xr:uid="{00000000-0005-0000-0000-0000E5860000}"/>
    <cellStyle name="Normal 4 2 2 3 2 2 2 2 2 2 4" xfId="18681" xr:uid="{00000000-0005-0000-0000-0000E6860000}"/>
    <cellStyle name="Normal 4 2 2 3 2 2 2 2 2 2 4 2" xfId="50552" xr:uid="{00000000-0005-0000-0000-0000E7860000}"/>
    <cellStyle name="Normal 4 2 2 3 2 2 2 2 2 2 5" xfId="40775" xr:uid="{00000000-0005-0000-0000-0000E8860000}"/>
    <cellStyle name="Normal 4 2 2 3 2 2 2 2 2 3" xfId="8900" xr:uid="{00000000-0005-0000-0000-0000E9860000}"/>
    <cellStyle name="Normal 4 2 2 3 2 2 2 2 2 3 2" xfId="8901" xr:uid="{00000000-0005-0000-0000-0000EA860000}"/>
    <cellStyle name="Normal 4 2 2 3 2 2 2 2 2 3 2 2" xfId="30497" xr:uid="{00000000-0005-0000-0000-0000EB860000}"/>
    <cellStyle name="Normal 4 2 2 3 2 2 2 2 2 3 2 2 2" xfId="62368" xr:uid="{00000000-0005-0000-0000-0000EC860000}"/>
    <cellStyle name="Normal 4 2 2 3 2 2 2 2 2 3 2 3" xfId="40780" xr:uid="{00000000-0005-0000-0000-0000ED860000}"/>
    <cellStyle name="Normal 4 2 2 3 2 2 2 2 2 3 3" xfId="22619" xr:uid="{00000000-0005-0000-0000-0000EE860000}"/>
    <cellStyle name="Normal 4 2 2 3 2 2 2 2 2 3 3 2" xfId="54490" xr:uid="{00000000-0005-0000-0000-0000EF860000}"/>
    <cellStyle name="Normal 4 2 2 3 2 2 2 2 2 3 4" xfId="40779" xr:uid="{00000000-0005-0000-0000-0000F0860000}"/>
    <cellStyle name="Normal 4 2 2 3 2 2 2 2 2 4" xfId="8902" xr:uid="{00000000-0005-0000-0000-0000F1860000}"/>
    <cellStyle name="Normal 4 2 2 3 2 2 2 2 2 4 2" xfId="26558" xr:uid="{00000000-0005-0000-0000-0000F2860000}"/>
    <cellStyle name="Normal 4 2 2 3 2 2 2 2 2 4 2 2" xfId="58429" xr:uid="{00000000-0005-0000-0000-0000F3860000}"/>
    <cellStyle name="Normal 4 2 2 3 2 2 2 2 2 4 3" xfId="40781" xr:uid="{00000000-0005-0000-0000-0000F4860000}"/>
    <cellStyle name="Normal 4 2 2 3 2 2 2 2 2 5" xfId="18680" xr:uid="{00000000-0005-0000-0000-0000F5860000}"/>
    <cellStyle name="Normal 4 2 2 3 2 2 2 2 2 5 2" xfId="50551" xr:uid="{00000000-0005-0000-0000-0000F6860000}"/>
    <cellStyle name="Normal 4 2 2 3 2 2 2 2 2 6" xfId="40774" xr:uid="{00000000-0005-0000-0000-0000F7860000}"/>
    <cellStyle name="Normal 4 2 2 3 2 2 2 2 3" xfId="8903" xr:uid="{00000000-0005-0000-0000-0000F8860000}"/>
    <cellStyle name="Normal 4 2 2 3 2 2 2 2 3 2" xfId="8904" xr:uid="{00000000-0005-0000-0000-0000F9860000}"/>
    <cellStyle name="Normal 4 2 2 3 2 2 2 2 3 2 2" xfId="8905" xr:uid="{00000000-0005-0000-0000-0000FA860000}"/>
    <cellStyle name="Normal 4 2 2 3 2 2 2 2 3 2 2 2" xfId="30499" xr:uid="{00000000-0005-0000-0000-0000FB860000}"/>
    <cellStyle name="Normal 4 2 2 3 2 2 2 2 3 2 2 2 2" xfId="62370" xr:uid="{00000000-0005-0000-0000-0000FC860000}"/>
    <cellStyle name="Normal 4 2 2 3 2 2 2 2 3 2 2 3" xfId="40784" xr:uid="{00000000-0005-0000-0000-0000FD860000}"/>
    <cellStyle name="Normal 4 2 2 3 2 2 2 2 3 2 3" xfId="22621" xr:uid="{00000000-0005-0000-0000-0000FE860000}"/>
    <cellStyle name="Normal 4 2 2 3 2 2 2 2 3 2 3 2" xfId="54492" xr:uid="{00000000-0005-0000-0000-0000FF860000}"/>
    <cellStyle name="Normal 4 2 2 3 2 2 2 2 3 2 4" xfId="40783" xr:uid="{00000000-0005-0000-0000-000000870000}"/>
    <cellStyle name="Normal 4 2 2 3 2 2 2 2 3 3" xfId="8906" xr:uid="{00000000-0005-0000-0000-000001870000}"/>
    <cellStyle name="Normal 4 2 2 3 2 2 2 2 3 3 2" xfId="26560" xr:uid="{00000000-0005-0000-0000-000002870000}"/>
    <cellStyle name="Normal 4 2 2 3 2 2 2 2 3 3 2 2" xfId="58431" xr:uid="{00000000-0005-0000-0000-000003870000}"/>
    <cellStyle name="Normal 4 2 2 3 2 2 2 2 3 3 3" xfId="40785" xr:uid="{00000000-0005-0000-0000-000004870000}"/>
    <cellStyle name="Normal 4 2 2 3 2 2 2 2 3 4" xfId="18682" xr:uid="{00000000-0005-0000-0000-000005870000}"/>
    <cellStyle name="Normal 4 2 2 3 2 2 2 2 3 4 2" xfId="50553" xr:uid="{00000000-0005-0000-0000-000006870000}"/>
    <cellStyle name="Normal 4 2 2 3 2 2 2 2 3 5" xfId="40782" xr:uid="{00000000-0005-0000-0000-000007870000}"/>
    <cellStyle name="Normal 4 2 2 3 2 2 2 2 4" xfId="8907" xr:uid="{00000000-0005-0000-0000-000008870000}"/>
    <cellStyle name="Normal 4 2 2 3 2 2 2 2 4 2" xfId="8908" xr:uid="{00000000-0005-0000-0000-000009870000}"/>
    <cellStyle name="Normal 4 2 2 3 2 2 2 2 4 2 2" xfId="30496" xr:uid="{00000000-0005-0000-0000-00000A870000}"/>
    <cellStyle name="Normal 4 2 2 3 2 2 2 2 4 2 2 2" xfId="62367" xr:uid="{00000000-0005-0000-0000-00000B870000}"/>
    <cellStyle name="Normal 4 2 2 3 2 2 2 2 4 2 3" xfId="40787" xr:uid="{00000000-0005-0000-0000-00000C870000}"/>
    <cellStyle name="Normal 4 2 2 3 2 2 2 2 4 3" xfId="22618" xr:uid="{00000000-0005-0000-0000-00000D870000}"/>
    <cellStyle name="Normal 4 2 2 3 2 2 2 2 4 3 2" xfId="54489" xr:uid="{00000000-0005-0000-0000-00000E870000}"/>
    <cellStyle name="Normal 4 2 2 3 2 2 2 2 4 4" xfId="40786" xr:uid="{00000000-0005-0000-0000-00000F870000}"/>
    <cellStyle name="Normal 4 2 2 3 2 2 2 2 5" xfId="8909" xr:uid="{00000000-0005-0000-0000-000010870000}"/>
    <cellStyle name="Normal 4 2 2 3 2 2 2 2 5 2" xfId="26557" xr:uid="{00000000-0005-0000-0000-000011870000}"/>
    <cellStyle name="Normal 4 2 2 3 2 2 2 2 5 2 2" xfId="58428" xr:uid="{00000000-0005-0000-0000-000012870000}"/>
    <cellStyle name="Normal 4 2 2 3 2 2 2 2 5 3" xfId="40788" xr:uid="{00000000-0005-0000-0000-000013870000}"/>
    <cellStyle name="Normal 4 2 2 3 2 2 2 2 6" xfId="18679" xr:uid="{00000000-0005-0000-0000-000014870000}"/>
    <cellStyle name="Normal 4 2 2 3 2 2 2 2 6 2" xfId="50550" xr:uid="{00000000-0005-0000-0000-000015870000}"/>
    <cellStyle name="Normal 4 2 2 3 2 2 2 2 7" xfId="40773" xr:uid="{00000000-0005-0000-0000-000016870000}"/>
    <cellStyle name="Normal 4 2 2 3 2 2 2 3" xfId="8910" xr:uid="{00000000-0005-0000-0000-000017870000}"/>
    <cellStyle name="Normal 4 2 2 3 2 2 2 3 2" xfId="8911" xr:uid="{00000000-0005-0000-0000-000018870000}"/>
    <cellStyle name="Normal 4 2 2 3 2 2 2 3 2 2" xfId="8912" xr:uid="{00000000-0005-0000-0000-000019870000}"/>
    <cellStyle name="Normal 4 2 2 3 2 2 2 3 2 2 2" xfId="8913" xr:uid="{00000000-0005-0000-0000-00001A870000}"/>
    <cellStyle name="Normal 4 2 2 3 2 2 2 3 2 2 2 2" xfId="30501" xr:uid="{00000000-0005-0000-0000-00001B870000}"/>
    <cellStyle name="Normal 4 2 2 3 2 2 2 3 2 2 2 2 2" xfId="62372" xr:uid="{00000000-0005-0000-0000-00001C870000}"/>
    <cellStyle name="Normal 4 2 2 3 2 2 2 3 2 2 2 3" xfId="40792" xr:uid="{00000000-0005-0000-0000-00001D870000}"/>
    <cellStyle name="Normal 4 2 2 3 2 2 2 3 2 2 3" xfId="22623" xr:uid="{00000000-0005-0000-0000-00001E870000}"/>
    <cellStyle name="Normal 4 2 2 3 2 2 2 3 2 2 3 2" xfId="54494" xr:uid="{00000000-0005-0000-0000-00001F870000}"/>
    <cellStyle name="Normal 4 2 2 3 2 2 2 3 2 2 4" xfId="40791" xr:uid="{00000000-0005-0000-0000-000020870000}"/>
    <cellStyle name="Normal 4 2 2 3 2 2 2 3 2 3" xfId="8914" xr:uid="{00000000-0005-0000-0000-000021870000}"/>
    <cellStyle name="Normal 4 2 2 3 2 2 2 3 2 3 2" xfId="26562" xr:uid="{00000000-0005-0000-0000-000022870000}"/>
    <cellStyle name="Normal 4 2 2 3 2 2 2 3 2 3 2 2" xfId="58433" xr:uid="{00000000-0005-0000-0000-000023870000}"/>
    <cellStyle name="Normal 4 2 2 3 2 2 2 3 2 3 3" xfId="40793" xr:uid="{00000000-0005-0000-0000-000024870000}"/>
    <cellStyle name="Normal 4 2 2 3 2 2 2 3 2 4" xfId="18684" xr:uid="{00000000-0005-0000-0000-000025870000}"/>
    <cellStyle name="Normal 4 2 2 3 2 2 2 3 2 4 2" xfId="50555" xr:uid="{00000000-0005-0000-0000-000026870000}"/>
    <cellStyle name="Normal 4 2 2 3 2 2 2 3 2 5" xfId="40790" xr:uid="{00000000-0005-0000-0000-000027870000}"/>
    <cellStyle name="Normal 4 2 2 3 2 2 2 3 3" xfId="8915" xr:uid="{00000000-0005-0000-0000-000028870000}"/>
    <cellStyle name="Normal 4 2 2 3 2 2 2 3 3 2" xfId="8916" xr:uid="{00000000-0005-0000-0000-000029870000}"/>
    <cellStyle name="Normal 4 2 2 3 2 2 2 3 3 2 2" xfId="30500" xr:uid="{00000000-0005-0000-0000-00002A870000}"/>
    <cellStyle name="Normal 4 2 2 3 2 2 2 3 3 2 2 2" xfId="62371" xr:uid="{00000000-0005-0000-0000-00002B870000}"/>
    <cellStyle name="Normal 4 2 2 3 2 2 2 3 3 2 3" xfId="40795" xr:uid="{00000000-0005-0000-0000-00002C870000}"/>
    <cellStyle name="Normal 4 2 2 3 2 2 2 3 3 3" xfId="22622" xr:uid="{00000000-0005-0000-0000-00002D870000}"/>
    <cellStyle name="Normal 4 2 2 3 2 2 2 3 3 3 2" xfId="54493" xr:uid="{00000000-0005-0000-0000-00002E870000}"/>
    <cellStyle name="Normal 4 2 2 3 2 2 2 3 3 4" xfId="40794" xr:uid="{00000000-0005-0000-0000-00002F870000}"/>
    <cellStyle name="Normal 4 2 2 3 2 2 2 3 4" xfId="8917" xr:uid="{00000000-0005-0000-0000-000030870000}"/>
    <cellStyle name="Normal 4 2 2 3 2 2 2 3 4 2" xfId="26561" xr:uid="{00000000-0005-0000-0000-000031870000}"/>
    <cellStyle name="Normal 4 2 2 3 2 2 2 3 4 2 2" xfId="58432" xr:uid="{00000000-0005-0000-0000-000032870000}"/>
    <cellStyle name="Normal 4 2 2 3 2 2 2 3 4 3" xfId="40796" xr:uid="{00000000-0005-0000-0000-000033870000}"/>
    <cellStyle name="Normal 4 2 2 3 2 2 2 3 5" xfId="18683" xr:uid="{00000000-0005-0000-0000-000034870000}"/>
    <cellStyle name="Normal 4 2 2 3 2 2 2 3 5 2" xfId="50554" xr:uid="{00000000-0005-0000-0000-000035870000}"/>
    <cellStyle name="Normal 4 2 2 3 2 2 2 3 6" xfId="40789" xr:uid="{00000000-0005-0000-0000-000036870000}"/>
    <cellStyle name="Normal 4 2 2 3 2 2 2 4" xfId="8918" xr:uid="{00000000-0005-0000-0000-000037870000}"/>
    <cellStyle name="Normal 4 2 2 3 2 2 2 4 2" xfId="8919" xr:uid="{00000000-0005-0000-0000-000038870000}"/>
    <cellStyle name="Normal 4 2 2 3 2 2 2 4 2 2" xfId="8920" xr:uid="{00000000-0005-0000-0000-000039870000}"/>
    <cellStyle name="Normal 4 2 2 3 2 2 2 4 2 2 2" xfId="30502" xr:uid="{00000000-0005-0000-0000-00003A870000}"/>
    <cellStyle name="Normal 4 2 2 3 2 2 2 4 2 2 2 2" xfId="62373" xr:uid="{00000000-0005-0000-0000-00003B870000}"/>
    <cellStyle name="Normal 4 2 2 3 2 2 2 4 2 2 3" xfId="40799" xr:uid="{00000000-0005-0000-0000-00003C870000}"/>
    <cellStyle name="Normal 4 2 2 3 2 2 2 4 2 3" xfId="22624" xr:uid="{00000000-0005-0000-0000-00003D870000}"/>
    <cellStyle name="Normal 4 2 2 3 2 2 2 4 2 3 2" xfId="54495" xr:uid="{00000000-0005-0000-0000-00003E870000}"/>
    <cellStyle name="Normal 4 2 2 3 2 2 2 4 2 4" xfId="40798" xr:uid="{00000000-0005-0000-0000-00003F870000}"/>
    <cellStyle name="Normal 4 2 2 3 2 2 2 4 3" xfId="8921" xr:uid="{00000000-0005-0000-0000-000040870000}"/>
    <cellStyle name="Normal 4 2 2 3 2 2 2 4 3 2" xfId="26563" xr:uid="{00000000-0005-0000-0000-000041870000}"/>
    <cellStyle name="Normal 4 2 2 3 2 2 2 4 3 2 2" xfId="58434" xr:uid="{00000000-0005-0000-0000-000042870000}"/>
    <cellStyle name="Normal 4 2 2 3 2 2 2 4 3 3" xfId="40800" xr:uid="{00000000-0005-0000-0000-000043870000}"/>
    <cellStyle name="Normal 4 2 2 3 2 2 2 4 4" xfId="18685" xr:uid="{00000000-0005-0000-0000-000044870000}"/>
    <cellStyle name="Normal 4 2 2 3 2 2 2 4 4 2" xfId="50556" xr:uid="{00000000-0005-0000-0000-000045870000}"/>
    <cellStyle name="Normal 4 2 2 3 2 2 2 4 5" xfId="40797" xr:uid="{00000000-0005-0000-0000-000046870000}"/>
    <cellStyle name="Normal 4 2 2 3 2 2 2 5" xfId="8922" xr:uid="{00000000-0005-0000-0000-000047870000}"/>
    <cellStyle name="Normal 4 2 2 3 2 2 2 5 2" xfId="8923" xr:uid="{00000000-0005-0000-0000-000048870000}"/>
    <cellStyle name="Normal 4 2 2 3 2 2 2 5 2 2" xfId="30495" xr:uid="{00000000-0005-0000-0000-000049870000}"/>
    <cellStyle name="Normal 4 2 2 3 2 2 2 5 2 2 2" xfId="62366" xr:uid="{00000000-0005-0000-0000-00004A870000}"/>
    <cellStyle name="Normal 4 2 2 3 2 2 2 5 2 3" xfId="40802" xr:uid="{00000000-0005-0000-0000-00004B870000}"/>
    <cellStyle name="Normal 4 2 2 3 2 2 2 5 3" xfId="22617" xr:uid="{00000000-0005-0000-0000-00004C870000}"/>
    <cellStyle name="Normal 4 2 2 3 2 2 2 5 3 2" xfId="54488" xr:uid="{00000000-0005-0000-0000-00004D870000}"/>
    <cellStyle name="Normal 4 2 2 3 2 2 2 5 4" xfId="40801" xr:uid="{00000000-0005-0000-0000-00004E870000}"/>
    <cellStyle name="Normal 4 2 2 3 2 2 2 6" xfId="8924" xr:uid="{00000000-0005-0000-0000-00004F870000}"/>
    <cellStyle name="Normal 4 2 2 3 2 2 2 6 2" xfId="26556" xr:uid="{00000000-0005-0000-0000-000050870000}"/>
    <cellStyle name="Normal 4 2 2 3 2 2 2 6 2 2" xfId="58427" xr:uid="{00000000-0005-0000-0000-000051870000}"/>
    <cellStyle name="Normal 4 2 2 3 2 2 2 6 3" xfId="40803" xr:uid="{00000000-0005-0000-0000-000052870000}"/>
    <cellStyle name="Normal 4 2 2 3 2 2 2 7" xfId="18678" xr:uid="{00000000-0005-0000-0000-000053870000}"/>
    <cellStyle name="Normal 4 2 2 3 2 2 2 7 2" xfId="50549" xr:uid="{00000000-0005-0000-0000-000054870000}"/>
    <cellStyle name="Normal 4 2 2 3 2 2 2 8" xfId="40772" xr:uid="{00000000-0005-0000-0000-000055870000}"/>
    <cellStyle name="Normal 4 2 2 3 2 2 3" xfId="8925" xr:uid="{00000000-0005-0000-0000-000056870000}"/>
    <cellStyle name="Normal 4 2 2 3 2 2 3 2" xfId="8926" xr:uid="{00000000-0005-0000-0000-000057870000}"/>
    <cellStyle name="Normal 4 2 2 3 2 2 3 2 2" xfId="8927" xr:uid="{00000000-0005-0000-0000-000058870000}"/>
    <cellStyle name="Normal 4 2 2 3 2 2 3 2 2 2" xfId="8928" xr:uid="{00000000-0005-0000-0000-000059870000}"/>
    <cellStyle name="Normal 4 2 2 3 2 2 3 2 2 2 2" xfId="8929" xr:uid="{00000000-0005-0000-0000-00005A870000}"/>
    <cellStyle name="Normal 4 2 2 3 2 2 3 2 2 2 2 2" xfId="30505" xr:uid="{00000000-0005-0000-0000-00005B870000}"/>
    <cellStyle name="Normal 4 2 2 3 2 2 3 2 2 2 2 2 2" xfId="62376" xr:uid="{00000000-0005-0000-0000-00005C870000}"/>
    <cellStyle name="Normal 4 2 2 3 2 2 3 2 2 2 2 3" xfId="40808" xr:uid="{00000000-0005-0000-0000-00005D870000}"/>
    <cellStyle name="Normal 4 2 2 3 2 2 3 2 2 2 3" xfId="22627" xr:uid="{00000000-0005-0000-0000-00005E870000}"/>
    <cellStyle name="Normal 4 2 2 3 2 2 3 2 2 2 3 2" xfId="54498" xr:uid="{00000000-0005-0000-0000-00005F870000}"/>
    <cellStyle name="Normal 4 2 2 3 2 2 3 2 2 2 4" xfId="40807" xr:uid="{00000000-0005-0000-0000-000060870000}"/>
    <cellStyle name="Normal 4 2 2 3 2 2 3 2 2 3" xfId="8930" xr:uid="{00000000-0005-0000-0000-000061870000}"/>
    <cellStyle name="Normal 4 2 2 3 2 2 3 2 2 3 2" xfId="26566" xr:uid="{00000000-0005-0000-0000-000062870000}"/>
    <cellStyle name="Normal 4 2 2 3 2 2 3 2 2 3 2 2" xfId="58437" xr:uid="{00000000-0005-0000-0000-000063870000}"/>
    <cellStyle name="Normal 4 2 2 3 2 2 3 2 2 3 3" xfId="40809" xr:uid="{00000000-0005-0000-0000-000064870000}"/>
    <cellStyle name="Normal 4 2 2 3 2 2 3 2 2 4" xfId="18688" xr:uid="{00000000-0005-0000-0000-000065870000}"/>
    <cellStyle name="Normal 4 2 2 3 2 2 3 2 2 4 2" xfId="50559" xr:uid="{00000000-0005-0000-0000-000066870000}"/>
    <cellStyle name="Normal 4 2 2 3 2 2 3 2 2 5" xfId="40806" xr:uid="{00000000-0005-0000-0000-000067870000}"/>
    <cellStyle name="Normal 4 2 2 3 2 2 3 2 3" xfId="8931" xr:uid="{00000000-0005-0000-0000-000068870000}"/>
    <cellStyle name="Normal 4 2 2 3 2 2 3 2 3 2" xfId="8932" xr:uid="{00000000-0005-0000-0000-000069870000}"/>
    <cellStyle name="Normal 4 2 2 3 2 2 3 2 3 2 2" xfId="30504" xr:uid="{00000000-0005-0000-0000-00006A870000}"/>
    <cellStyle name="Normal 4 2 2 3 2 2 3 2 3 2 2 2" xfId="62375" xr:uid="{00000000-0005-0000-0000-00006B870000}"/>
    <cellStyle name="Normal 4 2 2 3 2 2 3 2 3 2 3" xfId="40811" xr:uid="{00000000-0005-0000-0000-00006C870000}"/>
    <cellStyle name="Normal 4 2 2 3 2 2 3 2 3 3" xfId="22626" xr:uid="{00000000-0005-0000-0000-00006D870000}"/>
    <cellStyle name="Normal 4 2 2 3 2 2 3 2 3 3 2" xfId="54497" xr:uid="{00000000-0005-0000-0000-00006E870000}"/>
    <cellStyle name="Normal 4 2 2 3 2 2 3 2 3 4" xfId="40810" xr:uid="{00000000-0005-0000-0000-00006F870000}"/>
    <cellStyle name="Normal 4 2 2 3 2 2 3 2 4" xfId="8933" xr:uid="{00000000-0005-0000-0000-000070870000}"/>
    <cellStyle name="Normal 4 2 2 3 2 2 3 2 4 2" xfId="26565" xr:uid="{00000000-0005-0000-0000-000071870000}"/>
    <cellStyle name="Normal 4 2 2 3 2 2 3 2 4 2 2" xfId="58436" xr:uid="{00000000-0005-0000-0000-000072870000}"/>
    <cellStyle name="Normal 4 2 2 3 2 2 3 2 4 3" xfId="40812" xr:uid="{00000000-0005-0000-0000-000073870000}"/>
    <cellStyle name="Normal 4 2 2 3 2 2 3 2 5" xfId="18687" xr:uid="{00000000-0005-0000-0000-000074870000}"/>
    <cellStyle name="Normal 4 2 2 3 2 2 3 2 5 2" xfId="50558" xr:uid="{00000000-0005-0000-0000-000075870000}"/>
    <cellStyle name="Normal 4 2 2 3 2 2 3 2 6" xfId="40805" xr:uid="{00000000-0005-0000-0000-000076870000}"/>
    <cellStyle name="Normal 4 2 2 3 2 2 3 3" xfId="8934" xr:uid="{00000000-0005-0000-0000-000077870000}"/>
    <cellStyle name="Normal 4 2 2 3 2 2 3 3 2" xfId="8935" xr:uid="{00000000-0005-0000-0000-000078870000}"/>
    <cellStyle name="Normal 4 2 2 3 2 2 3 3 2 2" xfId="8936" xr:uid="{00000000-0005-0000-0000-000079870000}"/>
    <cellStyle name="Normal 4 2 2 3 2 2 3 3 2 2 2" xfId="30506" xr:uid="{00000000-0005-0000-0000-00007A870000}"/>
    <cellStyle name="Normal 4 2 2 3 2 2 3 3 2 2 2 2" xfId="62377" xr:uid="{00000000-0005-0000-0000-00007B870000}"/>
    <cellStyle name="Normal 4 2 2 3 2 2 3 3 2 2 3" xfId="40815" xr:uid="{00000000-0005-0000-0000-00007C870000}"/>
    <cellStyle name="Normal 4 2 2 3 2 2 3 3 2 3" xfId="22628" xr:uid="{00000000-0005-0000-0000-00007D870000}"/>
    <cellStyle name="Normal 4 2 2 3 2 2 3 3 2 3 2" xfId="54499" xr:uid="{00000000-0005-0000-0000-00007E870000}"/>
    <cellStyle name="Normal 4 2 2 3 2 2 3 3 2 4" xfId="40814" xr:uid="{00000000-0005-0000-0000-00007F870000}"/>
    <cellStyle name="Normal 4 2 2 3 2 2 3 3 3" xfId="8937" xr:uid="{00000000-0005-0000-0000-000080870000}"/>
    <cellStyle name="Normal 4 2 2 3 2 2 3 3 3 2" xfId="26567" xr:uid="{00000000-0005-0000-0000-000081870000}"/>
    <cellStyle name="Normal 4 2 2 3 2 2 3 3 3 2 2" xfId="58438" xr:uid="{00000000-0005-0000-0000-000082870000}"/>
    <cellStyle name="Normal 4 2 2 3 2 2 3 3 3 3" xfId="40816" xr:uid="{00000000-0005-0000-0000-000083870000}"/>
    <cellStyle name="Normal 4 2 2 3 2 2 3 3 4" xfId="18689" xr:uid="{00000000-0005-0000-0000-000084870000}"/>
    <cellStyle name="Normal 4 2 2 3 2 2 3 3 4 2" xfId="50560" xr:uid="{00000000-0005-0000-0000-000085870000}"/>
    <cellStyle name="Normal 4 2 2 3 2 2 3 3 5" xfId="40813" xr:uid="{00000000-0005-0000-0000-000086870000}"/>
    <cellStyle name="Normal 4 2 2 3 2 2 3 4" xfId="8938" xr:uid="{00000000-0005-0000-0000-000087870000}"/>
    <cellStyle name="Normal 4 2 2 3 2 2 3 4 2" xfId="8939" xr:uid="{00000000-0005-0000-0000-000088870000}"/>
    <cellStyle name="Normal 4 2 2 3 2 2 3 4 2 2" xfId="30503" xr:uid="{00000000-0005-0000-0000-000089870000}"/>
    <cellStyle name="Normal 4 2 2 3 2 2 3 4 2 2 2" xfId="62374" xr:uid="{00000000-0005-0000-0000-00008A870000}"/>
    <cellStyle name="Normal 4 2 2 3 2 2 3 4 2 3" xfId="40818" xr:uid="{00000000-0005-0000-0000-00008B870000}"/>
    <cellStyle name="Normal 4 2 2 3 2 2 3 4 3" xfId="22625" xr:uid="{00000000-0005-0000-0000-00008C870000}"/>
    <cellStyle name="Normal 4 2 2 3 2 2 3 4 3 2" xfId="54496" xr:uid="{00000000-0005-0000-0000-00008D870000}"/>
    <cellStyle name="Normal 4 2 2 3 2 2 3 4 4" xfId="40817" xr:uid="{00000000-0005-0000-0000-00008E870000}"/>
    <cellStyle name="Normal 4 2 2 3 2 2 3 5" xfId="8940" xr:uid="{00000000-0005-0000-0000-00008F870000}"/>
    <cellStyle name="Normal 4 2 2 3 2 2 3 5 2" xfId="26564" xr:uid="{00000000-0005-0000-0000-000090870000}"/>
    <cellStyle name="Normal 4 2 2 3 2 2 3 5 2 2" xfId="58435" xr:uid="{00000000-0005-0000-0000-000091870000}"/>
    <cellStyle name="Normal 4 2 2 3 2 2 3 5 3" xfId="40819" xr:uid="{00000000-0005-0000-0000-000092870000}"/>
    <cellStyle name="Normal 4 2 2 3 2 2 3 6" xfId="18686" xr:uid="{00000000-0005-0000-0000-000093870000}"/>
    <cellStyle name="Normal 4 2 2 3 2 2 3 6 2" xfId="50557" xr:uid="{00000000-0005-0000-0000-000094870000}"/>
    <cellStyle name="Normal 4 2 2 3 2 2 3 7" xfId="40804" xr:uid="{00000000-0005-0000-0000-000095870000}"/>
    <cellStyle name="Normal 4 2 2 3 2 2 4" xfId="8941" xr:uid="{00000000-0005-0000-0000-000096870000}"/>
    <cellStyle name="Normal 4 2 2 3 2 2 4 2" xfId="8942" xr:uid="{00000000-0005-0000-0000-000097870000}"/>
    <cellStyle name="Normal 4 2 2 3 2 2 4 2 2" xfId="8943" xr:uid="{00000000-0005-0000-0000-000098870000}"/>
    <cellStyle name="Normal 4 2 2 3 2 2 4 2 2 2" xfId="8944" xr:uid="{00000000-0005-0000-0000-000099870000}"/>
    <cellStyle name="Normal 4 2 2 3 2 2 4 2 2 2 2" xfId="30508" xr:uid="{00000000-0005-0000-0000-00009A870000}"/>
    <cellStyle name="Normal 4 2 2 3 2 2 4 2 2 2 2 2" xfId="62379" xr:uid="{00000000-0005-0000-0000-00009B870000}"/>
    <cellStyle name="Normal 4 2 2 3 2 2 4 2 2 2 3" xfId="40823" xr:uid="{00000000-0005-0000-0000-00009C870000}"/>
    <cellStyle name="Normal 4 2 2 3 2 2 4 2 2 3" xfId="22630" xr:uid="{00000000-0005-0000-0000-00009D870000}"/>
    <cellStyle name="Normal 4 2 2 3 2 2 4 2 2 3 2" xfId="54501" xr:uid="{00000000-0005-0000-0000-00009E870000}"/>
    <cellStyle name="Normal 4 2 2 3 2 2 4 2 2 4" xfId="40822" xr:uid="{00000000-0005-0000-0000-00009F870000}"/>
    <cellStyle name="Normal 4 2 2 3 2 2 4 2 3" xfId="8945" xr:uid="{00000000-0005-0000-0000-0000A0870000}"/>
    <cellStyle name="Normal 4 2 2 3 2 2 4 2 3 2" xfId="26569" xr:uid="{00000000-0005-0000-0000-0000A1870000}"/>
    <cellStyle name="Normal 4 2 2 3 2 2 4 2 3 2 2" xfId="58440" xr:uid="{00000000-0005-0000-0000-0000A2870000}"/>
    <cellStyle name="Normal 4 2 2 3 2 2 4 2 3 3" xfId="40824" xr:uid="{00000000-0005-0000-0000-0000A3870000}"/>
    <cellStyle name="Normal 4 2 2 3 2 2 4 2 4" xfId="18691" xr:uid="{00000000-0005-0000-0000-0000A4870000}"/>
    <cellStyle name="Normal 4 2 2 3 2 2 4 2 4 2" xfId="50562" xr:uid="{00000000-0005-0000-0000-0000A5870000}"/>
    <cellStyle name="Normal 4 2 2 3 2 2 4 2 5" xfId="40821" xr:uid="{00000000-0005-0000-0000-0000A6870000}"/>
    <cellStyle name="Normal 4 2 2 3 2 2 4 3" xfId="8946" xr:uid="{00000000-0005-0000-0000-0000A7870000}"/>
    <cellStyle name="Normal 4 2 2 3 2 2 4 3 2" xfId="8947" xr:uid="{00000000-0005-0000-0000-0000A8870000}"/>
    <cellStyle name="Normal 4 2 2 3 2 2 4 3 2 2" xfId="30507" xr:uid="{00000000-0005-0000-0000-0000A9870000}"/>
    <cellStyle name="Normal 4 2 2 3 2 2 4 3 2 2 2" xfId="62378" xr:uid="{00000000-0005-0000-0000-0000AA870000}"/>
    <cellStyle name="Normal 4 2 2 3 2 2 4 3 2 3" xfId="40826" xr:uid="{00000000-0005-0000-0000-0000AB870000}"/>
    <cellStyle name="Normal 4 2 2 3 2 2 4 3 3" xfId="22629" xr:uid="{00000000-0005-0000-0000-0000AC870000}"/>
    <cellStyle name="Normal 4 2 2 3 2 2 4 3 3 2" xfId="54500" xr:uid="{00000000-0005-0000-0000-0000AD870000}"/>
    <cellStyle name="Normal 4 2 2 3 2 2 4 3 4" xfId="40825" xr:uid="{00000000-0005-0000-0000-0000AE870000}"/>
    <cellStyle name="Normal 4 2 2 3 2 2 4 4" xfId="8948" xr:uid="{00000000-0005-0000-0000-0000AF870000}"/>
    <cellStyle name="Normal 4 2 2 3 2 2 4 4 2" xfId="26568" xr:uid="{00000000-0005-0000-0000-0000B0870000}"/>
    <cellStyle name="Normal 4 2 2 3 2 2 4 4 2 2" xfId="58439" xr:uid="{00000000-0005-0000-0000-0000B1870000}"/>
    <cellStyle name="Normal 4 2 2 3 2 2 4 4 3" xfId="40827" xr:uid="{00000000-0005-0000-0000-0000B2870000}"/>
    <cellStyle name="Normal 4 2 2 3 2 2 4 5" xfId="18690" xr:uid="{00000000-0005-0000-0000-0000B3870000}"/>
    <cellStyle name="Normal 4 2 2 3 2 2 4 5 2" xfId="50561" xr:uid="{00000000-0005-0000-0000-0000B4870000}"/>
    <cellStyle name="Normal 4 2 2 3 2 2 4 6" xfId="40820" xr:uid="{00000000-0005-0000-0000-0000B5870000}"/>
    <cellStyle name="Normal 4 2 2 3 2 2 5" xfId="8949" xr:uid="{00000000-0005-0000-0000-0000B6870000}"/>
    <cellStyle name="Normal 4 2 2 3 2 2 5 2" xfId="8950" xr:uid="{00000000-0005-0000-0000-0000B7870000}"/>
    <cellStyle name="Normal 4 2 2 3 2 2 5 2 2" xfId="8951" xr:uid="{00000000-0005-0000-0000-0000B8870000}"/>
    <cellStyle name="Normal 4 2 2 3 2 2 5 2 2 2" xfId="30509" xr:uid="{00000000-0005-0000-0000-0000B9870000}"/>
    <cellStyle name="Normal 4 2 2 3 2 2 5 2 2 2 2" xfId="62380" xr:uid="{00000000-0005-0000-0000-0000BA870000}"/>
    <cellStyle name="Normal 4 2 2 3 2 2 5 2 2 3" xfId="40830" xr:uid="{00000000-0005-0000-0000-0000BB870000}"/>
    <cellStyle name="Normal 4 2 2 3 2 2 5 2 3" xfId="22631" xr:uid="{00000000-0005-0000-0000-0000BC870000}"/>
    <cellStyle name="Normal 4 2 2 3 2 2 5 2 3 2" xfId="54502" xr:uid="{00000000-0005-0000-0000-0000BD870000}"/>
    <cellStyle name="Normal 4 2 2 3 2 2 5 2 4" xfId="40829" xr:uid="{00000000-0005-0000-0000-0000BE870000}"/>
    <cellStyle name="Normal 4 2 2 3 2 2 5 3" xfId="8952" xr:uid="{00000000-0005-0000-0000-0000BF870000}"/>
    <cellStyle name="Normal 4 2 2 3 2 2 5 3 2" xfId="26570" xr:uid="{00000000-0005-0000-0000-0000C0870000}"/>
    <cellStyle name="Normal 4 2 2 3 2 2 5 3 2 2" xfId="58441" xr:uid="{00000000-0005-0000-0000-0000C1870000}"/>
    <cellStyle name="Normal 4 2 2 3 2 2 5 3 3" xfId="40831" xr:uid="{00000000-0005-0000-0000-0000C2870000}"/>
    <cellStyle name="Normal 4 2 2 3 2 2 5 4" xfId="18692" xr:uid="{00000000-0005-0000-0000-0000C3870000}"/>
    <cellStyle name="Normal 4 2 2 3 2 2 5 4 2" xfId="50563" xr:uid="{00000000-0005-0000-0000-0000C4870000}"/>
    <cellStyle name="Normal 4 2 2 3 2 2 5 5" xfId="40828" xr:uid="{00000000-0005-0000-0000-0000C5870000}"/>
    <cellStyle name="Normal 4 2 2 3 2 2 6" xfId="8953" xr:uid="{00000000-0005-0000-0000-0000C6870000}"/>
    <cellStyle name="Normal 4 2 2 3 2 2 6 2" xfId="8954" xr:uid="{00000000-0005-0000-0000-0000C7870000}"/>
    <cellStyle name="Normal 4 2 2 3 2 2 6 2 2" xfId="28462" xr:uid="{00000000-0005-0000-0000-0000C8870000}"/>
    <cellStyle name="Normal 4 2 2 3 2 2 6 2 2 2" xfId="60333" xr:uid="{00000000-0005-0000-0000-0000C9870000}"/>
    <cellStyle name="Normal 4 2 2 3 2 2 6 2 3" xfId="40833" xr:uid="{00000000-0005-0000-0000-0000CA870000}"/>
    <cellStyle name="Normal 4 2 2 3 2 2 6 3" xfId="20584" xr:uid="{00000000-0005-0000-0000-0000CB870000}"/>
    <cellStyle name="Normal 4 2 2 3 2 2 6 3 2" xfId="52455" xr:uid="{00000000-0005-0000-0000-0000CC870000}"/>
    <cellStyle name="Normal 4 2 2 3 2 2 6 4" xfId="40832" xr:uid="{00000000-0005-0000-0000-0000CD870000}"/>
    <cellStyle name="Normal 4 2 2 3 2 2 7" xfId="8955" xr:uid="{00000000-0005-0000-0000-0000CE870000}"/>
    <cellStyle name="Normal 4 2 2 3 2 2 7 2" xfId="24523" xr:uid="{00000000-0005-0000-0000-0000CF870000}"/>
    <cellStyle name="Normal 4 2 2 3 2 2 7 2 2" xfId="56394" xr:uid="{00000000-0005-0000-0000-0000D0870000}"/>
    <cellStyle name="Normal 4 2 2 3 2 2 7 3" xfId="40834" xr:uid="{00000000-0005-0000-0000-0000D1870000}"/>
    <cellStyle name="Normal 4 2 2 3 2 2 8" xfId="16645" xr:uid="{00000000-0005-0000-0000-0000D2870000}"/>
    <cellStyle name="Normal 4 2 2 3 2 2 8 2" xfId="48516" xr:uid="{00000000-0005-0000-0000-0000D3870000}"/>
    <cellStyle name="Normal 4 2 2 3 2 2 9" xfId="40771" xr:uid="{00000000-0005-0000-0000-0000D4870000}"/>
    <cellStyle name="Normal 4 2 2 3 2 3" xfId="8956" xr:uid="{00000000-0005-0000-0000-0000D5870000}"/>
    <cellStyle name="Normal 4 2 2 3 2 3 2" xfId="8957" xr:uid="{00000000-0005-0000-0000-0000D6870000}"/>
    <cellStyle name="Normal 4 2 2 3 2 3 2 2" xfId="8958" xr:uid="{00000000-0005-0000-0000-0000D7870000}"/>
    <cellStyle name="Normal 4 2 2 3 2 3 2 2 2" xfId="8959" xr:uid="{00000000-0005-0000-0000-0000D8870000}"/>
    <cellStyle name="Normal 4 2 2 3 2 3 2 2 2 2" xfId="8960" xr:uid="{00000000-0005-0000-0000-0000D9870000}"/>
    <cellStyle name="Normal 4 2 2 3 2 3 2 2 2 2 2" xfId="8961" xr:uid="{00000000-0005-0000-0000-0000DA870000}"/>
    <cellStyle name="Normal 4 2 2 3 2 3 2 2 2 2 2 2" xfId="30513" xr:uid="{00000000-0005-0000-0000-0000DB870000}"/>
    <cellStyle name="Normal 4 2 2 3 2 3 2 2 2 2 2 2 2" xfId="62384" xr:uid="{00000000-0005-0000-0000-0000DC870000}"/>
    <cellStyle name="Normal 4 2 2 3 2 3 2 2 2 2 2 3" xfId="40840" xr:uid="{00000000-0005-0000-0000-0000DD870000}"/>
    <cellStyle name="Normal 4 2 2 3 2 3 2 2 2 2 3" xfId="22635" xr:uid="{00000000-0005-0000-0000-0000DE870000}"/>
    <cellStyle name="Normal 4 2 2 3 2 3 2 2 2 2 3 2" xfId="54506" xr:uid="{00000000-0005-0000-0000-0000DF870000}"/>
    <cellStyle name="Normal 4 2 2 3 2 3 2 2 2 2 4" xfId="40839" xr:uid="{00000000-0005-0000-0000-0000E0870000}"/>
    <cellStyle name="Normal 4 2 2 3 2 3 2 2 2 3" xfId="8962" xr:uid="{00000000-0005-0000-0000-0000E1870000}"/>
    <cellStyle name="Normal 4 2 2 3 2 3 2 2 2 3 2" xfId="26574" xr:uid="{00000000-0005-0000-0000-0000E2870000}"/>
    <cellStyle name="Normal 4 2 2 3 2 3 2 2 2 3 2 2" xfId="58445" xr:uid="{00000000-0005-0000-0000-0000E3870000}"/>
    <cellStyle name="Normal 4 2 2 3 2 3 2 2 2 3 3" xfId="40841" xr:uid="{00000000-0005-0000-0000-0000E4870000}"/>
    <cellStyle name="Normal 4 2 2 3 2 3 2 2 2 4" xfId="18696" xr:uid="{00000000-0005-0000-0000-0000E5870000}"/>
    <cellStyle name="Normal 4 2 2 3 2 3 2 2 2 4 2" xfId="50567" xr:uid="{00000000-0005-0000-0000-0000E6870000}"/>
    <cellStyle name="Normal 4 2 2 3 2 3 2 2 2 5" xfId="40838" xr:uid="{00000000-0005-0000-0000-0000E7870000}"/>
    <cellStyle name="Normal 4 2 2 3 2 3 2 2 3" xfId="8963" xr:uid="{00000000-0005-0000-0000-0000E8870000}"/>
    <cellStyle name="Normal 4 2 2 3 2 3 2 2 3 2" xfId="8964" xr:uid="{00000000-0005-0000-0000-0000E9870000}"/>
    <cellStyle name="Normal 4 2 2 3 2 3 2 2 3 2 2" xfId="30512" xr:uid="{00000000-0005-0000-0000-0000EA870000}"/>
    <cellStyle name="Normal 4 2 2 3 2 3 2 2 3 2 2 2" xfId="62383" xr:uid="{00000000-0005-0000-0000-0000EB870000}"/>
    <cellStyle name="Normal 4 2 2 3 2 3 2 2 3 2 3" xfId="40843" xr:uid="{00000000-0005-0000-0000-0000EC870000}"/>
    <cellStyle name="Normal 4 2 2 3 2 3 2 2 3 3" xfId="22634" xr:uid="{00000000-0005-0000-0000-0000ED870000}"/>
    <cellStyle name="Normal 4 2 2 3 2 3 2 2 3 3 2" xfId="54505" xr:uid="{00000000-0005-0000-0000-0000EE870000}"/>
    <cellStyle name="Normal 4 2 2 3 2 3 2 2 3 4" xfId="40842" xr:uid="{00000000-0005-0000-0000-0000EF870000}"/>
    <cellStyle name="Normal 4 2 2 3 2 3 2 2 4" xfId="8965" xr:uid="{00000000-0005-0000-0000-0000F0870000}"/>
    <cellStyle name="Normal 4 2 2 3 2 3 2 2 4 2" xfId="26573" xr:uid="{00000000-0005-0000-0000-0000F1870000}"/>
    <cellStyle name="Normal 4 2 2 3 2 3 2 2 4 2 2" xfId="58444" xr:uid="{00000000-0005-0000-0000-0000F2870000}"/>
    <cellStyle name="Normal 4 2 2 3 2 3 2 2 4 3" xfId="40844" xr:uid="{00000000-0005-0000-0000-0000F3870000}"/>
    <cellStyle name="Normal 4 2 2 3 2 3 2 2 5" xfId="18695" xr:uid="{00000000-0005-0000-0000-0000F4870000}"/>
    <cellStyle name="Normal 4 2 2 3 2 3 2 2 5 2" xfId="50566" xr:uid="{00000000-0005-0000-0000-0000F5870000}"/>
    <cellStyle name="Normal 4 2 2 3 2 3 2 2 6" xfId="40837" xr:uid="{00000000-0005-0000-0000-0000F6870000}"/>
    <cellStyle name="Normal 4 2 2 3 2 3 2 3" xfId="8966" xr:uid="{00000000-0005-0000-0000-0000F7870000}"/>
    <cellStyle name="Normal 4 2 2 3 2 3 2 3 2" xfId="8967" xr:uid="{00000000-0005-0000-0000-0000F8870000}"/>
    <cellStyle name="Normal 4 2 2 3 2 3 2 3 2 2" xfId="8968" xr:uid="{00000000-0005-0000-0000-0000F9870000}"/>
    <cellStyle name="Normal 4 2 2 3 2 3 2 3 2 2 2" xfId="30514" xr:uid="{00000000-0005-0000-0000-0000FA870000}"/>
    <cellStyle name="Normal 4 2 2 3 2 3 2 3 2 2 2 2" xfId="62385" xr:uid="{00000000-0005-0000-0000-0000FB870000}"/>
    <cellStyle name="Normal 4 2 2 3 2 3 2 3 2 2 3" xfId="40847" xr:uid="{00000000-0005-0000-0000-0000FC870000}"/>
    <cellStyle name="Normal 4 2 2 3 2 3 2 3 2 3" xfId="22636" xr:uid="{00000000-0005-0000-0000-0000FD870000}"/>
    <cellStyle name="Normal 4 2 2 3 2 3 2 3 2 3 2" xfId="54507" xr:uid="{00000000-0005-0000-0000-0000FE870000}"/>
    <cellStyle name="Normal 4 2 2 3 2 3 2 3 2 4" xfId="40846" xr:uid="{00000000-0005-0000-0000-0000FF870000}"/>
    <cellStyle name="Normal 4 2 2 3 2 3 2 3 3" xfId="8969" xr:uid="{00000000-0005-0000-0000-000000880000}"/>
    <cellStyle name="Normal 4 2 2 3 2 3 2 3 3 2" xfId="26575" xr:uid="{00000000-0005-0000-0000-000001880000}"/>
    <cellStyle name="Normal 4 2 2 3 2 3 2 3 3 2 2" xfId="58446" xr:uid="{00000000-0005-0000-0000-000002880000}"/>
    <cellStyle name="Normal 4 2 2 3 2 3 2 3 3 3" xfId="40848" xr:uid="{00000000-0005-0000-0000-000003880000}"/>
    <cellStyle name="Normal 4 2 2 3 2 3 2 3 4" xfId="18697" xr:uid="{00000000-0005-0000-0000-000004880000}"/>
    <cellStyle name="Normal 4 2 2 3 2 3 2 3 4 2" xfId="50568" xr:uid="{00000000-0005-0000-0000-000005880000}"/>
    <cellStyle name="Normal 4 2 2 3 2 3 2 3 5" xfId="40845" xr:uid="{00000000-0005-0000-0000-000006880000}"/>
    <cellStyle name="Normal 4 2 2 3 2 3 2 4" xfId="8970" xr:uid="{00000000-0005-0000-0000-000007880000}"/>
    <cellStyle name="Normal 4 2 2 3 2 3 2 4 2" xfId="8971" xr:uid="{00000000-0005-0000-0000-000008880000}"/>
    <cellStyle name="Normal 4 2 2 3 2 3 2 4 2 2" xfId="30511" xr:uid="{00000000-0005-0000-0000-000009880000}"/>
    <cellStyle name="Normal 4 2 2 3 2 3 2 4 2 2 2" xfId="62382" xr:uid="{00000000-0005-0000-0000-00000A880000}"/>
    <cellStyle name="Normal 4 2 2 3 2 3 2 4 2 3" xfId="40850" xr:uid="{00000000-0005-0000-0000-00000B880000}"/>
    <cellStyle name="Normal 4 2 2 3 2 3 2 4 3" xfId="22633" xr:uid="{00000000-0005-0000-0000-00000C880000}"/>
    <cellStyle name="Normal 4 2 2 3 2 3 2 4 3 2" xfId="54504" xr:uid="{00000000-0005-0000-0000-00000D880000}"/>
    <cellStyle name="Normal 4 2 2 3 2 3 2 4 4" xfId="40849" xr:uid="{00000000-0005-0000-0000-00000E880000}"/>
    <cellStyle name="Normal 4 2 2 3 2 3 2 5" xfId="8972" xr:uid="{00000000-0005-0000-0000-00000F880000}"/>
    <cellStyle name="Normal 4 2 2 3 2 3 2 5 2" xfId="26572" xr:uid="{00000000-0005-0000-0000-000010880000}"/>
    <cellStyle name="Normal 4 2 2 3 2 3 2 5 2 2" xfId="58443" xr:uid="{00000000-0005-0000-0000-000011880000}"/>
    <cellStyle name="Normal 4 2 2 3 2 3 2 5 3" xfId="40851" xr:uid="{00000000-0005-0000-0000-000012880000}"/>
    <cellStyle name="Normal 4 2 2 3 2 3 2 6" xfId="18694" xr:uid="{00000000-0005-0000-0000-000013880000}"/>
    <cellStyle name="Normal 4 2 2 3 2 3 2 6 2" xfId="50565" xr:uid="{00000000-0005-0000-0000-000014880000}"/>
    <cellStyle name="Normal 4 2 2 3 2 3 2 7" xfId="40836" xr:uid="{00000000-0005-0000-0000-000015880000}"/>
    <cellStyle name="Normal 4 2 2 3 2 3 3" xfId="8973" xr:uid="{00000000-0005-0000-0000-000016880000}"/>
    <cellStyle name="Normal 4 2 2 3 2 3 3 2" xfId="8974" xr:uid="{00000000-0005-0000-0000-000017880000}"/>
    <cellStyle name="Normal 4 2 2 3 2 3 3 2 2" xfId="8975" xr:uid="{00000000-0005-0000-0000-000018880000}"/>
    <cellStyle name="Normal 4 2 2 3 2 3 3 2 2 2" xfId="8976" xr:uid="{00000000-0005-0000-0000-000019880000}"/>
    <cellStyle name="Normal 4 2 2 3 2 3 3 2 2 2 2" xfId="30516" xr:uid="{00000000-0005-0000-0000-00001A880000}"/>
    <cellStyle name="Normal 4 2 2 3 2 3 3 2 2 2 2 2" xfId="62387" xr:uid="{00000000-0005-0000-0000-00001B880000}"/>
    <cellStyle name="Normal 4 2 2 3 2 3 3 2 2 2 3" xfId="40855" xr:uid="{00000000-0005-0000-0000-00001C880000}"/>
    <cellStyle name="Normal 4 2 2 3 2 3 3 2 2 3" xfId="22638" xr:uid="{00000000-0005-0000-0000-00001D880000}"/>
    <cellStyle name="Normal 4 2 2 3 2 3 3 2 2 3 2" xfId="54509" xr:uid="{00000000-0005-0000-0000-00001E880000}"/>
    <cellStyle name="Normal 4 2 2 3 2 3 3 2 2 4" xfId="40854" xr:uid="{00000000-0005-0000-0000-00001F880000}"/>
    <cellStyle name="Normal 4 2 2 3 2 3 3 2 3" xfId="8977" xr:uid="{00000000-0005-0000-0000-000020880000}"/>
    <cellStyle name="Normal 4 2 2 3 2 3 3 2 3 2" xfId="26577" xr:uid="{00000000-0005-0000-0000-000021880000}"/>
    <cellStyle name="Normal 4 2 2 3 2 3 3 2 3 2 2" xfId="58448" xr:uid="{00000000-0005-0000-0000-000022880000}"/>
    <cellStyle name="Normal 4 2 2 3 2 3 3 2 3 3" xfId="40856" xr:uid="{00000000-0005-0000-0000-000023880000}"/>
    <cellStyle name="Normal 4 2 2 3 2 3 3 2 4" xfId="18699" xr:uid="{00000000-0005-0000-0000-000024880000}"/>
    <cellStyle name="Normal 4 2 2 3 2 3 3 2 4 2" xfId="50570" xr:uid="{00000000-0005-0000-0000-000025880000}"/>
    <cellStyle name="Normal 4 2 2 3 2 3 3 2 5" xfId="40853" xr:uid="{00000000-0005-0000-0000-000026880000}"/>
    <cellStyle name="Normal 4 2 2 3 2 3 3 3" xfId="8978" xr:uid="{00000000-0005-0000-0000-000027880000}"/>
    <cellStyle name="Normal 4 2 2 3 2 3 3 3 2" xfId="8979" xr:uid="{00000000-0005-0000-0000-000028880000}"/>
    <cellStyle name="Normal 4 2 2 3 2 3 3 3 2 2" xfId="30515" xr:uid="{00000000-0005-0000-0000-000029880000}"/>
    <cellStyle name="Normal 4 2 2 3 2 3 3 3 2 2 2" xfId="62386" xr:uid="{00000000-0005-0000-0000-00002A880000}"/>
    <cellStyle name="Normal 4 2 2 3 2 3 3 3 2 3" xfId="40858" xr:uid="{00000000-0005-0000-0000-00002B880000}"/>
    <cellStyle name="Normal 4 2 2 3 2 3 3 3 3" xfId="22637" xr:uid="{00000000-0005-0000-0000-00002C880000}"/>
    <cellStyle name="Normal 4 2 2 3 2 3 3 3 3 2" xfId="54508" xr:uid="{00000000-0005-0000-0000-00002D880000}"/>
    <cellStyle name="Normal 4 2 2 3 2 3 3 3 4" xfId="40857" xr:uid="{00000000-0005-0000-0000-00002E880000}"/>
    <cellStyle name="Normal 4 2 2 3 2 3 3 4" xfId="8980" xr:uid="{00000000-0005-0000-0000-00002F880000}"/>
    <cellStyle name="Normal 4 2 2 3 2 3 3 4 2" xfId="26576" xr:uid="{00000000-0005-0000-0000-000030880000}"/>
    <cellStyle name="Normal 4 2 2 3 2 3 3 4 2 2" xfId="58447" xr:uid="{00000000-0005-0000-0000-000031880000}"/>
    <cellStyle name="Normal 4 2 2 3 2 3 3 4 3" xfId="40859" xr:uid="{00000000-0005-0000-0000-000032880000}"/>
    <cellStyle name="Normal 4 2 2 3 2 3 3 5" xfId="18698" xr:uid="{00000000-0005-0000-0000-000033880000}"/>
    <cellStyle name="Normal 4 2 2 3 2 3 3 5 2" xfId="50569" xr:uid="{00000000-0005-0000-0000-000034880000}"/>
    <cellStyle name="Normal 4 2 2 3 2 3 3 6" xfId="40852" xr:uid="{00000000-0005-0000-0000-000035880000}"/>
    <cellStyle name="Normal 4 2 2 3 2 3 4" xfId="8981" xr:uid="{00000000-0005-0000-0000-000036880000}"/>
    <cellStyle name="Normal 4 2 2 3 2 3 4 2" xfId="8982" xr:uid="{00000000-0005-0000-0000-000037880000}"/>
    <cellStyle name="Normal 4 2 2 3 2 3 4 2 2" xfId="8983" xr:uid="{00000000-0005-0000-0000-000038880000}"/>
    <cellStyle name="Normal 4 2 2 3 2 3 4 2 2 2" xfId="30517" xr:uid="{00000000-0005-0000-0000-000039880000}"/>
    <cellStyle name="Normal 4 2 2 3 2 3 4 2 2 2 2" xfId="62388" xr:uid="{00000000-0005-0000-0000-00003A880000}"/>
    <cellStyle name="Normal 4 2 2 3 2 3 4 2 2 3" xfId="40862" xr:uid="{00000000-0005-0000-0000-00003B880000}"/>
    <cellStyle name="Normal 4 2 2 3 2 3 4 2 3" xfId="22639" xr:uid="{00000000-0005-0000-0000-00003C880000}"/>
    <cellStyle name="Normal 4 2 2 3 2 3 4 2 3 2" xfId="54510" xr:uid="{00000000-0005-0000-0000-00003D880000}"/>
    <cellStyle name="Normal 4 2 2 3 2 3 4 2 4" xfId="40861" xr:uid="{00000000-0005-0000-0000-00003E880000}"/>
    <cellStyle name="Normal 4 2 2 3 2 3 4 3" xfId="8984" xr:uid="{00000000-0005-0000-0000-00003F880000}"/>
    <cellStyle name="Normal 4 2 2 3 2 3 4 3 2" xfId="26578" xr:uid="{00000000-0005-0000-0000-000040880000}"/>
    <cellStyle name="Normal 4 2 2 3 2 3 4 3 2 2" xfId="58449" xr:uid="{00000000-0005-0000-0000-000041880000}"/>
    <cellStyle name="Normal 4 2 2 3 2 3 4 3 3" xfId="40863" xr:uid="{00000000-0005-0000-0000-000042880000}"/>
    <cellStyle name="Normal 4 2 2 3 2 3 4 4" xfId="18700" xr:uid="{00000000-0005-0000-0000-000043880000}"/>
    <cellStyle name="Normal 4 2 2 3 2 3 4 4 2" xfId="50571" xr:uid="{00000000-0005-0000-0000-000044880000}"/>
    <cellStyle name="Normal 4 2 2 3 2 3 4 5" xfId="40860" xr:uid="{00000000-0005-0000-0000-000045880000}"/>
    <cellStyle name="Normal 4 2 2 3 2 3 5" xfId="8985" xr:uid="{00000000-0005-0000-0000-000046880000}"/>
    <cellStyle name="Normal 4 2 2 3 2 3 5 2" xfId="8986" xr:uid="{00000000-0005-0000-0000-000047880000}"/>
    <cellStyle name="Normal 4 2 2 3 2 3 5 2 2" xfId="30510" xr:uid="{00000000-0005-0000-0000-000048880000}"/>
    <cellStyle name="Normal 4 2 2 3 2 3 5 2 2 2" xfId="62381" xr:uid="{00000000-0005-0000-0000-000049880000}"/>
    <cellStyle name="Normal 4 2 2 3 2 3 5 2 3" xfId="40865" xr:uid="{00000000-0005-0000-0000-00004A880000}"/>
    <cellStyle name="Normal 4 2 2 3 2 3 5 3" xfId="22632" xr:uid="{00000000-0005-0000-0000-00004B880000}"/>
    <cellStyle name="Normal 4 2 2 3 2 3 5 3 2" xfId="54503" xr:uid="{00000000-0005-0000-0000-00004C880000}"/>
    <cellStyle name="Normal 4 2 2 3 2 3 5 4" xfId="40864" xr:uid="{00000000-0005-0000-0000-00004D880000}"/>
    <cellStyle name="Normal 4 2 2 3 2 3 6" xfId="8987" xr:uid="{00000000-0005-0000-0000-00004E880000}"/>
    <cellStyle name="Normal 4 2 2 3 2 3 6 2" xfId="26571" xr:uid="{00000000-0005-0000-0000-00004F880000}"/>
    <cellStyle name="Normal 4 2 2 3 2 3 6 2 2" xfId="58442" xr:uid="{00000000-0005-0000-0000-000050880000}"/>
    <cellStyle name="Normal 4 2 2 3 2 3 6 3" xfId="40866" xr:uid="{00000000-0005-0000-0000-000051880000}"/>
    <cellStyle name="Normal 4 2 2 3 2 3 7" xfId="18693" xr:uid="{00000000-0005-0000-0000-000052880000}"/>
    <cellStyle name="Normal 4 2 2 3 2 3 7 2" xfId="50564" xr:uid="{00000000-0005-0000-0000-000053880000}"/>
    <cellStyle name="Normal 4 2 2 3 2 3 8" xfId="40835" xr:uid="{00000000-0005-0000-0000-000054880000}"/>
    <cellStyle name="Normal 4 2 2 3 2 4" xfId="8988" xr:uid="{00000000-0005-0000-0000-000055880000}"/>
    <cellStyle name="Normal 4 2 2 3 2 4 2" xfId="8989" xr:uid="{00000000-0005-0000-0000-000056880000}"/>
    <cellStyle name="Normal 4 2 2 3 2 4 2 2" xfId="8990" xr:uid="{00000000-0005-0000-0000-000057880000}"/>
    <cellStyle name="Normal 4 2 2 3 2 4 2 2 2" xfId="8991" xr:uid="{00000000-0005-0000-0000-000058880000}"/>
    <cellStyle name="Normal 4 2 2 3 2 4 2 2 2 2" xfId="8992" xr:uid="{00000000-0005-0000-0000-000059880000}"/>
    <cellStyle name="Normal 4 2 2 3 2 4 2 2 2 2 2" xfId="30520" xr:uid="{00000000-0005-0000-0000-00005A880000}"/>
    <cellStyle name="Normal 4 2 2 3 2 4 2 2 2 2 2 2" xfId="62391" xr:uid="{00000000-0005-0000-0000-00005B880000}"/>
    <cellStyle name="Normal 4 2 2 3 2 4 2 2 2 2 3" xfId="40871" xr:uid="{00000000-0005-0000-0000-00005C880000}"/>
    <cellStyle name="Normal 4 2 2 3 2 4 2 2 2 3" xfId="22642" xr:uid="{00000000-0005-0000-0000-00005D880000}"/>
    <cellStyle name="Normal 4 2 2 3 2 4 2 2 2 3 2" xfId="54513" xr:uid="{00000000-0005-0000-0000-00005E880000}"/>
    <cellStyle name="Normal 4 2 2 3 2 4 2 2 2 4" xfId="40870" xr:uid="{00000000-0005-0000-0000-00005F880000}"/>
    <cellStyle name="Normal 4 2 2 3 2 4 2 2 3" xfId="8993" xr:uid="{00000000-0005-0000-0000-000060880000}"/>
    <cellStyle name="Normal 4 2 2 3 2 4 2 2 3 2" xfId="26581" xr:uid="{00000000-0005-0000-0000-000061880000}"/>
    <cellStyle name="Normal 4 2 2 3 2 4 2 2 3 2 2" xfId="58452" xr:uid="{00000000-0005-0000-0000-000062880000}"/>
    <cellStyle name="Normal 4 2 2 3 2 4 2 2 3 3" xfId="40872" xr:uid="{00000000-0005-0000-0000-000063880000}"/>
    <cellStyle name="Normal 4 2 2 3 2 4 2 2 4" xfId="18703" xr:uid="{00000000-0005-0000-0000-000064880000}"/>
    <cellStyle name="Normal 4 2 2 3 2 4 2 2 4 2" xfId="50574" xr:uid="{00000000-0005-0000-0000-000065880000}"/>
    <cellStyle name="Normal 4 2 2 3 2 4 2 2 5" xfId="40869" xr:uid="{00000000-0005-0000-0000-000066880000}"/>
    <cellStyle name="Normal 4 2 2 3 2 4 2 3" xfId="8994" xr:uid="{00000000-0005-0000-0000-000067880000}"/>
    <cellStyle name="Normal 4 2 2 3 2 4 2 3 2" xfId="8995" xr:uid="{00000000-0005-0000-0000-000068880000}"/>
    <cellStyle name="Normal 4 2 2 3 2 4 2 3 2 2" xfId="30519" xr:uid="{00000000-0005-0000-0000-000069880000}"/>
    <cellStyle name="Normal 4 2 2 3 2 4 2 3 2 2 2" xfId="62390" xr:uid="{00000000-0005-0000-0000-00006A880000}"/>
    <cellStyle name="Normal 4 2 2 3 2 4 2 3 2 3" xfId="40874" xr:uid="{00000000-0005-0000-0000-00006B880000}"/>
    <cellStyle name="Normal 4 2 2 3 2 4 2 3 3" xfId="22641" xr:uid="{00000000-0005-0000-0000-00006C880000}"/>
    <cellStyle name="Normal 4 2 2 3 2 4 2 3 3 2" xfId="54512" xr:uid="{00000000-0005-0000-0000-00006D880000}"/>
    <cellStyle name="Normal 4 2 2 3 2 4 2 3 4" xfId="40873" xr:uid="{00000000-0005-0000-0000-00006E880000}"/>
    <cellStyle name="Normal 4 2 2 3 2 4 2 4" xfId="8996" xr:uid="{00000000-0005-0000-0000-00006F880000}"/>
    <cellStyle name="Normal 4 2 2 3 2 4 2 4 2" xfId="26580" xr:uid="{00000000-0005-0000-0000-000070880000}"/>
    <cellStyle name="Normal 4 2 2 3 2 4 2 4 2 2" xfId="58451" xr:uid="{00000000-0005-0000-0000-000071880000}"/>
    <cellStyle name="Normal 4 2 2 3 2 4 2 4 3" xfId="40875" xr:uid="{00000000-0005-0000-0000-000072880000}"/>
    <cellStyle name="Normal 4 2 2 3 2 4 2 5" xfId="18702" xr:uid="{00000000-0005-0000-0000-000073880000}"/>
    <cellStyle name="Normal 4 2 2 3 2 4 2 5 2" xfId="50573" xr:uid="{00000000-0005-0000-0000-000074880000}"/>
    <cellStyle name="Normal 4 2 2 3 2 4 2 6" xfId="40868" xr:uid="{00000000-0005-0000-0000-000075880000}"/>
    <cellStyle name="Normal 4 2 2 3 2 4 3" xfId="8997" xr:uid="{00000000-0005-0000-0000-000076880000}"/>
    <cellStyle name="Normal 4 2 2 3 2 4 3 2" xfId="8998" xr:uid="{00000000-0005-0000-0000-000077880000}"/>
    <cellStyle name="Normal 4 2 2 3 2 4 3 2 2" xfId="8999" xr:uid="{00000000-0005-0000-0000-000078880000}"/>
    <cellStyle name="Normal 4 2 2 3 2 4 3 2 2 2" xfId="30521" xr:uid="{00000000-0005-0000-0000-000079880000}"/>
    <cellStyle name="Normal 4 2 2 3 2 4 3 2 2 2 2" xfId="62392" xr:uid="{00000000-0005-0000-0000-00007A880000}"/>
    <cellStyle name="Normal 4 2 2 3 2 4 3 2 2 3" xfId="40878" xr:uid="{00000000-0005-0000-0000-00007B880000}"/>
    <cellStyle name="Normal 4 2 2 3 2 4 3 2 3" xfId="22643" xr:uid="{00000000-0005-0000-0000-00007C880000}"/>
    <cellStyle name="Normal 4 2 2 3 2 4 3 2 3 2" xfId="54514" xr:uid="{00000000-0005-0000-0000-00007D880000}"/>
    <cellStyle name="Normal 4 2 2 3 2 4 3 2 4" xfId="40877" xr:uid="{00000000-0005-0000-0000-00007E880000}"/>
    <cellStyle name="Normal 4 2 2 3 2 4 3 3" xfId="9000" xr:uid="{00000000-0005-0000-0000-00007F880000}"/>
    <cellStyle name="Normal 4 2 2 3 2 4 3 3 2" xfId="26582" xr:uid="{00000000-0005-0000-0000-000080880000}"/>
    <cellStyle name="Normal 4 2 2 3 2 4 3 3 2 2" xfId="58453" xr:uid="{00000000-0005-0000-0000-000081880000}"/>
    <cellStyle name="Normal 4 2 2 3 2 4 3 3 3" xfId="40879" xr:uid="{00000000-0005-0000-0000-000082880000}"/>
    <cellStyle name="Normal 4 2 2 3 2 4 3 4" xfId="18704" xr:uid="{00000000-0005-0000-0000-000083880000}"/>
    <cellStyle name="Normal 4 2 2 3 2 4 3 4 2" xfId="50575" xr:uid="{00000000-0005-0000-0000-000084880000}"/>
    <cellStyle name="Normal 4 2 2 3 2 4 3 5" xfId="40876" xr:uid="{00000000-0005-0000-0000-000085880000}"/>
    <cellStyle name="Normal 4 2 2 3 2 4 4" xfId="9001" xr:uid="{00000000-0005-0000-0000-000086880000}"/>
    <cellStyle name="Normal 4 2 2 3 2 4 4 2" xfId="9002" xr:uid="{00000000-0005-0000-0000-000087880000}"/>
    <cellStyle name="Normal 4 2 2 3 2 4 4 2 2" xfId="30518" xr:uid="{00000000-0005-0000-0000-000088880000}"/>
    <cellStyle name="Normal 4 2 2 3 2 4 4 2 2 2" xfId="62389" xr:uid="{00000000-0005-0000-0000-000089880000}"/>
    <cellStyle name="Normal 4 2 2 3 2 4 4 2 3" xfId="40881" xr:uid="{00000000-0005-0000-0000-00008A880000}"/>
    <cellStyle name="Normal 4 2 2 3 2 4 4 3" xfId="22640" xr:uid="{00000000-0005-0000-0000-00008B880000}"/>
    <cellStyle name="Normal 4 2 2 3 2 4 4 3 2" xfId="54511" xr:uid="{00000000-0005-0000-0000-00008C880000}"/>
    <cellStyle name="Normal 4 2 2 3 2 4 4 4" xfId="40880" xr:uid="{00000000-0005-0000-0000-00008D880000}"/>
    <cellStyle name="Normal 4 2 2 3 2 4 5" xfId="9003" xr:uid="{00000000-0005-0000-0000-00008E880000}"/>
    <cellStyle name="Normal 4 2 2 3 2 4 5 2" xfId="26579" xr:uid="{00000000-0005-0000-0000-00008F880000}"/>
    <cellStyle name="Normal 4 2 2 3 2 4 5 2 2" xfId="58450" xr:uid="{00000000-0005-0000-0000-000090880000}"/>
    <cellStyle name="Normal 4 2 2 3 2 4 5 3" xfId="40882" xr:uid="{00000000-0005-0000-0000-000091880000}"/>
    <cellStyle name="Normal 4 2 2 3 2 4 6" xfId="18701" xr:uid="{00000000-0005-0000-0000-000092880000}"/>
    <cellStyle name="Normal 4 2 2 3 2 4 6 2" xfId="50572" xr:uid="{00000000-0005-0000-0000-000093880000}"/>
    <cellStyle name="Normal 4 2 2 3 2 4 7" xfId="40867" xr:uid="{00000000-0005-0000-0000-000094880000}"/>
    <cellStyle name="Normal 4 2 2 3 2 5" xfId="9004" xr:uid="{00000000-0005-0000-0000-000095880000}"/>
    <cellStyle name="Normal 4 2 2 3 2 5 2" xfId="9005" xr:uid="{00000000-0005-0000-0000-000096880000}"/>
    <cellStyle name="Normal 4 2 2 3 2 5 2 2" xfId="9006" xr:uid="{00000000-0005-0000-0000-000097880000}"/>
    <cellStyle name="Normal 4 2 2 3 2 5 2 2 2" xfId="9007" xr:uid="{00000000-0005-0000-0000-000098880000}"/>
    <cellStyle name="Normal 4 2 2 3 2 5 2 2 2 2" xfId="30523" xr:uid="{00000000-0005-0000-0000-000099880000}"/>
    <cellStyle name="Normal 4 2 2 3 2 5 2 2 2 2 2" xfId="62394" xr:uid="{00000000-0005-0000-0000-00009A880000}"/>
    <cellStyle name="Normal 4 2 2 3 2 5 2 2 2 3" xfId="40886" xr:uid="{00000000-0005-0000-0000-00009B880000}"/>
    <cellStyle name="Normal 4 2 2 3 2 5 2 2 3" xfId="22645" xr:uid="{00000000-0005-0000-0000-00009C880000}"/>
    <cellStyle name="Normal 4 2 2 3 2 5 2 2 3 2" xfId="54516" xr:uid="{00000000-0005-0000-0000-00009D880000}"/>
    <cellStyle name="Normal 4 2 2 3 2 5 2 2 4" xfId="40885" xr:uid="{00000000-0005-0000-0000-00009E880000}"/>
    <cellStyle name="Normal 4 2 2 3 2 5 2 3" xfId="9008" xr:uid="{00000000-0005-0000-0000-00009F880000}"/>
    <cellStyle name="Normal 4 2 2 3 2 5 2 3 2" xfId="26584" xr:uid="{00000000-0005-0000-0000-0000A0880000}"/>
    <cellStyle name="Normal 4 2 2 3 2 5 2 3 2 2" xfId="58455" xr:uid="{00000000-0005-0000-0000-0000A1880000}"/>
    <cellStyle name="Normal 4 2 2 3 2 5 2 3 3" xfId="40887" xr:uid="{00000000-0005-0000-0000-0000A2880000}"/>
    <cellStyle name="Normal 4 2 2 3 2 5 2 4" xfId="18706" xr:uid="{00000000-0005-0000-0000-0000A3880000}"/>
    <cellStyle name="Normal 4 2 2 3 2 5 2 4 2" xfId="50577" xr:uid="{00000000-0005-0000-0000-0000A4880000}"/>
    <cellStyle name="Normal 4 2 2 3 2 5 2 5" xfId="40884" xr:uid="{00000000-0005-0000-0000-0000A5880000}"/>
    <cellStyle name="Normal 4 2 2 3 2 5 3" xfId="9009" xr:uid="{00000000-0005-0000-0000-0000A6880000}"/>
    <cellStyle name="Normal 4 2 2 3 2 5 3 2" xfId="9010" xr:uid="{00000000-0005-0000-0000-0000A7880000}"/>
    <cellStyle name="Normal 4 2 2 3 2 5 3 2 2" xfId="30522" xr:uid="{00000000-0005-0000-0000-0000A8880000}"/>
    <cellStyle name="Normal 4 2 2 3 2 5 3 2 2 2" xfId="62393" xr:uid="{00000000-0005-0000-0000-0000A9880000}"/>
    <cellStyle name="Normal 4 2 2 3 2 5 3 2 3" xfId="40889" xr:uid="{00000000-0005-0000-0000-0000AA880000}"/>
    <cellStyle name="Normal 4 2 2 3 2 5 3 3" xfId="22644" xr:uid="{00000000-0005-0000-0000-0000AB880000}"/>
    <cellStyle name="Normal 4 2 2 3 2 5 3 3 2" xfId="54515" xr:uid="{00000000-0005-0000-0000-0000AC880000}"/>
    <cellStyle name="Normal 4 2 2 3 2 5 3 4" xfId="40888" xr:uid="{00000000-0005-0000-0000-0000AD880000}"/>
    <cellStyle name="Normal 4 2 2 3 2 5 4" xfId="9011" xr:uid="{00000000-0005-0000-0000-0000AE880000}"/>
    <cellStyle name="Normal 4 2 2 3 2 5 4 2" xfId="26583" xr:uid="{00000000-0005-0000-0000-0000AF880000}"/>
    <cellStyle name="Normal 4 2 2 3 2 5 4 2 2" xfId="58454" xr:uid="{00000000-0005-0000-0000-0000B0880000}"/>
    <cellStyle name="Normal 4 2 2 3 2 5 4 3" xfId="40890" xr:uid="{00000000-0005-0000-0000-0000B1880000}"/>
    <cellStyle name="Normal 4 2 2 3 2 5 5" xfId="18705" xr:uid="{00000000-0005-0000-0000-0000B2880000}"/>
    <cellStyle name="Normal 4 2 2 3 2 5 5 2" xfId="50576" xr:uid="{00000000-0005-0000-0000-0000B3880000}"/>
    <cellStyle name="Normal 4 2 2 3 2 5 6" xfId="40883" xr:uid="{00000000-0005-0000-0000-0000B4880000}"/>
    <cellStyle name="Normal 4 2 2 3 2 6" xfId="9012" xr:uid="{00000000-0005-0000-0000-0000B5880000}"/>
    <cellStyle name="Normal 4 2 2 3 2 6 2" xfId="9013" xr:uid="{00000000-0005-0000-0000-0000B6880000}"/>
    <cellStyle name="Normal 4 2 2 3 2 6 2 2" xfId="9014" xr:uid="{00000000-0005-0000-0000-0000B7880000}"/>
    <cellStyle name="Normal 4 2 2 3 2 6 2 2 2" xfId="30524" xr:uid="{00000000-0005-0000-0000-0000B8880000}"/>
    <cellStyle name="Normal 4 2 2 3 2 6 2 2 2 2" xfId="62395" xr:uid="{00000000-0005-0000-0000-0000B9880000}"/>
    <cellStyle name="Normal 4 2 2 3 2 6 2 2 3" xfId="40893" xr:uid="{00000000-0005-0000-0000-0000BA880000}"/>
    <cellStyle name="Normal 4 2 2 3 2 6 2 3" xfId="22646" xr:uid="{00000000-0005-0000-0000-0000BB880000}"/>
    <cellStyle name="Normal 4 2 2 3 2 6 2 3 2" xfId="54517" xr:uid="{00000000-0005-0000-0000-0000BC880000}"/>
    <cellStyle name="Normal 4 2 2 3 2 6 2 4" xfId="40892" xr:uid="{00000000-0005-0000-0000-0000BD880000}"/>
    <cellStyle name="Normal 4 2 2 3 2 6 3" xfId="9015" xr:uid="{00000000-0005-0000-0000-0000BE880000}"/>
    <cellStyle name="Normal 4 2 2 3 2 6 3 2" xfId="26585" xr:uid="{00000000-0005-0000-0000-0000BF880000}"/>
    <cellStyle name="Normal 4 2 2 3 2 6 3 2 2" xfId="58456" xr:uid="{00000000-0005-0000-0000-0000C0880000}"/>
    <cellStyle name="Normal 4 2 2 3 2 6 3 3" xfId="40894" xr:uid="{00000000-0005-0000-0000-0000C1880000}"/>
    <cellStyle name="Normal 4 2 2 3 2 6 4" xfId="18707" xr:uid="{00000000-0005-0000-0000-0000C2880000}"/>
    <cellStyle name="Normal 4 2 2 3 2 6 4 2" xfId="50578" xr:uid="{00000000-0005-0000-0000-0000C3880000}"/>
    <cellStyle name="Normal 4 2 2 3 2 6 5" xfId="40891" xr:uid="{00000000-0005-0000-0000-0000C4880000}"/>
    <cellStyle name="Normal 4 2 2 3 2 7" xfId="9016" xr:uid="{00000000-0005-0000-0000-0000C5880000}"/>
    <cellStyle name="Normal 4 2 2 3 2 7 2" xfId="9017" xr:uid="{00000000-0005-0000-0000-0000C6880000}"/>
    <cellStyle name="Normal 4 2 2 3 2 7 2 2" xfId="28339" xr:uid="{00000000-0005-0000-0000-0000C7880000}"/>
    <cellStyle name="Normal 4 2 2 3 2 7 2 2 2" xfId="60210" xr:uid="{00000000-0005-0000-0000-0000C8880000}"/>
    <cellStyle name="Normal 4 2 2 3 2 7 2 3" xfId="40896" xr:uid="{00000000-0005-0000-0000-0000C9880000}"/>
    <cellStyle name="Normal 4 2 2 3 2 7 3" xfId="20461" xr:uid="{00000000-0005-0000-0000-0000CA880000}"/>
    <cellStyle name="Normal 4 2 2 3 2 7 3 2" xfId="52332" xr:uid="{00000000-0005-0000-0000-0000CB880000}"/>
    <cellStyle name="Normal 4 2 2 3 2 7 4" xfId="40895" xr:uid="{00000000-0005-0000-0000-0000CC880000}"/>
    <cellStyle name="Normal 4 2 2 3 2 8" xfId="9018" xr:uid="{00000000-0005-0000-0000-0000CD880000}"/>
    <cellStyle name="Normal 4 2 2 3 2 8 2" xfId="24400" xr:uid="{00000000-0005-0000-0000-0000CE880000}"/>
    <cellStyle name="Normal 4 2 2 3 2 8 2 2" xfId="56271" xr:uid="{00000000-0005-0000-0000-0000CF880000}"/>
    <cellStyle name="Normal 4 2 2 3 2 8 3" xfId="40897" xr:uid="{00000000-0005-0000-0000-0000D0880000}"/>
    <cellStyle name="Normal 4 2 2 3 2 9" xfId="16522" xr:uid="{00000000-0005-0000-0000-0000D1880000}"/>
    <cellStyle name="Normal 4 2 2 3 2 9 2" xfId="48393" xr:uid="{00000000-0005-0000-0000-0000D2880000}"/>
    <cellStyle name="Normal 4 2 2 3 3" xfId="9019" xr:uid="{00000000-0005-0000-0000-0000D3880000}"/>
    <cellStyle name="Normal 4 2 2 3 3 10" xfId="40898" xr:uid="{00000000-0005-0000-0000-0000D4880000}"/>
    <cellStyle name="Normal 4 2 2 3 3 2" xfId="9020" xr:uid="{00000000-0005-0000-0000-0000D5880000}"/>
    <cellStyle name="Normal 4 2 2 3 3 2 2" xfId="9021" xr:uid="{00000000-0005-0000-0000-0000D6880000}"/>
    <cellStyle name="Normal 4 2 2 3 3 2 2 2" xfId="9022" xr:uid="{00000000-0005-0000-0000-0000D7880000}"/>
    <cellStyle name="Normal 4 2 2 3 3 2 2 2 2" xfId="9023" xr:uid="{00000000-0005-0000-0000-0000D8880000}"/>
    <cellStyle name="Normal 4 2 2 3 3 2 2 2 2 2" xfId="9024" xr:uid="{00000000-0005-0000-0000-0000D9880000}"/>
    <cellStyle name="Normal 4 2 2 3 3 2 2 2 2 2 2" xfId="9025" xr:uid="{00000000-0005-0000-0000-0000DA880000}"/>
    <cellStyle name="Normal 4 2 2 3 3 2 2 2 2 2 2 2" xfId="9026" xr:uid="{00000000-0005-0000-0000-0000DB880000}"/>
    <cellStyle name="Normal 4 2 2 3 3 2 2 2 2 2 2 2 2" xfId="30528" xr:uid="{00000000-0005-0000-0000-0000DC880000}"/>
    <cellStyle name="Normal 4 2 2 3 3 2 2 2 2 2 2 2 2 2" xfId="62399" xr:uid="{00000000-0005-0000-0000-0000DD880000}"/>
    <cellStyle name="Normal 4 2 2 3 3 2 2 2 2 2 2 2 3" xfId="40905" xr:uid="{00000000-0005-0000-0000-0000DE880000}"/>
    <cellStyle name="Normal 4 2 2 3 3 2 2 2 2 2 2 3" xfId="22650" xr:uid="{00000000-0005-0000-0000-0000DF880000}"/>
    <cellStyle name="Normal 4 2 2 3 3 2 2 2 2 2 2 3 2" xfId="54521" xr:uid="{00000000-0005-0000-0000-0000E0880000}"/>
    <cellStyle name="Normal 4 2 2 3 3 2 2 2 2 2 2 4" xfId="40904" xr:uid="{00000000-0005-0000-0000-0000E1880000}"/>
    <cellStyle name="Normal 4 2 2 3 3 2 2 2 2 2 3" xfId="9027" xr:uid="{00000000-0005-0000-0000-0000E2880000}"/>
    <cellStyle name="Normal 4 2 2 3 3 2 2 2 2 2 3 2" xfId="26589" xr:uid="{00000000-0005-0000-0000-0000E3880000}"/>
    <cellStyle name="Normal 4 2 2 3 3 2 2 2 2 2 3 2 2" xfId="58460" xr:uid="{00000000-0005-0000-0000-0000E4880000}"/>
    <cellStyle name="Normal 4 2 2 3 3 2 2 2 2 2 3 3" xfId="40906" xr:uid="{00000000-0005-0000-0000-0000E5880000}"/>
    <cellStyle name="Normal 4 2 2 3 3 2 2 2 2 2 4" xfId="18711" xr:uid="{00000000-0005-0000-0000-0000E6880000}"/>
    <cellStyle name="Normal 4 2 2 3 3 2 2 2 2 2 4 2" xfId="50582" xr:uid="{00000000-0005-0000-0000-0000E7880000}"/>
    <cellStyle name="Normal 4 2 2 3 3 2 2 2 2 2 5" xfId="40903" xr:uid="{00000000-0005-0000-0000-0000E8880000}"/>
    <cellStyle name="Normal 4 2 2 3 3 2 2 2 2 3" xfId="9028" xr:uid="{00000000-0005-0000-0000-0000E9880000}"/>
    <cellStyle name="Normal 4 2 2 3 3 2 2 2 2 3 2" xfId="9029" xr:uid="{00000000-0005-0000-0000-0000EA880000}"/>
    <cellStyle name="Normal 4 2 2 3 3 2 2 2 2 3 2 2" xfId="30527" xr:uid="{00000000-0005-0000-0000-0000EB880000}"/>
    <cellStyle name="Normal 4 2 2 3 3 2 2 2 2 3 2 2 2" xfId="62398" xr:uid="{00000000-0005-0000-0000-0000EC880000}"/>
    <cellStyle name="Normal 4 2 2 3 3 2 2 2 2 3 2 3" xfId="40908" xr:uid="{00000000-0005-0000-0000-0000ED880000}"/>
    <cellStyle name="Normal 4 2 2 3 3 2 2 2 2 3 3" xfId="22649" xr:uid="{00000000-0005-0000-0000-0000EE880000}"/>
    <cellStyle name="Normal 4 2 2 3 3 2 2 2 2 3 3 2" xfId="54520" xr:uid="{00000000-0005-0000-0000-0000EF880000}"/>
    <cellStyle name="Normal 4 2 2 3 3 2 2 2 2 3 4" xfId="40907" xr:uid="{00000000-0005-0000-0000-0000F0880000}"/>
    <cellStyle name="Normal 4 2 2 3 3 2 2 2 2 4" xfId="9030" xr:uid="{00000000-0005-0000-0000-0000F1880000}"/>
    <cellStyle name="Normal 4 2 2 3 3 2 2 2 2 4 2" xfId="26588" xr:uid="{00000000-0005-0000-0000-0000F2880000}"/>
    <cellStyle name="Normal 4 2 2 3 3 2 2 2 2 4 2 2" xfId="58459" xr:uid="{00000000-0005-0000-0000-0000F3880000}"/>
    <cellStyle name="Normal 4 2 2 3 3 2 2 2 2 4 3" xfId="40909" xr:uid="{00000000-0005-0000-0000-0000F4880000}"/>
    <cellStyle name="Normal 4 2 2 3 3 2 2 2 2 5" xfId="18710" xr:uid="{00000000-0005-0000-0000-0000F5880000}"/>
    <cellStyle name="Normal 4 2 2 3 3 2 2 2 2 5 2" xfId="50581" xr:uid="{00000000-0005-0000-0000-0000F6880000}"/>
    <cellStyle name="Normal 4 2 2 3 3 2 2 2 2 6" xfId="40902" xr:uid="{00000000-0005-0000-0000-0000F7880000}"/>
    <cellStyle name="Normal 4 2 2 3 3 2 2 2 3" xfId="9031" xr:uid="{00000000-0005-0000-0000-0000F8880000}"/>
    <cellStyle name="Normal 4 2 2 3 3 2 2 2 3 2" xfId="9032" xr:uid="{00000000-0005-0000-0000-0000F9880000}"/>
    <cellStyle name="Normal 4 2 2 3 3 2 2 2 3 2 2" xfId="9033" xr:uid="{00000000-0005-0000-0000-0000FA880000}"/>
    <cellStyle name="Normal 4 2 2 3 3 2 2 2 3 2 2 2" xfId="30529" xr:uid="{00000000-0005-0000-0000-0000FB880000}"/>
    <cellStyle name="Normal 4 2 2 3 3 2 2 2 3 2 2 2 2" xfId="62400" xr:uid="{00000000-0005-0000-0000-0000FC880000}"/>
    <cellStyle name="Normal 4 2 2 3 3 2 2 2 3 2 2 3" xfId="40912" xr:uid="{00000000-0005-0000-0000-0000FD880000}"/>
    <cellStyle name="Normal 4 2 2 3 3 2 2 2 3 2 3" xfId="22651" xr:uid="{00000000-0005-0000-0000-0000FE880000}"/>
    <cellStyle name="Normal 4 2 2 3 3 2 2 2 3 2 3 2" xfId="54522" xr:uid="{00000000-0005-0000-0000-0000FF880000}"/>
    <cellStyle name="Normal 4 2 2 3 3 2 2 2 3 2 4" xfId="40911" xr:uid="{00000000-0005-0000-0000-000000890000}"/>
    <cellStyle name="Normal 4 2 2 3 3 2 2 2 3 3" xfId="9034" xr:uid="{00000000-0005-0000-0000-000001890000}"/>
    <cellStyle name="Normal 4 2 2 3 3 2 2 2 3 3 2" xfId="26590" xr:uid="{00000000-0005-0000-0000-000002890000}"/>
    <cellStyle name="Normal 4 2 2 3 3 2 2 2 3 3 2 2" xfId="58461" xr:uid="{00000000-0005-0000-0000-000003890000}"/>
    <cellStyle name="Normal 4 2 2 3 3 2 2 2 3 3 3" xfId="40913" xr:uid="{00000000-0005-0000-0000-000004890000}"/>
    <cellStyle name="Normal 4 2 2 3 3 2 2 2 3 4" xfId="18712" xr:uid="{00000000-0005-0000-0000-000005890000}"/>
    <cellStyle name="Normal 4 2 2 3 3 2 2 2 3 4 2" xfId="50583" xr:uid="{00000000-0005-0000-0000-000006890000}"/>
    <cellStyle name="Normal 4 2 2 3 3 2 2 2 3 5" xfId="40910" xr:uid="{00000000-0005-0000-0000-000007890000}"/>
    <cellStyle name="Normal 4 2 2 3 3 2 2 2 4" xfId="9035" xr:uid="{00000000-0005-0000-0000-000008890000}"/>
    <cellStyle name="Normal 4 2 2 3 3 2 2 2 4 2" xfId="9036" xr:uid="{00000000-0005-0000-0000-000009890000}"/>
    <cellStyle name="Normal 4 2 2 3 3 2 2 2 4 2 2" xfId="30526" xr:uid="{00000000-0005-0000-0000-00000A890000}"/>
    <cellStyle name="Normal 4 2 2 3 3 2 2 2 4 2 2 2" xfId="62397" xr:uid="{00000000-0005-0000-0000-00000B890000}"/>
    <cellStyle name="Normal 4 2 2 3 3 2 2 2 4 2 3" xfId="40915" xr:uid="{00000000-0005-0000-0000-00000C890000}"/>
    <cellStyle name="Normal 4 2 2 3 3 2 2 2 4 3" xfId="22648" xr:uid="{00000000-0005-0000-0000-00000D890000}"/>
    <cellStyle name="Normal 4 2 2 3 3 2 2 2 4 3 2" xfId="54519" xr:uid="{00000000-0005-0000-0000-00000E890000}"/>
    <cellStyle name="Normal 4 2 2 3 3 2 2 2 4 4" xfId="40914" xr:uid="{00000000-0005-0000-0000-00000F890000}"/>
    <cellStyle name="Normal 4 2 2 3 3 2 2 2 5" xfId="9037" xr:uid="{00000000-0005-0000-0000-000010890000}"/>
    <cellStyle name="Normal 4 2 2 3 3 2 2 2 5 2" xfId="26587" xr:uid="{00000000-0005-0000-0000-000011890000}"/>
    <cellStyle name="Normal 4 2 2 3 3 2 2 2 5 2 2" xfId="58458" xr:uid="{00000000-0005-0000-0000-000012890000}"/>
    <cellStyle name="Normal 4 2 2 3 3 2 2 2 5 3" xfId="40916" xr:uid="{00000000-0005-0000-0000-000013890000}"/>
    <cellStyle name="Normal 4 2 2 3 3 2 2 2 6" xfId="18709" xr:uid="{00000000-0005-0000-0000-000014890000}"/>
    <cellStyle name="Normal 4 2 2 3 3 2 2 2 6 2" xfId="50580" xr:uid="{00000000-0005-0000-0000-000015890000}"/>
    <cellStyle name="Normal 4 2 2 3 3 2 2 2 7" xfId="40901" xr:uid="{00000000-0005-0000-0000-000016890000}"/>
    <cellStyle name="Normal 4 2 2 3 3 2 2 3" xfId="9038" xr:uid="{00000000-0005-0000-0000-000017890000}"/>
    <cellStyle name="Normal 4 2 2 3 3 2 2 3 2" xfId="9039" xr:uid="{00000000-0005-0000-0000-000018890000}"/>
    <cellStyle name="Normal 4 2 2 3 3 2 2 3 2 2" xfId="9040" xr:uid="{00000000-0005-0000-0000-000019890000}"/>
    <cellStyle name="Normal 4 2 2 3 3 2 2 3 2 2 2" xfId="9041" xr:uid="{00000000-0005-0000-0000-00001A890000}"/>
    <cellStyle name="Normal 4 2 2 3 3 2 2 3 2 2 2 2" xfId="30531" xr:uid="{00000000-0005-0000-0000-00001B890000}"/>
    <cellStyle name="Normal 4 2 2 3 3 2 2 3 2 2 2 2 2" xfId="62402" xr:uid="{00000000-0005-0000-0000-00001C890000}"/>
    <cellStyle name="Normal 4 2 2 3 3 2 2 3 2 2 2 3" xfId="40920" xr:uid="{00000000-0005-0000-0000-00001D890000}"/>
    <cellStyle name="Normal 4 2 2 3 3 2 2 3 2 2 3" xfId="22653" xr:uid="{00000000-0005-0000-0000-00001E890000}"/>
    <cellStyle name="Normal 4 2 2 3 3 2 2 3 2 2 3 2" xfId="54524" xr:uid="{00000000-0005-0000-0000-00001F890000}"/>
    <cellStyle name="Normal 4 2 2 3 3 2 2 3 2 2 4" xfId="40919" xr:uid="{00000000-0005-0000-0000-000020890000}"/>
    <cellStyle name="Normal 4 2 2 3 3 2 2 3 2 3" xfId="9042" xr:uid="{00000000-0005-0000-0000-000021890000}"/>
    <cellStyle name="Normal 4 2 2 3 3 2 2 3 2 3 2" xfId="26592" xr:uid="{00000000-0005-0000-0000-000022890000}"/>
    <cellStyle name="Normal 4 2 2 3 3 2 2 3 2 3 2 2" xfId="58463" xr:uid="{00000000-0005-0000-0000-000023890000}"/>
    <cellStyle name="Normal 4 2 2 3 3 2 2 3 2 3 3" xfId="40921" xr:uid="{00000000-0005-0000-0000-000024890000}"/>
    <cellStyle name="Normal 4 2 2 3 3 2 2 3 2 4" xfId="18714" xr:uid="{00000000-0005-0000-0000-000025890000}"/>
    <cellStyle name="Normal 4 2 2 3 3 2 2 3 2 4 2" xfId="50585" xr:uid="{00000000-0005-0000-0000-000026890000}"/>
    <cellStyle name="Normal 4 2 2 3 3 2 2 3 2 5" xfId="40918" xr:uid="{00000000-0005-0000-0000-000027890000}"/>
    <cellStyle name="Normal 4 2 2 3 3 2 2 3 3" xfId="9043" xr:uid="{00000000-0005-0000-0000-000028890000}"/>
    <cellStyle name="Normal 4 2 2 3 3 2 2 3 3 2" xfId="9044" xr:uid="{00000000-0005-0000-0000-000029890000}"/>
    <cellStyle name="Normal 4 2 2 3 3 2 2 3 3 2 2" xfId="30530" xr:uid="{00000000-0005-0000-0000-00002A890000}"/>
    <cellStyle name="Normal 4 2 2 3 3 2 2 3 3 2 2 2" xfId="62401" xr:uid="{00000000-0005-0000-0000-00002B890000}"/>
    <cellStyle name="Normal 4 2 2 3 3 2 2 3 3 2 3" xfId="40923" xr:uid="{00000000-0005-0000-0000-00002C890000}"/>
    <cellStyle name="Normal 4 2 2 3 3 2 2 3 3 3" xfId="22652" xr:uid="{00000000-0005-0000-0000-00002D890000}"/>
    <cellStyle name="Normal 4 2 2 3 3 2 2 3 3 3 2" xfId="54523" xr:uid="{00000000-0005-0000-0000-00002E890000}"/>
    <cellStyle name="Normal 4 2 2 3 3 2 2 3 3 4" xfId="40922" xr:uid="{00000000-0005-0000-0000-00002F890000}"/>
    <cellStyle name="Normal 4 2 2 3 3 2 2 3 4" xfId="9045" xr:uid="{00000000-0005-0000-0000-000030890000}"/>
    <cellStyle name="Normal 4 2 2 3 3 2 2 3 4 2" xfId="26591" xr:uid="{00000000-0005-0000-0000-000031890000}"/>
    <cellStyle name="Normal 4 2 2 3 3 2 2 3 4 2 2" xfId="58462" xr:uid="{00000000-0005-0000-0000-000032890000}"/>
    <cellStyle name="Normal 4 2 2 3 3 2 2 3 4 3" xfId="40924" xr:uid="{00000000-0005-0000-0000-000033890000}"/>
    <cellStyle name="Normal 4 2 2 3 3 2 2 3 5" xfId="18713" xr:uid="{00000000-0005-0000-0000-000034890000}"/>
    <cellStyle name="Normal 4 2 2 3 3 2 2 3 5 2" xfId="50584" xr:uid="{00000000-0005-0000-0000-000035890000}"/>
    <cellStyle name="Normal 4 2 2 3 3 2 2 3 6" xfId="40917" xr:uid="{00000000-0005-0000-0000-000036890000}"/>
    <cellStyle name="Normal 4 2 2 3 3 2 2 4" xfId="9046" xr:uid="{00000000-0005-0000-0000-000037890000}"/>
    <cellStyle name="Normal 4 2 2 3 3 2 2 4 2" xfId="9047" xr:uid="{00000000-0005-0000-0000-000038890000}"/>
    <cellStyle name="Normal 4 2 2 3 3 2 2 4 2 2" xfId="9048" xr:uid="{00000000-0005-0000-0000-000039890000}"/>
    <cellStyle name="Normal 4 2 2 3 3 2 2 4 2 2 2" xfId="30532" xr:uid="{00000000-0005-0000-0000-00003A890000}"/>
    <cellStyle name="Normal 4 2 2 3 3 2 2 4 2 2 2 2" xfId="62403" xr:uid="{00000000-0005-0000-0000-00003B890000}"/>
    <cellStyle name="Normal 4 2 2 3 3 2 2 4 2 2 3" xfId="40927" xr:uid="{00000000-0005-0000-0000-00003C890000}"/>
    <cellStyle name="Normal 4 2 2 3 3 2 2 4 2 3" xfId="22654" xr:uid="{00000000-0005-0000-0000-00003D890000}"/>
    <cellStyle name="Normal 4 2 2 3 3 2 2 4 2 3 2" xfId="54525" xr:uid="{00000000-0005-0000-0000-00003E890000}"/>
    <cellStyle name="Normal 4 2 2 3 3 2 2 4 2 4" xfId="40926" xr:uid="{00000000-0005-0000-0000-00003F890000}"/>
    <cellStyle name="Normal 4 2 2 3 3 2 2 4 3" xfId="9049" xr:uid="{00000000-0005-0000-0000-000040890000}"/>
    <cellStyle name="Normal 4 2 2 3 3 2 2 4 3 2" xfId="26593" xr:uid="{00000000-0005-0000-0000-000041890000}"/>
    <cellStyle name="Normal 4 2 2 3 3 2 2 4 3 2 2" xfId="58464" xr:uid="{00000000-0005-0000-0000-000042890000}"/>
    <cellStyle name="Normal 4 2 2 3 3 2 2 4 3 3" xfId="40928" xr:uid="{00000000-0005-0000-0000-000043890000}"/>
    <cellStyle name="Normal 4 2 2 3 3 2 2 4 4" xfId="18715" xr:uid="{00000000-0005-0000-0000-000044890000}"/>
    <cellStyle name="Normal 4 2 2 3 3 2 2 4 4 2" xfId="50586" xr:uid="{00000000-0005-0000-0000-000045890000}"/>
    <cellStyle name="Normal 4 2 2 3 3 2 2 4 5" xfId="40925" xr:uid="{00000000-0005-0000-0000-000046890000}"/>
    <cellStyle name="Normal 4 2 2 3 3 2 2 5" xfId="9050" xr:uid="{00000000-0005-0000-0000-000047890000}"/>
    <cellStyle name="Normal 4 2 2 3 3 2 2 5 2" xfId="9051" xr:uid="{00000000-0005-0000-0000-000048890000}"/>
    <cellStyle name="Normal 4 2 2 3 3 2 2 5 2 2" xfId="30525" xr:uid="{00000000-0005-0000-0000-000049890000}"/>
    <cellStyle name="Normal 4 2 2 3 3 2 2 5 2 2 2" xfId="62396" xr:uid="{00000000-0005-0000-0000-00004A890000}"/>
    <cellStyle name="Normal 4 2 2 3 3 2 2 5 2 3" xfId="40930" xr:uid="{00000000-0005-0000-0000-00004B890000}"/>
    <cellStyle name="Normal 4 2 2 3 3 2 2 5 3" xfId="22647" xr:uid="{00000000-0005-0000-0000-00004C890000}"/>
    <cellStyle name="Normal 4 2 2 3 3 2 2 5 3 2" xfId="54518" xr:uid="{00000000-0005-0000-0000-00004D890000}"/>
    <cellStyle name="Normal 4 2 2 3 3 2 2 5 4" xfId="40929" xr:uid="{00000000-0005-0000-0000-00004E890000}"/>
    <cellStyle name="Normal 4 2 2 3 3 2 2 6" xfId="9052" xr:uid="{00000000-0005-0000-0000-00004F890000}"/>
    <cellStyle name="Normal 4 2 2 3 3 2 2 6 2" xfId="26586" xr:uid="{00000000-0005-0000-0000-000050890000}"/>
    <cellStyle name="Normal 4 2 2 3 3 2 2 6 2 2" xfId="58457" xr:uid="{00000000-0005-0000-0000-000051890000}"/>
    <cellStyle name="Normal 4 2 2 3 3 2 2 6 3" xfId="40931" xr:uid="{00000000-0005-0000-0000-000052890000}"/>
    <cellStyle name="Normal 4 2 2 3 3 2 2 7" xfId="18708" xr:uid="{00000000-0005-0000-0000-000053890000}"/>
    <cellStyle name="Normal 4 2 2 3 3 2 2 7 2" xfId="50579" xr:uid="{00000000-0005-0000-0000-000054890000}"/>
    <cellStyle name="Normal 4 2 2 3 3 2 2 8" xfId="40900" xr:uid="{00000000-0005-0000-0000-000055890000}"/>
    <cellStyle name="Normal 4 2 2 3 3 2 3" xfId="9053" xr:uid="{00000000-0005-0000-0000-000056890000}"/>
    <cellStyle name="Normal 4 2 2 3 3 2 3 2" xfId="9054" xr:uid="{00000000-0005-0000-0000-000057890000}"/>
    <cellStyle name="Normal 4 2 2 3 3 2 3 2 2" xfId="9055" xr:uid="{00000000-0005-0000-0000-000058890000}"/>
    <cellStyle name="Normal 4 2 2 3 3 2 3 2 2 2" xfId="9056" xr:uid="{00000000-0005-0000-0000-000059890000}"/>
    <cellStyle name="Normal 4 2 2 3 3 2 3 2 2 2 2" xfId="9057" xr:uid="{00000000-0005-0000-0000-00005A890000}"/>
    <cellStyle name="Normal 4 2 2 3 3 2 3 2 2 2 2 2" xfId="30535" xr:uid="{00000000-0005-0000-0000-00005B890000}"/>
    <cellStyle name="Normal 4 2 2 3 3 2 3 2 2 2 2 2 2" xfId="62406" xr:uid="{00000000-0005-0000-0000-00005C890000}"/>
    <cellStyle name="Normal 4 2 2 3 3 2 3 2 2 2 2 3" xfId="40936" xr:uid="{00000000-0005-0000-0000-00005D890000}"/>
    <cellStyle name="Normal 4 2 2 3 3 2 3 2 2 2 3" xfId="22657" xr:uid="{00000000-0005-0000-0000-00005E890000}"/>
    <cellStyle name="Normal 4 2 2 3 3 2 3 2 2 2 3 2" xfId="54528" xr:uid="{00000000-0005-0000-0000-00005F890000}"/>
    <cellStyle name="Normal 4 2 2 3 3 2 3 2 2 2 4" xfId="40935" xr:uid="{00000000-0005-0000-0000-000060890000}"/>
    <cellStyle name="Normal 4 2 2 3 3 2 3 2 2 3" xfId="9058" xr:uid="{00000000-0005-0000-0000-000061890000}"/>
    <cellStyle name="Normal 4 2 2 3 3 2 3 2 2 3 2" xfId="26596" xr:uid="{00000000-0005-0000-0000-000062890000}"/>
    <cellStyle name="Normal 4 2 2 3 3 2 3 2 2 3 2 2" xfId="58467" xr:uid="{00000000-0005-0000-0000-000063890000}"/>
    <cellStyle name="Normal 4 2 2 3 3 2 3 2 2 3 3" xfId="40937" xr:uid="{00000000-0005-0000-0000-000064890000}"/>
    <cellStyle name="Normal 4 2 2 3 3 2 3 2 2 4" xfId="18718" xr:uid="{00000000-0005-0000-0000-000065890000}"/>
    <cellStyle name="Normal 4 2 2 3 3 2 3 2 2 4 2" xfId="50589" xr:uid="{00000000-0005-0000-0000-000066890000}"/>
    <cellStyle name="Normal 4 2 2 3 3 2 3 2 2 5" xfId="40934" xr:uid="{00000000-0005-0000-0000-000067890000}"/>
    <cellStyle name="Normal 4 2 2 3 3 2 3 2 3" xfId="9059" xr:uid="{00000000-0005-0000-0000-000068890000}"/>
    <cellStyle name="Normal 4 2 2 3 3 2 3 2 3 2" xfId="9060" xr:uid="{00000000-0005-0000-0000-000069890000}"/>
    <cellStyle name="Normal 4 2 2 3 3 2 3 2 3 2 2" xfId="30534" xr:uid="{00000000-0005-0000-0000-00006A890000}"/>
    <cellStyle name="Normal 4 2 2 3 3 2 3 2 3 2 2 2" xfId="62405" xr:uid="{00000000-0005-0000-0000-00006B890000}"/>
    <cellStyle name="Normal 4 2 2 3 3 2 3 2 3 2 3" xfId="40939" xr:uid="{00000000-0005-0000-0000-00006C890000}"/>
    <cellStyle name="Normal 4 2 2 3 3 2 3 2 3 3" xfId="22656" xr:uid="{00000000-0005-0000-0000-00006D890000}"/>
    <cellStyle name="Normal 4 2 2 3 3 2 3 2 3 3 2" xfId="54527" xr:uid="{00000000-0005-0000-0000-00006E890000}"/>
    <cellStyle name="Normal 4 2 2 3 3 2 3 2 3 4" xfId="40938" xr:uid="{00000000-0005-0000-0000-00006F890000}"/>
    <cellStyle name="Normal 4 2 2 3 3 2 3 2 4" xfId="9061" xr:uid="{00000000-0005-0000-0000-000070890000}"/>
    <cellStyle name="Normal 4 2 2 3 3 2 3 2 4 2" xfId="26595" xr:uid="{00000000-0005-0000-0000-000071890000}"/>
    <cellStyle name="Normal 4 2 2 3 3 2 3 2 4 2 2" xfId="58466" xr:uid="{00000000-0005-0000-0000-000072890000}"/>
    <cellStyle name="Normal 4 2 2 3 3 2 3 2 4 3" xfId="40940" xr:uid="{00000000-0005-0000-0000-000073890000}"/>
    <cellStyle name="Normal 4 2 2 3 3 2 3 2 5" xfId="18717" xr:uid="{00000000-0005-0000-0000-000074890000}"/>
    <cellStyle name="Normal 4 2 2 3 3 2 3 2 5 2" xfId="50588" xr:uid="{00000000-0005-0000-0000-000075890000}"/>
    <cellStyle name="Normal 4 2 2 3 3 2 3 2 6" xfId="40933" xr:uid="{00000000-0005-0000-0000-000076890000}"/>
    <cellStyle name="Normal 4 2 2 3 3 2 3 3" xfId="9062" xr:uid="{00000000-0005-0000-0000-000077890000}"/>
    <cellStyle name="Normal 4 2 2 3 3 2 3 3 2" xfId="9063" xr:uid="{00000000-0005-0000-0000-000078890000}"/>
    <cellStyle name="Normal 4 2 2 3 3 2 3 3 2 2" xfId="9064" xr:uid="{00000000-0005-0000-0000-000079890000}"/>
    <cellStyle name="Normal 4 2 2 3 3 2 3 3 2 2 2" xfId="30536" xr:uid="{00000000-0005-0000-0000-00007A890000}"/>
    <cellStyle name="Normal 4 2 2 3 3 2 3 3 2 2 2 2" xfId="62407" xr:uid="{00000000-0005-0000-0000-00007B890000}"/>
    <cellStyle name="Normal 4 2 2 3 3 2 3 3 2 2 3" xfId="40943" xr:uid="{00000000-0005-0000-0000-00007C890000}"/>
    <cellStyle name="Normal 4 2 2 3 3 2 3 3 2 3" xfId="22658" xr:uid="{00000000-0005-0000-0000-00007D890000}"/>
    <cellStyle name="Normal 4 2 2 3 3 2 3 3 2 3 2" xfId="54529" xr:uid="{00000000-0005-0000-0000-00007E890000}"/>
    <cellStyle name="Normal 4 2 2 3 3 2 3 3 2 4" xfId="40942" xr:uid="{00000000-0005-0000-0000-00007F890000}"/>
    <cellStyle name="Normal 4 2 2 3 3 2 3 3 3" xfId="9065" xr:uid="{00000000-0005-0000-0000-000080890000}"/>
    <cellStyle name="Normal 4 2 2 3 3 2 3 3 3 2" xfId="26597" xr:uid="{00000000-0005-0000-0000-000081890000}"/>
    <cellStyle name="Normal 4 2 2 3 3 2 3 3 3 2 2" xfId="58468" xr:uid="{00000000-0005-0000-0000-000082890000}"/>
    <cellStyle name="Normal 4 2 2 3 3 2 3 3 3 3" xfId="40944" xr:uid="{00000000-0005-0000-0000-000083890000}"/>
    <cellStyle name="Normal 4 2 2 3 3 2 3 3 4" xfId="18719" xr:uid="{00000000-0005-0000-0000-000084890000}"/>
    <cellStyle name="Normal 4 2 2 3 3 2 3 3 4 2" xfId="50590" xr:uid="{00000000-0005-0000-0000-000085890000}"/>
    <cellStyle name="Normal 4 2 2 3 3 2 3 3 5" xfId="40941" xr:uid="{00000000-0005-0000-0000-000086890000}"/>
    <cellStyle name="Normal 4 2 2 3 3 2 3 4" xfId="9066" xr:uid="{00000000-0005-0000-0000-000087890000}"/>
    <cellStyle name="Normal 4 2 2 3 3 2 3 4 2" xfId="9067" xr:uid="{00000000-0005-0000-0000-000088890000}"/>
    <cellStyle name="Normal 4 2 2 3 3 2 3 4 2 2" xfId="30533" xr:uid="{00000000-0005-0000-0000-000089890000}"/>
    <cellStyle name="Normal 4 2 2 3 3 2 3 4 2 2 2" xfId="62404" xr:uid="{00000000-0005-0000-0000-00008A890000}"/>
    <cellStyle name="Normal 4 2 2 3 3 2 3 4 2 3" xfId="40946" xr:uid="{00000000-0005-0000-0000-00008B890000}"/>
    <cellStyle name="Normal 4 2 2 3 3 2 3 4 3" xfId="22655" xr:uid="{00000000-0005-0000-0000-00008C890000}"/>
    <cellStyle name="Normal 4 2 2 3 3 2 3 4 3 2" xfId="54526" xr:uid="{00000000-0005-0000-0000-00008D890000}"/>
    <cellStyle name="Normal 4 2 2 3 3 2 3 4 4" xfId="40945" xr:uid="{00000000-0005-0000-0000-00008E890000}"/>
    <cellStyle name="Normal 4 2 2 3 3 2 3 5" xfId="9068" xr:uid="{00000000-0005-0000-0000-00008F890000}"/>
    <cellStyle name="Normal 4 2 2 3 3 2 3 5 2" xfId="26594" xr:uid="{00000000-0005-0000-0000-000090890000}"/>
    <cellStyle name="Normal 4 2 2 3 3 2 3 5 2 2" xfId="58465" xr:uid="{00000000-0005-0000-0000-000091890000}"/>
    <cellStyle name="Normal 4 2 2 3 3 2 3 5 3" xfId="40947" xr:uid="{00000000-0005-0000-0000-000092890000}"/>
    <cellStyle name="Normal 4 2 2 3 3 2 3 6" xfId="18716" xr:uid="{00000000-0005-0000-0000-000093890000}"/>
    <cellStyle name="Normal 4 2 2 3 3 2 3 6 2" xfId="50587" xr:uid="{00000000-0005-0000-0000-000094890000}"/>
    <cellStyle name="Normal 4 2 2 3 3 2 3 7" xfId="40932" xr:uid="{00000000-0005-0000-0000-000095890000}"/>
    <cellStyle name="Normal 4 2 2 3 3 2 4" xfId="9069" xr:uid="{00000000-0005-0000-0000-000096890000}"/>
    <cellStyle name="Normal 4 2 2 3 3 2 4 2" xfId="9070" xr:uid="{00000000-0005-0000-0000-000097890000}"/>
    <cellStyle name="Normal 4 2 2 3 3 2 4 2 2" xfId="9071" xr:uid="{00000000-0005-0000-0000-000098890000}"/>
    <cellStyle name="Normal 4 2 2 3 3 2 4 2 2 2" xfId="9072" xr:uid="{00000000-0005-0000-0000-000099890000}"/>
    <cellStyle name="Normal 4 2 2 3 3 2 4 2 2 2 2" xfId="30538" xr:uid="{00000000-0005-0000-0000-00009A890000}"/>
    <cellStyle name="Normal 4 2 2 3 3 2 4 2 2 2 2 2" xfId="62409" xr:uid="{00000000-0005-0000-0000-00009B890000}"/>
    <cellStyle name="Normal 4 2 2 3 3 2 4 2 2 2 3" xfId="40951" xr:uid="{00000000-0005-0000-0000-00009C890000}"/>
    <cellStyle name="Normal 4 2 2 3 3 2 4 2 2 3" xfId="22660" xr:uid="{00000000-0005-0000-0000-00009D890000}"/>
    <cellStyle name="Normal 4 2 2 3 3 2 4 2 2 3 2" xfId="54531" xr:uid="{00000000-0005-0000-0000-00009E890000}"/>
    <cellStyle name="Normal 4 2 2 3 3 2 4 2 2 4" xfId="40950" xr:uid="{00000000-0005-0000-0000-00009F890000}"/>
    <cellStyle name="Normal 4 2 2 3 3 2 4 2 3" xfId="9073" xr:uid="{00000000-0005-0000-0000-0000A0890000}"/>
    <cellStyle name="Normal 4 2 2 3 3 2 4 2 3 2" xfId="26599" xr:uid="{00000000-0005-0000-0000-0000A1890000}"/>
    <cellStyle name="Normal 4 2 2 3 3 2 4 2 3 2 2" xfId="58470" xr:uid="{00000000-0005-0000-0000-0000A2890000}"/>
    <cellStyle name="Normal 4 2 2 3 3 2 4 2 3 3" xfId="40952" xr:uid="{00000000-0005-0000-0000-0000A3890000}"/>
    <cellStyle name="Normal 4 2 2 3 3 2 4 2 4" xfId="18721" xr:uid="{00000000-0005-0000-0000-0000A4890000}"/>
    <cellStyle name="Normal 4 2 2 3 3 2 4 2 4 2" xfId="50592" xr:uid="{00000000-0005-0000-0000-0000A5890000}"/>
    <cellStyle name="Normal 4 2 2 3 3 2 4 2 5" xfId="40949" xr:uid="{00000000-0005-0000-0000-0000A6890000}"/>
    <cellStyle name="Normal 4 2 2 3 3 2 4 3" xfId="9074" xr:uid="{00000000-0005-0000-0000-0000A7890000}"/>
    <cellStyle name="Normal 4 2 2 3 3 2 4 3 2" xfId="9075" xr:uid="{00000000-0005-0000-0000-0000A8890000}"/>
    <cellStyle name="Normal 4 2 2 3 3 2 4 3 2 2" xfId="30537" xr:uid="{00000000-0005-0000-0000-0000A9890000}"/>
    <cellStyle name="Normal 4 2 2 3 3 2 4 3 2 2 2" xfId="62408" xr:uid="{00000000-0005-0000-0000-0000AA890000}"/>
    <cellStyle name="Normal 4 2 2 3 3 2 4 3 2 3" xfId="40954" xr:uid="{00000000-0005-0000-0000-0000AB890000}"/>
    <cellStyle name="Normal 4 2 2 3 3 2 4 3 3" xfId="22659" xr:uid="{00000000-0005-0000-0000-0000AC890000}"/>
    <cellStyle name="Normal 4 2 2 3 3 2 4 3 3 2" xfId="54530" xr:uid="{00000000-0005-0000-0000-0000AD890000}"/>
    <cellStyle name="Normal 4 2 2 3 3 2 4 3 4" xfId="40953" xr:uid="{00000000-0005-0000-0000-0000AE890000}"/>
    <cellStyle name="Normal 4 2 2 3 3 2 4 4" xfId="9076" xr:uid="{00000000-0005-0000-0000-0000AF890000}"/>
    <cellStyle name="Normal 4 2 2 3 3 2 4 4 2" xfId="26598" xr:uid="{00000000-0005-0000-0000-0000B0890000}"/>
    <cellStyle name="Normal 4 2 2 3 3 2 4 4 2 2" xfId="58469" xr:uid="{00000000-0005-0000-0000-0000B1890000}"/>
    <cellStyle name="Normal 4 2 2 3 3 2 4 4 3" xfId="40955" xr:uid="{00000000-0005-0000-0000-0000B2890000}"/>
    <cellStyle name="Normal 4 2 2 3 3 2 4 5" xfId="18720" xr:uid="{00000000-0005-0000-0000-0000B3890000}"/>
    <cellStyle name="Normal 4 2 2 3 3 2 4 5 2" xfId="50591" xr:uid="{00000000-0005-0000-0000-0000B4890000}"/>
    <cellStyle name="Normal 4 2 2 3 3 2 4 6" xfId="40948" xr:uid="{00000000-0005-0000-0000-0000B5890000}"/>
    <cellStyle name="Normal 4 2 2 3 3 2 5" xfId="9077" xr:uid="{00000000-0005-0000-0000-0000B6890000}"/>
    <cellStyle name="Normal 4 2 2 3 3 2 5 2" xfId="9078" xr:uid="{00000000-0005-0000-0000-0000B7890000}"/>
    <cellStyle name="Normal 4 2 2 3 3 2 5 2 2" xfId="9079" xr:uid="{00000000-0005-0000-0000-0000B8890000}"/>
    <cellStyle name="Normal 4 2 2 3 3 2 5 2 2 2" xfId="30539" xr:uid="{00000000-0005-0000-0000-0000B9890000}"/>
    <cellStyle name="Normal 4 2 2 3 3 2 5 2 2 2 2" xfId="62410" xr:uid="{00000000-0005-0000-0000-0000BA890000}"/>
    <cellStyle name="Normal 4 2 2 3 3 2 5 2 2 3" xfId="40958" xr:uid="{00000000-0005-0000-0000-0000BB890000}"/>
    <cellStyle name="Normal 4 2 2 3 3 2 5 2 3" xfId="22661" xr:uid="{00000000-0005-0000-0000-0000BC890000}"/>
    <cellStyle name="Normal 4 2 2 3 3 2 5 2 3 2" xfId="54532" xr:uid="{00000000-0005-0000-0000-0000BD890000}"/>
    <cellStyle name="Normal 4 2 2 3 3 2 5 2 4" xfId="40957" xr:uid="{00000000-0005-0000-0000-0000BE890000}"/>
    <cellStyle name="Normal 4 2 2 3 3 2 5 3" xfId="9080" xr:uid="{00000000-0005-0000-0000-0000BF890000}"/>
    <cellStyle name="Normal 4 2 2 3 3 2 5 3 2" xfId="26600" xr:uid="{00000000-0005-0000-0000-0000C0890000}"/>
    <cellStyle name="Normal 4 2 2 3 3 2 5 3 2 2" xfId="58471" xr:uid="{00000000-0005-0000-0000-0000C1890000}"/>
    <cellStyle name="Normal 4 2 2 3 3 2 5 3 3" xfId="40959" xr:uid="{00000000-0005-0000-0000-0000C2890000}"/>
    <cellStyle name="Normal 4 2 2 3 3 2 5 4" xfId="18722" xr:uid="{00000000-0005-0000-0000-0000C3890000}"/>
    <cellStyle name="Normal 4 2 2 3 3 2 5 4 2" xfId="50593" xr:uid="{00000000-0005-0000-0000-0000C4890000}"/>
    <cellStyle name="Normal 4 2 2 3 3 2 5 5" xfId="40956" xr:uid="{00000000-0005-0000-0000-0000C5890000}"/>
    <cellStyle name="Normal 4 2 2 3 3 2 6" xfId="9081" xr:uid="{00000000-0005-0000-0000-0000C6890000}"/>
    <cellStyle name="Normal 4 2 2 3 3 2 6 2" xfId="9082" xr:uid="{00000000-0005-0000-0000-0000C7890000}"/>
    <cellStyle name="Normal 4 2 2 3 3 2 6 2 2" xfId="28503" xr:uid="{00000000-0005-0000-0000-0000C8890000}"/>
    <cellStyle name="Normal 4 2 2 3 3 2 6 2 2 2" xfId="60374" xr:uid="{00000000-0005-0000-0000-0000C9890000}"/>
    <cellStyle name="Normal 4 2 2 3 3 2 6 2 3" xfId="40961" xr:uid="{00000000-0005-0000-0000-0000CA890000}"/>
    <cellStyle name="Normal 4 2 2 3 3 2 6 3" xfId="20625" xr:uid="{00000000-0005-0000-0000-0000CB890000}"/>
    <cellStyle name="Normal 4 2 2 3 3 2 6 3 2" xfId="52496" xr:uid="{00000000-0005-0000-0000-0000CC890000}"/>
    <cellStyle name="Normal 4 2 2 3 3 2 6 4" xfId="40960" xr:uid="{00000000-0005-0000-0000-0000CD890000}"/>
    <cellStyle name="Normal 4 2 2 3 3 2 7" xfId="9083" xr:uid="{00000000-0005-0000-0000-0000CE890000}"/>
    <cellStyle name="Normal 4 2 2 3 3 2 7 2" xfId="24564" xr:uid="{00000000-0005-0000-0000-0000CF890000}"/>
    <cellStyle name="Normal 4 2 2 3 3 2 7 2 2" xfId="56435" xr:uid="{00000000-0005-0000-0000-0000D0890000}"/>
    <cellStyle name="Normal 4 2 2 3 3 2 7 3" xfId="40962" xr:uid="{00000000-0005-0000-0000-0000D1890000}"/>
    <cellStyle name="Normal 4 2 2 3 3 2 8" xfId="16686" xr:uid="{00000000-0005-0000-0000-0000D2890000}"/>
    <cellStyle name="Normal 4 2 2 3 3 2 8 2" xfId="48557" xr:uid="{00000000-0005-0000-0000-0000D3890000}"/>
    <cellStyle name="Normal 4 2 2 3 3 2 9" xfId="40899" xr:uid="{00000000-0005-0000-0000-0000D4890000}"/>
    <cellStyle name="Normal 4 2 2 3 3 3" xfId="9084" xr:uid="{00000000-0005-0000-0000-0000D5890000}"/>
    <cellStyle name="Normal 4 2 2 3 3 3 2" xfId="9085" xr:uid="{00000000-0005-0000-0000-0000D6890000}"/>
    <cellStyle name="Normal 4 2 2 3 3 3 2 2" xfId="9086" xr:uid="{00000000-0005-0000-0000-0000D7890000}"/>
    <cellStyle name="Normal 4 2 2 3 3 3 2 2 2" xfId="9087" xr:uid="{00000000-0005-0000-0000-0000D8890000}"/>
    <cellStyle name="Normal 4 2 2 3 3 3 2 2 2 2" xfId="9088" xr:uid="{00000000-0005-0000-0000-0000D9890000}"/>
    <cellStyle name="Normal 4 2 2 3 3 3 2 2 2 2 2" xfId="9089" xr:uid="{00000000-0005-0000-0000-0000DA890000}"/>
    <cellStyle name="Normal 4 2 2 3 3 3 2 2 2 2 2 2" xfId="30543" xr:uid="{00000000-0005-0000-0000-0000DB890000}"/>
    <cellStyle name="Normal 4 2 2 3 3 3 2 2 2 2 2 2 2" xfId="62414" xr:uid="{00000000-0005-0000-0000-0000DC890000}"/>
    <cellStyle name="Normal 4 2 2 3 3 3 2 2 2 2 2 3" xfId="40968" xr:uid="{00000000-0005-0000-0000-0000DD890000}"/>
    <cellStyle name="Normal 4 2 2 3 3 3 2 2 2 2 3" xfId="22665" xr:uid="{00000000-0005-0000-0000-0000DE890000}"/>
    <cellStyle name="Normal 4 2 2 3 3 3 2 2 2 2 3 2" xfId="54536" xr:uid="{00000000-0005-0000-0000-0000DF890000}"/>
    <cellStyle name="Normal 4 2 2 3 3 3 2 2 2 2 4" xfId="40967" xr:uid="{00000000-0005-0000-0000-0000E0890000}"/>
    <cellStyle name="Normal 4 2 2 3 3 3 2 2 2 3" xfId="9090" xr:uid="{00000000-0005-0000-0000-0000E1890000}"/>
    <cellStyle name="Normal 4 2 2 3 3 3 2 2 2 3 2" xfId="26604" xr:uid="{00000000-0005-0000-0000-0000E2890000}"/>
    <cellStyle name="Normal 4 2 2 3 3 3 2 2 2 3 2 2" xfId="58475" xr:uid="{00000000-0005-0000-0000-0000E3890000}"/>
    <cellStyle name="Normal 4 2 2 3 3 3 2 2 2 3 3" xfId="40969" xr:uid="{00000000-0005-0000-0000-0000E4890000}"/>
    <cellStyle name="Normal 4 2 2 3 3 3 2 2 2 4" xfId="18726" xr:uid="{00000000-0005-0000-0000-0000E5890000}"/>
    <cellStyle name="Normal 4 2 2 3 3 3 2 2 2 4 2" xfId="50597" xr:uid="{00000000-0005-0000-0000-0000E6890000}"/>
    <cellStyle name="Normal 4 2 2 3 3 3 2 2 2 5" xfId="40966" xr:uid="{00000000-0005-0000-0000-0000E7890000}"/>
    <cellStyle name="Normal 4 2 2 3 3 3 2 2 3" xfId="9091" xr:uid="{00000000-0005-0000-0000-0000E8890000}"/>
    <cellStyle name="Normal 4 2 2 3 3 3 2 2 3 2" xfId="9092" xr:uid="{00000000-0005-0000-0000-0000E9890000}"/>
    <cellStyle name="Normal 4 2 2 3 3 3 2 2 3 2 2" xfId="30542" xr:uid="{00000000-0005-0000-0000-0000EA890000}"/>
    <cellStyle name="Normal 4 2 2 3 3 3 2 2 3 2 2 2" xfId="62413" xr:uid="{00000000-0005-0000-0000-0000EB890000}"/>
    <cellStyle name="Normal 4 2 2 3 3 3 2 2 3 2 3" xfId="40971" xr:uid="{00000000-0005-0000-0000-0000EC890000}"/>
    <cellStyle name="Normal 4 2 2 3 3 3 2 2 3 3" xfId="22664" xr:uid="{00000000-0005-0000-0000-0000ED890000}"/>
    <cellStyle name="Normal 4 2 2 3 3 3 2 2 3 3 2" xfId="54535" xr:uid="{00000000-0005-0000-0000-0000EE890000}"/>
    <cellStyle name="Normal 4 2 2 3 3 3 2 2 3 4" xfId="40970" xr:uid="{00000000-0005-0000-0000-0000EF890000}"/>
    <cellStyle name="Normal 4 2 2 3 3 3 2 2 4" xfId="9093" xr:uid="{00000000-0005-0000-0000-0000F0890000}"/>
    <cellStyle name="Normal 4 2 2 3 3 3 2 2 4 2" xfId="26603" xr:uid="{00000000-0005-0000-0000-0000F1890000}"/>
    <cellStyle name="Normal 4 2 2 3 3 3 2 2 4 2 2" xfId="58474" xr:uid="{00000000-0005-0000-0000-0000F2890000}"/>
    <cellStyle name="Normal 4 2 2 3 3 3 2 2 4 3" xfId="40972" xr:uid="{00000000-0005-0000-0000-0000F3890000}"/>
    <cellStyle name="Normal 4 2 2 3 3 3 2 2 5" xfId="18725" xr:uid="{00000000-0005-0000-0000-0000F4890000}"/>
    <cellStyle name="Normal 4 2 2 3 3 3 2 2 5 2" xfId="50596" xr:uid="{00000000-0005-0000-0000-0000F5890000}"/>
    <cellStyle name="Normal 4 2 2 3 3 3 2 2 6" xfId="40965" xr:uid="{00000000-0005-0000-0000-0000F6890000}"/>
    <cellStyle name="Normal 4 2 2 3 3 3 2 3" xfId="9094" xr:uid="{00000000-0005-0000-0000-0000F7890000}"/>
    <cellStyle name="Normal 4 2 2 3 3 3 2 3 2" xfId="9095" xr:uid="{00000000-0005-0000-0000-0000F8890000}"/>
    <cellStyle name="Normal 4 2 2 3 3 3 2 3 2 2" xfId="9096" xr:uid="{00000000-0005-0000-0000-0000F9890000}"/>
    <cellStyle name="Normal 4 2 2 3 3 3 2 3 2 2 2" xfId="30544" xr:uid="{00000000-0005-0000-0000-0000FA890000}"/>
    <cellStyle name="Normal 4 2 2 3 3 3 2 3 2 2 2 2" xfId="62415" xr:uid="{00000000-0005-0000-0000-0000FB890000}"/>
    <cellStyle name="Normal 4 2 2 3 3 3 2 3 2 2 3" xfId="40975" xr:uid="{00000000-0005-0000-0000-0000FC890000}"/>
    <cellStyle name="Normal 4 2 2 3 3 3 2 3 2 3" xfId="22666" xr:uid="{00000000-0005-0000-0000-0000FD890000}"/>
    <cellStyle name="Normal 4 2 2 3 3 3 2 3 2 3 2" xfId="54537" xr:uid="{00000000-0005-0000-0000-0000FE890000}"/>
    <cellStyle name="Normal 4 2 2 3 3 3 2 3 2 4" xfId="40974" xr:uid="{00000000-0005-0000-0000-0000FF890000}"/>
    <cellStyle name="Normal 4 2 2 3 3 3 2 3 3" xfId="9097" xr:uid="{00000000-0005-0000-0000-0000008A0000}"/>
    <cellStyle name="Normal 4 2 2 3 3 3 2 3 3 2" xfId="26605" xr:uid="{00000000-0005-0000-0000-0000018A0000}"/>
    <cellStyle name="Normal 4 2 2 3 3 3 2 3 3 2 2" xfId="58476" xr:uid="{00000000-0005-0000-0000-0000028A0000}"/>
    <cellStyle name="Normal 4 2 2 3 3 3 2 3 3 3" xfId="40976" xr:uid="{00000000-0005-0000-0000-0000038A0000}"/>
    <cellStyle name="Normal 4 2 2 3 3 3 2 3 4" xfId="18727" xr:uid="{00000000-0005-0000-0000-0000048A0000}"/>
    <cellStyle name="Normal 4 2 2 3 3 3 2 3 4 2" xfId="50598" xr:uid="{00000000-0005-0000-0000-0000058A0000}"/>
    <cellStyle name="Normal 4 2 2 3 3 3 2 3 5" xfId="40973" xr:uid="{00000000-0005-0000-0000-0000068A0000}"/>
    <cellStyle name="Normal 4 2 2 3 3 3 2 4" xfId="9098" xr:uid="{00000000-0005-0000-0000-0000078A0000}"/>
    <cellStyle name="Normal 4 2 2 3 3 3 2 4 2" xfId="9099" xr:uid="{00000000-0005-0000-0000-0000088A0000}"/>
    <cellStyle name="Normal 4 2 2 3 3 3 2 4 2 2" xfId="30541" xr:uid="{00000000-0005-0000-0000-0000098A0000}"/>
    <cellStyle name="Normal 4 2 2 3 3 3 2 4 2 2 2" xfId="62412" xr:uid="{00000000-0005-0000-0000-00000A8A0000}"/>
    <cellStyle name="Normal 4 2 2 3 3 3 2 4 2 3" xfId="40978" xr:uid="{00000000-0005-0000-0000-00000B8A0000}"/>
    <cellStyle name="Normal 4 2 2 3 3 3 2 4 3" xfId="22663" xr:uid="{00000000-0005-0000-0000-00000C8A0000}"/>
    <cellStyle name="Normal 4 2 2 3 3 3 2 4 3 2" xfId="54534" xr:uid="{00000000-0005-0000-0000-00000D8A0000}"/>
    <cellStyle name="Normal 4 2 2 3 3 3 2 4 4" xfId="40977" xr:uid="{00000000-0005-0000-0000-00000E8A0000}"/>
    <cellStyle name="Normal 4 2 2 3 3 3 2 5" xfId="9100" xr:uid="{00000000-0005-0000-0000-00000F8A0000}"/>
    <cellStyle name="Normal 4 2 2 3 3 3 2 5 2" xfId="26602" xr:uid="{00000000-0005-0000-0000-0000108A0000}"/>
    <cellStyle name="Normal 4 2 2 3 3 3 2 5 2 2" xfId="58473" xr:uid="{00000000-0005-0000-0000-0000118A0000}"/>
    <cellStyle name="Normal 4 2 2 3 3 3 2 5 3" xfId="40979" xr:uid="{00000000-0005-0000-0000-0000128A0000}"/>
    <cellStyle name="Normal 4 2 2 3 3 3 2 6" xfId="18724" xr:uid="{00000000-0005-0000-0000-0000138A0000}"/>
    <cellStyle name="Normal 4 2 2 3 3 3 2 6 2" xfId="50595" xr:uid="{00000000-0005-0000-0000-0000148A0000}"/>
    <cellStyle name="Normal 4 2 2 3 3 3 2 7" xfId="40964" xr:uid="{00000000-0005-0000-0000-0000158A0000}"/>
    <cellStyle name="Normal 4 2 2 3 3 3 3" xfId="9101" xr:uid="{00000000-0005-0000-0000-0000168A0000}"/>
    <cellStyle name="Normal 4 2 2 3 3 3 3 2" xfId="9102" xr:uid="{00000000-0005-0000-0000-0000178A0000}"/>
    <cellStyle name="Normal 4 2 2 3 3 3 3 2 2" xfId="9103" xr:uid="{00000000-0005-0000-0000-0000188A0000}"/>
    <cellStyle name="Normal 4 2 2 3 3 3 3 2 2 2" xfId="9104" xr:uid="{00000000-0005-0000-0000-0000198A0000}"/>
    <cellStyle name="Normal 4 2 2 3 3 3 3 2 2 2 2" xfId="30546" xr:uid="{00000000-0005-0000-0000-00001A8A0000}"/>
    <cellStyle name="Normal 4 2 2 3 3 3 3 2 2 2 2 2" xfId="62417" xr:uid="{00000000-0005-0000-0000-00001B8A0000}"/>
    <cellStyle name="Normal 4 2 2 3 3 3 3 2 2 2 3" xfId="40983" xr:uid="{00000000-0005-0000-0000-00001C8A0000}"/>
    <cellStyle name="Normal 4 2 2 3 3 3 3 2 2 3" xfId="22668" xr:uid="{00000000-0005-0000-0000-00001D8A0000}"/>
    <cellStyle name="Normal 4 2 2 3 3 3 3 2 2 3 2" xfId="54539" xr:uid="{00000000-0005-0000-0000-00001E8A0000}"/>
    <cellStyle name="Normal 4 2 2 3 3 3 3 2 2 4" xfId="40982" xr:uid="{00000000-0005-0000-0000-00001F8A0000}"/>
    <cellStyle name="Normal 4 2 2 3 3 3 3 2 3" xfId="9105" xr:uid="{00000000-0005-0000-0000-0000208A0000}"/>
    <cellStyle name="Normal 4 2 2 3 3 3 3 2 3 2" xfId="26607" xr:uid="{00000000-0005-0000-0000-0000218A0000}"/>
    <cellStyle name="Normal 4 2 2 3 3 3 3 2 3 2 2" xfId="58478" xr:uid="{00000000-0005-0000-0000-0000228A0000}"/>
    <cellStyle name="Normal 4 2 2 3 3 3 3 2 3 3" xfId="40984" xr:uid="{00000000-0005-0000-0000-0000238A0000}"/>
    <cellStyle name="Normal 4 2 2 3 3 3 3 2 4" xfId="18729" xr:uid="{00000000-0005-0000-0000-0000248A0000}"/>
    <cellStyle name="Normal 4 2 2 3 3 3 3 2 4 2" xfId="50600" xr:uid="{00000000-0005-0000-0000-0000258A0000}"/>
    <cellStyle name="Normal 4 2 2 3 3 3 3 2 5" xfId="40981" xr:uid="{00000000-0005-0000-0000-0000268A0000}"/>
    <cellStyle name="Normal 4 2 2 3 3 3 3 3" xfId="9106" xr:uid="{00000000-0005-0000-0000-0000278A0000}"/>
    <cellStyle name="Normal 4 2 2 3 3 3 3 3 2" xfId="9107" xr:uid="{00000000-0005-0000-0000-0000288A0000}"/>
    <cellStyle name="Normal 4 2 2 3 3 3 3 3 2 2" xfId="30545" xr:uid="{00000000-0005-0000-0000-0000298A0000}"/>
    <cellStyle name="Normal 4 2 2 3 3 3 3 3 2 2 2" xfId="62416" xr:uid="{00000000-0005-0000-0000-00002A8A0000}"/>
    <cellStyle name="Normal 4 2 2 3 3 3 3 3 2 3" xfId="40986" xr:uid="{00000000-0005-0000-0000-00002B8A0000}"/>
    <cellStyle name="Normal 4 2 2 3 3 3 3 3 3" xfId="22667" xr:uid="{00000000-0005-0000-0000-00002C8A0000}"/>
    <cellStyle name="Normal 4 2 2 3 3 3 3 3 3 2" xfId="54538" xr:uid="{00000000-0005-0000-0000-00002D8A0000}"/>
    <cellStyle name="Normal 4 2 2 3 3 3 3 3 4" xfId="40985" xr:uid="{00000000-0005-0000-0000-00002E8A0000}"/>
    <cellStyle name="Normal 4 2 2 3 3 3 3 4" xfId="9108" xr:uid="{00000000-0005-0000-0000-00002F8A0000}"/>
    <cellStyle name="Normal 4 2 2 3 3 3 3 4 2" xfId="26606" xr:uid="{00000000-0005-0000-0000-0000308A0000}"/>
    <cellStyle name="Normal 4 2 2 3 3 3 3 4 2 2" xfId="58477" xr:uid="{00000000-0005-0000-0000-0000318A0000}"/>
    <cellStyle name="Normal 4 2 2 3 3 3 3 4 3" xfId="40987" xr:uid="{00000000-0005-0000-0000-0000328A0000}"/>
    <cellStyle name="Normal 4 2 2 3 3 3 3 5" xfId="18728" xr:uid="{00000000-0005-0000-0000-0000338A0000}"/>
    <cellStyle name="Normal 4 2 2 3 3 3 3 5 2" xfId="50599" xr:uid="{00000000-0005-0000-0000-0000348A0000}"/>
    <cellStyle name="Normal 4 2 2 3 3 3 3 6" xfId="40980" xr:uid="{00000000-0005-0000-0000-0000358A0000}"/>
    <cellStyle name="Normal 4 2 2 3 3 3 4" xfId="9109" xr:uid="{00000000-0005-0000-0000-0000368A0000}"/>
    <cellStyle name="Normal 4 2 2 3 3 3 4 2" xfId="9110" xr:uid="{00000000-0005-0000-0000-0000378A0000}"/>
    <cellStyle name="Normal 4 2 2 3 3 3 4 2 2" xfId="9111" xr:uid="{00000000-0005-0000-0000-0000388A0000}"/>
    <cellStyle name="Normal 4 2 2 3 3 3 4 2 2 2" xfId="30547" xr:uid="{00000000-0005-0000-0000-0000398A0000}"/>
    <cellStyle name="Normal 4 2 2 3 3 3 4 2 2 2 2" xfId="62418" xr:uid="{00000000-0005-0000-0000-00003A8A0000}"/>
    <cellStyle name="Normal 4 2 2 3 3 3 4 2 2 3" xfId="40990" xr:uid="{00000000-0005-0000-0000-00003B8A0000}"/>
    <cellStyle name="Normal 4 2 2 3 3 3 4 2 3" xfId="22669" xr:uid="{00000000-0005-0000-0000-00003C8A0000}"/>
    <cellStyle name="Normal 4 2 2 3 3 3 4 2 3 2" xfId="54540" xr:uid="{00000000-0005-0000-0000-00003D8A0000}"/>
    <cellStyle name="Normal 4 2 2 3 3 3 4 2 4" xfId="40989" xr:uid="{00000000-0005-0000-0000-00003E8A0000}"/>
    <cellStyle name="Normal 4 2 2 3 3 3 4 3" xfId="9112" xr:uid="{00000000-0005-0000-0000-00003F8A0000}"/>
    <cellStyle name="Normal 4 2 2 3 3 3 4 3 2" xfId="26608" xr:uid="{00000000-0005-0000-0000-0000408A0000}"/>
    <cellStyle name="Normal 4 2 2 3 3 3 4 3 2 2" xfId="58479" xr:uid="{00000000-0005-0000-0000-0000418A0000}"/>
    <cellStyle name="Normal 4 2 2 3 3 3 4 3 3" xfId="40991" xr:uid="{00000000-0005-0000-0000-0000428A0000}"/>
    <cellStyle name="Normal 4 2 2 3 3 3 4 4" xfId="18730" xr:uid="{00000000-0005-0000-0000-0000438A0000}"/>
    <cellStyle name="Normal 4 2 2 3 3 3 4 4 2" xfId="50601" xr:uid="{00000000-0005-0000-0000-0000448A0000}"/>
    <cellStyle name="Normal 4 2 2 3 3 3 4 5" xfId="40988" xr:uid="{00000000-0005-0000-0000-0000458A0000}"/>
    <cellStyle name="Normal 4 2 2 3 3 3 5" xfId="9113" xr:uid="{00000000-0005-0000-0000-0000468A0000}"/>
    <cellStyle name="Normal 4 2 2 3 3 3 5 2" xfId="9114" xr:uid="{00000000-0005-0000-0000-0000478A0000}"/>
    <cellStyle name="Normal 4 2 2 3 3 3 5 2 2" xfId="30540" xr:uid="{00000000-0005-0000-0000-0000488A0000}"/>
    <cellStyle name="Normal 4 2 2 3 3 3 5 2 2 2" xfId="62411" xr:uid="{00000000-0005-0000-0000-0000498A0000}"/>
    <cellStyle name="Normal 4 2 2 3 3 3 5 2 3" xfId="40993" xr:uid="{00000000-0005-0000-0000-00004A8A0000}"/>
    <cellStyle name="Normal 4 2 2 3 3 3 5 3" xfId="22662" xr:uid="{00000000-0005-0000-0000-00004B8A0000}"/>
    <cellStyle name="Normal 4 2 2 3 3 3 5 3 2" xfId="54533" xr:uid="{00000000-0005-0000-0000-00004C8A0000}"/>
    <cellStyle name="Normal 4 2 2 3 3 3 5 4" xfId="40992" xr:uid="{00000000-0005-0000-0000-00004D8A0000}"/>
    <cellStyle name="Normal 4 2 2 3 3 3 6" xfId="9115" xr:uid="{00000000-0005-0000-0000-00004E8A0000}"/>
    <cellStyle name="Normal 4 2 2 3 3 3 6 2" xfId="26601" xr:uid="{00000000-0005-0000-0000-00004F8A0000}"/>
    <cellStyle name="Normal 4 2 2 3 3 3 6 2 2" xfId="58472" xr:uid="{00000000-0005-0000-0000-0000508A0000}"/>
    <cellStyle name="Normal 4 2 2 3 3 3 6 3" xfId="40994" xr:uid="{00000000-0005-0000-0000-0000518A0000}"/>
    <cellStyle name="Normal 4 2 2 3 3 3 7" xfId="18723" xr:uid="{00000000-0005-0000-0000-0000528A0000}"/>
    <cellStyle name="Normal 4 2 2 3 3 3 7 2" xfId="50594" xr:uid="{00000000-0005-0000-0000-0000538A0000}"/>
    <cellStyle name="Normal 4 2 2 3 3 3 8" xfId="40963" xr:uid="{00000000-0005-0000-0000-0000548A0000}"/>
    <cellStyle name="Normal 4 2 2 3 3 4" xfId="9116" xr:uid="{00000000-0005-0000-0000-0000558A0000}"/>
    <cellStyle name="Normal 4 2 2 3 3 4 2" xfId="9117" xr:uid="{00000000-0005-0000-0000-0000568A0000}"/>
    <cellStyle name="Normal 4 2 2 3 3 4 2 2" xfId="9118" xr:uid="{00000000-0005-0000-0000-0000578A0000}"/>
    <cellStyle name="Normal 4 2 2 3 3 4 2 2 2" xfId="9119" xr:uid="{00000000-0005-0000-0000-0000588A0000}"/>
    <cellStyle name="Normal 4 2 2 3 3 4 2 2 2 2" xfId="9120" xr:uid="{00000000-0005-0000-0000-0000598A0000}"/>
    <cellStyle name="Normal 4 2 2 3 3 4 2 2 2 2 2" xfId="30550" xr:uid="{00000000-0005-0000-0000-00005A8A0000}"/>
    <cellStyle name="Normal 4 2 2 3 3 4 2 2 2 2 2 2" xfId="62421" xr:uid="{00000000-0005-0000-0000-00005B8A0000}"/>
    <cellStyle name="Normal 4 2 2 3 3 4 2 2 2 2 3" xfId="40999" xr:uid="{00000000-0005-0000-0000-00005C8A0000}"/>
    <cellStyle name="Normal 4 2 2 3 3 4 2 2 2 3" xfId="22672" xr:uid="{00000000-0005-0000-0000-00005D8A0000}"/>
    <cellStyle name="Normal 4 2 2 3 3 4 2 2 2 3 2" xfId="54543" xr:uid="{00000000-0005-0000-0000-00005E8A0000}"/>
    <cellStyle name="Normal 4 2 2 3 3 4 2 2 2 4" xfId="40998" xr:uid="{00000000-0005-0000-0000-00005F8A0000}"/>
    <cellStyle name="Normal 4 2 2 3 3 4 2 2 3" xfId="9121" xr:uid="{00000000-0005-0000-0000-0000608A0000}"/>
    <cellStyle name="Normal 4 2 2 3 3 4 2 2 3 2" xfId="26611" xr:uid="{00000000-0005-0000-0000-0000618A0000}"/>
    <cellStyle name="Normal 4 2 2 3 3 4 2 2 3 2 2" xfId="58482" xr:uid="{00000000-0005-0000-0000-0000628A0000}"/>
    <cellStyle name="Normal 4 2 2 3 3 4 2 2 3 3" xfId="41000" xr:uid="{00000000-0005-0000-0000-0000638A0000}"/>
    <cellStyle name="Normal 4 2 2 3 3 4 2 2 4" xfId="18733" xr:uid="{00000000-0005-0000-0000-0000648A0000}"/>
    <cellStyle name="Normal 4 2 2 3 3 4 2 2 4 2" xfId="50604" xr:uid="{00000000-0005-0000-0000-0000658A0000}"/>
    <cellStyle name="Normal 4 2 2 3 3 4 2 2 5" xfId="40997" xr:uid="{00000000-0005-0000-0000-0000668A0000}"/>
    <cellStyle name="Normal 4 2 2 3 3 4 2 3" xfId="9122" xr:uid="{00000000-0005-0000-0000-0000678A0000}"/>
    <cellStyle name="Normal 4 2 2 3 3 4 2 3 2" xfId="9123" xr:uid="{00000000-0005-0000-0000-0000688A0000}"/>
    <cellStyle name="Normal 4 2 2 3 3 4 2 3 2 2" xfId="30549" xr:uid="{00000000-0005-0000-0000-0000698A0000}"/>
    <cellStyle name="Normal 4 2 2 3 3 4 2 3 2 2 2" xfId="62420" xr:uid="{00000000-0005-0000-0000-00006A8A0000}"/>
    <cellStyle name="Normal 4 2 2 3 3 4 2 3 2 3" xfId="41002" xr:uid="{00000000-0005-0000-0000-00006B8A0000}"/>
    <cellStyle name="Normal 4 2 2 3 3 4 2 3 3" xfId="22671" xr:uid="{00000000-0005-0000-0000-00006C8A0000}"/>
    <cellStyle name="Normal 4 2 2 3 3 4 2 3 3 2" xfId="54542" xr:uid="{00000000-0005-0000-0000-00006D8A0000}"/>
    <cellStyle name="Normal 4 2 2 3 3 4 2 3 4" xfId="41001" xr:uid="{00000000-0005-0000-0000-00006E8A0000}"/>
    <cellStyle name="Normal 4 2 2 3 3 4 2 4" xfId="9124" xr:uid="{00000000-0005-0000-0000-00006F8A0000}"/>
    <cellStyle name="Normal 4 2 2 3 3 4 2 4 2" xfId="26610" xr:uid="{00000000-0005-0000-0000-0000708A0000}"/>
    <cellStyle name="Normal 4 2 2 3 3 4 2 4 2 2" xfId="58481" xr:uid="{00000000-0005-0000-0000-0000718A0000}"/>
    <cellStyle name="Normal 4 2 2 3 3 4 2 4 3" xfId="41003" xr:uid="{00000000-0005-0000-0000-0000728A0000}"/>
    <cellStyle name="Normal 4 2 2 3 3 4 2 5" xfId="18732" xr:uid="{00000000-0005-0000-0000-0000738A0000}"/>
    <cellStyle name="Normal 4 2 2 3 3 4 2 5 2" xfId="50603" xr:uid="{00000000-0005-0000-0000-0000748A0000}"/>
    <cellStyle name="Normal 4 2 2 3 3 4 2 6" xfId="40996" xr:uid="{00000000-0005-0000-0000-0000758A0000}"/>
    <cellStyle name="Normal 4 2 2 3 3 4 3" xfId="9125" xr:uid="{00000000-0005-0000-0000-0000768A0000}"/>
    <cellStyle name="Normal 4 2 2 3 3 4 3 2" xfId="9126" xr:uid="{00000000-0005-0000-0000-0000778A0000}"/>
    <cellStyle name="Normal 4 2 2 3 3 4 3 2 2" xfId="9127" xr:uid="{00000000-0005-0000-0000-0000788A0000}"/>
    <cellStyle name="Normal 4 2 2 3 3 4 3 2 2 2" xfId="30551" xr:uid="{00000000-0005-0000-0000-0000798A0000}"/>
    <cellStyle name="Normal 4 2 2 3 3 4 3 2 2 2 2" xfId="62422" xr:uid="{00000000-0005-0000-0000-00007A8A0000}"/>
    <cellStyle name="Normal 4 2 2 3 3 4 3 2 2 3" xfId="41006" xr:uid="{00000000-0005-0000-0000-00007B8A0000}"/>
    <cellStyle name="Normal 4 2 2 3 3 4 3 2 3" xfId="22673" xr:uid="{00000000-0005-0000-0000-00007C8A0000}"/>
    <cellStyle name="Normal 4 2 2 3 3 4 3 2 3 2" xfId="54544" xr:uid="{00000000-0005-0000-0000-00007D8A0000}"/>
    <cellStyle name="Normal 4 2 2 3 3 4 3 2 4" xfId="41005" xr:uid="{00000000-0005-0000-0000-00007E8A0000}"/>
    <cellStyle name="Normal 4 2 2 3 3 4 3 3" xfId="9128" xr:uid="{00000000-0005-0000-0000-00007F8A0000}"/>
    <cellStyle name="Normal 4 2 2 3 3 4 3 3 2" xfId="26612" xr:uid="{00000000-0005-0000-0000-0000808A0000}"/>
    <cellStyle name="Normal 4 2 2 3 3 4 3 3 2 2" xfId="58483" xr:uid="{00000000-0005-0000-0000-0000818A0000}"/>
    <cellStyle name="Normal 4 2 2 3 3 4 3 3 3" xfId="41007" xr:uid="{00000000-0005-0000-0000-0000828A0000}"/>
    <cellStyle name="Normal 4 2 2 3 3 4 3 4" xfId="18734" xr:uid="{00000000-0005-0000-0000-0000838A0000}"/>
    <cellStyle name="Normal 4 2 2 3 3 4 3 4 2" xfId="50605" xr:uid="{00000000-0005-0000-0000-0000848A0000}"/>
    <cellStyle name="Normal 4 2 2 3 3 4 3 5" xfId="41004" xr:uid="{00000000-0005-0000-0000-0000858A0000}"/>
    <cellStyle name="Normal 4 2 2 3 3 4 4" xfId="9129" xr:uid="{00000000-0005-0000-0000-0000868A0000}"/>
    <cellStyle name="Normal 4 2 2 3 3 4 4 2" xfId="9130" xr:uid="{00000000-0005-0000-0000-0000878A0000}"/>
    <cellStyle name="Normal 4 2 2 3 3 4 4 2 2" xfId="30548" xr:uid="{00000000-0005-0000-0000-0000888A0000}"/>
    <cellStyle name="Normal 4 2 2 3 3 4 4 2 2 2" xfId="62419" xr:uid="{00000000-0005-0000-0000-0000898A0000}"/>
    <cellStyle name="Normal 4 2 2 3 3 4 4 2 3" xfId="41009" xr:uid="{00000000-0005-0000-0000-00008A8A0000}"/>
    <cellStyle name="Normal 4 2 2 3 3 4 4 3" xfId="22670" xr:uid="{00000000-0005-0000-0000-00008B8A0000}"/>
    <cellStyle name="Normal 4 2 2 3 3 4 4 3 2" xfId="54541" xr:uid="{00000000-0005-0000-0000-00008C8A0000}"/>
    <cellStyle name="Normal 4 2 2 3 3 4 4 4" xfId="41008" xr:uid="{00000000-0005-0000-0000-00008D8A0000}"/>
    <cellStyle name="Normal 4 2 2 3 3 4 5" xfId="9131" xr:uid="{00000000-0005-0000-0000-00008E8A0000}"/>
    <cellStyle name="Normal 4 2 2 3 3 4 5 2" xfId="26609" xr:uid="{00000000-0005-0000-0000-00008F8A0000}"/>
    <cellStyle name="Normal 4 2 2 3 3 4 5 2 2" xfId="58480" xr:uid="{00000000-0005-0000-0000-0000908A0000}"/>
    <cellStyle name="Normal 4 2 2 3 3 4 5 3" xfId="41010" xr:uid="{00000000-0005-0000-0000-0000918A0000}"/>
    <cellStyle name="Normal 4 2 2 3 3 4 6" xfId="18731" xr:uid="{00000000-0005-0000-0000-0000928A0000}"/>
    <cellStyle name="Normal 4 2 2 3 3 4 6 2" xfId="50602" xr:uid="{00000000-0005-0000-0000-0000938A0000}"/>
    <cellStyle name="Normal 4 2 2 3 3 4 7" xfId="40995" xr:uid="{00000000-0005-0000-0000-0000948A0000}"/>
    <cellStyle name="Normal 4 2 2 3 3 5" xfId="9132" xr:uid="{00000000-0005-0000-0000-0000958A0000}"/>
    <cellStyle name="Normal 4 2 2 3 3 5 2" xfId="9133" xr:uid="{00000000-0005-0000-0000-0000968A0000}"/>
    <cellStyle name="Normal 4 2 2 3 3 5 2 2" xfId="9134" xr:uid="{00000000-0005-0000-0000-0000978A0000}"/>
    <cellStyle name="Normal 4 2 2 3 3 5 2 2 2" xfId="9135" xr:uid="{00000000-0005-0000-0000-0000988A0000}"/>
    <cellStyle name="Normal 4 2 2 3 3 5 2 2 2 2" xfId="30553" xr:uid="{00000000-0005-0000-0000-0000998A0000}"/>
    <cellStyle name="Normal 4 2 2 3 3 5 2 2 2 2 2" xfId="62424" xr:uid="{00000000-0005-0000-0000-00009A8A0000}"/>
    <cellStyle name="Normal 4 2 2 3 3 5 2 2 2 3" xfId="41014" xr:uid="{00000000-0005-0000-0000-00009B8A0000}"/>
    <cellStyle name="Normal 4 2 2 3 3 5 2 2 3" xfId="22675" xr:uid="{00000000-0005-0000-0000-00009C8A0000}"/>
    <cellStyle name="Normal 4 2 2 3 3 5 2 2 3 2" xfId="54546" xr:uid="{00000000-0005-0000-0000-00009D8A0000}"/>
    <cellStyle name="Normal 4 2 2 3 3 5 2 2 4" xfId="41013" xr:uid="{00000000-0005-0000-0000-00009E8A0000}"/>
    <cellStyle name="Normal 4 2 2 3 3 5 2 3" xfId="9136" xr:uid="{00000000-0005-0000-0000-00009F8A0000}"/>
    <cellStyle name="Normal 4 2 2 3 3 5 2 3 2" xfId="26614" xr:uid="{00000000-0005-0000-0000-0000A08A0000}"/>
    <cellStyle name="Normal 4 2 2 3 3 5 2 3 2 2" xfId="58485" xr:uid="{00000000-0005-0000-0000-0000A18A0000}"/>
    <cellStyle name="Normal 4 2 2 3 3 5 2 3 3" xfId="41015" xr:uid="{00000000-0005-0000-0000-0000A28A0000}"/>
    <cellStyle name="Normal 4 2 2 3 3 5 2 4" xfId="18736" xr:uid="{00000000-0005-0000-0000-0000A38A0000}"/>
    <cellStyle name="Normal 4 2 2 3 3 5 2 4 2" xfId="50607" xr:uid="{00000000-0005-0000-0000-0000A48A0000}"/>
    <cellStyle name="Normal 4 2 2 3 3 5 2 5" xfId="41012" xr:uid="{00000000-0005-0000-0000-0000A58A0000}"/>
    <cellStyle name="Normal 4 2 2 3 3 5 3" xfId="9137" xr:uid="{00000000-0005-0000-0000-0000A68A0000}"/>
    <cellStyle name="Normal 4 2 2 3 3 5 3 2" xfId="9138" xr:uid="{00000000-0005-0000-0000-0000A78A0000}"/>
    <cellStyle name="Normal 4 2 2 3 3 5 3 2 2" xfId="30552" xr:uid="{00000000-0005-0000-0000-0000A88A0000}"/>
    <cellStyle name="Normal 4 2 2 3 3 5 3 2 2 2" xfId="62423" xr:uid="{00000000-0005-0000-0000-0000A98A0000}"/>
    <cellStyle name="Normal 4 2 2 3 3 5 3 2 3" xfId="41017" xr:uid="{00000000-0005-0000-0000-0000AA8A0000}"/>
    <cellStyle name="Normal 4 2 2 3 3 5 3 3" xfId="22674" xr:uid="{00000000-0005-0000-0000-0000AB8A0000}"/>
    <cellStyle name="Normal 4 2 2 3 3 5 3 3 2" xfId="54545" xr:uid="{00000000-0005-0000-0000-0000AC8A0000}"/>
    <cellStyle name="Normal 4 2 2 3 3 5 3 4" xfId="41016" xr:uid="{00000000-0005-0000-0000-0000AD8A0000}"/>
    <cellStyle name="Normal 4 2 2 3 3 5 4" xfId="9139" xr:uid="{00000000-0005-0000-0000-0000AE8A0000}"/>
    <cellStyle name="Normal 4 2 2 3 3 5 4 2" xfId="26613" xr:uid="{00000000-0005-0000-0000-0000AF8A0000}"/>
    <cellStyle name="Normal 4 2 2 3 3 5 4 2 2" xfId="58484" xr:uid="{00000000-0005-0000-0000-0000B08A0000}"/>
    <cellStyle name="Normal 4 2 2 3 3 5 4 3" xfId="41018" xr:uid="{00000000-0005-0000-0000-0000B18A0000}"/>
    <cellStyle name="Normal 4 2 2 3 3 5 5" xfId="18735" xr:uid="{00000000-0005-0000-0000-0000B28A0000}"/>
    <cellStyle name="Normal 4 2 2 3 3 5 5 2" xfId="50606" xr:uid="{00000000-0005-0000-0000-0000B38A0000}"/>
    <cellStyle name="Normal 4 2 2 3 3 5 6" xfId="41011" xr:uid="{00000000-0005-0000-0000-0000B48A0000}"/>
    <cellStyle name="Normal 4 2 2 3 3 6" xfId="9140" xr:uid="{00000000-0005-0000-0000-0000B58A0000}"/>
    <cellStyle name="Normal 4 2 2 3 3 6 2" xfId="9141" xr:uid="{00000000-0005-0000-0000-0000B68A0000}"/>
    <cellStyle name="Normal 4 2 2 3 3 6 2 2" xfId="9142" xr:uid="{00000000-0005-0000-0000-0000B78A0000}"/>
    <cellStyle name="Normal 4 2 2 3 3 6 2 2 2" xfId="30554" xr:uid="{00000000-0005-0000-0000-0000B88A0000}"/>
    <cellStyle name="Normal 4 2 2 3 3 6 2 2 2 2" xfId="62425" xr:uid="{00000000-0005-0000-0000-0000B98A0000}"/>
    <cellStyle name="Normal 4 2 2 3 3 6 2 2 3" xfId="41021" xr:uid="{00000000-0005-0000-0000-0000BA8A0000}"/>
    <cellStyle name="Normal 4 2 2 3 3 6 2 3" xfId="22676" xr:uid="{00000000-0005-0000-0000-0000BB8A0000}"/>
    <cellStyle name="Normal 4 2 2 3 3 6 2 3 2" xfId="54547" xr:uid="{00000000-0005-0000-0000-0000BC8A0000}"/>
    <cellStyle name="Normal 4 2 2 3 3 6 2 4" xfId="41020" xr:uid="{00000000-0005-0000-0000-0000BD8A0000}"/>
    <cellStyle name="Normal 4 2 2 3 3 6 3" xfId="9143" xr:uid="{00000000-0005-0000-0000-0000BE8A0000}"/>
    <cellStyle name="Normal 4 2 2 3 3 6 3 2" xfId="26615" xr:uid="{00000000-0005-0000-0000-0000BF8A0000}"/>
    <cellStyle name="Normal 4 2 2 3 3 6 3 2 2" xfId="58486" xr:uid="{00000000-0005-0000-0000-0000C08A0000}"/>
    <cellStyle name="Normal 4 2 2 3 3 6 3 3" xfId="41022" xr:uid="{00000000-0005-0000-0000-0000C18A0000}"/>
    <cellStyle name="Normal 4 2 2 3 3 6 4" xfId="18737" xr:uid="{00000000-0005-0000-0000-0000C28A0000}"/>
    <cellStyle name="Normal 4 2 2 3 3 6 4 2" xfId="50608" xr:uid="{00000000-0005-0000-0000-0000C38A0000}"/>
    <cellStyle name="Normal 4 2 2 3 3 6 5" xfId="41019" xr:uid="{00000000-0005-0000-0000-0000C48A0000}"/>
    <cellStyle name="Normal 4 2 2 3 3 7" xfId="9144" xr:uid="{00000000-0005-0000-0000-0000C58A0000}"/>
    <cellStyle name="Normal 4 2 2 3 3 7 2" xfId="9145" xr:uid="{00000000-0005-0000-0000-0000C68A0000}"/>
    <cellStyle name="Normal 4 2 2 3 3 7 2 2" xfId="28380" xr:uid="{00000000-0005-0000-0000-0000C78A0000}"/>
    <cellStyle name="Normal 4 2 2 3 3 7 2 2 2" xfId="60251" xr:uid="{00000000-0005-0000-0000-0000C88A0000}"/>
    <cellStyle name="Normal 4 2 2 3 3 7 2 3" xfId="41024" xr:uid="{00000000-0005-0000-0000-0000C98A0000}"/>
    <cellStyle name="Normal 4 2 2 3 3 7 3" xfId="20502" xr:uid="{00000000-0005-0000-0000-0000CA8A0000}"/>
    <cellStyle name="Normal 4 2 2 3 3 7 3 2" xfId="52373" xr:uid="{00000000-0005-0000-0000-0000CB8A0000}"/>
    <cellStyle name="Normal 4 2 2 3 3 7 4" xfId="41023" xr:uid="{00000000-0005-0000-0000-0000CC8A0000}"/>
    <cellStyle name="Normal 4 2 2 3 3 8" xfId="9146" xr:uid="{00000000-0005-0000-0000-0000CD8A0000}"/>
    <cellStyle name="Normal 4 2 2 3 3 8 2" xfId="24441" xr:uid="{00000000-0005-0000-0000-0000CE8A0000}"/>
    <cellStyle name="Normal 4 2 2 3 3 8 2 2" xfId="56312" xr:uid="{00000000-0005-0000-0000-0000CF8A0000}"/>
    <cellStyle name="Normal 4 2 2 3 3 8 3" xfId="41025" xr:uid="{00000000-0005-0000-0000-0000D08A0000}"/>
    <cellStyle name="Normal 4 2 2 3 3 9" xfId="16563" xr:uid="{00000000-0005-0000-0000-0000D18A0000}"/>
    <cellStyle name="Normal 4 2 2 3 3 9 2" xfId="48434" xr:uid="{00000000-0005-0000-0000-0000D28A0000}"/>
    <cellStyle name="Normal 4 2 2 3 4" xfId="9147" xr:uid="{00000000-0005-0000-0000-0000D38A0000}"/>
    <cellStyle name="Normal 4 2 2 3 4 2" xfId="9148" xr:uid="{00000000-0005-0000-0000-0000D48A0000}"/>
    <cellStyle name="Normal 4 2 2 3 4 2 2" xfId="9149" xr:uid="{00000000-0005-0000-0000-0000D58A0000}"/>
    <cellStyle name="Normal 4 2 2 3 4 2 2 2" xfId="9150" xr:uid="{00000000-0005-0000-0000-0000D68A0000}"/>
    <cellStyle name="Normal 4 2 2 3 4 2 2 2 2" xfId="9151" xr:uid="{00000000-0005-0000-0000-0000D78A0000}"/>
    <cellStyle name="Normal 4 2 2 3 4 2 2 2 2 2" xfId="9152" xr:uid="{00000000-0005-0000-0000-0000D88A0000}"/>
    <cellStyle name="Normal 4 2 2 3 4 2 2 2 2 2 2" xfId="9153" xr:uid="{00000000-0005-0000-0000-0000D98A0000}"/>
    <cellStyle name="Normal 4 2 2 3 4 2 2 2 2 2 2 2" xfId="30558" xr:uid="{00000000-0005-0000-0000-0000DA8A0000}"/>
    <cellStyle name="Normal 4 2 2 3 4 2 2 2 2 2 2 2 2" xfId="62429" xr:uid="{00000000-0005-0000-0000-0000DB8A0000}"/>
    <cellStyle name="Normal 4 2 2 3 4 2 2 2 2 2 2 3" xfId="41032" xr:uid="{00000000-0005-0000-0000-0000DC8A0000}"/>
    <cellStyle name="Normal 4 2 2 3 4 2 2 2 2 2 3" xfId="22680" xr:uid="{00000000-0005-0000-0000-0000DD8A0000}"/>
    <cellStyle name="Normal 4 2 2 3 4 2 2 2 2 2 3 2" xfId="54551" xr:uid="{00000000-0005-0000-0000-0000DE8A0000}"/>
    <cellStyle name="Normal 4 2 2 3 4 2 2 2 2 2 4" xfId="41031" xr:uid="{00000000-0005-0000-0000-0000DF8A0000}"/>
    <cellStyle name="Normal 4 2 2 3 4 2 2 2 2 3" xfId="9154" xr:uid="{00000000-0005-0000-0000-0000E08A0000}"/>
    <cellStyle name="Normal 4 2 2 3 4 2 2 2 2 3 2" xfId="26619" xr:uid="{00000000-0005-0000-0000-0000E18A0000}"/>
    <cellStyle name="Normal 4 2 2 3 4 2 2 2 2 3 2 2" xfId="58490" xr:uid="{00000000-0005-0000-0000-0000E28A0000}"/>
    <cellStyle name="Normal 4 2 2 3 4 2 2 2 2 3 3" xfId="41033" xr:uid="{00000000-0005-0000-0000-0000E38A0000}"/>
    <cellStyle name="Normal 4 2 2 3 4 2 2 2 2 4" xfId="18741" xr:uid="{00000000-0005-0000-0000-0000E48A0000}"/>
    <cellStyle name="Normal 4 2 2 3 4 2 2 2 2 4 2" xfId="50612" xr:uid="{00000000-0005-0000-0000-0000E58A0000}"/>
    <cellStyle name="Normal 4 2 2 3 4 2 2 2 2 5" xfId="41030" xr:uid="{00000000-0005-0000-0000-0000E68A0000}"/>
    <cellStyle name="Normal 4 2 2 3 4 2 2 2 3" xfId="9155" xr:uid="{00000000-0005-0000-0000-0000E78A0000}"/>
    <cellStyle name="Normal 4 2 2 3 4 2 2 2 3 2" xfId="9156" xr:uid="{00000000-0005-0000-0000-0000E88A0000}"/>
    <cellStyle name="Normal 4 2 2 3 4 2 2 2 3 2 2" xfId="30557" xr:uid="{00000000-0005-0000-0000-0000E98A0000}"/>
    <cellStyle name="Normal 4 2 2 3 4 2 2 2 3 2 2 2" xfId="62428" xr:uid="{00000000-0005-0000-0000-0000EA8A0000}"/>
    <cellStyle name="Normal 4 2 2 3 4 2 2 2 3 2 3" xfId="41035" xr:uid="{00000000-0005-0000-0000-0000EB8A0000}"/>
    <cellStyle name="Normal 4 2 2 3 4 2 2 2 3 3" xfId="22679" xr:uid="{00000000-0005-0000-0000-0000EC8A0000}"/>
    <cellStyle name="Normal 4 2 2 3 4 2 2 2 3 3 2" xfId="54550" xr:uid="{00000000-0005-0000-0000-0000ED8A0000}"/>
    <cellStyle name="Normal 4 2 2 3 4 2 2 2 3 4" xfId="41034" xr:uid="{00000000-0005-0000-0000-0000EE8A0000}"/>
    <cellStyle name="Normal 4 2 2 3 4 2 2 2 4" xfId="9157" xr:uid="{00000000-0005-0000-0000-0000EF8A0000}"/>
    <cellStyle name="Normal 4 2 2 3 4 2 2 2 4 2" xfId="26618" xr:uid="{00000000-0005-0000-0000-0000F08A0000}"/>
    <cellStyle name="Normal 4 2 2 3 4 2 2 2 4 2 2" xfId="58489" xr:uid="{00000000-0005-0000-0000-0000F18A0000}"/>
    <cellStyle name="Normal 4 2 2 3 4 2 2 2 4 3" xfId="41036" xr:uid="{00000000-0005-0000-0000-0000F28A0000}"/>
    <cellStyle name="Normal 4 2 2 3 4 2 2 2 5" xfId="18740" xr:uid="{00000000-0005-0000-0000-0000F38A0000}"/>
    <cellStyle name="Normal 4 2 2 3 4 2 2 2 5 2" xfId="50611" xr:uid="{00000000-0005-0000-0000-0000F48A0000}"/>
    <cellStyle name="Normal 4 2 2 3 4 2 2 2 6" xfId="41029" xr:uid="{00000000-0005-0000-0000-0000F58A0000}"/>
    <cellStyle name="Normal 4 2 2 3 4 2 2 3" xfId="9158" xr:uid="{00000000-0005-0000-0000-0000F68A0000}"/>
    <cellStyle name="Normal 4 2 2 3 4 2 2 3 2" xfId="9159" xr:uid="{00000000-0005-0000-0000-0000F78A0000}"/>
    <cellStyle name="Normal 4 2 2 3 4 2 2 3 2 2" xfId="9160" xr:uid="{00000000-0005-0000-0000-0000F88A0000}"/>
    <cellStyle name="Normal 4 2 2 3 4 2 2 3 2 2 2" xfId="30559" xr:uid="{00000000-0005-0000-0000-0000F98A0000}"/>
    <cellStyle name="Normal 4 2 2 3 4 2 2 3 2 2 2 2" xfId="62430" xr:uid="{00000000-0005-0000-0000-0000FA8A0000}"/>
    <cellStyle name="Normal 4 2 2 3 4 2 2 3 2 2 3" xfId="41039" xr:uid="{00000000-0005-0000-0000-0000FB8A0000}"/>
    <cellStyle name="Normal 4 2 2 3 4 2 2 3 2 3" xfId="22681" xr:uid="{00000000-0005-0000-0000-0000FC8A0000}"/>
    <cellStyle name="Normal 4 2 2 3 4 2 2 3 2 3 2" xfId="54552" xr:uid="{00000000-0005-0000-0000-0000FD8A0000}"/>
    <cellStyle name="Normal 4 2 2 3 4 2 2 3 2 4" xfId="41038" xr:uid="{00000000-0005-0000-0000-0000FE8A0000}"/>
    <cellStyle name="Normal 4 2 2 3 4 2 2 3 3" xfId="9161" xr:uid="{00000000-0005-0000-0000-0000FF8A0000}"/>
    <cellStyle name="Normal 4 2 2 3 4 2 2 3 3 2" xfId="26620" xr:uid="{00000000-0005-0000-0000-0000008B0000}"/>
    <cellStyle name="Normal 4 2 2 3 4 2 2 3 3 2 2" xfId="58491" xr:uid="{00000000-0005-0000-0000-0000018B0000}"/>
    <cellStyle name="Normal 4 2 2 3 4 2 2 3 3 3" xfId="41040" xr:uid="{00000000-0005-0000-0000-0000028B0000}"/>
    <cellStyle name="Normal 4 2 2 3 4 2 2 3 4" xfId="18742" xr:uid="{00000000-0005-0000-0000-0000038B0000}"/>
    <cellStyle name="Normal 4 2 2 3 4 2 2 3 4 2" xfId="50613" xr:uid="{00000000-0005-0000-0000-0000048B0000}"/>
    <cellStyle name="Normal 4 2 2 3 4 2 2 3 5" xfId="41037" xr:uid="{00000000-0005-0000-0000-0000058B0000}"/>
    <cellStyle name="Normal 4 2 2 3 4 2 2 4" xfId="9162" xr:uid="{00000000-0005-0000-0000-0000068B0000}"/>
    <cellStyle name="Normal 4 2 2 3 4 2 2 4 2" xfId="9163" xr:uid="{00000000-0005-0000-0000-0000078B0000}"/>
    <cellStyle name="Normal 4 2 2 3 4 2 2 4 2 2" xfId="30556" xr:uid="{00000000-0005-0000-0000-0000088B0000}"/>
    <cellStyle name="Normal 4 2 2 3 4 2 2 4 2 2 2" xfId="62427" xr:uid="{00000000-0005-0000-0000-0000098B0000}"/>
    <cellStyle name="Normal 4 2 2 3 4 2 2 4 2 3" xfId="41042" xr:uid="{00000000-0005-0000-0000-00000A8B0000}"/>
    <cellStyle name="Normal 4 2 2 3 4 2 2 4 3" xfId="22678" xr:uid="{00000000-0005-0000-0000-00000B8B0000}"/>
    <cellStyle name="Normal 4 2 2 3 4 2 2 4 3 2" xfId="54549" xr:uid="{00000000-0005-0000-0000-00000C8B0000}"/>
    <cellStyle name="Normal 4 2 2 3 4 2 2 4 4" xfId="41041" xr:uid="{00000000-0005-0000-0000-00000D8B0000}"/>
    <cellStyle name="Normal 4 2 2 3 4 2 2 5" xfId="9164" xr:uid="{00000000-0005-0000-0000-00000E8B0000}"/>
    <cellStyle name="Normal 4 2 2 3 4 2 2 5 2" xfId="26617" xr:uid="{00000000-0005-0000-0000-00000F8B0000}"/>
    <cellStyle name="Normal 4 2 2 3 4 2 2 5 2 2" xfId="58488" xr:uid="{00000000-0005-0000-0000-0000108B0000}"/>
    <cellStyle name="Normal 4 2 2 3 4 2 2 5 3" xfId="41043" xr:uid="{00000000-0005-0000-0000-0000118B0000}"/>
    <cellStyle name="Normal 4 2 2 3 4 2 2 6" xfId="18739" xr:uid="{00000000-0005-0000-0000-0000128B0000}"/>
    <cellStyle name="Normal 4 2 2 3 4 2 2 6 2" xfId="50610" xr:uid="{00000000-0005-0000-0000-0000138B0000}"/>
    <cellStyle name="Normal 4 2 2 3 4 2 2 7" xfId="41028" xr:uid="{00000000-0005-0000-0000-0000148B0000}"/>
    <cellStyle name="Normal 4 2 2 3 4 2 3" xfId="9165" xr:uid="{00000000-0005-0000-0000-0000158B0000}"/>
    <cellStyle name="Normal 4 2 2 3 4 2 3 2" xfId="9166" xr:uid="{00000000-0005-0000-0000-0000168B0000}"/>
    <cellStyle name="Normal 4 2 2 3 4 2 3 2 2" xfId="9167" xr:uid="{00000000-0005-0000-0000-0000178B0000}"/>
    <cellStyle name="Normal 4 2 2 3 4 2 3 2 2 2" xfId="9168" xr:uid="{00000000-0005-0000-0000-0000188B0000}"/>
    <cellStyle name="Normal 4 2 2 3 4 2 3 2 2 2 2" xfId="30561" xr:uid="{00000000-0005-0000-0000-0000198B0000}"/>
    <cellStyle name="Normal 4 2 2 3 4 2 3 2 2 2 2 2" xfId="62432" xr:uid="{00000000-0005-0000-0000-00001A8B0000}"/>
    <cellStyle name="Normal 4 2 2 3 4 2 3 2 2 2 3" xfId="41047" xr:uid="{00000000-0005-0000-0000-00001B8B0000}"/>
    <cellStyle name="Normal 4 2 2 3 4 2 3 2 2 3" xfId="22683" xr:uid="{00000000-0005-0000-0000-00001C8B0000}"/>
    <cellStyle name="Normal 4 2 2 3 4 2 3 2 2 3 2" xfId="54554" xr:uid="{00000000-0005-0000-0000-00001D8B0000}"/>
    <cellStyle name="Normal 4 2 2 3 4 2 3 2 2 4" xfId="41046" xr:uid="{00000000-0005-0000-0000-00001E8B0000}"/>
    <cellStyle name="Normal 4 2 2 3 4 2 3 2 3" xfId="9169" xr:uid="{00000000-0005-0000-0000-00001F8B0000}"/>
    <cellStyle name="Normal 4 2 2 3 4 2 3 2 3 2" xfId="26622" xr:uid="{00000000-0005-0000-0000-0000208B0000}"/>
    <cellStyle name="Normal 4 2 2 3 4 2 3 2 3 2 2" xfId="58493" xr:uid="{00000000-0005-0000-0000-0000218B0000}"/>
    <cellStyle name="Normal 4 2 2 3 4 2 3 2 3 3" xfId="41048" xr:uid="{00000000-0005-0000-0000-0000228B0000}"/>
    <cellStyle name="Normal 4 2 2 3 4 2 3 2 4" xfId="18744" xr:uid="{00000000-0005-0000-0000-0000238B0000}"/>
    <cellStyle name="Normal 4 2 2 3 4 2 3 2 4 2" xfId="50615" xr:uid="{00000000-0005-0000-0000-0000248B0000}"/>
    <cellStyle name="Normal 4 2 2 3 4 2 3 2 5" xfId="41045" xr:uid="{00000000-0005-0000-0000-0000258B0000}"/>
    <cellStyle name="Normal 4 2 2 3 4 2 3 3" xfId="9170" xr:uid="{00000000-0005-0000-0000-0000268B0000}"/>
    <cellStyle name="Normal 4 2 2 3 4 2 3 3 2" xfId="9171" xr:uid="{00000000-0005-0000-0000-0000278B0000}"/>
    <cellStyle name="Normal 4 2 2 3 4 2 3 3 2 2" xfId="30560" xr:uid="{00000000-0005-0000-0000-0000288B0000}"/>
    <cellStyle name="Normal 4 2 2 3 4 2 3 3 2 2 2" xfId="62431" xr:uid="{00000000-0005-0000-0000-0000298B0000}"/>
    <cellStyle name="Normal 4 2 2 3 4 2 3 3 2 3" xfId="41050" xr:uid="{00000000-0005-0000-0000-00002A8B0000}"/>
    <cellStyle name="Normal 4 2 2 3 4 2 3 3 3" xfId="22682" xr:uid="{00000000-0005-0000-0000-00002B8B0000}"/>
    <cellStyle name="Normal 4 2 2 3 4 2 3 3 3 2" xfId="54553" xr:uid="{00000000-0005-0000-0000-00002C8B0000}"/>
    <cellStyle name="Normal 4 2 2 3 4 2 3 3 4" xfId="41049" xr:uid="{00000000-0005-0000-0000-00002D8B0000}"/>
    <cellStyle name="Normal 4 2 2 3 4 2 3 4" xfId="9172" xr:uid="{00000000-0005-0000-0000-00002E8B0000}"/>
    <cellStyle name="Normal 4 2 2 3 4 2 3 4 2" xfId="26621" xr:uid="{00000000-0005-0000-0000-00002F8B0000}"/>
    <cellStyle name="Normal 4 2 2 3 4 2 3 4 2 2" xfId="58492" xr:uid="{00000000-0005-0000-0000-0000308B0000}"/>
    <cellStyle name="Normal 4 2 2 3 4 2 3 4 3" xfId="41051" xr:uid="{00000000-0005-0000-0000-0000318B0000}"/>
    <cellStyle name="Normal 4 2 2 3 4 2 3 5" xfId="18743" xr:uid="{00000000-0005-0000-0000-0000328B0000}"/>
    <cellStyle name="Normal 4 2 2 3 4 2 3 5 2" xfId="50614" xr:uid="{00000000-0005-0000-0000-0000338B0000}"/>
    <cellStyle name="Normal 4 2 2 3 4 2 3 6" xfId="41044" xr:uid="{00000000-0005-0000-0000-0000348B0000}"/>
    <cellStyle name="Normal 4 2 2 3 4 2 4" xfId="9173" xr:uid="{00000000-0005-0000-0000-0000358B0000}"/>
    <cellStyle name="Normal 4 2 2 3 4 2 4 2" xfId="9174" xr:uid="{00000000-0005-0000-0000-0000368B0000}"/>
    <cellStyle name="Normal 4 2 2 3 4 2 4 2 2" xfId="9175" xr:uid="{00000000-0005-0000-0000-0000378B0000}"/>
    <cellStyle name="Normal 4 2 2 3 4 2 4 2 2 2" xfId="30562" xr:uid="{00000000-0005-0000-0000-0000388B0000}"/>
    <cellStyle name="Normal 4 2 2 3 4 2 4 2 2 2 2" xfId="62433" xr:uid="{00000000-0005-0000-0000-0000398B0000}"/>
    <cellStyle name="Normal 4 2 2 3 4 2 4 2 2 3" xfId="41054" xr:uid="{00000000-0005-0000-0000-00003A8B0000}"/>
    <cellStyle name="Normal 4 2 2 3 4 2 4 2 3" xfId="22684" xr:uid="{00000000-0005-0000-0000-00003B8B0000}"/>
    <cellStyle name="Normal 4 2 2 3 4 2 4 2 3 2" xfId="54555" xr:uid="{00000000-0005-0000-0000-00003C8B0000}"/>
    <cellStyle name="Normal 4 2 2 3 4 2 4 2 4" xfId="41053" xr:uid="{00000000-0005-0000-0000-00003D8B0000}"/>
    <cellStyle name="Normal 4 2 2 3 4 2 4 3" xfId="9176" xr:uid="{00000000-0005-0000-0000-00003E8B0000}"/>
    <cellStyle name="Normal 4 2 2 3 4 2 4 3 2" xfId="26623" xr:uid="{00000000-0005-0000-0000-00003F8B0000}"/>
    <cellStyle name="Normal 4 2 2 3 4 2 4 3 2 2" xfId="58494" xr:uid="{00000000-0005-0000-0000-0000408B0000}"/>
    <cellStyle name="Normal 4 2 2 3 4 2 4 3 3" xfId="41055" xr:uid="{00000000-0005-0000-0000-0000418B0000}"/>
    <cellStyle name="Normal 4 2 2 3 4 2 4 4" xfId="18745" xr:uid="{00000000-0005-0000-0000-0000428B0000}"/>
    <cellStyle name="Normal 4 2 2 3 4 2 4 4 2" xfId="50616" xr:uid="{00000000-0005-0000-0000-0000438B0000}"/>
    <cellStyle name="Normal 4 2 2 3 4 2 4 5" xfId="41052" xr:uid="{00000000-0005-0000-0000-0000448B0000}"/>
    <cellStyle name="Normal 4 2 2 3 4 2 5" xfId="9177" xr:uid="{00000000-0005-0000-0000-0000458B0000}"/>
    <cellStyle name="Normal 4 2 2 3 4 2 5 2" xfId="9178" xr:uid="{00000000-0005-0000-0000-0000468B0000}"/>
    <cellStyle name="Normal 4 2 2 3 4 2 5 2 2" xfId="30555" xr:uid="{00000000-0005-0000-0000-0000478B0000}"/>
    <cellStyle name="Normal 4 2 2 3 4 2 5 2 2 2" xfId="62426" xr:uid="{00000000-0005-0000-0000-0000488B0000}"/>
    <cellStyle name="Normal 4 2 2 3 4 2 5 2 3" xfId="41057" xr:uid="{00000000-0005-0000-0000-0000498B0000}"/>
    <cellStyle name="Normal 4 2 2 3 4 2 5 3" xfId="22677" xr:uid="{00000000-0005-0000-0000-00004A8B0000}"/>
    <cellStyle name="Normal 4 2 2 3 4 2 5 3 2" xfId="54548" xr:uid="{00000000-0005-0000-0000-00004B8B0000}"/>
    <cellStyle name="Normal 4 2 2 3 4 2 5 4" xfId="41056" xr:uid="{00000000-0005-0000-0000-00004C8B0000}"/>
    <cellStyle name="Normal 4 2 2 3 4 2 6" xfId="9179" xr:uid="{00000000-0005-0000-0000-00004D8B0000}"/>
    <cellStyle name="Normal 4 2 2 3 4 2 6 2" xfId="26616" xr:uid="{00000000-0005-0000-0000-00004E8B0000}"/>
    <cellStyle name="Normal 4 2 2 3 4 2 6 2 2" xfId="58487" xr:uid="{00000000-0005-0000-0000-00004F8B0000}"/>
    <cellStyle name="Normal 4 2 2 3 4 2 6 3" xfId="41058" xr:uid="{00000000-0005-0000-0000-0000508B0000}"/>
    <cellStyle name="Normal 4 2 2 3 4 2 7" xfId="18738" xr:uid="{00000000-0005-0000-0000-0000518B0000}"/>
    <cellStyle name="Normal 4 2 2 3 4 2 7 2" xfId="50609" xr:uid="{00000000-0005-0000-0000-0000528B0000}"/>
    <cellStyle name="Normal 4 2 2 3 4 2 8" xfId="41027" xr:uid="{00000000-0005-0000-0000-0000538B0000}"/>
    <cellStyle name="Normal 4 2 2 3 4 3" xfId="9180" xr:uid="{00000000-0005-0000-0000-0000548B0000}"/>
    <cellStyle name="Normal 4 2 2 3 4 3 2" xfId="9181" xr:uid="{00000000-0005-0000-0000-0000558B0000}"/>
    <cellStyle name="Normal 4 2 2 3 4 3 2 2" xfId="9182" xr:uid="{00000000-0005-0000-0000-0000568B0000}"/>
    <cellStyle name="Normal 4 2 2 3 4 3 2 2 2" xfId="9183" xr:uid="{00000000-0005-0000-0000-0000578B0000}"/>
    <cellStyle name="Normal 4 2 2 3 4 3 2 2 2 2" xfId="9184" xr:uid="{00000000-0005-0000-0000-0000588B0000}"/>
    <cellStyle name="Normal 4 2 2 3 4 3 2 2 2 2 2" xfId="30565" xr:uid="{00000000-0005-0000-0000-0000598B0000}"/>
    <cellStyle name="Normal 4 2 2 3 4 3 2 2 2 2 2 2" xfId="62436" xr:uid="{00000000-0005-0000-0000-00005A8B0000}"/>
    <cellStyle name="Normal 4 2 2 3 4 3 2 2 2 2 3" xfId="41063" xr:uid="{00000000-0005-0000-0000-00005B8B0000}"/>
    <cellStyle name="Normal 4 2 2 3 4 3 2 2 2 3" xfId="22687" xr:uid="{00000000-0005-0000-0000-00005C8B0000}"/>
    <cellStyle name="Normal 4 2 2 3 4 3 2 2 2 3 2" xfId="54558" xr:uid="{00000000-0005-0000-0000-00005D8B0000}"/>
    <cellStyle name="Normal 4 2 2 3 4 3 2 2 2 4" xfId="41062" xr:uid="{00000000-0005-0000-0000-00005E8B0000}"/>
    <cellStyle name="Normal 4 2 2 3 4 3 2 2 3" xfId="9185" xr:uid="{00000000-0005-0000-0000-00005F8B0000}"/>
    <cellStyle name="Normal 4 2 2 3 4 3 2 2 3 2" xfId="26626" xr:uid="{00000000-0005-0000-0000-0000608B0000}"/>
    <cellStyle name="Normal 4 2 2 3 4 3 2 2 3 2 2" xfId="58497" xr:uid="{00000000-0005-0000-0000-0000618B0000}"/>
    <cellStyle name="Normal 4 2 2 3 4 3 2 2 3 3" xfId="41064" xr:uid="{00000000-0005-0000-0000-0000628B0000}"/>
    <cellStyle name="Normal 4 2 2 3 4 3 2 2 4" xfId="18748" xr:uid="{00000000-0005-0000-0000-0000638B0000}"/>
    <cellStyle name="Normal 4 2 2 3 4 3 2 2 4 2" xfId="50619" xr:uid="{00000000-0005-0000-0000-0000648B0000}"/>
    <cellStyle name="Normal 4 2 2 3 4 3 2 2 5" xfId="41061" xr:uid="{00000000-0005-0000-0000-0000658B0000}"/>
    <cellStyle name="Normal 4 2 2 3 4 3 2 3" xfId="9186" xr:uid="{00000000-0005-0000-0000-0000668B0000}"/>
    <cellStyle name="Normal 4 2 2 3 4 3 2 3 2" xfId="9187" xr:uid="{00000000-0005-0000-0000-0000678B0000}"/>
    <cellStyle name="Normal 4 2 2 3 4 3 2 3 2 2" xfId="30564" xr:uid="{00000000-0005-0000-0000-0000688B0000}"/>
    <cellStyle name="Normal 4 2 2 3 4 3 2 3 2 2 2" xfId="62435" xr:uid="{00000000-0005-0000-0000-0000698B0000}"/>
    <cellStyle name="Normal 4 2 2 3 4 3 2 3 2 3" xfId="41066" xr:uid="{00000000-0005-0000-0000-00006A8B0000}"/>
    <cellStyle name="Normal 4 2 2 3 4 3 2 3 3" xfId="22686" xr:uid="{00000000-0005-0000-0000-00006B8B0000}"/>
    <cellStyle name="Normal 4 2 2 3 4 3 2 3 3 2" xfId="54557" xr:uid="{00000000-0005-0000-0000-00006C8B0000}"/>
    <cellStyle name="Normal 4 2 2 3 4 3 2 3 4" xfId="41065" xr:uid="{00000000-0005-0000-0000-00006D8B0000}"/>
    <cellStyle name="Normal 4 2 2 3 4 3 2 4" xfId="9188" xr:uid="{00000000-0005-0000-0000-00006E8B0000}"/>
    <cellStyle name="Normal 4 2 2 3 4 3 2 4 2" xfId="26625" xr:uid="{00000000-0005-0000-0000-00006F8B0000}"/>
    <cellStyle name="Normal 4 2 2 3 4 3 2 4 2 2" xfId="58496" xr:uid="{00000000-0005-0000-0000-0000708B0000}"/>
    <cellStyle name="Normal 4 2 2 3 4 3 2 4 3" xfId="41067" xr:uid="{00000000-0005-0000-0000-0000718B0000}"/>
    <cellStyle name="Normal 4 2 2 3 4 3 2 5" xfId="18747" xr:uid="{00000000-0005-0000-0000-0000728B0000}"/>
    <cellStyle name="Normal 4 2 2 3 4 3 2 5 2" xfId="50618" xr:uid="{00000000-0005-0000-0000-0000738B0000}"/>
    <cellStyle name="Normal 4 2 2 3 4 3 2 6" xfId="41060" xr:uid="{00000000-0005-0000-0000-0000748B0000}"/>
    <cellStyle name="Normal 4 2 2 3 4 3 3" xfId="9189" xr:uid="{00000000-0005-0000-0000-0000758B0000}"/>
    <cellStyle name="Normal 4 2 2 3 4 3 3 2" xfId="9190" xr:uid="{00000000-0005-0000-0000-0000768B0000}"/>
    <cellStyle name="Normal 4 2 2 3 4 3 3 2 2" xfId="9191" xr:uid="{00000000-0005-0000-0000-0000778B0000}"/>
    <cellStyle name="Normal 4 2 2 3 4 3 3 2 2 2" xfId="30566" xr:uid="{00000000-0005-0000-0000-0000788B0000}"/>
    <cellStyle name="Normal 4 2 2 3 4 3 3 2 2 2 2" xfId="62437" xr:uid="{00000000-0005-0000-0000-0000798B0000}"/>
    <cellStyle name="Normal 4 2 2 3 4 3 3 2 2 3" xfId="41070" xr:uid="{00000000-0005-0000-0000-00007A8B0000}"/>
    <cellStyle name="Normal 4 2 2 3 4 3 3 2 3" xfId="22688" xr:uid="{00000000-0005-0000-0000-00007B8B0000}"/>
    <cellStyle name="Normal 4 2 2 3 4 3 3 2 3 2" xfId="54559" xr:uid="{00000000-0005-0000-0000-00007C8B0000}"/>
    <cellStyle name="Normal 4 2 2 3 4 3 3 2 4" xfId="41069" xr:uid="{00000000-0005-0000-0000-00007D8B0000}"/>
    <cellStyle name="Normal 4 2 2 3 4 3 3 3" xfId="9192" xr:uid="{00000000-0005-0000-0000-00007E8B0000}"/>
    <cellStyle name="Normal 4 2 2 3 4 3 3 3 2" xfId="26627" xr:uid="{00000000-0005-0000-0000-00007F8B0000}"/>
    <cellStyle name="Normal 4 2 2 3 4 3 3 3 2 2" xfId="58498" xr:uid="{00000000-0005-0000-0000-0000808B0000}"/>
    <cellStyle name="Normal 4 2 2 3 4 3 3 3 3" xfId="41071" xr:uid="{00000000-0005-0000-0000-0000818B0000}"/>
    <cellStyle name="Normal 4 2 2 3 4 3 3 4" xfId="18749" xr:uid="{00000000-0005-0000-0000-0000828B0000}"/>
    <cellStyle name="Normal 4 2 2 3 4 3 3 4 2" xfId="50620" xr:uid="{00000000-0005-0000-0000-0000838B0000}"/>
    <cellStyle name="Normal 4 2 2 3 4 3 3 5" xfId="41068" xr:uid="{00000000-0005-0000-0000-0000848B0000}"/>
    <cellStyle name="Normal 4 2 2 3 4 3 4" xfId="9193" xr:uid="{00000000-0005-0000-0000-0000858B0000}"/>
    <cellStyle name="Normal 4 2 2 3 4 3 4 2" xfId="9194" xr:uid="{00000000-0005-0000-0000-0000868B0000}"/>
    <cellStyle name="Normal 4 2 2 3 4 3 4 2 2" xfId="30563" xr:uid="{00000000-0005-0000-0000-0000878B0000}"/>
    <cellStyle name="Normal 4 2 2 3 4 3 4 2 2 2" xfId="62434" xr:uid="{00000000-0005-0000-0000-0000888B0000}"/>
    <cellStyle name="Normal 4 2 2 3 4 3 4 2 3" xfId="41073" xr:uid="{00000000-0005-0000-0000-0000898B0000}"/>
    <cellStyle name="Normal 4 2 2 3 4 3 4 3" xfId="22685" xr:uid="{00000000-0005-0000-0000-00008A8B0000}"/>
    <cellStyle name="Normal 4 2 2 3 4 3 4 3 2" xfId="54556" xr:uid="{00000000-0005-0000-0000-00008B8B0000}"/>
    <cellStyle name="Normal 4 2 2 3 4 3 4 4" xfId="41072" xr:uid="{00000000-0005-0000-0000-00008C8B0000}"/>
    <cellStyle name="Normal 4 2 2 3 4 3 5" xfId="9195" xr:uid="{00000000-0005-0000-0000-00008D8B0000}"/>
    <cellStyle name="Normal 4 2 2 3 4 3 5 2" xfId="26624" xr:uid="{00000000-0005-0000-0000-00008E8B0000}"/>
    <cellStyle name="Normal 4 2 2 3 4 3 5 2 2" xfId="58495" xr:uid="{00000000-0005-0000-0000-00008F8B0000}"/>
    <cellStyle name="Normal 4 2 2 3 4 3 5 3" xfId="41074" xr:uid="{00000000-0005-0000-0000-0000908B0000}"/>
    <cellStyle name="Normal 4 2 2 3 4 3 6" xfId="18746" xr:uid="{00000000-0005-0000-0000-0000918B0000}"/>
    <cellStyle name="Normal 4 2 2 3 4 3 6 2" xfId="50617" xr:uid="{00000000-0005-0000-0000-0000928B0000}"/>
    <cellStyle name="Normal 4 2 2 3 4 3 7" xfId="41059" xr:uid="{00000000-0005-0000-0000-0000938B0000}"/>
    <cellStyle name="Normal 4 2 2 3 4 4" xfId="9196" xr:uid="{00000000-0005-0000-0000-0000948B0000}"/>
    <cellStyle name="Normal 4 2 2 3 4 4 2" xfId="9197" xr:uid="{00000000-0005-0000-0000-0000958B0000}"/>
    <cellStyle name="Normal 4 2 2 3 4 4 2 2" xfId="9198" xr:uid="{00000000-0005-0000-0000-0000968B0000}"/>
    <cellStyle name="Normal 4 2 2 3 4 4 2 2 2" xfId="9199" xr:uid="{00000000-0005-0000-0000-0000978B0000}"/>
    <cellStyle name="Normal 4 2 2 3 4 4 2 2 2 2" xfId="30568" xr:uid="{00000000-0005-0000-0000-0000988B0000}"/>
    <cellStyle name="Normal 4 2 2 3 4 4 2 2 2 2 2" xfId="62439" xr:uid="{00000000-0005-0000-0000-0000998B0000}"/>
    <cellStyle name="Normal 4 2 2 3 4 4 2 2 2 3" xfId="41078" xr:uid="{00000000-0005-0000-0000-00009A8B0000}"/>
    <cellStyle name="Normal 4 2 2 3 4 4 2 2 3" xfId="22690" xr:uid="{00000000-0005-0000-0000-00009B8B0000}"/>
    <cellStyle name="Normal 4 2 2 3 4 4 2 2 3 2" xfId="54561" xr:uid="{00000000-0005-0000-0000-00009C8B0000}"/>
    <cellStyle name="Normal 4 2 2 3 4 4 2 2 4" xfId="41077" xr:uid="{00000000-0005-0000-0000-00009D8B0000}"/>
    <cellStyle name="Normal 4 2 2 3 4 4 2 3" xfId="9200" xr:uid="{00000000-0005-0000-0000-00009E8B0000}"/>
    <cellStyle name="Normal 4 2 2 3 4 4 2 3 2" xfId="26629" xr:uid="{00000000-0005-0000-0000-00009F8B0000}"/>
    <cellStyle name="Normal 4 2 2 3 4 4 2 3 2 2" xfId="58500" xr:uid="{00000000-0005-0000-0000-0000A08B0000}"/>
    <cellStyle name="Normal 4 2 2 3 4 4 2 3 3" xfId="41079" xr:uid="{00000000-0005-0000-0000-0000A18B0000}"/>
    <cellStyle name="Normal 4 2 2 3 4 4 2 4" xfId="18751" xr:uid="{00000000-0005-0000-0000-0000A28B0000}"/>
    <cellStyle name="Normal 4 2 2 3 4 4 2 4 2" xfId="50622" xr:uid="{00000000-0005-0000-0000-0000A38B0000}"/>
    <cellStyle name="Normal 4 2 2 3 4 4 2 5" xfId="41076" xr:uid="{00000000-0005-0000-0000-0000A48B0000}"/>
    <cellStyle name="Normal 4 2 2 3 4 4 3" xfId="9201" xr:uid="{00000000-0005-0000-0000-0000A58B0000}"/>
    <cellStyle name="Normal 4 2 2 3 4 4 3 2" xfId="9202" xr:uid="{00000000-0005-0000-0000-0000A68B0000}"/>
    <cellStyle name="Normal 4 2 2 3 4 4 3 2 2" xfId="30567" xr:uid="{00000000-0005-0000-0000-0000A78B0000}"/>
    <cellStyle name="Normal 4 2 2 3 4 4 3 2 2 2" xfId="62438" xr:uid="{00000000-0005-0000-0000-0000A88B0000}"/>
    <cellStyle name="Normal 4 2 2 3 4 4 3 2 3" xfId="41081" xr:uid="{00000000-0005-0000-0000-0000A98B0000}"/>
    <cellStyle name="Normal 4 2 2 3 4 4 3 3" xfId="22689" xr:uid="{00000000-0005-0000-0000-0000AA8B0000}"/>
    <cellStyle name="Normal 4 2 2 3 4 4 3 3 2" xfId="54560" xr:uid="{00000000-0005-0000-0000-0000AB8B0000}"/>
    <cellStyle name="Normal 4 2 2 3 4 4 3 4" xfId="41080" xr:uid="{00000000-0005-0000-0000-0000AC8B0000}"/>
    <cellStyle name="Normal 4 2 2 3 4 4 4" xfId="9203" xr:uid="{00000000-0005-0000-0000-0000AD8B0000}"/>
    <cellStyle name="Normal 4 2 2 3 4 4 4 2" xfId="26628" xr:uid="{00000000-0005-0000-0000-0000AE8B0000}"/>
    <cellStyle name="Normal 4 2 2 3 4 4 4 2 2" xfId="58499" xr:uid="{00000000-0005-0000-0000-0000AF8B0000}"/>
    <cellStyle name="Normal 4 2 2 3 4 4 4 3" xfId="41082" xr:uid="{00000000-0005-0000-0000-0000B08B0000}"/>
    <cellStyle name="Normal 4 2 2 3 4 4 5" xfId="18750" xr:uid="{00000000-0005-0000-0000-0000B18B0000}"/>
    <cellStyle name="Normal 4 2 2 3 4 4 5 2" xfId="50621" xr:uid="{00000000-0005-0000-0000-0000B28B0000}"/>
    <cellStyle name="Normal 4 2 2 3 4 4 6" xfId="41075" xr:uid="{00000000-0005-0000-0000-0000B38B0000}"/>
    <cellStyle name="Normal 4 2 2 3 4 5" xfId="9204" xr:uid="{00000000-0005-0000-0000-0000B48B0000}"/>
    <cellStyle name="Normal 4 2 2 3 4 5 2" xfId="9205" xr:uid="{00000000-0005-0000-0000-0000B58B0000}"/>
    <cellStyle name="Normal 4 2 2 3 4 5 2 2" xfId="9206" xr:uid="{00000000-0005-0000-0000-0000B68B0000}"/>
    <cellStyle name="Normal 4 2 2 3 4 5 2 2 2" xfId="30569" xr:uid="{00000000-0005-0000-0000-0000B78B0000}"/>
    <cellStyle name="Normal 4 2 2 3 4 5 2 2 2 2" xfId="62440" xr:uid="{00000000-0005-0000-0000-0000B88B0000}"/>
    <cellStyle name="Normal 4 2 2 3 4 5 2 2 3" xfId="41085" xr:uid="{00000000-0005-0000-0000-0000B98B0000}"/>
    <cellStyle name="Normal 4 2 2 3 4 5 2 3" xfId="22691" xr:uid="{00000000-0005-0000-0000-0000BA8B0000}"/>
    <cellStyle name="Normal 4 2 2 3 4 5 2 3 2" xfId="54562" xr:uid="{00000000-0005-0000-0000-0000BB8B0000}"/>
    <cellStyle name="Normal 4 2 2 3 4 5 2 4" xfId="41084" xr:uid="{00000000-0005-0000-0000-0000BC8B0000}"/>
    <cellStyle name="Normal 4 2 2 3 4 5 3" xfId="9207" xr:uid="{00000000-0005-0000-0000-0000BD8B0000}"/>
    <cellStyle name="Normal 4 2 2 3 4 5 3 2" xfId="26630" xr:uid="{00000000-0005-0000-0000-0000BE8B0000}"/>
    <cellStyle name="Normal 4 2 2 3 4 5 3 2 2" xfId="58501" xr:uid="{00000000-0005-0000-0000-0000BF8B0000}"/>
    <cellStyle name="Normal 4 2 2 3 4 5 3 3" xfId="41086" xr:uid="{00000000-0005-0000-0000-0000C08B0000}"/>
    <cellStyle name="Normal 4 2 2 3 4 5 4" xfId="18752" xr:uid="{00000000-0005-0000-0000-0000C18B0000}"/>
    <cellStyle name="Normal 4 2 2 3 4 5 4 2" xfId="50623" xr:uid="{00000000-0005-0000-0000-0000C28B0000}"/>
    <cellStyle name="Normal 4 2 2 3 4 5 5" xfId="41083" xr:uid="{00000000-0005-0000-0000-0000C38B0000}"/>
    <cellStyle name="Normal 4 2 2 3 4 6" xfId="9208" xr:uid="{00000000-0005-0000-0000-0000C48B0000}"/>
    <cellStyle name="Normal 4 2 2 3 4 6 2" xfId="9209" xr:uid="{00000000-0005-0000-0000-0000C58B0000}"/>
    <cellStyle name="Normal 4 2 2 3 4 6 2 2" xfId="28421" xr:uid="{00000000-0005-0000-0000-0000C68B0000}"/>
    <cellStyle name="Normal 4 2 2 3 4 6 2 2 2" xfId="60292" xr:uid="{00000000-0005-0000-0000-0000C78B0000}"/>
    <cellStyle name="Normal 4 2 2 3 4 6 2 3" xfId="41088" xr:uid="{00000000-0005-0000-0000-0000C88B0000}"/>
    <cellStyle name="Normal 4 2 2 3 4 6 3" xfId="20543" xr:uid="{00000000-0005-0000-0000-0000C98B0000}"/>
    <cellStyle name="Normal 4 2 2 3 4 6 3 2" xfId="52414" xr:uid="{00000000-0005-0000-0000-0000CA8B0000}"/>
    <cellStyle name="Normal 4 2 2 3 4 6 4" xfId="41087" xr:uid="{00000000-0005-0000-0000-0000CB8B0000}"/>
    <cellStyle name="Normal 4 2 2 3 4 7" xfId="9210" xr:uid="{00000000-0005-0000-0000-0000CC8B0000}"/>
    <cellStyle name="Normal 4 2 2 3 4 7 2" xfId="24482" xr:uid="{00000000-0005-0000-0000-0000CD8B0000}"/>
    <cellStyle name="Normal 4 2 2 3 4 7 2 2" xfId="56353" xr:uid="{00000000-0005-0000-0000-0000CE8B0000}"/>
    <cellStyle name="Normal 4 2 2 3 4 7 3" xfId="41089" xr:uid="{00000000-0005-0000-0000-0000CF8B0000}"/>
    <cellStyle name="Normal 4 2 2 3 4 8" xfId="16604" xr:uid="{00000000-0005-0000-0000-0000D08B0000}"/>
    <cellStyle name="Normal 4 2 2 3 4 8 2" xfId="48475" xr:uid="{00000000-0005-0000-0000-0000D18B0000}"/>
    <cellStyle name="Normal 4 2 2 3 4 9" xfId="41026" xr:uid="{00000000-0005-0000-0000-0000D28B0000}"/>
    <cellStyle name="Normal 4 2 2 3 5" xfId="9211" xr:uid="{00000000-0005-0000-0000-0000D38B0000}"/>
    <cellStyle name="Normal 4 2 2 3 5 2" xfId="9212" xr:uid="{00000000-0005-0000-0000-0000D48B0000}"/>
    <cellStyle name="Normal 4 2 2 3 5 2 2" xfId="9213" xr:uid="{00000000-0005-0000-0000-0000D58B0000}"/>
    <cellStyle name="Normal 4 2 2 3 5 2 2 2" xfId="9214" xr:uid="{00000000-0005-0000-0000-0000D68B0000}"/>
    <cellStyle name="Normal 4 2 2 3 5 2 2 2 2" xfId="9215" xr:uid="{00000000-0005-0000-0000-0000D78B0000}"/>
    <cellStyle name="Normal 4 2 2 3 5 2 2 2 2 2" xfId="9216" xr:uid="{00000000-0005-0000-0000-0000D88B0000}"/>
    <cellStyle name="Normal 4 2 2 3 5 2 2 2 2 2 2" xfId="30572" xr:uid="{00000000-0005-0000-0000-0000D98B0000}"/>
    <cellStyle name="Normal 4 2 2 3 5 2 2 2 2 2 2 2" xfId="62443" xr:uid="{00000000-0005-0000-0000-0000DA8B0000}"/>
    <cellStyle name="Normal 4 2 2 3 5 2 2 2 2 2 3" xfId="41095" xr:uid="{00000000-0005-0000-0000-0000DB8B0000}"/>
    <cellStyle name="Normal 4 2 2 3 5 2 2 2 2 3" xfId="22694" xr:uid="{00000000-0005-0000-0000-0000DC8B0000}"/>
    <cellStyle name="Normal 4 2 2 3 5 2 2 2 2 3 2" xfId="54565" xr:uid="{00000000-0005-0000-0000-0000DD8B0000}"/>
    <cellStyle name="Normal 4 2 2 3 5 2 2 2 2 4" xfId="41094" xr:uid="{00000000-0005-0000-0000-0000DE8B0000}"/>
    <cellStyle name="Normal 4 2 2 3 5 2 2 2 3" xfId="9217" xr:uid="{00000000-0005-0000-0000-0000DF8B0000}"/>
    <cellStyle name="Normal 4 2 2 3 5 2 2 2 3 2" xfId="26633" xr:uid="{00000000-0005-0000-0000-0000E08B0000}"/>
    <cellStyle name="Normal 4 2 2 3 5 2 2 2 3 2 2" xfId="58504" xr:uid="{00000000-0005-0000-0000-0000E18B0000}"/>
    <cellStyle name="Normal 4 2 2 3 5 2 2 2 3 3" xfId="41096" xr:uid="{00000000-0005-0000-0000-0000E28B0000}"/>
    <cellStyle name="Normal 4 2 2 3 5 2 2 2 4" xfId="18755" xr:uid="{00000000-0005-0000-0000-0000E38B0000}"/>
    <cellStyle name="Normal 4 2 2 3 5 2 2 2 4 2" xfId="50626" xr:uid="{00000000-0005-0000-0000-0000E48B0000}"/>
    <cellStyle name="Normal 4 2 2 3 5 2 2 2 5" xfId="41093" xr:uid="{00000000-0005-0000-0000-0000E58B0000}"/>
    <cellStyle name="Normal 4 2 2 3 5 2 2 3" xfId="9218" xr:uid="{00000000-0005-0000-0000-0000E68B0000}"/>
    <cellStyle name="Normal 4 2 2 3 5 2 2 3 2" xfId="9219" xr:uid="{00000000-0005-0000-0000-0000E78B0000}"/>
    <cellStyle name="Normal 4 2 2 3 5 2 2 3 2 2" xfId="30571" xr:uid="{00000000-0005-0000-0000-0000E88B0000}"/>
    <cellStyle name="Normal 4 2 2 3 5 2 2 3 2 2 2" xfId="62442" xr:uid="{00000000-0005-0000-0000-0000E98B0000}"/>
    <cellStyle name="Normal 4 2 2 3 5 2 2 3 2 3" xfId="41098" xr:uid="{00000000-0005-0000-0000-0000EA8B0000}"/>
    <cellStyle name="Normal 4 2 2 3 5 2 2 3 3" xfId="22693" xr:uid="{00000000-0005-0000-0000-0000EB8B0000}"/>
    <cellStyle name="Normal 4 2 2 3 5 2 2 3 3 2" xfId="54564" xr:uid="{00000000-0005-0000-0000-0000EC8B0000}"/>
    <cellStyle name="Normal 4 2 2 3 5 2 2 3 4" xfId="41097" xr:uid="{00000000-0005-0000-0000-0000ED8B0000}"/>
    <cellStyle name="Normal 4 2 2 3 5 2 2 4" xfId="9220" xr:uid="{00000000-0005-0000-0000-0000EE8B0000}"/>
    <cellStyle name="Normal 4 2 2 3 5 2 2 4 2" xfId="26632" xr:uid="{00000000-0005-0000-0000-0000EF8B0000}"/>
    <cellStyle name="Normal 4 2 2 3 5 2 2 4 2 2" xfId="58503" xr:uid="{00000000-0005-0000-0000-0000F08B0000}"/>
    <cellStyle name="Normal 4 2 2 3 5 2 2 4 3" xfId="41099" xr:uid="{00000000-0005-0000-0000-0000F18B0000}"/>
    <cellStyle name="Normal 4 2 2 3 5 2 2 5" xfId="18754" xr:uid="{00000000-0005-0000-0000-0000F28B0000}"/>
    <cellStyle name="Normal 4 2 2 3 5 2 2 5 2" xfId="50625" xr:uid="{00000000-0005-0000-0000-0000F38B0000}"/>
    <cellStyle name="Normal 4 2 2 3 5 2 2 6" xfId="41092" xr:uid="{00000000-0005-0000-0000-0000F48B0000}"/>
    <cellStyle name="Normal 4 2 2 3 5 2 3" xfId="9221" xr:uid="{00000000-0005-0000-0000-0000F58B0000}"/>
    <cellStyle name="Normal 4 2 2 3 5 2 3 2" xfId="9222" xr:uid="{00000000-0005-0000-0000-0000F68B0000}"/>
    <cellStyle name="Normal 4 2 2 3 5 2 3 2 2" xfId="9223" xr:uid="{00000000-0005-0000-0000-0000F78B0000}"/>
    <cellStyle name="Normal 4 2 2 3 5 2 3 2 2 2" xfId="30573" xr:uid="{00000000-0005-0000-0000-0000F88B0000}"/>
    <cellStyle name="Normal 4 2 2 3 5 2 3 2 2 2 2" xfId="62444" xr:uid="{00000000-0005-0000-0000-0000F98B0000}"/>
    <cellStyle name="Normal 4 2 2 3 5 2 3 2 2 3" xfId="41102" xr:uid="{00000000-0005-0000-0000-0000FA8B0000}"/>
    <cellStyle name="Normal 4 2 2 3 5 2 3 2 3" xfId="22695" xr:uid="{00000000-0005-0000-0000-0000FB8B0000}"/>
    <cellStyle name="Normal 4 2 2 3 5 2 3 2 3 2" xfId="54566" xr:uid="{00000000-0005-0000-0000-0000FC8B0000}"/>
    <cellStyle name="Normal 4 2 2 3 5 2 3 2 4" xfId="41101" xr:uid="{00000000-0005-0000-0000-0000FD8B0000}"/>
    <cellStyle name="Normal 4 2 2 3 5 2 3 3" xfId="9224" xr:uid="{00000000-0005-0000-0000-0000FE8B0000}"/>
    <cellStyle name="Normal 4 2 2 3 5 2 3 3 2" xfId="26634" xr:uid="{00000000-0005-0000-0000-0000FF8B0000}"/>
    <cellStyle name="Normal 4 2 2 3 5 2 3 3 2 2" xfId="58505" xr:uid="{00000000-0005-0000-0000-0000008C0000}"/>
    <cellStyle name="Normal 4 2 2 3 5 2 3 3 3" xfId="41103" xr:uid="{00000000-0005-0000-0000-0000018C0000}"/>
    <cellStyle name="Normal 4 2 2 3 5 2 3 4" xfId="18756" xr:uid="{00000000-0005-0000-0000-0000028C0000}"/>
    <cellStyle name="Normal 4 2 2 3 5 2 3 4 2" xfId="50627" xr:uid="{00000000-0005-0000-0000-0000038C0000}"/>
    <cellStyle name="Normal 4 2 2 3 5 2 3 5" xfId="41100" xr:uid="{00000000-0005-0000-0000-0000048C0000}"/>
    <cellStyle name="Normal 4 2 2 3 5 2 4" xfId="9225" xr:uid="{00000000-0005-0000-0000-0000058C0000}"/>
    <cellStyle name="Normal 4 2 2 3 5 2 4 2" xfId="9226" xr:uid="{00000000-0005-0000-0000-0000068C0000}"/>
    <cellStyle name="Normal 4 2 2 3 5 2 4 2 2" xfId="30570" xr:uid="{00000000-0005-0000-0000-0000078C0000}"/>
    <cellStyle name="Normal 4 2 2 3 5 2 4 2 2 2" xfId="62441" xr:uid="{00000000-0005-0000-0000-0000088C0000}"/>
    <cellStyle name="Normal 4 2 2 3 5 2 4 2 3" xfId="41105" xr:uid="{00000000-0005-0000-0000-0000098C0000}"/>
    <cellStyle name="Normal 4 2 2 3 5 2 4 3" xfId="22692" xr:uid="{00000000-0005-0000-0000-00000A8C0000}"/>
    <cellStyle name="Normal 4 2 2 3 5 2 4 3 2" xfId="54563" xr:uid="{00000000-0005-0000-0000-00000B8C0000}"/>
    <cellStyle name="Normal 4 2 2 3 5 2 4 4" xfId="41104" xr:uid="{00000000-0005-0000-0000-00000C8C0000}"/>
    <cellStyle name="Normal 4 2 2 3 5 2 5" xfId="9227" xr:uid="{00000000-0005-0000-0000-00000D8C0000}"/>
    <cellStyle name="Normal 4 2 2 3 5 2 5 2" xfId="26631" xr:uid="{00000000-0005-0000-0000-00000E8C0000}"/>
    <cellStyle name="Normal 4 2 2 3 5 2 5 2 2" xfId="58502" xr:uid="{00000000-0005-0000-0000-00000F8C0000}"/>
    <cellStyle name="Normal 4 2 2 3 5 2 5 3" xfId="41106" xr:uid="{00000000-0005-0000-0000-0000108C0000}"/>
    <cellStyle name="Normal 4 2 2 3 5 2 6" xfId="18753" xr:uid="{00000000-0005-0000-0000-0000118C0000}"/>
    <cellStyle name="Normal 4 2 2 3 5 2 6 2" xfId="50624" xr:uid="{00000000-0005-0000-0000-0000128C0000}"/>
    <cellStyle name="Normal 4 2 2 3 5 2 7" xfId="41091" xr:uid="{00000000-0005-0000-0000-0000138C0000}"/>
    <cellStyle name="Normal 4 2 2 3 5 3" xfId="9228" xr:uid="{00000000-0005-0000-0000-0000148C0000}"/>
    <cellStyle name="Normal 4 2 2 3 5 3 2" xfId="9229" xr:uid="{00000000-0005-0000-0000-0000158C0000}"/>
    <cellStyle name="Normal 4 2 2 3 5 3 2 2" xfId="9230" xr:uid="{00000000-0005-0000-0000-0000168C0000}"/>
    <cellStyle name="Normal 4 2 2 3 5 3 2 2 2" xfId="9231" xr:uid="{00000000-0005-0000-0000-0000178C0000}"/>
    <cellStyle name="Normal 4 2 2 3 5 3 2 2 2 2" xfId="30575" xr:uid="{00000000-0005-0000-0000-0000188C0000}"/>
    <cellStyle name="Normal 4 2 2 3 5 3 2 2 2 2 2" xfId="62446" xr:uid="{00000000-0005-0000-0000-0000198C0000}"/>
    <cellStyle name="Normal 4 2 2 3 5 3 2 2 2 3" xfId="41110" xr:uid="{00000000-0005-0000-0000-00001A8C0000}"/>
    <cellStyle name="Normal 4 2 2 3 5 3 2 2 3" xfId="22697" xr:uid="{00000000-0005-0000-0000-00001B8C0000}"/>
    <cellStyle name="Normal 4 2 2 3 5 3 2 2 3 2" xfId="54568" xr:uid="{00000000-0005-0000-0000-00001C8C0000}"/>
    <cellStyle name="Normal 4 2 2 3 5 3 2 2 4" xfId="41109" xr:uid="{00000000-0005-0000-0000-00001D8C0000}"/>
    <cellStyle name="Normal 4 2 2 3 5 3 2 3" xfId="9232" xr:uid="{00000000-0005-0000-0000-00001E8C0000}"/>
    <cellStyle name="Normal 4 2 2 3 5 3 2 3 2" xfId="26636" xr:uid="{00000000-0005-0000-0000-00001F8C0000}"/>
    <cellStyle name="Normal 4 2 2 3 5 3 2 3 2 2" xfId="58507" xr:uid="{00000000-0005-0000-0000-0000208C0000}"/>
    <cellStyle name="Normal 4 2 2 3 5 3 2 3 3" xfId="41111" xr:uid="{00000000-0005-0000-0000-0000218C0000}"/>
    <cellStyle name="Normal 4 2 2 3 5 3 2 4" xfId="18758" xr:uid="{00000000-0005-0000-0000-0000228C0000}"/>
    <cellStyle name="Normal 4 2 2 3 5 3 2 4 2" xfId="50629" xr:uid="{00000000-0005-0000-0000-0000238C0000}"/>
    <cellStyle name="Normal 4 2 2 3 5 3 2 5" xfId="41108" xr:uid="{00000000-0005-0000-0000-0000248C0000}"/>
    <cellStyle name="Normal 4 2 2 3 5 3 3" xfId="9233" xr:uid="{00000000-0005-0000-0000-0000258C0000}"/>
    <cellStyle name="Normal 4 2 2 3 5 3 3 2" xfId="9234" xr:uid="{00000000-0005-0000-0000-0000268C0000}"/>
    <cellStyle name="Normal 4 2 2 3 5 3 3 2 2" xfId="30574" xr:uid="{00000000-0005-0000-0000-0000278C0000}"/>
    <cellStyle name="Normal 4 2 2 3 5 3 3 2 2 2" xfId="62445" xr:uid="{00000000-0005-0000-0000-0000288C0000}"/>
    <cellStyle name="Normal 4 2 2 3 5 3 3 2 3" xfId="41113" xr:uid="{00000000-0005-0000-0000-0000298C0000}"/>
    <cellStyle name="Normal 4 2 2 3 5 3 3 3" xfId="22696" xr:uid="{00000000-0005-0000-0000-00002A8C0000}"/>
    <cellStyle name="Normal 4 2 2 3 5 3 3 3 2" xfId="54567" xr:uid="{00000000-0005-0000-0000-00002B8C0000}"/>
    <cellStyle name="Normal 4 2 2 3 5 3 3 4" xfId="41112" xr:uid="{00000000-0005-0000-0000-00002C8C0000}"/>
    <cellStyle name="Normal 4 2 2 3 5 3 4" xfId="9235" xr:uid="{00000000-0005-0000-0000-00002D8C0000}"/>
    <cellStyle name="Normal 4 2 2 3 5 3 4 2" xfId="26635" xr:uid="{00000000-0005-0000-0000-00002E8C0000}"/>
    <cellStyle name="Normal 4 2 2 3 5 3 4 2 2" xfId="58506" xr:uid="{00000000-0005-0000-0000-00002F8C0000}"/>
    <cellStyle name="Normal 4 2 2 3 5 3 4 3" xfId="41114" xr:uid="{00000000-0005-0000-0000-0000308C0000}"/>
    <cellStyle name="Normal 4 2 2 3 5 3 5" xfId="18757" xr:uid="{00000000-0005-0000-0000-0000318C0000}"/>
    <cellStyle name="Normal 4 2 2 3 5 3 5 2" xfId="50628" xr:uid="{00000000-0005-0000-0000-0000328C0000}"/>
    <cellStyle name="Normal 4 2 2 3 5 3 6" xfId="41107" xr:uid="{00000000-0005-0000-0000-0000338C0000}"/>
    <cellStyle name="Normal 4 2 2 3 5 4" xfId="9236" xr:uid="{00000000-0005-0000-0000-0000348C0000}"/>
    <cellStyle name="Normal 4 2 2 3 5 4 2" xfId="9237" xr:uid="{00000000-0005-0000-0000-0000358C0000}"/>
    <cellStyle name="Normal 4 2 2 3 5 4 2 2" xfId="9238" xr:uid="{00000000-0005-0000-0000-0000368C0000}"/>
    <cellStyle name="Normal 4 2 2 3 5 4 2 2 2" xfId="30576" xr:uid="{00000000-0005-0000-0000-0000378C0000}"/>
    <cellStyle name="Normal 4 2 2 3 5 4 2 2 2 2" xfId="62447" xr:uid="{00000000-0005-0000-0000-0000388C0000}"/>
    <cellStyle name="Normal 4 2 2 3 5 4 2 2 3" xfId="41117" xr:uid="{00000000-0005-0000-0000-0000398C0000}"/>
    <cellStyle name="Normal 4 2 2 3 5 4 2 3" xfId="22698" xr:uid="{00000000-0005-0000-0000-00003A8C0000}"/>
    <cellStyle name="Normal 4 2 2 3 5 4 2 3 2" xfId="54569" xr:uid="{00000000-0005-0000-0000-00003B8C0000}"/>
    <cellStyle name="Normal 4 2 2 3 5 4 2 4" xfId="41116" xr:uid="{00000000-0005-0000-0000-00003C8C0000}"/>
    <cellStyle name="Normal 4 2 2 3 5 4 3" xfId="9239" xr:uid="{00000000-0005-0000-0000-00003D8C0000}"/>
    <cellStyle name="Normal 4 2 2 3 5 4 3 2" xfId="26637" xr:uid="{00000000-0005-0000-0000-00003E8C0000}"/>
    <cellStyle name="Normal 4 2 2 3 5 4 3 2 2" xfId="58508" xr:uid="{00000000-0005-0000-0000-00003F8C0000}"/>
    <cellStyle name="Normal 4 2 2 3 5 4 3 3" xfId="41118" xr:uid="{00000000-0005-0000-0000-0000408C0000}"/>
    <cellStyle name="Normal 4 2 2 3 5 4 4" xfId="18759" xr:uid="{00000000-0005-0000-0000-0000418C0000}"/>
    <cellStyle name="Normal 4 2 2 3 5 4 4 2" xfId="50630" xr:uid="{00000000-0005-0000-0000-0000428C0000}"/>
    <cellStyle name="Normal 4 2 2 3 5 4 5" xfId="41115" xr:uid="{00000000-0005-0000-0000-0000438C0000}"/>
    <cellStyle name="Normal 4 2 2 3 5 5" xfId="9240" xr:uid="{00000000-0005-0000-0000-0000448C0000}"/>
    <cellStyle name="Normal 4 2 2 3 5 5 2" xfId="9241" xr:uid="{00000000-0005-0000-0000-0000458C0000}"/>
    <cellStyle name="Normal 4 2 2 3 5 5 2 2" xfId="28298" xr:uid="{00000000-0005-0000-0000-0000468C0000}"/>
    <cellStyle name="Normal 4 2 2 3 5 5 2 2 2" xfId="60169" xr:uid="{00000000-0005-0000-0000-0000478C0000}"/>
    <cellStyle name="Normal 4 2 2 3 5 5 2 3" xfId="41120" xr:uid="{00000000-0005-0000-0000-0000488C0000}"/>
    <cellStyle name="Normal 4 2 2 3 5 5 3" xfId="20420" xr:uid="{00000000-0005-0000-0000-0000498C0000}"/>
    <cellStyle name="Normal 4 2 2 3 5 5 3 2" xfId="52291" xr:uid="{00000000-0005-0000-0000-00004A8C0000}"/>
    <cellStyle name="Normal 4 2 2 3 5 5 4" xfId="41119" xr:uid="{00000000-0005-0000-0000-00004B8C0000}"/>
    <cellStyle name="Normal 4 2 2 3 5 6" xfId="9242" xr:uid="{00000000-0005-0000-0000-00004C8C0000}"/>
    <cellStyle name="Normal 4 2 2 3 5 6 2" xfId="24359" xr:uid="{00000000-0005-0000-0000-00004D8C0000}"/>
    <cellStyle name="Normal 4 2 2 3 5 6 2 2" xfId="56230" xr:uid="{00000000-0005-0000-0000-00004E8C0000}"/>
    <cellStyle name="Normal 4 2 2 3 5 6 3" xfId="41121" xr:uid="{00000000-0005-0000-0000-00004F8C0000}"/>
    <cellStyle name="Normal 4 2 2 3 5 7" xfId="16481" xr:uid="{00000000-0005-0000-0000-0000508C0000}"/>
    <cellStyle name="Normal 4 2 2 3 5 7 2" xfId="48352" xr:uid="{00000000-0005-0000-0000-0000518C0000}"/>
    <cellStyle name="Normal 4 2 2 3 5 8" xfId="41090" xr:uid="{00000000-0005-0000-0000-0000528C0000}"/>
    <cellStyle name="Normal 4 2 2 3 6" xfId="9243" xr:uid="{00000000-0005-0000-0000-0000538C0000}"/>
    <cellStyle name="Normal 4 2 2 3 6 2" xfId="9244" xr:uid="{00000000-0005-0000-0000-0000548C0000}"/>
    <cellStyle name="Normal 4 2 2 3 6 2 2" xfId="9245" xr:uid="{00000000-0005-0000-0000-0000558C0000}"/>
    <cellStyle name="Normal 4 2 2 3 6 2 2 2" xfId="9246" xr:uid="{00000000-0005-0000-0000-0000568C0000}"/>
    <cellStyle name="Normal 4 2 2 3 6 2 2 2 2" xfId="9247" xr:uid="{00000000-0005-0000-0000-0000578C0000}"/>
    <cellStyle name="Normal 4 2 2 3 6 2 2 2 2 2" xfId="30579" xr:uid="{00000000-0005-0000-0000-0000588C0000}"/>
    <cellStyle name="Normal 4 2 2 3 6 2 2 2 2 2 2" xfId="62450" xr:uid="{00000000-0005-0000-0000-0000598C0000}"/>
    <cellStyle name="Normal 4 2 2 3 6 2 2 2 2 3" xfId="41126" xr:uid="{00000000-0005-0000-0000-00005A8C0000}"/>
    <cellStyle name="Normal 4 2 2 3 6 2 2 2 3" xfId="22701" xr:uid="{00000000-0005-0000-0000-00005B8C0000}"/>
    <cellStyle name="Normal 4 2 2 3 6 2 2 2 3 2" xfId="54572" xr:uid="{00000000-0005-0000-0000-00005C8C0000}"/>
    <cellStyle name="Normal 4 2 2 3 6 2 2 2 4" xfId="41125" xr:uid="{00000000-0005-0000-0000-00005D8C0000}"/>
    <cellStyle name="Normal 4 2 2 3 6 2 2 3" xfId="9248" xr:uid="{00000000-0005-0000-0000-00005E8C0000}"/>
    <cellStyle name="Normal 4 2 2 3 6 2 2 3 2" xfId="26640" xr:uid="{00000000-0005-0000-0000-00005F8C0000}"/>
    <cellStyle name="Normal 4 2 2 3 6 2 2 3 2 2" xfId="58511" xr:uid="{00000000-0005-0000-0000-0000608C0000}"/>
    <cellStyle name="Normal 4 2 2 3 6 2 2 3 3" xfId="41127" xr:uid="{00000000-0005-0000-0000-0000618C0000}"/>
    <cellStyle name="Normal 4 2 2 3 6 2 2 4" xfId="18762" xr:uid="{00000000-0005-0000-0000-0000628C0000}"/>
    <cellStyle name="Normal 4 2 2 3 6 2 2 4 2" xfId="50633" xr:uid="{00000000-0005-0000-0000-0000638C0000}"/>
    <cellStyle name="Normal 4 2 2 3 6 2 2 5" xfId="41124" xr:uid="{00000000-0005-0000-0000-0000648C0000}"/>
    <cellStyle name="Normal 4 2 2 3 6 2 3" xfId="9249" xr:uid="{00000000-0005-0000-0000-0000658C0000}"/>
    <cellStyle name="Normal 4 2 2 3 6 2 3 2" xfId="9250" xr:uid="{00000000-0005-0000-0000-0000668C0000}"/>
    <cellStyle name="Normal 4 2 2 3 6 2 3 2 2" xfId="30578" xr:uid="{00000000-0005-0000-0000-0000678C0000}"/>
    <cellStyle name="Normal 4 2 2 3 6 2 3 2 2 2" xfId="62449" xr:uid="{00000000-0005-0000-0000-0000688C0000}"/>
    <cellStyle name="Normal 4 2 2 3 6 2 3 2 3" xfId="41129" xr:uid="{00000000-0005-0000-0000-0000698C0000}"/>
    <cellStyle name="Normal 4 2 2 3 6 2 3 3" xfId="22700" xr:uid="{00000000-0005-0000-0000-00006A8C0000}"/>
    <cellStyle name="Normal 4 2 2 3 6 2 3 3 2" xfId="54571" xr:uid="{00000000-0005-0000-0000-00006B8C0000}"/>
    <cellStyle name="Normal 4 2 2 3 6 2 3 4" xfId="41128" xr:uid="{00000000-0005-0000-0000-00006C8C0000}"/>
    <cellStyle name="Normal 4 2 2 3 6 2 4" xfId="9251" xr:uid="{00000000-0005-0000-0000-00006D8C0000}"/>
    <cellStyle name="Normal 4 2 2 3 6 2 4 2" xfId="26639" xr:uid="{00000000-0005-0000-0000-00006E8C0000}"/>
    <cellStyle name="Normal 4 2 2 3 6 2 4 2 2" xfId="58510" xr:uid="{00000000-0005-0000-0000-00006F8C0000}"/>
    <cellStyle name="Normal 4 2 2 3 6 2 4 3" xfId="41130" xr:uid="{00000000-0005-0000-0000-0000708C0000}"/>
    <cellStyle name="Normal 4 2 2 3 6 2 5" xfId="18761" xr:uid="{00000000-0005-0000-0000-0000718C0000}"/>
    <cellStyle name="Normal 4 2 2 3 6 2 5 2" xfId="50632" xr:uid="{00000000-0005-0000-0000-0000728C0000}"/>
    <cellStyle name="Normal 4 2 2 3 6 2 6" xfId="41123" xr:uid="{00000000-0005-0000-0000-0000738C0000}"/>
    <cellStyle name="Normal 4 2 2 3 6 3" xfId="9252" xr:uid="{00000000-0005-0000-0000-0000748C0000}"/>
    <cellStyle name="Normal 4 2 2 3 6 3 2" xfId="9253" xr:uid="{00000000-0005-0000-0000-0000758C0000}"/>
    <cellStyle name="Normal 4 2 2 3 6 3 2 2" xfId="9254" xr:uid="{00000000-0005-0000-0000-0000768C0000}"/>
    <cellStyle name="Normal 4 2 2 3 6 3 2 2 2" xfId="30580" xr:uid="{00000000-0005-0000-0000-0000778C0000}"/>
    <cellStyle name="Normal 4 2 2 3 6 3 2 2 2 2" xfId="62451" xr:uid="{00000000-0005-0000-0000-0000788C0000}"/>
    <cellStyle name="Normal 4 2 2 3 6 3 2 2 3" xfId="41133" xr:uid="{00000000-0005-0000-0000-0000798C0000}"/>
    <cellStyle name="Normal 4 2 2 3 6 3 2 3" xfId="22702" xr:uid="{00000000-0005-0000-0000-00007A8C0000}"/>
    <cellStyle name="Normal 4 2 2 3 6 3 2 3 2" xfId="54573" xr:uid="{00000000-0005-0000-0000-00007B8C0000}"/>
    <cellStyle name="Normal 4 2 2 3 6 3 2 4" xfId="41132" xr:uid="{00000000-0005-0000-0000-00007C8C0000}"/>
    <cellStyle name="Normal 4 2 2 3 6 3 3" xfId="9255" xr:uid="{00000000-0005-0000-0000-00007D8C0000}"/>
    <cellStyle name="Normal 4 2 2 3 6 3 3 2" xfId="26641" xr:uid="{00000000-0005-0000-0000-00007E8C0000}"/>
    <cellStyle name="Normal 4 2 2 3 6 3 3 2 2" xfId="58512" xr:uid="{00000000-0005-0000-0000-00007F8C0000}"/>
    <cellStyle name="Normal 4 2 2 3 6 3 3 3" xfId="41134" xr:uid="{00000000-0005-0000-0000-0000808C0000}"/>
    <cellStyle name="Normal 4 2 2 3 6 3 4" xfId="18763" xr:uid="{00000000-0005-0000-0000-0000818C0000}"/>
    <cellStyle name="Normal 4 2 2 3 6 3 4 2" xfId="50634" xr:uid="{00000000-0005-0000-0000-0000828C0000}"/>
    <cellStyle name="Normal 4 2 2 3 6 3 5" xfId="41131" xr:uid="{00000000-0005-0000-0000-0000838C0000}"/>
    <cellStyle name="Normal 4 2 2 3 6 4" xfId="9256" xr:uid="{00000000-0005-0000-0000-0000848C0000}"/>
    <cellStyle name="Normal 4 2 2 3 6 4 2" xfId="9257" xr:uid="{00000000-0005-0000-0000-0000858C0000}"/>
    <cellStyle name="Normal 4 2 2 3 6 4 2 2" xfId="30577" xr:uid="{00000000-0005-0000-0000-0000868C0000}"/>
    <cellStyle name="Normal 4 2 2 3 6 4 2 2 2" xfId="62448" xr:uid="{00000000-0005-0000-0000-0000878C0000}"/>
    <cellStyle name="Normal 4 2 2 3 6 4 2 3" xfId="41136" xr:uid="{00000000-0005-0000-0000-0000888C0000}"/>
    <cellStyle name="Normal 4 2 2 3 6 4 3" xfId="22699" xr:uid="{00000000-0005-0000-0000-0000898C0000}"/>
    <cellStyle name="Normal 4 2 2 3 6 4 3 2" xfId="54570" xr:uid="{00000000-0005-0000-0000-00008A8C0000}"/>
    <cellStyle name="Normal 4 2 2 3 6 4 4" xfId="41135" xr:uid="{00000000-0005-0000-0000-00008B8C0000}"/>
    <cellStyle name="Normal 4 2 2 3 6 5" xfId="9258" xr:uid="{00000000-0005-0000-0000-00008C8C0000}"/>
    <cellStyle name="Normal 4 2 2 3 6 5 2" xfId="26638" xr:uid="{00000000-0005-0000-0000-00008D8C0000}"/>
    <cellStyle name="Normal 4 2 2 3 6 5 2 2" xfId="58509" xr:uid="{00000000-0005-0000-0000-00008E8C0000}"/>
    <cellStyle name="Normal 4 2 2 3 6 5 3" xfId="41137" xr:uid="{00000000-0005-0000-0000-00008F8C0000}"/>
    <cellStyle name="Normal 4 2 2 3 6 6" xfId="18760" xr:uid="{00000000-0005-0000-0000-0000908C0000}"/>
    <cellStyle name="Normal 4 2 2 3 6 6 2" xfId="50631" xr:uid="{00000000-0005-0000-0000-0000918C0000}"/>
    <cellStyle name="Normal 4 2 2 3 6 7" xfId="41122" xr:uid="{00000000-0005-0000-0000-0000928C0000}"/>
    <cellStyle name="Normal 4 2 2 3 7" xfId="9259" xr:uid="{00000000-0005-0000-0000-0000938C0000}"/>
    <cellStyle name="Normal 4 2 2 3 7 2" xfId="9260" xr:uid="{00000000-0005-0000-0000-0000948C0000}"/>
    <cellStyle name="Normal 4 2 2 3 7 2 2" xfId="9261" xr:uid="{00000000-0005-0000-0000-0000958C0000}"/>
    <cellStyle name="Normal 4 2 2 3 7 2 2 2" xfId="9262" xr:uid="{00000000-0005-0000-0000-0000968C0000}"/>
    <cellStyle name="Normal 4 2 2 3 7 2 2 2 2" xfId="30582" xr:uid="{00000000-0005-0000-0000-0000978C0000}"/>
    <cellStyle name="Normal 4 2 2 3 7 2 2 2 2 2" xfId="62453" xr:uid="{00000000-0005-0000-0000-0000988C0000}"/>
    <cellStyle name="Normal 4 2 2 3 7 2 2 2 3" xfId="41141" xr:uid="{00000000-0005-0000-0000-0000998C0000}"/>
    <cellStyle name="Normal 4 2 2 3 7 2 2 3" xfId="22704" xr:uid="{00000000-0005-0000-0000-00009A8C0000}"/>
    <cellStyle name="Normal 4 2 2 3 7 2 2 3 2" xfId="54575" xr:uid="{00000000-0005-0000-0000-00009B8C0000}"/>
    <cellStyle name="Normal 4 2 2 3 7 2 2 4" xfId="41140" xr:uid="{00000000-0005-0000-0000-00009C8C0000}"/>
    <cellStyle name="Normal 4 2 2 3 7 2 3" xfId="9263" xr:uid="{00000000-0005-0000-0000-00009D8C0000}"/>
    <cellStyle name="Normal 4 2 2 3 7 2 3 2" xfId="26643" xr:uid="{00000000-0005-0000-0000-00009E8C0000}"/>
    <cellStyle name="Normal 4 2 2 3 7 2 3 2 2" xfId="58514" xr:uid="{00000000-0005-0000-0000-00009F8C0000}"/>
    <cellStyle name="Normal 4 2 2 3 7 2 3 3" xfId="41142" xr:uid="{00000000-0005-0000-0000-0000A08C0000}"/>
    <cellStyle name="Normal 4 2 2 3 7 2 4" xfId="18765" xr:uid="{00000000-0005-0000-0000-0000A18C0000}"/>
    <cellStyle name="Normal 4 2 2 3 7 2 4 2" xfId="50636" xr:uid="{00000000-0005-0000-0000-0000A28C0000}"/>
    <cellStyle name="Normal 4 2 2 3 7 2 5" xfId="41139" xr:uid="{00000000-0005-0000-0000-0000A38C0000}"/>
    <cellStyle name="Normal 4 2 2 3 7 3" xfId="9264" xr:uid="{00000000-0005-0000-0000-0000A48C0000}"/>
    <cellStyle name="Normal 4 2 2 3 7 3 2" xfId="9265" xr:uid="{00000000-0005-0000-0000-0000A58C0000}"/>
    <cellStyle name="Normal 4 2 2 3 7 3 2 2" xfId="30581" xr:uid="{00000000-0005-0000-0000-0000A68C0000}"/>
    <cellStyle name="Normal 4 2 2 3 7 3 2 2 2" xfId="62452" xr:uid="{00000000-0005-0000-0000-0000A78C0000}"/>
    <cellStyle name="Normal 4 2 2 3 7 3 2 3" xfId="41144" xr:uid="{00000000-0005-0000-0000-0000A88C0000}"/>
    <cellStyle name="Normal 4 2 2 3 7 3 3" xfId="22703" xr:uid="{00000000-0005-0000-0000-0000A98C0000}"/>
    <cellStyle name="Normal 4 2 2 3 7 3 3 2" xfId="54574" xr:uid="{00000000-0005-0000-0000-0000AA8C0000}"/>
    <cellStyle name="Normal 4 2 2 3 7 3 4" xfId="41143" xr:uid="{00000000-0005-0000-0000-0000AB8C0000}"/>
    <cellStyle name="Normal 4 2 2 3 7 4" xfId="9266" xr:uid="{00000000-0005-0000-0000-0000AC8C0000}"/>
    <cellStyle name="Normal 4 2 2 3 7 4 2" xfId="26642" xr:uid="{00000000-0005-0000-0000-0000AD8C0000}"/>
    <cellStyle name="Normal 4 2 2 3 7 4 2 2" xfId="58513" xr:uid="{00000000-0005-0000-0000-0000AE8C0000}"/>
    <cellStyle name="Normal 4 2 2 3 7 4 3" xfId="41145" xr:uid="{00000000-0005-0000-0000-0000AF8C0000}"/>
    <cellStyle name="Normal 4 2 2 3 7 5" xfId="18764" xr:uid="{00000000-0005-0000-0000-0000B08C0000}"/>
    <cellStyle name="Normal 4 2 2 3 7 5 2" xfId="50635" xr:uid="{00000000-0005-0000-0000-0000B18C0000}"/>
    <cellStyle name="Normal 4 2 2 3 7 6" xfId="41138" xr:uid="{00000000-0005-0000-0000-0000B28C0000}"/>
    <cellStyle name="Normal 4 2 2 3 8" xfId="9267" xr:uid="{00000000-0005-0000-0000-0000B38C0000}"/>
    <cellStyle name="Normal 4 2 2 3 8 2" xfId="9268" xr:uid="{00000000-0005-0000-0000-0000B48C0000}"/>
    <cellStyle name="Normal 4 2 2 3 8 2 2" xfId="9269" xr:uid="{00000000-0005-0000-0000-0000B58C0000}"/>
    <cellStyle name="Normal 4 2 2 3 8 2 2 2" xfId="30583" xr:uid="{00000000-0005-0000-0000-0000B68C0000}"/>
    <cellStyle name="Normal 4 2 2 3 8 2 2 2 2" xfId="62454" xr:uid="{00000000-0005-0000-0000-0000B78C0000}"/>
    <cellStyle name="Normal 4 2 2 3 8 2 2 3" xfId="41148" xr:uid="{00000000-0005-0000-0000-0000B88C0000}"/>
    <cellStyle name="Normal 4 2 2 3 8 2 3" xfId="22705" xr:uid="{00000000-0005-0000-0000-0000B98C0000}"/>
    <cellStyle name="Normal 4 2 2 3 8 2 3 2" xfId="54576" xr:uid="{00000000-0005-0000-0000-0000BA8C0000}"/>
    <cellStyle name="Normal 4 2 2 3 8 2 4" xfId="41147" xr:uid="{00000000-0005-0000-0000-0000BB8C0000}"/>
    <cellStyle name="Normal 4 2 2 3 8 3" xfId="9270" xr:uid="{00000000-0005-0000-0000-0000BC8C0000}"/>
    <cellStyle name="Normal 4 2 2 3 8 3 2" xfId="26644" xr:uid="{00000000-0005-0000-0000-0000BD8C0000}"/>
    <cellStyle name="Normal 4 2 2 3 8 3 2 2" xfId="58515" xr:uid="{00000000-0005-0000-0000-0000BE8C0000}"/>
    <cellStyle name="Normal 4 2 2 3 8 3 3" xfId="41149" xr:uid="{00000000-0005-0000-0000-0000BF8C0000}"/>
    <cellStyle name="Normal 4 2 2 3 8 4" xfId="18766" xr:uid="{00000000-0005-0000-0000-0000C08C0000}"/>
    <cellStyle name="Normal 4 2 2 3 8 4 2" xfId="50637" xr:uid="{00000000-0005-0000-0000-0000C18C0000}"/>
    <cellStyle name="Normal 4 2 2 3 8 5" xfId="41146" xr:uid="{00000000-0005-0000-0000-0000C28C0000}"/>
    <cellStyle name="Normal 4 2 2 3 9" xfId="9271" xr:uid="{00000000-0005-0000-0000-0000C38C0000}"/>
    <cellStyle name="Normal 4 2 2 3 9 2" xfId="9272" xr:uid="{00000000-0005-0000-0000-0000C48C0000}"/>
    <cellStyle name="Normal 4 2 2 3 9 2 2" xfId="28257" xr:uid="{00000000-0005-0000-0000-0000C58C0000}"/>
    <cellStyle name="Normal 4 2 2 3 9 2 2 2" xfId="60128" xr:uid="{00000000-0005-0000-0000-0000C68C0000}"/>
    <cellStyle name="Normal 4 2 2 3 9 2 3" xfId="41151" xr:uid="{00000000-0005-0000-0000-0000C78C0000}"/>
    <cellStyle name="Normal 4 2 2 3 9 3" xfId="20379" xr:uid="{00000000-0005-0000-0000-0000C88C0000}"/>
    <cellStyle name="Normal 4 2 2 3 9 3 2" xfId="52250" xr:uid="{00000000-0005-0000-0000-0000C98C0000}"/>
    <cellStyle name="Normal 4 2 2 3 9 4" xfId="41150" xr:uid="{00000000-0005-0000-0000-0000CA8C0000}"/>
    <cellStyle name="Normal 4 2 2 4" xfId="9273" xr:uid="{00000000-0005-0000-0000-0000CB8C0000}"/>
    <cellStyle name="Normal 4 2 2 4 10" xfId="9274" xr:uid="{00000000-0005-0000-0000-0000CC8C0000}"/>
    <cellStyle name="Normal 4 2 2 4 10 2" xfId="24343" xr:uid="{00000000-0005-0000-0000-0000CD8C0000}"/>
    <cellStyle name="Normal 4 2 2 4 10 2 2" xfId="56214" xr:uid="{00000000-0005-0000-0000-0000CE8C0000}"/>
    <cellStyle name="Normal 4 2 2 4 10 3" xfId="41153" xr:uid="{00000000-0005-0000-0000-0000CF8C0000}"/>
    <cellStyle name="Normal 4 2 2 4 11" xfId="16465" xr:uid="{00000000-0005-0000-0000-0000D08C0000}"/>
    <cellStyle name="Normal 4 2 2 4 11 2" xfId="48336" xr:uid="{00000000-0005-0000-0000-0000D18C0000}"/>
    <cellStyle name="Normal 4 2 2 4 12" xfId="41152" xr:uid="{00000000-0005-0000-0000-0000D28C0000}"/>
    <cellStyle name="Normal 4 2 2 4 2" xfId="9275" xr:uid="{00000000-0005-0000-0000-0000D38C0000}"/>
    <cellStyle name="Normal 4 2 2 4 2 10" xfId="41154" xr:uid="{00000000-0005-0000-0000-0000D48C0000}"/>
    <cellStyle name="Normal 4 2 2 4 2 2" xfId="9276" xr:uid="{00000000-0005-0000-0000-0000D58C0000}"/>
    <cellStyle name="Normal 4 2 2 4 2 2 2" xfId="9277" xr:uid="{00000000-0005-0000-0000-0000D68C0000}"/>
    <cellStyle name="Normal 4 2 2 4 2 2 2 2" xfId="9278" xr:uid="{00000000-0005-0000-0000-0000D78C0000}"/>
    <cellStyle name="Normal 4 2 2 4 2 2 2 2 2" xfId="9279" xr:uid="{00000000-0005-0000-0000-0000D88C0000}"/>
    <cellStyle name="Normal 4 2 2 4 2 2 2 2 2 2" xfId="9280" xr:uid="{00000000-0005-0000-0000-0000D98C0000}"/>
    <cellStyle name="Normal 4 2 2 4 2 2 2 2 2 2 2" xfId="9281" xr:uid="{00000000-0005-0000-0000-0000DA8C0000}"/>
    <cellStyle name="Normal 4 2 2 4 2 2 2 2 2 2 2 2" xfId="9282" xr:uid="{00000000-0005-0000-0000-0000DB8C0000}"/>
    <cellStyle name="Normal 4 2 2 4 2 2 2 2 2 2 2 2 2" xfId="30587" xr:uid="{00000000-0005-0000-0000-0000DC8C0000}"/>
    <cellStyle name="Normal 4 2 2 4 2 2 2 2 2 2 2 2 2 2" xfId="62458" xr:uid="{00000000-0005-0000-0000-0000DD8C0000}"/>
    <cellStyle name="Normal 4 2 2 4 2 2 2 2 2 2 2 2 3" xfId="41161" xr:uid="{00000000-0005-0000-0000-0000DE8C0000}"/>
    <cellStyle name="Normal 4 2 2 4 2 2 2 2 2 2 2 3" xfId="22709" xr:uid="{00000000-0005-0000-0000-0000DF8C0000}"/>
    <cellStyle name="Normal 4 2 2 4 2 2 2 2 2 2 2 3 2" xfId="54580" xr:uid="{00000000-0005-0000-0000-0000E08C0000}"/>
    <cellStyle name="Normal 4 2 2 4 2 2 2 2 2 2 2 4" xfId="41160" xr:uid="{00000000-0005-0000-0000-0000E18C0000}"/>
    <cellStyle name="Normal 4 2 2 4 2 2 2 2 2 2 3" xfId="9283" xr:uid="{00000000-0005-0000-0000-0000E28C0000}"/>
    <cellStyle name="Normal 4 2 2 4 2 2 2 2 2 2 3 2" xfId="26648" xr:uid="{00000000-0005-0000-0000-0000E38C0000}"/>
    <cellStyle name="Normal 4 2 2 4 2 2 2 2 2 2 3 2 2" xfId="58519" xr:uid="{00000000-0005-0000-0000-0000E48C0000}"/>
    <cellStyle name="Normal 4 2 2 4 2 2 2 2 2 2 3 3" xfId="41162" xr:uid="{00000000-0005-0000-0000-0000E58C0000}"/>
    <cellStyle name="Normal 4 2 2 4 2 2 2 2 2 2 4" xfId="18770" xr:uid="{00000000-0005-0000-0000-0000E68C0000}"/>
    <cellStyle name="Normal 4 2 2 4 2 2 2 2 2 2 4 2" xfId="50641" xr:uid="{00000000-0005-0000-0000-0000E78C0000}"/>
    <cellStyle name="Normal 4 2 2 4 2 2 2 2 2 2 5" xfId="41159" xr:uid="{00000000-0005-0000-0000-0000E88C0000}"/>
    <cellStyle name="Normal 4 2 2 4 2 2 2 2 2 3" xfId="9284" xr:uid="{00000000-0005-0000-0000-0000E98C0000}"/>
    <cellStyle name="Normal 4 2 2 4 2 2 2 2 2 3 2" xfId="9285" xr:uid="{00000000-0005-0000-0000-0000EA8C0000}"/>
    <cellStyle name="Normal 4 2 2 4 2 2 2 2 2 3 2 2" xfId="30586" xr:uid="{00000000-0005-0000-0000-0000EB8C0000}"/>
    <cellStyle name="Normal 4 2 2 4 2 2 2 2 2 3 2 2 2" xfId="62457" xr:uid="{00000000-0005-0000-0000-0000EC8C0000}"/>
    <cellStyle name="Normal 4 2 2 4 2 2 2 2 2 3 2 3" xfId="41164" xr:uid="{00000000-0005-0000-0000-0000ED8C0000}"/>
    <cellStyle name="Normal 4 2 2 4 2 2 2 2 2 3 3" xfId="22708" xr:uid="{00000000-0005-0000-0000-0000EE8C0000}"/>
    <cellStyle name="Normal 4 2 2 4 2 2 2 2 2 3 3 2" xfId="54579" xr:uid="{00000000-0005-0000-0000-0000EF8C0000}"/>
    <cellStyle name="Normal 4 2 2 4 2 2 2 2 2 3 4" xfId="41163" xr:uid="{00000000-0005-0000-0000-0000F08C0000}"/>
    <cellStyle name="Normal 4 2 2 4 2 2 2 2 2 4" xfId="9286" xr:uid="{00000000-0005-0000-0000-0000F18C0000}"/>
    <cellStyle name="Normal 4 2 2 4 2 2 2 2 2 4 2" xfId="26647" xr:uid="{00000000-0005-0000-0000-0000F28C0000}"/>
    <cellStyle name="Normal 4 2 2 4 2 2 2 2 2 4 2 2" xfId="58518" xr:uid="{00000000-0005-0000-0000-0000F38C0000}"/>
    <cellStyle name="Normal 4 2 2 4 2 2 2 2 2 4 3" xfId="41165" xr:uid="{00000000-0005-0000-0000-0000F48C0000}"/>
    <cellStyle name="Normal 4 2 2 4 2 2 2 2 2 5" xfId="18769" xr:uid="{00000000-0005-0000-0000-0000F58C0000}"/>
    <cellStyle name="Normal 4 2 2 4 2 2 2 2 2 5 2" xfId="50640" xr:uid="{00000000-0005-0000-0000-0000F68C0000}"/>
    <cellStyle name="Normal 4 2 2 4 2 2 2 2 2 6" xfId="41158" xr:uid="{00000000-0005-0000-0000-0000F78C0000}"/>
    <cellStyle name="Normal 4 2 2 4 2 2 2 2 3" xfId="9287" xr:uid="{00000000-0005-0000-0000-0000F88C0000}"/>
    <cellStyle name="Normal 4 2 2 4 2 2 2 2 3 2" xfId="9288" xr:uid="{00000000-0005-0000-0000-0000F98C0000}"/>
    <cellStyle name="Normal 4 2 2 4 2 2 2 2 3 2 2" xfId="9289" xr:uid="{00000000-0005-0000-0000-0000FA8C0000}"/>
    <cellStyle name="Normal 4 2 2 4 2 2 2 2 3 2 2 2" xfId="30588" xr:uid="{00000000-0005-0000-0000-0000FB8C0000}"/>
    <cellStyle name="Normal 4 2 2 4 2 2 2 2 3 2 2 2 2" xfId="62459" xr:uid="{00000000-0005-0000-0000-0000FC8C0000}"/>
    <cellStyle name="Normal 4 2 2 4 2 2 2 2 3 2 2 3" xfId="41168" xr:uid="{00000000-0005-0000-0000-0000FD8C0000}"/>
    <cellStyle name="Normal 4 2 2 4 2 2 2 2 3 2 3" xfId="22710" xr:uid="{00000000-0005-0000-0000-0000FE8C0000}"/>
    <cellStyle name="Normal 4 2 2 4 2 2 2 2 3 2 3 2" xfId="54581" xr:uid="{00000000-0005-0000-0000-0000FF8C0000}"/>
    <cellStyle name="Normal 4 2 2 4 2 2 2 2 3 2 4" xfId="41167" xr:uid="{00000000-0005-0000-0000-0000008D0000}"/>
    <cellStyle name="Normal 4 2 2 4 2 2 2 2 3 3" xfId="9290" xr:uid="{00000000-0005-0000-0000-0000018D0000}"/>
    <cellStyle name="Normal 4 2 2 4 2 2 2 2 3 3 2" xfId="26649" xr:uid="{00000000-0005-0000-0000-0000028D0000}"/>
    <cellStyle name="Normal 4 2 2 4 2 2 2 2 3 3 2 2" xfId="58520" xr:uid="{00000000-0005-0000-0000-0000038D0000}"/>
    <cellStyle name="Normal 4 2 2 4 2 2 2 2 3 3 3" xfId="41169" xr:uid="{00000000-0005-0000-0000-0000048D0000}"/>
    <cellStyle name="Normal 4 2 2 4 2 2 2 2 3 4" xfId="18771" xr:uid="{00000000-0005-0000-0000-0000058D0000}"/>
    <cellStyle name="Normal 4 2 2 4 2 2 2 2 3 4 2" xfId="50642" xr:uid="{00000000-0005-0000-0000-0000068D0000}"/>
    <cellStyle name="Normal 4 2 2 4 2 2 2 2 3 5" xfId="41166" xr:uid="{00000000-0005-0000-0000-0000078D0000}"/>
    <cellStyle name="Normal 4 2 2 4 2 2 2 2 4" xfId="9291" xr:uid="{00000000-0005-0000-0000-0000088D0000}"/>
    <cellStyle name="Normal 4 2 2 4 2 2 2 2 4 2" xfId="9292" xr:uid="{00000000-0005-0000-0000-0000098D0000}"/>
    <cellStyle name="Normal 4 2 2 4 2 2 2 2 4 2 2" xfId="30585" xr:uid="{00000000-0005-0000-0000-00000A8D0000}"/>
    <cellStyle name="Normal 4 2 2 4 2 2 2 2 4 2 2 2" xfId="62456" xr:uid="{00000000-0005-0000-0000-00000B8D0000}"/>
    <cellStyle name="Normal 4 2 2 4 2 2 2 2 4 2 3" xfId="41171" xr:uid="{00000000-0005-0000-0000-00000C8D0000}"/>
    <cellStyle name="Normal 4 2 2 4 2 2 2 2 4 3" xfId="22707" xr:uid="{00000000-0005-0000-0000-00000D8D0000}"/>
    <cellStyle name="Normal 4 2 2 4 2 2 2 2 4 3 2" xfId="54578" xr:uid="{00000000-0005-0000-0000-00000E8D0000}"/>
    <cellStyle name="Normal 4 2 2 4 2 2 2 2 4 4" xfId="41170" xr:uid="{00000000-0005-0000-0000-00000F8D0000}"/>
    <cellStyle name="Normal 4 2 2 4 2 2 2 2 5" xfId="9293" xr:uid="{00000000-0005-0000-0000-0000108D0000}"/>
    <cellStyle name="Normal 4 2 2 4 2 2 2 2 5 2" xfId="26646" xr:uid="{00000000-0005-0000-0000-0000118D0000}"/>
    <cellStyle name="Normal 4 2 2 4 2 2 2 2 5 2 2" xfId="58517" xr:uid="{00000000-0005-0000-0000-0000128D0000}"/>
    <cellStyle name="Normal 4 2 2 4 2 2 2 2 5 3" xfId="41172" xr:uid="{00000000-0005-0000-0000-0000138D0000}"/>
    <cellStyle name="Normal 4 2 2 4 2 2 2 2 6" xfId="18768" xr:uid="{00000000-0005-0000-0000-0000148D0000}"/>
    <cellStyle name="Normal 4 2 2 4 2 2 2 2 6 2" xfId="50639" xr:uid="{00000000-0005-0000-0000-0000158D0000}"/>
    <cellStyle name="Normal 4 2 2 4 2 2 2 2 7" xfId="41157" xr:uid="{00000000-0005-0000-0000-0000168D0000}"/>
    <cellStyle name="Normal 4 2 2 4 2 2 2 3" xfId="9294" xr:uid="{00000000-0005-0000-0000-0000178D0000}"/>
    <cellStyle name="Normal 4 2 2 4 2 2 2 3 2" xfId="9295" xr:uid="{00000000-0005-0000-0000-0000188D0000}"/>
    <cellStyle name="Normal 4 2 2 4 2 2 2 3 2 2" xfId="9296" xr:uid="{00000000-0005-0000-0000-0000198D0000}"/>
    <cellStyle name="Normal 4 2 2 4 2 2 2 3 2 2 2" xfId="9297" xr:uid="{00000000-0005-0000-0000-00001A8D0000}"/>
    <cellStyle name="Normal 4 2 2 4 2 2 2 3 2 2 2 2" xfId="30590" xr:uid="{00000000-0005-0000-0000-00001B8D0000}"/>
    <cellStyle name="Normal 4 2 2 4 2 2 2 3 2 2 2 2 2" xfId="62461" xr:uid="{00000000-0005-0000-0000-00001C8D0000}"/>
    <cellStyle name="Normal 4 2 2 4 2 2 2 3 2 2 2 3" xfId="41176" xr:uid="{00000000-0005-0000-0000-00001D8D0000}"/>
    <cellStyle name="Normal 4 2 2 4 2 2 2 3 2 2 3" xfId="22712" xr:uid="{00000000-0005-0000-0000-00001E8D0000}"/>
    <cellStyle name="Normal 4 2 2 4 2 2 2 3 2 2 3 2" xfId="54583" xr:uid="{00000000-0005-0000-0000-00001F8D0000}"/>
    <cellStyle name="Normal 4 2 2 4 2 2 2 3 2 2 4" xfId="41175" xr:uid="{00000000-0005-0000-0000-0000208D0000}"/>
    <cellStyle name="Normal 4 2 2 4 2 2 2 3 2 3" xfId="9298" xr:uid="{00000000-0005-0000-0000-0000218D0000}"/>
    <cellStyle name="Normal 4 2 2 4 2 2 2 3 2 3 2" xfId="26651" xr:uid="{00000000-0005-0000-0000-0000228D0000}"/>
    <cellStyle name="Normal 4 2 2 4 2 2 2 3 2 3 2 2" xfId="58522" xr:uid="{00000000-0005-0000-0000-0000238D0000}"/>
    <cellStyle name="Normal 4 2 2 4 2 2 2 3 2 3 3" xfId="41177" xr:uid="{00000000-0005-0000-0000-0000248D0000}"/>
    <cellStyle name="Normal 4 2 2 4 2 2 2 3 2 4" xfId="18773" xr:uid="{00000000-0005-0000-0000-0000258D0000}"/>
    <cellStyle name="Normal 4 2 2 4 2 2 2 3 2 4 2" xfId="50644" xr:uid="{00000000-0005-0000-0000-0000268D0000}"/>
    <cellStyle name="Normal 4 2 2 4 2 2 2 3 2 5" xfId="41174" xr:uid="{00000000-0005-0000-0000-0000278D0000}"/>
    <cellStyle name="Normal 4 2 2 4 2 2 2 3 3" xfId="9299" xr:uid="{00000000-0005-0000-0000-0000288D0000}"/>
    <cellStyle name="Normal 4 2 2 4 2 2 2 3 3 2" xfId="9300" xr:uid="{00000000-0005-0000-0000-0000298D0000}"/>
    <cellStyle name="Normal 4 2 2 4 2 2 2 3 3 2 2" xfId="30589" xr:uid="{00000000-0005-0000-0000-00002A8D0000}"/>
    <cellStyle name="Normal 4 2 2 4 2 2 2 3 3 2 2 2" xfId="62460" xr:uid="{00000000-0005-0000-0000-00002B8D0000}"/>
    <cellStyle name="Normal 4 2 2 4 2 2 2 3 3 2 3" xfId="41179" xr:uid="{00000000-0005-0000-0000-00002C8D0000}"/>
    <cellStyle name="Normal 4 2 2 4 2 2 2 3 3 3" xfId="22711" xr:uid="{00000000-0005-0000-0000-00002D8D0000}"/>
    <cellStyle name="Normal 4 2 2 4 2 2 2 3 3 3 2" xfId="54582" xr:uid="{00000000-0005-0000-0000-00002E8D0000}"/>
    <cellStyle name="Normal 4 2 2 4 2 2 2 3 3 4" xfId="41178" xr:uid="{00000000-0005-0000-0000-00002F8D0000}"/>
    <cellStyle name="Normal 4 2 2 4 2 2 2 3 4" xfId="9301" xr:uid="{00000000-0005-0000-0000-0000308D0000}"/>
    <cellStyle name="Normal 4 2 2 4 2 2 2 3 4 2" xfId="26650" xr:uid="{00000000-0005-0000-0000-0000318D0000}"/>
    <cellStyle name="Normal 4 2 2 4 2 2 2 3 4 2 2" xfId="58521" xr:uid="{00000000-0005-0000-0000-0000328D0000}"/>
    <cellStyle name="Normal 4 2 2 4 2 2 2 3 4 3" xfId="41180" xr:uid="{00000000-0005-0000-0000-0000338D0000}"/>
    <cellStyle name="Normal 4 2 2 4 2 2 2 3 5" xfId="18772" xr:uid="{00000000-0005-0000-0000-0000348D0000}"/>
    <cellStyle name="Normal 4 2 2 4 2 2 2 3 5 2" xfId="50643" xr:uid="{00000000-0005-0000-0000-0000358D0000}"/>
    <cellStyle name="Normal 4 2 2 4 2 2 2 3 6" xfId="41173" xr:uid="{00000000-0005-0000-0000-0000368D0000}"/>
    <cellStyle name="Normal 4 2 2 4 2 2 2 4" xfId="9302" xr:uid="{00000000-0005-0000-0000-0000378D0000}"/>
    <cellStyle name="Normal 4 2 2 4 2 2 2 4 2" xfId="9303" xr:uid="{00000000-0005-0000-0000-0000388D0000}"/>
    <cellStyle name="Normal 4 2 2 4 2 2 2 4 2 2" xfId="9304" xr:uid="{00000000-0005-0000-0000-0000398D0000}"/>
    <cellStyle name="Normal 4 2 2 4 2 2 2 4 2 2 2" xfId="30591" xr:uid="{00000000-0005-0000-0000-00003A8D0000}"/>
    <cellStyle name="Normal 4 2 2 4 2 2 2 4 2 2 2 2" xfId="62462" xr:uid="{00000000-0005-0000-0000-00003B8D0000}"/>
    <cellStyle name="Normal 4 2 2 4 2 2 2 4 2 2 3" xfId="41183" xr:uid="{00000000-0005-0000-0000-00003C8D0000}"/>
    <cellStyle name="Normal 4 2 2 4 2 2 2 4 2 3" xfId="22713" xr:uid="{00000000-0005-0000-0000-00003D8D0000}"/>
    <cellStyle name="Normal 4 2 2 4 2 2 2 4 2 3 2" xfId="54584" xr:uid="{00000000-0005-0000-0000-00003E8D0000}"/>
    <cellStyle name="Normal 4 2 2 4 2 2 2 4 2 4" xfId="41182" xr:uid="{00000000-0005-0000-0000-00003F8D0000}"/>
    <cellStyle name="Normal 4 2 2 4 2 2 2 4 3" xfId="9305" xr:uid="{00000000-0005-0000-0000-0000408D0000}"/>
    <cellStyle name="Normal 4 2 2 4 2 2 2 4 3 2" xfId="26652" xr:uid="{00000000-0005-0000-0000-0000418D0000}"/>
    <cellStyle name="Normal 4 2 2 4 2 2 2 4 3 2 2" xfId="58523" xr:uid="{00000000-0005-0000-0000-0000428D0000}"/>
    <cellStyle name="Normal 4 2 2 4 2 2 2 4 3 3" xfId="41184" xr:uid="{00000000-0005-0000-0000-0000438D0000}"/>
    <cellStyle name="Normal 4 2 2 4 2 2 2 4 4" xfId="18774" xr:uid="{00000000-0005-0000-0000-0000448D0000}"/>
    <cellStyle name="Normal 4 2 2 4 2 2 2 4 4 2" xfId="50645" xr:uid="{00000000-0005-0000-0000-0000458D0000}"/>
    <cellStyle name="Normal 4 2 2 4 2 2 2 4 5" xfId="41181" xr:uid="{00000000-0005-0000-0000-0000468D0000}"/>
    <cellStyle name="Normal 4 2 2 4 2 2 2 5" xfId="9306" xr:uid="{00000000-0005-0000-0000-0000478D0000}"/>
    <cellStyle name="Normal 4 2 2 4 2 2 2 5 2" xfId="9307" xr:uid="{00000000-0005-0000-0000-0000488D0000}"/>
    <cellStyle name="Normal 4 2 2 4 2 2 2 5 2 2" xfId="30584" xr:uid="{00000000-0005-0000-0000-0000498D0000}"/>
    <cellStyle name="Normal 4 2 2 4 2 2 2 5 2 2 2" xfId="62455" xr:uid="{00000000-0005-0000-0000-00004A8D0000}"/>
    <cellStyle name="Normal 4 2 2 4 2 2 2 5 2 3" xfId="41186" xr:uid="{00000000-0005-0000-0000-00004B8D0000}"/>
    <cellStyle name="Normal 4 2 2 4 2 2 2 5 3" xfId="22706" xr:uid="{00000000-0005-0000-0000-00004C8D0000}"/>
    <cellStyle name="Normal 4 2 2 4 2 2 2 5 3 2" xfId="54577" xr:uid="{00000000-0005-0000-0000-00004D8D0000}"/>
    <cellStyle name="Normal 4 2 2 4 2 2 2 5 4" xfId="41185" xr:uid="{00000000-0005-0000-0000-00004E8D0000}"/>
    <cellStyle name="Normal 4 2 2 4 2 2 2 6" xfId="9308" xr:uid="{00000000-0005-0000-0000-00004F8D0000}"/>
    <cellStyle name="Normal 4 2 2 4 2 2 2 6 2" xfId="26645" xr:uid="{00000000-0005-0000-0000-0000508D0000}"/>
    <cellStyle name="Normal 4 2 2 4 2 2 2 6 2 2" xfId="58516" xr:uid="{00000000-0005-0000-0000-0000518D0000}"/>
    <cellStyle name="Normal 4 2 2 4 2 2 2 6 3" xfId="41187" xr:uid="{00000000-0005-0000-0000-0000528D0000}"/>
    <cellStyle name="Normal 4 2 2 4 2 2 2 7" xfId="18767" xr:uid="{00000000-0005-0000-0000-0000538D0000}"/>
    <cellStyle name="Normal 4 2 2 4 2 2 2 7 2" xfId="50638" xr:uid="{00000000-0005-0000-0000-0000548D0000}"/>
    <cellStyle name="Normal 4 2 2 4 2 2 2 8" xfId="41156" xr:uid="{00000000-0005-0000-0000-0000558D0000}"/>
    <cellStyle name="Normal 4 2 2 4 2 2 3" xfId="9309" xr:uid="{00000000-0005-0000-0000-0000568D0000}"/>
    <cellStyle name="Normal 4 2 2 4 2 2 3 2" xfId="9310" xr:uid="{00000000-0005-0000-0000-0000578D0000}"/>
    <cellStyle name="Normal 4 2 2 4 2 2 3 2 2" xfId="9311" xr:uid="{00000000-0005-0000-0000-0000588D0000}"/>
    <cellStyle name="Normal 4 2 2 4 2 2 3 2 2 2" xfId="9312" xr:uid="{00000000-0005-0000-0000-0000598D0000}"/>
    <cellStyle name="Normal 4 2 2 4 2 2 3 2 2 2 2" xfId="9313" xr:uid="{00000000-0005-0000-0000-00005A8D0000}"/>
    <cellStyle name="Normal 4 2 2 4 2 2 3 2 2 2 2 2" xfId="30594" xr:uid="{00000000-0005-0000-0000-00005B8D0000}"/>
    <cellStyle name="Normal 4 2 2 4 2 2 3 2 2 2 2 2 2" xfId="62465" xr:uid="{00000000-0005-0000-0000-00005C8D0000}"/>
    <cellStyle name="Normal 4 2 2 4 2 2 3 2 2 2 2 3" xfId="41192" xr:uid="{00000000-0005-0000-0000-00005D8D0000}"/>
    <cellStyle name="Normal 4 2 2 4 2 2 3 2 2 2 3" xfId="22716" xr:uid="{00000000-0005-0000-0000-00005E8D0000}"/>
    <cellStyle name="Normal 4 2 2 4 2 2 3 2 2 2 3 2" xfId="54587" xr:uid="{00000000-0005-0000-0000-00005F8D0000}"/>
    <cellStyle name="Normal 4 2 2 4 2 2 3 2 2 2 4" xfId="41191" xr:uid="{00000000-0005-0000-0000-0000608D0000}"/>
    <cellStyle name="Normal 4 2 2 4 2 2 3 2 2 3" xfId="9314" xr:uid="{00000000-0005-0000-0000-0000618D0000}"/>
    <cellStyle name="Normal 4 2 2 4 2 2 3 2 2 3 2" xfId="26655" xr:uid="{00000000-0005-0000-0000-0000628D0000}"/>
    <cellStyle name="Normal 4 2 2 4 2 2 3 2 2 3 2 2" xfId="58526" xr:uid="{00000000-0005-0000-0000-0000638D0000}"/>
    <cellStyle name="Normal 4 2 2 4 2 2 3 2 2 3 3" xfId="41193" xr:uid="{00000000-0005-0000-0000-0000648D0000}"/>
    <cellStyle name="Normal 4 2 2 4 2 2 3 2 2 4" xfId="18777" xr:uid="{00000000-0005-0000-0000-0000658D0000}"/>
    <cellStyle name="Normal 4 2 2 4 2 2 3 2 2 4 2" xfId="50648" xr:uid="{00000000-0005-0000-0000-0000668D0000}"/>
    <cellStyle name="Normal 4 2 2 4 2 2 3 2 2 5" xfId="41190" xr:uid="{00000000-0005-0000-0000-0000678D0000}"/>
    <cellStyle name="Normal 4 2 2 4 2 2 3 2 3" xfId="9315" xr:uid="{00000000-0005-0000-0000-0000688D0000}"/>
    <cellStyle name="Normal 4 2 2 4 2 2 3 2 3 2" xfId="9316" xr:uid="{00000000-0005-0000-0000-0000698D0000}"/>
    <cellStyle name="Normal 4 2 2 4 2 2 3 2 3 2 2" xfId="30593" xr:uid="{00000000-0005-0000-0000-00006A8D0000}"/>
    <cellStyle name="Normal 4 2 2 4 2 2 3 2 3 2 2 2" xfId="62464" xr:uid="{00000000-0005-0000-0000-00006B8D0000}"/>
    <cellStyle name="Normal 4 2 2 4 2 2 3 2 3 2 3" xfId="41195" xr:uid="{00000000-0005-0000-0000-00006C8D0000}"/>
    <cellStyle name="Normal 4 2 2 4 2 2 3 2 3 3" xfId="22715" xr:uid="{00000000-0005-0000-0000-00006D8D0000}"/>
    <cellStyle name="Normal 4 2 2 4 2 2 3 2 3 3 2" xfId="54586" xr:uid="{00000000-0005-0000-0000-00006E8D0000}"/>
    <cellStyle name="Normal 4 2 2 4 2 2 3 2 3 4" xfId="41194" xr:uid="{00000000-0005-0000-0000-00006F8D0000}"/>
    <cellStyle name="Normal 4 2 2 4 2 2 3 2 4" xfId="9317" xr:uid="{00000000-0005-0000-0000-0000708D0000}"/>
    <cellStyle name="Normal 4 2 2 4 2 2 3 2 4 2" xfId="26654" xr:uid="{00000000-0005-0000-0000-0000718D0000}"/>
    <cellStyle name="Normal 4 2 2 4 2 2 3 2 4 2 2" xfId="58525" xr:uid="{00000000-0005-0000-0000-0000728D0000}"/>
    <cellStyle name="Normal 4 2 2 4 2 2 3 2 4 3" xfId="41196" xr:uid="{00000000-0005-0000-0000-0000738D0000}"/>
    <cellStyle name="Normal 4 2 2 4 2 2 3 2 5" xfId="18776" xr:uid="{00000000-0005-0000-0000-0000748D0000}"/>
    <cellStyle name="Normal 4 2 2 4 2 2 3 2 5 2" xfId="50647" xr:uid="{00000000-0005-0000-0000-0000758D0000}"/>
    <cellStyle name="Normal 4 2 2 4 2 2 3 2 6" xfId="41189" xr:uid="{00000000-0005-0000-0000-0000768D0000}"/>
    <cellStyle name="Normal 4 2 2 4 2 2 3 3" xfId="9318" xr:uid="{00000000-0005-0000-0000-0000778D0000}"/>
    <cellStyle name="Normal 4 2 2 4 2 2 3 3 2" xfId="9319" xr:uid="{00000000-0005-0000-0000-0000788D0000}"/>
    <cellStyle name="Normal 4 2 2 4 2 2 3 3 2 2" xfId="9320" xr:uid="{00000000-0005-0000-0000-0000798D0000}"/>
    <cellStyle name="Normal 4 2 2 4 2 2 3 3 2 2 2" xfId="30595" xr:uid="{00000000-0005-0000-0000-00007A8D0000}"/>
    <cellStyle name="Normal 4 2 2 4 2 2 3 3 2 2 2 2" xfId="62466" xr:uid="{00000000-0005-0000-0000-00007B8D0000}"/>
    <cellStyle name="Normal 4 2 2 4 2 2 3 3 2 2 3" xfId="41199" xr:uid="{00000000-0005-0000-0000-00007C8D0000}"/>
    <cellStyle name="Normal 4 2 2 4 2 2 3 3 2 3" xfId="22717" xr:uid="{00000000-0005-0000-0000-00007D8D0000}"/>
    <cellStyle name="Normal 4 2 2 4 2 2 3 3 2 3 2" xfId="54588" xr:uid="{00000000-0005-0000-0000-00007E8D0000}"/>
    <cellStyle name="Normal 4 2 2 4 2 2 3 3 2 4" xfId="41198" xr:uid="{00000000-0005-0000-0000-00007F8D0000}"/>
    <cellStyle name="Normal 4 2 2 4 2 2 3 3 3" xfId="9321" xr:uid="{00000000-0005-0000-0000-0000808D0000}"/>
    <cellStyle name="Normal 4 2 2 4 2 2 3 3 3 2" xfId="26656" xr:uid="{00000000-0005-0000-0000-0000818D0000}"/>
    <cellStyle name="Normal 4 2 2 4 2 2 3 3 3 2 2" xfId="58527" xr:uid="{00000000-0005-0000-0000-0000828D0000}"/>
    <cellStyle name="Normal 4 2 2 4 2 2 3 3 3 3" xfId="41200" xr:uid="{00000000-0005-0000-0000-0000838D0000}"/>
    <cellStyle name="Normal 4 2 2 4 2 2 3 3 4" xfId="18778" xr:uid="{00000000-0005-0000-0000-0000848D0000}"/>
    <cellStyle name="Normal 4 2 2 4 2 2 3 3 4 2" xfId="50649" xr:uid="{00000000-0005-0000-0000-0000858D0000}"/>
    <cellStyle name="Normal 4 2 2 4 2 2 3 3 5" xfId="41197" xr:uid="{00000000-0005-0000-0000-0000868D0000}"/>
    <cellStyle name="Normal 4 2 2 4 2 2 3 4" xfId="9322" xr:uid="{00000000-0005-0000-0000-0000878D0000}"/>
    <cellStyle name="Normal 4 2 2 4 2 2 3 4 2" xfId="9323" xr:uid="{00000000-0005-0000-0000-0000888D0000}"/>
    <cellStyle name="Normal 4 2 2 4 2 2 3 4 2 2" xfId="30592" xr:uid="{00000000-0005-0000-0000-0000898D0000}"/>
    <cellStyle name="Normal 4 2 2 4 2 2 3 4 2 2 2" xfId="62463" xr:uid="{00000000-0005-0000-0000-00008A8D0000}"/>
    <cellStyle name="Normal 4 2 2 4 2 2 3 4 2 3" xfId="41202" xr:uid="{00000000-0005-0000-0000-00008B8D0000}"/>
    <cellStyle name="Normal 4 2 2 4 2 2 3 4 3" xfId="22714" xr:uid="{00000000-0005-0000-0000-00008C8D0000}"/>
    <cellStyle name="Normal 4 2 2 4 2 2 3 4 3 2" xfId="54585" xr:uid="{00000000-0005-0000-0000-00008D8D0000}"/>
    <cellStyle name="Normal 4 2 2 4 2 2 3 4 4" xfId="41201" xr:uid="{00000000-0005-0000-0000-00008E8D0000}"/>
    <cellStyle name="Normal 4 2 2 4 2 2 3 5" xfId="9324" xr:uid="{00000000-0005-0000-0000-00008F8D0000}"/>
    <cellStyle name="Normal 4 2 2 4 2 2 3 5 2" xfId="26653" xr:uid="{00000000-0005-0000-0000-0000908D0000}"/>
    <cellStyle name="Normal 4 2 2 4 2 2 3 5 2 2" xfId="58524" xr:uid="{00000000-0005-0000-0000-0000918D0000}"/>
    <cellStyle name="Normal 4 2 2 4 2 2 3 5 3" xfId="41203" xr:uid="{00000000-0005-0000-0000-0000928D0000}"/>
    <cellStyle name="Normal 4 2 2 4 2 2 3 6" xfId="18775" xr:uid="{00000000-0005-0000-0000-0000938D0000}"/>
    <cellStyle name="Normal 4 2 2 4 2 2 3 6 2" xfId="50646" xr:uid="{00000000-0005-0000-0000-0000948D0000}"/>
    <cellStyle name="Normal 4 2 2 4 2 2 3 7" xfId="41188" xr:uid="{00000000-0005-0000-0000-0000958D0000}"/>
    <cellStyle name="Normal 4 2 2 4 2 2 4" xfId="9325" xr:uid="{00000000-0005-0000-0000-0000968D0000}"/>
    <cellStyle name="Normal 4 2 2 4 2 2 4 2" xfId="9326" xr:uid="{00000000-0005-0000-0000-0000978D0000}"/>
    <cellStyle name="Normal 4 2 2 4 2 2 4 2 2" xfId="9327" xr:uid="{00000000-0005-0000-0000-0000988D0000}"/>
    <cellStyle name="Normal 4 2 2 4 2 2 4 2 2 2" xfId="9328" xr:uid="{00000000-0005-0000-0000-0000998D0000}"/>
    <cellStyle name="Normal 4 2 2 4 2 2 4 2 2 2 2" xfId="30597" xr:uid="{00000000-0005-0000-0000-00009A8D0000}"/>
    <cellStyle name="Normal 4 2 2 4 2 2 4 2 2 2 2 2" xfId="62468" xr:uid="{00000000-0005-0000-0000-00009B8D0000}"/>
    <cellStyle name="Normal 4 2 2 4 2 2 4 2 2 2 3" xfId="41207" xr:uid="{00000000-0005-0000-0000-00009C8D0000}"/>
    <cellStyle name="Normal 4 2 2 4 2 2 4 2 2 3" xfId="22719" xr:uid="{00000000-0005-0000-0000-00009D8D0000}"/>
    <cellStyle name="Normal 4 2 2 4 2 2 4 2 2 3 2" xfId="54590" xr:uid="{00000000-0005-0000-0000-00009E8D0000}"/>
    <cellStyle name="Normal 4 2 2 4 2 2 4 2 2 4" xfId="41206" xr:uid="{00000000-0005-0000-0000-00009F8D0000}"/>
    <cellStyle name="Normal 4 2 2 4 2 2 4 2 3" xfId="9329" xr:uid="{00000000-0005-0000-0000-0000A08D0000}"/>
    <cellStyle name="Normal 4 2 2 4 2 2 4 2 3 2" xfId="26658" xr:uid="{00000000-0005-0000-0000-0000A18D0000}"/>
    <cellStyle name="Normal 4 2 2 4 2 2 4 2 3 2 2" xfId="58529" xr:uid="{00000000-0005-0000-0000-0000A28D0000}"/>
    <cellStyle name="Normal 4 2 2 4 2 2 4 2 3 3" xfId="41208" xr:uid="{00000000-0005-0000-0000-0000A38D0000}"/>
    <cellStyle name="Normal 4 2 2 4 2 2 4 2 4" xfId="18780" xr:uid="{00000000-0005-0000-0000-0000A48D0000}"/>
    <cellStyle name="Normal 4 2 2 4 2 2 4 2 4 2" xfId="50651" xr:uid="{00000000-0005-0000-0000-0000A58D0000}"/>
    <cellStyle name="Normal 4 2 2 4 2 2 4 2 5" xfId="41205" xr:uid="{00000000-0005-0000-0000-0000A68D0000}"/>
    <cellStyle name="Normal 4 2 2 4 2 2 4 3" xfId="9330" xr:uid="{00000000-0005-0000-0000-0000A78D0000}"/>
    <cellStyle name="Normal 4 2 2 4 2 2 4 3 2" xfId="9331" xr:uid="{00000000-0005-0000-0000-0000A88D0000}"/>
    <cellStyle name="Normal 4 2 2 4 2 2 4 3 2 2" xfId="30596" xr:uid="{00000000-0005-0000-0000-0000A98D0000}"/>
    <cellStyle name="Normal 4 2 2 4 2 2 4 3 2 2 2" xfId="62467" xr:uid="{00000000-0005-0000-0000-0000AA8D0000}"/>
    <cellStyle name="Normal 4 2 2 4 2 2 4 3 2 3" xfId="41210" xr:uid="{00000000-0005-0000-0000-0000AB8D0000}"/>
    <cellStyle name="Normal 4 2 2 4 2 2 4 3 3" xfId="22718" xr:uid="{00000000-0005-0000-0000-0000AC8D0000}"/>
    <cellStyle name="Normal 4 2 2 4 2 2 4 3 3 2" xfId="54589" xr:uid="{00000000-0005-0000-0000-0000AD8D0000}"/>
    <cellStyle name="Normal 4 2 2 4 2 2 4 3 4" xfId="41209" xr:uid="{00000000-0005-0000-0000-0000AE8D0000}"/>
    <cellStyle name="Normal 4 2 2 4 2 2 4 4" xfId="9332" xr:uid="{00000000-0005-0000-0000-0000AF8D0000}"/>
    <cellStyle name="Normal 4 2 2 4 2 2 4 4 2" xfId="26657" xr:uid="{00000000-0005-0000-0000-0000B08D0000}"/>
    <cellStyle name="Normal 4 2 2 4 2 2 4 4 2 2" xfId="58528" xr:uid="{00000000-0005-0000-0000-0000B18D0000}"/>
    <cellStyle name="Normal 4 2 2 4 2 2 4 4 3" xfId="41211" xr:uid="{00000000-0005-0000-0000-0000B28D0000}"/>
    <cellStyle name="Normal 4 2 2 4 2 2 4 5" xfId="18779" xr:uid="{00000000-0005-0000-0000-0000B38D0000}"/>
    <cellStyle name="Normal 4 2 2 4 2 2 4 5 2" xfId="50650" xr:uid="{00000000-0005-0000-0000-0000B48D0000}"/>
    <cellStyle name="Normal 4 2 2 4 2 2 4 6" xfId="41204" xr:uid="{00000000-0005-0000-0000-0000B58D0000}"/>
    <cellStyle name="Normal 4 2 2 4 2 2 5" xfId="9333" xr:uid="{00000000-0005-0000-0000-0000B68D0000}"/>
    <cellStyle name="Normal 4 2 2 4 2 2 5 2" xfId="9334" xr:uid="{00000000-0005-0000-0000-0000B78D0000}"/>
    <cellStyle name="Normal 4 2 2 4 2 2 5 2 2" xfId="9335" xr:uid="{00000000-0005-0000-0000-0000B88D0000}"/>
    <cellStyle name="Normal 4 2 2 4 2 2 5 2 2 2" xfId="30598" xr:uid="{00000000-0005-0000-0000-0000B98D0000}"/>
    <cellStyle name="Normal 4 2 2 4 2 2 5 2 2 2 2" xfId="62469" xr:uid="{00000000-0005-0000-0000-0000BA8D0000}"/>
    <cellStyle name="Normal 4 2 2 4 2 2 5 2 2 3" xfId="41214" xr:uid="{00000000-0005-0000-0000-0000BB8D0000}"/>
    <cellStyle name="Normal 4 2 2 4 2 2 5 2 3" xfId="22720" xr:uid="{00000000-0005-0000-0000-0000BC8D0000}"/>
    <cellStyle name="Normal 4 2 2 4 2 2 5 2 3 2" xfId="54591" xr:uid="{00000000-0005-0000-0000-0000BD8D0000}"/>
    <cellStyle name="Normal 4 2 2 4 2 2 5 2 4" xfId="41213" xr:uid="{00000000-0005-0000-0000-0000BE8D0000}"/>
    <cellStyle name="Normal 4 2 2 4 2 2 5 3" xfId="9336" xr:uid="{00000000-0005-0000-0000-0000BF8D0000}"/>
    <cellStyle name="Normal 4 2 2 4 2 2 5 3 2" xfId="26659" xr:uid="{00000000-0005-0000-0000-0000C08D0000}"/>
    <cellStyle name="Normal 4 2 2 4 2 2 5 3 2 2" xfId="58530" xr:uid="{00000000-0005-0000-0000-0000C18D0000}"/>
    <cellStyle name="Normal 4 2 2 4 2 2 5 3 3" xfId="41215" xr:uid="{00000000-0005-0000-0000-0000C28D0000}"/>
    <cellStyle name="Normal 4 2 2 4 2 2 5 4" xfId="18781" xr:uid="{00000000-0005-0000-0000-0000C38D0000}"/>
    <cellStyle name="Normal 4 2 2 4 2 2 5 4 2" xfId="50652" xr:uid="{00000000-0005-0000-0000-0000C48D0000}"/>
    <cellStyle name="Normal 4 2 2 4 2 2 5 5" xfId="41212" xr:uid="{00000000-0005-0000-0000-0000C58D0000}"/>
    <cellStyle name="Normal 4 2 2 4 2 2 6" xfId="9337" xr:uid="{00000000-0005-0000-0000-0000C68D0000}"/>
    <cellStyle name="Normal 4 2 2 4 2 2 6 2" xfId="9338" xr:uid="{00000000-0005-0000-0000-0000C78D0000}"/>
    <cellStyle name="Normal 4 2 2 4 2 2 6 2 2" xfId="28446" xr:uid="{00000000-0005-0000-0000-0000C88D0000}"/>
    <cellStyle name="Normal 4 2 2 4 2 2 6 2 2 2" xfId="60317" xr:uid="{00000000-0005-0000-0000-0000C98D0000}"/>
    <cellStyle name="Normal 4 2 2 4 2 2 6 2 3" xfId="41217" xr:uid="{00000000-0005-0000-0000-0000CA8D0000}"/>
    <cellStyle name="Normal 4 2 2 4 2 2 6 3" xfId="20568" xr:uid="{00000000-0005-0000-0000-0000CB8D0000}"/>
    <cellStyle name="Normal 4 2 2 4 2 2 6 3 2" xfId="52439" xr:uid="{00000000-0005-0000-0000-0000CC8D0000}"/>
    <cellStyle name="Normal 4 2 2 4 2 2 6 4" xfId="41216" xr:uid="{00000000-0005-0000-0000-0000CD8D0000}"/>
    <cellStyle name="Normal 4 2 2 4 2 2 7" xfId="9339" xr:uid="{00000000-0005-0000-0000-0000CE8D0000}"/>
    <cellStyle name="Normal 4 2 2 4 2 2 7 2" xfId="24507" xr:uid="{00000000-0005-0000-0000-0000CF8D0000}"/>
    <cellStyle name="Normal 4 2 2 4 2 2 7 2 2" xfId="56378" xr:uid="{00000000-0005-0000-0000-0000D08D0000}"/>
    <cellStyle name="Normal 4 2 2 4 2 2 7 3" xfId="41218" xr:uid="{00000000-0005-0000-0000-0000D18D0000}"/>
    <cellStyle name="Normal 4 2 2 4 2 2 8" xfId="16629" xr:uid="{00000000-0005-0000-0000-0000D28D0000}"/>
    <cellStyle name="Normal 4 2 2 4 2 2 8 2" xfId="48500" xr:uid="{00000000-0005-0000-0000-0000D38D0000}"/>
    <cellStyle name="Normal 4 2 2 4 2 2 9" xfId="41155" xr:uid="{00000000-0005-0000-0000-0000D48D0000}"/>
    <cellStyle name="Normal 4 2 2 4 2 3" xfId="9340" xr:uid="{00000000-0005-0000-0000-0000D58D0000}"/>
    <cellStyle name="Normal 4 2 2 4 2 3 2" xfId="9341" xr:uid="{00000000-0005-0000-0000-0000D68D0000}"/>
    <cellStyle name="Normal 4 2 2 4 2 3 2 2" xfId="9342" xr:uid="{00000000-0005-0000-0000-0000D78D0000}"/>
    <cellStyle name="Normal 4 2 2 4 2 3 2 2 2" xfId="9343" xr:uid="{00000000-0005-0000-0000-0000D88D0000}"/>
    <cellStyle name="Normal 4 2 2 4 2 3 2 2 2 2" xfId="9344" xr:uid="{00000000-0005-0000-0000-0000D98D0000}"/>
    <cellStyle name="Normal 4 2 2 4 2 3 2 2 2 2 2" xfId="9345" xr:uid="{00000000-0005-0000-0000-0000DA8D0000}"/>
    <cellStyle name="Normal 4 2 2 4 2 3 2 2 2 2 2 2" xfId="30602" xr:uid="{00000000-0005-0000-0000-0000DB8D0000}"/>
    <cellStyle name="Normal 4 2 2 4 2 3 2 2 2 2 2 2 2" xfId="62473" xr:uid="{00000000-0005-0000-0000-0000DC8D0000}"/>
    <cellStyle name="Normal 4 2 2 4 2 3 2 2 2 2 2 3" xfId="41224" xr:uid="{00000000-0005-0000-0000-0000DD8D0000}"/>
    <cellStyle name="Normal 4 2 2 4 2 3 2 2 2 2 3" xfId="22724" xr:uid="{00000000-0005-0000-0000-0000DE8D0000}"/>
    <cellStyle name="Normal 4 2 2 4 2 3 2 2 2 2 3 2" xfId="54595" xr:uid="{00000000-0005-0000-0000-0000DF8D0000}"/>
    <cellStyle name="Normal 4 2 2 4 2 3 2 2 2 2 4" xfId="41223" xr:uid="{00000000-0005-0000-0000-0000E08D0000}"/>
    <cellStyle name="Normal 4 2 2 4 2 3 2 2 2 3" xfId="9346" xr:uid="{00000000-0005-0000-0000-0000E18D0000}"/>
    <cellStyle name="Normal 4 2 2 4 2 3 2 2 2 3 2" xfId="26663" xr:uid="{00000000-0005-0000-0000-0000E28D0000}"/>
    <cellStyle name="Normal 4 2 2 4 2 3 2 2 2 3 2 2" xfId="58534" xr:uid="{00000000-0005-0000-0000-0000E38D0000}"/>
    <cellStyle name="Normal 4 2 2 4 2 3 2 2 2 3 3" xfId="41225" xr:uid="{00000000-0005-0000-0000-0000E48D0000}"/>
    <cellStyle name="Normal 4 2 2 4 2 3 2 2 2 4" xfId="18785" xr:uid="{00000000-0005-0000-0000-0000E58D0000}"/>
    <cellStyle name="Normal 4 2 2 4 2 3 2 2 2 4 2" xfId="50656" xr:uid="{00000000-0005-0000-0000-0000E68D0000}"/>
    <cellStyle name="Normal 4 2 2 4 2 3 2 2 2 5" xfId="41222" xr:uid="{00000000-0005-0000-0000-0000E78D0000}"/>
    <cellStyle name="Normal 4 2 2 4 2 3 2 2 3" xfId="9347" xr:uid="{00000000-0005-0000-0000-0000E88D0000}"/>
    <cellStyle name="Normal 4 2 2 4 2 3 2 2 3 2" xfId="9348" xr:uid="{00000000-0005-0000-0000-0000E98D0000}"/>
    <cellStyle name="Normal 4 2 2 4 2 3 2 2 3 2 2" xfId="30601" xr:uid="{00000000-0005-0000-0000-0000EA8D0000}"/>
    <cellStyle name="Normal 4 2 2 4 2 3 2 2 3 2 2 2" xfId="62472" xr:uid="{00000000-0005-0000-0000-0000EB8D0000}"/>
    <cellStyle name="Normal 4 2 2 4 2 3 2 2 3 2 3" xfId="41227" xr:uid="{00000000-0005-0000-0000-0000EC8D0000}"/>
    <cellStyle name="Normal 4 2 2 4 2 3 2 2 3 3" xfId="22723" xr:uid="{00000000-0005-0000-0000-0000ED8D0000}"/>
    <cellStyle name="Normal 4 2 2 4 2 3 2 2 3 3 2" xfId="54594" xr:uid="{00000000-0005-0000-0000-0000EE8D0000}"/>
    <cellStyle name="Normal 4 2 2 4 2 3 2 2 3 4" xfId="41226" xr:uid="{00000000-0005-0000-0000-0000EF8D0000}"/>
    <cellStyle name="Normal 4 2 2 4 2 3 2 2 4" xfId="9349" xr:uid="{00000000-0005-0000-0000-0000F08D0000}"/>
    <cellStyle name="Normal 4 2 2 4 2 3 2 2 4 2" xfId="26662" xr:uid="{00000000-0005-0000-0000-0000F18D0000}"/>
    <cellStyle name="Normal 4 2 2 4 2 3 2 2 4 2 2" xfId="58533" xr:uid="{00000000-0005-0000-0000-0000F28D0000}"/>
    <cellStyle name="Normal 4 2 2 4 2 3 2 2 4 3" xfId="41228" xr:uid="{00000000-0005-0000-0000-0000F38D0000}"/>
    <cellStyle name="Normal 4 2 2 4 2 3 2 2 5" xfId="18784" xr:uid="{00000000-0005-0000-0000-0000F48D0000}"/>
    <cellStyle name="Normal 4 2 2 4 2 3 2 2 5 2" xfId="50655" xr:uid="{00000000-0005-0000-0000-0000F58D0000}"/>
    <cellStyle name="Normal 4 2 2 4 2 3 2 2 6" xfId="41221" xr:uid="{00000000-0005-0000-0000-0000F68D0000}"/>
    <cellStyle name="Normal 4 2 2 4 2 3 2 3" xfId="9350" xr:uid="{00000000-0005-0000-0000-0000F78D0000}"/>
    <cellStyle name="Normal 4 2 2 4 2 3 2 3 2" xfId="9351" xr:uid="{00000000-0005-0000-0000-0000F88D0000}"/>
    <cellStyle name="Normal 4 2 2 4 2 3 2 3 2 2" xfId="9352" xr:uid="{00000000-0005-0000-0000-0000F98D0000}"/>
    <cellStyle name="Normal 4 2 2 4 2 3 2 3 2 2 2" xfId="30603" xr:uid="{00000000-0005-0000-0000-0000FA8D0000}"/>
    <cellStyle name="Normal 4 2 2 4 2 3 2 3 2 2 2 2" xfId="62474" xr:uid="{00000000-0005-0000-0000-0000FB8D0000}"/>
    <cellStyle name="Normal 4 2 2 4 2 3 2 3 2 2 3" xfId="41231" xr:uid="{00000000-0005-0000-0000-0000FC8D0000}"/>
    <cellStyle name="Normal 4 2 2 4 2 3 2 3 2 3" xfId="22725" xr:uid="{00000000-0005-0000-0000-0000FD8D0000}"/>
    <cellStyle name="Normal 4 2 2 4 2 3 2 3 2 3 2" xfId="54596" xr:uid="{00000000-0005-0000-0000-0000FE8D0000}"/>
    <cellStyle name="Normal 4 2 2 4 2 3 2 3 2 4" xfId="41230" xr:uid="{00000000-0005-0000-0000-0000FF8D0000}"/>
    <cellStyle name="Normal 4 2 2 4 2 3 2 3 3" xfId="9353" xr:uid="{00000000-0005-0000-0000-0000008E0000}"/>
    <cellStyle name="Normal 4 2 2 4 2 3 2 3 3 2" xfId="26664" xr:uid="{00000000-0005-0000-0000-0000018E0000}"/>
    <cellStyle name="Normal 4 2 2 4 2 3 2 3 3 2 2" xfId="58535" xr:uid="{00000000-0005-0000-0000-0000028E0000}"/>
    <cellStyle name="Normal 4 2 2 4 2 3 2 3 3 3" xfId="41232" xr:uid="{00000000-0005-0000-0000-0000038E0000}"/>
    <cellStyle name="Normal 4 2 2 4 2 3 2 3 4" xfId="18786" xr:uid="{00000000-0005-0000-0000-0000048E0000}"/>
    <cellStyle name="Normal 4 2 2 4 2 3 2 3 4 2" xfId="50657" xr:uid="{00000000-0005-0000-0000-0000058E0000}"/>
    <cellStyle name="Normal 4 2 2 4 2 3 2 3 5" xfId="41229" xr:uid="{00000000-0005-0000-0000-0000068E0000}"/>
    <cellStyle name="Normal 4 2 2 4 2 3 2 4" xfId="9354" xr:uid="{00000000-0005-0000-0000-0000078E0000}"/>
    <cellStyle name="Normal 4 2 2 4 2 3 2 4 2" xfId="9355" xr:uid="{00000000-0005-0000-0000-0000088E0000}"/>
    <cellStyle name="Normal 4 2 2 4 2 3 2 4 2 2" xfId="30600" xr:uid="{00000000-0005-0000-0000-0000098E0000}"/>
    <cellStyle name="Normal 4 2 2 4 2 3 2 4 2 2 2" xfId="62471" xr:uid="{00000000-0005-0000-0000-00000A8E0000}"/>
    <cellStyle name="Normal 4 2 2 4 2 3 2 4 2 3" xfId="41234" xr:uid="{00000000-0005-0000-0000-00000B8E0000}"/>
    <cellStyle name="Normal 4 2 2 4 2 3 2 4 3" xfId="22722" xr:uid="{00000000-0005-0000-0000-00000C8E0000}"/>
    <cellStyle name="Normal 4 2 2 4 2 3 2 4 3 2" xfId="54593" xr:uid="{00000000-0005-0000-0000-00000D8E0000}"/>
    <cellStyle name="Normal 4 2 2 4 2 3 2 4 4" xfId="41233" xr:uid="{00000000-0005-0000-0000-00000E8E0000}"/>
    <cellStyle name="Normal 4 2 2 4 2 3 2 5" xfId="9356" xr:uid="{00000000-0005-0000-0000-00000F8E0000}"/>
    <cellStyle name="Normal 4 2 2 4 2 3 2 5 2" xfId="26661" xr:uid="{00000000-0005-0000-0000-0000108E0000}"/>
    <cellStyle name="Normal 4 2 2 4 2 3 2 5 2 2" xfId="58532" xr:uid="{00000000-0005-0000-0000-0000118E0000}"/>
    <cellStyle name="Normal 4 2 2 4 2 3 2 5 3" xfId="41235" xr:uid="{00000000-0005-0000-0000-0000128E0000}"/>
    <cellStyle name="Normal 4 2 2 4 2 3 2 6" xfId="18783" xr:uid="{00000000-0005-0000-0000-0000138E0000}"/>
    <cellStyle name="Normal 4 2 2 4 2 3 2 6 2" xfId="50654" xr:uid="{00000000-0005-0000-0000-0000148E0000}"/>
    <cellStyle name="Normal 4 2 2 4 2 3 2 7" xfId="41220" xr:uid="{00000000-0005-0000-0000-0000158E0000}"/>
    <cellStyle name="Normal 4 2 2 4 2 3 3" xfId="9357" xr:uid="{00000000-0005-0000-0000-0000168E0000}"/>
    <cellStyle name="Normal 4 2 2 4 2 3 3 2" xfId="9358" xr:uid="{00000000-0005-0000-0000-0000178E0000}"/>
    <cellStyle name="Normal 4 2 2 4 2 3 3 2 2" xfId="9359" xr:uid="{00000000-0005-0000-0000-0000188E0000}"/>
    <cellStyle name="Normal 4 2 2 4 2 3 3 2 2 2" xfId="9360" xr:uid="{00000000-0005-0000-0000-0000198E0000}"/>
    <cellStyle name="Normal 4 2 2 4 2 3 3 2 2 2 2" xfId="30605" xr:uid="{00000000-0005-0000-0000-00001A8E0000}"/>
    <cellStyle name="Normal 4 2 2 4 2 3 3 2 2 2 2 2" xfId="62476" xr:uid="{00000000-0005-0000-0000-00001B8E0000}"/>
    <cellStyle name="Normal 4 2 2 4 2 3 3 2 2 2 3" xfId="41239" xr:uid="{00000000-0005-0000-0000-00001C8E0000}"/>
    <cellStyle name="Normal 4 2 2 4 2 3 3 2 2 3" xfId="22727" xr:uid="{00000000-0005-0000-0000-00001D8E0000}"/>
    <cellStyle name="Normal 4 2 2 4 2 3 3 2 2 3 2" xfId="54598" xr:uid="{00000000-0005-0000-0000-00001E8E0000}"/>
    <cellStyle name="Normal 4 2 2 4 2 3 3 2 2 4" xfId="41238" xr:uid="{00000000-0005-0000-0000-00001F8E0000}"/>
    <cellStyle name="Normal 4 2 2 4 2 3 3 2 3" xfId="9361" xr:uid="{00000000-0005-0000-0000-0000208E0000}"/>
    <cellStyle name="Normal 4 2 2 4 2 3 3 2 3 2" xfId="26666" xr:uid="{00000000-0005-0000-0000-0000218E0000}"/>
    <cellStyle name="Normal 4 2 2 4 2 3 3 2 3 2 2" xfId="58537" xr:uid="{00000000-0005-0000-0000-0000228E0000}"/>
    <cellStyle name="Normal 4 2 2 4 2 3 3 2 3 3" xfId="41240" xr:uid="{00000000-0005-0000-0000-0000238E0000}"/>
    <cellStyle name="Normal 4 2 2 4 2 3 3 2 4" xfId="18788" xr:uid="{00000000-0005-0000-0000-0000248E0000}"/>
    <cellStyle name="Normal 4 2 2 4 2 3 3 2 4 2" xfId="50659" xr:uid="{00000000-0005-0000-0000-0000258E0000}"/>
    <cellStyle name="Normal 4 2 2 4 2 3 3 2 5" xfId="41237" xr:uid="{00000000-0005-0000-0000-0000268E0000}"/>
    <cellStyle name="Normal 4 2 2 4 2 3 3 3" xfId="9362" xr:uid="{00000000-0005-0000-0000-0000278E0000}"/>
    <cellStyle name="Normal 4 2 2 4 2 3 3 3 2" xfId="9363" xr:uid="{00000000-0005-0000-0000-0000288E0000}"/>
    <cellStyle name="Normal 4 2 2 4 2 3 3 3 2 2" xfId="30604" xr:uid="{00000000-0005-0000-0000-0000298E0000}"/>
    <cellStyle name="Normal 4 2 2 4 2 3 3 3 2 2 2" xfId="62475" xr:uid="{00000000-0005-0000-0000-00002A8E0000}"/>
    <cellStyle name="Normal 4 2 2 4 2 3 3 3 2 3" xfId="41242" xr:uid="{00000000-0005-0000-0000-00002B8E0000}"/>
    <cellStyle name="Normal 4 2 2 4 2 3 3 3 3" xfId="22726" xr:uid="{00000000-0005-0000-0000-00002C8E0000}"/>
    <cellStyle name="Normal 4 2 2 4 2 3 3 3 3 2" xfId="54597" xr:uid="{00000000-0005-0000-0000-00002D8E0000}"/>
    <cellStyle name="Normal 4 2 2 4 2 3 3 3 4" xfId="41241" xr:uid="{00000000-0005-0000-0000-00002E8E0000}"/>
    <cellStyle name="Normal 4 2 2 4 2 3 3 4" xfId="9364" xr:uid="{00000000-0005-0000-0000-00002F8E0000}"/>
    <cellStyle name="Normal 4 2 2 4 2 3 3 4 2" xfId="26665" xr:uid="{00000000-0005-0000-0000-0000308E0000}"/>
    <cellStyle name="Normal 4 2 2 4 2 3 3 4 2 2" xfId="58536" xr:uid="{00000000-0005-0000-0000-0000318E0000}"/>
    <cellStyle name="Normal 4 2 2 4 2 3 3 4 3" xfId="41243" xr:uid="{00000000-0005-0000-0000-0000328E0000}"/>
    <cellStyle name="Normal 4 2 2 4 2 3 3 5" xfId="18787" xr:uid="{00000000-0005-0000-0000-0000338E0000}"/>
    <cellStyle name="Normal 4 2 2 4 2 3 3 5 2" xfId="50658" xr:uid="{00000000-0005-0000-0000-0000348E0000}"/>
    <cellStyle name="Normal 4 2 2 4 2 3 3 6" xfId="41236" xr:uid="{00000000-0005-0000-0000-0000358E0000}"/>
    <cellStyle name="Normal 4 2 2 4 2 3 4" xfId="9365" xr:uid="{00000000-0005-0000-0000-0000368E0000}"/>
    <cellStyle name="Normal 4 2 2 4 2 3 4 2" xfId="9366" xr:uid="{00000000-0005-0000-0000-0000378E0000}"/>
    <cellStyle name="Normal 4 2 2 4 2 3 4 2 2" xfId="9367" xr:uid="{00000000-0005-0000-0000-0000388E0000}"/>
    <cellStyle name="Normal 4 2 2 4 2 3 4 2 2 2" xfId="30606" xr:uid="{00000000-0005-0000-0000-0000398E0000}"/>
    <cellStyle name="Normal 4 2 2 4 2 3 4 2 2 2 2" xfId="62477" xr:uid="{00000000-0005-0000-0000-00003A8E0000}"/>
    <cellStyle name="Normal 4 2 2 4 2 3 4 2 2 3" xfId="41246" xr:uid="{00000000-0005-0000-0000-00003B8E0000}"/>
    <cellStyle name="Normal 4 2 2 4 2 3 4 2 3" xfId="22728" xr:uid="{00000000-0005-0000-0000-00003C8E0000}"/>
    <cellStyle name="Normal 4 2 2 4 2 3 4 2 3 2" xfId="54599" xr:uid="{00000000-0005-0000-0000-00003D8E0000}"/>
    <cellStyle name="Normal 4 2 2 4 2 3 4 2 4" xfId="41245" xr:uid="{00000000-0005-0000-0000-00003E8E0000}"/>
    <cellStyle name="Normal 4 2 2 4 2 3 4 3" xfId="9368" xr:uid="{00000000-0005-0000-0000-00003F8E0000}"/>
    <cellStyle name="Normal 4 2 2 4 2 3 4 3 2" xfId="26667" xr:uid="{00000000-0005-0000-0000-0000408E0000}"/>
    <cellStyle name="Normal 4 2 2 4 2 3 4 3 2 2" xfId="58538" xr:uid="{00000000-0005-0000-0000-0000418E0000}"/>
    <cellStyle name="Normal 4 2 2 4 2 3 4 3 3" xfId="41247" xr:uid="{00000000-0005-0000-0000-0000428E0000}"/>
    <cellStyle name="Normal 4 2 2 4 2 3 4 4" xfId="18789" xr:uid="{00000000-0005-0000-0000-0000438E0000}"/>
    <cellStyle name="Normal 4 2 2 4 2 3 4 4 2" xfId="50660" xr:uid="{00000000-0005-0000-0000-0000448E0000}"/>
    <cellStyle name="Normal 4 2 2 4 2 3 4 5" xfId="41244" xr:uid="{00000000-0005-0000-0000-0000458E0000}"/>
    <cellStyle name="Normal 4 2 2 4 2 3 5" xfId="9369" xr:uid="{00000000-0005-0000-0000-0000468E0000}"/>
    <cellStyle name="Normal 4 2 2 4 2 3 5 2" xfId="9370" xr:uid="{00000000-0005-0000-0000-0000478E0000}"/>
    <cellStyle name="Normal 4 2 2 4 2 3 5 2 2" xfId="30599" xr:uid="{00000000-0005-0000-0000-0000488E0000}"/>
    <cellStyle name="Normal 4 2 2 4 2 3 5 2 2 2" xfId="62470" xr:uid="{00000000-0005-0000-0000-0000498E0000}"/>
    <cellStyle name="Normal 4 2 2 4 2 3 5 2 3" xfId="41249" xr:uid="{00000000-0005-0000-0000-00004A8E0000}"/>
    <cellStyle name="Normal 4 2 2 4 2 3 5 3" xfId="22721" xr:uid="{00000000-0005-0000-0000-00004B8E0000}"/>
    <cellStyle name="Normal 4 2 2 4 2 3 5 3 2" xfId="54592" xr:uid="{00000000-0005-0000-0000-00004C8E0000}"/>
    <cellStyle name="Normal 4 2 2 4 2 3 5 4" xfId="41248" xr:uid="{00000000-0005-0000-0000-00004D8E0000}"/>
    <cellStyle name="Normal 4 2 2 4 2 3 6" xfId="9371" xr:uid="{00000000-0005-0000-0000-00004E8E0000}"/>
    <cellStyle name="Normal 4 2 2 4 2 3 6 2" xfId="26660" xr:uid="{00000000-0005-0000-0000-00004F8E0000}"/>
    <cellStyle name="Normal 4 2 2 4 2 3 6 2 2" xfId="58531" xr:uid="{00000000-0005-0000-0000-0000508E0000}"/>
    <cellStyle name="Normal 4 2 2 4 2 3 6 3" xfId="41250" xr:uid="{00000000-0005-0000-0000-0000518E0000}"/>
    <cellStyle name="Normal 4 2 2 4 2 3 7" xfId="18782" xr:uid="{00000000-0005-0000-0000-0000528E0000}"/>
    <cellStyle name="Normal 4 2 2 4 2 3 7 2" xfId="50653" xr:uid="{00000000-0005-0000-0000-0000538E0000}"/>
    <cellStyle name="Normal 4 2 2 4 2 3 8" xfId="41219" xr:uid="{00000000-0005-0000-0000-0000548E0000}"/>
    <cellStyle name="Normal 4 2 2 4 2 4" xfId="9372" xr:uid="{00000000-0005-0000-0000-0000558E0000}"/>
    <cellStyle name="Normal 4 2 2 4 2 4 2" xfId="9373" xr:uid="{00000000-0005-0000-0000-0000568E0000}"/>
    <cellStyle name="Normal 4 2 2 4 2 4 2 2" xfId="9374" xr:uid="{00000000-0005-0000-0000-0000578E0000}"/>
    <cellStyle name="Normal 4 2 2 4 2 4 2 2 2" xfId="9375" xr:uid="{00000000-0005-0000-0000-0000588E0000}"/>
    <cellStyle name="Normal 4 2 2 4 2 4 2 2 2 2" xfId="9376" xr:uid="{00000000-0005-0000-0000-0000598E0000}"/>
    <cellStyle name="Normal 4 2 2 4 2 4 2 2 2 2 2" xfId="30609" xr:uid="{00000000-0005-0000-0000-00005A8E0000}"/>
    <cellStyle name="Normal 4 2 2 4 2 4 2 2 2 2 2 2" xfId="62480" xr:uid="{00000000-0005-0000-0000-00005B8E0000}"/>
    <cellStyle name="Normal 4 2 2 4 2 4 2 2 2 2 3" xfId="41255" xr:uid="{00000000-0005-0000-0000-00005C8E0000}"/>
    <cellStyle name="Normal 4 2 2 4 2 4 2 2 2 3" xfId="22731" xr:uid="{00000000-0005-0000-0000-00005D8E0000}"/>
    <cellStyle name="Normal 4 2 2 4 2 4 2 2 2 3 2" xfId="54602" xr:uid="{00000000-0005-0000-0000-00005E8E0000}"/>
    <cellStyle name="Normal 4 2 2 4 2 4 2 2 2 4" xfId="41254" xr:uid="{00000000-0005-0000-0000-00005F8E0000}"/>
    <cellStyle name="Normal 4 2 2 4 2 4 2 2 3" xfId="9377" xr:uid="{00000000-0005-0000-0000-0000608E0000}"/>
    <cellStyle name="Normal 4 2 2 4 2 4 2 2 3 2" xfId="26670" xr:uid="{00000000-0005-0000-0000-0000618E0000}"/>
    <cellStyle name="Normal 4 2 2 4 2 4 2 2 3 2 2" xfId="58541" xr:uid="{00000000-0005-0000-0000-0000628E0000}"/>
    <cellStyle name="Normal 4 2 2 4 2 4 2 2 3 3" xfId="41256" xr:uid="{00000000-0005-0000-0000-0000638E0000}"/>
    <cellStyle name="Normal 4 2 2 4 2 4 2 2 4" xfId="18792" xr:uid="{00000000-0005-0000-0000-0000648E0000}"/>
    <cellStyle name="Normal 4 2 2 4 2 4 2 2 4 2" xfId="50663" xr:uid="{00000000-0005-0000-0000-0000658E0000}"/>
    <cellStyle name="Normal 4 2 2 4 2 4 2 2 5" xfId="41253" xr:uid="{00000000-0005-0000-0000-0000668E0000}"/>
    <cellStyle name="Normal 4 2 2 4 2 4 2 3" xfId="9378" xr:uid="{00000000-0005-0000-0000-0000678E0000}"/>
    <cellStyle name="Normal 4 2 2 4 2 4 2 3 2" xfId="9379" xr:uid="{00000000-0005-0000-0000-0000688E0000}"/>
    <cellStyle name="Normal 4 2 2 4 2 4 2 3 2 2" xfId="30608" xr:uid="{00000000-0005-0000-0000-0000698E0000}"/>
    <cellStyle name="Normal 4 2 2 4 2 4 2 3 2 2 2" xfId="62479" xr:uid="{00000000-0005-0000-0000-00006A8E0000}"/>
    <cellStyle name="Normal 4 2 2 4 2 4 2 3 2 3" xfId="41258" xr:uid="{00000000-0005-0000-0000-00006B8E0000}"/>
    <cellStyle name="Normal 4 2 2 4 2 4 2 3 3" xfId="22730" xr:uid="{00000000-0005-0000-0000-00006C8E0000}"/>
    <cellStyle name="Normal 4 2 2 4 2 4 2 3 3 2" xfId="54601" xr:uid="{00000000-0005-0000-0000-00006D8E0000}"/>
    <cellStyle name="Normal 4 2 2 4 2 4 2 3 4" xfId="41257" xr:uid="{00000000-0005-0000-0000-00006E8E0000}"/>
    <cellStyle name="Normal 4 2 2 4 2 4 2 4" xfId="9380" xr:uid="{00000000-0005-0000-0000-00006F8E0000}"/>
    <cellStyle name="Normal 4 2 2 4 2 4 2 4 2" xfId="26669" xr:uid="{00000000-0005-0000-0000-0000708E0000}"/>
    <cellStyle name="Normal 4 2 2 4 2 4 2 4 2 2" xfId="58540" xr:uid="{00000000-0005-0000-0000-0000718E0000}"/>
    <cellStyle name="Normal 4 2 2 4 2 4 2 4 3" xfId="41259" xr:uid="{00000000-0005-0000-0000-0000728E0000}"/>
    <cellStyle name="Normal 4 2 2 4 2 4 2 5" xfId="18791" xr:uid="{00000000-0005-0000-0000-0000738E0000}"/>
    <cellStyle name="Normal 4 2 2 4 2 4 2 5 2" xfId="50662" xr:uid="{00000000-0005-0000-0000-0000748E0000}"/>
    <cellStyle name="Normal 4 2 2 4 2 4 2 6" xfId="41252" xr:uid="{00000000-0005-0000-0000-0000758E0000}"/>
    <cellStyle name="Normal 4 2 2 4 2 4 3" xfId="9381" xr:uid="{00000000-0005-0000-0000-0000768E0000}"/>
    <cellStyle name="Normal 4 2 2 4 2 4 3 2" xfId="9382" xr:uid="{00000000-0005-0000-0000-0000778E0000}"/>
    <cellStyle name="Normal 4 2 2 4 2 4 3 2 2" xfId="9383" xr:uid="{00000000-0005-0000-0000-0000788E0000}"/>
    <cellStyle name="Normal 4 2 2 4 2 4 3 2 2 2" xfId="30610" xr:uid="{00000000-0005-0000-0000-0000798E0000}"/>
    <cellStyle name="Normal 4 2 2 4 2 4 3 2 2 2 2" xfId="62481" xr:uid="{00000000-0005-0000-0000-00007A8E0000}"/>
    <cellStyle name="Normal 4 2 2 4 2 4 3 2 2 3" xfId="41262" xr:uid="{00000000-0005-0000-0000-00007B8E0000}"/>
    <cellStyle name="Normal 4 2 2 4 2 4 3 2 3" xfId="22732" xr:uid="{00000000-0005-0000-0000-00007C8E0000}"/>
    <cellStyle name="Normal 4 2 2 4 2 4 3 2 3 2" xfId="54603" xr:uid="{00000000-0005-0000-0000-00007D8E0000}"/>
    <cellStyle name="Normal 4 2 2 4 2 4 3 2 4" xfId="41261" xr:uid="{00000000-0005-0000-0000-00007E8E0000}"/>
    <cellStyle name="Normal 4 2 2 4 2 4 3 3" xfId="9384" xr:uid="{00000000-0005-0000-0000-00007F8E0000}"/>
    <cellStyle name="Normal 4 2 2 4 2 4 3 3 2" xfId="26671" xr:uid="{00000000-0005-0000-0000-0000808E0000}"/>
    <cellStyle name="Normal 4 2 2 4 2 4 3 3 2 2" xfId="58542" xr:uid="{00000000-0005-0000-0000-0000818E0000}"/>
    <cellStyle name="Normal 4 2 2 4 2 4 3 3 3" xfId="41263" xr:uid="{00000000-0005-0000-0000-0000828E0000}"/>
    <cellStyle name="Normal 4 2 2 4 2 4 3 4" xfId="18793" xr:uid="{00000000-0005-0000-0000-0000838E0000}"/>
    <cellStyle name="Normal 4 2 2 4 2 4 3 4 2" xfId="50664" xr:uid="{00000000-0005-0000-0000-0000848E0000}"/>
    <cellStyle name="Normal 4 2 2 4 2 4 3 5" xfId="41260" xr:uid="{00000000-0005-0000-0000-0000858E0000}"/>
    <cellStyle name="Normal 4 2 2 4 2 4 4" xfId="9385" xr:uid="{00000000-0005-0000-0000-0000868E0000}"/>
    <cellStyle name="Normal 4 2 2 4 2 4 4 2" xfId="9386" xr:uid="{00000000-0005-0000-0000-0000878E0000}"/>
    <cellStyle name="Normal 4 2 2 4 2 4 4 2 2" xfId="30607" xr:uid="{00000000-0005-0000-0000-0000888E0000}"/>
    <cellStyle name="Normal 4 2 2 4 2 4 4 2 2 2" xfId="62478" xr:uid="{00000000-0005-0000-0000-0000898E0000}"/>
    <cellStyle name="Normal 4 2 2 4 2 4 4 2 3" xfId="41265" xr:uid="{00000000-0005-0000-0000-00008A8E0000}"/>
    <cellStyle name="Normal 4 2 2 4 2 4 4 3" xfId="22729" xr:uid="{00000000-0005-0000-0000-00008B8E0000}"/>
    <cellStyle name="Normal 4 2 2 4 2 4 4 3 2" xfId="54600" xr:uid="{00000000-0005-0000-0000-00008C8E0000}"/>
    <cellStyle name="Normal 4 2 2 4 2 4 4 4" xfId="41264" xr:uid="{00000000-0005-0000-0000-00008D8E0000}"/>
    <cellStyle name="Normal 4 2 2 4 2 4 5" xfId="9387" xr:uid="{00000000-0005-0000-0000-00008E8E0000}"/>
    <cellStyle name="Normal 4 2 2 4 2 4 5 2" xfId="26668" xr:uid="{00000000-0005-0000-0000-00008F8E0000}"/>
    <cellStyle name="Normal 4 2 2 4 2 4 5 2 2" xfId="58539" xr:uid="{00000000-0005-0000-0000-0000908E0000}"/>
    <cellStyle name="Normal 4 2 2 4 2 4 5 3" xfId="41266" xr:uid="{00000000-0005-0000-0000-0000918E0000}"/>
    <cellStyle name="Normal 4 2 2 4 2 4 6" xfId="18790" xr:uid="{00000000-0005-0000-0000-0000928E0000}"/>
    <cellStyle name="Normal 4 2 2 4 2 4 6 2" xfId="50661" xr:uid="{00000000-0005-0000-0000-0000938E0000}"/>
    <cellStyle name="Normal 4 2 2 4 2 4 7" xfId="41251" xr:uid="{00000000-0005-0000-0000-0000948E0000}"/>
    <cellStyle name="Normal 4 2 2 4 2 5" xfId="9388" xr:uid="{00000000-0005-0000-0000-0000958E0000}"/>
    <cellStyle name="Normal 4 2 2 4 2 5 2" xfId="9389" xr:uid="{00000000-0005-0000-0000-0000968E0000}"/>
    <cellStyle name="Normal 4 2 2 4 2 5 2 2" xfId="9390" xr:uid="{00000000-0005-0000-0000-0000978E0000}"/>
    <cellStyle name="Normal 4 2 2 4 2 5 2 2 2" xfId="9391" xr:uid="{00000000-0005-0000-0000-0000988E0000}"/>
    <cellStyle name="Normal 4 2 2 4 2 5 2 2 2 2" xfId="30612" xr:uid="{00000000-0005-0000-0000-0000998E0000}"/>
    <cellStyle name="Normal 4 2 2 4 2 5 2 2 2 2 2" xfId="62483" xr:uid="{00000000-0005-0000-0000-00009A8E0000}"/>
    <cellStyle name="Normal 4 2 2 4 2 5 2 2 2 3" xfId="41270" xr:uid="{00000000-0005-0000-0000-00009B8E0000}"/>
    <cellStyle name="Normal 4 2 2 4 2 5 2 2 3" xfId="22734" xr:uid="{00000000-0005-0000-0000-00009C8E0000}"/>
    <cellStyle name="Normal 4 2 2 4 2 5 2 2 3 2" xfId="54605" xr:uid="{00000000-0005-0000-0000-00009D8E0000}"/>
    <cellStyle name="Normal 4 2 2 4 2 5 2 2 4" xfId="41269" xr:uid="{00000000-0005-0000-0000-00009E8E0000}"/>
    <cellStyle name="Normal 4 2 2 4 2 5 2 3" xfId="9392" xr:uid="{00000000-0005-0000-0000-00009F8E0000}"/>
    <cellStyle name="Normal 4 2 2 4 2 5 2 3 2" xfId="26673" xr:uid="{00000000-0005-0000-0000-0000A08E0000}"/>
    <cellStyle name="Normal 4 2 2 4 2 5 2 3 2 2" xfId="58544" xr:uid="{00000000-0005-0000-0000-0000A18E0000}"/>
    <cellStyle name="Normal 4 2 2 4 2 5 2 3 3" xfId="41271" xr:uid="{00000000-0005-0000-0000-0000A28E0000}"/>
    <cellStyle name="Normal 4 2 2 4 2 5 2 4" xfId="18795" xr:uid="{00000000-0005-0000-0000-0000A38E0000}"/>
    <cellStyle name="Normal 4 2 2 4 2 5 2 4 2" xfId="50666" xr:uid="{00000000-0005-0000-0000-0000A48E0000}"/>
    <cellStyle name="Normal 4 2 2 4 2 5 2 5" xfId="41268" xr:uid="{00000000-0005-0000-0000-0000A58E0000}"/>
    <cellStyle name="Normal 4 2 2 4 2 5 3" xfId="9393" xr:uid="{00000000-0005-0000-0000-0000A68E0000}"/>
    <cellStyle name="Normal 4 2 2 4 2 5 3 2" xfId="9394" xr:uid="{00000000-0005-0000-0000-0000A78E0000}"/>
    <cellStyle name="Normal 4 2 2 4 2 5 3 2 2" xfId="30611" xr:uid="{00000000-0005-0000-0000-0000A88E0000}"/>
    <cellStyle name="Normal 4 2 2 4 2 5 3 2 2 2" xfId="62482" xr:uid="{00000000-0005-0000-0000-0000A98E0000}"/>
    <cellStyle name="Normal 4 2 2 4 2 5 3 2 3" xfId="41273" xr:uid="{00000000-0005-0000-0000-0000AA8E0000}"/>
    <cellStyle name="Normal 4 2 2 4 2 5 3 3" xfId="22733" xr:uid="{00000000-0005-0000-0000-0000AB8E0000}"/>
    <cellStyle name="Normal 4 2 2 4 2 5 3 3 2" xfId="54604" xr:uid="{00000000-0005-0000-0000-0000AC8E0000}"/>
    <cellStyle name="Normal 4 2 2 4 2 5 3 4" xfId="41272" xr:uid="{00000000-0005-0000-0000-0000AD8E0000}"/>
    <cellStyle name="Normal 4 2 2 4 2 5 4" xfId="9395" xr:uid="{00000000-0005-0000-0000-0000AE8E0000}"/>
    <cellStyle name="Normal 4 2 2 4 2 5 4 2" xfId="26672" xr:uid="{00000000-0005-0000-0000-0000AF8E0000}"/>
    <cellStyle name="Normal 4 2 2 4 2 5 4 2 2" xfId="58543" xr:uid="{00000000-0005-0000-0000-0000B08E0000}"/>
    <cellStyle name="Normal 4 2 2 4 2 5 4 3" xfId="41274" xr:uid="{00000000-0005-0000-0000-0000B18E0000}"/>
    <cellStyle name="Normal 4 2 2 4 2 5 5" xfId="18794" xr:uid="{00000000-0005-0000-0000-0000B28E0000}"/>
    <cellStyle name="Normal 4 2 2 4 2 5 5 2" xfId="50665" xr:uid="{00000000-0005-0000-0000-0000B38E0000}"/>
    <cellStyle name="Normal 4 2 2 4 2 5 6" xfId="41267" xr:uid="{00000000-0005-0000-0000-0000B48E0000}"/>
    <cellStyle name="Normal 4 2 2 4 2 6" xfId="9396" xr:uid="{00000000-0005-0000-0000-0000B58E0000}"/>
    <cellStyle name="Normal 4 2 2 4 2 6 2" xfId="9397" xr:uid="{00000000-0005-0000-0000-0000B68E0000}"/>
    <cellStyle name="Normal 4 2 2 4 2 6 2 2" xfId="9398" xr:uid="{00000000-0005-0000-0000-0000B78E0000}"/>
    <cellStyle name="Normal 4 2 2 4 2 6 2 2 2" xfId="30613" xr:uid="{00000000-0005-0000-0000-0000B88E0000}"/>
    <cellStyle name="Normal 4 2 2 4 2 6 2 2 2 2" xfId="62484" xr:uid="{00000000-0005-0000-0000-0000B98E0000}"/>
    <cellStyle name="Normal 4 2 2 4 2 6 2 2 3" xfId="41277" xr:uid="{00000000-0005-0000-0000-0000BA8E0000}"/>
    <cellStyle name="Normal 4 2 2 4 2 6 2 3" xfId="22735" xr:uid="{00000000-0005-0000-0000-0000BB8E0000}"/>
    <cellStyle name="Normal 4 2 2 4 2 6 2 3 2" xfId="54606" xr:uid="{00000000-0005-0000-0000-0000BC8E0000}"/>
    <cellStyle name="Normal 4 2 2 4 2 6 2 4" xfId="41276" xr:uid="{00000000-0005-0000-0000-0000BD8E0000}"/>
    <cellStyle name="Normal 4 2 2 4 2 6 3" xfId="9399" xr:uid="{00000000-0005-0000-0000-0000BE8E0000}"/>
    <cellStyle name="Normal 4 2 2 4 2 6 3 2" xfId="26674" xr:uid="{00000000-0005-0000-0000-0000BF8E0000}"/>
    <cellStyle name="Normal 4 2 2 4 2 6 3 2 2" xfId="58545" xr:uid="{00000000-0005-0000-0000-0000C08E0000}"/>
    <cellStyle name="Normal 4 2 2 4 2 6 3 3" xfId="41278" xr:uid="{00000000-0005-0000-0000-0000C18E0000}"/>
    <cellStyle name="Normal 4 2 2 4 2 6 4" xfId="18796" xr:uid="{00000000-0005-0000-0000-0000C28E0000}"/>
    <cellStyle name="Normal 4 2 2 4 2 6 4 2" xfId="50667" xr:uid="{00000000-0005-0000-0000-0000C38E0000}"/>
    <cellStyle name="Normal 4 2 2 4 2 6 5" xfId="41275" xr:uid="{00000000-0005-0000-0000-0000C48E0000}"/>
    <cellStyle name="Normal 4 2 2 4 2 7" xfId="9400" xr:uid="{00000000-0005-0000-0000-0000C58E0000}"/>
    <cellStyle name="Normal 4 2 2 4 2 7 2" xfId="9401" xr:uid="{00000000-0005-0000-0000-0000C68E0000}"/>
    <cellStyle name="Normal 4 2 2 4 2 7 2 2" xfId="28323" xr:uid="{00000000-0005-0000-0000-0000C78E0000}"/>
    <cellStyle name="Normal 4 2 2 4 2 7 2 2 2" xfId="60194" xr:uid="{00000000-0005-0000-0000-0000C88E0000}"/>
    <cellStyle name="Normal 4 2 2 4 2 7 2 3" xfId="41280" xr:uid="{00000000-0005-0000-0000-0000C98E0000}"/>
    <cellStyle name="Normal 4 2 2 4 2 7 3" xfId="20445" xr:uid="{00000000-0005-0000-0000-0000CA8E0000}"/>
    <cellStyle name="Normal 4 2 2 4 2 7 3 2" xfId="52316" xr:uid="{00000000-0005-0000-0000-0000CB8E0000}"/>
    <cellStyle name="Normal 4 2 2 4 2 7 4" xfId="41279" xr:uid="{00000000-0005-0000-0000-0000CC8E0000}"/>
    <cellStyle name="Normal 4 2 2 4 2 8" xfId="9402" xr:uid="{00000000-0005-0000-0000-0000CD8E0000}"/>
    <cellStyle name="Normal 4 2 2 4 2 8 2" xfId="24384" xr:uid="{00000000-0005-0000-0000-0000CE8E0000}"/>
    <cellStyle name="Normal 4 2 2 4 2 8 2 2" xfId="56255" xr:uid="{00000000-0005-0000-0000-0000CF8E0000}"/>
    <cellStyle name="Normal 4 2 2 4 2 8 3" xfId="41281" xr:uid="{00000000-0005-0000-0000-0000D08E0000}"/>
    <cellStyle name="Normal 4 2 2 4 2 9" xfId="16506" xr:uid="{00000000-0005-0000-0000-0000D18E0000}"/>
    <cellStyle name="Normal 4 2 2 4 2 9 2" xfId="48377" xr:uid="{00000000-0005-0000-0000-0000D28E0000}"/>
    <cellStyle name="Normal 4 2 2 4 3" xfId="9403" xr:uid="{00000000-0005-0000-0000-0000D38E0000}"/>
    <cellStyle name="Normal 4 2 2 4 3 10" xfId="41282" xr:uid="{00000000-0005-0000-0000-0000D48E0000}"/>
    <cellStyle name="Normal 4 2 2 4 3 2" xfId="9404" xr:uid="{00000000-0005-0000-0000-0000D58E0000}"/>
    <cellStyle name="Normal 4 2 2 4 3 2 2" xfId="9405" xr:uid="{00000000-0005-0000-0000-0000D68E0000}"/>
    <cellStyle name="Normal 4 2 2 4 3 2 2 2" xfId="9406" xr:uid="{00000000-0005-0000-0000-0000D78E0000}"/>
    <cellStyle name="Normal 4 2 2 4 3 2 2 2 2" xfId="9407" xr:uid="{00000000-0005-0000-0000-0000D88E0000}"/>
    <cellStyle name="Normal 4 2 2 4 3 2 2 2 2 2" xfId="9408" xr:uid="{00000000-0005-0000-0000-0000D98E0000}"/>
    <cellStyle name="Normal 4 2 2 4 3 2 2 2 2 2 2" xfId="9409" xr:uid="{00000000-0005-0000-0000-0000DA8E0000}"/>
    <cellStyle name="Normal 4 2 2 4 3 2 2 2 2 2 2 2" xfId="9410" xr:uid="{00000000-0005-0000-0000-0000DB8E0000}"/>
    <cellStyle name="Normal 4 2 2 4 3 2 2 2 2 2 2 2 2" xfId="30617" xr:uid="{00000000-0005-0000-0000-0000DC8E0000}"/>
    <cellStyle name="Normal 4 2 2 4 3 2 2 2 2 2 2 2 2 2" xfId="62488" xr:uid="{00000000-0005-0000-0000-0000DD8E0000}"/>
    <cellStyle name="Normal 4 2 2 4 3 2 2 2 2 2 2 2 3" xfId="41289" xr:uid="{00000000-0005-0000-0000-0000DE8E0000}"/>
    <cellStyle name="Normal 4 2 2 4 3 2 2 2 2 2 2 3" xfId="22739" xr:uid="{00000000-0005-0000-0000-0000DF8E0000}"/>
    <cellStyle name="Normal 4 2 2 4 3 2 2 2 2 2 2 3 2" xfId="54610" xr:uid="{00000000-0005-0000-0000-0000E08E0000}"/>
    <cellStyle name="Normal 4 2 2 4 3 2 2 2 2 2 2 4" xfId="41288" xr:uid="{00000000-0005-0000-0000-0000E18E0000}"/>
    <cellStyle name="Normal 4 2 2 4 3 2 2 2 2 2 3" xfId="9411" xr:uid="{00000000-0005-0000-0000-0000E28E0000}"/>
    <cellStyle name="Normal 4 2 2 4 3 2 2 2 2 2 3 2" xfId="26678" xr:uid="{00000000-0005-0000-0000-0000E38E0000}"/>
    <cellStyle name="Normal 4 2 2 4 3 2 2 2 2 2 3 2 2" xfId="58549" xr:uid="{00000000-0005-0000-0000-0000E48E0000}"/>
    <cellStyle name="Normal 4 2 2 4 3 2 2 2 2 2 3 3" xfId="41290" xr:uid="{00000000-0005-0000-0000-0000E58E0000}"/>
    <cellStyle name="Normal 4 2 2 4 3 2 2 2 2 2 4" xfId="18800" xr:uid="{00000000-0005-0000-0000-0000E68E0000}"/>
    <cellStyle name="Normal 4 2 2 4 3 2 2 2 2 2 4 2" xfId="50671" xr:uid="{00000000-0005-0000-0000-0000E78E0000}"/>
    <cellStyle name="Normal 4 2 2 4 3 2 2 2 2 2 5" xfId="41287" xr:uid="{00000000-0005-0000-0000-0000E88E0000}"/>
    <cellStyle name="Normal 4 2 2 4 3 2 2 2 2 3" xfId="9412" xr:uid="{00000000-0005-0000-0000-0000E98E0000}"/>
    <cellStyle name="Normal 4 2 2 4 3 2 2 2 2 3 2" xfId="9413" xr:uid="{00000000-0005-0000-0000-0000EA8E0000}"/>
    <cellStyle name="Normal 4 2 2 4 3 2 2 2 2 3 2 2" xfId="30616" xr:uid="{00000000-0005-0000-0000-0000EB8E0000}"/>
    <cellStyle name="Normal 4 2 2 4 3 2 2 2 2 3 2 2 2" xfId="62487" xr:uid="{00000000-0005-0000-0000-0000EC8E0000}"/>
    <cellStyle name="Normal 4 2 2 4 3 2 2 2 2 3 2 3" xfId="41292" xr:uid="{00000000-0005-0000-0000-0000ED8E0000}"/>
    <cellStyle name="Normal 4 2 2 4 3 2 2 2 2 3 3" xfId="22738" xr:uid="{00000000-0005-0000-0000-0000EE8E0000}"/>
    <cellStyle name="Normal 4 2 2 4 3 2 2 2 2 3 3 2" xfId="54609" xr:uid="{00000000-0005-0000-0000-0000EF8E0000}"/>
    <cellStyle name="Normal 4 2 2 4 3 2 2 2 2 3 4" xfId="41291" xr:uid="{00000000-0005-0000-0000-0000F08E0000}"/>
    <cellStyle name="Normal 4 2 2 4 3 2 2 2 2 4" xfId="9414" xr:uid="{00000000-0005-0000-0000-0000F18E0000}"/>
    <cellStyle name="Normal 4 2 2 4 3 2 2 2 2 4 2" xfId="26677" xr:uid="{00000000-0005-0000-0000-0000F28E0000}"/>
    <cellStyle name="Normal 4 2 2 4 3 2 2 2 2 4 2 2" xfId="58548" xr:uid="{00000000-0005-0000-0000-0000F38E0000}"/>
    <cellStyle name="Normal 4 2 2 4 3 2 2 2 2 4 3" xfId="41293" xr:uid="{00000000-0005-0000-0000-0000F48E0000}"/>
    <cellStyle name="Normal 4 2 2 4 3 2 2 2 2 5" xfId="18799" xr:uid="{00000000-0005-0000-0000-0000F58E0000}"/>
    <cellStyle name="Normal 4 2 2 4 3 2 2 2 2 5 2" xfId="50670" xr:uid="{00000000-0005-0000-0000-0000F68E0000}"/>
    <cellStyle name="Normal 4 2 2 4 3 2 2 2 2 6" xfId="41286" xr:uid="{00000000-0005-0000-0000-0000F78E0000}"/>
    <cellStyle name="Normal 4 2 2 4 3 2 2 2 3" xfId="9415" xr:uid="{00000000-0005-0000-0000-0000F88E0000}"/>
    <cellStyle name="Normal 4 2 2 4 3 2 2 2 3 2" xfId="9416" xr:uid="{00000000-0005-0000-0000-0000F98E0000}"/>
    <cellStyle name="Normal 4 2 2 4 3 2 2 2 3 2 2" xfId="9417" xr:uid="{00000000-0005-0000-0000-0000FA8E0000}"/>
    <cellStyle name="Normal 4 2 2 4 3 2 2 2 3 2 2 2" xfId="30618" xr:uid="{00000000-0005-0000-0000-0000FB8E0000}"/>
    <cellStyle name="Normal 4 2 2 4 3 2 2 2 3 2 2 2 2" xfId="62489" xr:uid="{00000000-0005-0000-0000-0000FC8E0000}"/>
    <cellStyle name="Normal 4 2 2 4 3 2 2 2 3 2 2 3" xfId="41296" xr:uid="{00000000-0005-0000-0000-0000FD8E0000}"/>
    <cellStyle name="Normal 4 2 2 4 3 2 2 2 3 2 3" xfId="22740" xr:uid="{00000000-0005-0000-0000-0000FE8E0000}"/>
    <cellStyle name="Normal 4 2 2 4 3 2 2 2 3 2 3 2" xfId="54611" xr:uid="{00000000-0005-0000-0000-0000FF8E0000}"/>
    <cellStyle name="Normal 4 2 2 4 3 2 2 2 3 2 4" xfId="41295" xr:uid="{00000000-0005-0000-0000-0000008F0000}"/>
    <cellStyle name="Normal 4 2 2 4 3 2 2 2 3 3" xfId="9418" xr:uid="{00000000-0005-0000-0000-0000018F0000}"/>
    <cellStyle name="Normal 4 2 2 4 3 2 2 2 3 3 2" xfId="26679" xr:uid="{00000000-0005-0000-0000-0000028F0000}"/>
    <cellStyle name="Normal 4 2 2 4 3 2 2 2 3 3 2 2" xfId="58550" xr:uid="{00000000-0005-0000-0000-0000038F0000}"/>
    <cellStyle name="Normal 4 2 2 4 3 2 2 2 3 3 3" xfId="41297" xr:uid="{00000000-0005-0000-0000-0000048F0000}"/>
    <cellStyle name="Normal 4 2 2 4 3 2 2 2 3 4" xfId="18801" xr:uid="{00000000-0005-0000-0000-0000058F0000}"/>
    <cellStyle name="Normal 4 2 2 4 3 2 2 2 3 4 2" xfId="50672" xr:uid="{00000000-0005-0000-0000-0000068F0000}"/>
    <cellStyle name="Normal 4 2 2 4 3 2 2 2 3 5" xfId="41294" xr:uid="{00000000-0005-0000-0000-0000078F0000}"/>
    <cellStyle name="Normal 4 2 2 4 3 2 2 2 4" xfId="9419" xr:uid="{00000000-0005-0000-0000-0000088F0000}"/>
    <cellStyle name="Normal 4 2 2 4 3 2 2 2 4 2" xfId="9420" xr:uid="{00000000-0005-0000-0000-0000098F0000}"/>
    <cellStyle name="Normal 4 2 2 4 3 2 2 2 4 2 2" xfId="30615" xr:uid="{00000000-0005-0000-0000-00000A8F0000}"/>
    <cellStyle name="Normal 4 2 2 4 3 2 2 2 4 2 2 2" xfId="62486" xr:uid="{00000000-0005-0000-0000-00000B8F0000}"/>
    <cellStyle name="Normal 4 2 2 4 3 2 2 2 4 2 3" xfId="41299" xr:uid="{00000000-0005-0000-0000-00000C8F0000}"/>
    <cellStyle name="Normal 4 2 2 4 3 2 2 2 4 3" xfId="22737" xr:uid="{00000000-0005-0000-0000-00000D8F0000}"/>
    <cellStyle name="Normal 4 2 2 4 3 2 2 2 4 3 2" xfId="54608" xr:uid="{00000000-0005-0000-0000-00000E8F0000}"/>
    <cellStyle name="Normal 4 2 2 4 3 2 2 2 4 4" xfId="41298" xr:uid="{00000000-0005-0000-0000-00000F8F0000}"/>
    <cellStyle name="Normal 4 2 2 4 3 2 2 2 5" xfId="9421" xr:uid="{00000000-0005-0000-0000-0000108F0000}"/>
    <cellStyle name="Normal 4 2 2 4 3 2 2 2 5 2" xfId="26676" xr:uid="{00000000-0005-0000-0000-0000118F0000}"/>
    <cellStyle name="Normal 4 2 2 4 3 2 2 2 5 2 2" xfId="58547" xr:uid="{00000000-0005-0000-0000-0000128F0000}"/>
    <cellStyle name="Normal 4 2 2 4 3 2 2 2 5 3" xfId="41300" xr:uid="{00000000-0005-0000-0000-0000138F0000}"/>
    <cellStyle name="Normal 4 2 2 4 3 2 2 2 6" xfId="18798" xr:uid="{00000000-0005-0000-0000-0000148F0000}"/>
    <cellStyle name="Normal 4 2 2 4 3 2 2 2 6 2" xfId="50669" xr:uid="{00000000-0005-0000-0000-0000158F0000}"/>
    <cellStyle name="Normal 4 2 2 4 3 2 2 2 7" xfId="41285" xr:uid="{00000000-0005-0000-0000-0000168F0000}"/>
    <cellStyle name="Normal 4 2 2 4 3 2 2 3" xfId="9422" xr:uid="{00000000-0005-0000-0000-0000178F0000}"/>
    <cellStyle name="Normal 4 2 2 4 3 2 2 3 2" xfId="9423" xr:uid="{00000000-0005-0000-0000-0000188F0000}"/>
    <cellStyle name="Normal 4 2 2 4 3 2 2 3 2 2" xfId="9424" xr:uid="{00000000-0005-0000-0000-0000198F0000}"/>
    <cellStyle name="Normal 4 2 2 4 3 2 2 3 2 2 2" xfId="9425" xr:uid="{00000000-0005-0000-0000-00001A8F0000}"/>
    <cellStyle name="Normal 4 2 2 4 3 2 2 3 2 2 2 2" xfId="30620" xr:uid="{00000000-0005-0000-0000-00001B8F0000}"/>
    <cellStyle name="Normal 4 2 2 4 3 2 2 3 2 2 2 2 2" xfId="62491" xr:uid="{00000000-0005-0000-0000-00001C8F0000}"/>
    <cellStyle name="Normal 4 2 2 4 3 2 2 3 2 2 2 3" xfId="41304" xr:uid="{00000000-0005-0000-0000-00001D8F0000}"/>
    <cellStyle name="Normal 4 2 2 4 3 2 2 3 2 2 3" xfId="22742" xr:uid="{00000000-0005-0000-0000-00001E8F0000}"/>
    <cellStyle name="Normal 4 2 2 4 3 2 2 3 2 2 3 2" xfId="54613" xr:uid="{00000000-0005-0000-0000-00001F8F0000}"/>
    <cellStyle name="Normal 4 2 2 4 3 2 2 3 2 2 4" xfId="41303" xr:uid="{00000000-0005-0000-0000-0000208F0000}"/>
    <cellStyle name="Normal 4 2 2 4 3 2 2 3 2 3" xfId="9426" xr:uid="{00000000-0005-0000-0000-0000218F0000}"/>
    <cellStyle name="Normal 4 2 2 4 3 2 2 3 2 3 2" xfId="26681" xr:uid="{00000000-0005-0000-0000-0000228F0000}"/>
    <cellStyle name="Normal 4 2 2 4 3 2 2 3 2 3 2 2" xfId="58552" xr:uid="{00000000-0005-0000-0000-0000238F0000}"/>
    <cellStyle name="Normal 4 2 2 4 3 2 2 3 2 3 3" xfId="41305" xr:uid="{00000000-0005-0000-0000-0000248F0000}"/>
    <cellStyle name="Normal 4 2 2 4 3 2 2 3 2 4" xfId="18803" xr:uid="{00000000-0005-0000-0000-0000258F0000}"/>
    <cellStyle name="Normal 4 2 2 4 3 2 2 3 2 4 2" xfId="50674" xr:uid="{00000000-0005-0000-0000-0000268F0000}"/>
    <cellStyle name="Normal 4 2 2 4 3 2 2 3 2 5" xfId="41302" xr:uid="{00000000-0005-0000-0000-0000278F0000}"/>
    <cellStyle name="Normal 4 2 2 4 3 2 2 3 3" xfId="9427" xr:uid="{00000000-0005-0000-0000-0000288F0000}"/>
    <cellStyle name="Normal 4 2 2 4 3 2 2 3 3 2" xfId="9428" xr:uid="{00000000-0005-0000-0000-0000298F0000}"/>
    <cellStyle name="Normal 4 2 2 4 3 2 2 3 3 2 2" xfId="30619" xr:uid="{00000000-0005-0000-0000-00002A8F0000}"/>
    <cellStyle name="Normal 4 2 2 4 3 2 2 3 3 2 2 2" xfId="62490" xr:uid="{00000000-0005-0000-0000-00002B8F0000}"/>
    <cellStyle name="Normal 4 2 2 4 3 2 2 3 3 2 3" xfId="41307" xr:uid="{00000000-0005-0000-0000-00002C8F0000}"/>
    <cellStyle name="Normal 4 2 2 4 3 2 2 3 3 3" xfId="22741" xr:uid="{00000000-0005-0000-0000-00002D8F0000}"/>
    <cellStyle name="Normal 4 2 2 4 3 2 2 3 3 3 2" xfId="54612" xr:uid="{00000000-0005-0000-0000-00002E8F0000}"/>
    <cellStyle name="Normal 4 2 2 4 3 2 2 3 3 4" xfId="41306" xr:uid="{00000000-0005-0000-0000-00002F8F0000}"/>
    <cellStyle name="Normal 4 2 2 4 3 2 2 3 4" xfId="9429" xr:uid="{00000000-0005-0000-0000-0000308F0000}"/>
    <cellStyle name="Normal 4 2 2 4 3 2 2 3 4 2" xfId="26680" xr:uid="{00000000-0005-0000-0000-0000318F0000}"/>
    <cellStyle name="Normal 4 2 2 4 3 2 2 3 4 2 2" xfId="58551" xr:uid="{00000000-0005-0000-0000-0000328F0000}"/>
    <cellStyle name="Normal 4 2 2 4 3 2 2 3 4 3" xfId="41308" xr:uid="{00000000-0005-0000-0000-0000338F0000}"/>
    <cellStyle name="Normal 4 2 2 4 3 2 2 3 5" xfId="18802" xr:uid="{00000000-0005-0000-0000-0000348F0000}"/>
    <cellStyle name="Normal 4 2 2 4 3 2 2 3 5 2" xfId="50673" xr:uid="{00000000-0005-0000-0000-0000358F0000}"/>
    <cellStyle name="Normal 4 2 2 4 3 2 2 3 6" xfId="41301" xr:uid="{00000000-0005-0000-0000-0000368F0000}"/>
    <cellStyle name="Normal 4 2 2 4 3 2 2 4" xfId="9430" xr:uid="{00000000-0005-0000-0000-0000378F0000}"/>
    <cellStyle name="Normal 4 2 2 4 3 2 2 4 2" xfId="9431" xr:uid="{00000000-0005-0000-0000-0000388F0000}"/>
    <cellStyle name="Normal 4 2 2 4 3 2 2 4 2 2" xfId="9432" xr:uid="{00000000-0005-0000-0000-0000398F0000}"/>
    <cellStyle name="Normal 4 2 2 4 3 2 2 4 2 2 2" xfId="30621" xr:uid="{00000000-0005-0000-0000-00003A8F0000}"/>
    <cellStyle name="Normal 4 2 2 4 3 2 2 4 2 2 2 2" xfId="62492" xr:uid="{00000000-0005-0000-0000-00003B8F0000}"/>
    <cellStyle name="Normal 4 2 2 4 3 2 2 4 2 2 3" xfId="41311" xr:uid="{00000000-0005-0000-0000-00003C8F0000}"/>
    <cellStyle name="Normal 4 2 2 4 3 2 2 4 2 3" xfId="22743" xr:uid="{00000000-0005-0000-0000-00003D8F0000}"/>
    <cellStyle name="Normal 4 2 2 4 3 2 2 4 2 3 2" xfId="54614" xr:uid="{00000000-0005-0000-0000-00003E8F0000}"/>
    <cellStyle name="Normal 4 2 2 4 3 2 2 4 2 4" xfId="41310" xr:uid="{00000000-0005-0000-0000-00003F8F0000}"/>
    <cellStyle name="Normal 4 2 2 4 3 2 2 4 3" xfId="9433" xr:uid="{00000000-0005-0000-0000-0000408F0000}"/>
    <cellStyle name="Normal 4 2 2 4 3 2 2 4 3 2" xfId="26682" xr:uid="{00000000-0005-0000-0000-0000418F0000}"/>
    <cellStyle name="Normal 4 2 2 4 3 2 2 4 3 2 2" xfId="58553" xr:uid="{00000000-0005-0000-0000-0000428F0000}"/>
    <cellStyle name="Normal 4 2 2 4 3 2 2 4 3 3" xfId="41312" xr:uid="{00000000-0005-0000-0000-0000438F0000}"/>
    <cellStyle name="Normal 4 2 2 4 3 2 2 4 4" xfId="18804" xr:uid="{00000000-0005-0000-0000-0000448F0000}"/>
    <cellStyle name="Normal 4 2 2 4 3 2 2 4 4 2" xfId="50675" xr:uid="{00000000-0005-0000-0000-0000458F0000}"/>
    <cellStyle name="Normal 4 2 2 4 3 2 2 4 5" xfId="41309" xr:uid="{00000000-0005-0000-0000-0000468F0000}"/>
    <cellStyle name="Normal 4 2 2 4 3 2 2 5" xfId="9434" xr:uid="{00000000-0005-0000-0000-0000478F0000}"/>
    <cellStyle name="Normal 4 2 2 4 3 2 2 5 2" xfId="9435" xr:uid="{00000000-0005-0000-0000-0000488F0000}"/>
    <cellStyle name="Normal 4 2 2 4 3 2 2 5 2 2" xfId="30614" xr:uid="{00000000-0005-0000-0000-0000498F0000}"/>
    <cellStyle name="Normal 4 2 2 4 3 2 2 5 2 2 2" xfId="62485" xr:uid="{00000000-0005-0000-0000-00004A8F0000}"/>
    <cellStyle name="Normal 4 2 2 4 3 2 2 5 2 3" xfId="41314" xr:uid="{00000000-0005-0000-0000-00004B8F0000}"/>
    <cellStyle name="Normal 4 2 2 4 3 2 2 5 3" xfId="22736" xr:uid="{00000000-0005-0000-0000-00004C8F0000}"/>
    <cellStyle name="Normal 4 2 2 4 3 2 2 5 3 2" xfId="54607" xr:uid="{00000000-0005-0000-0000-00004D8F0000}"/>
    <cellStyle name="Normal 4 2 2 4 3 2 2 5 4" xfId="41313" xr:uid="{00000000-0005-0000-0000-00004E8F0000}"/>
    <cellStyle name="Normal 4 2 2 4 3 2 2 6" xfId="9436" xr:uid="{00000000-0005-0000-0000-00004F8F0000}"/>
    <cellStyle name="Normal 4 2 2 4 3 2 2 6 2" xfId="26675" xr:uid="{00000000-0005-0000-0000-0000508F0000}"/>
    <cellStyle name="Normal 4 2 2 4 3 2 2 6 2 2" xfId="58546" xr:uid="{00000000-0005-0000-0000-0000518F0000}"/>
    <cellStyle name="Normal 4 2 2 4 3 2 2 6 3" xfId="41315" xr:uid="{00000000-0005-0000-0000-0000528F0000}"/>
    <cellStyle name="Normal 4 2 2 4 3 2 2 7" xfId="18797" xr:uid="{00000000-0005-0000-0000-0000538F0000}"/>
    <cellStyle name="Normal 4 2 2 4 3 2 2 7 2" xfId="50668" xr:uid="{00000000-0005-0000-0000-0000548F0000}"/>
    <cellStyle name="Normal 4 2 2 4 3 2 2 8" xfId="41284" xr:uid="{00000000-0005-0000-0000-0000558F0000}"/>
    <cellStyle name="Normal 4 2 2 4 3 2 3" xfId="9437" xr:uid="{00000000-0005-0000-0000-0000568F0000}"/>
    <cellStyle name="Normal 4 2 2 4 3 2 3 2" xfId="9438" xr:uid="{00000000-0005-0000-0000-0000578F0000}"/>
    <cellStyle name="Normal 4 2 2 4 3 2 3 2 2" xfId="9439" xr:uid="{00000000-0005-0000-0000-0000588F0000}"/>
    <cellStyle name="Normal 4 2 2 4 3 2 3 2 2 2" xfId="9440" xr:uid="{00000000-0005-0000-0000-0000598F0000}"/>
    <cellStyle name="Normal 4 2 2 4 3 2 3 2 2 2 2" xfId="9441" xr:uid="{00000000-0005-0000-0000-00005A8F0000}"/>
    <cellStyle name="Normal 4 2 2 4 3 2 3 2 2 2 2 2" xfId="30624" xr:uid="{00000000-0005-0000-0000-00005B8F0000}"/>
    <cellStyle name="Normal 4 2 2 4 3 2 3 2 2 2 2 2 2" xfId="62495" xr:uid="{00000000-0005-0000-0000-00005C8F0000}"/>
    <cellStyle name="Normal 4 2 2 4 3 2 3 2 2 2 2 3" xfId="41320" xr:uid="{00000000-0005-0000-0000-00005D8F0000}"/>
    <cellStyle name="Normal 4 2 2 4 3 2 3 2 2 2 3" xfId="22746" xr:uid="{00000000-0005-0000-0000-00005E8F0000}"/>
    <cellStyle name="Normal 4 2 2 4 3 2 3 2 2 2 3 2" xfId="54617" xr:uid="{00000000-0005-0000-0000-00005F8F0000}"/>
    <cellStyle name="Normal 4 2 2 4 3 2 3 2 2 2 4" xfId="41319" xr:uid="{00000000-0005-0000-0000-0000608F0000}"/>
    <cellStyle name="Normal 4 2 2 4 3 2 3 2 2 3" xfId="9442" xr:uid="{00000000-0005-0000-0000-0000618F0000}"/>
    <cellStyle name="Normal 4 2 2 4 3 2 3 2 2 3 2" xfId="26685" xr:uid="{00000000-0005-0000-0000-0000628F0000}"/>
    <cellStyle name="Normal 4 2 2 4 3 2 3 2 2 3 2 2" xfId="58556" xr:uid="{00000000-0005-0000-0000-0000638F0000}"/>
    <cellStyle name="Normal 4 2 2 4 3 2 3 2 2 3 3" xfId="41321" xr:uid="{00000000-0005-0000-0000-0000648F0000}"/>
    <cellStyle name="Normal 4 2 2 4 3 2 3 2 2 4" xfId="18807" xr:uid="{00000000-0005-0000-0000-0000658F0000}"/>
    <cellStyle name="Normal 4 2 2 4 3 2 3 2 2 4 2" xfId="50678" xr:uid="{00000000-0005-0000-0000-0000668F0000}"/>
    <cellStyle name="Normal 4 2 2 4 3 2 3 2 2 5" xfId="41318" xr:uid="{00000000-0005-0000-0000-0000678F0000}"/>
    <cellStyle name="Normal 4 2 2 4 3 2 3 2 3" xfId="9443" xr:uid="{00000000-0005-0000-0000-0000688F0000}"/>
    <cellStyle name="Normal 4 2 2 4 3 2 3 2 3 2" xfId="9444" xr:uid="{00000000-0005-0000-0000-0000698F0000}"/>
    <cellStyle name="Normal 4 2 2 4 3 2 3 2 3 2 2" xfId="30623" xr:uid="{00000000-0005-0000-0000-00006A8F0000}"/>
    <cellStyle name="Normal 4 2 2 4 3 2 3 2 3 2 2 2" xfId="62494" xr:uid="{00000000-0005-0000-0000-00006B8F0000}"/>
    <cellStyle name="Normal 4 2 2 4 3 2 3 2 3 2 3" xfId="41323" xr:uid="{00000000-0005-0000-0000-00006C8F0000}"/>
    <cellStyle name="Normal 4 2 2 4 3 2 3 2 3 3" xfId="22745" xr:uid="{00000000-0005-0000-0000-00006D8F0000}"/>
    <cellStyle name="Normal 4 2 2 4 3 2 3 2 3 3 2" xfId="54616" xr:uid="{00000000-0005-0000-0000-00006E8F0000}"/>
    <cellStyle name="Normal 4 2 2 4 3 2 3 2 3 4" xfId="41322" xr:uid="{00000000-0005-0000-0000-00006F8F0000}"/>
    <cellStyle name="Normal 4 2 2 4 3 2 3 2 4" xfId="9445" xr:uid="{00000000-0005-0000-0000-0000708F0000}"/>
    <cellStyle name="Normal 4 2 2 4 3 2 3 2 4 2" xfId="26684" xr:uid="{00000000-0005-0000-0000-0000718F0000}"/>
    <cellStyle name="Normal 4 2 2 4 3 2 3 2 4 2 2" xfId="58555" xr:uid="{00000000-0005-0000-0000-0000728F0000}"/>
    <cellStyle name="Normal 4 2 2 4 3 2 3 2 4 3" xfId="41324" xr:uid="{00000000-0005-0000-0000-0000738F0000}"/>
    <cellStyle name="Normal 4 2 2 4 3 2 3 2 5" xfId="18806" xr:uid="{00000000-0005-0000-0000-0000748F0000}"/>
    <cellStyle name="Normal 4 2 2 4 3 2 3 2 5 2" xfId="50677" xr:uid="{00000000-0005-0000-0000-0000758F0000}"/>
    <cellStyle name="Normal 4 2 2 4 3 2 3 2 6" xfId="41317" xr:uid="{00000000-0005-0000-0000-0000768F0000}"/>
    <cellStyle name="Normal 4 2 2 4 3 2 3 3" xfId="9446" xr:uid="{00000000-0005-0000-0000-0000778F0000}"/>
    <cellStyle name="Normal 4 2 2 4 3 2 3 3 2" xfId="9447" xr:uid="{00000000-0005-0000-0000-0000788F0000}"/>
    <cellStyle name="Normal 4 2 2 4 3 2 3 3 2 2" xfId="9448" xr:uid="{00000000-0005-0000-0000-0000798F0000}"/>
    <cellStyle name="Normal 4 2 2 4 3 2 3 3 2 2 2" xfId="30625" xr:uid="{00000000-0005-0000-0000-00007A8F0000}"/>
    <cellStyle name="Normal 4 2 2 4 3 2 3 3 2 2 2 2" xfId="62496" xr:uid="{00000000-0005-0000-0000-00007B8F0000}"/>
    <cellStyle name="Normal 4 2 2 4 3 2 3 3 2 2 3" xfId="41327" xr:uid="{00000000-0005-0000-0000-00007C8F0000}"/>
    <cellStyle name="Normal 4 2 2 4 3 2 3 3 2 3" xfId="22747" xr:uid="{00000000-0005-0000-0000-00007D8F0000}"/>
    <cellStyle name="Normal 4 2 2 4 3 2 3 3 2 3 2" xfId="54618" xr:uid="{00000000-0005-0000-0000-00007E8F0000}"/>
    <cellStyle name="Normal 4 2 2 4 3 2 3 3 2 4" xfId="41326" xr:uid="{00000000-0005-0000-0000-00007F8F0000}"/>
    <cellStyle name="Normal 4 2 2 4 3 2 3 3 3" xfId="9449" xr:uid="{00000000-0005-0000-0000-0000808F0000}"/>
    <cellStyle name="Normal 4 2 2 4 3 2 3 3 3 2" xfId="26686" xr:uid="{00000000-0005-0000-0000-0000818F0000}"/>
    <cellStyle name="Normal 4 2 2 4 3 2 3 3 3 2 2" xfId="58557" xr:uid="{00000000-0005-0000-0000-0000828F0000}"/>
    <cellStyle name="Normal 4 2 2 4 3 2 3 3 3 3" xfId="41328" xr:uid="{00000000-0005-0000-0000-0000838F0000}"/>
    <cellStyle name="Normal 4 2 2 4 3 2 3 3 4" xfId="18808" xr:uid="{00000000-0005-0000-0000-0000848F0000}"/>
    <cellStyle name="Normal 4 2 2 4 3 2 3 3 4 2" xfId="50679" xr:uid="{00000000-0005-0000-0000-0000858F0000}"/>
    <cellStyle name="Normal 4 2 2 4 3 2 3 3 5" xfId="41325" xr:uid="{00000000-0005-0000-0000-0000868F0000}"/>
    <cellStyle name="Normal 4 2 2 4 3 2 3 4" xfId="9450" xr:uid="{00000000-0005-0000-0000-0000878F0000}"/>
    <cellStyle name="Normal 4 2 2 4 3 2 3 4 2" xfId="9451" xr:uid="{00000000-0005-0000-0000-0000888F0000}"/>
    <cellStyle name="Normal 4 2 2 4 3 2 3 4 2 2" xfId="30622" xr:uid="{00000000-0005-0000-0000-0000898F0000}"/>
    <cellStyle name="Normal 4 2 2 4 3 2 3 4 2 2 2" xfId="62493" xr:uid="{00000000-0005-0000-0000-00008A8F0000}"/>
    <cellStyle name="Normal 4 2 2 4 3 2 3 4 2 3" xfId="41330" xr:uid="{00000000-0005-0000-0000-00008B8F0000}"/>
    <cellStyle name="Normal 4 2 2 4 3 2 3 4 3" xfId="22744" xr:uid="{00000000-0005-0000-0000-00008C8F0000}"/>
    <cellStyle name="Normal 4 2 2 4 3 2 3 4 3 2" xfId="54615" xr:uid="{00000000-0005-0000-0000-00008D8F0000}"/>
    <cellStyle name="Normal 4 2 2 4 3 2 3 4 4" xfId="41329" xr:uid="{00000000-0005-0000-0000-00008E8F0000}"/>
    <cellStyle name="Normal 4 2 2 4 3 2 3 5" xfId="9452" xr:uid="{00000000-0005-0000-0000-00008F8F0000}"/>
    <cellStyle name="Normal 4 2 2 4 3 2 3 5 2" xfId="26683" xr:uid="{00000000-0005-0000-0000-0000908F0000}"/>
    <cellStyle name="Normal 4 2 2 4 3 2 3 5 2 2" xfId="58554" xr:uid="{00000000-0005-0000-0000-0000918F0000}"/>
    <cellStyle name="Normal 4 2 2 4 3 2 3 5 3" xfId="41331" xr:uid="{00000000-0005-0000-0000-0000928F0000}"/>
    <cellStyle name="Normal 4 2 2 4 3 2 3 6" xfId="18805" xr:uid="{00000000-0005-0000-0000-0000938F0000}"/>
    <cellStyle name="Normal 4 2 2 4 3 2 3 6 2" xfId="50676" xr:uid="{00000000-0005-0000-0000-0000948F0000}"/>
    <cellStyle name="Normal 4 2 2 4 3 2 3 7" xfId="41316" xr:uid="{00000000-0005-0000-0000-0000958F0000}"/>
    <cellStyle name="Normal 4 2 2 4 3 2 4" xfId="9453" xr:uid="{00000000-0005-0000-0000-0000968F0000}"/>
    <cellStyle name="Normal 4 2 2 4 3 2 4 2" xfId="9454" xr:uid="{00000000-0005-0000-0000-0000978F0000}"/>
    <cellStyle name="Normal 4 2 2 4 3 2 4 2 2" xfId="9455" xr:uid="{00000000-0005-0000-0000-0000988F0000}"/>
    <cellStyle name="Normal 4 2 2 4 3 2 4 2 2 2" xfId="9456" xr:uid="{00000000-0005-0000-0000-0000998F0000}"/>
    <cellStyle name="Normal 4 2 2 4 3 2 4 2 2 2 2" xfId="30627" xr:uid="{00000000-0005-0000-0000-00009A8F0000}"/>
    <cellStyle name="Normal 4 2 2 4 3 2 4 2 2 2 2 2" xfId="62498" xr:uid="{00000000-0005-0000-0000-00009B8F0000}"/>
    <cellStyle name="Normal 4 2 2 4 3 2 4 2 2 2 3" xfId="41335" xr:uid="{00000000-0005-0000-0000-00009C8F0000}"/>
    <cellStyle name="Normal 4 2 2 4 3 2 4 2 2 3" xfId="22749" xr:uid="{00000000-0005-0000-0000-00009D8F0000}"/>
    <cellStyle name="Normal 4 2 2 4 3 2 4 2 2 3 2" xfId="54620" xr:uid="{00000000-0005-0000-0000-00009E8F0000}"/>
    <cellStyle name="Normal 4 2 2 4 3 2 4 2 2 4" xfId="41334" xr:uid="{00000000-0005-0000-0000-00009F8F0000}"/>
    <cellStyle name="Normal 4 2 2 4 3 2 4 2 3" xfId="9457" xr:uid="{00000000-0005-0000-0000-0000A08F0000}"/>
    <cellStyle name="Normal 4 2 2 4 3 2 4 2 3 2" xfId="26688" xr:uid="{00000000-0005-0000-0000-0000A18F0000}"/>
    <cellStyle name="Normal 4 2 2 4 3 2 4 2 3 2 2" xfId="58559" xr:uid="{00000000-0005-0000-0000-0000A28F0000}"/>
    <cellStyle name="Normal 4 2 2 4 3 2 4 2 3 3" xfId="41336" xr:uid="{00000000-0005-0000-0000-0000A38F0000}"/>
    <cellStyle name="Normal 4 2 2 4 3 2 4 2 4" xfId="18810" xr:uid="{00000000-0005-0000-0000-0000A48F0000}"/>
    <cellStyle name="Normal 4 2 2 4 3 2 4 2 4 2" xfId="50681" xr:uid="{00000000-0005-0000-0000-0000A58F0000}"/>
    <cellStyle name="Normal 4 2 2 4 3 2 4 2 5" xfId="41333" xr:uid="{00000000-0005-0000-0000-0000A68F0000}"/>
    <cellStyle name="Normal 4 2 2 4 3 2 4 3" xfId="9458" xr:uid="{00000000-0005-0000-0000-0000A78F0000}"/>
    <cellStyle name="Normal 4 2 2 4 3 2 4 3 2" xfId="9459" xr:uid="{00000000-0005-0000-0000-0000A88F0000}"/>
    <cellStyle name="Normal 4 2 2 4 3 2 4 3 2 2" xfId="30626" xr:uid="{00000000-0005-0000-0000-0000A98F0000}"/>
    <cellStyle name="Normal 4 2 2 4 3 2 4 3 2 2 2" xfId="62497" xr:uid="{00000000-0005-0000-0000-0000AA8F0000}"/>
    <cellStyle name="Normal 4 2 2 4 3 2 4 3 2 3" xfId="41338" xr:uid="{00000000-0005-0000-0000-0000AB8F0000}"/>
    <cellStyle name="Normal 4 2 2 4 3 2 4 3 3" xfId="22748" xr:uid="{00000000-0005-0000-0000-0000AC8F0000}"/>
    <cellStyle name="Normal 4 2 2 4 3 2 4 3 3 2" xfId="54619" xr:uid="{00000000-0005-0000-0000-0000AD8F0000}"/>
    <cellStyle name="Normal 4 2 2 4 3 2 4 3 4" xfId="41337" xr:uid="{00000000-0005-0000-0000-0000AE8F0000}"/>
    <cellStyle name="Normal 4 2 2 4 3 2 4 4" xfId="9460" xr:uid="{00000000-0005-0000-0000-0000AF8F0000}"/>
    <cellStyle name="Normal 4 2 2 4 3 2 4 4 2" xfId="26687" xr:uid="{00000000-0005-0000-0000-0000B08F0000}"/>
    <cellStyle name="Normal 4 2 2 4 3 2 4 4 2 2" xfId="58558" xr:uid="{00000000-0005-0000-0000-0000B18F0000}"/>
    <cellStyle name="Normal 4 2 2 4 3 2 4 4 3" xfId="41339" xr:uid="{00000000-0005-0000-0000-0000B28F0000}"/>
    <cellStyle name="Normal 4 2 2 4 3 2 4 5" xfId="18809" xr:uid="{00000000-0005-0000-0000-0000B38F0000}"/>
    <cellStyle name="Normal 4 2 2 4 3 2 4 5 2" xfId="50680" xr:uid="{00000000-0005-0000-0000-0000B48F0000}"/>
    <cellStyle name="Normal 4 2 2 4 3 2 4 6" xfId="41332" xr:uid="{00000000-0005-0000-0000-0000B58F0000}"/>
    <cellStyle name="Normal 4 2 2 4 3 2 5" xfId="9461" xr:uid="{00000000-0005-0000-0000-0000B68F0000}"/>
    <cellStyle name="Normal 4 2 2 4 3 2 5 2" xfId="9462" xr:uid="{00000000-0005-0000-0000-0000B78F0000}"/>
    <cellStyle name="Normal 4 2 2 4 3 2 5 2 2" xfId="9463" xr:uid="{00000000-0005-0000-0000-0000B88F0000}"/>
    <cellStyle name="Normal 4 2 2 4 3 2 5 2 2 2" xfId="30628" xr:uid="{00000000-0005-0000-0000-0000B98F0000}"/>
    <cellStyle name="Normal 4 2 2 4 3 2 5 2 2 2 2" xfId="62499" xr:uid="{00000000-0005-0000-0000-0000BA8F0000}"/>
    <cellStyle name="Normal 4 2 2 4 3 2 5 2 2 3" xfId="41342" xr:uid="{00000000-0005-0000-0000-0000BB8F0000}"/>
    <cellStyle name="Normal 4 2 2 4 3 2 5 2 3" xfId="22750" xr:uid="{00000000-0005-0000-0000-0000BC8F0000}"/>
    <cellStyle name="Normal 4 2 2 4 3 2 5 2 3 2" xfId="54621" xr:uid="{00000000-0005-0000-0000-0000BD8F0000}"/>
    <cellStyle name="Normal 4 2 2 4 3 2 5 2 4" xfId="41341" xr:uid="{00000000-0005-0000-0000-0000BE8F0000}"/>
    <cellStyle name="Normal 4 2 2 4 3 2 5 3" xfId="9464" xr:uid="{00000000-0005-0000-0000-0000BF8F0000}"/>
    <cellStyle name="Normal 4 2 2 4 3 2 5 3 2" xfId="26689" xr:uid="{00000000-0005-0000-0000-0000C08F0000}"/>
    <cellStyle name="Normal 4 2 2 4 3 2 5 3 2 2" xfId="58560" xr:uid="{00000000-0005-0000-0000-0000C18F0000}"/>
    <cellStyle name="Normal 4 2 2 4 3 2 5 3 3" xfId="41343" xr:uid="{00000000-0005-0000-0000-0000C28F0000}"/>
    <cellStyle name="Normal 4 2 2 4 3 2 5 4" xfId="18811" xr:uid="{00000000-0005-0000-0000-0000C38F0000}"/>
    <cellStyle name="Normal 4 2 2 4 3 2 5 4 2" xfId="50682" xr:uid="{00000000-0005-0000-0000-0000C48F0000}"/>
    <cellStyle name="Normal 4 2 2 4 3 2 5 5" xfId="41340" xr:uid="{00000000-0005-0000-0000-0000C58F0000}"/>
    <cellStyle name="Normal 4 2 2 4 3 2 6" xfId="9465" xr:uid="{00000000-0005-0000-0000-0000C68F0000}"/>
    <cellStyle name="Normal 4 2 2 4 3 2 6 2" xfId="9466" xr:uid="{00000000-0005-0000-0000-0000C78F0000}"/>
    <cellStyle name="Normal 4 2 2 4 3 2 6 2 2" xfId="28487" xr:uid="{00000000-0005-0000-0000-0000C88F0000}"/>
    <cellStyle name="Normal 4 2 2 4 3 2 6 2 2 2" xfId="60358" xr:uid="{00000000-0005-0000-0000-0000C98F0000}"/>
    <cellStyle name="Normal 4 2 2 4 3 2 6 2 3" xfId="41345" xr:uid="{00000000-0005-0000-0000-0000CA8F0000}"/>
    <cellStyle name="Normal 4 2 2 4 3 2 6 3" xfId="20609" xr:uid="{00000000-0005-0000-0000-0000CB8F0000}"/>
    <cellStyle name="Normal 4 2 2 4 3 2 6 3 2" xfId="52480" xr:uid="{00000000-0005-0000-0000-0000CC8F0000}"/>
    <cellStyle name="Normal 4 2 2 4 3 2 6 4" xfId="41344" xr:uid="{00000000-0005-0000-0000-0000CD8F0000}"/>
    <cellStyle name="Normal 4 2 2 4 3 2 7" xfId="9467" xr:uid="{00000000-0005-0000-0000-0000CE8F0000}"/>
    <cellStyle name="Normal 4 2 2 4 3 2 7 2" xfId="24548" xr:uid="{00000000-0005-0000-0000-0000CF8F0000}"/>
    <cellStyle name="Normal 4 2 2 4 3 2 7 2 2" xfId="56419" xr:uid="{00000000-0005-0000-0000-0000D08F0000}"/>
    <cellStyle name="Normal 4 2 2 4 3 2 7 3" xfId="41346" xr:uid="{00000000-0005-0000-0000-0000D18F0000}"/>
    <cellStyle name="Normal 4 2 2 4 3 2 8" xfId="16670" xr:uid="{00000000-0005-0000-0000-0000D28F0000}"/>
    <cellStyle name="Normal 4 2 2 4 3 2 8 2" xfId="48541" xr:uid="{00000000-0005-0000-0000-0000D38F0000}"/>
    <cellStyle name="Normal 4 2 2 4 3 2 9" xfId="41283" xr:uid="{00000000-0005-0000-0000-0000D48F0000}"/>
    <cellStyle name="Normal 4 2 2 4 3 3" xfId="9468" xr:uid="{00000000-0005-0000-0000-0000D58F0000}"/>
    <cellStyle name="Normal 4 2 2 4 3 3 2" xfId="9469" xr:uid="{00000000-0005-0000-0000-0000D68F0000}"/>
    <cellStyle name="Normal 4 2 2 4 3 3 2 2" xfId="9470" xr:uid="{00000000-0005-0000-0000-0000D78F0000}"/>
    <cellStyle name="Normal 4 2 2 4 3 3 2 2 2" xfId="9471" xr:uid="{00000000-0005-0000-0000-0000D88F0000}"/>
    <cellStyle name="Normal 4 2 2 4 3 3 2 2 2 2" xfId="9472" xr:uid="{00000000-0005-0000-0000-0000D98F0000}"/>
    <cellStyle name="Normal 4 2 2 4 3 3 2 2 2 2 2" xfId="9473" xr:uid="{00000000-0005-0000-0000-0000DA8F0000}"/>
    <cellStyle name="Normal 4 2 2 4 3 3 2 2 2 2 2 2" xfId="30632" xr:uid="{00000000-0005-0000-0000-0000DB8F0000}"/>
    <cellStyle name="Normal 4 2 2 4 3 3 2 2 2 2 2 2 2" xfId="62503" xr:uid="{00000000-0005-0000-0000-0000DC8F0000}"/>
    <cellStyle name="Normal 4 2 2 4 3 3 2 2 2 2 2 3" xfId="41352" xr:uid="{00000000-0005-0000-0000-0000DD8F0000}"/>
    <cellStyle name="Normal 4 2 2 4 3 3 2 2 2 2 3" xfId="22754" xr:uid="{00000000-0005-0000-0000-0000DE8F0000}"/>
    <cellStyle name="Normal 4 2 2 4 3 3 2 2 2 2 3 2" xfId="54625" xr:uid="{00000000-0005-0000-0000-0000DF8F0000}"/>
    <cellStyle name="Normal 4 2 2 4 3 3 2 2 2 2 4" xfId="41351" xr:uid="{00000000-0005-0000-0000-0000E08F0000}"/>
    <cellStyle name="Normal 4 2 2 4 3 3 2 2 2 3" xfId="9474" xr:uid="{00000000-0005-0000-0000-0000E18F0000}"/>
    <cellStyle name="Normal 4 2 2 4 3 3 2 2 2 3 2" xfId="26693" xr:uid="{00000000-0005-0000-0000-0000E28F0000}"/>
    <cellStyle name="Normal 4 2 2 4 3 3 2 2 2 3 2 2" xfId="58564" xr:uid="{00000000-0005-0000-0000-0000E38F0000}"/>
    <cellStyle name="Normal 4 2 2 4 3 3 2 2 2 3 3" xfId="41353" xr:uid="{00000000-0005-0000-0000-0000E48F0000}"/>
    <cellStyle name="Normal 4 2 2 4 3 3 2 2 2 4" xfId="18815" xr:uid="{00000000-0005-0000-0000-0000E58F0000}"/>
    <cellStyle name="Normal 4 2 2 4 3 3 2 2 2 4 2" xfId="50686" xr:uid="{00000000-0005-0000-0000-0000E68F0000}"/>
    <cellStyle name="Normal 4 2 2 4 3 3 2 2 2 5" xfId="41350" xr:uid="{00000000-0005-0000-0000-0000E78F0000}"/>
    <cellStyle name="Normal 4 2 2 4 3 3 2 2 3" xfId="9475" xr:uid="{00000000-0005-0000-0000-0000E88F0000}"/>
    <cellStyle name="Normal 4 2 2 4 3 3 2 2 3 2" xfId="9476" xr:uid="{00000000-0005-0000-0000-0000E98F0000}"/>
    <cellStyle name="Normal 4 2 2 4 3 3 2 2 3 2 2" xfId="30631" xr:uid="{00000000-0005-0000-0000-0000EA8F0000}"/>
    <cellStyle name="Normal 4 2 2 4 3 3 2 2 3 2 2 2" xfId="62502" xr:uid="{00000000-0005-0000-0000-0000EB8F0000}"/>
    <cellStyle name="Normal 4 2 2 4 3 3 2 2 3 2 3" xfId="41355" xr:uid="{00000000-0005-0000-0000-0000EC8F0000}"/>
    <cellStyle name="Normal 4 2 2 4 3 3 2 2 3 3" xfId="22753" xr:uid="{00000000-0005-0000-0000-0000ED8F0000}"/>
    <cellStyle name="Normal 4 2 2 4 3 3 2 2 3 3 2" xfId="54624" xr:uid="{00000000-0005-0000-0000-0000EE8F0000}"/>
    <cellStyle name="Normal 4 2 2 4 3 3 2 2 3 4" xfId="41354" xr:uid="{00000000-0005-0000-0000-0000EF8F0000}"/>
    <cellStyle name="Normal 4 2 2 4 3 3 2 2 4" xfId="9477" xr:uid="{00000000-0005-0000-0000-0000F08F0000}"/>
    <cellStyle name="Normal 4 2 2 4 3 3 2 2 4 2" xfId="26692" xr:uid="{00000000-0005-0000-0000-0000F18F0000}"/>
    <cellStyle name="Normal 4 2 2 4 3 3 2 2 4 2 2" xfId="58563" xr:uid="{00000000-0005-0000-0000-0000F28F0000}"/>
    <cellStyle name="Normal 4 2 2 4 3 3 2 2 4 3" xfId="41356" xr:uid="{00000000-0005-0000-0000-0000F38F0000}"/>
    <cellStyle name="Normal 4 2 2 4 3 3 2 2 5" xfId="18814" xr:uid="{00000000-0005-0000-0000-0000F48F0000}"/>
    <cellStyle name="Normal 4 2 2 4 3 3 2 2 5 2" xfId="50685" xr:uid="{00000000-0005-0000-0000-0000F58F0000}"/>
    <cellStyle name="Normal 4 2 2 4 3 3 2 2 6" xfId="41349" xr:uid="{00000000-0005-0000-0000-0000F68F0000}"/>
    <cellStyle name="Normal 4 2 2 4 3 3 2 3" xfId="9478" xr:uid="{00000000-0005-0000-0000-0000F78F0000}"/>
    <cellStyle name="Normal 4 2 2 4 3 3 2 3 2" xfId="9479" xr:uid="{00000000-0005-0000-0000-0000F88F0000}"/>
    <cellStyle name="Normal 4 2 2 4 3 3 2 3 2 2" xfId="9480" xr:uid="{00000000-0005-0000-0000-0000F98F0000}"/>
    <cellStyle name="Normal 4 2 2 4 3 3 2 3 2 2 2" xfId="30633" xr:uid="{00000000-0005-0000-0000-0000FA8F0000}"/>
    <cellStyle name="Normal 4 2 2 4 3 3 2 3 2 2 2 2" xfId="62504" xr:uid="{00000000-0005-0000-0000-0000FB8F0000}"/>
    <cellStyle name="Normal 4 2 2 4 3 3 2 3 2 2 3" xfId="41359" xr:uid="{00000000-0005-0000-0000-0000FC8F0000}"/>
    <cellStyle name="Normal 4 2 2 4 3 3 2 3 2 3" xfId="22755" xr:uid="{00000000-0005-0000-0000-0000FD8F0000}"/>
    <cellStyle name="Normal 4 2 2 4 3 3 2 3 2 3 2" xfId="54626" xr:uid="{00000000-0005-0000-0000-0000FE8F0000}"/>
    <cellStyle name="Normal 4 2 2 4 3 3 2 3 2 4" xfId="41358" xr:uid="{00000000-0005-0000-0000-0000FF8F0000}"/>
    <cellStyle name="Normal 4 2 2 4 3 3 2 3 3" xfId="9481" xr:uid="{00000000-0005-0000-0000-000000900000}"/>
    <cellStyle name="Normal 4 2 2 4 3 3 2 3 3 2" xfId="26694" xr:uid="{00000000-0005-0000-0000-000001900000}"/>
    <cellStyle name="Normal 4 2 2 4 3 3 2 3 3 2 2" xfId="58565" xr:uid="{00000000-0005-0000-0000-000002900000}"/>
    <cellStyle name="Normal 4 2 2 4 3 3 2 3 3 3" xfId="41360" xr:uid="{00000000-0005-0000-0000-000003900000}"/>
    <cellStyle name="Normal 4 2 2 4 3 3 2 3 4" xfId="18816" xr:uid="{00000000-0005-0000-0000-000004900000}"/>
    <cellStyle name="Normal 4 2 2 4 3 3 2 3 4 2" xfId="50687" xr:uid="{00000000-0005-0000-0000-000005900000}"/>
    <cellStyle name="Normal 4 2 2 4 3 3 2 3 5" xfId="41357" xr:uid="{00000000-0005-0000-0000-000006900000}"/>
    <cellStyle name="Normal 4 2 2 4 3 3 2 4" xfId="9482" xr:uid="{00000000-0005-0000-0000-000007900000}"/>
    <cellStyle name="Normal 4 2 2 4 3 3 2 4 2" xfId="9483" xr:uid="{00000000-0005-0000-0000-000008900000}"/>
    <cellStyle name="Normal 4 2 2 4 3 3 2 4 2 2" xfId="30630" xr:uid="{00000000-0005-0000-0000-000009900000}"/>
    <cellStyle name="Normal 4 2 2 4 3 3 2 4 2 2 2" xfId="62501" xr:uid="{00000000-0005-0000-0000-00000A900000}"/>
    <cellStyle name="Normal 4 2 2 4 3 3 2 4 2 3" xfId="41362" xr:uid="{00000000-0005-0000-0000-00000B900000}"/>
    <cellStyle name="Normal 4 2 2 4 3 3 2 4 3" xfId="22752" xr:uid="{00000000-0005-0000-0000-00000C900000}"/>
    <cellStyle name="Normal 4 2 2 4 3 3 2 4 3 2" xfId="54623" xr:uid="{00000000-0005-0000-0000-00000D900000}"/>
    <cellStyle name="Normal 4 2 2 4 3 3 2 4 4" xfId="41361" xr:uid="{00000000-0005-0000-0000-00000E900000}"/>
    <cellStyle name="Normal 4 2 2 4 3 3 2 5" xfId="9484" xr:uid="{00000000-0005-0000-0000-00000F900000}"/>
    <cellStyle name="Normal 4 2 2 4 3 3 2 5 2" xfId="26691" xr:uid="{00000000-0005-0000-0000-000010900000}"/>
    <cellStyle name="Normal 4 2 2 4 3 3 2 5 2 2" xfId="58562" xr:uid="{00000000-0005-0000-0000-000011900000}"/>
    <cellStyle name="Normal 4 2 2 4 3 3 2 5 3" xfId="41363" xr:uid="{00000000-0005-0000-0000-000012900000}"/>
    <cellStyle name="Normal 4 2 2 4 3 3 2 6" xfId="18813" xr:uid="{00000000-0005-0000-0000-000013900000}"/>
    <cellStyle name="Normal 4 2 2 4 3 3 2 6 2" xfId="50684" xr:uid="{00000000-0005-0000-0000-000014900000}"/>
    <cellStyle name="Normal 4 2 2 4 3 3 2 7" xfId="41348" xr:uid="{00000000-0005-0000-0000-000015900000}"/>
    <cellStyle name="Normal 4 2 2 4 3 3 3" xfId="9485" xr:uid="{00000000-0005-0000-0000-000016900000}"/>
    <cellStyle name="Normal 4 2 2 4 3 3 3 2" xfId="9486" xr:uid="{00000000-0005-0000-0000-000017900000}"/>
    <cellStyle name="Normal 4 2 2 4 3 3 3 2 2" xfId="9487" xr:uid="{00000000-0005-0000-0000-000018900000}"/>
    <cellStyle name="Normal 4 2 2 4 3 3 3 2 2 2" xfId="9488" xr:uid="{00000000-0005-0000-0000-000019900000}"/>
    <cellStyle name="Normal 4 2 2 4 3 3 3 2 2 2 2" xfId="30635" xr:uid="{00000000-0005-0000-0000-00001A900000}"/>
    <cellStyle name="Normal 4 2 2 4 3 3 3 2 2 2 2 2" xfId="62506" xr:uid="{00000000-0005-0000-0000-00001B900000}"/>
    <cellStyle name="Normal 4 2 2 4 3 3 3 2 2 2 3" xfId="41367" xr:uid="{00000000-0005-0000-0000-00001C900000}"/>
    <cellStyle name="Normal 4 2 2 4 3 3 3 2 2 3" xfId="22757" xr:uid="{00000000-0005-0000-0000-00001D900000}"/>
    <cellStyle name="Normal 4 2 2 4 3 3 3 2 2 3 2" xfId="54628" xr:uid="{00000000-0005-0000-0000-00001E900000}"/>
    <cellStyle name="Normal 4 2 2 4 3 3 3 2 2 4" xfId="41366" xr:uid="{00000000-0005-0000-0000-00001F900000}"/>
    <cellStyle name="Normal 4 2 2 4 3 3 3 2 3" xfId="9489" xr:uid="{00000000-0005-0000-0000-000020900000}"/>
    <cellStyle name="Normal 4 2 2 4 3 3 3 2 3 2" xfId="26696" xr:uid="{00000000-0005-0000-0000-000021900000}"/>
    <cellStyle name="Normal 4 2 2 4 3 3 3 2 3 2 2" xfId="58567" xr:uid="{00000000-0005-0000-0000-000022900000}"/>
    <cellStyle name="Normal 4 2 2 4 3 3 3 2 3 3" xfId="41368" xr:uid="{00000000-0005-0000-0000-000023900000}"/>
    <cellStyle name="Normal 4 2 2 4 3 3 3 2 4" xfId="18818" xr:uid="{00000000-0005-0000-0000-000024900000}"/>
    <cellStyle name="Normal 4 2 2 4 3 3 3 2 4 2" xfId="50689" xr:uid="{00000000-0005-0000-0000-000025900000}"/>
    <cellStyle name="Normal 4 2 2 4 3 3 3 2 5" xfId="41365" xr:uid="{00000000-0005-0000-0000-000026900000}"/>
    <cellStyle name="Normal 4 2 2 4 3 3 3 3" xfId="9490" xr:uid="{00000000-0005-0000-0000-000027900000}"/>
    <cellStyle name="Normal 4 2 2 4 3 3 3 3 2" xfId="9491" xr:uid="{00000000-0005-0000-0000-000028900000}"/>
    <cellStyle name="Normal 4 2 2 4 3 3 3 3 2 2" xfId="30634" xr:uid="{00000000-0005-0000-0000-000029900000}"/>
    <cellStyle name="Normal 4 2 2 4 3 3 3 3 2 2 2" xfId="62505" xr:uid="{00000000-0005-0000-0000-00002A900000}"/>
    <cellStyle name="Normal 4 2 2 4 3 3 3 3 2 3" xfId="41370" xr:uid="{00000000-0005-0000-0000-00002B900000}"/>
    <cellStyle name="Normal 4 2 2 4 3 3 3 3 3" xfId="22756" xr:uid="{00000000-0005-0000-0000-00002C900000}"/>
    <cellStyle name="Normal 4 2 2 4 3 3 3 3 3 2" xfId="54627" xr:uid="{00000000-0005-0000-0000-00002D900000}"/>
    <cellStyle name="Normal 4 2 2 4 3 3 3 3 4" xfId="41369" xr:uid="{00000000-0005-0000-0000-00002E900000}"/>
    <cellStyle name="Normal 4 2 2 4 3 3 3 4" xfId="9492" xr:uid="{00000000-0005-0000-0000-00002F900000}"/>
    <cellStyle name="Normal 4 2 2 4 3 3 3 4 2" xfId="26695" xr:uid="{00000000-0005-0000-0000-000030900000}"/>
    <cellStyle name="Normal 4 2 2 4 3 3 3 4 2 2" xfId="58566" xr:uid="{00000000-0005-0000-0000-000031900000}"/>
    <cellStyle name="Normal 4 2 2 4 3 3 3 4 3" xfId="41371" xr:uid="{00000000-0005-0000-0000-000032900000}"/>
    <cellStyle name="Normal 4 2 2 4 3 3 3 5" xfId="18817" xr:uid="{00000000-0005-0000-0000-000033900000}"/>
    <cellStyle name="Normal 4 2 2 4 3 3 3 5 2" xfId="50688" xr:uid="{00000000-0005-0000-0000-000034900000}"/>
    <cellStyle name="Normal 4 2 2 4 3 3 3 6" xfId="41364" xr:uid="{00000000-0005-0000-0000-000035900000}"/>
    <cellStyle name="Normal 4 2 2 4 3 3 4" xfId="9493" xr:uid="{00000000-0005-0000-0000-000036900000}"/>
    <cellStyle name="Normal 4 2 2 4 3 3 4 2" xfId="9494" xr:uid="{00000000-0005-0000-0000-000037900000}"/>
    <cellStyle name="Normal 4 2 2 4 3 3 4 2 2" xfId="9495" xr:uid="{00000000-0005-0000-0000-000038900000}"/>
    <cellStyle name="Normal 4 2 2 4 3 3 4 2 2 2" xfId="30636" xr:uid="{00000000-0005-0000-0000-000039900000}"/>
    <cellStyle name="Normal 4 2 2 4 3 3 4 2 2 2 2" xfId="62507" xr:uid="{00000000-0005-0000-0000-00003A900000}"/>
    <cellStyle name="Normal 4 2 2 4 3 3 4 2 2 3" xfId="41374" xr:uid="{00000000-0005-0000-0000-00003B900000}"/>
    <cellStyle name="Normal 4 2 2 4 3 3 4 2 3" xfId="22758" xr:uid="{00000000-0005-0000-0000-00003C900000}"/>
    <cellStyle name="Normal 4 2 2 4 3 3 4 2 3 2" xfId="54629" xr:uid="{00000000-0005-0000-0000-00003D900000}"/>
    <cellStyle name="Normal 4 2 2 4 3 3 4 2 4" xfId="41373" xr:uid="{00000000-0005-0000-0000-00003E900000}"/>
    <cellStyle name="Normal 4 2 2 4 3 3 4 3" xfId="9496" xr:uid="{00000000-0005-0000-0000-00003F900000}"/>
    <cellStyle name="Normal 4 2 2 4 3 3 4 3 2" xfId="26697" xr:uid="{00000000-0005-0000-0000-000040900000}"/>
    <cellStyle name="Normal 4 2 2 4 3 3 4 3 2 2" xfId="58568" xr:uid="{00000000-0005-0000-0000-000041900000}"/>
    <cellStyle name="Normal 4 2 2 4 3 3 4 3 3" xfId="41375" xr:uid="{00000000-0005-0000-0000-000042900000}"/>
    <cellStyle name="Normal 4 2 2 4 3 3 4 4" xfId="18819" xr:uid="{00000000-0005-0000-0000-000043900000}"/>
    <cellStyle name="Normal 4 2 2 4 3 3 4 4 2" xfId="50690" xr:uid="{00000000-0005-0000-0000-000044900000}"/>
    <cellStyle name="Normal 4 2 2 4 3 3 4 5" xfId="41372" xr:uid="{00000000-0005-0000-0000-000045900000}"/>
    <cellStyle name="Normal 4 2 2 4 3 3 5" xfId="9497" xr:uid="{00000000-0005-0000-0000-000046900000}"/>
    <cellStyle name="Normal 4 2 2 4 3 3 5 2" xfId="9498" xr:uid="{00000000-0005-0000-0000-000047900000}"/>
    <cellStyle name="Normal 4 2 2 4 3 3 5 2 2" xfId="30629" xr:uid="{00000000-0005-0000-0000-000048900000}"/>
    <cellStyle name="Normal 4 2 2 4 3 3 5 2 2 2" xfId="62500" xr:uid="{00000000-0005-0000-0000-000049900000}"/>
    <cellStyle name="Normal 4 2 2 4 3 3 5 2 3" xfId="41377" xr:uid="{00000000-0005-0000-0000-00004A900000}"/>
    <cellStyle name="Normal 4 2 2 4 3 3 5 3" xfId="22751" xr:uid="{00000000-0005-0000-0000-00004B900000}"/>
    <cellStyle name="Normal 4 2 2 4 3 3 5 3 2" xfId="54622" xr:uid="{00000000-0005-0000-0000-00004C900000}"/>
    <cellStyle name="Normal 4 2 2 4 3 3 5 4" xfId="41376" xr:uid="{00000000-0005-0000-0000-00004D900000}"/>
    <cellStyle name="Normal 4 2 2 4 3 3 6" xfId="9499" xr:uid="{00000000-0005-0000-0000-00004E900000}"/>
    <cellStyle name="Normal 4 2 2 4 3 3 6 2" xfId="26690" xr:uid="{00000000-0005-0000-0000-00004F900000}"/>
    <cellStyle name="Normal 4 2 2 4 3 3 6 2 2" xfId="58561" xr:uid="{00000000-0005-0000-0000-000050900000}"/>
    <cellStyle name="Normal 4 2 2 4 3 3 6 3" xfId="41378" xr:uid="{00000000-0005-0000-0000-000051900000}"/>
    <cellStyle name="Normal 4 2 2 4 3 3 7" xfId="18812" xr:uid="{00000000-0005-0000-0000-000052900000}"/>
    <cellStyle name="Normal 4 2 2 4 3 3 7 2" xfId="50683" xr:uid="{00000000-0005-0000-0000-000053900000}"/>
    <cellStyle name="Normal 4 2 2 4 3 3 8" xfId="41347" xr:uid="{00000000-0005-0000-0000-000054900000}"/>
    <cellStyle name="Normal 4 2 2 4 3 4" xfId="9500" xr:uid="{00000000-0005-0000-0000-000055900000}"/>
    <cellStyle name="Normal 4 2 2 4 3 4 2" xfId="9501" xr:uid="{00000000-0005-0000-0000-000056900000}"/>
    <cellStyle name="Normal 4 2 2 4 3 4 2 2" xfId="9502" xr:uid="{00000000-0005-0000-0000-000057900000}"/>
    <cellStyle name="Normal 4 2 2 4 3 4 2 2 2" xfId="9503" xr:uid="{00000000-0005-0000-0000-000058900000}"/>
    <cellStyle name="Normal 4 2 2 4 3 4 2 2 2 2" xfId="9504" xr:uid="{00000000-0005-0000-0000-000059900000}"/>
    <cellStyle name="Normal 4 2 2 4 3 4 2 2 2 2 2" xfId="30639" xr:uid="{00000000-0005-0000-0000-00005A900000}"/>
    <cellStyle name="Normal 4 2 2 4 3 4 2 2 2 2 2 2" xfId="62510" xr:uid="{00000000-0005-0000-0000-00005B900000}"/>
    <cellStyle name="Normal 4 2 2 4 3 4 2 2 2 2 3" xfId="41383" xr:uid="{00000000-0005-0000-0000-00005C900000}"/>
    <cellStyle name="Normal 4 2 2 4 3 4 2 2 2 3" xfId="22761" xr:uid="{00000000-0005-0000-0000-00005D900000}"/>
    <cellStyle name="Normal 4 2 2 4 3 4 2 2 2 3 2" xfId="54632" xr:uid="{00000000-0005-0000-0000-00005E900000}"/>
    <cellStyle name="Normal 4 2 2 4 3 4 2 2 2 4" xfId="41382" xr:uid="{00000000-0005-0000-0000-00005F900000}"/>
    <cellStyle name="Normal 4 2 2 4 3 4 2 2 3" xfId="9505" xr:uid="{00000000-0005-0000-0000-000060900000}"/>
    <cellStyle name="Normal 4 2 2 4 3 4 2 2 3 2" xfId="26700" xr:uid="{00000000-0005-0000-0000-000061900000}"/>
    <cellStyle name="Normal 4 2 2 4 3 4 2 2 3 2 2" xfId="58571" xr:uid="{00000000-0005-0000-0000-000062900000}"/>
    <cellStyle name="Normal 4 2 2 4 3 4 2 2 3 3" xfId="41384" xr:uid="{00000000-0005-0000-0000-000063900000}"/>
    <cellStyle name="Normal 4 2 2 4 3 4 2 2 4" xfId="18822" xr:uid="{00000000-0005-0000-0000-000064900000}"/>
    <cellStyle name="Normal 4 2 2 4 3 4 2 2 4 2" xfId="50693" xr:uid="{00000000-0005-0000-0000-000065900000}"/>
    <cellStyle name="Normal 4 2 2 4 3 4 2 2 5" xfId="41381" xr:uid="{00000000-0005-0000-0000-000066900000}"/>
    <cellStyle name="Normal 4 2 2 4 3 4 2 3" xfId="9506" xr:uid="{00000000-0005-0000-0000-000067900000}"/>
    <cellStyle name="Normal 4 2 2 4 3 4 2 3 2" xfId="9507" xr:uid="{00000000-0005-0000-0000-000068900000}"/>
    <cellStyle name="Normal 4 2 2 4 3 4 2 3 2 2" xfId="30638" xr:uid="{00000000-0005-0000-0000-000069900000}"/>
    <cellStyle name="Normal 4 2 2 4 3 4 2 3 2 2 2" xfId="62509" xr:uid="{00000000-0005-0000-0000-00006A900000}"/>
    <cellStyle name="Normal 4 2 2 4 3 4 2 3 2 3" xfId="41386" xr:uid="{00000000-0005-0000-0000-00006B900000}"/>
    <cellStyle name="Normal 4 2 2 4 3 4 2 3 3" xfId="22760" xr:uid="{00000000-0005-0000-0000-00006C900000}"/>
    <cellStyle name="Normal 4 2 2 4 3 4 2 3 3 2" xfId="54631" xr:uid="{00000000-0005-0000-0000-00006D900000}"/>
    <cellStyle name="Normal 4 2 2 4 3 4 2 3 4" xfId="41385" xr:uid="{00000000-0005-0000-0000-00006E900000}"/>
    <cellStyle name="Normal 4 2 2 4 3 4 2 4" xfId="9508" xr:uid="{00000000-0005-0000-0000-00006F900000}"/>
    <cellStyle name="Normal 4 2 2 4 3 4 2 4 2" xfId="26699" xr:uid="{00000000-0005-0000-0000-000070900000}"/>
    <cellStyle name="Normal 4 2 2 4 3 4 2 4 2 2" xfId="58570" xr:uid="{00000000-0005-0000-0000-000071900000}"/>
    <cellStyle name="Normal 4 2 2 4 3 4 2 4 3" xfId="41387" xr:uid="{00000000-0005-0000-0000-000072900000}"/>
    <cellStyle name="Normal 4 2 2 4 3 4 2 5" xfId="18821" xr:uid="{00000000-0005-0000-0000-000073900000}"/>
    <cellStyle name="Normal 4 2 2 4 3 4 2 5 2" xfId="50692" xr:uid="{00000000-0005-0000-0000-000074900000}"/>
    <cellStyle name="Normal 4 2 2 4 3 4 2 6" xfId="41380" xr:uid="{00000000-0005-0000-0000-000075900000}"/>
    <cellStyle name="Normal 4 2 2 4 3 4 3" xfId="9509" xr:uid="{00000000-0005-0000-0000-000076900000}"/>
    <cellStyle name="Normal 4 2 2 4 3 4 3 2" xfId="9510" xr:uid="{00000000-0005-0000-0000-000077900000}"/>
    <cellStyle name="Normal 4 2 2 4 3 4 3 2 2" xfId="9511" xr:uid="{00000000-0005-0000-0000-000078900000}"/>
    <cellStyle name="Normal 4 2 2 4 3 4 3 2 2 2" xfId="30640" xr:uid="{00000000-0005-0000-0000-000079900000}"/>
    <cellStyle name="Normal 4 2 2 4 3 4 3 2 2 2 2" xfId="62511" xr:uid="{00000000-0005-0000-0000-00007A900000}"/>
    <cellStyle name="Normal 4 2 2 4 3 4 3 2 2 3" xfId="41390" xr:uid="{00000000-0005-0000-0000-00007B900000}"/>
    <cellStyle name="Normal 4 2 2 4 3 4 3 2 3" xfId="22762" xr:uid="{00000000-0005-0000-0000-00007C900000}"/>
    <cellStyle name="Normal 4 2 2 4 3 4 3 2 3 2" xfId="54633" xr:uid="{00000000-0005-0000-0000-00007D900000}"/>
    <cellStyle name="Normal 4 2 2 4 3 4 3 2 4" xfId="41389" xr:uid="{00000000-0005-0000-0000-00007E900000}"/>
    <cellStyle name="Normal 4 2 2 4 3 4 3 3" xfId="9512" xr:uid="{00000000-0005-0000-0000-00007F900000}"/>
    <cellStyle name="Normal 4 2 2 4 3 4 3 3 2" xfId="26701" xr:uid="{00000000-0005-0000-0000-000080900000}"/>
    <cellStyle name="Normal 4 2 2 4 3 4 3 3 2 2" xfId="58572" xr:uid="{00000000-0005-0000-0000-000081900000}"/>
    <cellStyle name="Normal 4 2 2 4 3 4 3 3 3" xfId="41391" xr:uid="{00000000-0005-0000-0000-000082900000}"/>
    <cellStyle name="Normal 4 2 2 4 3 4 3 4" xfId="18823" xr:uid="{00000000-0005-0000-0000-000083900000}"/>
    <cellStyle name="Normal 4 2 2 4 3 4 3 4 2" xfId="50694" xr:uid="{00000000-0005-0000-0000-000084900000}"/>
    <cellStyle name="Normal 4 2 2 4 3 4 3 5" xfId="41388" xr:uid="{00000000-0005-0000-0000-000085900000}"/>
    <cellStyle name="Normal 4 2 2 4 3 4 4" xfId="9513" xr:uid="{00000000-0005-0000-0000-000086900000}"/>
    <cellStyle name="Normal 4 2 2 4 3 4 4 2" xfId="9514" xr:uid="{00000000-0005-0000-0000-000087900000}"/>
    <cellStyle name="Normal 4 2 2 4 3 4 4 2 2" xfId="30637" xr:uid="{00000000-0005-0000-0000-000088900000}"/>
    <cellStyle name="Normal 4 2 2 4 3 4 4 2 2 2" xfId="62508" xr:uid="{00000000-0005-0000-0000-000089900000}"/>
    <cellStyle name="Normal 4 2 2 4 3 4 4 2 3" xfId="41393" xr:uid="{00000000-0005-0000-0000-00008A900000}"/>
    <cellStyle name="Normal 4 2 2 4 3 4 4 3" xfId="22759" xr:uid="{00000000-0005-0000-0000-00008B900000}"/>
    <cellStyle name="Normal 4 2 2 4 3 4 4 3 2" xfId="54630" xr:uid="{00000000-0005-0000-0000-00008C900000}"/>
    <cellStyle name="Normal 4 2 2 4 3 4 4 4" xfId="41392" xr:uid="{00000000-0005-0000-0000-00008D900000}"/>
    <cellStyle name="Normal 4 2 2 4 3 4 5" xfId="9515" xr:uid="{00000000-0005-0000-0000-00008E900000}"/>
    <cellStyle name="Normal 4 2 2 4 3 4 5 2" xfId="26698" xr:uid="{00000000-0005-0000-0000-00008F900000}"/>
    <cellStyle name="Normal 4 2 2 4 3 4 5 2 2" xfId="58569" xr:uid="{00000000-0005-0000-0000-000090900000}"/>
    <cellStyle name="Normal 4 2 2 4 3 4 5 3" xfId="41394" xr:uid="{00000000-0005-0000-0000-000091900000}"/>
    <cellStyle name="Normal 4 2 2 4 3 4 6" xfId="18820" xr:uid="{00000000-0005-0000-0000-000092900000}"/>
    <cellStyle name="Normal 4 2 2 4 3 4 6 2" xfId="50691" xr:uid="{00000000-0005-0000-0000-000093900000}"/>
    <cellStyle name="Normal 4 2 2 4 3 4 7" xfId="41379" xr:uid="{00000000-0005-0000-0000-000094900000}"/>
    <cellStyle name="Normal 4 2 2 4 3 5" xfId="9516" xr:uid="{00000000-0005-0000-0000-000095900000}"/>
    <cellStyle name="Normal 4 2 2 4 3 5 2" xfId="9517" xr:uid="{00000000-0005-0000-0000-000096900000}"/>
    <cellStyle name="Normal 4 2 2 4 3 5 2 2" xfId="9518" xr:uid="{00000000-0005-0000-0000-000097900000}"/>
    <cellStyle name="Normal 4 2 2 4 3 5 2 2 2" xfId="9519" xr:uid="{00000000-0005-0000-0000-000098900000}"/>
    <cellStyle name="Normal 4 2 2 4 3 5 2 2 2 2" xfId="30642" xr:uid="{00000000-0005-0000-0000-000099900000}"/>
    <cellStyle name="Normal 4 2 2 4 3 5 2 2 2 2 2" xfId="62513" xr:uid="{00000000-0005-0000-0000-00009A900000}"/>
    <cellStyle name="Normal 4 2 2 4 3 5 2 2 2 3" xfId="41398" xr:uid="{00000000-0005-0000-0000-00009B900000}"/>
    <cellStyle name="Normal 4 2 2 4 3 5 2 2 3" xfId="22764" xr:uid="{00000000-0005-0000-0000-00009C900000}"/>
    <cellStyle name="Normal 4 2 2 4 3 5 2 2 3 2" xfId="54635" xr:uid="{00000000-0005-0000-0000-00009D900000}"/>
    <cellStyle name="Normal 4 2 2 4 3 5 2 2 4" xfId="41397" xr:uid="{00000000-0005-0000-0000-00009E900000}"/>
    <cellStyle name="Normal 4 2 2 4 3 5 2 3" xfId="9520" xr:uid="{00000000-0005-0000-0000-00009F900000}"/>
    <cellStyle name="Normal 4 2 2 4 3 5 2 3 2" xfId="26703" xr:uid="{00000000-0005-0000-0000-0000A0900000}"/>
    <cellStyle name="Normal 4 2 2 4 3 5 2 3 2 2" xfId="58574" xr:uid="{00000000-0005-0000-0000-0000A1900000}"/>
    <cellStyle name="Normal 4 2 2 4 3 5 2 3 3" xfId="41399" xr:uid="{00000000-0005-0000-0000-0000A2900000}"/>
    <cellStyle name="Normal 4 2 2 4 3 5 2 4" xfId="18825" xr:uid="{00000000-0005-0000-0000-0000A3900000}"/>
    <cellStyle name="Normal 4 2 2 4 3 5 2 4 2" xfId="50696" xr:uid="{00000000-0005-0000-0000-0000A4900000}"/>
    <cellStyle name="Normal 4 2 2 4 3 5 2 5" xfId="41396" xr:uid="{00000000-0005-0000-0000-0000A5900000}"/>
    <cellStyle name="Normal 4 2 2 4 3 5 3" xfId="9521" xr:uid="{00000000-0005-0000-0000-0000A6900000}"/>
    <cellStyle name="Normal 4 2 2 4 3 5 3 2" xfId="9522" xr:uid="{00000000-0005-0000-0000-0000A7900000}"/>
    <cellStyle name="Normal 4 2 2 4 3 5 3 2 2" xfId="30641" xr:uid="{00000000-0005-0000-0000-0000A8900000}"/>
    <cellStyle name="Normal 4 2 2 4 3 5 3 2 2 2" xfId="62512" xr:uid="{00000000-0005-0000-0000-0000A9900000}"/>
    <cellStyle name="Normal 4 2 2 4 3 5 3 2 3" xfId="41401" xr:uid="{00000000-0005-0000-0000-0000AA900000}"/>
    <cellStyle name="Normal 4 2 2 4 3 5 3 3" xfId="22763" xr:uid="{00000000-0005-0000-0000-0000AB900000}"/>
    <cellStyle name="Normal 4 2 2 4 3 5 3 3 2" xfId="54634" xr:uid="{00000000-0005-0000-0000-0000AC900000}"/>
    <cellStyle name="Normal 4 2 2 4 3 5 3 4" xfId="41400" xr:uid="{00000000-0005-0000-0000-0000AD900000}"/>
    <cellStyle name="Normal 4 2 2 4 3 5 4" xfId="9523" xr:uid="{00000000-0005-0000-0000-0000AE900000}"/>
    <cellStyle name="Normal 4 2 2 4 3 5 4 2" xfId="26702" xr:uid="{00000000-0005-0000-0000-0000AF900000}"/>
    <cellStyle name="Normal 4 2 2 4 3 5 4 2 2" xfId="58573" xr:uid="{00000000-0005-0000-0000-0000B0900000}"/>
    <cellStyle name="Normal 4 2 2 4 3 5 4 3" xfId="41402" xr:uid="{00000000-0005-0000-0000-0000B1900000}"/>
    <cellStyle name="Normal 4 2 2 4 3 5 5" xfId="18824" xr:uid="{00000000-0005-0000-0000-0000B2900000}"/>
    <cellStyle name="Normal 4 2 2 4 3 5 5 2" xfId="50695" xr:uid="{00000000-0005-0000-0000-0000B3900000}"/>
    <cellStyle name="Normal 4 2 2 4 3 5 6" xfId="41395" xr:uid="{00000000-0005-0000-0000-0000B4900000}"/>
    <cellStyle name="Normal 4 2 2 4 3 6" xfId="9524" xr:uid="{00000000-0005-0000-0000-0000B5900000}"/>
    <cellStyle name="Normal 4 2 2 4 3 6 2" xfId="9525" xr:uid="{00000000-0005-0000-0000-0000B6900000}"/>
    <cellStyle name="Normal 4 2 2 4 3 6 2 2" xfId="9526" xr:uid="{00000000-0005-0000-0000-0000B7900000}"/>
    <cellStyle name="Normal 4 2 2 4 3 6 2 2 2" xfId="30643" xr:uid="{00000000-0005-0000-0000-0000B8900000}"/>
    <cellStyle name="Normal 4 2 2 4 3 6 2 2 2 2" xfId="62514" xr:uid="{00000000-0005-0000-0000-0000B9900000}"/>
    <cellStyle name="Normal 4 2 2 4 3 6 2 2 3" xfId="41405" xr:uid="{00000000-0005-0000-0000-0000BA900000}"/>
    <cellStyle name="Normal 4 2 2 4 3 6 2 3" xfId="22765" xr:uid="{00000000-0005-0000-0000-0000BB900000}"/>
    <cellStyle name="Normal 4 2 2 4 3 6 2 3 2" xfId="54636" xr:uid="{00000000-0005-0000-0000-0000BC900000}"/>
    <cellStyle name="Normal 4 2 2 4 3 6 2 4" xfId="41404" xr:uid="{00000000-0005-0000-0000-0000BD900000}"/>
    <cellStyle name="Normal 4 2 2 4 3 6 3" xfId="9527" xr:uid="{00000000-0005-0000-0000-0000BE900000}"/>
    <cellStyle name="Normal 4 2 2 4 3 6 3 2" xfId="26704" xr:uid="{00000000-0005-0000-0000-0000BF900000}"/>
    <cellStyle name="Normal 4 2 2 4 3 6 3 2 2" xfId="58575" xr:uid="{00000000-0005-0000-0000-0000C0900000}"/>
    <cellStyle name="Normal 4 2 2 4 3 6 3 3" xfId="41406" xr:uid="{00000000-0005-0000-0000-0000C1900000}"/>
    <cellStyle name="Normal 4 2 2 4 3 6 4" xfId="18826" xr:uid="{00000000-0005-0000-0000-0000C2900000}"/>
    <cellStyle name="Normal 4 2 2 4 3 6 4 2" xfId="50697" xr:uid="{00000000-0005-0000-0000-0000C3900000}"/>
    <cellStyle name="Normal 4 2 2 4 3 6 5" xfId="41403" xr:uid="{00000000-0005-0000-0000-0000C4900000}"/>
    <cellStyle name="Normal 4 2 2 4 3 7" xfId="9528" xr:uid="{00000000-0005-0000-0000-0000C5900000}"/>
    <cellStyle name="Normal 4 2 2 4 3 7 2" xfId="9529" xr:uid="{00000000-0005-0000-0000-0000C6900000}"/>
    <cellStyle name="Normal 4 2 2 4 3 7 2 2" xfId="28364" xr:uid="{00000000-0005-0000-0000-0000C7900000}"/>
    <cellStyle name="Normal 4 2 2 4 3 7 2 2 2" xfId="60235" xr:uid="{00000000-0005-0000-0000-0000C8900000}"/>
    <cellStyle name="Normal 4 2 2 4 3 7 2 3" xfId="41408" xr:uid="{00000000-0005-0000-0000-0000C9900000}"/>
    <cellStyle name="Normal 4 2 2 4 3 7 3" xfId="20486" xr:uid="{00000000-0005-0000-0000-0000CA900000}"/>
    <cellStyle name="Normal 4 2 2 4 3 7 3 2" xfId="52357" xr:uid="{00000000-0005-0000-0000-0000CB900000}"/>
    <cellStyle name="Normal 4 2 2 4 3 7 4" xfId="41407" xr:uid="{00000000-0005-0000-0000-0000CC900000}"/>
    <cellStyle name="Normal 4 2 2 4 3 8" xfId="9530" xr:uid="{00000000-0005-0000-0000-0000CD900000}"/>
    <cellStyle name="Normal 4 2 2 4 3 8 2" xfId="24425" xr:uid="{00000000-0005-0000-0000-0000CE900000}"/>
    <cellStyle name="Normal 4 2 2 4 3 8 2 2" xfId="56296" xr:uid="{00000000-0005-0000-0000-0000CF900000}"/>
    <cellStyle name="Normal 4 2 2 4 3 8 3" xfId="41409" xr:uid="{00000000-0005-0000-0000-0000D0900000}"/>
    <cellStyle name="Normal 4 2 2 4 3 9" xfId="16547" xr:uid="{00000000-0005-0000-0000-0000D1900000}"/>
    <cellStyle name="Normal 4 2 2 4 3 9 2" xfId="48418" xr:uid="{00000000-0005-0000-0000-0000D2900000}"/>
    <cellStyle name="Normal 4 2 2 4 4" xfId="9531" xr:uid="{00000000-0005-0000-0000-0000D3900000}"/>
    <cellStyle name="Normal 4 2 2 4 4 2" xfId="9532" xr:uid="{00000000-0005-0000-0000-0000D4900000}"/>
    <cellStyle name="Normal 4 2 2 4 4 2 2" xfId="9533" xr:uid="{00000000-0005-0000-0000-0000D5900000}"/>
    <cellStyle name="Normal 4 2 2 4 4 2 2 2" xfId="9534" xr:uid="{00000000-0005-0000-0000-0000D6900000}"/>
    <cellStyle name="Normal 4 2 2 4 4 2 2 2 2" xfId="9535" xr:uid="{00000000-0005-0000-0000-0000D7900000}"/>
    <cellStyle name="Normal 4 2 2 4 4 2 2 2 2 2" xfId="9536" xr:uid="{00000000-0005-0000-0000-0000D8900000}"/>
    <cellStyle name="Normal 4 2 2 4 4 2 2 2 2 2 2" xfId="9537" xr:uid="{00000000-0005-0000-0000-0000D9900000}"/>
    <cellStyle name="Normal 4 2 2 4 4 2 2 2 2 2 2 2" xfId="30647" xr:uid="{00000000-0005-0000-0000-0000DA900000}"/>
    <cellStyle name="Normal 4 2 2 4 4 2 2 2 2 2 2 2 2" xfId="62518" xr:uid="{00000000-0005-0000-0000-0000DB900000}"/>
    <cellStyle name="Normal 4 2 2 4 4 2 2 2 2 2 2 3" xfId="41416" xr:uid="{00000000-0005-0000-0000-0000DC900000}"/>
    <cellStyle name="Normal 4 2 2 4 4 2 2 2 2 2 3" xfId="22769" xr:uid="{00000000-0005-0000-0000-0000DD900000}"/>
    <cellStyle name="Normal 4 2 2 4 4 2 2 2 2 2 3 2" xfId="54640" xr:uid="{00000000-0005-0000-0000-0000DE900000}"/>
    <cellStyle name="Normal 4 2 2 4 4 2 2 2 2 2 4" xfId="41415" xr:uid="{00000000-0005-0000-0000-0000DF900000}"/>
    <cellStyle name="Normal 4 2 2 4 4 2 2 2 2 3" xfId="9538" xr:uid="{00000000-0005-0000-0000-0000E0900000}"/>
    <cellStyle name="Normal 4 2 2 4 4 2 2 2 2 3 2" xfId="26708" xr:uid="{00000000-0005-0000-0000-0000E1900000}"/>
    <cellStyle name="Normal 4 2 2 4 4 2 2 2 2 3 2 2" xfId="58579" xr:uid="{00000000-0005-0000-0000-0000E2900000}"/>
    <cellStyle name="Normal 4 2 2 4 4 2 2 2 2 3 3" xfId="41417" xr:uid="{00000000-0005-0000-0000-0000E3900000}"/>
    <cellStyle name="Normal 4 2 2 4 4 2 2 2 2 4" xfId="18830" xr:uid="{00000000-0005-0000-0000-0000E4900000}"/>
    <cellStyle name="Normal 4 2 2 4 4 2 2 2 2 4 2" xfId="50701" xr:uid="{00000000-0005-0000-0000-0000E5900000}"/>
    <cellStyle name="Normal 4 2 2 4 4 2 2 2 2 5" xfId="41414" xr:uid="{00000000-0005-0000-0000-0000E6900000}"/>
    <cellStyle name="Normal 4 2 2 4 4 2 2 2 3" xfId="9539" xr:uid="{00000000-0005-0000-0000-0000E7900000}"/>
    <cellStyle name="Normal 4 2 2 4 4 2 2 2 3 2" xfId="9540" xr:uid="{00000000-0005-0000-0000-0000E8900000}"/>
    <cellStyle name="Normal 4 2 2 4 4 2 2 2 3 2 2" xfId="30646" xr:uid="{00000000-0005-0000-0000-0000E9900000}"/>
    <cellStyle name="Normal 4 2 2 4 4 2 2 2 3 2 2 2" xfId="62517" xr:uid="{00000000-0005-0000-0000-0000EA900000}"/>
    <cellStyle name="Normal 4 2 2 4 4 2 2 2 3 2 3" xfId="41419" xr:uid="{00000000-0005-0000-0000-0000EB900000}"/>
    <cellStyle name="Normal 4 2 2 4 4 2 2 2 3 3" xfId="22768" xr:uid="{00000000-0005-0000-0000-0000EC900000}"/>
    <cellStyle name="Normal 4 2 2 4 4 2 2 2 3 3 2" xfId="54639" xr:uid="{00000000-0005-0000-0000-0000ED900000}"/>
    <cellStyle name="Normal 4 2 2 4 4 2 2 2 3 4" xfId="41418" xr:uid="{00000000-0005-0000-0000-0000EE900000}"/>
    <cellStyle name="Normal 4 2 2 4 4 2 2 2 4" xfId="9541" xr:uid="{00000000-0005-0000-0000-0000EF900000}"/>
    <cellStyle name="Normal 4 2 2 4 4 2 2 2 4 2" xfId="26707" xr:uid="{00000000-0005-0000-0000-0000F0900000}"/>
    <cellStyle name="Normal 4 2 2 4 4 2 2 2 4 2 2" xfId="58578" xr:uid="{00000000-0005-0000-0000-0000F1900000}"/>
    <cellStyle name="Normal 4 2 2 4 4 2 2 2 4 3" xfId="41420" xr:uid="{00000000-0005-0000-0000-0000F2900000}"/>
    <cellStyle name="Normal 4 2 2 4 4 2 2 2 5" xfId="18829" xr:uid="{00000000-0005-0000-0000-0000F3900000}"/>
    <cellStyle name="Normal 4 2 2 4 4 2 2 2 5 2" xfId="50700" xr:uid="{00000000-0005-0000-0000-0000F4900000}"/>
    <cellStyle name="Normal 4 2 2 4 4 2 2 2 6" xfId="41413" xr:uid="{00000000-0005-0000-0000-0000F5900000}"/>
    <cellStyle name="Normal 4 2 2 4 4 2 2 3" xfId="9542" xr:uid="{00000000-0005-0000-0000-0000F6900000}"/>
    <cellStyle name="Normal 4 2 2 4 4 2 2 3 2" xfId="9543" xr:uid="{00000000-0005-0000-0000-0000F7900000}"/>
    <cellStyle name="Normal 4 2 2 4 4 2 2 3 2 2" xfId="9544" xr:uid="{00000000-0005-0000-0000-0000F8900000}"/>
    <cellStyle name="Normal 4 2 2 4 4 2 2 3 2 2 2" xfId="30648" xr:uid="{00000000-0005-0000-0000-0000F9900000}"/>
    <cellStyle name="Normal 4 2 2 4 4 2 2 3 2 2 2 2" xfId="62519" xr:uid="{00000000-0005-0000-0000-0000FA900000}"/>
    <cellStyle name="Normal 4 2 2 4 4 2 2 3 2 2 3" xfId="41423" xr:uid="{00000000-0005-0000-0000-0000FB900000}"/>
    <cellStyle name="Normal 4 2 2 4 4 2 2 3 2 3" xfId="22770" xr:uid="{00000000-0005-0000-0000-0000FC900000}"/>
    <cellStyle name="Normal 4 2 2 4 4 2 2 3 2 3 2" xfId="54641" xr:uid="{00000000-0005-0000-0000-0000FD900000}"/>
    <cellStyle name="Normal 4 2 2 4 4 2 2 3 2 4" xfId="41422" xr:uid="{00000000-0005-0000-0000-0000FE900000}"/>
    <cellStyle name="Normal 4 2 2 4 4 2 2 3 3" xfId="9545" xr:uid="{00000000-0005-0000-0000-0000FF900000}"/>
    <cellStyle name="Normal 4 2 2 4 4 2 2 3 3 2" xfId="26709" xr:uid="{00000000-0005-0000-0000-000000910000}"/>
    <cellStyle name="Normal 4 2 2 4 4 2 2 3 3 2 2" xfId="58580" xr:uid="{00000000-0005-0000-0000-000001910000}"/>
    <cellStyle name="Normal 4 2 2 4 4 2 2 3 3 3" xfId="41424" xr:uid="{00000000-0005-0000-0000-000002910000}"/>
    <cellStyle name="Normal 4 2 2 4 4 2 2 3 4" xfId="18831" xr:uid="{00000000-0005-0000-0000-000003910000}"/>
    <cellStyle name="Normal 4 2 2 4 4 2 2 3 4 2" xfId="50702" xr:uid="{00000000-0005-0000-0000-000004910000}"/>
    <cellStyle name="Normal 4 2 2 4 4 2 2 3 5" xfId="41421" xr:uid="{00000000-0005-0000-0000-000005910000}"/>
    <cellStyle name="Normal 4 2 2 4 4 2 2 4" xfId="9546" xr:uid="{00000000-0005-0000-0000-000006910000}"/>
    <cellStyle name="Normal 4 2 2 4 4 2 2 4 2" xfId="9547" xr:uid="{00000000-0005-0000-0000-000007910000}"/>
    <cellStyle name="Normal 4 2 2 4 4 2 2 4 2 2" xfId="30645" xr:uid="{00000000-0005-0000-0000-000008910000}"/>
    <cellStyle name="Normal 4 2 2 4 4 2 2 4 2 2 2" xfId="62516" xr:uid="{00000000-0005-0000-0000-000009910000}"/>
    <cellStyle name="Normal 4 2 2 4 4 2 2 4 2 3" xfId="41426" xr:uid="{00000000-0005-0000-0000-00000A910000}"/>
    <cellStyle name="Normal 4 2 2 4 4 2 2 4 3" xfId="22767" xr:uid="{00000000-0005-0000-0000-00000B910000}"/>
    <cellStyle name="Normal 4 2 2 4 4 2 2 4 3 2" xfId="54638" xr:uid="{00000000-0005-0000-0000-00000C910000}"/>
    <cellStyle name="Normal 4 2 2 4 4 2 2 4 4" xfId="41425" xr:uid="{00000000-0005-0000-0000-00000D910000}"/>
    <cellStyle name="Normal 4 2 2 4 4 2 2 5" xfId="9548" xr:uid="{00000000-0005-0000-0000-00000E910000}"/>
    <cellStyle name="Normal 4 2 2 4 4 2 2 5 2" xfId="26706" xr:uid="{00000000-0005-0000-0000-00000F910000}"/>
    <cellStyle name="Normal 4 2 2 4 4 2 2 5 2 2" xfId="58577" xr:uid="{00000000-0005-0000-0000-000010910000}"/>
    <cellStyle name="Normal 4 2 2 4 4 2 2 5 3" xfId="41427" xr:uid="{00000000-0005-0000-0000-000011910000}"/>
    <cellStyle name="Normal 4 2 2 4 4 2 2 6" xfId="18828" xr:uid="{00000000-0005-0000-0000-000012910000}"/>
    <cellStyle name="Normal 4 2 2 4 4 2 2 6 2" xfId="50699" xr:uid="{00000000-0005-0000-0000-000013910000}"/>
    <cellStyle name="Normal 4 2 2 4 4 2 2 7" xfId="41412" xr:uid="{00000000-0005-0000-0000-000014910000}"/>
    <cellStyle name="Normal 4 2 2 4 4 2 3" xfId="9549" xr:uid="{00000000-0005-0000-0000-000015910000}"/>
    <cellStyle name="Normal 4 2 2 4 4 2 3 2" xfId="9550" xr:uid="{00000000-0005-0000-0000-000016910000}"/>
    <cellStyle name="Normal 4 2 2 4 4 2 3 2 2" xfId="9551" xr:uid="{00000000-0005-0000-0000-000017910000}"/>
    <cellStyle name="Normal 4 2 2 4 4 2 3 2 2 2" xfId="9552" xr:uid="{00000000-0005-0000-0000-000018910000}"/>
    <cellStyle name="Normal 4 2 2 4 4 2 3 2 2 2 2" xfId="30650" xr:uid="{00000000-0005-0000-0000-000019910000}"/>
    <cellStyle name="Normal 4 2 2 4 4 2 3 2 2 2 2 2" xfId="62521" xr:uid="{00000000-0005-0000-0000-00001A910000}"/>
    <cellStyle name="Normal 4 2 2 4 4 2 3 2 2 2 3" xfId="41431" xr:uid="{00000000-0005-0000-0000-00001B910000}"/>
    <cellStyle name="Normal 4 2 2 4 4 2 3 2 2 3" xfId="22772" xr:uid="{00000000-0005-0000-0000-00001C910000}"/>
    <cellStyle name="Normal 4 2 2 4 4 2 3 2 2 3 2" xfId="54643" xr:uid="{00000000-0005-0000-0000-00001D910000}"/>
    <cellStyle name="Normal 4 2 2 4 4 2 3 2 2 4" xfId="41430" xr:uid="{00000000-0005-0000-0000-00001E910000}"/>
    <cellStyle name="Normal 4 2 2 4 4 2 3 2 3" xfId="9553" xr:uid="{00000000-0005-0000-0000-00001F910000}"/>
    <cellStyle name="Normal 4 2 2 4 4 2 3 2 3 2" xfId="26711" xr:uid="{00000000-0005-0000-0000-000020910000}"/>
    <cellStyle name="Normal 4 2 2 4 4 2 3 2 3 2 2" xfId="58582" xr:uid="{00000000-0005-0000-0000-000021910000}"/>
    <cellStyle name="Normal 4 2 2 4 4 2 3 2 3 3" xfId="41432" xr:uid="{00000000-0005-0000-0000-000022910000}"/>
    <cellStyle name="Normal 4 2 2 4 4 2 3 2 4" xfId="18833" xr:uid="{00000000-0005-0000-0000-000023910000}"/>
    <cellStyle name="Normal 4 2 2 4 4 2 3 2 4 2" xfId="50704" xr:uid="{00000000-0005-0000-0000-000024910000}"/>
    <cellStyle name="Normal 4 2 2 4 4 2 3 2 5" xfId="41429" xr:uid="{00000000-0005-0000-0000-000025910000}"/>
    <cellStyle name="Normal 4 2 2 4 4 2 3 3" xfId="9554" xr:uid="{00000000-0005-0000-0000-000026910000}"/>
    <cellStyle name="Normal 4 2 2 4 4 2 3 3 2" xfId="9555" xr:uid="{00000000-0005-0000-0000-000027910000}"/>
    <cellStyle name="Normal 4 2 2 4 4 2 3 3 2 2" xfId="30649" xr:uid="{00000000-0005-0000-0000-000028910000}"/>
    <cellStyle name="Normal 4 2 2 4 4 2 3 3 2 2 2" xfId="62520" xr:uid="{00000000-0005-0000-0000-000029910000}"/>
    <cellStyle name="Normal 4 2 2 4 4 2 3 3 2 3" xfId="41434" xr:uid="{00000000-0005-0000-0000-00002A910000}"/>
    <cellStyle name="Normal 4 2 2 4 4 2 3 3 3" xfId="22771" xr:uid="{00000000-0005-0000-0000-00002B910000}"/>
    <cellStyle name="Normal 4 2 2 4 4 2 3 3 3 2" xfId="54642" xr:uid="{00000000-0005-0000-0000-00002C910000}"/>
    <cellStyle name="Normal 4 2 2 4 4 2 3 3 4" xfId="41433" xr:uid="{00000000-0005-0000-0000-00002D910000}"/>
    <cellStyle name="Normal 4 2 2 4 4 2 3 4" xfId="9556" xr:uid="{00000000-0005-0000-0000-00002E910000}"/>
    <cellStyle name="Normal 4 2 2 4 4 2 3 4 2" xfId="26710" xr:uid="{00000000-0005-0000-0000-00002F910000}"/>
    <cellStyle name="Normal 4 2 2 4 4 2 3 4 2 2" xfId="58581" xr:uid="{00000000-0005-0000-0000-000030910000}"/>
    <cellStyle name="Normal 4 2 2 4 4 2 3 4 3" xfId="41435" xr:uid="{00000000-0005-0000-0000-000031910000}"/>
    <cellStyle name="Normal 4 2 2 4 4 2 3 5" xfId="18832" xr:uid="{00000000-0005-0000-0000-000032910000}"/>
    <cellStyle name="Normal 4 2 2 4 4 2 3 5 2" xfId="50703" xr:uid="{00000000-0005-0000-0000-000033910000}"/>
    <cellStyle name="Normal 4 2 2 4 4 2 3 6" xfId="41428" xr:uid="{00000000-0005-0000-0000-000034910000}"/>
    <cellStyle name="Normal 4 2 2 4 4 2 4" xfId="9557" xr:uid="{00000000-0005-0000-0000-000035910000}"/>
    <cellStyle name="Normal 4 2 2 4 4 2 4 2" xfId="9558" xr:uid="{00000000-0005-0000-0000-000036910000}"/>
    <cellStyle name="Normal 4 2 2 4 4 2 4 2 2" xfId="9559" xr:uid="{00000000-0005-0000-0000-000037910000}"/>
    <cellStyle name="Normal 4 2 2 4 4 2 4 2 2 2" xfId="30651" xr:uid="{00000000-0005-0000-0000-000038910000}"/>
    <cellStyle name="Normal 4 2 2 4 4 2 4 2 2 2 2" xfId="62522" xr:uid="{00000000-0005-0000-0000-000039910000}"/>
    <cellStyle name="Normal 4 2 2 4 4 2 4 2 2 3" xfId="41438" xr:uid="{00000000-0005-0000-0000-00003A910000}"/>
    <cellStyle name="Normal 4 2 2 4 4 2 4 2 3" xfId="22773" xr:uid="{00000000-0005-0000-0000-00003B910000}"/>
    <cellStyle name="Normal 4 2 2 4 4 2 4 2 3 2" xfId="54644" xr:uid="{00000000-0005-0000-0000-00003C910000}"/>
    <cellStyle name="Normal 4 2 2 4 4 2 4 2 4" xfId="41437" xr:uid="{00000000-0005-0000-0000-00003D910000}"/>
    <cellStyle name="Normal 4 2 2 4 4 2 4 3" xfId="9560" xr:uid="{00000000-0005-0000-0000-00003E910000}"/>
    <cellStyle name="Normal 4 2 2 4 4 2 4 3 2" xfId="26712" xr:uid="{00000000-0005-0000-0000-00003F910000}"/>
    <cellStyle name="Normal 4 2 2 4 4 2 4 3 2 2" xfId="58583" xr:uid="{00000000-0005-0000-0000-000040910000}"/>
    <cellStyle name="Normal 4 2 2 4 4 2 4 3 3" xfId="41439" xr:uid="{00000000-0005-0000-0000-000041910000}"/>
    <cellStyle name="Normal 4 2 2 4 4 2 4 4" xfId="18834" xr:uid="{00000000-0005-0000-0000-000042910000}"/>
    <cellStyle name="Normal 4 2 2 4 4 2 4 4 2" xfId="50705" xr:uid="{00000000-0005-0000-0000-000043910000}"/>
    <cellStyle name="Normal 4 2 2 4 4 2 4 5" xfId="41436" xr:uid="{00000000-0005-0000-0000-000044910000}"/>
    <cellStyle name="Normal 4 2 2 4 4 2 5" xfId="9561" xr:uid="{00000000-0005-0000-0000-000045910000}"/>
    <cellStyle name="Normal 4 2 2 4 4 2 5 2" xfId="9562" xr:uid="{00000000-0005-0000-0000-000046910000}"/>
    <cellStyle name="Normal 4 2 2 4 4 2 5 2 2" xfId="30644" xr:uid="{00000000-0005-0000-0000-000047910000}"/>
    <cellStyle name="Normal 4 2 2 4 4 2 5 2 2 2" xfId="62515" xr:uid="{00000000-0005-0000-0000-000048910000}"/>
    <cellStyle name="Normal 4 2 2 4 4 2 5 2 3" xfId="41441" xr:uid="{00000000-0005-0000-0000-000049910000}"/>
    <cellStyle name="Normal 4 2 2 4 4 2 5 3" xfId="22766" xr:uid="{00000000-0005-0000-0000-00004A910000}"/>
    <cellStyle name="Normal 4 2 2 4 4 2 5 3 2" xfId="54637" xr:uid="{00000000-0005-0000-0000-00004B910000}"/>
    <cellStyle name="Normal 4 2 2 4 4 2 5 4" xfId="41440" xr:uid="{00000000-0005-0000-0000-00004C910000}"/>
    <cellStyle name="Normal 4 2 2 4 4 2 6" xfId="9563" xr:uid="{00000000-0005-0000-0000-00004D910000}"/>
    <cellStyle name="Normal 4 2 2 4 4 2 6 2" xfId="26705" xr:uid="{00000000-0005-0000-0000-00004E910000}"/>
    <cellStyle name="Normal 4 2 2 4 4 2 6 2 2" xfId="58576" xr:uid="{00000000-0005-0000-0000-00004F910000}"/>
    <cellStyle name="Normal 4 2 2 4 4 2 6 3" xfId="41442" xr:uid="{00000000-0005-0000-0000-000050910000}"/>
    <cellStyle name="Normal 4 2 2 4 4 2 7" xfId="18827" xr:uid="{00000000-0005-0000-0000-000051910000}"/>
    <cellStyle name="Normal 4 2 2 4 4 2 7 2" xfId="50698" xr:uid="{00000000-0005-0000-0000-000052910000}"/>
    <cellStyle name="Normal 4 2 2 4 4 2 8" xfId="41411" xr:uid="{00000000-0005-0000-0000-000053910000}"/>
    <cellStyle name="Normal 4 2 2 4 4 3" xfId="9564" xr:uid="{00000000-0005-0000-0000-000054910000}"/>
    <cellStyle name="Normal 4 2 2 4 4 3 2" xfId="9565" xr:uid="{00000000-0005-0000-0000-000055910000}"/>
    <cellStyle name="Normal 4 2 2 4 4 3 2 2" xfId="9566" xr:uid="{00000000-0005-0000-0000-000056910000}"/>
    <cellStyle name="Normal 4 2 2 4 4 3 2 2 2" xfId="9567" xr:uid="{00000000-0005-0000-0000-000057910000}"/>
    <cellStyle name="Normal 4 2 2 4 4 3 2 2 2 2" xfId="9568" xr:uid="{00000000-0005-0000-0000-000058910000}"/>
    <cellStyle name="Normal 4 2 2 4 4 3 2 2 2 2 2" xfId="30654" xr:uid="{00000000-0005-0000-0000-000059910000}"/>
    <cellStyle name="Normal 4 2 2 4 4 3 2 2 2 2 2 2" xfId="62525" xr:uid="{00000000-0005-0000-0000-00005A910000}"/>
    <cellStyle name="Normal 4 2 2 4 4 3 2 2 2 2 3" xfId="41447" xr:uid="{00000000-0005-0000-0000-00005B910000}"/>
    <cellStyle name="Normal 4 2 2 4 4 3 2 2 2 3" xfId="22776" xr:uid="{00000000-0005-0000-0000-00005C910000}"/>
    <cellStyle name="Normal 4 2 2 4 4 3 2 2 2 3 2" xfId="54647" xr:uid="{00000000-0005-0000-0000-00005D910000}"/>
    <cellStyle name="Normal 4 2 2 4 4 3 2 2 2 4" xfId="41446" xr:uid="{00000000-0005-0000-0000-00005E910000}"/>
    <cellStyle name="Normal 4 2 2 4 4 3 2 2 3" xfId="9569" xr:uid="{00000000-0005-0000-0000-00005F910000}"/>
    <cellStyle name="Normal 4 2 2 4 4 3 2 2 3 2" xfId="26715" xr:uid="{00000000-0005-0000-0000-000060910000}"/>
    <cellStyle name="Normal 4 2 2 4 4 3 2 2 3 2 2" xfId="58586" xr:uid="{00000000-0005-0000-0000-000061910000}"/>
    <cellStyle name="Normal 4 2 2 4 4 3 2 2 3 3" xfId="41448" xr:uid="{00000000-0005-0000-0000-000062910000}"/>
    <cellStyle name="Normal 4 2 2 4 4 3 2 2 4" xfId="18837" xr:uid="{00000000-0005-0000-0000-000063910000}"/>
    <cellStyle name="Normal 4 2 2 4 4 3 2 2 4 2" xfId="50708" xr:uid="{00000000-0005-0000-0000-000064910000}"/>
    <cellStyle name="Normal 4 2 2 4 4 3 2 2 5" xfId="41445" xr:uid="{00000000-0005-0000-0000-000065910000}"/>
    <cellStyle name="Normal 4 2 2 4 4 3 2 3" xfId="9570" xr:uid="{00000000-0005-0000-0000-000066910000}"/>
    <cellStyle name="Normal 4 2 2 4 4 3 2 3 2" xfId="9571" xr:uid="{00000000-0005-0000-0000-000067910000}"/>
    <cellStyle name="Normal 4 2 2 4 4 3 2 3 2 2" xfId="30653" xr:uid="{00000000-0005-0000-0000-000068910000}"/>
    <cellStyle name="Normal 4 2 2 4 4 3 2 3 2 2 2" xfId="62524" xr:uid="{00000000-0005-0000-0000-000069910000}"/>
    <cellStyle name="Normal 4 2 2 4 4 3 2 3 2 3" xfId="41450" xr:uid="{00000000-0005-0000-0000-00006A910000}"/>
    <cellStyle name="Normal 4 2 2 4 4 3 2 3 3" xfId="22775" xr:uid="{00000000-0005-0000-0000-00006B910000}"/>
    <cellStyle name="Normal 4 2 2 4 4 3 2 3 3 2" xfId="54646" xr:uid="{00000000-0005-0000-0000-00006C910000}"/>
    <cellStyle name="Normal 4 2 2 4 4 3 2 3 4" xfId="41449" xr:uid="{00000000-0005-0000-0000-00006D910000}"/>
    <cellStyle name="Normal 4 2 2 4 4 3 2 4" xfId="9572" xr:uid="{00000000-0005-0000-0000-00006E910000}"/>
    <cellStyle name="Normal 4 2 2 4 4 3 2 4 2" xfId="26714" xr:uid="{00000000-0005-0000-0000-00006F910000}"/>
    <cellStyle name="Normal 4 2 2 4 4 3 2 4 2 2" xfId="58585" xr:uid="{00000000-0005-0000-0000-000070910000}"/>
    <cellStyle name="Normal 4 2 2 4 4 3 2 4 3" xfId="41451" xr:uid="{00000000-0005-0000-0000-000071910000}"/>
    <cellStyle name="Normal 4 2 2 4 4 3 2 5" xfId="18836" xr:uid="{00000000-0005-0000-0000-000072910000}"/>
    <cellStyle name="Normal 4 2 2 4 4 3 2 5 2" xfId="50707" xr:uid="{00000000-0005-0000-0000-000073910000}"/>
    <cellStyle name="Normal 4 2 2 4 4 3 2 6" xfId="41444" xr:uid="{00000000-0005-0000-0000-000074910000}"/>
    <cellStyle name="Normal 4 2 2 4 4 3 3" xfId="9573" xr:uid="{00000000-0005-0000-0000-000075910000}"/>
    <cellStyle name="Normal 4 2 2 4 4 3 3 2" xfId="9574" xr:uid="{00000000-0005-0000-0000-000076910000}"/>
    <cellStyle name="Normal 4 2 2 4 4 3 3 2 2" xfId="9575" xr:uid="{00000000-0005-0000-0000-000077910000}"/>
    <cellStyle name="Normal 4 2 2 4 4 3 3 2 2 2" xfId="30655" xr:uid="{00000000-0005-0000-0000-000078910000}"/>
    <cellStyle name="Normal 4 2 2 4 4 3 3 2 2 2 2" xfId="62526" xr:uid="{00000000-0005-0000-0000-000079910000}"/>
    <cellStyle name="Normal 4 2 2 4 4 3 3 2 2 3" xfId="41454" xr:uid="{00000000-0005-0000-0000-00007A910000}"/>
    <cellStyle name="Normal 4 2 2 4 4 3 3 2 3" xfId="22777" xr:uid="{00000000-0005-0000-0000-00007B910000}"/>
    <cellStyle name="Normal 4 2 2 4 4 3 3 2 3 2" xfId="54648" xr:uid="{00000000-0005-0000-0000-00007C910000}"/>
    <cellStyle name="Normal 4 2 2 4 4 3 3 2 4" xfId="41453" xr:uid="{00000000-0005-0000-0000-00007D910000}"/>
    <cellStyle name="Normal 4 2 2 4 4 3 3 3" xfId="9576" xr:uid="{00000000-0005-0000-0000-00007E910000}"/>
    <cellStyle name="Normal 4 2 2 4 4 3 3 3 2" xfId="26716" xr:uid="{00000000-0005-0000-0000-00007F910000}"/>
    <cellStyle name="Normal 4 2 2 4 4 3 3 3 2 2" xfId="58587" xr:uid="{00000000-0005-0000-0000-000080910000}"/>
    <cellStyle name="Normal 4 2 2 4 4 3 3 3 3" xfId="41455" xr:uid="{00000000-0005-0000-0000-000081910000}"/>
    <cellStyle name="Normal 4 2 2 4 4 3 3 4" xfId="18838" xr:uid="{00000000-0005-0000-0000-000082910000}"/>
    <cellStyle name="Normal 4 2 2 4 4 3 3 4 2" xfId="50709" xr:uid="{00000000-0005-0000-0000-000083910000}"/>
    <cellStyle name="Normal 4 2 2 4 4 3 3 5" xfId="41452" xr:uid="{00000000-0005-0000-0000-000084910000}"/>
    <cellStyle name="Normal 4 2 2 4 4 3 4" xfId="9577" xr:uid="{00000000-0005-0000-0000-000085910000}"/>
    <cellStyle name="Normal 4 2 2 4 4 3 4 2" xfId="9578" xr:uid="{00000000-0005-0000-0000-000086910000}"/>
    <cellStyle name="Normal 4 2 2 4 4 3 4 2 2" xfId="30652" xr:uid="{00000000-0005-0000-0000-000087910000}"/>
    <cellStyle name="Normal 4 2 2 4 4 3 4 2 2 2" xfId="62523" xr:uid="{00000000-0005-0000-0000-000088910000}"/>
    <cellStyle name="Normal 4 2 2 4 4 3 4 2 3" xfId="41457" xr:uid="{00000000-0005-0000-0000-000089910000}"/>
    <cellStyle name="Normal 4 2 2 4 4 3 4 3" xfId="22774" xr:uid="{00000000-0005-0000-0000-00008A910000}"/>
    <cellStyle name="Normal 4 2 2 4 4 3 4 3 2" xfId="54645" xr:uid="{00000000-0005-0000-0000-00008B910000}"/>
    <cellStyle name="Normal 4 2 2 4 4 3 4 4" xfId="41456" xr:uid="{00000000-0005-0000-0000-00008C910000}"/>
    <cellStyle name="Normal 4 2 2 4 4 3 5" xfId="9579" xr:uid="{00000000-0005-0000-0000-00008D910000}"/>
    <cellStyle name="Normal 4 2 2 4 4 3 5 2" xfId="26713" xr:uid="{00000000-0005-0000-0000-00008E910000}"/>
    <cellStyle name="Normal 4 2 2 4 4 3 5 2 2" xfId="58584" xr:uid="{00000000-0005-0000-0000-00008F910000}"/>
    <cellStyle name="Normal 4 2 2 4 4 3 5 3" xfId="41458" xr:uid="{00000000-0005-0000-0000-000090910000}"/>
    <cellStyle name="Normal 4 2 2 4 4 3 6" xfId="18835" xr:uid="{00000000-0005-0000-0000-000091910000}"/>
    <cellStyle name="Normal 4 2 2 4 4 3 6 2" xfId="50706" xr:uid="{00000000-0005-0000-0000-000092910000}"/>
    <cellStyle name="Normal 4 2 2 4 4 3 7" xfId="41443" xr:uid="{00000000-0005-0000-0000-000093910000}"/>
    <cellStyle name="Normal 4 2 2 4 4 4" xfId="9580" xr:uid="{00000000-0005-0000-0000-000094910000}"/>
    <cellStyle name="Normal 4 2 2 4 4 4 2" xfId="9581" xr:uid="{00000000-0005-0000-0000-000095910000}"/>
    <cellStyle name="Normal 4 2 2 4 4 4 2 2" xfId="9582" xr:uid="{00000000-0005-0000-0000-000096910000}"/>
    <cellStyle name="Normal 4 2 2 4 4 4 2 2 2" xfId="9583" xr:uid="{00000000-0005-0000-0000-000097910000}"/>
    <cellStyle name="Normal 4 2 2 4 4 4 2 2 2 2" xfId="30657" xr:uid="{00000000-0005-0000-0000-000098910000}"/>
    <cellStyle name="Normal 4 2 2 4 4 4 2 2 2 2 2" xfId="62528" xr:uid="{00000000-0005-0000-0000-000099910000}"/>
    <cellStyle name="Normal 4 2 2 4 4 4 2 2 2 3" xfId="41462" xr:uid="{00000000-0005-0000-0000-00009A910000}"/>
    <cellStyle name="Normal 4 2 2 4 4 4 2 2 3" xfId="22779" xr:uid="{00000000-0005-0000-0000-00009B910000}"/>
    <cellStyle name="Normal 4 2 2 4 4 4 2 2 3 2" xfId="54650" xr:uid="{00000000-0005-0000-0000-00009C910000}"/>
    <cellStyle name="Normal 4 2 2 4 4 4 2 2 4" xfId="41461" xr:uid="{00000000-0005-0000-0000-00009D910000}"/>
    <cellStyle name="Normal 4 2 2 4 4 4 2 3" xfId="9584" xr:uid="{00000000-0005-0000-0000-00009E910000}"/>
    <cellStyle name="Normal 4 2 2 4 4 4 2 3 2" xfId="26718" xr:uid="{00000000-0005-0000-0000-00009F910000}"/>
    <cellStyle name="Normal 4 2 2 4 4 4 2 3 2 2" xfId="58589" xr:uid="{00000000-0005-0000-0000-0000A0910000}"/>
    <cellStyle name="Normal 4 2 2 4 4 4 2 3 3" xfId="41463" xr:uid="{00000000-0005-0000-0000-0000A1910000}"/>
    <cellStyle name="Normal 4 2 2 4 4 4 2 4" xfId="18840" xr:uid="{00000000-0005-0000-0000-0000A2910000}"/>
    <cellStyle name="Normal 4 2 2 4 4 4 2 4 2" xfId="50711" xr:uid="{00000000-0005-0000-0000-0000A3910000}"/>
    <cellStyle name="Normal 4 2 2 4 4 4 2 5" xfId="41460" xr:uid="{00000000-0005-0000-0000-0000A4910000}"/>
    <cellStyle name="Normal 4 2 2 4 4 4 3" xfId="9585" xr:uid="{00000000-0005-0000-0000-0000A5910000}"/>
    <cellStyle name="Normal 4 2 2 4 4 4 3 2" xfId="9586" xr:uid="{00000000-0005-0000-0000-0000A6910000}"/>
    <cellStyle name="Normal 4 2 2 4 4 4 3 2 2" xfId="30656" xr:uid="{00000000-0005-0000-0000-0000A7910000}"/>
    <cellStyle name="Normal 4 2 2 4 4 4 3 2 2 2" xfId="62527" xr:uid="{00000000-0005-0000-0000-0000A8910000}"/>
    <cellStyle name="Normal 4 2 2 4 4 4 3 2 3" xfId="41465" xr:uid="{00000000-0005-0000-0000-0000A9910000}"/>
    <cellStyle name="Normal 4 2 2 4 4 4 3 3" xfId="22778" xr:uid="{00000000-0005-0000-0000-0000AA910000}"/>
    <cellStyle name="Normal 4 2 2 4 4 4 3 3 2" xfId="54649" xr:uid="{00000000-0005-0000-0000-0000AB910000}"/>
    <cellStyle name="Normal 4 2 2 4 4 4 3 4" xfId="41464" xr:uid="{00000000-0005-0000-0000-0000AC910000}"/>
    <cellStyle name="Normal 4 2 2 4 4 4 4" xfId="9587" xr:uid="{00000000-0005-0000-0000-0000AD910000}"/>
    <cellStyle name="Normal 4 2 2 4 4 4 4 2" xfId="26717" xr:uid="{00000000-0005-0000-0000-0000AE910000}"/>
    <cellStyle name="Normal 4 2 2 4 4 4 4 2 2" xfId="58588" xr:uid="{00000000-0005-0000-0000-0000AF910000}"/>
    <cellStyle name="Normal 4 2 2 4 4 4 4 3" xfId="41466" xr:uid="{00000000-0005-0000-0000-0000B0910000}"/>
    <cellStyle name="Normal 4 2 2 4 4 4 5" xfId="18839" xr:uid="{00000000-0005-0000-0000-0000B1910000}"/>
    <cellStyle name="Normal 4 2 2 4 4 4 5 2" xfId="50710" xr:uid="{00000000-0005-0000-0000-0000B2910000}"/>
    <cellStyle name="Normal 4 2 2 4 4 4 6" xfId="41459" xr:uid="{00000000-0005-0000-0000-0000B3910000}"/>
    <cellStyle name="Normal 4 2 2 4 4 5" xfId="9588" xr:uid="{00000000-0005-0000-0000-0000B4910000}"/>
    <cellStyle name="Normal 4 2 2 4 4 5 2" xfId="9589" xr:uid="{00000000-0005-0000-0000-0000B5910000}"/>
    <cellStyle name="Normal 4 2 2 4 4 5 2 2" xfId="9590" xr:uid="{00000000-0005-0000-0000-0000B6910000}"/>
    <cellStyle name="Normal 4 2 2 4 4 5 2 2 2" xfId="30658" xr:uid="{00000000-0005-0000-0000-0000B7910000}"/>
    <cellStyle name="Normal 4 2 2 4 4 5 2 2 2 2" xfId="62529" xr:uid="{00000000-0005-0000-0000-0000B8910000}"/>
    <cellStyle name="Normal 4 2 2 4 4 5 2 2 3" xfId="41469" xr:uid="{00000000-0005-0000-0000-0000B9910000}"/>
    <cellStyle name="Normal 4 2 2 4 4 5 2 3" xfId="22780" xr:uid="{00000000-0005-0000-0000-0000BA910000}"/>
    <cellStyle name="Normal 4 2 2 4 4 5 2 3 2" xfId="54651" xr:uid="{00000000-0005-0000-0000-0000BB910000}"/>
    <cellStyle name="Normal 4 2 2 4 4 5 2 4" xfId="41468" xr:uid="{00000000-0005-0000-0000-0000BC910000}"/>
    <cellStyle name="Normal 4 2 2 4 4 5 3" xfId="9591" xr:uid="{00000000-0005-0000-0000-0000BD910000}"/>
    <cellStyle name="Normal 4 2 2 4 4 5 3 2" xfId="26719" xr:uid="{00000000-0005-0000-0000-0000BE910000}"/>
    <cellStyle name="Normal 4 2 2 4 4 5 3 2 2" xfId="58590" xr:uid="{00000000-0005-0000-0000-0000BF910000}"/>
    <cellStyle name="Normal 4 2 2 4 4 5 3 3" xfId="41470" xr:uid="{00000000-0005-0000-0000-0000C0910000}"/>
    <cellStyle name="Normal 4 2 2 4 4 5 4" xfId="18841" xr:uid="{00000000-0005-0000-0000-0000C1910000}"/>
    <cellStyle name="Normal 4 2 2 4 4 5 4 2" xfId="50712" xr:uid="{00000000-0005-0000-0000-0000C2910000}"/>
    <cellStyle name="Normal 4 2 2 4 4 5 5" xfId="41467" xr:uid="{00000000-0005-0000-0000-0000C3910000}"/>
    <cellStyle name="Normal 4 2 2 4 4 6" xfId="9592" xr:uid="{00000000-0005-0000-0000-0000C4910000}"/>
    <cellStyle name="Normal 4 2 2 4 4 6 2" xfId="9593" xr:uid="{00000000-0005-0000-0000-0000C5910000}"/>
    <cellStyle name="Normal 4 2 2 4 4 6 2 2" xfId="28405" xr:uid="{00000000-0005-0000-0000-0000C6910000}"/>
    <cellStyle name="Normal 4 2 2 4 4 6 2 2 2" xfId="60276" xr:uid="{00000000-0005-0000-0000-0000C7910000}"/>
    <cellStyle name="Normal 4 2 2 4 4 6 2 3" xfId="41472" xr:uid="{00000000-0005-0000-0000-0000C8910000}"/>
    <cellStyle name="Normal 4 2 2 4 4 6 3" xfId="20527" xr:uid="{00000000-0005-0000-0000-0000C9910000}"/>
    <cellStyle name="Normal 4 2 2 4 4 6 3 2" xfId="52398" xr:uid="{00000000-0005-0000-0000-0000CA910000}"/>
    <cellStyle name="Normal 4 2 2 4 4 6 4" xfId="41471" xr:uid="{00000000-0005-0000-0000-0000CB910000}"/>
    <cellStyle name="Normal 4 2 2 4 4 7" xfId="9594" xr:uid="{00000000-0005-0000-0000-0000CC910000}"/>
    <cellStyle name="Normal 4 2 2 4 4 7 2" xfId="24466" xr:uid="{00000000-0005-0000-0000-0000CD910000}"/>
    <cellStyle name="Normal 4 2 2 4 4 7 2 2" xfId="56337" xr:uid="{00000000-0005-0000-0000-0000CE910000}"/>
    <cellStyle name="Normal 4 2 2 4 4 7 3" xfId="41473" xr:uid="{00000000-0005-0000-0000-0000CF910000}"/>
    <cellStyle name="Normal 4 2 2 4 4 8" xfId="16588" xr:uid="{00000000-0005-0000-0000-0000D0910000}"/>
    <cellStyle name="Normal 4 2 2 4 4 8 2" xfId="48459" xr:uid="{00000000-0005-0000-0000-0000D1910000}"/>
    <cellStyle name="Normal 4 2 2 4 4 9" xfId="41410" xr:uid="{00000000-0005-0000-0000-0000D2910000}"/>
    <cellStyle name="Normal 4 2 2 4 5" xfId="9595" xr:uid="{00000000-0005-0000-0000-0000D3910000}"/>
    <cellStyle name="Normal 4 2 2 4 5 2" xfId="9596" xr:uid="{00000000-0005-0000-0000-0000D4910000}"/>
    <cellStyle name="Normal 4 2 2 4 5 2 2" xfId="9597" xr:uid="{00000000-0005-0000-0000-0000D5910000}"/>
    <cellStyle name="Normal 4 2 2 4 5 2 2 2" xfId="9598" xr:uid="{00000000-0005-0000-0000-0000D6910000}"/>
    <cellStyle name="Normal 4 2 2 4 5 2 2 2 2" xfId="9599" xr:uid="{00000000-0005-0000-0000-0000D7910000}"/>
    <cellStyle name="Normal 4 2 2 4 5 2 2 2 2 2" xfId="9600" xr:uid="{00000000-0005-0000-0000-0000D8910000}"/>
    <cellStyle name="Normal 4 2 2 4 5 2 2 2 2 2 2" xfId="30662" xr:uid="{00000000-0005-0000-0000-0000D9910000}"/>
    <cellStyle name="Normal 4 2 2 4 5 2 2 2 2 2 2 2" xfId="62533" xr:uid="{00000000-0005-0000-0000-0000DA910000}"/>
    <cellStyle name="Normal 4 2 2 4 5 2 2 2 2 2 3" xfId="41479" xr:uid="{00000000-0005-0000-0000-0000DB910000}"/>
    <cellStyle name="Normal 4 2 2 4 5 2 2 2 2 3" xfId="22784" xr:uid="{00000000-0005-0000-0000-0000DC910000}"/>
    <cellStyle name="Normal 4 2 2 4 5 2 2 2 2 3 2" xfId="54655" xr:uid="{00000000-0005-0000-0000-0000DD910000}"/>
    <cellStyle name="Normal 4 2 2 4 5 2 2 2 2 4" xfId="41478" xr:uid="{00000000-0005-0000-0000-0000DE910000}"/>
    <cellStyle name="Normal 4 2 2 4 5 2 2 2 3" xfId="9601" xr:uid="{00000000-0005-0000-0000-0000DF910000}"/>
    <cellStyle name="Normal 4 2 2 4 5 2 2 2 3 2" xfId="26723" xr:uid="{00000000-0005-0000-0000-0000E0910000}"/>
    <cellStyle name="Normal 4 2 2 4 5 2 2 2 3 2 2" xfId="58594" xr:uid="{00000000-0005-0000-0000-0000E1910000}"/>
    <cellStyle name="Normal 4 2 2 4 5 2 2 2 3 3" xfId="41480" xr:uid="{00000000-0005-0000-0000-0000E2910000}"/>
    <cellStyle name="Normal 4 2 2 4 5 2 2 2 4" xfId="18845" xr:uid="{00000000-0005-0000-0000-0000E3910000}"/>
    <cellStyle name="Normal 4 2 2 4 5 2 2 2 4 2" xfId="50716" xr:uid="{00000000-0005-0000-0000-0000E4910000}"/>
    <cellStyle name="Normal 4 2 2 4 5 2 2 2 5" xfId="41477" xr:uid="{00000000-0005-0000-0000-0000E5910000}"/>
    <cellStyle name="Normal 4 2 2 4 5 2 2 3" xfId="9602" xr:uid="{00000000-0005-0000-0000-0000E6910000}"/>
    <cellStyle name="Normal 4 2 2 4 5 2 2 3 2" xfId="9603" xr:uid="{00000000-0005-0000-0000-0000E7910000}"/>
    <cellStyle name="Normal 4 2 2 4 5 2 2 3 2 2" xfId="30661" xr:uid="{00000000-0005-0000-0000-0000E8910000}"/>
    <cellStyle name="Normal 4 2 2 4 5 2 2 3 2 2 2" xfId="62532" xr:uid="{00000000-0005-0000-0000-0000E9910000}"/>
    <cellStyle name="Normal 4 2 2 4 5 2 2 3 2 3" xfId="41482" xr:uid="{00000000-0005-0000-0000-0000EA910000}"/>
    <cellStyle name="Normal 4 2 2 4 5 2 2 3 3" xfId="22783" xr:uid="{00000000-0005-0000-0000-0000EB910000}"/>
    <cellStyle name="Normal 4 2 2 4 5 2 2 3 3 2" xfId="54654" xr:uid="{00000000-0005-0000-0000-0000EC910000}"/>
    <cellStyle name="Normal 4 2 2 4 5 2 2 3 4" xfId="41481" xr:uid="{00000000-0005-0000-0000-0000ED910000}"/>
    <cellStyle name="Normal 4 2 2 4 5 2 2 4" xfId="9604" xr:uid="{00000000-0005-0000-0000-0000EE910000}"/>
    <cellStyle name="Normal 4 2 2 4 5 2 2 4 2" xfId="26722" xr:uid="{00000000-0005-0000-0000-0000EF910000}"/>
    <cellStyle name="Normal 4 2 2 4 5 2 2 4 2 2" xfId="58593" xr:uid="{00000000-0005-0000-0000-0000F0910000}"/>
    <cellStyle name="Normal 4 2 2 4 5 2 2 4 3" xfId="41483" xr:uid="{00000000-0005-0000-0000-0000F1910000}"/>
    <cellStyle name="Normal 4 2 2 4 5 2 2 5" xfId="18844" xr:uid="{00000000-0005-0000-0000-0000F2910000}"/>
    <cellStyle name="Normal 4 2 2 4 5 2 2 5 2" xfId="50715" xr:uid="{00000000-0005-0000-0000-0000F3910000}"/>
    <cellStyle name="Normal 4 2 2 4 5 2 2 6" xfId="41476" xr:uid="{00000000-0005-0000-0000-0000F4910000}"/>
    <cellStyle name="Normal 4 2 2 4 5 2 3" xfId="9605" xr:uid="{00000000-0005-0000-0000-0000F5910000}"/>
    <cellStyle name="Normal 4 2 2 4 5 2 3 2" xfId="9606" xr:uid="{00000000-0005-0000-0000-0000F6910000}"/>
    <cellStyle name="Normal 4 2 2 4 5 2 3 2 2" xfId="9607" xr:uid="{00000000-0005-0000-0000-0000F7910000}"/>
    <cellStyle name="Normal 4 2 2 4 5 2 3 2 2 2" xfId="30663" xr:uid="{00000000-0005-0000-0000-0000F8910000}"/>
    <cellStyle name="Normal 4 2 2 4 5 2 3 2 2 2 2" xfId="62534" xr:uid="{00000000-0005-0000-0000-0000F9910000}"/>
    <cellStyle name="Normal 4 2 2 4 5 2 3 2 2 3" xfId="41486" xr:uid="{00000000-0005-0000-0000-0000FA910000}"/>
    <cellStyle name="Normal 4 2 2 4 5 2 3 2 3" xfId="22785" xr:uid="{00000000-0005-0000-0000-0000FB910000}"/>
    <cellStyle name="Normal 4 2 2 4 5 2 3 2 3 2" xfId="54656" xr:uid="{00000000-0005-0000-0000-0000FC910000}"/>
    <cellStyle name="Normal 4 2 2 4 5 2 3 2 4" xfId="41485" xr:uid="{00000000-0005-0000-0000-0000FD910000}"/>
    <cellStyle name="Normal 4 2 2 4 5 2 3 3" xfId="9608" xr:uid="{00000000-0005-0000-0000-0000FE910000}"/>
    <cellStyle name="Normal 4 2 2 4 5 2 3 3 2" xfId="26724" xr:uid="{00000000-0005-0000-0000-0000FF910000}"/>
    <cellStyle name="Normal 4 2 2 4 5 2 3 3 2 2" xfId="58595" xr:uid="{00000000-0005-0000-0000-000000920000}"/>
    <cellStyle name="Normal 4 2 2 4 5 2 3 3 3" xfId="41487" xr:uid="{00000000-0005-0000-0000-000001920000}"/>
    <cellStyle name="Normal 4 2 2 4 5 2 3 4" xfId="18846" xr:uid="{00000000-0005-0000-0000-000002920000}"/>
    <cellStyle name="Normal 4 2 2 4 5 2 3 4 2" xfId="50717" xr:uid="{00000000-0005-0000-0000-000003920000}"/>
    <cellStyle name="Normal 4 2 2 4 5 2 3 5" xfId="41484" xr:uid="{00000000-0005-0000-0000-000004920000}"/>
    <cellStyle name="Normal 4 2 2 4 5 2 4" xfId="9609" xr:uid="{00000000-0005-0000-0000-000005920000}"/>
    <cellStyle name="Normal 4 2 2 4 5 2 4 2" xfId="9610" xr:uid="{00000000-0005-0000-0000-000006920000}"/>
    <cellStyle name="Normal 4 2 2 4 5 2 4 2 2" xfId="30660" xr:uid="{00000000-0005-0000-0000-000007920000}"/>
    <cellStyle name="Normal 4 2 2 4 5 2 4 2 2 2" xfId="62531" xr:uid="{00000000-0005-0000-0000-000008920000}"/>
    <cellStyle name="Normal 4 2 2 4 5 2 4 2 3" xfId="41489" xr:uid="{00000000-0005-0000-0000-000009920000}"/>
    <cellStyle name="Normal 4 2 2 4 5 2 4 3" xfId="22782" xr:uid="{00000000-0005-0000-0000-00000A920000}"/>
    <cellStyle name="Normal 4 2 2 4 5 2 4 3 2" xfId="54653" xr:uid="{00000000-0005-0000-0000-00000B920000}"/>
    <cellStyle name="Normal 4 2 2 4 5 2 4 4" xfId="41488" xr:uid="{00000000-0005-0000-0000-00000C920000}"/>
    <cellStyle name="Normal 4 2 2 4 5 2 5" xfId="9611" xr:uid="{00000000-0005-0000-0000-00000D920000}"/>
    <cellStyle name="Normal 4 2 2 4 5 2 5 2" xfId="26721" xr:uid="{00000000-0005-0000-0000-00000E920000}"/>
    <cellStyle name="Normal 4 2 2 4 5 2 5 2 2" xfId="58592" xr:uid="{00000000-0005-0000-0000-00000F920000}"/>
    <cellStyle name="Normal 4 2 2 4 5 2 5 3" xfId="41490" xr:uid="{00000000-0005-0000-0000-000010920000}"/>
    <cellStyle name="Normal 4 2 2 4 5 2 6" xfId="18843" xr:uid="{00000000-0005-0000-0000-000011920000}"/>
    <cellStyle name="Normal 4 2 2 4 5 2 6 2" xfId="50714" xr:uid="{00000000-0005-0000-0000-000012920000}"/>
    <cellStyle name="Normal 4 2 2 4 5 2 7" xfId="41475" xr:uid="{00000000-0005-0000-0000-000013920000}"/>
    <cellStyle name="Normal 4 2 2 4 5 3" xfId="9612" xr:uid="{00000000-0005-0000-0000-000014920000}"/>
    <cellStyle name="Normal 4 2 2 4 5 3 2" xfId="9613" xr:uid="{00000000-0005-0000-0000-000015920000}"/>
    <cellStyle name="Normal 4 2 2 4 5 3 2 2" xfId="9614" xr:uid="{00000000-0005-0000-0000-000016920000}"/>
    <cellStyle name="Normal 4 2 2 4 5 3 2 2 2" xfId="9615" xr:uid="{00000000-0005-0000-0000-000017920000}"/>
    <cellStyle name="Normal 4 2 2 4 5 3 2 2 2 2" xfId="30665" xr:uid="{00000000-0005-0000-0000-000018920000}"/>
    <cellStyle name="Normal 4 2 2 4 5 3 2 2 2 2 2" xfId="62536" xr:uid="{00000000-0005-0000-0000-000019920000}"/>
    <cellStyle name="Normal 4 2 2 4 5 3 2 2 2 3" xfId="41494" xr:uid="{00000000-0005-0000-0000-00001A920000}"/>
    <cellStyle name="Normal 4 2 2 4 5 3 2 2 3" xfId="22787" xr:uid="{00000000-0005-0000-0000-00001B920000}"/>
    <cellStyle name="Normal 4 2 2 4 5 3 2 2 3 2" xfId="54658" xr:uid="{00000000-0005-0000-0000-00001C920000}"/>
    <cellStyle name="Normal 4 2 2 4 5 3 2 2 4" xfId="41493" xr:uid="{00000000-0005-0000-0000-00001D920000}"/>
    <cellStyle name="Normal 4 2 2 4 5 3 2 3" xfId="9616" xr:uid="{00000000-0005-0000-0000-00001E920000}"/>
    <cellStyle name="Normal 4 2 2 4 5 3 2 3 2" xfId="26726" xr:uid="{00000000-0005-0000-0000-00001F920000}"/>
    <cellStyle name="Normal 4 2 2 4 5 3 2 3 2 2" xfId="58597" xr:uid="{00000000-0005-0000-0000-000020920000}"/>
    <cellStyle name="Normal 4 2 2 4 5 3 2 3 3" xfId="41495" xr:uid="{00000000-0005-0000-0000-000021920000}"/>
    <cellStyle name="Normal 4 2 2 4 5 3 2 4" xfId="18848" xr:uid="{00000000-0005-0000-0000-000022920000}"/>
    <cellStyle name="Normal 4 2 2 4 5 3 2 4 2" xfId="50719" xr:uid="{00000000-0005-0000-0000-000023920000}"/>
    <cellStyle name="Normal 4 2 2 4 5 3 2 5" xfId="41492" xr:uid="{00000000-0005-0000-0000-000024920000}"/>
    <cellStyle name="Normal 4 2 2 4 5 3 3" xfId="9617" xr:uid="{00000000-0005-0000-0000-000025920000}"/>
    <cellStyle name="Normal 4 2 2 4 5 3 3 2" xfId="9618" xr:uid="{00000000-0005-0000-0000-000026920000}"/>
    <cellStyle name="Normal 4 2 2 4 5 3 3 2 2" xfId="30664" xr:uid="{00000000-0005-0000-0000-000027920000}"/>
    <cellStyle name="Normal 4 2 2 4 5 3 3 2 2 2" xfId="62535" xr:uid="{00000000-0005-0000-0000-000028920000}"/>
    <cellStyle name="Normal 4 2 2 4 5 3 3 2 3" xfId="41497" xr:uid="{00000000-0005-0000-0000-000029920000}"/>
    <cellStyle name="Normal 4 2 2 4 5 3 3 3" xfId="22786" xr:uid="{00000000-0005-0000-0000-00002A920000}"/>
    <cellStyle name="Normal 4 2 2 4 5 3 3 3 2" xfId="54657" xr:uid="{00000000-0005-0000-0000-00002B920000}"/>
    <cellStyle name="Normal 4 2 2 4 5 3 3 4" xfId="41496" xr:uid="{00000000-0005-0000-0000-00002C920000}"/>
    <cellStyle name="Normal 4 2 2 4 5 3 4" xfId="9619" xr:uid="{00000000-0005-0000-0000-00002D920000}"/>
    <cellStyle name="Normal 4 2 2 4 5 3 4 2" xfId="26725" xr:uid="{00000000-0005-0000-0000-00002E920000}"/>
    <cellStyle name="Normal 4 2 2 4 5 3 4 2 2" xfId="58596" xr:uid="{00000000-0005-0000-0000-00002F920000}"/>
    <cellStyle name="Normal 4 2 2 4 5 3 4 3" xfId="41498" xr:uid="{00000000-0005-0000-0000-000030920000}"/>
    <cellStyle name="Normal 4 2 2 4 5 3 5" xfId="18847" xr:uid="{00000000-0005-0000-0000-000031920000}"/>
    <cellStyle name="Normal 4 2 2 4 5 3 5 2" xfId="50718" xr:uid="{00000000-0005-0000-0000-000032920000}"/>
    <cellStyle name="Normal 4 2 2 4 5 3 6" xfId="41491" xr:uid="{00000000-0005-0000-0000-000033920000}"/>
    <cellStyle name="Normal 4 2 2 4 5 4" xfId="9620" xr:uid="{00000000-0005-0000-0000-000034920000}"/>
    <cellStyle name="Normal 4 2 2 4 5 4 2" xfId="9621" xr:uid="{00000000-0005-0000-0000-000035920000}"/>
    <cellStyle name="Normal 4 2 2 4 5 4 2 2" xfId="9622" xr:uid="{00000000-0005-0000-0000-000036920000}"/>
    <cellStyle name="Normal 4 2 2 4 5 4 2 2 2" xfId="30666" xr:uid="{00000000-0005-0000-0000-000037920000}"/>
    <cellStyle name="Normal 4 2 2 4 5 4 2 2 2 2" xfId="62537" xr:uid="{00000000-0005-0000-0000-000038920000}"/>
    <cellStyle name="Normal 4 2 2 4 5 4 2 2 3" xfId="41501" xr:uid="{00000000-0005-0000-0000-000039920000}"/>
    <cellStyle name="Normal 4 2 2 4 5 4 2 3" xfId="22788" xr:uid="{00000000-0005-0000-0000-00003A920000}"/>
    <cellStyle name="Normal 4 2 2 4 5 4 2 3 2" xfId="54659" xr:uid="{00000000-0005-0000-0000-00003B920000}"/>
    <cellStyle name="Normal 4 2 2 4 5 4 2 4" xfId="41500" xr:uid="{00000000-0005-0000-0000-00003C920000}"/>
    <cellStyle name="Normal 4 2 2 4 5 4 3" xfId="9623" xr:uid="{00000000-0005-0000-0000-00003D920000}"/>
    <cellStyle name="Normal 4 2 2 4 5 4 3 2" xfId="26727" xr:uid="{00000000-0005-0000-0000-00003E920000}"/>
    <cellStyle name="Normal 4 2 2 4 5 4 3 2 2" xfId="58598" xr:uid="{00000000-0005-0000-0000-00003F920000}"/>
    <cellStyle name="Normal 4 2 2 4 5 4 3 3" xfId="41502" xr:uid="{00000000-0005-0000-0000-000040920000}"/>
    <cellStyle name="Normal 4 2 2 4 5 4 4" xfId="18849" xr:uid="{00000000-0005-0000-0000-000041920000}"/>
    <cellStyle name="Normal 4 2 2 4 5 4 4 2" xfId="50720" xr:uid="{00000000-0005-0000-0000-000042920000}"/>
    <cellStyle name="Normal 4 2 2 4 5 4 5" xfId="41499" xr:uid="{00000000-0005-0000-0000-000043920000}"/>
    <cellStyle name="Normal 4 2 2 4 5 5" xfId="9624" xr:uid="{00000000-0005-0000-0000-000044920000}"/>
    <cellStyle name="Normal 4 2 2 4 5 5 2" xfId="9625" xr:uid="{00000000-0005-0000-0000-000045920000}"/>
    <cellStyle name="Normal 4 2 2 4 5 5 2 2" xfId="30659" xr:uid="{00000000-0005-0000-0000-000046920000}"/>
    <cellStyle name="Normal 4 2 2 4 5 5 2 2 2" xfId="62530" xr:uid="{00000000-0005-0000-0000-000047920000}"/>
    <cellStyle name="Normal 4 2 2 4 5 5 2 3" xfId="41504" xr:uid="{00000000-0005-0000-0000-000048920000}"/>
    <cellStyle name="Normal 4 2 2 4 5 5 3" xfId="22781" xr:uid="{00000000-0005-0000-0000-000049920000}"/>
    <cellStyle name="Normal 4 2 2 4 5 5 3 2" xfId="54652" xr:uid="{00000000-0005-0000-0000-00004A920000}"/>
    <cellStyle name="Normal 4 2 2 4 5 5 4" xfId="41503" xr:uid="{00000000-0005-0000-0000-00004B920000}"/>
    <cellStyle name="Normal 4 2 2 4 5 6" xfId="9626" xr:uid="{00000000-0005-0000-0000-00004C920000}"/>
    <cellStyle name="Normal 4 2 2 4 5 6 2" xfId="26720" xr:uid="{00000000-0005-0000-0000-00004D920000}"/>
    <cellStyle name="Normal 4 2 2 4 5 6 2 2" xfId="58591" xr:uid="{00000000-0005-0000-0000-00004E920000}"/>
    <cellStyle name="Normal 4 2 2 4 5 6 3" xfId="41505" xr:uid="{00000000-0005-0000-0000-00004F920000}"/>
    <cellStyle name="Normal 4 2 2 4 5 7" xfId="18842" xr:uid="{00000000-0005-0000-0000-000050920000}"/>
    <cellStyle name="Normal 4 2 2 4 5 7 2" xfId="50713" xr:uid="{00000000-0005-0000-0000-000051920000}"/>
    <cellStyle name="Normal 4 2 2 4 5 8" xfId="41474" xr:uid="{00000000-0005-0000-0000-000052920000}"/>
    <cellStyle name="Normal 4 2 2 4 6" xfId="9627" xr:uid="{00000000-0005-0000-0000-000053920000}"/>
    <cellStyle name="Normal 4 2 2 4 6 2" xfId="9628" xr:uid="{00000000-0005-0000-0000-000054920000}"/>
    <cellStyle name="Normal 4 2 2 4 6 2 2" xfId="9629" xr:uid="{00000000-0005-0000-0000-000055920000}"/>
    <cellStyle name="Normal 4 2 2 4 6 2 2 2" xfId="9630" xr:uid="{00000000-0005-0000-0000-000056920000}"/>
    <cellStyle name="Normal 4 2 2 4 6 2 2 2 2" xfId="9631" xr:uid="{00000000-0005-0000-0000-000057920000}"/>
    <cellStyle name="Normal 4 2 2 4 6 2 2 2 2 2" xfId="30669" xr:uid="{00000000-0005-0000-0000-000058920000}"/>
    <cellStyle name="Normal 4 2 2 4 6 2 2 2 2 2 2" xfId="62540" xr:uid="{00000000-0005-0000-0000-000059920000}"/>
    <cellStyle name="Normal 4 2 2 4 6 2 2 2 2 3" xfId="41510" xr:uid="{00000000-0005-0000-0000-00005A920000}"/>
    <cellStyle name="Normal 4 2 2 4 6 2 2 2 3" xfId="22791" xr:uid="{00000000-0005-0000-0000-00005B920000}"/>
    <cellStyle name="Normal 4 2 2 4 6 2 2 2 3 2" xfId="54662" xr:uid="{00000000-0005-0000-0000-00005C920000}"/>
    <cellStyle name="Normal 4 2 2 4 6 2 2 2 4" xfId="41509" xr:uid="{00000000-0005-0000-0000-00005D920000}"/>
    <cellStyle name="Normal 4 2 2 4 6 2 2 3" xfId="9632" xr:uid="{00000000-0005-0000-0000-00005E920000}"/>
    <cellStyle name="Normal 4 2 2 4 6 2 2 3 2" xfId="26730" xr:uid="{00000000-0005-0000-0000-00005F920000}"/>
    <cellStyle name="Normal 4 2 2 4 6 2 2 3 2 2" xfId="58601" xr:uid="{00000000-0005-0000-0000-000060920000}"/>
    <cellStyle name="Normal 4 2 2 4 6 2 2 3 3" xfId="41511" xr:uid="{00000000-0005-0000-0000-000061920000}"/>
    <cellStyle name="Normal 4 2 2 4 6 2 2 4" xfId="18852" xr:uid="{00000000-0005-0000-0000-000062920000}"/>
    <cellStyle name="Normal 4 2 2 4 6 2 2 4 2" xfId="50723" xr:uid="{00000000-0005-0000-0000-000063920000}"/>
    <cellStyle name="Normal 4 2 2 4 6 2 2 5" xfId="41508" xr:uid="{00000000-0005-0000-0000-000064920000}"/>
    <cellStyle name="Normal 4 2 2 4 6 2 3" xfId="9633" xr:uid="{00000000-0005-0000-0000-000065920000}"/>
    <cellStyle name="Normal 4 2 2 4 6 2 3 2" xfId="9634" xr:uid="{00000000-0005-0000-0000-000066920000}"/>
    <cellStyle name="Normal 4 2 2 4 6 2 3 2 2" xfId="30668" xr:uid="{00000000-0005-0000-0000-000067920000}"/>
    <cellStyle name="Normal 4 2 2 4 6 2 3 2 2 2" xfId="62539" xr:uid="{00000000-0005-0000-0000-000068920000}"/>
    <cellStyle name="Normal 4 2 2 4 6 2 3 2 3" xfId="41513" xr:uid="{00000000-0005-0000-0000-000069920000}"/>
    <cellStyle name="Normal 4 2 2 4 6 2 3 3" xfId="22790" xr:uid="{00000000-0005-0000-0000-00006A920000}"/>
    <cellStyle name="Normal 4 2 2 4 6 2 3 3 2" xfId="54661" xr:uid="{00000000-0005-0000-0000-00006B920000}"/>
    <cellStyle name="Normal 4 2 2 4 6 2 3 4" xfId="41512" xr:uid="{00000000-0005-0000-0000-00006C920000}"/>
    <cellStyle name="Normal 4 2 2 4 6 2 4" xfId="9635" xr:uid="{00000000-0005-0000-0000-00006D920000}"/>
    <cellStyle name="Normal 4 2 2 4 6 2 4 2" xfId="26729" xr:uid="{00000000-0005-0000-0000-00006E920000}"/>
    <cellStyle name="Normal 4 2 2 4 6 2 4 2 2" xfId="58600" xr:uid="{00000000-0005-0000-0000-00006F920000}"/>
    <cellStyle name="Normal 4 2 2 4 6 2 4 3" xfId="41514" xr:uid="{00000000-0005-0000-0000-000070920000}"/>
    <cellStyle name="Normal 4 2 2 4 6 2 5" xfId="18851" xr:uid="{00000000-0005-0000-0000-000071920000}"/>
    <cellStyle name="Normal 4 2 2 4 6 2 5 2" xfId="50722" xr:uid="{00000000-0005-0000-0000-000072920000}"/>
    <cellStyle name="Normal 4 2 2 4 6 2 6" xfId="41507" xr:uid="{00000000-0005-0000-0000-000073920000}"/>
    <cellStyle name="Normal 4 2 2 4 6 3" xfId="9636" xr:uid="{00000000-0005-0000-0000-000074920000}"/>
    <cellStyle name="Normal 4 2 2 4 6 3 2" xfId="9637" xr:uid="{00000000-0005-0000-0000-000075920000}"/>
    <cellStyle name="Normal 4 2 2 4 6 3 2 2" xfId="9638" xr:uid="{00000000-0005-0000-0000-000076920000}"/>
    <cellStyle name="Normal 4 2 2 4 6 3 2 2 2" xfId="30670" xr:uid="{00000000-0005-0000-0000-000077920000}"/>
    <cellStyle name="Normal 4 2 2 4 6 3 2 2 2 2" xfId="62541" xr:uid="{00000000-0005-0000-0000-000078920000}"/>
    <cellStyle name="Normal 4 2 2 4 6 3 2 2 3" xfId="41517" xr:uid="{00000000-0005-0000-0000-000079920000}"/>
    <cellStyle name="Normal 4 2 2 4 6 3 2 3" xfId="22792" xr:uid="{00000000-0005-0000-0000-00007A920000}"/>
    <cellStyle name="Normal 4 2 2 4 6 3 2 3 2" xfId="54663" xr:uid="{00000000-0005-0000-0000-00007B920000}"/>
    <cellStyle name="Normal 4 2 2 4 6 3 2 4" xfId="41516" xr:uid="{00000000-0005-0000-0000-00007C920000}"/>
    <cellStyle name="Normal 4 2 2 4 6 3 3" xfId="9639" xr:uid="{00000000-0005-0000-0000-00007D920000}"/>
    <cellStyle name="Normal 4 2 2 4 6 3 3 2" xfId="26731" xr:uid="{00000000-0005-0000-0000-00007E920000}"/>
    <cellStyle name="Normal 4 2 2 4 6 3 3 2 2" xfId="58602" xr:uid="{00000000-0005-0000-0000-00007F920000}"/>
    <cellStyle name="Normal 4 2 2 4 6 3 3 3" xfId="41518" xr:uid="{00000000-0005-0000-0000-000080920000}"/>
    <cellStyle name="Normal 4 2 2 4 6 3 4" xfId="18853" xr:uid="{00000000-0005-0000-0000-000081920000}"/>
    <cellStyle name="Normal 4 2 2 4 6 3 4 2" xfId="50724" xr:uid="{00000000-0005-0000-0000-000082920000}"/>
    <cellStyle name="Normal 4 2 2 4 6 3 5" xfId="41515" xr:uid="{00000000-0005-0000-0000-000083920000}"/>
    <cellStyle name="Normal 4 2 2 4 6 4" xfId="9640" xr:uid="{00000000-0005-0000-0000-000084920000}"/>
    <cellStyle name="Normal 4 2 2 4 6 4 2" xfId="9641" xr:uid="{00000000-0005-0000-0000-000085920000}"/>
    <cellStyle name="Normal 4 2 2 4 6 4 2 2" xfId="30667" xr:uid="{00000000-0005-0000-0000-000086920000}"/>
    <cellStyle name="Normal 4 2 2 4 6 4 2 2 2" xfId="62538" xr:uid="{00000000-0005-0000-0000-000087920000}"/>
    <cellStyle name="Normal 4 2 2 4 6 4 2 3" xfId="41520" xr:uid="{00000000-0005-0000-0000-000088920000}"/>
    <cellStyle name="Normal 4 2 2 4 6 4 3" xfId="22789" xr:uid="{00000000-0005-0000-0000-000089920000}"/>
    <cellStyle name="Normal 4 2 2 4 6 4 3 2" xfId="54660" xr:uid="{00000000-0005-0000-0000-00008A920000}"/>
    <cellStyle name="Normal 4 2 2 4 6 4 4" xfId="41519" xr:uid="{00000000-0005-0000-0000-00008B920000}"/>
    <cellStyle name="Normal 4 2 2 4 6 5" xfId="9642" xr:uid="{00000000-0005-0000-0000-00008C920000}"/>
    <cellStyle name="Normal 4 2 2 4 6 5 2" xfId="26728" xr:uid="{00000000-0005-0000-0000-00008D920000}"/>
    <cellStyle name="Normal 4 2 2 4 6 5 2 2" xfId="58599" xr:uid="{00000000-0005-0000-0000-00008E920000}"/>
    <cellStyle name="Normal 4 2 2 4 6 5 3" xfId="41521" xr:uid="{00000000-0005-0000-0000-00008F920000}"/>
    <cellStyle name="Normal 4 2 2 4 6 6" xfId="18850" xr:uid="{00000000-0005-0000-0000-000090920000}"/>
    <cellStyle name="Normal 4 2 2 4 6 6 2" xfId="50721" xr:uid="{00000000-0005-0000-0000-000091920000}"/>
    <cellStyle name="Normal 4 2 2 4 6 7" xfId="41506" xr:uid="{00000000-0005-0000-0000-000092920000}"/>
    <cellStyle name="Normal 4 2 2 4 7" xfId="9643" xr:uid="{00000000-0005-0000-0000-000093920000}"/>
    <cellStyle name="Normal 4 2 2 4 7 2" xfId="9644" xr:uid="{00000000-0005-0000-0000-000094920000}"/>
    <cellStyle name="Normal 4 2 2 4 7 2 2" xfId="9645" xr:uid="{00000000-0005-0000-0000-000095920000}"/>
    <cellStyle name="Normal 4 2 2 4 7 2 2 2" xfId="9646" xr:uid="{00000000-0005-0000-0000-000096920000}"/>
    <cellStyle name="Normal 4 2 2 4 7 2 2 2 2" xfId="30672" xr:uid="{00000000-0005-0000-0000-000097920000}"/>
    <cellStyle name="Normal 4 2 2 4 7 2 2 2 2 2" xfId="62543" xr:uid="{00000000-0005-0000-0000-000098920000}"/>
    <cellStyle name="Normal 4 2 2 4 7 2 2 2 3" xfId="41525" xr:uid="{00000000-0005-0000-0000-000099920000}"/>
    <cellStyle name="Normal 4 2 2 4 7 2 2 3" xfId="22794" xr:uid="{00000000-0005-0000-0000-00009A920000}"/>
    <cellStyle name="Normal 4 2 2 4 7 2 2 3 2" xfId="54665" xr:uid="{00000000-0005-0000-0000-00009B920000}"/>
    <cellStyle name="Normal 4 2 2 4 7 2 2 4" xfId="41524" xr:uid="{00000000-0005-0000-0000-00009C920000}"/>
    <cellStyle name="Normal 4 2 2 4 7 2 3" xfId="9647" xr:uid="{00000000-0005-0000-0000-00009D920000}"/>
    <cellStyle name="Normal 4 2 2 4 7 2 3 2" xfId="26733" xr:uid="{00000000-0005-0000-0000-00009E920000}"/>
    <cellStyle name="Normal 4 2 2 4 7 2 3 2 2" xfId="58604" xr:uid="{00000000-0005-0000-0000-00009F920000}"/>
    <cellStyle name="Normal 4 2 2 4 7 2 3 3" xfId="41526" xr:uid="{00000000-0005-0000-0000-0000A0920000}"/>
    <cellStyle name="Normal 4 2 2 4 7 2 4" xfId="18855" xr:uid="{00000000-0005-0000-0000-0000A1920000}"/>
    <cellStyle name="Normal 4 2 2 4 7 2 4 2" xfId="50726" xr:uid="{00000000-0005-0000-0000-0000A2920000}"/>
    <cellStyle name="Normal 4 2 2 4 7 2 5" xfId="41523" xr:uid="{00000000-0005-0000-0000-0000A3920000}"/>
    <cellStyle name="Normal 4 2 2 4 7 3" xfId="9648" xr:uid="{00000000-0005-0000-0000-0000A4920000}"/>
    <cellStyle name="Normal 4 2 2 4 7 3 2" xfId="9649" xr:uid="{00000000-0005-0000-0000-0000A5920000}"/>
    <cellStyle name="Normal 4 2 2 4 7 3 2 2" xfId="30671" xr:uid="{00000000-0005-0000-0000-0000A6920000}"/>
    <cellStyle name="Normal 4 2 2 4 7 3 2 2 2" xfId="62542" xr:uid="{00000000-0005-0000-0000-0000A7920000}"/>
    <cellStyle name="Normal 4 2 2 4 7 3 2 3" xfId="41528" xr:uid="{00000000-0005-0000-0000-0000A8920000}"/>
    <cellStyle name="Normal 4 2 2 4 7 3 3" xfId="22793" xr:uid="{00000000-0005-0000-0000-0000A9920000}"/>
    <cellStyle name="Normal 4 2 2 4 7 3 3 2" xfId="54664" xr:uid="{00000000-0005-0000-0000-0000AA920000}"/>
    <cellStyle name="Normal 4 2 2 4 7 3 4" xfId="41527" xr:uid="{00000000-0005-0000-0000-0000AB920000}"/>
    <cellStyle name="Normal 4 2 2 4 7 4" xfId="9650" xr:uid="{00000000-0005-0000-0000-0000AC920000}"/>
    <cellStyle name="Normal 4 2 2 4 7 4 2" xfId="26732" xr:uid="{00000000-0005-0000-0000-0000AD920000}"/>
    <cellStyle name="Normal 4 2 2 4 7 4 2 2" xfId="58603" xr:uid="{00000000-0005-0000-0000-0000AE920000}"/>
    <cellStyle name="Normal 4 2 2 4 7 4 3" xfId="41529" xr:uid="{00000000-0005-0000-0000-0000AF920000}"/>
    <cellStyle name="Normal 4 2 2 4 7 5" xfId="18854" xr:uid="{00000000-0005-0000-0000-0000B0920000}"/>
    <cellStyle name="Normal 4 2 2 4 7 5 2" xfId="50725" xr:uid="{00000000-0005-0000-0000-0000B1920000}"/>
    <cellStyle name="Normal 4 2 2 4 7 6" xfId="41522" xr:uid="{00000000-0005-0000-0000-0000B2920000}"/>
    <cellStyle name="Normal 4 2 2 4 8" xfId="9651" xr:uid="{00000000-0005-0000-0000-0000B3920000}"/>
    <cellStyle name="Normal 4 2 2 4 8 2" xfId="9652" xr:uid="{00000000-0005-0000-0000-0000B4920000}"/>
    <cellStyle name="Normal 4 2 2 4 8 2 2" xfId="9653" xr:uid="{00000000-0005-0000-0000-0000B5920000}"/>
    <cellStyle name="Normal 4 2 2 4 8 2 2 2" xfId="30673" xr:uid="{00000000-0005-0000-0000-0000B6920000}"/>
    <cellStyle name="Normal 4 2 2 4 8 2 2 2 2" xfId="62544" xr:uid="{00000000-0005-0000-0000-0000B7920000}"/>
    <cellStyle name="Normal 4 2 2 4 8 2 2 3" xfId="41532" xr:uid="{00000000-0005-0000-0000-0000B8920000}"/>
    <cellStyle name="Normal 4 2 2 4 8 2 3" xfId="22795" xr:uid="{00000000-0005-0000-0000-0000B9920000}"/>
    <cellStyle name="Normal 4 2 2 4 8 2 3 2" xfId="54666" xr:uid="{00000000-0005-0000-0000-0000BA920000}"/>
    <cellStyle name="Normal 4 2 2 4 8 2 4" xfId="41531" xr:uid="{00000000-0005-0000-0000-0000BB920000}"/>
    <cellStyle name="Normal 4 2 2 4 8 3" xfId="9654" xr:uid="{00000000-0005-0000-0000-0000BC920000}"/>
    <cellStyle name="Normal 4 2 2 4 8 3 2" xfId="26734" xr:uid="{00000000-0005-0000-0000-0000BD920000}"/>
    <cellStyle name="Normal 4 2 2 4 8 3 2 2" xfId="58605" xr:uid="{00000000-0005-0000-0000-0000BE920000}"/>
    <cellStyle name="Normal 4 2 2 4 8 3 3" xfId="41533" xr:uid="{00000000-0005-0000-0000-0000BF920000}"/>
    <cellStyle name="Normal 4 2 2 4 8 4" xfId="18856" xr:uid="{00000000-0005-0000-0000-0000C0920000}"/>
    <cellStyle name="Normal 4 2 2 4 8 4 2" xfId="50727" xr:uid="{00000000-0005-0000-0000-0000C1920000}"/>
    <cellStyle name="Normal 4 2 2 4 8 5" xfId="41530" xr:uid="{00000000-0005-0000-0000-0000C2920000}"/>
    <cellStyle name="Normal 4 2 2 4 9" xfId="9655" xr:uid="{00000000-0005-0000-0000-0000C3920000}"/>
    <cellStyle name="Normal 4 2 2 4 9 2" xfId="9656" xr:uid="{00000000-0005-0000-0000-0000C4920000}"/>
    <cellStyle name="Normal 4 2 2 4 9 2 2" xfId="28282" xr:uid="{00000000-0005-0000-0000-0000C5920000}"/>
    <cellStyle name="Normal 4 2 2 4 9 2 2 2" xfId="60153" xr:uid="{00000000-0005-0000-0000-0000C6920000}"/>
    <cellStyle name="Normal 4 2 2 4 9 2 3" xfId="41535" xr:uid="{00000000-0005-0000-0000-0000C7920000}"/>
    <cellStyle name="Normal 4 2 2 4 9 3" xfId="20404" xr:uid="{00000000-0005-0000-0000-0000C8920000}"/>
    <cellStyle name="Normal 4 2 2 4 9 3 2" xfId="52275" xr:uid="{00000000-0005-0000-0000-0000C9920000}"/>
    <cellStyle name="Normal 4 2 2 4 9 4" xfId="41534" xr:uid="{00000000-0005-0000-0000-0000CA920000}"/>
    <cellStyle name="Normal 4 2 2 5" xfId="9657" xr:uid="{00000000-0005-0000-0000-0000CB920000}"/>
    <cellStyle name="Normal 4 2 2 5 10" xfId="41536" xr:uid="{00000000-0005-0000-0000-0000CC920000}"/>
    <cellStyle name="Normal 4 2 2 5 2" xfId="9658" xr:uid="{00000000-0005-0000-0000-0000CD920000}"/>
    <cellStyle name="Normal 4 2 2 5 2 2" xfId="9659" xr:uid="{00000000-0005-0000-0000-0000CE920000}"/>
    <cellStyle name="Normal 4 2 2 5 2 2 2" xfId="9660" xr:uid="{00000000-0005-0000-0000-0000CF920000}"/>
    <cellStyle name="Normal 4 2 2 5 2 2 2 2" xfId="9661" xr:uid="{00000000-0005-0000-0000-0000D0920000}"/>
    <cellStyle name="Normal 4 2 2 5 2 2 2 2 2" xfId="9662" xr:uid="{00000000-0005-0000-0000-0000D1920000}"/>
    <cellStyle name="Normal 4 2 2 5 2 2 2 2 2 2" xfId="9663" xr:uid="{00000000-0005-0000-0000-0000D2920000}"/>
    <cellStyle name="Normal 4 2 2 5 2 2 2 2 2 2 2" xfId="9664" xr:uid="{00000000-0005-0000-0000-0000D3920000}"/>
    <cellStyle name="Normal 4 2 2 5 2 2 2 2 2 2 2 2" xfId="30677" xr:uid="{00000000-0005-0000-0000-0000D4920000}"/>
    <cellStyle name="Normal 4 2 2 5 2 2 2 2 2 2 2 2 2" xfId="62548" xr:uid="{00000000-0005-0000-0000-0000D5920000}"/>
    <cellStyle name="Normal 4 2 2 5 2 2 2 2 2 2 2 3" xfId="41543" xr:uid="{00000000-0005-0000-0000-0000D6920000}"/>
    <cellStyle name="Normal 4 2 2 5 2 2 2 2 2 2 3" xfId="22799" xr:uid="{00000000-0005-0000-0000-0000D7920000}"/>
    <cellStyle name="Normal 4 2 2 5 2 2 2 2 2 2 3 2" xfId="54670" xr:uid="{00000000-0005-0000-0000-0000D8920000}"/>
    <cellStyle name="Normal 4 2 2 5 2 2 2 2 2 2 4" xfId="41542" xr:uid="{00000000-0005-0000-0000-0000D9920000}"/>
    <cellStyle name="Normal 4 2 2 5 2 2 2 2 2 3" xfId="9665" xr:uid="{00000000-0005-0000-0000-0000DA920000}"/>
    <cellStyle name="Normal 4 2 2 5 2 2 2 2 2 3 2" xfId="26738" xr:uid="{00000000-0005-0000-0000-0000DB920000}"/>
    <cellStyle name="Normal 4 2 2 5 2 2 2 2 2 3 2 2" xfId="58609" xr:uid="{00000000-0005-0000-0000-0000DC920000}"/>
    <cellStyle name="Normal 4 2 2 5 2 2 2 2 2 3 3" xfId="41544" xr:uid="{00000000-0005-0000-0000-0000DD920000}"/>
    <cellStyle name="Normal 4 2 2 5 2 2 2 2 2 4" xfId="18860" xr:uid="{00000000-0005-0000-0000-0000DE920000}"/>
    <cellStyle name="Normal 4 2 2 5 2 2 2 2 2 4 2" xfId="50731" xr:uid="{00000000-0005-0000-0000-0000DF920000}"/>
    <cellStyle name="Normal 4 2 2 5 2 2 2 2 2 5" xfId="41541" xr:uid="{00000000-0005-0000-0000-0000E0920000}"/>
    <cellStyle name="Normal 4 2 2 5 2 2 2 2 3" xfId="9666" xr:uid="{00000000-0005-0000-0000-0000E1920000}"/>
    <cellStyle name="Normal 4 2 2 5 2 2 2 2 3 2" xfId="9667" xr:uid="{00000000-0005-0000-0000-0000E2920000}"/>
    <cellStyle name="Normal 4 2 2 5 2 2 2 2 3 2 2" xfId="30676" xr:uid="{00000000-0005-0000-0000-0000E3920000}"/>
    <cellStyle name="Normal 4 2 2 5 2 2 2 2 3 2 2 2" xfId="62547" xr:uid="{00000000-0005-0000-0000-0000E4920000}"/>
    <cellStyle name="Normal 4 2 2 5 2 2 2 2 3 2 3" xfId="41546" xr:uid="{00000000-0005-0000-0000-0000E5920000}"/>
    <cellStyle name="Normal 4 2 2 5 2 2 2 2 3 3" xfId="22798" xr:uid="{00000000-0005-0000-0000-0000E6920000}"/>
    <cellStyle name="Normal 4 2 2 5 2 2 2 2 3 3 2" xfId="54669" xr:uid="{00000000-0005-0000-0000-0000E7920000}"/>
    <cellStyle name="Normal 4 2 2 5 2 2 2 2 3 4" xfId="41545" xr:uid="{00000000-0005-0000-0000-0000E8920000}"/>
    <cellStyle name="Normal 4 2 2 5 2 2 2 2 4" xfId="9668" xr:uid="{00000000-0005-0000-0000-0000E9920000}"/>
    <cellStyle name="Normal 4 2 2 5 2 2 2 2 4 2" xfId="26737" xr:uid="{00000000-0005-0000-0000-0000EA920000}"/>
    <cellStyle name="Normal 4 2 2 5 2 2 2 2 4 2 2" xfId="58608" xr:uid="{00000000-0005-0000-0000-0000EB920000}"/>
    <cellStyle name="Normal 4 2 2 5 2 2 2 2 4 3" xfId="41547" xr:uid="{00000000-0005-0000-0000-0000EC920000}"/>
    <cellStyle name="Normal 4 2 2 5 2 2 2 2 5" xfId="18859" xr:uid="{00000000-0005-0000-0000-0000ED920000}"/>
    <cellStyle name="Normal 4 2 2 5 2 2 2 2 5 2" xfId="50730" xr:uid="{00000000-0005-0000-0000-0000EE920000}"/>
    <cellStyle name="Normal 4 2 2 5 2 2 2 2 6" xfId="41540" xr:uid="{00000000-0005-0000-0000-0000EF920000}"/>
    <cellStyle name="Normal 4 2 2 5 2 2 2 3" xfId="9669" xr:uid="{00000000-0005-0000-0000-0000F0920000}"/>
    <cellStyle name="Normal 4 2 2 5 2 2 2 3 2" xfId="9670" xr:uid="{00000000-0005-0000-0000-0000F1920000}"/>
    <cellStyle name="Normal 4 2 2 5 2 2 2 3 2 2" xfId="9671" xr:uid="{00000000-0005-0000-0000-0000F2920000}"/>
    <cellStyle name="Normal 4 2 2 5 2 2 2 3 2 2 2" xfId="30678" xr:uid="{00000000-0005-0000-0000-0000F3920000}"/>
    <cellStyle name="Normal 4 2 2 5 2 2 2 3 2 2 2 2" xfId="62549" xr:uid="{00000000-0005-0000-0000-0000F4920000}"/>
    <cellStyle name="Normal 4 2 2 5 2 2 2 3 2 2 3" xfId="41550" xr:uid="{00000000-0005-0000-0000-0000F5920000}"/>
    <cellStyle name="Normal 4 2 2 5 2 2 2 3 2 3" xfId="22800" xr:uid="{00000000-0005-0000-0000-0000F6920000}"/>
    <cellStyle name="Normal 4 2 2 5 2 2 2 3 2 3 2" xfId="54671" xr:uid="{00000000-0005-0000-0000-0000F7920000}"/>
    <cellStyle name="Normal 4 2 2 5 2 2 2 3 2 4" xfId="41549" xr:uid="{00000000-0005-0000-0000-0000F8920000}"/>
    <cellStyle name="Normal 4 2 2 5 2 2 2 3 3" xfId="9672" xr:uid="{00000000-0005-0000-0000-0000F9920000}"/>
    <cellStyle name="Normal 4 2 2 5 2 2 2 3 3 2" xfId="26739" xr:uid="{00000000-0005-0000-0000-0000FA920000}"/>
    <cellStyle name="Normal 4 2 2 5 2 2 2 3 3 2 2" xfId="58610" xr:uid="{00000000-0005-0000-0000-0000FB920000}"/>
    <cellStyle name="Normal 4 2 2 5 2 2 2 3 3 3" xfId="41551" xr:uid="{00000000-0005-0000-0000-0000FC920000}"/>
    <cellStyle name="Normal 4 2 2 5 2 2 2 3 4" xfId="18861" xr:uid="{00000000-0005-0000-0000-0000FD920000}"/>
    <cellStyle name="Normal 4 2 2 5 2 2 2 3 4 2" xfId="50732" xr:uid="{00000000-0005-0000-0000-0000FE920000}"/>
    <cellStyle name="Normal 4 2 2 5 2 2 2 3 5" xfId="41548" xr:uid="{00000000-0005-0000-0000-0000FF920000}"/>
    <cellStyle name="Normal 4 2 2 5 2 2 2 4" xfId="9673" xr:uid="{00000000-0005-0000-0000-000000930000}"/>
    <cellStyle name="Normal 4 2 2 5 2 2 2 4 2" xfId="9674" xr:uid="{00000000-0005-0000-0000-000001930000}"/>
    <cellStyle name="Normal 4 2 2 5 2 2 2 4 2 2" xfId="30675" xr:uid="{00000000-0005-0000-0000-000002930000}"/>
    <cellStyle name="Normal 4 2 2 5 2 2 2 4 2 2 2" xfId="62546" xr:uid="{00000000-0005-0000-0000-000003930000}"/>
    <cellStyle name="Normal 4 2 2 5 2 2 2 4 2 3" xfId="41553" xr:uid="{00000000-0005-0000-0000-000004930000}"/>
    <cellStyle name="Normal 4 2 2 5 2 2 2 4 3" xfId="22797" xr:uid="{00000000-0005-0000-0000-000005930000}"/>
    <cellStyle name="Normal 4 2 2 5 2 2 2 4 3 2" xfId="54668" xr:uid="{00000000-0005-0000-0000-000006930000}"/>
    <cellStyle name="Normal 4 2 2 5 2 2 2 4 4" xfId="41552" xr:uid="{00000000-0005-0000-0000-000007930000}"/>
    <cellStyle name="Normal 4 2 2 5 2 2 2 5" xfId="9675" xr:uid="{00000000-0005-0000-0000-000008930000}"/>
    <cellStyle name="Normal 4 2 2 5 2 2 2 5 2" xfId="26736" xr:uid="{00000000-0005-0000-0000-000009930000}"/>
    <cellStyle name="Normal 4 2 2 5 2 2 2 5 2 2" xfId="58607" xr:uid="{00000000-0005-0000-0000-00000A930000}"/>
    <cellStyle name="Normal 4 2 2 5 2 2 2 5 3" xfId="41554" xr:uid="{00000000-0005-0000-0000-00000B930000}"/>
    <cellStyle name="Normal 4 2 2 5 2 2 2 6" xfId="18858" xr:uid="{00000000-0005-0000-0000-00000C930000}"/>
    <cellStyle name="Normal 4 2 2 5 2 2 2 6 2" xfId="50729" xr:uid="{00000000-0005-0000-0000-00000D930000}"/>
    <cellStyle name="Normal 4 2 2 5 2 2 2 7" xfId="41539" xr:uid="{00000000-0005-0000-0000-00000E930000}"/>
    <cellStyle name="Normal 4 2 2 5 2 2 3" xfId="9676" xr:uid="{00000000-0005-0000-0000-00000F930000}"/>
    <cellStyle name="Normal 4 2 2 5 2 2 3 2" xfId="9677" xr:uid="{00000000-0005-0000-0000-000010930000}"/>
    <cellStyle name="Normal 4 2 2 5 2 2 3 2 2" xfId="9678" xr:uid="{00000000-0005-0000-0000-000011930000}"/>
    <cellStyle name="Normal 4 2 2 5 2 2 3 2 2 2" xfId="9679" xr:uid="{00000000-0005-0000-0000-000012930000}"/>
    <cellStyle name="Normal 4 2 2 5 2 2 3 2 2 2 2" xfId="30680" xr:uid="{00000000-0005-0000-0000-000013930000}"/>
    <cellStyle name="Normal 4 2 2 5 2 2 3 2 2 2 2 2" xfId="62551" xr:uid="{00000000-0005-0000-0000-000014930000}"/>
    <cellStyle name="Normal 4 2 2 5 2 2 3 2 2 2 3" xfId="41558" xr:uid="{00000000-0005-0000-0000-000015930000}"/>
    <cellStyle name="Normal 4 2 2 5 2 2 3 2 2 3" xfId="22802" xr:uid="{00000000-0005-0000-0000-000016930000}"/>
    <cellStyle name="Normal 4 2 2 5 2 2 3 2 2 3 2" xfId="54673" xr:uid="{00000000-0005-0000-0000-000017930000}"/>
    <cellStyle name="Normal 4 2 2 5 2 2 3 2 2 4" xfId="41557" xr:uid="{00000000-0005-0000-0000-000018930000}"/>
    <cellStyle name="Normal 4 2 2 5 2 2 3 2 3" xfId="9680" xr:uid="{00000000-0005-0000-0000-000019930000}"/>
    <cellStyle name="Normal 4 2 2 5 2 2 3 2 3 2" xfId="26741" xr:uid="{00000000-0005-0000-0000-00001A930000}"/>
    <cellStyle name="Normal 4 2 2 5 2 2 3 2 3 2 2" xfId="58612" xr:uid="{00000000-0005-0000-0000-00001B930000}"/>
    <cellStyle name="Normal 4 2 2 5 2 2 3 2 3 3" xfId="41559" xr:uid="{00000000-0005-0000-0000-00001C930000}"/>
    <cellStyle name="Normal 4 2 2 5 2 2 3 2 4" xfId="18863" xr:uid="{00000000-0005-0000-0000-00001D930000}"/>
    <cellStyle name="Normal 4 2 2 5 2 2 3 2 4 2" xfId="50734" xr:uid="{00000000-0005-0000-0000-00001E930000}"/>
    <cellStyle name="Normal 4 2 2 5 2 2 3 2 5" xfId="41556" xr:uid="{00000000-0005-0000-0000-00001F930000}"/>
    <cellStyle name="Normal 4 2 2 5 2 2 3 3" xfId="9681" xr:uid="{00000000-0005-0000-0000-000020930000}"/>
    <cellStyle name="Normal 4 2 2 5 2 2 3 3 2" xfId="9682" xr:uid="{00000000-0005-0000-0000-000021930000}"/>
    <cellStyle name="Normal 4 2 2 5 2 2 3 3 2 2" xfId="30679" xr:uid="{00000000-0005-0000-0000-000022930000}"/>
    <cellStyle name="Normal 4 2 2 5 2 2 3 3 2 2 2" xfId="62550" xr:uid="{00000000-0005-0000-0000-000023930000}"/>
    <cellStyle name="Normal 4 2 2 5 2 2 3 3 2 3" xfId="41561" xr:uid="{00000000-0005-0000-0000-000024930000}"/>
    <cellStyle name="Normal 4 2 2 5 2 2 3 3 3" xfId="22801" xr:uid="{00000000-0005-0000-0000-000025930000}"/>
    <cellStyle name="Normal 4 2 2 5 2 2 3 3 3 2" xfId="54672" xr:uid="{00000000-0005-0000-0000-000026930000}"/>
    <cellStyle name="Normal 4 2 2 5 2 2 3 3 4" xfId="41560" xr:uid="{00000000-0005-0000-0000-000027930000}"/>
    <cellStyle name="Normal 4 2 2 5 2 2 3 4" xfId="9683" xr:uid="{00000000-0005-0000-0000-000028930000}"/>
    <cellStyle name="Normal 4 2 2 5 2 2 3 4 2" xfId="26740" xr:uid="{00000000-0005-0000-0000-000029930000}"/>
    <cellStyle name="Normal 4 2 2 5 2 2 3 4 2 2" xfId="58611" xr:uid="{00000000-0005-0000-0000-00002A930000}"/>
    <cellStyle name="Normal 4 2 2 5 2 2 3 4 3" xfId="41562" xr:uid="{00000000-0005-0000-0000-00002B930000}"/>
    <cellStyle name="Normal 4 2 2 5 2 2 3 5" xfId="18862" xr:uid="{00000000-0005-0000-0000-00002C930000}"/>
    <cellStyle name="Normal 4 2 2 5 2 2 3 5 2" xfId="50733" xr:uid="{00000000-0005-0000-0000-00002D930000}"/>
    <cellStyle name="Normal 4 2 2 5 2 2 3 6" xfId="41555" xr:uid="{00000000-0005-0000-0000-00002E930000}"/>
    <cellStyle name="Normal 4 2 2 5 2 2 4" xfId="9684" xr:uid="{00000000-0005-0000-0000-00002F930000}"/>
    <cellStyle name="Normal 4 2 2 5 2 2 4 2" xfId="9685" xr:uid="{00000000-0005-0000-0000-000030930000}"/>
    <cellStyle name="Normal 4 2 2 5 2 2 4 2 2" xfId="9686" xr:uid="{00000000-0005-0000-0000-000031930000}"/>
    <cellStyle name="Normal 4 2 2 5 2 2 4 2 2 2" xfId="30681" xr:uid="{00000000-0005-0000-0000-000032930000}"/>
    <cellStyle name="Normal 4 2 2 5 2 2 4 2 2 2 2" xfId="62552" xr:uid="{00000000-0005-0000-0000-000033930000}"/>
    <cellStyle name="Normal 4 2 2 5 2 2 4 2 2 3" xfId="41565" xr:uid="{00000000-0005-0000-0000-000034930000}"/>
    <cellStyle name="Normal 4 2 2 5 2 2 4 2 3" xfId="22803" xr:uid="{00000000-0005-0000-0000-000035930000}"/>
    <cellStyle name="Normal 4 2 2 5 2 2 4 2 3 2" xfId="54674" xr:uid="{00000000-0005-0000-0000-000036930000}"/>
    <cellStyle name="Normal 4 2 2 5 2 2 4 2 4" xfId="41564" xr:uid="{00000000-0005-0000-0000-000037930000}"/>
    <cellStyle name="Normal 4 2 2 5 2 2 4 3" xfId="9687" xr:uid="{00000000-0005-0000-0000-000038930000}"/>
    <cellStyle name="Normal 4 2 2 5 2 2 4 3 2" xfId="26742" xr:uid="{00000000-0005-0000-0000-000039930000}"/>
    <cellStyle name="Normal 4 2 2 5 2 2 4 3 2 2" xfId="58613" xr:uid="{00000000-0005-0000-0000-00003A930000}"/>
    <cellStyle name="Normal 4 2 2 5 2 2 4 3 3" xfId="41566" xr:uid="{00000000-0005-0000-0000-00003B930000}"/>
    <cellStyle name="Normal 4 2 2 5 2 2 4 4" xfId="18864" xr:uid="{00000000-0005-0000-0000-00003C930000}"/>
    <cellStyle name="Normal 4 2 2 5 2 2 4 4 2" xfId="50735" xr:uid="{00000000-0005-0000-0000-00003D930000}"/>
    <cellStyle name="Normal 4 2 2 5 2 2 4 5" xfId="41563" xr:uid="{00000000-0005-0000-0000-00003E930000}"/>
    <cellStyle name="Normal 4 2 2 5 2 2 5" xfId="9688" xr:uid="{00000000-0005-0000-0000-00003F930000}"/>
    <cellStyle name="Normal 4 2 2 5 2 2 5 2" xfId="9689" xr:uid="{00000000-0005-0000-0000-000040930000}"/>
    <cellStyle name="Normal 4 2 2 5 2 2 5 2 2" xfId="30674" xr:uid="{00000000-0005-0000-0000-000041930000}"/>
    <cellStyle name="Normal 4 2 2 5 2 2 5 2 2 2" xfId="62545" xr:uid="{00000000-0005-0000-0000-000042930000}"/>
    <cellStyle name="Normal 4 2 2 5 2 2 5 2 3" xfId="41568" xr:uid="{00000000-0005-0000-0000-000043930000}"/>
    <cellStyle name="Normal 4 2 2 5 2 2 5 3" xfId="22796" xr:uid="{00000000-0005-0000-0000-000044930000}"/>
    <cellStyle name="Normal 4 2 2 5 2 2 5 3 2" xfId="54667" xr:uid="{00000000-0005-0000-0000-000045930000}"/>
    <cellStyle name="Normal 4 2 2 5 2 2 5 4" xfId="41567" xr:uid="{00000000-0005-0000-0000-000046930000}"/>
    <cellStyle name="Normal 4 2 2 5 2 2 6" xfId="9690" xr:uid="{00000000-0005-0000-0000-000047930000}"/>
    <cellStyle name="Normal 4 2 2 5 2 2 6 2" xfId="26735" xr:uid="{00000000-0005-0000-0000-000048930000}"/>
    <cellStyle name="Normal 4 2 2 5 2 2 6 2 2" xfId="58606" xr:uid="{00000000-0005-0000-0000-000049930000}"/>
    <cellStyle name="Normal 4 2 2 5 2 2 6 3" xfId="41569" xr:uid="{00000000-0005-0000-0000-00004A930000}"/>
    <cellStyle name="Normal 4 2 2 5 2 2 7" xfId="18857" xr:uid="{00000000-0005-0000-0000-00004B930000}"/>
    <cellStyle name="Normal 4 2 2 5 2 2 7 2" xfId="50728" xr:uid="{00000000-0005-0000-0000-00004C930000}"/>
    <cellStyle name="Normal 4 2 2 5 2 2 8" xfId="41538" xr:uid="{00000000-0005-0000-0000-00004D930000}"/>
    <cellStyle name="Normal 4 2 2 5 2 3" xfId="9691" xr:uid="{00000000-0005-0000-0000-00004E930000}"/>
    <cellStyle name="Normal 4 2 2 5 2 3 2" xfId="9692" xr:uid="{00000000-0005-0000-0000-00004F930000}"/>
    <cellStyle name="Normal 4 2 2 5 2 3 2 2" xfId="9693" xr:uid="{00000000-0005-0000-0000-000050930000}"/>
    <cellStyle name="Normal 4 2 2 5 2 3 2 2 2" xfId="9694" xr:uid="{00000000-0005-0000-0000-000051930000}"/>
    <cellStyle name="Normal 4 2 2 5 2 3 2 2 2 2" xfId="9695" xr:uid="{00000000-0005-0000-0000-000052930000}"/>
    <cellStyle name="Normal 4 2 2 5 2 3 2 2 2 2 2" xfId="30684" xr:uid="{00000000-0005-0000-0000-000053930000}"/>
    <cellStyle name="Normal 4 2 2 5 2 3 2 2 2 2 2 2" xfId="62555" xr:uid="{00000000-0005-0000-0000-000054930000}"/>
    <cellStyle name="Normal 4 2 2 5 2 3 2 2 2 2 3" xfId="41574" xr:uid="{00000000-0005-0000-0000-000055930000}"/>
    <cellStyle name="Normal 4 2 2 5 2 3 2 2 2 3" xfId="22806" xr:uid="{00000000-0005-0000-0000-000056930000}"/>
    <cellStyle name="Normal 4 2 2 5 2 3 2 2 2 3 2" xfId="54677" xr:uid="{00000000-0005-0000-0000-000057930000}"/>
    <cellStyle name="Normal 4 2 2 5 2 3 2 2 2 4" xfId="41573" xr:uid="{00000000-0005-0000-0000-000058930000}"/>
    <cellStyle name="Normal 4 2 2 5 2 3 2 2 3" xfId="9696" xr:uid="{00000000-0005-0000-0000-000059930000}"/>
    <cellStyle name="Normal 4 2 2 5 2 3 2 2 3 2" xfId="26745" xr:uid="{00000000-0005-0000-0000-00005A930000}"/>
    <cellStyle name="Normal 4 2 2 5 2 3 2 2 3 2 2" xfId="58616" xr:uid="{00000000-0005-0000-0000-00005B930000}"/>
    <cellStyle name="Normal 4 2 2 5 2 3 2 2 3 3" xfId="41575" xr:uid="{00000000-0005-0000-0000-00005C930000}"/>
    <cellStyle name="Normal 4 2 2 5 2 3 2 2 4" xfId="18867" xr:uid="{00000000-0005-0000-0000-00005D930000}"/>
    <cellStyle name="Normal 4 2 2 5 2 3 2 2 4 2" xfId="50738" xr:uid="{00000000-0005-0000-0000-00005E930000}"/>
    <cellStyle name="Normal 4 2 2 5 2 3 2 2 5" xfId="41572" xr:uid="{00000000-0005-0000-0000-00005F930000}"/>
    <cellStyle name="Normal 4 2 2 5 2 3 2 3" xfId="9697" xr:uid="{00000000-0005-0000-0000-000060930000}"/>
    <cellStyle name="Normal 4 2 2 5 2 3 2 3 2" xfId="9698" xr:uid="{00000000-0005-0000-0000-000061930000}"/>
    <cellStyle name="Normal 4 2 2 5 2 3 2 3 2 2" xfId="30683" xr:uid="{00000000-0005-0000-0000-000062930000}"/>
    <cellStyle name="Normal 4 2 2 5 2 3 2 3 2 2 2" xfId="62554" xr:uid="{00000000-0005-0000-0000-000063930000}"/>
    <cellStyle name="Normal 4 2 2 5 2 3 2 3 2 3" xfId="41577" xr:uid="{00000000-0005-0000-0000-000064930000}"/>
    <cellStyle name="Normal 4 2 2 5 2 3 2 3 3" xfId="22805" xr:uid="{00000000-0005-0000-0000-000065930000}"/>
    <cellStyle name="Normal 4 2 2 5 2 3 2 3 3 2" xfId="54676" xr:uid="{00000000-0005-0000-0000-000066930000}"/>
    <cellStyle name="Normal 4 2 2 5 2 3 2 3 4" xfId="41576" xr:uid="{00000000-0005-0000-0000-000067930000}"/>
    <cellStyle name="Normal 4 2 2 5 2 3 2 4" xfId="9699" xr:uid="{00000000-0005-0000-0000-000068930000}"/>
    <cellStyle name="Normal 4 2 2 5 2 3 2 4 2" xfId="26744" xr:uid="{00000000-0005-0000-0000-000069930000}"/>
    <cellStyle name="Normal 4 2 2 5 2 3 2 4 2 2" xfId="58615" xr:uid="{00000000-0005-0000-0000-00006A930000}"/>
    <cellStyle name="Normal 4 2 2 5 2 3 2 4 3" xfId="41578" xr:uid="{00000000-0005-0000-0000-00006B930000}"/>
    <cellStyle name="Normal 4 2 2 5 2 3 2 5" xfId="18866" xr:uid="{00000000-0005-0000-0000-00006C930000}"/>
    <cellStyle name="Normal 4 2 2 5 2 3 2 5 2" xfId="50737" xr:uid="{00000000-0005-0000-0000-00006D930000}"/>
    <cellStyle name="Normal 4 2 2 5 2 3 2 6" xfId="41571" xr:uid="{00000000-0005-0000-0000-00006E930000}"/>
    <cellStyle name="Normal 4 2 2 5 2 3 3" xfId="9700" xr:uid="{00000000-0005-0000-0000-00006F930000}"/>
    <cellStyle name="Normal 4 2 2 5 2 3 3 2" xfId="9701" xr:uid="{00000000-0005-0000-0000-000070930000}"/>
    <cellStyle name="Normal 4 2 2 5 2 3 3 2 2" xfId="9702" xr:uid="{00000000-0005-0000-0000-000071930000}"/>
    <cellStyle name="Normal 4 2 2 5 2 3 3 2 2 2" xfId="30685" xr:uid="{00000000-0005-0000-0000-000072930000}"/>
    <cellStyle name="Normal 4 2 2 5 2 3 3 2 2 2 2" xfId="62556" xr:uid="{00000000-0005-0000-0000-000073930000}"/>
    <cellStyle name="Normal 4 2 2 5 2 3 3 2 2 3" xfId="41581" xr:uid="{00000000-0005-0000-0000-000074930000}"/>
    <cellStyle name="Normal 4 2 2 5 2 3 3 2 3" xfId="22807" xr:uid="{00000000-0005-0000-0000-000075930000}"/>
    <cellStyle name="Normal 4 2 2 5 2 3 3 2 3 2" xfId="54678" xr:uid="{00000000-0005-0000-0000-000076930000}"/>
    <cellStyle name="Normal 4 2 2 5 2 3 3 2 4" xfId="41580" xr:uid="{00000000-0005-0000-0000-000077930000}"/>
    <cellStyle name="Normal 4 2 2 5 2 3 3 3" xfId="9703" xr:uid="{00000000-0005-0000-0000-000078930000}"/>
    <cellStyle name="Normal 4 2 2 5 2 3 3 3 2" xfId="26746" xr:uid="{00000000-0005-0000-0000-000079930000}"/>
    <cellStyle name="Normal 4 2 2 5 2 3 3 3 2 2" xfId="58617" xr:uid="{00000000-0005-0000-0000-00007A930000}"/>
    <cellStyle name="Normal 4 2 2 5 2 3 3 3 3" xfId="41582" xr:uid="{00000000-0005-0000-0000-00007B930000}"/>
    <cellStyle name="Normal 4 2 2 5 2 3 3 4" xfId="18868" xr:uid="{00000000-0005-0000-0000-00007C930000}"/>
    <cellStyle name="Normal 4 2 2 5 2 3 3 4 2" xfId="50739" xr:uid="{00000000-0005-0000-0000-00007D930000}"/>
    <cellStyle name="Normal 4 2 2 5 2 3 3 5" xfId="41579" xr:uid="{00000000-0005-0000-0000-00007E930000}"/>
    <cellStyle name="Normal 4 2 2 5 2 3 4" xfId="9704" xr:uid="{00000000-0005-0000-0000-00007F930000}"/>
    <cellStyle name="Normal 4 2 2 5 2 3 4 2" xfId="9705" xr:uid="{00000000-0005-0000-0000-000080930000}"/>
    <cellStyle name="Normal 4 2 2 5 2 3 4 2 2" xfId="30682" xr:uid="{00000000-0005-0000-0000-000081930000}"/>
    <cellStyle name="Normal 4 2 2 5 2 3 4 2 2 2" xfId="62553" xr:uid="{00000000-0005-0000-0000-000082930000}"/>
    <cellStyle name="Normal 4 2 2 5 2 3 4 2 3" xfId="41584" xr:uid="{00000000-0005-0000-0000-000083930000}"/>
    <cellStyle name="Normal 4 2 2 5 2 3 4 3" xfId="22804" xr:uid="{00000000-0005-0000-0000-000084930000}"/>
    <cellStyle name="Normal 4 2 2 5 2 3 4 3 2" xfId="54675" xr:uid="{00000000-0005-0000-0000-000085930000}"/>
    <cellStyle name="Normal 4 2 2 5 2 3 4 4" xfId="41583" xr:uid="{00000000-0005-0000-0000-000086930000}"/>
    <cellStyle name="Normal 4 2 2 5 2 3 5" xfId="9706" xr:uid="{00000000-0005-0000-0000-000087930000}"/>
    <cellStyle name="Normal 4 2 2 5 2 3 5 2" xfId="26743" xr:uid="{00000000-0005-0000-0000-000088930000}"/>
    <cellStyle name="Normal 4 2 2 5 2 3 5 2 2" xfId="58614" xr:uid="{00000000-0005-0000-0000-000089930000}"/>
    <cellStyle name="Normal 4 2 2 5 2 3 5 3" xfId="41585" xr:uid="{00000000-0005-0000-0000-00008A930000}"/>
    <cellStyle name="Normal 4 2 2 5 2 3 6" xfId="18865" xr:uid="{00000000-0005-0000-0000-00008B930000}"/>
    <cellStyle name="Normal 4 2 2 5 2 3 6 2" xfId="50736" xr:uid="{00000000-0005-0000-0000-00008C930000}"/>
    <cellStyle name="Normal 4 2 2 5 2 3 7" xfId="41570" xr:uid="{00000000-0005-0000-0000-00008D930000}"/>
    <cellStyle name="Normal 4 2 2 5 2 4" xfId="9707" xr:uid="{00000000-0005-0000-0000-00008E930000}"/>
    <cellStyle name="Normal 4 2 2 5 2 4 2" xfId="9708" xr:uid="{00000000-0005-0000-0000-00008F930000}"/>
    <cellStyle name="Normal 4 2 2 5 2 4 2 2" xfId="9709" xr:uid="{00000000-0005-0000-0000-000090930000}"/>
    <cellStyle name="Normal 4 2 2 5 2 4 2 2 2" xfId="9710" xr:uid="{00000000-0005-0000-0000-000091930000}"/>
    <cellStyle name="Normal 4 2 2 5 2 4 2 2 2 2" xfId="30687" xr:uid="{00000000-0005-0000-0000-000092930000}"/>
    <cellStyle name="Normal 4 2 2 5 2 4 2 2 2 2 2" xfId="62558" xr:uid="{00000000-0005-0000-0000-000093930000}"/>
    <cellStyle name="Normal 4 2 2 5 2 4 2 2 2 3" xfId="41589" xr:uid="{00000000-0005-0000-0000-000094930000}"/>
    <cellStyle name="Normal 4 2 2 5 2 4 2 2 3" xfId="22809" xr:uid="{00000000-0005-0000-0000-000095930000}"/>
    <cellStyle name="Normal 4 2 2 5 2 4 2 2 3 2" xfId="54680" xr:uid="{00000000-0005-0000-0000-000096930000}"/>
    <cellStyle name="Normal 4 2 2 5 2 4 2 2 4" xfId="41588" xr:uid="{00000000-0005-0000-0000-000097930000}"/>
    <cellStyle name="Normal 4 2 2 5 2 4 2 3" xfId="9711" xr:uid="{00000000-0005-0000-0000-000098930000}"/>
    <cellStyle name="Normal 4 2 2 5 2 4 2 3 2" xfId="26748" xr:uid="{00000000-0005-0000-0000-000099930000}"/>
    <cellStyle name="Normal 4 2 2 5 2 4 2 3 2 2" xfId="58619" xr:uid="{00000000-0005-0000-0000-00009A930000}"/>
    <cellStyle name="Normal 4 2 2 5 2 4 2 3 3" xfId="41590" xr:uid="{00000000-0005-0000-0000-00009B930000}"/>
    <cellStyle name="Normal 4 2 2 5 2 4 2 4" xfId="18870" xr:uid="{00000000-0005-0000-0000-00009C930000}"/>
    <cellStyle name="Normal 4 2 2 5 2 4 2 4 2" xfId="50741" xr:uid="{00000000-0005-0000-0000-00009D930000}"/>
    <cellStyle name="Normal 4 2 2 5 2 4 2 5" xfId="41587" xr:uid="{00000000-0005-0000-0000-00009E930000}"/>
    <cellStyle name="Normal 4 2 2 5 2 4 3" xfId="9712" xr:uid="{00000000-0005-0000-0000-00009F930000}"/>
    <cellStyle name="Normal 4 2 2 5 2 4 3 2" xfId="9713" xr:uid="{00000000-0005-0000-0000-0000A0930000}"/>
    <cellStyle name="Normal 4 2 2 5 2 4 3 2 2" xfId="30686" xr:uid="{00000000-0005-0000-0000-0000A1930000}"/>
    <cellStyle name="Normal 4 2 2 5 2 4 3 2 2 2" xfId="62557" xr:uid="{00000000-0005-0000-0000-0000A2930000}"/>
    <cellStyle name="Normal 4 2 2 5 2 4 3 2 3" xfId="41592" xr:uid="{00000000-0005-0000-0000-0000A3930000}"/>
    <cellStyle name="Normal 4 2 2 5 2 4 3 3" xfId="22808" xr:uid="{00000000-0005-0000-0000-0000A4930000}"/>
    <cellStyle name="Normal 4 2 2 5 2 4 3 3 2" xfId="54679" xr:uid="{00000000-0005-0000-0000-0000A5930000}"/>
    <cellStyle name="Normal 4 2 2 5 2 4 3 4" xfId="41591" xr:uid="{00000000-0005-0000-0000-0000A6930000}"/>
    <cellStyle name="Normal 4 2 2 5 2 4 4" xfId="9714" xr:uid="{00000000-0005-0000-0000-0000A7930000}"/>
    <cellStyle name="Normal 4 2 2 5 2 4 4 2" xfId="26747" xr:uid="{00000000-0005-0000-0000-0000A8930000}"/>
    <cellStyle name="Normal 4 2 2 5 2 4 4 2 2" xfId="58618" xr:uid="{00000000-0005-0000-0000-0000A9930000}"/>
    <cellStyle name="Normal 4 2 2 5 2 4 4 3" xfId="41593" xr:uid="{00000000-0005-0000-0000-0000AA930000}"/>
    <cellStyle name="Normal 4 2 2 5 2 4 5" xfId="18869" xr:uid="{00000000-0005-0000-0000-0000AB930000}"/>
    <cellStyle name="Normal 4 2 2 5 2 4 5 2" xfId="50740" xr:uid="{00000000-0005-0000-0000-0000AC930000}"/>
    <cellStyle name="Normal 4 2 2 5 2 4 6" xfId="41586" xr:uid="{00000000-0005-0000-0000-0000AD930000}"/>
    <cellStyle name="Normal 4 2 2 5 2 5" xfId="9715" xr:uid="{00000000-0005-0000-0000-0000AE930000}"/>
    <cellStyle name="Normal 4 2 2 5 2 5 2" xfId="9716" xr:uid="{00000000-0005-0000-0000-0000AF930000}"/>
    <cellStyle name="Normal 4 2 2 5 2 5 2 2" xfId="9717" xr:uid="{00000000-0005-0000-0000-0000B0930000}"/>
    <cellStyle name="Normal 4 2 2 5 2 5 2 2 2" xfId="30688" xr:uid="{00000000-0005-0000-0000-0000B1930000}"/>
    <cellStyle name="Normal 4 2 2 5 2 5 2 2 2 2" xfId="62559" xr:uid="{00000000-0005-0000-0000-0000B2930000}"/>
    <cellStyle name="Normal 4 2 2 5 2 5 2 2 3" xfId="41596" xr:uid="{00000000-0005-0000-0000-0000B3930000}"/>
    <cellStyle name="Normal 4 2 2 5 2 5 2 3" xfId="22810" xr:uid="{00000000-0005-0000-0000-0000B4930000}"/>
    <cellStyle name="Normal 4 2 2 5 2 5 2 3 2" xfId="54681" xr:uid="{00000000-0005-0000-0000-0000B5930000}"/>
    <cellStyle name="Normal 4 2 2 5 2 5 2 4" xfId="41595" xr:uid="{00000000-0005-0000-0000-0000B6930000}"/>
    <cellStyle name="Normal 4 2 2 5 2 5 3" xfId="9718" xr:uid="{00000000-0005-0000-0000-0000B7930000}"/>
    <cellStyle name="Normal 4 2 2 5 2 5 3 2" xfId="26749" xr:uid="{00000000-0005-0000-0000-0000B8930000}"/>
    <cellStyle name="Normal 4 2 2 5 2 5 3 2 2" xfId="58620" xr:uid="{00000000-0005-0000-0000-0000B9930000}"/>
    <cellStyle name="Normal 4 2 2 5 2 5 3 3" xfId="41597" xr:uid="{00000000-0005-0000-0000-0000BA930000}"/>
    <cellStyle name="Normal 4 2 2 5 2 5 4" xfId="18871" xr:uid="{00000000-0005-0000-0000-0000BB930000}"/>
    <cellStyle name="Normal 4 2 2 5 2 5 4 2" xfId="50742" xr:uid="{00000000-0005-0000-0000-0000BC930000}"/>
    <cellStyle name="Normal 4 2 2 5 2 5 5" xfId="41594" xr:uid="{00000000-0005-0000-0000-0000BD930000}"/>
    <cellStyle name="Normal 4 2 2 5 2 6" xfId="9719" xr:uid="{00000000-0005-0000-0000-0000BE930000}"/>
    <cellStyle name="Normal 4 2 2 5 2 6 2" xfId="9720" xr:uid="{00000000-0005-0000-0000-0000BF930000}"/>
    <cellStyle name="Normal 4 2 2 5 2 6 2 2" xfId="28429" xr:uid="{00000000-0005-0000-0000-0000C0930000}"/>
    <cellStyle name="Normal 4 2 2 5 2 6 2 2 2" xfId="60300" xr:uid="{00000000-0005-0000-0000-0000C1930000}"/>
    <cellStyle name="Normal 4 2 2 5 2 6 2 3" xfId="41599" xr:uid="{00000000-0005-0000-0000-0000C2930000}"/>
    <cellStyle name="Normal 4 2 2 5 2 6 3" xfId="20551" xr:uid="{00000000-0005-0000-0000-0000C3930000}"/>
    <cellStyle name="Normal 4 2 2 5 2 6 3 2" xfId="52422" xr:uid="{00000000-0005-0000-0000-0000C4930000}"/>
    <cellStyle name="Normal 4 2 2 5 2 6 4" xfId="41598" xr:uid="{00000000-0005-0000-0000-0000C5930000}"/>
    <cellStyle name="Normal 4 2 2 5 2 7" xfId="9721" xr:uid="{00000000-0005-0000-0000-0000C6930000}"/>
    <cellStyle name="Normal 4 2 2 5 2 7 2" xfId="24490" xr:uid="{00000000-0005-0000-0000-0000C7930000}"/>
    <cellStyle name="Normal 4 2 2 5 2 7 2 2" xfId="56361" xr:uid="{00000000-0005-0000-0000-0000C8930000}"/>
    <cellStyle name="Normal 4 2 2 5 2 7 3" xfId="41600" xr:uid="{00000000-0005-0000-0000-0000C9930000}"/>
    <cellStyle name="Normal 4 2 2 5 2 8" xfId="16612" xr:uid="{00000000-0005-0000-0000-0000CA930000}"/>
    <cellStyle name="Normal 4 2 2 5 2 8 2" xfId="48483" xr:uid="{00000000-0005-0000-0000-0000CB930000}"/>
    <cellStyle name="Normal 4 2 2 5 2 9" xfId="41537" xr:uid="{00000000-0005-0000-0000-0000CC930000}"/>
    <cellStyle name="Normal 4 2 2 5 3" xfId="9722" xr:uid="{00000000-0005-0000-0000-0000CD930000}"/>
    <cellStyle name="Normal 4 2 2 5 3 2" xfId="9723" xr:uid="{00000000-0005-0000-0000-0000CE930000}"/>
    <cellStyle name="Normal 4 2 2 5 3 2 2" xfId="9724" xr:uid="{00000000-0005-0000-0000-0000CF930000}"/>
    <cellStyle name="Normal 4 2 2 5 3 2 2 2" xfId="9725" xr:uid="{00000000-0005-0000-0000-0000D0930000}"/>
    <cellStyle name="Normal 4 2 2 5 3 2 2 2 2" xfId="9726" xr:uid="{00000000-0005-0000-0000-0000D1930000}"/>
    <cellStyle name="Normal 4 2 2 5 3 2 2 2 2 2" xfId="9727" xr:uid="{00000000-0005-0000-0000-0000D2930000}"/>
    <cellStyle name="Normal 4 2 2 5 3 2 2 2 2 2 2" xfId="30692" xr:uid="{00000000-0005-0000-0000-0000D3930000}"/>
    <cellStyle name="Normal 4 2 2 5 3 2 2 2 2 2 2 2" xfId="62563" xr:uid="{00000000-0005-0000-0000-0000D4930000}"/>
    <cellStyle name="Normal 4 2 2 5 3 2 2 2 2 2 3" xfId="41606" xr:uid="{00000000-0005-0000-0000-0000D5930000}"/>
    <cellStyle name="Normal 4 2 2 5 3 2 2 2 2 3" xfId="22814" xr:uid="{00000000-0005-0000-0000-0000D6930000}"/>
    <cellStyle name="Normal 4 2 2 5 3 2 2 2 2 3 2" xfId="54685" xr:uid="{00000000-0005-0000-0000-0000D7930000}"/>
    <cellStyle name="Normal 4 2 2 5 3 2 2 2 2 4" xfId="41605" xr:uid="{00000000-0005-0000-0000-0000D8930000}"/>
    <cellStyle name="Normal 4 2 2 5 3 2 2 2 3" xfId="9728" xr:uid="{00000000-0005-0000-0000-0000D9930000}"/>
    <cellStyle name="Normal 4 2 2 5 3 2 2 2 3 2" xfId="26753" xr:uid="{00000000-0005-0000-0000-0000DA930000}"/>
    <cellStyle name="Normal 4 2 2 5 3 2 2 2 3 2 2" xfId="58624" xr:uid="{00000000-0005-0000-0000-0000DB930000}"/>
    <cellStyle name="Normal 4 2 2 5 3 2 2 2 3 3" xfId="41607" xr:uid="{00000000-0005-0000-0000-0000DC930000}"/>
    <cellStyle name="Normal 4 2 2 5 3 2 2 2 4" xfId="18875" xr:uid="{00000000-0005-0000-0000-0000DD930000}"/>
    <cellStyle name="Normal 4 2 2 5 3 2 2 2 4 2" xfId="50746" xr:uid="{00000000-0005-0000-0000-0000DE930000}"/>
    <cellStyle name="Normal 4 2 2 5 3 2 2 2 5" xfId="41604" xr:uid="{00000000-0005-0000-0000-0000DF930000}"/>
    <cellStyle name="Normal 4 2 2 5 3 2 2 3" xfId="9729" xr:uid="{00000000-0005-0000-0000-0000E0930000}"/>
    <cellStyle name="Normal 4 2 2 5 3 2 2 3 2" xfId="9730" xr:uid="{00000000-0005-0000-0000-0000E1930000}"/>
    <cellStyle name="Normal 4 2 2 5 3 2 2 3 2 2" xfId="30691" xr:uid="{00000000-0005-0000-0000-0000E2930000}"/>
    <cellStyle name="Normal 4 2 2 5 3 2 2 3 2 2 2" xfId="62562" xr:uid="{00000000-0005-0000-0000-0000E3930000}"/>
    <cellStyle name="Normal 4 2 2 5 3 2 2 3 2 3" xfId="41609" xr:uid="{00000000-0005-0000-0000-0000E4930000}"/>
    <cellStyle name="Normal 4 2 2 5 3 2 2 3 3" xfId="22813" xr:uid="{00000000-0005-0000-0000-0000E5930000}"/>
    <cellStyle name="Normal 4 2 2 5 3 2 2 3 3 2" xfId="54684" xr:uid="{00000000-0005-0000-0000-0000E6930000}"/>
    <cellStyle name="Normal 4 2 2 5 3 2 2 3 4" xfId="41608" xr:uid="{00000000-0005-0000-0000-0000E7930000}"/>
    <cellStyle name="Normal 4 2 2 5 3 2 2 4" xfId="9731" xr:uid="{00000000-0005-0000-0000-0000E8930000}"/>
    <cellStyle name="Normal 4 2 2 5 3 2 2 4 2" xfId="26752" xr:uid="{00000000-0005-0000-0000-0000E9930000}"/>
    <cellStyle name="Normal 4 2 2 5 3 2 2 4 2 2" xfId="58623" xr:uid="{00000000-0005-0000-0000-0000EA930000}"/>
    <cellStyle name="Normal 4 2 2 5 3 2 2 4 3" xfId="41610" xr:uid="{00000000-0005-0000-0000-0000EB930000}"/>
    <cellStyle name="Normal 4 2 2 5 3 2 2 5" xfId="18874" xr:uid="{00000000-0005-0000-0000-0000EC930000}"/>
    <cellStyle name="Normal 4 2 2 5 3 2 2 5 2" xfId="50745" xr:uid="{00000000-0005-0000-0000-0000ED930000}"/>
    <cellStyle name="Normal 4 2 2 5 3 2 2 6" xfId="41603" xr:uid="{00000000-0005-0000-0000-0000EE930000}"/>
    <cellStyle name="Normal 4 2 2 5 3 2 3" xfId="9732" xr:uid="{00000000-0005-0000-0000-0000EF930000}"/>
    <cellStyle name="Normal 4 2 2 5 3 2 3 2" xfId="9733" xr:uid="{00000000-0005-0000-0000-0000F0930000}"/>
    <cellStyle name="Normal 4 2 2 5 3 2 3 2 2" xfId="9734" xr:uid="{00000000-0005-0000-0000-0000F1930000}"/>
    <cellStyle name="Normal 4 2 2 5 3 2 3 2 2 2" xfId="30693" xr:uid="{00000000-0005-0000-0000-0000F2930000}"/>
    <cellStyle name="Normal 4 2 2 5 3 2 3 2 2 2 2" xfId="62564" xr:uid="{00000000-0005-0000-0000-0000F3930000}"/>
    <cellStyle name="Normal 4 2 2 5 3 2 3 2 2 3" xfId="41613" xr:uid="{00000000-0005-0000-0000-0000F4930000}"/>
    <cellStyle name="Normal 4 2 2 5 3 2 3 2 3" xfId="22815" xr:uid="{00000000-0005-0000-0000-0000F5930000}"/>
    <cellStyle name="Normal 4 2 2 5 3 2 3 2 3 2" xfId="54686" xr:uid="{00000000-0005-0000-0000-0000F6930000}"/>
    <cellStyle name="Normal 4 2 2 5 3 2 3 2 4" xfId="41612" xr:uid="{00000000-0005-0000-0000-0000F7930000}"/>
    <cellStyle name="Normal 4 2 2 5 3 2 3 3" xfId="9735" xr:uid="{00000000-0005-0000-0000-0000F8930000}"/>
    <cellStyle name="Normal 4 2 2 5 3 2 3 3 2" xfId="26754" xr:uid="{00000000-0005-0000-0000-0000F9930000}"/>
    <cellStyle name="Normal 4 2 2 5 3 2 3 3 2 2" xfId="58625" xr:uid="{00000000-0005-0000-0000-0000FA930000}"/>
    <cellStyle name="Normal 4 2 2 5 3 2 3 3 3" xfId="41614" xr:uid="{00000000-0005-0000-0000-0000FB930000}"/>
    <cellStyle name="Normal 4 2 2 5 3 2 3 4" xfId="18876" xr:uid="{00000000-0005-0000-0000-0000FC930000}"/>
    <cellStyle name="Normal 4 2 2 5 3 2 3 4 2" xfId="50747" xr:uid="{00000000-0005-0000-0000-0000FD930000}"/>
    <cellStyle name="Normal 4 2 2 5 3 2 3 5" xfId="41611" xr:uid="{00000000-0005-0000-0000-0000FE930000}"/>
    <cellStyle name="Normal 4 2 2 5 3 2 4" xfId="9736" xr:uid="{00000000-0005-0000-0000-0000FF930000}"/>
    <cellStyle name="Normal 4 2 2 5 3 2 4 2" xfId="9737" xr:uid="{00000000-0005-0000-0000-000000940000}"/>
    <cellStyle name="Normal 4 2 2 5 3 2 4 2 2" xfId="30690" xr:uid="{00000000-0005-0000-0000-000001940000}"/>
    <cellStyle name="Normal 4 2 2 5 3 2 4 2 2 2" xfId="62561" xr:uid="{00000000-0005-0000-0000-000002940000}"/>
    <cellStyle name="Normal 4 2 2 5 3 2 4 2 3" xfId="41616" xr:uid="{00000000-0005-0000-0000-000003940000}"/>
    <cellStyle name="Normal 4 2 2 5 3 2 4 3" xfId="22812" xr:uid="{00000000-0005-0000-0000-000004940000}"/>
    <cellStyle name="Normal 4 2 2 5 3 2 4 3 2" xfId="54683" xr:uid="{00000000-0005-0000-0000-000005940000}"/>
    <cellStyle name="Normal 4 2 2 5 3 2 4 4" xfId="41615" xr:uid="{00000000-0005-0000-0000-000006940000}"/>
    <cellStyle name="Normal 4 2 2 5 3 2 5" xfId="9738" xr:uid="{00000000-0005-0000-0000-000007940000}"/>
    <cellStyle name="Normal 4 2 2 5 3 2 5 2" xfId="26751" xr:uid="{00000000-0005-0000-0000-000008940000}"/>
    <cellStyle name="Normal 4 2 2 5 3 2 5 2 2" xfId="58622" xr:uid="{00000000-0005-0000-0000-000009940000}"/>
    <cellStyle name="Normal 4 2 2 5 3 2 5 3" xfId="41617" xr:uid="{00000000-0005-0000-0000-00000A940000}"/>
    <cellStyle name="Normal 4 2 2 5 3 2 6" xfId="18873" xr:uid="{00000000-0005-0000-0000-00000B940000}"/>
    <cellStyle name="Normal 4 2 2 5 3 2 6 2" xfId="50744" xr:uid="{00000000-0005-0000-0000-00000C940000}"/>
    <cellStyle name="Normal 4 2 2 5 3 2 7" xfId="41602" xr:uid="{00000000-0005-0000-0000-00000D940000}"/>
    <cellStyle name="Normal 4 2 2 5 3 3" xfId="9739" xr:uid="{00000000-0005-0000-0000-00000E940000}"/>
    <cellStyle name="Normal 4 2 2 5 3 3 2" xfId="9740" xr:uid="{00000000-0005-0000-0000-00000F940000}"/>
    <cellStyle name="Normal 4 2 2 5 3 3 2 2" xfId="9741" xr:uid="{00000000-0005-0000-0000-000010940000}"/>
    <cellStyle name="Normal 4 2 2 5 3 3 2 2 2" xfId="9742" xr:uid="{00000000-0005-0000-0000-000011940000}"/>
    <cellStyle name="Normal 4 2 2 5 3 3 2 2 2 2" xfId="30695" xr:uid="{00000000-0005-0000-0000-000012940000}"/>
    <cellStyle name="Normal 4 2 2 5 3 3 2 2 2 2 2" xfId="62566" xr:uid="{00000000-0005-0000-0000-000013940000}"/>
    <cellStyle name="Normal 4 2 2 5 3 3 2 2 2 3" xfId="41621" xr:uid="{00000000-0005-0000-0000-000014940000}"/>
    <cellStyle name="Normal 4 2 2 5 3 3 2 2 3" xfId="22817" xr:uid="{00000000-0005-0000-0000-000015940000}"/>
    <cellStyle name="Normal 4 2 2 5 3 3 2 2 3 2" xfId="54688" xr:uid="{00000000-0005-0000-0000-000016940000}"/>
    <cellStyle name="Normal 4 2 2 5 3 3 2 2 4" xfId="41620" xr:uid="{00000000-0005-0000-0000-000017940000}"/>
    <cellStyle name="Normal 4 2 2 5 3 3 2 3" xfId="9743" xr:uid="{00000000-0005-0000-0000-000018940000}"/>
    <cellStyle name="Normal 4 2 2 5 3 3 2 3 2" xfId="26756" xr:uid="{00000000-0005-0000-0000-000019940000}"/>
    <cellStyle name="Normal 4 2 2 5 3 3 2 3 2 2" xfId="58627" xr:uid="{00000000-0005-0000-0000-00001A940000}"/>
    <cellStyle name="Normal 4 2 2 5 3 3 2 3 3" xfId="41622" xr:uid="{00000000-0005-0000-0000-00001B940000}"/>
    <cellStyle name="Normal 4 2 2 5 3 3 2 4" xfId="18878" xr:uid="{00000000-0005-0000-0000-00001C940000}"/>
    <cellStyle name="Normal 4 2 2 5 3 3 2 4 2" xfId="50749" xr:uid="{00000000-0005-0000-0000-00001D940000}"/>
    <cellStyle name="Normal 4 2 2 5 3 3 2 5" xfId="41619" xr:uid="{00000000-0005-0000-0000-00001E940000}"/>
    <cellStyle name="Normal 4 2 2 5 3 3 3" xfId="9744" xr:uid="{00000000-0005-0000-0000-00001F940000}"/>
    <cellStyle name="Normal 4 2 2 5 3 3 3 2" xfId="9745" xr:uid="{00000000-0005-0000-0000-000020940000}"/>
    <cellStyle name="Normal 4 2 2 5 3 3 3 2 2" xfId="30694" xr:uid="{00000000-0005-0000-0000-000021940000}"/>
    <cellStyle name="Normal 4 2 2 5 3 3 3 2 2 2" xfId="62565" xr:uid="{00000000-0005-0000-0000-000022940000}"/>
    <cellStyle name="Normal 4 2 2 5 3 3 3 2 3" xfId="41624" xr:uid="{00000000-0005-0000-0000-000023940000}"/>
    <cellStyle name="Normal 4 2 2 5 3 3 3 3" xfId="22816" xr:uid="{00000000-0005-0000-0000-000024940000}"/>
    <cellStyle name="Normal 4 2 2 5 3 3 3 3 2" xfId="54687" xr:uid="{00000000-0005-0000-0000-000025940000}"/>
    <cellStyle name="Normal 4 2 2 5 3 3 3 4" xfId="41623" xr:uid="{00000000-0005-0000-0000-000026940000}"/>
    <cellStyle name="Normal 4 2 2 5 3 3 4" xfId="9746" xr:uid="{00000000-0005-0000-0000-000027940000}"/>
    <cellStyle name="Normal 4 2 2 5 3 3 4 2" xfId="26755" xr:uid="{00000000-0005-0000-0000-000028940000}"/>
    <cellStyle name="Normal 4 2 2 5 3 3 4 2 2" xfId="58626" xr:uid="{00000000-0005-0000-0000-000029940000}"/>
    <cellStyle name="Normal 4 2 2 5 3 3 4 3" xfId="41625" xr:uid="{00000000-0005-0000-0000-00002A940000}"/>
    <cellStyle name="Normal 4 2 2 5 3 3 5" xfId="18877" xr:uid="{00000000-0005-0000-0000-00002B940000}"/>
    <cellStyle name="Normal 4 2 2 5 3 3 5 2" xfId="50748" xr:uid="{00000000-0005-0000-0000-00002C940000}"/>
    <cellStyle name="Normal 4 2 2 5 3 3 6" xfId="41618" xr:uid="{00000000-0005-0000-0000-00002D940000}"/>
    <cellStyle name="Normal 4 2 2 5 3 4" xfId="9747" xr:uid="{00000000-0005-0000-0000-00002E940000}"/>
    <cellStyle name="Normal 4 2 2 5 3 4 2" xfId="9748" xr:uid="{00000000-0005-0000-0000-00002F940000}"/>
    <cellStyle name="Normal 4 2 2 5 3 4 2 2" xfId="9749" xr:uid="{00000000-0005-0000-0000-000030940000}"/>
    <cellStyle name="Normal 4 2 2 5 3 4 2 2 2" xfId="30696" xr:uid="{00000000-0005-0000-0000-000031940000}"/>
    <cellStyle name="Normal 4 2 2 5 3 4 2 2 2 2" xfId="62567" xr:uid="{00000000-0005-0000-0000-000032940000}"/>
    <cellStyle name="Normal 4 2 2 5 3 4 2 2 3" xfId="41628" xr:uid="{00000000-0005-0000-0000-000033940000}"/>
    <cellStyle name="Normal 4 2 2 5 3 4 2 3" xfId="22818" xr:uid="{00000000-0005-0000-0000-000034940000}"/>
    <cellStyle name="Normal 4 2 2 5 3 4 2 3 2" xfId="54689" xr:uid="{00000000-0005-0000-0000-000035940000}"/>
    <cellStyle name="Normal 4 2 2 5 3 4 2 4" xfId="41627" xr:uid="{00000000-0005-0000-0000-000036940000}"/>
    <cellStyle name="Normal 4 2 2 5 3 4 3" xfId="9750" xr:uid="{00000000-0005-0000-0000-000037940000}"/>
    <cellStyle name="Normal 4 2 2 5 3 4 3 2" xfId="26757" xr:uid="{00000000-0005-0000-0000-000038940000}"/>
    <cellStyle name="Normal 4 2 2 5 3 4 3 2 2" xfId="58628" xr:uid="{00000000-0005-0000-0000-000039940000}"/>
    <cellStyle name="Normal 4 2 2 5 3 4 3 3" xfId="41629" xr:uid="{00000000-0005-0000-0000-00003A940000}"/>
    <cellStyle name="Normal 4 2 2 5 3 4 4" xfId="18879" xr:uid="{00000000-0005-0000-0000-00003B940000}"/>
    <cellStyle name="Normal 4 2 2 5 3 4 4 2" xfId="50750" xr:uid="{00000000-0005-0000-0000-00003C940000}"/>
    <cellStyle name="Normal 4 2 2 5 3 4 5" xfId="41626" xr:uid="{00000000-0005-0000-0000-00003D940000}"/>
    <cellStyle name="Normal 4 2 2 5 3 5" xfId="9751" xr:uid="{00000000-0005-0000-0000-00003E940000}"/>
    <cellStyle name="Normal 4 2 2 5 3 5 2" xfId="9752" xr:uid="{00000000-0005-0000-0000-00003F940000}"/>
    <cellStyle name="Normal 4 2 2 5 3 5 2 2" xfId="30689" xr:uid="{00000000-0005-0000-0000-000040940000}"/>
    <cellStyle name="Normal 4 2 2 5 3 5 2 2 2" xfId="62560" xr:uid="{00000000-0005-0000-0000-000041940000}"/>
    <cellStyle name="Normal 4 2 2 5 3 5 2 3" xfId="41631" xr:uid="{00000000-0005-0000-0000-000042940000}"/>
    <cellStyle name="Normal 4 2 2 5 3 5 3" xfId="22811" xr:uid="{00000000-0005-0000-0000-000043940000}"/>
    <cellStyle name="Normal 4 2 2 5 3 5 3 2" xfId="54682" xr:uid="{00000000-0005-0000-0000-000044940000}"/>
    <cellStyle name="Normal 4 2 2 5 3 5 4" xfId="41630" xr:uid="{00000000-0005-0000-0000-000045940000}"/>
    <cellStyle name="Normal 4 2 2 5 3 6" xfId="9753" xr:uid="{00000000-0005-0000-0000-000046940000}"/>
    <cellStyle name="Normal 4 2 2 5 3 6 2" xfId="26750" xr:uid="{00000000-0005-0000-0000-000047940000}"/>
    <cellStyle name="Normal 4 2 2 5 3 6 2 2" xfId="58621" xr:uid="{00000000-0005-0000-0000-000048940000}"/>
    <cellStyle name="Normal 4 2 2 5 3 6 3" xfId="41632" xr:uid="{00000000-0005-0000-0000-000049940000}"/>
    <cellStyle name="Normal 4 2 2 5 3 7" xfId="18872" xr:uid="{00000000-0005-0000-0000-00004A940000}"/>
    <cellStyle name="Normal 4 2 2 5 3 7 2" xfId="50743" xr:uid="{00000000-0005-0000-0000-00004B940000}"/>
    <cellStyle name="Normal 4 2 2 5 3 8" xfId="41601" xr:uid="{00000000-0005-0000-0000-00004C940000}"/>
    <cellStyle name="Normal 4 2 2 5 4" xfId="9754" xr:uid="{00000000-0005-0000-0000-00004D940000}"/>
    <cellStyle name="Normal 4 2 2 5 4 2" xfId="9755" xr:uid="{00000000-0005-0000-0000-00004E940000}"/>
    <cellStyle name="Normal 4 2 2 5 4 2 2" xfId="9756" xr:uid="{00000000-0005-0000-0000-00004F940000}"/>
    <cellStyle name="Normal 4 2 2 5 4 2 2 2" xfId="9757" xr:uid="{00000000-0005-0000-0000-000050940000}"/>
    <cellStyle name="Normal 4 2 2 5 4 2 2 2 2" xfId="9758" xr:uid="{00000000-0005-0000-0000-000051940000}"/>
    <cellStyle name="Normal 4 2 2 5 4 2 2 2 2 2" xfId="30699" xr:uid="{00000000-0005-0000-0000-000052940000}"/>
    <cellStyle name="Normal 4 2 2 5 4 2 2 2 2 2 2" xfId="62570" xr:uid="{00000000-0005-0000-0000-000053940000}"/>
    <cellStyle name="Normal 4 2 2 5 4 2 2 2 2 3" xfId="41637" xr:uid="{00000000-0005-0000-0000-000054940000}"/>
    <cellStyle name="Normal 4 2 2 5 4 2 2 2 3" xfId="22821" xr:uid="{00000000-0005-0000-0000-000055940000}"/>
    <cellStyle name="Normal 4 2 2 5 4 2 2 2 3 2" xfId="54692" xr:uid="{00000000-0005-0000-0000-000056940000}"/>
    <cellStyle name="Normal 4 2 2 5 4 2 2 2 4" xfId="41636" xr:uid="{00000000-0005-0000-0000-000057940000}"/>
    <cellStyle name="Normal 4 2 2 5 4 2 2 3" xfId="9759" xr:uid="{00000000-0005-0000-0000-000058940000}"/>
    <cellStyle name="Normal 4 2 2 5 4 2 2 3 2" xfId="26760" xr:uid="{00000000-0005-0000-0000-000059940000}"/>
    <cellStyle name="Normal 4 2 2 5 4 2 2 3 2 2" xfId="58631" xr:uid="{00000000-0005-0000-0000-00005A940000}"/>
    <cellStyle name="Normal 4 2 2 5 4 2 2 3 3" xfId="41638" xr:uid="{00000000-0005-0000-0000-00005B940000}"/>
    <cellStyle name="Normal 4 2 2 5 4 2 2 4" xfId="18882" xr:uid="{00000000-0005-0000-0000-00005C940000}"/>
    <cellStyle name="Normal 4 2 2 5 4 2 2 4 2" xfId="50753" xr:uid="{00000000-0005-0000-0000-00005D940000}"/>
    <cellStyle name="Normal 4 2 2 5 4 2 2 5" xfId="41635" xr:uid="{00000000-0005-0000-0000-00005E940000}"/>
    <cellStyle name="Normal 4 2 2 5 4 2 3" xfId="9760" xr:uid="{00000000-0005-0000-0000-00005F940000}"/>
    <cellStyle name="Normal 4 2 2 5 4 2 3 2" xfId="9761" xr:uid="{00000000-0005-0000-0000-000060940000}"/>
    <cellStyle name="Normal 4 2 2 5 4 2 3 2 2" xfId="30698" xr:uid="{00000000-0005-0000-0000-000061940000}"/>
    <cellStyle name="Normal 4 2 2 5 4 2 3 2 2 2" xfId="62569" xr:uid="{00000000-0005-0000-0000-000062940000}"/>
    <cellStyle name="Normal 4 2 2 5 4 2 3 2 3" xfId="41640" xr:uid="{00000000-0005-0000-0000-000063940000}"/>
    <cellStyle name="Normal 4 2 2 5 4 2 3 3" xfId="22820" xr:uid="{00000000-0005-0000-0000-000064940000}"/>
    <cellStyle name="Normal 4 2 2 5 4 2 3 3 2" xfId="54691" xr:uid="{00000000-0005-0000-0000-000065940000}"/>
    <cellStyle name="Normal 4 2 2 5 4 2 3 4" xfId="41639" xr:uid="{00000000-0005-0000-0000-000066940000}"/>
    <cellStyle name="Normal 4 2 2 5 4 2 4" xfId="9762" xr:uid="{00000000-0005-0000-0000-000067940000}"/>
    <cellStyle name="Normal 4 2 2 5 4 2 4 2" xfId="26759" xr:uid="{00000000-0005-0000-0000-000068940000}"/>
    <cellStyle name="Normal 4 2 2 5 4 2 4 2 2" xfId="58630" xr:uid="{00000000-0005-0000-0000-000069940000}"/>
    <cellStyle name="Normal 4 2 2 5 4 2 4 3" xfId="41641" xr:uid="{00000000-0005-0000-0000-00006A940000}"/>
    <cellStyle name="Normal 4 2 2 5 4 2 5" xfId="18881" xr:uid="{00000000-0005-0000-0000-00006B940000}"/>
    <cellStyle name="Normal 4 2 2 5 4 2 5 2" xfId="50752" xr:uid="{00000000-0005-0000-0000-00006C940000}"/>
    <cellStyle name="Normal 4 2 2 5 4 2 6" xfId="41634" xr:uid="{00000000-0005-0000-0000-00006D940000}"/>
    <cellStyle name="Normal 4 2 2 5 4 3" xfId="9763" xr:uid="{00000000-0005-0000-0000-00006E940000}"/>
    <cellStyle name="Normal 4 2 2 5 4 3 2" xfId="9764" xr:uid="{00000000-0005-0000-0000-00006F940000}"/>
    <cellStyle name="Normal 4 2 2 5 4 3 2 2" xfId="9765" xr:uid="{00000000-0005-0000-0000-000070940000}"/>
    <cellStyle name="Normal 4 2 2 5 4 3 2 2 2" xfId="30700" xr:uid="{00000000-0005-0000-0000-000071940000}"/>
    <cellStyle name="Normal 4 2 2 5 4 3 2 2 2 2" xfId="62571" xr:uid="{00000000-0005-0000-0000-000072940000}"/>
    <cellStyle name="Normal 4 2 2 5 4 3 2 2 3" xfId="41644" xr:uid="{00000000-0005-0000-0000-000073940000}"/>
    <cellStyle name="Normal 4 2 2 5 4 3 2 3" xfId="22822" xr:uid="{00000000-0005-0000-0000-000074940000}"/>
    <cellStyle name="Normal 4 2 2 5 4 3 2 3 2" xfId="54693" xr:uid="{00000000-0005-0000-0000-000075940000}"/>
    <cellStyle name="Normal 4 2 2 5 4 3 2 4" xfId="41643" xr:uid="{00000000-0005-0000-0000-000076940000}"/>
    <cellStyle name="Normal 4 2 2 5 4 3 3" xfId="9766" xr:uid="{00000000-0005-0000-0000-000077940000}"/>
    <cellStyle name="Normal 4 2 2 5 4 3 3 2" xfId="26761" xr:uid="{00000000-0005-0000-0000-000078940000}"/>
    <cellStyle name="Normal 4 2 2 5 4 3 3 2 2" xfId="58632" xr:uid="{00000000-0005-0000-0000-000079940000}"/>
    <cellStyle name="Normal 4 2 2 5 4 3 3 3" xfId="41645" xr:uid="{00000000-0005-0000-0000-00007A940000}"/>
    <cellStyle name="Normal 4 2 2 5 4 3 4" xfId="18883" xr:uid="{00000000-0005-0000-0000-00007B940000}"/>
    <cellStyle name="Normal 4 2 2 5 4 3 4 2" xfId="50754" xr:uid="{00000000-0005-0000-0000-00007C940000}"/>
    <cellStyle name="Normal 4 2 2 5 4 3 5" xfId="41642" xr:uid="{00000000-0005-0000-0000-00007D940000}"/>
    <cellStyle name="Normal 4 2 2 5 4 4" xfId="9767" xr:uid="{00000000-0005-0000-0000-00007E940000}"/>
    <cellStyle name="Normal 4 2 2 5 4 4 2" xfId="9768" xr:uid="{00000000-0005-0000-0000-00007F940000}"/>
    <cellStyle name="Normal 4 2 2 5 4 4 2 2" xfId="30697" xr:uid="{00000000-0005-0000-0000-000080940000}"/>
    <cellStyle name="Normal 4 2 2 5 4 4 2 2 2" xfId="62568" xr:uid="{00000000-0005-0000-0000-000081940000}"/>
    <cellStyle name="Normal 4 2 2 5 4 4 2 3" xfId="41647" xr:uid="{00000000-0005-0000-0000-000082940000}"/>
    <cellStyle name="Normal 4 2 2 5 4 4 3" xfId="22819" xr:uid="{00000000-0005-0000-0000-000083940000}"/>
    <cellStyle name="Normal 4 2 2 5 4 4 3 2" xfId="54690" xr:uid="{00000000-0005-0000-0000-000084940000}"/>
    <cellStyle name="Normal 4 2 2 5 4 4 4" xfId="41646" xr:uid="{00000000-0005-0000-0000-000085940000}"/>
    <cellStyle name="Normal 4 2 2 5 4 5" xfId="9769" xr:uid="{00000000-0005-0000-0000-000086940000}"/>
    <cellStyle name="Normal 4 2 2 5 4 5 2" xfId="26758" xr:uid="{00000000-0005-0000-0000-000087940000}"/>
    <cellStyle name="Normal 4 2 2 5 4 5 2 2" xfId="58629" xr:uid="{00000000-0005-0000-0000-000088940000}"/>
    <cellStyle name="Normal 4 2 2 5 4 5 3" xfId="41648" xr:uid="{00000000-0005-0000-0000-000089940000}"/>
    <cellStyle name="Normal 4 2 2 5 4 6" xfId="18880" xr:uid="{00000000-0005-0000-0000-00008A940000}"/>
    <cellStyle name="Normal 4 2 2 5 4 6 2" xfId="50751" xr:uid="{00000000-0005-0000-0000-00008B940000}"/>
    <cellStyle name="Normal 4 2 2 5 4 7" xfId="41633" xr:uid="{00000000-0005-0000-0000-00008C940000}"/>
    <cellStyle name="Normal 4 2 2 5 5" xfId="9770" xr:uid="{00000000-0005-0000-0000-00008D940000}"/>
    <cellStyle name="Normal 4 2 2 5 5 2" xfId="9771" xr:uid="{00000000-0005-0000-0000-00008E940000}"/>
    <cellStyle name="Normal 4 2 2 5 5 2 2" xfId="9772" xr:uid="{00000000-0005-0000-0000-00008F940000}"/>
    <cellStyle name="Normal 4 2 2 5 5 2 2 2" xfId="9773" xr:uid="{00000000-0005-0000-0000-000090940000}"/>
    <cellStyle name="Normal 4 2 2 5 5 2 2 2 2" xfId="30702" xr:uid="{00000000-0005-0000-0000-000091940000}"/>
    <cellStyle name="Normal 4 2 2 5 5 2 2 2 2 2" xfId="62573" xr:uid="{00000000-0005-0000-0000-000092940000}"/>
    <cellStyle name="Normal 4 2 2 5 5 2 2 2 3" xfId="41652" xr:uid="{00000000-0005-0000-0000-000093940000}"/>
    <cellStyle name="Normal 4 2 2 5 5 2 2 3" xfId="22824" xr:uid="{00000000-0005-0000-0000-000094940000}"/>
    <cellStyle name="Normal 4 2 2 5 5 2 2 3 2" xfId="54695" xr:uid="{00000000-0005-0000-0000-000095940000}"/>
    <cellStyle name="Normal 4 2 2 5 5 2 2 4" xfId="41651" xr:uid="{00000000-0005-0000-0000-000096940000}"/>
    <cellStyle name="Normal 4 2 2 5 5 2 3" xfId="9774" xr:uid="{00000000-0005-0000-0000-000097940000}"/>
    <cellStyle name="Normal 4 2 2 5 5 2 3 2" xfId="26763" xr:uid="{00000000-0005-0000-0000-000098940000}"/>
    <cellStyle name="Normal 4 2 2 5 5 2 3 2 2" xfId="58634" xr:uid="{00000000-0005-0000-0000-000099940000}"/>
    <cellStyle name="Normal 4 2 2 5 5 2 3 3" xfId="41653" xr:uid="{00000000-0005-0000-0000-00009A940000}"/>
    <cellStyle name="Normal 4 2 2 5 5 2 4" xfId="18885" xr:uid="{00000000-0005-0000-0000-00009B940000}"/>
    <cellStyle name="Normal 4 2 2 5 5 2 4 2" xfId="50756" xr:uid="{00000000-0005-0000-0000-00009C940000}"/>
    <cellStyle name="Normal 4 2 2 5 5 2 5" xfId="41650" xr:uid="{00000000-0005-0000-0000-00009D940000}"/>
    <cellStyle name="Normal 4 2 2 5 5 3" xfId="9775" xr:uid="{00000000-0005-0000-0000-00009E940000}"/>
    <cellStyle name="Normal 4 2 2 5 5 3 2" xfId="9776" xr:uid="{00000000-0005-0000-0000-00009F940000}"/>
    <cellStyle name="Normal 4 2 2 5 5 3 2 2" xfId="30701" xr:uid="{00000000-0005-0000-0000-0000A0940000}"/>
    <cellStyle name="Normal 4 2 2 5 5 3 2 2 2" xfId="62572" xr:uid="{00000000-0005-0000-0000-0000A1940000}"/>
    <cellStyle name="Normal 4 2 2 5 5 3 2 3" xfId="41655" xr:uid="{00000000-0005-0000-0000-0000A2940000}"/>
    <cellStyle name="Normal 4 2 2 5 5 3 3" xfId="22823" xr:uid="{00000000-0005-0000-0000-0000A3940000}"/>
    <cellStyle name="Normal 4 2 2 5 5 3 3 2" xfId="54694" xr:uid="{00000000-0005-0000-0000-0000A4940000}"/>
    <cellStyle name="Normal 4 2 2 5 5 3 4" xfId="41654" xr:uid="{00000000-0005-0000-0000-0000A5940000}"/>
    <cellStyle name="Normal 4 2 2 5 5 4" xfId="9777" xr:uid="{00000000-0005-0000-0000-0000A6940000}"/>
    <cellStyle name="Normal 4 2 2 5 5 4 2" xfId="26762" xr:uid="{00000000-0005-0000-0000-0000A7940000}"/>
    <cellStyle name="Normal 4 2 2 5 5 4 2 2" xfId="58633" xr:uid="{00000000-0005-0000-0000-0000A8940000}"/>
    <cellStyle name="Normal 4 2 2 5 5 4 3" xfId="41656" xr:uid="{00000000-0005-0000-0000-0000A9940000}"/>
    <cellStyle name="Normal 4 2 2 5 5 5" xfId="18884" xr:uid="{00000000-0005-0000-0000-0000AA940000}"/>
    <cellStyle name="Normal 4 2 2 5 5 5 2" xfId="50755" xr:uid="{00000000-0005-0000-0000-0000AB940000}"/>
    <cellStyle name="Normal 4 2 2 5 5 6" xfId="41649" xr:uid="{00000000-0005-0000-0000-0000AC940000}"/>
    <cellStyle name="Normal 4 2 2 5 6" xfId="9778" xr:uid="{00000000-0005-0000-0000-0000AD940000}"/>
    <cellStyle name="Normal 4 2 2 5 6 2" xfId="9779" xr:uid="{00000000-0005-0000-0000-0000AE940000}"/>
    <cellStyle name="Normal 4 2 2 5 6 2 2" xfId="9780" xr:uid="{00000000-0005-0000-0000-0000AF940000}"/>
    <cellStyle name="Normal 4 2 2 5 6 2 2 2" xfId="30703" xr:uid="{00000000-0005-0000-0000-0000B0940000}"/>
    <cellStyle name="Normal 4 2 2 5 6 2 2 2 2" xfId="62574" xr:uid="{00000000-0005-0000-0000-0000B1940000}"/>
    <cellStyle name="Normal 4 2 2 5 6 2 2 3" xfId="41659" xr:uid="{00000000-0005-0000-0000-0000B2940000}"/>
    <cellStyle name="Normal 4 2 2 5 6 2 3" xfId="22825" xr:uid="{00000000-0005-0000-0000-0000B3940000}"/>
    <cellStyle name="Normal 4 2 2 5 6 2 3 2" xfId="54696" xr:uid="{00000000-0005-0000-0000-0000B4940000}"/>
    <cellStyle name="Normal 4 2 2 5 6 2 4" xfId="41658" xr:uid="{00000000-0005-0000-0000-0000B5940000}"/>
    <cellStyle name="Normal 4 2 2 5 6 3" xfId="9781" xr:uid="{00000000-0005-0000-0000-0000B6940000}"/>
    <cellStyle name="Normal 4 2 2 5 6 3 2" xfId="26764" xr:uid="{00000000-0005-0000-0000-0000B7940000}"/>
    <cellStyle name="Normal 4 2 2 5 6 3 2 2" xfId="58635" xr:uid="{00000000-0005-0000-0000-0000B8940000}"/>
    <cellStyle name="Normal 4 2 2 5 6 3 3" xfId="41660" xr:uid="{00000000-0005-0000-0000-0000B9940000}"/>
    <cellStyle name="Normal 4 2 2 5 6 4" xfId="18886" xr:uid="{00000000-0005-0000-0000-0000BA940000}"/>
    <cellStyle name="Normal 4 2 2 5 6 4 2" xfId="50757" xr:uid="{00000000-0005-0000-0000-0000BB940000}"/>
    <cellStyle name="Normal 4 2 2 5 6 5" xfId="41657" xr:uid="{00000000-0005-0000-0000-0000BC940000}"/>
    <cellStyle name="Normal 4 2 2 5 7" xfId="9782" xr:uid="{00000000-0005-0000-0000-0000BD940000}"/>
    <cellStyle name="Normal 4 2 2 5 7 2" xfId="9783" xr:uid="{00000000-0005-0000-0000-0000BE940000}"/>
    <cellStyle name="Normal 4 2 2 5 7 2 2" xfId="28306" xr:uid="{00000000-0005-0000-0000-0000BF940000}"/>
    <cellStyle name="Normal 4 2 2 5 7 2 2 2" xfId="60177" xr:uid="{00000000-0005-0000-0000-0000C0940000}"/>
    <cellStyle name="Normal 4 2 2 5 7 2 3" xfId="41662" xr:uid="{00000000-0005-0000-0000-0000C1940000}"/>
    <cellStyle name="Normal 4 2 2 5 7 3" xfId="20428" xr:uid="{00000000-0005-0000-0000-0000C2940000}"/>
    <cellStyle name="Normal 4 2 2 5 7 3 2" xfId="52299" xr:uid="{00000000-0005-0000-0000-0000C3940000}"/>
    <cellStyle name="Normal 4 2 2 5 7 4" xfId="41661" xr:uid="{00000000-0005-0000-0000-0000C4940000}"/>
    <cellStyle name="Normal 4 2 2 5 8" xfId="9784" xr:uid="{00000000-0005-0000-0000-0000C5940000}"/>
    <cellStyle name="Normal 4 2 2 5 8 2" xfId="24367" xr:uid="{00000000-0005-0000-0000-0000C6940000}"/>
    <cellStyle name="Normal 4 2 2 5 8 2 2" xfId="56238" xr:uid="{00000000-0005-0000-0000-0000C7940000}"/>
    <cellStyle name="Normal 4 2 2 5 8 3" xfId="41663" xr:uid="{00000000-0005-0000-0000-0000C8940000}"/>
    <cellStyle name="Normal 4 2 2 5 9" xfId="16489" xr:uid="{00000000-0005-0000-0000-0000C9940000}"/>
    <cellStyle name="Normal 4 2 2 5 9 2" xfId="48360" xr:uid="{00000000-0005-0000-0000-0000CA940000}"/>
    <cellStyle name="Normal 4 2 2 6" xfId="9785" xr:uid="{00000000-0005-0000-0000-0000CB940000}"/>
    <cellStyle name="Normal 4 2 2 6 10" xfId="41664" xr:uid="{00000000-0005-0000-0000-0000CC940000}"/>
    <cellStyle name="Normal 4 2 2 6 2" xfId="9786" xr:uid="{00000000-0005-0000-0000-0000CD940000}"/>
    <cellStyle name="Normal 4 2 2 6 2 2" xfId="9787" xr:uid="{00000000-0005-0000-0000-0000CE940000}"/>
    <cellStyle name="Normal 4 2 2 6 2 2 2" xfId="9788" xr:uid="{00000000-0005-0000-0000-0000CF940000}"/>
    <cellStyle name="Normal 4 2 2 6 2 2 2 2" xfId="9789" xr:uid="{00000000-0005-0000-0000-0000D0940000}"/>
    <cellStyle name="Normal 4 2 2 6 2 2 2 2 2" xfId="9790" xr:uid="{00000000-0005-0000-0000-0000D1940000}"/>
    <cellStyle name="Normal 4 2 2 6 2 2 2 2 2 2" xfId="9791" xr:uid="{00000000-0005-0000-0000-0000D2940000}"/>
    <cellStyle name="Normal 4 2 2 6 2 2 2 2 2 2 2" xfId="9792" xr:uid="{00000000-0005-0000-0000-0000D3940000}"/>
    <cellStyle name="Normal 4 2 2 6 2 2 2 2 2 2 2 2" xfId="30707" xr:uid="{00000000-0005-0000-0000-0000D4940000}"/>
    <cellStyle name="Normal 4 2 2 6 2 2 2 2 2 2 2 2 2" xfId="62578" xr:uid="{00000000-0005-0000-0000-0000D5940000}"/>
    <cellStyle name="Normal 4 2 2 6 2 2 2 2 2 2 2 3" xfId="41671" xr:uid="{00000000-0005-0000-0000-0000D6940000}"/>
    <cellStyle name="Normal 4 2 2 6 2 2 2 2 2 2 3" xfId="22829" xr:uid="{00000000-0005-0000-0000-0000D7940000}"/>
    <cellStyle name="Normal 4 2 2 6 2 2 2 2 2 2 3 2" xfId="54700" xr:uid="{00000000-0005-0000-0000-0000D8940000}"/>
    <cellStyle name="Normal 4 2 2 6 2 2 2 2 2 2 4" xfId="41670" xr:uid="{00000000-0005-0000-0000-0000D9940000}"/>
    <cellStyle name="Normal 4 2 2 6 2 2 2 2 2 3" xfId="9793" xr:uid="{00000000-0005-0000-0000-0000DA940000}"/>
    <cellStyle name="Normal 4 2 2 6 2 2 2 2 2 3 2" xfId="26768" xr:uid="{00000000-0005-0000-0000-0000DB940000}"/>
    <cellStyle name="Normal 4 2 2 6 2 2 2 2 2 3 2 2" xfId="58639" xr:uid="{00000000-0005-0000-0000-0000DC940000}"/>
    <cellStyle name="Normal 4 2 2 6 2 2 2 2 2 3 3" xfId="41672" xr:uid="{00000000-0005-0000-0000-0000DD940000}"/>
    <cellStyle name="Normal 4 2 2 6 2 2 2 2 2 4" xfId="18890" xr:uid="{00000000-0005-0000-0000-0000DE940000}"/>
    <cellStyle name="Normal 4 2 2 6 2 2 2 2 2 4 2" xfId="50761" xr:uid="{00000000-0005-0000-0000-0000DF940000}"/>
    <cellStyle name="Normal 4 2 2 6 2 2 2 2 2 5" xfId="41669" xr:uid="{00000000-0005-0000-0000-0000E0940000}"/>
    <cellStyle name="Normal 4 2 2 6 2 2 2 2 3" xfId="9794" xr:uid="{00000000-0005-0000-0000-0000E1940000}"/>
    <cellStyle name="Normal 4 2 2 6 2 2 2 2 3 2" xfId="9795" xr:uid="{00000000-0005-0000-0000-0000E2940000}"/>
    <cellStyle name="Normal 4 2 2 6 2 2 2 2 3 2 2" xfId="30706" xr:uid="{00000000-0005-0000-0000-0000E3940000}"/>
    <cellStyle name="Normal 4 2 2 6 2 2 2 2 3 2 2 2" xfId="62577" xr:uid="{00000000-0005-0000-0000-0000E4940000}"/>
    <cellStyle name="Normal 4 2 2 6 2 2 2 2 3 2 3" xfId="41674" xr:uid="{00000000-0005-0000-0000-0000E5940000}"/>
    <cellStyle name="Normal 4 2 2 6 2 2 2 2 3 3" xfId="22828" xr:uid="{00000000-0005-0000-0000-0000E6940000}"/>
    <cellStyle name="Normal 4 2 2 6 2 2 2 2 3 3 2" xfId="54699" xr:uid="{00000000-0005-0000-0000-0000E7940000}"/>
    <cellStyle name="Normal 4 2 2 6 2 2 2 2 3 4" xfId="41673" xr:uid="{00000000-0005-0000-0000-0000E8940000}"/>
    <cellStyle name="Normal 4 2 2 6 2 2 2 2 4" xfId="9796" xr:uid="{00000000-0005-0000-0000-0000E9940000}"/>
    <cellStyle name="Normal 4 2 2 6 2 2 2 2 4 2" xfId="26767" xr:uid="{00000000-0005-0000-0000-0000EA940000}"/>
    <cellStyle name="Normal 4 2 2 6 2 2 2 2 4 2 2" xfId="58638" xr:uid="{00000000-0005-0000-0000-0000EB940000}"/>
    <cellStyle name="Normal 4 2 2 6 2 2 2 2 4 3" xfId="41675" xr:uid="{00000000-0005-0000-0000-0000EC940000}"/>
    <cellStyle name="Normal 4 2 2 6 2 2 2 2 5" xfId="18889" xr:uid="{00000000-0005-0000-0000-0000ED940000}"/>
    <cellStyle name="Normal 4 2 2 6 2 2 2 2 5 2" xfId="50760" xr:uid="{00000000-0005-0000-0000-0000EE940000}"/>
    <cellStyle name="Normal 4 2 2 6 2 2 2 2 6" xfId="41668" xr:uid="{00000000-0005-0000-0000-0000EF940000}"/>
    <cellStyle name="Normal 4 2 2 6 2 2 2 3" xfId="9797" xr:uid="{00000000-0005-0000-0000-0000F0940000}"/>
    <cellStyle name="Normal 4 2 2 6 2 2 2 3 2" xfId="9798" xr:uid="{00000000-0005-0000-0000-0000F1940000}"/>
    <cellStyle name="Normal 4 2 2 6 2 2 2 3 2 2" xfId="9799" xr:uid="{00000000-0005-0000-0000-0000F2940000}"/>
    <cellStyle name="Normal 4 2 2 6 2 2 2 3 2 2 2" xfId="30708" xr:uid="{00000000-0005-0000-0000-0000F3940000}"/>
    <cellStyle name="Normal 4 2 2 6 2 2 2 3 2 2 2 2" xfId="62579" xr:uid="{00000000-0005-0000-0000-0000F4940000}"/>
    <cellStyle name="Normal 4 2 2 6 2 2 2 3 2 2 3" xfId="41678" xr:uid="{00000000-0005-0000-0000-0000F5940000}"/>
    <cellStyle name="Normal 4 2 2 6 2 2 2 3 2 3" xfId="22830" xr:uid="{00000000-0005-0000-0000-0000F6940000}"/>
    <cellStyle name="Normal 4 2 2 6 2 2 2 3 2 3 2" xfId="54701" xr:uid="{00000000-0005-0000-0000-0000F7940000}"/>
    <cellStyle name="Normal 4 2 2 6 2 2 2 3 2 4" xfId="41677" xr:uid="{00000000-0005-0000-0000-0000F8940000}"/>
    <cellStyle name="Normal 4 2 2 6 2 2 2 3 3" xfId="9800" xr:uid="{00000000-0005-0000-0000-0000F9940000}"/>
    <cellStyle name="Normal 4 2 2 6 2 2 2 3 3 2" xfId="26769" xr:uid="{00000000-0005-0000-0000-0000FA940000}"/>
    <cellStyle name="Normal 4 2 2 6 2 2 2 3 3 2 2" xfId="58640" xr:uid="{00000000-0005-0000-0000-0000FB940000}"/>
    <cellStyle name="Normal 4 2 2 6 2 2 2 3 3 3" xfId="41679" xr:uid="{00000000-0005-0000-0000-0000FC940000}"/>
    <cellStyle name="Normal 4 2 2 6 2 2 2 3 4" xfId="18891" xr:uid="{00000000-0005-0000-0000-0000FD940000}"/>
    <cellStyle name="Normal 4 2 2 6 2 2 2 3 4 2" xfId="50762" xr:uid="{00000000-0005-0000-0000-0000FE940000}"/>
    <cellStyle name="Normal 4 2 2 6 2 2 2 3 5" xfId="41676" xr:uid="{00000000-0005-0000-0000-0000FF940000}"/>
    <cellStyle name="Normal 4 2 2 6 2 2 2 4" xfId="9801" xr:uid="{00000000-0005-0000-0000-000000950000}"/>
    <cellStyle name="Normal 4 2 2 6 2 2 2 4 2" xfId="9802" xr:uid="{00000000-0005-0000-0000-000001950000}"/>
    <cellStyle name="Normal 4 2 2 6 2 2 2 4 2 2" xfId="30705" xr:uid="{00000000-0005-0000-0000-000002950000}"/>
    <cellStyle name="Normal 4 2 2 6 2 2 2 4 2 2 2" xfId="62576" xr:uid="{00000000-0005-0000-0000-000003950000}"/>
    <cellStyle name="Normal 4 2 2 6 2 2 2 4 2 3" xfId="41681" xr:uid="{00000000-0005-0000-0000-000004950000}"/>
    <cellStyle name="Normal 4 2 2 6 2 2 2 4 3" xfId="22827" xr:uid="{00000000-0005-0000-0000-000005950000}"/>
    <cellStyle name="Normal 4 2 2 6 2 2 2 4 3 2" xfId="54698" xr:uid="{00000000-0005-0000-0000-000006950000}"/>
    <cellStyle name="Normal 4 2 2 6 2 2 2 4 4" xfId="41680" xr:uid="{00000000-0005-0000-0000-000007950000}"/>
    <cellStyle name="Normal 4 2 2 6 2 2 2 5" xfId="9803" xr:uid="{00000000-0005-0000-0000-000008950000}"/>
    <cellStyle name="Normal 4 2 2 6 2 2 2 5 2" xfId="26766" xr:uid="{00000000-0005-0000-0000-000009950000}"/>
    <cellStyle name="Normal 4 2 2 6 2 2 2 5 2 2" xfId="58637" xr:uid="{00000000-0005-0000-0000-00000A950000}"/>
    <cellStyle name="Normal 4 2 2 6 2 2 2 5 3" xfId="41682" xr:uid="{00000000-0005-0000-0000-00000B950000}"/>
    <cellStyle name="Normal 4 2 2 6 2 2 2 6" xfId="18888" xr:uid="{00000000-0005-0000-0000-00000C950000}"/>
    <cellStyle name="Normal 4 2 2 6 2 2 2 6 2" xfId="50759" xr:uid="{00000000-0005-0000-0000-00000D950000}"/>
    <cellStyle name="Normal 4 2 2 6 2 2 2 7" xfId="41667" xr:uid="{00000000-0005-0000-0000-00000E950000}"/>
    <cellStyle name="Normal 4 2 2 6 2 2 3" xfId="9804" xr:uid="{00000000-0005-0000-0000-00000F950000}"/>
    <cellStyle name="Normal 4 2 2 6 2 2 3 2" xfId="9805" xr:uid="{00000000-0005-0000-0000-000010950000}"/>
    <cellStyle name="Normal 4 2 2 6 2 2 3 2 2" xfId="9806" xr:uid="{00000000-0005-0000-0000-000011950000}"/>
    <cellStyle name="Normal 4 2 2 6 2 2 3 2 2 2" xfId="9807" xr:uid="{00000000-0005-0000-0000-000012950000}"/>
    <cellStyle name="Normal 4 2 2 6 2 2 3 2 2 2 2" xfId="30710" xr:uid="{00000000-0005-0000-0000-000013950000}"/>
    <cellStyle name="Normal 4 2 2 6 2 2 3 2 2 2 2 2" xfId="62581" xr:uid="{00000000-0005-0000-0000-000014950000}"/>
    <cellStyle name="Normal 4 2 2 6 2 2 3 2 2 2 3" xfId="41686" xr:uid="{00000000-0005-0000-0000-000015950000}"/>
    <cellStyle name="Normal 4 2 2 6 2 2 3 2 2 3" xfId="22832" xr:uid="{00000000-0005-0000-0000-000016950000}"/>
    <cellStyle name="Normal 4 2 2 6 2 2 3 2 2 3 2" xfId="54703" xr:uid="{00000000-0005-0000-0000-000017950000}"/>
    <cellStyle name="Normal 4 2 2 6 2 2 3 2 2 4" xfId="41685" xr:uid="{00000000-0005-0000-0000-000018950000}"/>
    <cellStyle name="Normal 4 2 2 6 2 2 3 2 3" xfId="9808" xr:uid="{00000000-0005-0000-0000-000019950000}"/>
    <cellStyle name="Normal 4 2 2 6 2 2 3 2 3 2" xfId="26771" xr:uid="{00000000-0005-0000-0000-00001A950000}"/>
    <cellStyle name="Normal 4 2 2 6 2 2 3 2 3 2 2" xfId="58642" xr:uid="{00000000-0005-0000-0000-00001B950000}"/>
    <cellStyle name="Normal 4 2 2 6 2 2 3 2 3 3" xfId="41687" xr:uid="{00000000-0005-0000-0000-00001C950000}"/>
    <cellStyle name="Normal 4 2 2 6 2 2 3 2 4" xfId="18893" xr:uid="{00000000-0005-0000-0000-00001D950000}"/>
    <cellStyle name="Normal 4 2 2 6 2 2 3 2 4 2" xfId="50764" xr:uid="{00000000-0005-0000-0000-00001E950000}"/>
    <cellStyle name="Normal 4 2 2 6 2 2 3 2 5" xfId="41684" xr:uid="{00000000-0005-0000-0000-00001F950000}"/>
    <cellStyle name="Normal 4 2 2 6 2 2 3 3" xfId="9809" xr:uid="{00000000-0005-0000-0000-000020950000}"/>
    <cellStyle name="Normal 4 2 2 6 2 2 3 3 2" xfId="9810" xr:uid="{00000000-0005-0000-0000-000021950000}"/>
    <cellStyle name="Normal 4 2 2 6 2 2 3 3 2 2" xfId="30709" xr:uid="{00000000-0005-0000-0000-000022950000}"/>
    <cellStyle name="Normal 4 2 2 6 2 2 3 3 2 2 2" xfId="62580" xr:uid="{00000000-0005-0000-0000-000023950000}"/>
    <cellStyle name="Normal 4 2 2 6 2 2 3 3 2 3" xfId="41689" xr:uid="{00000000-0005-0000-0000-000024950000}"/>
    <cellStyle name="Normal 4 2 2 6 2 2 3 3 3" xfId="22831" xr:uid="{00000000-0005-0000-0000-000025950000}"/>
    <cellStyle name="Normal 4 2 2 6 2 2 3 3 3 2" xfId="54702" xr:uid="{00000000-0005-0000-0000-000026950000}"/>
    <cellStyle name="Normal 4 2 2 6 2 2 3 3 4" xfId="41688" xr:uid="{00000000-0005-0000-0000-000027950000}"/>
    <cellStyle name="Normal 4 2 2 6 2 2 3 4" xfId="9811" xr:uid="{00000000-0005-0000-0000-000028950000}"/>
    <cellStyle name="Normal 4 2 2 6 2 2 3 4 2" xfId="26770" xr:uid="{00000000-0005-0000-0000-000029950000}"/>
    <cellStyle name="Normal 4 2 2 6 2 2 3 4 2 2" xfId="58641" xr:uid="{00000000-0005-0000-0000-00002A950000}"/>
    <cellStyle name="Normal 4 2 2 6 2 2 3 4 3" xfId="41690" xr:uid="{00000000-0005-0000-0000-00002B950000}"/>
    <cellStyle name="Normal 4 2 2 6 2 2 3 5" xfId="18892" xr:uid="{00000000-0005-0000-0000-00002C950000}"/>
    <cellStyle name="Normal 4 2 2 6 2 2 3 5 2" xfId="50763" xr:uid="{00000000-0005-0000-0000-00002D950000}"/>
    <cellStyle name="Normal 4 2 2 6 2 2 3 6" xfId="41683" xr:uid="{00000000-0005-0000-0000-00002E950000}"/>
    <cellStyle name="Normal 4 2 2 6 2 2 4" xfId="9812" xr:uid="{00000000-0005-0000-0000-00002F950000}"/>
    <cellStyle name="Normal 4 2 2 6 2 2 4 2" xfId="9813" xr:uid="{00000000-0005-0000-0000-000030950000}"/>
    <cellStyle name="Normal 4 2 2 6 2 2 4 2 2" xfId="9814" xr:uid="{00000000-0005-0000-0000-000031950000}"/>
    <cellStyle name="Normal 4 2 2 6 2 2 4 2 2 2" xfId="30711" xr:uid="{00000000-0005-0000-0000-000032950000}"/>
    <cellStyle name="Normal 4 2 2 6 2 2 4 2 2 2 2" xfId="62582" xr:uid="{00000000-0005-0000-0000-000033950000}"/>
    <cellStyle name="Normal 4 2 2 6 2 2 4 2 2 3" xfId="41693" xr:uid="{00000000-0005-0000-0000-000034950000}"/>
    <cellStyle name="Normal 4 2 2 6 2 2 4 2 3" xfId="22833" xr:uid="{00000000-0005-0000-0000-000035950000}"/>
    <cellStyle name="Normal 4 2 2 6 2 2 4 2 3 2" xfId="54704" xr:uid="{00000000-0005-0000-0000-000036950000}"/>
    <cellStyle name="Normal 4 2 2 6 2 2 4 2 4" xfId="41692" xr:uid="{00000000-0005-0000-0000-000037950000}"/>
    <cellStyle name="Normal 4 2 2 6 2 2 4 3" xfId="9815" xr:uid="{00000000-0005-0000-0000-000038950000}"/>
    <cellStyle name="Normal 4 2 2 6 2 2 4 3 2" xfId="26772" xr:uid="{00000000-0005-0000-0000-000039950000}"/>
    <cellStyle name="Normal 4 2 2 6 2 2 4 3 2 2" xfId="58643" xr:uid="{00000000-0005-0000-0000-00003A950000}"/>
    <cellStyle name="Normal 4 2 2 6 2 2 4 3 3" xfId="41694" xr:uid="{00000000-0005-0000-0000-00003B950000}"/>
    <cellStyle name="Normal 4 2 2 6 2 2 4 4" xfId="18894" xr:uid="{00000000-0005-0000-0000-00003C950000}"/>
    <cellStyle name="Normal 4 2 2 6 2 2 4 4 2" xfId="50765" xr:uid="{00000000-0005-0000-0000-00003D950000}"/>
    <cellStyle name="Normal 4 2 2 6 2 2 4 5" xfId="41691" xr:uid="{00000000-0005-0000-0000-00003E950000}"/>
    <cellStyle name="Normal 4 2 2 6 2 2 5" xfId="9816" xr:uid="{00000000-0005-0000-0000-00003F950000}"/>
    <cellStyle name="Normal 4 2 2 6 2 2 5 2" xfId="9817" xr:uid="{00000000-0005-0000-0000-000040950000}"/>
    <cellStyle name="Normal 4 2 2 6 2 2 5 2 2" xfId="30704" xr:uid="{00000000-0005-0000-0000-000041950000}"/>
    <cellStyle name="Normal 4 2 2 6 2 2 5 2 2 2" xfId="62575" xr:uid="{00000000-0005-0000-0000-000042950000}"/>
    <cellStyle name="Normal 4 2 2 6 2 2 5 2 3" xfId="41696" xr:uid="{00000000-0005-0000-0000-000043950000}"/>
    <cellStyle name="Normal 4 2 2 6 2 2 5 3" xfId="22826" xr:uid="{00000000-0005-0000-0000-000044950000}"/>
    <cellStyle name="Normal 4 2 2 6 2 2 5 3 2" xfId="54697" xr:uid="{00000000-0005-0000-0000-000045950000}"/>
    <cellStyle name="Normal 4 2 2 6 2 2 5 4" xfId="41695" xr:uid="{00000000-0005-0000-0000-000046950000}"/>
    <cellStyle name="Normal 4 2 2 6 2 2 6" xfId="9818" xr:uid="{00000000-0005-0000-0000-000047950000}"/>
    <cellStyle name="Normal 4 2 2 6 2 2 6 2" xfId="26765" xr:uid="{00000000-0005-0000-0000-000048950000}"/>
    <cellStyle name="Normal 4 2 2 6 2 2 6 2 2" xfId="58636" xr:uid="{00000000-0005-0000-0000-000049950000}"/>
    <cellStyle name="Normal 4 2 2 6 2 2 6 3" xfId="41697" xr:uid="{00000000-0005-0000-0000-00004A950000}"/>
    <cellStyle name="Normal 4 2 2 6 2 2 7" xfId="18887" xr:uid="{00000000-0005-0000-0000-00004B950000}"/>
    <cellStyle name="Normal 4 2 2 6 2 2 7 2" xfId="50758" xr:uid="{00000000-0005-0000-0000-00004C950000}"/>
    <cellStyle name="Normal 4 2 2 6 2 2 8" xfId="41666" xr:uid="{00000000-0005-0000-0000-00004D950000}"/>
    <cellStyle name="Normal 4 2 2 6 2 3" xfId="9819" xr:uid="{00000000-0005-0000-0000-00004E950000}"/>
    <cellStyle name="Normal 4 2 2 6 2 3 2" xfId="9820" xr:uid="{00000000-0005-0000-0000-00004F950000}"/>
    <cellStyle name="Normal 4 2 2 6 2 3 2 2" xfId="9821" xr:uid="{00000000-0005-0000-0000-000050950000}"/>
    <cellStyle name="Normal 4 2 2 6 2 3 2 2 2" xfId="9822" xr:uid="{00000000-0005-0000-0000-000051950000}"/>
    <cellStyle name="Normal 4 2 2 6 2 3 2 2 2 2" xfId="9823" xr:uid="{00000000-0005-0000-0000-000052950000}"/>
    <cellStyle name="Normal 4 2 2 6 2 3 2 2 2 2 2" xfId="30714" xr:uid="{00000000-0005-0000-0000-000053950000}"/>
    <cellStyle name="Normal 4 2 2 6 2 3 2 2 2 2 2 2" xfId="62585" xr:uid="{00000000-0005-0000-0000-000054950000}"/>
    <cellStyle name="Normal 4 2 2 6 2 3 2 2 2 2 3" xfId="41702" xr:uid="{00000000-0005-0000-0000-000055950000}"/>
    <cellStyle name="Normal 4 2 2 6 2 3 2 2 2 3" xfId="22836" xr:uid="{00000000-0005-0000-0000-000056950000}"/>
    <cellStyle name="Normal 4 2 2 6 2 3 2 2 2 3 2" xfId="54707" xr:uid="{00000000-0005-0000-0000-000057950000}"/>
    <cellStyle name="Normal 4 2 2 6 2 3 2 2 2 4" xfId="41701" xr:uid="{00000000-0005-0000-0000-000058950000}"/>
    <cellStyle name="Normal 4 2 2 6 2 3 2 2 3" xfId="9824" xr:uid="{00000000-0005-0000-0000-000059950000}"/>
    <cellStyle name="Normal 4 2 2 6 2 3 2 2 3 2" xfId="26775" xr:uid="{00000000-0005-0000-0000-00005A950000}"/>
    <cellStyle name="Normal 4 2 2 6 2 3 2 2 3 2 2" xfId="58646" xr:uid="{00000000-0005-0000-0000-00005B950000}"/>
    <cellStyle name="Normal 4 2 2 6 2 3 2 2 3 3" xfId="41703" xr:uid="{00000000-0005-0000-0000-00005C950000}"/>
    <cellStyle name="Normal 4 2 2 6 2 3 2 2 4" xfId="18897" xr:uid="{00000000-0005-0000-0000-00005D950000}"/>
    <cellStyle name="Normal 4 2 2 6 2 3 2 2 4 2" xfId="50768" xr:uid="{00000000-0005-0000-0000-00005E950000}"/>
    <cellStyle name="Normal 4 2 2 6 2 3 2 2 5" xfId="41700" xr:uid="{00000000-0005-0000-0000-00005F950000}"/>
    <cellStyle name="Normal 4 2 2 6 2 3 2 3" xfId="9825" xr:uid="{00000000-0005-0000-0000-000060950000}"/>
    <cellStyle name="Normal 4 2 2 6 2 3 2 3 2" xfId="9826" xr:uid="{00000000-0005-0000-0000-000061950000}"/>
    <cellStyle name="Normal 4 2 2 6 2 3 2 3 2 2" xfId="30713" xr:uid="{00000000-0005-0000-0000-000062950000}"/>
    <cellStyle name="Normal 4 2 2 6 2 3 2 3 2 2 2" xfId="62584" xr:uid="{00000000-0005-0000-0000-000063950000}"/>
    <cellStyle name="Normal 4 2 2 6 2 3 2 3 2 3" xfId="41705" xr:uid="{00000000-0005-0000-0000-000064950000}"/>
    <cellStyle name="Normal 4 2 2 6 2 3 2 3 3" xfId="22835" xr:uid="{00000000-0005-0000-0000-000065950000}"/>
    <cellStyle name="Normal 4 2 2 6 2 3 2 3 3 2" xfId="54706" xr:uid="{00000000-0005-0000-0000-000066950000}"/>
    <cellStyle name="Normal 4 2 2 6 2 3 2 3 4" xfId="41704" xr:uid="{00000000-0005-0000-0000-000067950000}"/>
    <cellStyle name="Normal 4 2 2 6 2 3 2 4" xfId="9827" xr:uid="{00000000-0005-0000-0000-000068950000}"/>
    <cellStyle name="Normal 4 2 2 6 2 3 2 4 2" xfId="26774" xr:uid="{00000000-0005-0000-0000-000069950000}"/>
    <cellStyle name="Normal 4 2 2 6 2 3 2 4 2 2" xfId="58645" xr:uid="{00000000-0005-0000-0000-00006A950000}"/>
    <cellStyle name="Normal 4 2 2 6 2 3 2 4 3" xfId="41706" xr:uid="{00000000-0005-0000-0000-00006B950000}"/>
    <cellStyle name="Normal 4 2 2 6 2 3 2 5" xfId="18896" xr:uid="{00000000-0005-0000-0000-00006C950000}"/>
    <cellStyle name="Normal 4 2 2 6 2 3 2 5 2" xfId="50767" xr:uid="{00000000-0005-0000-0000-00006D950000}"/>
    <cellStyle name="Normal 4 2 2 6 2 3 2 6" xfId="41699" xr:uid="{00000000-0005-0000-0000-00006E950000}"/>
    <cellStyle name="Normal 4 2 2 6 2 3 3" xfId="9828" xr:uid="{00000000-0005-0000-0000-00006F950000}"/>
    <cellStyle name="Normal 4 2 2 6 2 3 3 2" xfId="9829" xr:uid="{00000000-0005-0000-0000-000070950000}"/>
    <cellStyle name="Normal 4 2 2 6 2 3 3 2 2" xfId="9830" xr:uid="{00000000-0005-0000-0000-000071950000}"/>
    <cellStyle name="Normal 4 2 2 6 2 3 3 2 2 2" xfId="30715" xr:uid="{00000000-0005-0000-0000-000072950000}"/>
    <cellStyle name="Normal 4 2 2 6 2 3 3 2 2 2 2" xfId="62586" xr:uid="{00000000-0005-0000-0000-000073950000}"/>
    <cellStyle name="Normal 4 2 2 6 2 3 3 2 2 3" xfId="41709" xr:uid="{00000000-0005-0000-0000-000074950000}"/>
    <cellStyle name="Normal 4 2 2 6 2 3 3 2 3" xfId="22837" xr:uid="{00000000-0005-0000-0000-000075950000}"/>
    <cellStyle name="Normal 4 2 2 6 2 3 3 2 3 2" xfId="54708" xr:uid="{00000000-0005-0000-0000-000076950000}"/>
    <cellStyle name="Normal 4 2 2 6 2 3 3 2 4" xfId="41708" xr:uid="{00000000-0005-0000-0000-000077950000}"/>
    <cellStyle name="Normal 4 2 2 6 2 3 3 3" xfId="9831" xr:uid="{00000000-0005-0000-0000-000078950000}"/>
    <cellStyle name="Normal 4 2 2 6 2 3 3 3 2" xfId="26776" xr:uid="{00000000-0005-0000-0000-000079950000}"/>
    <cellStyle name="Normal 4 2 2 6 2 3 3 3 2 2" xfId="58647" xr:uid="{00000000-0005-0000-0000-00007A950000}"/>
    <cellStyle name="Normal 4 2 2 6 2 3 3 3 3" xfId="41710" xr:uid="{00000000-0005-0000-0000-00007B950000}"/>
    <cellStyle name="Normal 4 2 2 6 2 3 3 4" xfId="18898" xr:uid="{00000000-0005-0000-0000-00007C950000}"/>
    <cellStyle name="Normal 4 2 2 6 2 3 3 4 2" xfId="50769" xr:uid="{00000000-0005-0000-0000-00007D950000}"/>
    <cellStyle name="Normal 4 2 2 6 2 3 3 5" xfId="41707" xr:uid="{00000000-0005-0000-0000-00007E950000}"/>
    <cellStyle name="Normal 4 2 2 6 2 3 4" xfId="9832" xr:uid="{00000000-0005-0000-0000-00007F950000}"/>
    <cellStyle name="Normal 4 2 2 6 2 3 4 2" xfId="9833" xr:uid="{00000000-0005-0000-0000-000080950000}"/>
    <cellStyle name="Normal 4 2 2 6 2 3 4 2 2" xfId="30712" xr:uid="{00000000-0005-0000-0000-000081950000}"/>
    <cellStyle name="Normal 4 2 2 6 2 3 4 2 2 2" xfId="62583" xr:uid="{00000000-0005-0000-0000-000082950000}"/>
    <cellStyle name="Normal 4 2 2 6 2 3 4 2 3" xfId="41712" xr:uid="{00000000-0005-0000-0000-000083950000}"/>
    <cellStyle name="Normal 4 2 2 6 2 3 4 3" xfId="22834" xr:uid="{00000000-0005-0000-0000-000084950000}"/>
    <cellStyle name="Normal 4 2 2 6 2 3 4 3 2" xfId="54705" xr:uid="{00000000-0005-0000-0000-000085950000}"/>
    <cellStyle name="Normal 4 2 2 6 2 3 4 4" xfId="41711" xr:uid="{00000000-0005-0000-0000-000086950000}"/>
    <cellStyle name="Normal 4 2 2 6 2 3 5" xfId="9834" xr:uid="{00000000-0005-0000-0000-000087950000}"/>
    <cellStyle name="Normal 4 2 2 6 2 3 5 2" xfId="26773" xr:uid="{00000000-0005-0000-0000-000088950000}"/>
    <cellStyle name="Normal 4 2 2 6 2 3 5 2 2" xfId="58644" xr:uid="{00000000-0005-0000-0000-000089950000}"/>
    <cellStyle name="Normal 4 2 2 6 2 3 5 3" xfId="41713" xr:uid="{00000000-0005-0000-0000-00008A950000}"/>
    <cellStyle name="Normal 4 2 2 6 2 3 6" xfId="18895" xr:uid="{00000000-0005-0000-0000-00008B950000}"/>
    <cellStyle name="Normal 4 2 2 6 2 3 6 2" xfId="50766" xr:uid="{00000000-0005-0000-0000-00008C950000}"/>
    <cellStyle name="Normal 4 2 2 6 2 3 7" xfId="41698" xr:uid="{00000000-0005-0000-0000-00008D950000}"/>
    <cellStyle name="Normal 4 2 2 6 2 4" xfId="9835" xr:uid="{00000000-0005-0000-0000-00008E950000}"/>
    <cellStyle name="Normal 4 2 2 6 2 4 2" xfId="9836" xr:uid="{00000000-0005-0000-0000-00008F950000}"/>
    <cellStyle name="Normal 4 2 2 6 2 4 2 2" xfId="9837" xr:uid="{00000000-0005-0000-0000-000090950000}"/>
    <cellStyle name="Normal 4 2 2 6 2 4 2 2 2" xfId="9838" xr:uid="{00000000-0005-0000-0000-000091950000}"/>
    <cellStyle name="Normal 4 2 2 6 2 4 2 2 2 2" xfId="30717" xr:uid="{00000000-0005-0000-0000-000092950000}"/>
    <cellStyle name="Normal 4 2 2 6 2 4 2 2 2 2 2" xfId="62588" xr:uid="{00000000-0005-0000-0000-000093950000}"/>
    <cellStyle name="Normal 4 2 2 6 2 4 2 2 2 3" xfId="41717" xr:uid="{00000000-0005-0000-0000-000094950000}"/>
    <cellStyle name="Normal 4 2 2 6 2 4 2 2 3" xfId="22839" xr:uid="{00000000-0005-0000-0000-000095950000}"/>
    <cellStyle name="Normal 4 2 2 6 2 4 2 2 3 2" xfId="54710" xr:uid="{00000000-0005-0000-0000-000096950000}"/>
    <cellStyle name="Normal 4 2 2 6 2 4 2 2 4" xfId="41716" xr:uid="{00000000-0005-0000-0000-000097950000}"/>
    <cellStyle name="Normal 4 2 2 6 2 4 2 3" xfId="9839" xr:uid="{00000000-0005-0000-0000-000098950000}"/>
    <cellStyle name="Normal 4 2 2 6 2 4 2 3 2" xfId="26778" xr:uid="{00000000-0005-0000-0000-000099950000}"/>
    <cellStyle name="Normal 4 2 2 6 2 4 2 3 2 2" xfId="58649" xr:uid="{00000000-0005-0000-0000-00009A950000}"/>
    <cellStyle name="Normal 4 2 2 6 2 4 2 3 3" xfId="41718" xr:uid="{00000000-0005-0000-0000-00009B950000}"/>
    <cellStyle name="Normal 4 2 2 6 2 4 2 4" xfId="18900" xr:uid="{00000000-0005-0000-0000-00009C950000}"/>
    <cellStyle name="Normal 4 2 2 6 2 4 2 4 2" xfId="50771" xr:uid="{00000000-0005-0000-0000-00009D950000}"/>
    <cellStyle name="Normal 4 2 2 6 2 4 2 5" xfId="41715" xr:uid="{00000000-0005-0000-0000-00009E950000}"/>
    <cellStyle name="Normal 4 2 2 6 2 4 3" xfId="9840" xr:uid="{00000000-0005-0000-0000-00009F950000}"/>
    <cellStyle name="Normal 4 2 2 6 2 4 3 2" xfId="9841" xr:uid="{00000000-0005-0000-0000-0000A0950000}"/>
    <cellStyle name="Normal 4 2 2 6 2 4 3 2 2" xfId="30716" xr:uid="{00000000-0005-0000-0000-0000A1950000}"/>
    <cellStyle name="Normal 4 2 2 6 2 4 3 2 2 2" xfId="62587" xr:uid="{00000000-0005-0000-0000-0000A2950000}"/>
    <cellStyle name="Normal 4 2 2 6 2 4 3 2 3" xfId="41720" xr:uid="{00000000-0005-0000-0000-0000A3950000}"/>
    <cellStyle name="Normal 4 2 2 6 2 4 3 3" xfId="22838" xr:uid="{00000000-0005-0000-0000-0000A4950000}"/>
    <cellStyle name="Normal 4 2 2 6 2 4 3 3 2" xfId="54709" xr:uid="{00000000-0005-0000-0000-0000A5950000}"/>
    <cellStyle name="Normal 4 2 2 6 2 4 3 4" xfId="41719" xr:uid="{00000000-0005-0000-0000-0000A6950000}"/>
    <cellStyle name="Normal 4 2 2 6 2 4 4" xfId="9842" xr:uid="{00000000-0005-0000-0000-0000A7950000}"/>
    <cellStyle name="Normal 4 2 2 6 2 4 4 2" xfId="26777" xr:uid="{00000000-0005-0000-0000-0000A8950000}"/>
    <cellStyle name="Normal 4 2 2 6 2 4 4 2 2" xfId="58648" xr:uid="{00000000-0005-0000-0000-0000A9950000}"/>
    <cellStyle name="Normal 4 2 2 6 2 4 4 3" xfId="41721" xr:uid="{00000000-0005-0000-0000-0000AA950000}"/>
    <cellStyle name="Normal 4 2 2 6 2 4 5" xfId="18899" xr:uid="{00000000-0005-0000-0000-0000AB950000}"/>
    <cellStyle name="Normal 4 2 2 6 2 4 5 2" xfId="50770" xr:uid="{00000000-0005-0000-0000-0000AC950000}"/>
    <cellStyle name="Normal 4 2 2 6 2 4 6" xfId="41714" xr:uid="{00000000-0005-0000-0000-0000AD950000}"/>
    <cellStyle name="Normal 4 2 2 6 2 5" xfId="9843" xr:uid="{00000000-0005-0000-0000-0000AE950000}"/>
    <cellStyle name="Normal 4 2 2 6 2 5 2" xfId="9844" xr:uid="{00000000-0005-0000-0000-0000AF950000}"/>
    <cellStyle name="Normal 4 2 2 6 2 5 2 2" xfId="9845" xr:uid="{00000000-0005-0000-0000-0000B0950000}"/>
    <cellStyle name="Normal 4 2 2 6 2 5 2 2 2" xfId="30718" xr:uid="{00000000-0005-0000-0000-0000B1950000}"/>
    <cellStyle name="Normal 4 2 2 6 2 5 2 2 2 2" xfId="62589" xr:uid="{00000000-0005-0000-0000-0000B2950000}"/>
    <cellStyle name="Normal 4 2 2 6 2 5 2 2 3" xfId="41724" xr:uid="{00000000-0005-0000-0000-0000B3950000}"/>
    <cellStyle name="Normal 4 2 2 6 2 5 2 3" xfId="22840" xr:uid="{00000000-0005-0000-0000-0000B4950000}"/>
    <cellStyle name="Normal 4 2 2 6 2 5 2 3 2" xfId="54711" xr:uid="{00000000-0005-0000-0000-0000B5950000}"/>
    <cellStyle name="Normal 4 2 2 6 2 5 2 4" xfId="41723" xr:uid="{00000000-0005-0000-0000-0000B6950000}"/>
    <cellStyle name="Normal 4 2 2 6 2 5 3" xfId="9846" xr:uid="{00000000-0005-0000-0000-0000B7950000}"/>
    <cellStyle name="Normal 4 2 2 6 2 5 3 2" xfId="26779" xr:uid="{00000000-0005-0000-0000-0000B8950000}"/>
    <cellStyle name="Normal 4 2 2 6 2 5 3 2 2" xfId="58650" xr:uid="{00000000-0005-0000-0000-0000B9950000}"/>
    <cellStyle name="Normal 4 2 2 6 2 5 3 3" xfId="41725" xr:uid="{00000000-0005-0000-0000-0000BA950000}"/>
    <cellStyle name="Normal 4 2 2 6 2 5 4" xfId="18901" xr:uid="{00000000-0005-0000-0000-0000BB950000}"/>
    <cellStyle name="Normal 4 2 2 6 2 5 4 2" xfId="50772" xr:uid="{00000000-0005-0000-0000-0000BC950000}"/>
    <cellStyle name="Normal 4 2 2 6 2 5 5" xfId="41722" xr:uid="{00000000-0005-0000-0000-0000BD950000}"/>
    <cellStyle name="Normal 4 2 2 6 2 6" xfId="9847" xr:uid="{00000000-0005-0000-0000-0000BE950000}"/>
    <cellStyle name="Normal 4 2 2 6 2 6 2" xfId="9848" xr:uid="{00000000-0005-0000-0000-0000BF950000}"/>
    <cellStyle name="Normal 4 2 2 6 2 6 2 2" xfId="28470" xr:uid="{00000000-0005-0000-0000-0000C0950000}"/>
    <cellStyle name="Normal 4 2 2 6 2 6 2 2 2" xfId="60341" xr:uid="{00000000-0005-0000-0000-0000C1950000}"/>
    <cellStyle name="Normal 4 2 2 6 2 6 2 3" xfId="41727" xr:uid="{00000000-0005-0000-0000-0000C2950000}"/>
    <cellStyle name="Normal 4 2 2 6 2 6 3" xfId="20592" xr:uid="{00000000-0005-0000-0000-0000C3950000}"/>
    <cellStyle name="Normal 4 2 2 6 2 6 3 2" xfId="52463" xr:uid="{00000000-0005-0000-0000-0000C4950000}"/>
    <cellStyle name="Normal 4 2 2 6 2 6 4" xfId="41726" xr:uid="{00000000-0005-0000-0000-0000C5950000}"/>
    <cellStyle name="Normal 4 2 2 6 2 7" xfId="9849" xr:uid="{00000000-0005-0000-0000-0000C6950000}"/>
    <cellStyle name="Normal 4 2 2 6 2 7 2" xfId="24531" xr:uid="{00000000-0005-0000-0000-0000C7950000}"/>
    <cellStyle name="Normal 4 2 2 6 2 7 2 2" xfId="56402" xr:uid="{00000000-0005-0000-0000-0000C8950000}"/>
    <cellStyle name="Normal 4 2 2 6 2 7 3" xfId="41728" xr:uid="{00000000-0005-0000-0000-0000C9950000}"/>
    <cellStyle name="Normal 4 2 2 6 2 8" xfId="16653" xr:uid="{00000000-0005-0000-0000-0000CA950000}"/>
    <cellStyle name="Normal 4 2 2 6 2 8 2" xfId="48524" xr:uid="{00000000-0005-0000-0000-0000CB950000}"/>
    <cellStyle name="Normal 4 2 2 6 2 9" xfId="41665" xr:uid="{00000000-0005-0000-0000-0000CC950000}"/>
    <cellStyle name="Normal 4 2 2 6 3" xfId="9850" xr:uid="{00000000-0005-0000-0000-0000CD950000}"/>
    <cellStyle name="Normal 4 2 2 6 3 2" xfId="9851" xr:uid="{00000000-0005-0000-0000-0000CE950000}"/>
    <cellStyle name="Normal 4 2 2 6 3 2 2" xfId="9852" xr:uid="{00000000-0005-0000-0000-0000CF950000}"/>
    <cellStyle name="Normal 4 2 2 6 3 2 2 2" xfId="9853" xr:uid="{00000000-0005-0000-0000-0000D0950000}"/>
    <cellStyle name="Normal 4 2 2 6 3 2 2 2 2" xfId="9854" xr:uid="{00000000-0005-0000-0000-0000D1950000}"/>
    <cellStyle name="Normal 4 2 2 6 3 2 2 2 2 2" xfId="9855" xr:uid="{00000000-0005-0000-0000-0000D2950000}"/>
    <cellStyle name="Normal 4 2 2 6 3 2 2 2 2 2 2" xfId="30722" xr:uid="{00000000-0005-0000-0000-0000D3950000}"/>
    <cellStyle name="Normal 4 2 2 6 3 2 2 2 2 2 2 2" xfId="62593" xr:uid="{00000000-0005-0000-0000-0000D4950000}"/>
    <cellStyle name="Normal 4 2 2 6 3 2 2 2 2 2 3" xfId="41734" xr:uid="{00000000-0005-0000-0000-0000D5950000}"/>
    <cellStyle name="Normal 4 2 2 6 3 2 2 2 2 3" xfId="22844" xr:uid="{00000000-0005-0000-0000-0000D6950000}"/>
    <cellStyle name="Normal 4 2 2 6 3 2 2 2 2 3 2" xfId="54715" xr:uid="{00000000-0005-0000-0000-0000D7950000}"/>
    <cellStyle name="Normal 4 2 2 6 3 2 2 2 2 4" xfId="41733" xr:uid="{00000000-0005-0000-0000-0000D8950000}"/>
    <cellStyle name="Normal 4 2 2 6 3 2 2 2 3" xfId="9856" xr:uid="{00000000-0005-0000-0000-0000D9950000}"/>
    <cellStyle name="Normal 4 2 2 6 3 2 2 2 3 2" xfId="26783" xr:uid="{00000000-0005-0000-0000-0000DA950000}"/>
    <cellStyle name="Normal 4 2 2 6 3 2 2 2 3 2 2" xfId="58654" xr:uid="{00000000-0005-0000-0000-0000DB950000}"/>
    <cellStyle name="Normal 4 2 2 6 3 2 2 2 3 3" xfId="41735" xr:uid="{00000000-0005-0000-0000-0000DC950000}"/>
    <cellStyle name="Normal 4 2 2 6 3 2 2 2 4" xfId="18905" xr:uid="{00000000-0005-0000-0000-0000DD950000}"/>
    <cellStyle name="Normal 4 2 2 6 3 2 2 2 4 2" xfId="50776" xr:uid="{00000000-0005-0000-0000-0000DE950000}"/>
    <cellStyle name="Normal 4 2 2 6 3 2 2 2 5" xfId="41732" xr:uid="{00000000-0005-0000-0000-0000DF950000}"/>
    <cellStyle name="Normal 4 2 2 6 3 2 2 3" xfId="9857" xr:uid="{00000000-0005-0000-0000-0000E0950000}"/>
    <cellStyle name="Normal 4 2 2 6 3 2 2 3 2" xfId="9858" xr:uid="{00000000-0005-0000-0000-0000E1950000}"/>
    <cellStyle name="Normal 4 2 2 6 3 2 2 3 2 2" xfId="30721" xr:uid="{00000000-0005-0000-0000-0000E2950000}"/>
    <cellStyle name="Normal 4 2 2 6 3 2 2 3 2 2 2" xfId="62592" xr:uid="{00000000-0005-0000-0000-0000E3950000}"/>
    <cellStyle name="Normal 4 2 2 6 3 2 2 3 2 3" xfId="41737" xr:uid="{00000000-0005-0000-0000-0000E4950000}"/>
    <cellStyle name="Normal 4 2 2 6 3 2 2 3 3" xfId="22843" xr:uid="{00000000-0005-0000-0000-0000E5950000}"/>
    <cellStyle name="Normal 4 2 2 6 3 2 2 3 3 2" xfId="54714" xr:uid="{00000000-0005-0000-0000-0000E6950000}"/>
    <cellStyle name="Normal 4 2 2 6 3 2 2 3 4" xfId="41736" xr:uid="{00000000-0005-0000-0000-0000E7950000}"/>
    <cellStyle name="Normal 4 2 2 6 3 2 2 4" xfId="9859" xr:uid="{00000000-0005-0000-0000-0000E8950000}"/>
    <cellStyle name="Normal 4 2 2 6 3 2 2 4 2" xfId="26782" xr:uid="{00000000-0005-0000-0000-0000E9950000}"/>
    <cellStyle name="Normal 4 2 2 6 3 2 2 4 2 2" xfId="58653" xr:uid="{00000000-0005-0000-0000-0000EA950000}"/>
    <cellStyle name="Normal 4 2 2 6 3 2 2 4 3" xfId="41738" xr:uid="{00000000-0005-0000-0000-0000EB950000}"/>
    <cellStyle name="Normal 4 2 2 6 3 2 2 5" xfId="18904" xr:uid="{00000000-0005-0000-0000-0000EC950000}"/>
    <cellStyle name="Normal 4 2 2 6 3 2 2 5 2" xfId="50775" xr:uid="{00000000-0005-0000-0000-0000ED950000}"/>
    <cellStyle name="Normal 4 2 2 6 3 2 2 6" xfId="41731" xr:uid="{00000000-0005-0000-0000-0000EE950000}"/>
    <cellStyle name="Normal 4 2 2 6 3 2 3" xfId="9860" xr:uid="{00000000-0005-0000-0000-0000EF950000}"/>
    <cellStyle name="Normal 4 2 2 6 3 2 3 2" xfId="9861" xr:uid="{00000000-0005-0000-0000-0000F0950000}"/>
    <cellStyle name="Normal 4 2 2 6 3 2 3 2 2" xfId="9862" xr:uid="{00000000-0005-0000-0000-0000F1950000}"/>
    <cellStyle name="Normal 4 2 2 6 3 2 3 2 2 2" xfId="30723" xr:uid="{00000000-0005-0000-0000-0000F2950000}"/>
    <cellStyle name="Normal 4 2 2 6 3 2 3 2 2 2 2" xfId="62594" xr:uid="{00000000-0005-0000-0000-0000F3950000}"/>
    <cellStyle name="Normal 4 2 2 6 3 2 3 2 2 3" xfId="41741" xr:uid="{00000000-0005-0000-0000-0000F4950000}"/>
    <cellStyle name="Normal 4 2 2 6 3 2 3 2 3" xfId="22845" xr:uid="{00000000-0005-0000-0000-0000F5950000}"/>
    <cellStyle name="Normal 4 2 2 6 3 2 3 2 3 2" xfId="54716" xr:uid="{00000000-0005-0000-0000-0000F6950000}"/>
    <cellStyle name="Normal 4 2 2 6 3 2 3 2 4" xfId="41740" xr:uid="{00000000-0005-0000-0000-0000F7950000}"/>
    <cellStyle name="Normal 4 2 2 6 3 2 3 3" xfId="9863" xr:uid="{00000000-0005-0000-0000-0000F8950000}"/>
    <cellStyle name="Normal 4 2 2 6 3 2 3 3 2" xfId="26784" xr:uid="{00000000-0005-0000-0000-0000F9950000}"/>
    <cellStyle name="Normal 4 2 2 6 3 2 3 3 2 2" xfId="58655" xr:uid="{00000000-0005-0000-0000-0000FA950000}"/>
    <cellStyle name="Normal 4 2 2 6 3 2 3 3 3" xfId="41742" xr:uid="{00000000-0005-0000-0000-0000FB950000}"/>
    <cellStyle name="Normal 4 2 2 6 3 2 3 4" xfId="18906" xr:uid="{00000000-0005-0000-0000-0000FC950000}"/>
    <cellStyle name="Normal 4 2 2 6 3 2 3 4 2" xfId="50777" xr:uid="{00000000-0005-0000-0000-0000FD950000}"/>
    <cellStyle name="Normal 4 2 2 6 3 2 3 5" xfId="41739" xr:uid="{00000000-0005-0000-0000-0000FE950000}"/>
    <cellStyle name="Normal 4 2 2 6 3 2 4" xfId="9864" xr:uid="{00000000-0005-0000-0000-0000FF950000}"/>
    <cellStyle name="Normal 4 2 2 6 3 2 4 2" xfId="9865" xr:uid="{00000000-0005-0000-0000-000000960000}"/>
    <cellStyle name="Normal 4 2 2 6 3 2 4 2 2" xfId="30720" xr:uid="{00000000-0005-0000-0000-000001960000}"/>
    <cellStyle name="Normal 4 2 2 6 3 2 4 2 2 2" xfId="62591" xr:uid="{00000000-0005-0000-0000-000002960000}"/>
    <cellStyle name="Normal 4 2 2 6 3 2 4 2 3" xfId="41744" xr:uid="{00000000-0005-0000-0000-000003960000}"/>
    <cellStyle name="Normal 4 2 2 6 3 2 4 3" xfId="22842" xr:uid="{00000000-0005-0000-0000-000004960000}"/>
    <cellStyle name="Normal 4 2 2 6 3 2 4 3 2" xfId="54713" xr:uid="{00000000-0005-0000-0000-000005960000}"/>
    <cellStyle name="Normal 4 2 2 6 3 2 4 4" xfId="41743" xr:uid="{00000000-0005-0000-0000-000006960000}"/>
    <cellStyle name="Normal 4 2 2 6 3 2 5" xfId="9866" xr:uid="{00000000-0005-0000-0000-000007960000}"/>
    <cellStyle name="Normal 4 2 2 6 3 2 5 2" xfId="26781" xr:uid="{00000000-0005-0000-0000-000008960000}"/>
    <cellStyle name="Normal 4 2 2 6 3 2 5 2 2" xfId="58652" xr:uid="{00000000-0005-0000-0000-000009960000}"/>
    <cellStyle name="Normal 4 2 2 6 3 2 5 3" xfId="41745" xr:uid="{00000000-0005-0000-0000-00000A960000}"/>
    <cellStyle name="Normal 4 2 2 6 3 2 6" xfId="18903" xr:uid="{00000000-0005-0000-0000-00000B960000}"/>
    <cellStyle name="Normal 4 2 2 6 3 2 6 2" xfId="50774" xr:uid="{00000000-0005-0000-0000-00000C960000}"/>
    <cellStyle name="Normal 4 2 2 6 3 2 7" xfId="41730" xr:uid="{00000000-0005-0000-0000-00000D960000}"/>
    <cellStyle name="Normal 4 2 2 6 3 3" xfId="9867" xr:uid="{00000000-0005-0000-0000-00000E960000}"/>
    <cellStyle name="Normal 4 2 2 6 3 3 2" xfId="9868" xr:uid="{00000000-0005-0000-0000-00000F960000}"/>
    <cellStyle name="Normal 4 2 2 6 3 3 2 2" xfId="9869" xr:uid="{00000000-0005-0000-0000-000010960000}"/>
    <cellStyle name="Normal 4 2 2 6 3 3 2 2 2" xfId="9870" xr:uid="{00000000-0005-0000-0000-000011960000}"/>
    <cellStyle name="Normal 4 2 2 6 3 3 2 2 2 2" xfId="30725" xr:uid="{00000000-0005-0000-0000-000012960000}"/>
    <cellStyle name="Normal 4 2 2 6 3 3 2 2 2 2 2" xfId="62596" xr:uid="{00000000-0005-0000-0000-000013960000}"/>
    <cellStyle name="Normal 4 2 2 6 3 3 2 2 2 3" xfId="41749" xr:uid="{00000000-0005-0000-0000-000014960000}"/>
    <cellStyle name="Normal 4 2 2 6 3 3 2 2 3" xfId="22847" xr:uid="{00000000-0005-0000-0000-000015960000}"/>
    <cellStyle name="Normal 4 2 2 6 3 3 2 2 3 2" xfId="54718" xr:uid="{00000000-0005-0000-0000-000016960000}"/>
    <cellStyle name="Normal 4 2 2 6 3 3 2 2 4" xfId="41748" xr:uid="{00000000-0005-0000-0000-000017960000}"/>
    <cellStyle name="Normal 4 2 2 6 3 3 2 3" xfId="9871" xr:uid="{00000000-0005-0000-0000-000018960000}"/>
    <cellStyle name="Normal 4 2 2 6 3 3 2 3 2" xfId="26786" xr:uid="{00000000-0005-0000-0000-000019960000}"/>
    <cellStyle name="Normal 4 2 2 6 3 3 2 3 2 2" xfId="58657" xr:uid="{00000000-0005-0000-0000-00001A960000}"/>
    <cellStyle name="Normal 4 2 2 6 3 3 2 3 3" xfId="41750" xr:uid="{00000000-0005-0000-0000-00001B960000}"/>
    <cellStyle name="Normal 4 2 2 6 3 3 2 4" xfId="18908" xr:uid="{00000000-0005-0000-0000-00001C960000}"/>
    <cellStyle name="Normal 4 2 2 6 3 3 2 4 2" xfId="50779" xr:uid="{00000000-0005-0000-0000-00001D960000}"/>
    <cellStyle name="Normal 4 2 2 6 3 3 2 5" xfId="41747" xr:uid="{00000000-0005-0000-0000-00001E960000}"/>
    <cellStyle name="Normal 4 2 2 6 3 3 3" xfId="9872" xr:uid="{00000000-0005-0000-0000-00001F960000}"/>
    <cellStyle name="Normal 4 2 2 6 3 3 3 2" xfId="9873" xr:uid="{00000000-0005-0000-0000-000020960000}"/>
    <cellStyle name="Normal 4 2 2 6 3 3 3 2 2" xfId="30724" xr:uid="{00000000-0005-0000-0000-000021960000}"/>
    <cellStyle name="Normal 4 2 2 6 3 3 3 2 2 2" xfId="62595" xr:uid="{00000000-0005-0000-0000-000022960000}"/>
    <cellStyle name="Normal 4 2 2 6 3 3 3 2 3" xfId="41752" xr:uid="{00000000-0005-0000-0000-000023960000}"/>
    <cellStyle name="Normal 4 2 2 6 3 3 3 3" xfId="22846" xr:uid="{00000000-0005-0000-0000-000024960000}"/>
    <cellStyle name="Normal 4 2 2 6 3 3 3 3 2" xfId="54717" xr:uid="{00000000-0005-0000-0000-000025960000}"/>
    <cellStyle name="Normal 4 2 2 6 3 3 3 4" xfId="41751" xr:uid="{00000000-0005-0000-0000-000026960000}"/>
    <cellStyle name="Normal 4 2 2 6 3 3 4" xfId="9874" xr:uid="{00000000-0005-0000-0000-000027960000}"/>
    <cellStyle name="Normal 4 2 2 6 3 3 4 2" xfId="26785" xr:uid="{00000000-0005-0000-0000-000028960000}"/>
    <cellStyle name="Normal 4 2 2 6 3 3 4 2 2" xfId="58656" xr:uid="{00000000-0005-0000-0000-000029960000}"/>
    <cellStyle name="Normal 4 2 2 6 3 3 4 3" xfId="41753" xr:uid="{00000000-0005-0000-0000-00002A960000}"/>
    <cellStyle name="Normal 4 2 2 6 3 3 5" xfId="18907" xr:uid="{00000000-0005-0000-0000-00002B960000}"/>
    <cellStyle name="Normal 4 2 2 6 3 3 5 2" xfId="50778" xr:uid="{00000000-0005-0000-0000-00002C960000}"/>
    <cellStyle name="Normal 4 2 2 6 3 3 6" xfId="41746" xr:uid="{00000000-0005-0000-0000-00002D960000}"/>
    <cellStyle name="Normal 4 2 2 6 3 4" xfId="9875" xr:uid="{00000000-0005-0000-0000-00002E960000}"/>
    <cellStyle name="Normal 4 2 2 6 3 4 2" xfId="9876" xr:uid="{00000000-0005-0000-0000-00002F960000}"/>
    <cellStyle name="Normal 4 2 2 6 3 4 2 2" xfId="9877" xr:uid="{00000000-0005-0000-0000-000030960000}"/>
    <cellStyle name="Normal 4 2 2 6 3 4 2 2 2" xfId="30726" xr:uid="{00000000-0005-0000-0000-000031960000}"/>
    <cellStyle name="Normal 4 2 2 6 3 4 2 2 2 2" xfId="62597" xr:uid="{00000000-0005-0000-0000-000032960000}"/>
    <cellStyle name="Normal 4 2 2 6 3 4 2 2 3" xfId="41756" xr:uid="{00000000-0005-0000-0000-000033960000}"/>
    <cellStyle name="Normal 4 2 2 6 3 4 2 3" xfId="22848" xr:uid="{00000000-0005-0000-0000-000034960000}"/>
    <cellStyle name="Normal 4 2 2 6 3 4 2 3 2" xfId="54719" xr:uid="{00000000-0005-0000-0000-000035960000}"/>
    <cellStyle name="Normal 4 2 2 6 3 4 2 4" xfId="41755" xr:uid="{00000000-0005-0000-0000-000036960000}"/>
    <cellStyle name="Normal 4 2 2 6 3 4 3" xfId="9878" xr:uid="{00000000-0005-0000-0000-000037960000}"/>
    <cellStyle name="Normal 4 2 2 6 3 4 3 2" xfId="26787" xr:uid="{00000000-0005-0000-0000-000038960000}"/>
    <cellStyle name="Normal 4 2 2 6 3 4 3 2 2" xfId="58658" xr:uid="{00000000-0005-0000-0000-000039960000}"/>
    <cellStyle name="Normal 4 2 2 6 3 4 3 3" xfId="41757" xr:uid="{00000000-0005-0000-0000-00003A960000}"/>
    <cellStyle name="Normal 4 2 2 6 3 4 4" xfId="18909" xr:uid="{00000000-0005-0000-0000-00003B960000}"/>
    <cellStyle name="Normal 4 2 2 6 3 4 4 2" xfId="50780" xr:uid="{00000000-0005-0000-0000-00003C960000}"/>
    <cellStyle name="Normal 4 2 2 6 3 4 5" xfId="41754" xr:uid="{00000000-0005-0000-0000-00003D960000}"/>
    <cellStyle name="Normal 4 2 2 6 3 5" xfId="9879" xr:uid="{00000000-0005-0000-0000-00003E960000}"/>
    <cellStyle name="Normal 4 2 2 6 3 5 2" xfId="9880" xr:uid="{00000000-0005-0000-0000-00003F960000}"/>
    <cellStyle name="Normal 4 2 2 6 3 5 2 2" xfId="30719" xr:uid="{00000000-0005-0000-0000-000040960000}"/>
    <cellStyle name="Normal 4 2 2 6 3 5 2 2 2" xfId="62590" xr:uid="{00000000-0005-0000-0000-000041960000}"/>
    <cellStyle name="Normal 4 2 2 6 3 5 2 3" xfId="41759" xr:uid="{00000000-0005-0000-0000-000042960000}"/>
    <cellStyle name="Normal 4 2 2 6 3 5 3" xfId="22841" xr:uid="{00000000-0005-0000-0000-000043960000}"/>
    <cellStyle name="Normal 4 2 2 6 3 5 3 2" xfId="54712" xr:uid="{00000000-0005-0000-0000-000044960000}"/>
    <cellStyle name="Normal 4 2 2 6 3 5 4" xfId="41758" xr:uid="{00000000-0005-0000-0000-000045960000}"/>
    <cellStyle name="Normal 4 2 2 6 3 6" xfId="9881" xr:uid="{00000000-0005-0000-0000-000046960000}"/>
    <cellStyle name="Normal 4 2 2 6 3 6 2" xfId="26780" xr:uid="{00000000-0005-0000-0000-000047960000}"/>
    <cellStyle name="Normal 4 2 2 6 3 6 2 2" xfId="58651" xr:uid="{00000000-0005-0000-0000-000048960000}"/>
    <cellStyle name="Normal 4 2 2 6 3 6 3" xfId="41760" xr:uid="{00000000-0005-0000-0000-000049960000}"/>
    <cellStyle name="Normal 4 2 2 6 3 7" xfId="18902" xr:uid="{00000000-0005-0000-0000-00004A960000}"/>
    <cellStyle name="Normal 4 2 2 6 3 7 2" xfId="50773" xr:uid="{00000000-0005-0000-0000-00004B960000}"/>
    <cellStyle name="Normal 4 2 2 6 3 8" xfId="41729" xr:uid="{00000000-0005-0000-0000-00004C960000}"/>
    <cellStyle name="Normal 4 2 2 6 4" xfId="9882" xr:uid="{00000000-0005-0000-0000-00004D960000}"/>
    <cellStyle name="Normal 4 2 2 6 4 2" xfId="9883" xr:uid="{00000000-0005-0000-0000-00004E960000}"/>
    <cellStyle name="Normal 4 2 2 6 4 2 2" xfId="9884" xr:uid="{00000000-0005-0000-0000-00004F960000}"/>
    <cellStyle name="Normal 4 2 2 6 4 2 2 2" xfId="9885" xr:uid="{00000000-0005-0000-0000-000050960000}"/>
    <cellStyle name="Normal 4 2 2 6 4 2 2 2 2" xfId="9886" xr:uid="{00000000-0005-0000-0000-000051960000}"/>
    <cellStyle name="Normal 4 2 2 6 4 2 2 2 2 2" xfId="30729" xr:uid="{00000000-0005-0000-0000-000052960000}"/>
    <cellStyle name="Normal 4 2 2 6 4 2 2 2 2 2 2" xfId="62600" xr:uid="{00000000-0005-0000-0000-000053960000}"/>
    <cellStyle name="Normal 4 2 2 6 4 2 2 2 2 3" xfId="41765" xr:uid="{00000000-0005-0000-0000-000054960000}"/>
    <cellStyle name="Normal 4 2 2 6 4 2 2 2 3" xfId="22851" xr:uid="{00000000-0005-0000-0000-000055960000}"/>
    <cellStyle name="Normal 4 2 2 6 4 2 2 2 3 2" xfId="54722" xr:uid="{00000000-0005-0000-0000-000056960000}"/>
    <cellStyle name="Normal 4 2 2 6 4 2 2 2 4" xfId="41764" xr:uid="{00000000-0005-0000-0000-000057960000}"/>
    <cellStyle name="Normal 4 2 2 6 4 2 2 3" xfId="9887" xr:uid="{00000000-0005-0000-0000-000058960000}"/>
    <cellStyle name="Normal 4 2 2 6 4 2 2 3 2" xfId="26790" xr:uid="{00000000-0005-0000-0000-000059960000}"/>
    <cellStyle name="Normal 4 2 2 6 4 2 2 3 2 2" xfId="58661" xr:uid="{00000000-0005-0000-0000-00005A960000}"/>
    <cellStyle name="Normal 4 2 2 6 4 2 2 3 3" xfId="41766" xr:uid="{00000000-0005-0000-0000-00005B960000}"/>
    <cellStyle name="Normal 4 2 2 6 4 2 2 4" xfId="18912" xr:uid="{00000000-0005-0000-0000-00005C960000}"/>
    <cellStyle name="Normal 4 2 2 6 4 2 2 4 2" xfId="50783" xr:uid="{00000000-0005-0000-0000-00005D960000}"/>
    <cellStyle name="Normal 4 2 2 6 4 2 2 5" xfId="41763" xr:uid="{00000000-0005-0000-0000-00005E960000}"/>
    <cellStyle name="Normal 4 2 2 6 4 2 3" xfId="9888" xr:uid="{00000000-0005-0000-0000-00005F960000}"/>
    <cellStyle name="Normal 4 2 2 6 4 2 3 2" xfId="9889" xr:uid="{00000000-0005-0000-0000-000060960000}"/>
    <cellStyle name="Normal 4 2 2 6 4 2 3 2 2" xfId="30728" xr:uid="{00000000-0005-0000-0000-000061960000}"/>
    <cellStyle name="Normal 4 2 2 6 4 2 3 2 2 2" xfId="62599" xr:uid="{00000000-0005-0000-0000-000062960000}"/>
    <cellStyle name="Normal 4 2 2 6 4 2 3 2 3" xfId="41768" xr:uid="{00000000-0005-0000-0000-000063960000}"/>
    <cellStyle name="Normal 4 2 2 6 4 2 3 3" xfId="22850" xr:uid="{00000000-0005-0000-0000-000064960000}"/>
    <cellStyle name="Normal 4 2 2 6 4 2 3 3 2" xfId="54721" xr:uid="{00000000-0005-0000-0000-000065960000}"/>
    <cellStyle name="Normal 4 2 2 6 4 2 3 4" xfId="41767" xr:uid="{00000000-0005-0000-0000-000066960000}"/>
    <cellStyle name="Normal 4 2 2 6 4 2 4" xfId="9890" xr:uid="{00000000-0005-0000-0000-000067960000}"/>
    <cellStyle name="Normal 4 2 2 6 4 2 4 2" xfId="26789" xr:uid="{00000000-0005-0000-0000-000068960000}"/>
    <cellStyle name="Normal 4 2 2 6 4 2 4 2 2" xfId="58660" xr:uid="{00000000-0005-0000-0000-000069960000}"/>
    <cellStyle name="Normal 4 2 2 6 4 2 4 3" xfId="41769" xr:uid="{00000000-0005-0000-0000-00006A960000}"/>
    <cellStyle name="Normal 4 2 2 6 4 2 5" xfId="18911" xr:uid="{00000000-0005-0000-0000-00006B960000}"/>
    <cellStyle name="Normal 4 2 2 6 4 2 5 2" xfId="50782" xr:uid="{00000000-0005-0000-0000-00006C960000}"/>
    <cellStyle name="Normal 4 2 2 6 4 2 6" xfId="41762" xr:uid="{00000000-0005-0000-0000-00006D960000}"/>
    <cellStyle name="Normal 4 2 2 6 4 3" xfId="9891" xr:uid="{00000000-0005-0000-0000-00006E960000}"/>
    <cellStyle name="Normal 4 2 2 6 4 3 2" xfId="9892" xr:uid="{00000000-0005-0000-0000-00006F960000}"/>
    <cellStyle name="Normal 4 2 2 6 4 3 2 2" xfId="9893" xr:uid="{00000000-0005-0000-0000-000070960000}"/>
    <cellStyle name="Normal 4 2 2 6 4 3 2 2 2" xfId="30730" xr:uid="{00000000-0005-0000-0000-000071960000}"/>
    <cellStyle name="Normal 4 2 2 6 4 3 2 2 2 2" xfId="62601" xr:uid="{00000000-0005-0000-0000-000072960000}"/>
    <cellStyle name="Normal 4 2 2 6 4 3 2 2 3" xfId="41772" xr:uid="{00000000-0005-0000-0000-000073960000}"/>
    <cellStyle name="Normal 4 2 2 6 4 3 2 3" xfId="22852" xr:uid="{00000000-0005-0000-0000-000074960000}"/>
    <cellStyle name="Normal 4 2 2 6 4 3 2 3 2" xfId="54723" xr:uid="{00000000-0005-0000-0000-000075960000}"/>
    <cellStyle name="Normal 4 2 2 6 4 3 2 4" xfId="41771" xr:uid="{00000000-0005-0000-0000-000076960000}"/>
    <cellStyle name="Normal 4 2 2 6 4 3 3" xfId="9894" xr:uid="{00000000-0005-0000-0000-000077960000}"/>
    <cellStyle name="Normal 4 2 2 6 4 3 3 2" xfId="26791" xr:uid="{00000000-0005-0000-0000-000078960000}"/>
    <cellStyle name="Normal 4 2 2 6 4 3 3 2 2" xfId="58662" xr:uid="{00000000-0005-0000-0000-000079960000}"/>
    <cellStyle name="Normal 4 2 2 6 4 3 3 3" xfId="41773" xr:uid="{00000000-0005-0000-0000-00007A960000}"/>
    <cellStyle name="Normal 4 2 2 6 4 3 4" xfId="18913" xr:uid="{00000000-0005-0000-0000-00007B960000}"/>
    <cellStyle name="Normal 4 2 2 6 4 3 4 2" xfId="50784" xr:uid="{00000000-0005-0000-0000-00007C960000}"/>
    <cellStyle name="Normal 4 2 2 6 4 3 5" xfId="41770" xr:uid="{00000000-0005-0000-0000-00007D960000}"/>
    <cellStyle name="Normal 4 2 2 6 4 4" xfId="9895" xr:uid="{00000000-0005-0000-0000-00007E960000}"/>
    <cellStyle name="Normal 4 2 2 6 4 4 2" xfId="9896" xr:uid="{00000000-0005-0000-0000-00007F960000}"/>
    <cellStyle name="Normal 4 2 2 6 4 4 2 2" xfId="30727" xr:uid="{00000000-0005-0000-0000-000080960000}"/>
    <cellStyle name="Normal 4 2 2 6 4 4 2 2 2" xfId="62598" xr:uid="{00000000-0005-0000-0000-000081960000}"/>
    <cellStyle name="Normal 4 2 2 6 4 4 2 3" xfId="41775" xr:uid="{00000000-0005-0000-0000-000082960000}"/>
    <cellStyle name="Normal 4 2 2 6 4 4 3" xfId="22849" xr:uid="{00000000-0005-0000-0000-000083960000}"/>
    <cellStyle name="Normal 4 2 2 6 4 4 3 2" xfId="54720" xr:uid="{00000000-0005-0000-0000-000084960000}"/>
    <cellStyle name="Normal 4 2 2 6 4 4 4" xfId="41774" xr:uid="{00000000-0005-0000-0000-000085960000}"/>
    <cellStyle name="Normal 4 2 2 6 4 5" xfId="9897" xr:uid="{00000000-0005-0000-0000-000086960000}"/>
    <cellStyle name="Normal 4 2 2 6 4 5 2" xfId="26788" xr:uid="{00000000-0005-0000-0000-000087960000}"/>
    <cellStyle name="Normal 4 2 2 6 4 5 2 2" xfId="58659" xr:uid="{00000000-0005-0000-0000-000088960000}"/>
    <cellStyle name="Normal 4 2 2 6 4 5 3" xfId="41776" xr:uid="{00000000-0005-0000-0000-000089960000}"/>
    <cellStyle name="Normal 4 2 2 6 4 6" xfId="18910" xr:uid="{00000000-0005-0000-0000-00008A960000}"/>
    <cellStyle name="Normal 4 2 2 6 4 6 2" xfId="50781" xr:uid="{00000000-0005-0000-0000-00008B960000}"/>
    <cellStyle name="Normal 4 2 2 6 4 7" xfId="41761" xr:uid="{00000000-0005-0000-0000-00008C960000}"/>
    <cellStyle name="Normal 4 2 2 6 5" xfId="9898" xr:uid="{00000000-0005-0000-0000-00008D960000}"/>
    <cellStyle name="Normal 4 2 2 6 5 2" xfId="9899" xr:uid="{00000000-0005-0000-0000-00008E960000}"/>
    <cellStyle name="Normal 4 2 2 6 5 2 2" xfId="9900" xr:uid="{00000000-0005-0000-0000-00008F960000}"/>
    <cellStyle name="Normal 4 2 2 6 5 2 2 2" xfId="9901" xr:uid="{00000000-0005-0000-0000-000090960000}"/>
    <cellStyle name="Normal 4 2 2 6 5 2 2 2 2" xfId="30732" xr:uid="{00000000-0005-0000-0000-000091960000}"/>
    <cellStyle name="Normal 4 2 2 6 5 2 2 2 2 2" xfId="62603" xr:uid="{00000000-0005-0000-0000-000092960000}"/>
    <cellStyle name="Normal 4 2 2 6 5 2 2 2 3" xfId="41780" xr:uid="{00000000-0005-0000-0000-000093960000}"/>
    <cellStyle name="Normal 4 2 2 6 5 2 2 3" xfId="22854" xr:uid="{00000000-0005-0000-0000-000094960000}"/>
    <cellStyle name="Normal 4 2 2 6 5 2 2 3 2" xfId="54725" xr:uid="{00000000-0005-0000-0000-000095960000}"/>
    <cellStyle name="Normal 4 2 2 6 5 2 2 4" xfId="41779" xr:uid="{00000000-0005-0000-0000-000096960000}"/>
    <cellStyle name="Normal 4 2 2 6 5 2 3" xfId="9902" xr:uid="{00000000-0005-0000-0000-000097960000}"/>
    <cellStyle name="Normal 4 2 2 6 5 2 3 2" xfId="26793" xr:uid="{00000000-0005-0000-0000-000098960000}"/>
    <cellStyle name="Normal 4 2 2 6 5 2 3 2 2" xfId="58664" xr:uid="{00000000-0005-0000-0000-000099960000}"/>
    <cellStyle name="Normal 4 2 2 6 5 2 3 3" xfId="41781" xr:uid="{00000000-0005-0000-0000-00009A960000}"/>
    <cellStyle name="Normal 4 2 2 6 5 2 4" xfId="18915" xr:uid="{00000000-0005-0000-0000-00009B960000}"/>
    <cellStyle name="Normal 4 2 2 6 5 2 4 2" xfId="50786" xr:uid="{00000000-0005-0000-0000-00009C960000}"/>
    <cellStyle name="Normal 4 2 2 6 5 2 5" xfId="41778" xr:uid="{00000000-0005-0000-0000-00009D960000}"/>
    <cellStyle name="Normal 4 2 2 6 5 3" xfId="9903" xr:uid="{00000000-0005-0000-0000-00009E960000}"/>
    <cellStyle name="Normal 4 2 2 6 5 3 2" xfId="9904" xr:uid="{00000000-0005-0000-0000-00009F960000}"/>
    <cellStyle name="Normal 4 2 2 6 5 3 2 2" xfId="30731" xr:uid="{00000000-0005-0000-0000-0000A0960000}"/>
    <cellStyle name="Normal 4 2 2 6 5 3 2 2 2" xfId="62602" xr:uid="{00000000-0005-0000-0000-0000A1960000}"/>
    <cellStyle name="Normal 4 2 2 6 5 3 2 3" xfId="41783" xr:uid="{00000000-0005-0000-0000-0000A2960000}"/>
    <cellStyle name="Normal 4 2 2 6 5 3 3" xfId="22853" xr:uid="{00000000-0005-0000-0000-0000A3960000}"/>
    <cellStyle name="Normal 4 2 2 6 5 3 3 2" xfId="54724" xr:uid="{00000000-0005-0000-0000-0000A4960000}"/>
    <cellStyle name="Normal 4 2 2 6 5 3 4" xfId="41782" xr:uid="{00000000-0005-0000-0000-0000A5960000}"/>
    <cellStyle name="Normal 4 2 2 6 5 4" xfId="9905" xr:uid="{00000000-0005-0000-0000-0000A6960000}"/>
    <cellStyle name="Normal 4 2 2 6 5 4 2" xfId="26792" xr:uid="{00000000-0005-0000-0000-0000A7960000}"/>
    <cellStyle name="Normal 4 2 2 6 5 4 2 2" xfId="58663" xr:uid="{00000000-0005-0000-0000-0000A8960000}"/>
    <cellStyle name="Normal 4 2 2 6 5 4 3" xfId="41784" xr:uid="{00000000-0005-0000-0000-0000A9960000}"/>
    <cellStyle name="Normal 4 2 2 6 5 5" xfId="18914" xr:uid="{00000000-0005-0000-0000-0000AA960000}"/>
    <cellStyle name="Normal 4 2 2 6 5 5 2" xfId="50785" xr:uid="{00000000-0005-0000-0000-0000AB960000}"/>
    <cellStyle name="Normal 4 2 2 6 5 6" xfId="41777" xr:uid="{00000000-0005-0000-0000-0000AC960000}"/>
    <cellStyle name="Normal 4 2 2 6 6" xfId="9906" xr:uid="{00000000-0005-0000-0000-0000AD960000}"/>
    <cellStyle name="Normal 4 2 2 6 6 2" xfId="9907" xr:uid="{00000000-0005-0000-0000-0000AE960000}"/>
    <cellStyle name="Normal 4 2 2 6 6 2 2" xfId="9908" xr:uid="{00000000-0005-0000-0000-0000AF960000}"/>
    <cellStyle name="Normal 4 2 2 6 6 2 2 2" xfId="30733" xr:uid="{00000000-0005-0000-0000-0000B0960000}"/>
    <cellStyle name="Normal 4 2 2 6 6 2 2 2 2" xfId="62604" xr:uid="{00000000-0005-0000-0000-0000B1960000}"/>
    <cellStyle name="Normal 4 2 2 6 6 2 2 3" xfId="41787" xr:uid="{00000000-0005-0000-0000-0000B2960000}"/>
    <cellStyle name="Normal 4 2 2 6 6 2 3" xfId="22855" xr:uid="{00000000-0005-0000-0000-0000B3960000}"/>
    <cellStyle name="Normal 4 2 2 6 6 2 3 2" xfId="54726" xr:uid="{00000000-0005-0000-0000-0000B4960000}"/>
    <cellStyle name="Normal 4 2 2 6 6 2 4" xfId="41786" xr:uid="{00000000-0005-0000-0000-0000B5960000}"/>
    <cellStyle name="Normal 4 2 2 6 6 3" xfId="9909" xr:uid="{00000000-0005-0000-0000-0000B6960000}"/>
    <cellStyle name="Normal 4 2 2 6 6 3 2" xfId="26794" xr:uid="{00000000-0005-0000-0000-0000B7960000}"/>
    <cellStyle name="Normal 4 2 2 6 6 3 2 2" xfId="58665" xr:uid="{00000000-0005-0000-0000-0000B8960000}"/>
    <cellStyle name="Normal 4 2 2 6 6 3 3" xfId="41788" xr:uid="{00000000-0005-0000-0000-0000B9960000}"/>
    <cellStyle name="Normal 4 2 2 6 6 4" xfId="18916" xr:uid="{00000000-0005-0000-0000-0000BA960000}"/>
    <cellStyle name="Normal 4 2 2 6 6 4 2" xfId="50787" xr:uid="{00000000-0005-0000-0000-0000BB960000}"/>
    <cellStyle name="Normal 4 2 2 6 6 5" xfId="41785" xr:uid="{00000000-0005-0000-0000-0000BC960000}"/>
    <cellStyle name="Normal 4 2 2 6 7" xfId="9910" xr:uid="{00000000-0005-0000-0000-0000BD960000}"/>
    <cellStyle name="Normal 4 2 2 6 7 2" xfId="9911" xr:uid="{00000000-0005-0000-0000-0000BE960000}"/>
    <cellStyle name="Normal 4 2 2 6 7 2 2" xfId="28347" xr:uid="{00000000-0005-0000-0000-0000BF960000}"/>
    <cellStyle name="Normal 4 2 2 6 7 2 2 2" xfId="60218" xr:uid="{00000000-0005-0000-0000-0000C0960000}"/>
    <cellStyle name="Normal 4 2 2 6 7 2 3" xfId="41790" xr:uid="{00000000-0005-0000-0000-0000C1960000}"/>
    <cellStyle name="Normal 4 2 2 6 7 3" xfId="20469" xr:uid="{00000000-0005-0000-0000-0000C2960000}"/>
    <cellStyle name="Normal 4 2 2 6 7 3 2" xfId="52340" xr:uid="{00000000-0005-0000-0000-0000C3960000}"/>
    <cellStyle name="Normal 4 2 2 6 7 4" xfId="41789" xr:uid="{00000000-0005-0000-0000-0000C4960000}"/>
    <cellStyle name="Normal 4 2 2 6 8" xfId="9912" xr:uid="{00000000-0005-0000-0000-0000C5960000}"/>
    <cellStyle name="Normal 4 2 2 6 8 2" xfId="24408" xr:uid="{00000000-0005-0000-0000-0000C6960000}"/>
    <cellStyle name="Normal 4 2 2 6 8 2 2" xfId="56279" xr:uid="{00000000-0005-0000-0000-0000C7960000}"/>
    <cellStyle name="Normal 4 2 2 6 8 3" xfId="41791" xr:uid="{00000000-0005-0000-0000-0000C8960000}"/>
    <cellStyle name="Normal 4 2 2 6 9" xfId="16530" xr:uid="{00000000-0005-0000-0000-0000C9960000}"/>
    <cellStyle name="Normal 4 2 2 6 9 2" xfId="48401" xr:uid="{00000000-0005-0000-0000-0000CA960000}"/>
    <cellStyle name="Normal 4 2 2 7" xfId="9913" xr:uid="{00000000-0005-0000-0000-0000CB960000}"/>
    <cellStyle name="Normal 4 2 2 7 2" xfId="9914" xr:uid="{00000000-0005-0000-0000-0000CC960000}"/>
    <cellStyle name="Normal 4 2 2 7 2 2" xfId="9915" xr:uid="{00000000-0005-0000-0000-0000CD960000}"/>
    <cellStyle name="Normal 4 2 2 7 2 2 2" xfId="9916" xr:uid="{00000000-0005-0000-0000-0000CE960000}"/>
    <cellStyle name="Normal 4 2 2 7 2 2 2 2" xfId="9917" xr:uid="{00000000-0005-0000-0000-0000CF960000}"/>
    <cellStyle name="Normal 4 2 2 7 2 2 2 2 2" xfId="9918" xr:uid="{00000000-0005-0000-0000-0000D0960000}"/>
    <cellStyle name="Normal 4 2 2 7 2 2 2 2 2 2" xfId="9919" xr:uid="{00000000-0005-0000-0000-0000D1960000}"/>
    <cellStyle name="Normal 4 2 2 7 2 2 2 2 2 2 2" xfId="30737" xr:uid="{00000000-0005-0000-0000-0000D2960000}"/>
    <cellStyle name="Normal 4 2 2 7 2 2 2 2 2 2 2 2" xfId="62608" xr:uid="{00000000-0005-0000-0000-0000D3960000}"/>
    <cellStyle name="Normal 4 2 2 7 2 2 2 2 2 2 3" xfId="41798" xr:uid="{00000000-0005-0000-0000-0000D4960000}"/>
    <cellStyle name="Normal 4 2 2 7 2 2 2 2 2 3" xfId="22859" xr:uid="{00000000-0005-0000-0000-0000D5960000}"/>
    <cellStyle name="Normal 4 2 2 7 2 2 2 2 2 3 2" xfId="54730" xr:uid="{00000000-0005-0000-0000-0000D6960000}"/>
    <cellStyle name="Normal 4 2 2 7 2 2 2 2 2 4" xfId="41797" xr:uid="{00000000-0005-0000-0000-0000D7960000}"/>
    <cellStyle name="Normal 4 2 2 7 2 2 2 2 3" xfId="9920" xr:uid="{00000000-0005-0000-0000-0000D8960000}"/>
    <cellStyle name="Normal 4 2 2 7 2 2 2 2 3 2" xfId="26798" xr:uid="{00000000-0005-0000-0000-0000D9960000}"/>
    <cellStyle name="Normal 4 2 2 7 2 2 2 2 3 2 2" xfId="58669" xr:uid="{00000000-0005-0000-0000-0000DA960000}"/>
    <cellStyle name="Normal 4 2 2 7 2 2 2 2 3 3" xfId="41799" xr:uid="{00000000-0005-0000-0000-0000DB960000}"/>
    <cellStyle name="Normal 4 2 2 7 2 2 2 2 4" xfId="18920" xr:uid="{00000000-0005-0000-0000-0000DC960000}"/>
    <cellStyle name="Normal 4 2 2 7 2 2 2 2 4 2" xfId="50791" xr:uid="{00000000-0005-0000-0000-0000DD960000}"/>
    <cellStyle name="Normal 4 2 2 7 2 2 2 2 5" xfId="41796" xr:uid="{00000000-0005-0000-0000-0000DE960000}"/>
    <cellStyle name="Normal 4 2 2 7 2 2 2 3" xfId="9921" xr:uid="{00000000-0005-0000-0000-0000DF960000}"/>
    <cellStyle name="Normal 4 2 2 7 2 2 2 3 2" xfId="9922" xr:uid="{00000000-0005-0000-0000-0000E0960000}"/>
    <cellStyle name="Normal 4 2 2 7 2 2 2 3 2 2" xfId="30736" xr:uid="{00000000-0005-0000-0000-0000E1960000}"/>
    <cellStyle name="Normal 4 2 2 7 2 2 2 3 2 2 2" xfId="62607" xr:uid="{00000000-0005-0000-0000-0000E2960000}"/>
    <cellStyle name="Normal 4 2 2 7 2 2 2 3 2 3" xfId="41801" xr:uid="{00000000-0005-0000-0000-0000E3960000}"/>
    <cellStyle name="Normal 4 2 2 7 2 2 2 3 3" xfId="22858" xr:uid="{00000000-0005-0000-0000-0000E4960000}"/>
    <cellStyle name="Normal 4 2 2 7 2 2 2 3 3 2" xfId="54729" xr:uid="{00000000-0005-0000-0000-0000E5960000}"/>
    <cellStyle name="Normal 4 2 2 7 2 2 2 3 4" xfId="41800" xr:uid="{00000000-0005-0000-0000-0000E6960000}"/>
    <cellStyle name="Normal 4 2 2 7 2 2 2 4" xfId="9923" xr:uid="{00000000-0005-0000-0000-0000E7960000}"/>
    <cellStyle name="Normal 4 2 2 7 2 2 2 4 2" xfId="26797" xr:uid="{00000000-0005-0000-0000-0000E8960000}"/>
    <cellStyle name="Normal 4 2 2 7 2 2 2 4 2 2" xfId="58668" xr:uid="{00000000-0005-0000-0000-0000E9960000}"/>
    <cellStyle name="Normal 4 2 2 7 2 2 2 4 3" xfId="41802" xr:uid="{00000000-0005-0000-0000-0000EA960000}"/>
    <cellStyle name="Normal 4 2 2 7 2 2 2 5" xfId="18919" xr:uid="{00000000-0005-0000-0000-0000EB960000}"/>
    <cellStyle name="Normal 4 2 2 7 2 2 2 5 2" xfId="50790" xr:uid="{00000000-0005-0000-0000-0000EC960000}"/>
    <cellStyle name="Normal 4 2 2 7 2 2 2 6" xfId="41795" xr:uid="{00000000-0005-0000-0000-0000ED960000}"/>
    <cellStyle name="Normal 4 2 2 7 2 2 3" xfId="9924" xr:uid="{00000000-0005-0000-0000-0000EE960000}"/>
    <cellStyle name="Normal 4 2 2 7 2 2 3 2" xfId="9925" xr:uid="{00000000-0005-0000-0000-0000EF960000}"/>
    <cellStyle name="Normal 4 2 2 7 2 2 3 2 2" xfId="9926" xr:uid="{00000000-0005-0000-0000-0000F0960000}"/>
    <cellStyle name="Normal 4 2 2 7 2 2 3 2 2 2" xfId="30738" xr:uid="{00000000-0005-0000-0000-0000F1960000}"/>
    <cellStyle name="Normal 4 2 2 7 2 2 3 2 2 2 2" xfId="62609" xr:uid="{00000000-0005-0000-0000-0000F2960000}"/>
    <cellStyle name="Normal 4 2 2 7 2 2 3 2 2 3" xfId="41805" xr:uid="{00000000-0005-0000-0000-0000F3960000}"/>
    <cellStyle name="Normal 4 2 2 7 2 2 3 2 3" xfId="22860" xr:uid="{00000000-0005-0000-0000-0000F4960000}"/>
    <cellStyle name="Normal 4 2 2 7 2 2 3 2 3 2" xfId="54731" xr:uid="{00000000-0005-0000-0000-0000F5960000}"/>
    <cellStyle name="Normal 4 2 2 7 2 2 3 2 4" xfId="41804" xr:uid="{00000000-0005-0000-0000-0000F6960000}"/>
    <cellStyle name="Normal 4 2 2 7 2 2 3 3" xfId="9927" xr:uid="{00000000-0005-0000-0000-0000F7960000}"/>
    <cellStyle name="Normal 4 2 2 7 2 2 3 3 2" xfId="26799" xr:uid="{00000000-0005-0000-0000-0000F8960000}"/>
    <cellStyle name="Normal 4 2 2 7 2 2 3 3 2 2" xfId="58670" xr:uid="{00000000-0005-0000-0000-0000F9960000}"/>
    <cellStyle name="Normal 4 2 2 7 2 2 3 3 3" xfId="41806" xr:uid="{00000000-0005-0000-0000-0000FA960000}"/>
    <cellStyle name="Normal 4 2 2 7 2 2 3 4" xfId="18921" xr:uid="{00000000-0005-0000-0000-0000FB960000}"/>
    <cellStyle name="Normal 4 2 2 7 2 2 3 4 2" xfId="50792" xr:uid="{00000000-0005-0000-0000-0000FC960000}"/>
    <cellStyle name="Normal 4 2 2 7 2 2 3 5" xfId="41803" xr:uid="{00000000-0005-0000-0000-0000FD960000}"/>
    <cellStyle name="Normal 4 2 2 7 2 2 4" xfId="9928" xr:uid="{00000000-0005-0000-0000-0000FE960000}"/>
    <cellStyle name="Normal 4 2 2 7 2 2 4 2" xfId="9929" xr:uid="{00000000-0005-0000-0000-0000FF960000}"/>
    <cellStyle name="Normal 4 2 2 7 2 2 4 2 2" xfId="30735" xr:uid="{00000000-0005-0000-0000-000000970000}"/>
    <cellStyle name="Normal 4 2 2 7 2 2 4 2 2 2" xfId="62606" xr:uid="{00000000-0005-0000-0000-000001970000}"/>
    <cellStyle name="Normal 4 2 2 7 2 2 4 2 3" xfId="41808" xr:uid="{00000000-0005-0000-0000-000002970000}"/>
    <cellStyle name="Normal 4 2 2 7 2 2 4 3" xfId="22857" xr:uid="{00000000-0005-0000-0000-000003970000}"/>
    <cellStyle name="Normal 4 2 2 7 2 2 4 3 2" xfId="54728" xr:uid="{00000000-0005-0000-0000-000004970000}"/>
    <cellStyle name="Normal 4 2 2 7 2 2 4 4" xfId="41807" xr:uid="{00000000-0005-0000-0000-000005970000}"/>
    <cellStyle name="Normal 4 2 2 7 2 2 5" xfId="9930" xr:uid="{00000000-0005-0000-0000-000006970000}"/>
    <cellStyle name="Normal 4 2 2 7 2 2 5 2" xfId="26796" xr:uid="{00000000-0005-0000-0000-000007970000}"/>
    <cellStyle name="Normal 4 2 2 7 2 2 5 2 2" xfId="58667" xr:uid="{00000000-0005-0000-0000-000008970000}"/>
    <cellStyle name="Normal 4 2 2 7 2 2 5 3" xfId="41809" xr:uid="{00000000-0005-0000-0000-000009970000}"/>
    <cellStyle name="Normal 4 2 2 7 2 2 6" xfId="18918" xr:uid="{00000000-0005-0000-0000-00000A970000}"/>
    <cellStyle name="Normal 4 2 2 7 2 2 6 2" xfId="50789" xr:uid="{00000000-0005-0000-0000-00000B970000}"/>
    <cellStyle name="Normal 4 2 2 7 2 2 7" xfId="41794" xr:uid="{00000000-0005-0000-0000-00000C970000}"/>
    <cellStyle name="Normal 4 2 2 7 2 3" xfId="9931" xr:uid="{00000000-0005-0000-0000-00000D970000}"/>
    <cellStyle name="Normal 4 2 2 7 2 3 2" xfId="9932" xr:uid="{00000000-0005-0000-0000-00000E970000}"/>
    <cellStyle name="Normal 4 2 2 7 2 3 2 2" xfId="9933" xr:uid="{00000000-0005-0000-0000-00000F970000}"/>
    <cellStyle name="Normal 4 2 2 7 2 3 2 2 2" xfId="9934" xr:uid="{00000000-0005-0000-0000-000010970000}"/>
    <cellStyle name="Normal 4 2 2 7 2 3 2 2 2 2" xfId="30740" xr:uid="{00000000-0005-0000-0000-000011970000}"/>
    <cellStyle name="Normal 4 2 2 7 2 3 2 2 2 2 2" xfId="62611" xr:uid="{00000000-0005-0000-0000-000012970000}"/>
    <cellStyle name="Normal 4 2 2 7 2 3 2 2 2 3" xfId="41813" xr:uid="{00000000-0005-0000-0000-000013970000}"/>
    <cellStyle name="Normal 4 2 2 7 2 3 2 2 3" xfId="22862" xr:uid="{00000000-0005-0000-0000-000014970000}"/>
    <cellStyle name="Normal 4 2 2 7 2 3 2 2 3 2" xfId="54733" xr:uid="{00000000-0005-0000-0000-000015970000}"/>
    <cellStyle name="Normal 4 2 2 7 2 3 2 2 4" xfId="41812" xr:uid="{00000000-0005-0000-0000-000016970000}"/>
    <cellStyle name="Normal 4 2 2 7 2 3 2 3" xfId="9935" xr:uid="{00000000-0005-0000-0000-000017970000}"/>
    <cellStyle name="Normal 4 2 2 7 2 3 2 3 2" xfId="26801" xr:uid="{00000000-0005-0000-0000-000018970000}"/>
    <cellStyle name="Normal 4 2 2 7 2 3 2 3 2 2" xfId="58672" xr:uid="{00000000-0005-0000-0000-000019970000}"/>
    <cellStyle name="Normal 4 2 2 7 2 3 2 3 3" xfId="41814" xr:uid="{00000000-0005-0000-0000-00001A970000}"/>
    <cellStyle name="Normal 4 2 2 7 2 3 2 4" xfId="18923" xr:uid="{00000000-0005-0000-0000-00001B970000}"/>
    <cellStyle name="Normal 4 2 2 7 2 3 2 4 2" xfId="50794" xr:uid="{00000000-0005-0000-0000-00001C970000}"/>
    <cellStyle name="Normal 4 2 2 7 2 3 2 5" xfId="41811" xr:uid="{00000000-0005-0000-0000-00001D970000}"/>
    <cellStyle name="Normal 4 2 2 7 2 3 3" xfId="9936" xr:uid="{00000000-0005-0000-0000-00001E970000}"/>
    <cellStyle name="Normal 4 2 2 7 2 3 3 2" xfId="9937" xr:uid="{00000000-0005-0000-0000-00001F970000}"/>
    <cellStyle name="Normal 4 2 2 7 2 3 3 2 2" xfId="30739" xr:uid="{00000000-0005-0000-0000-000020970000}"/>
    <cellStyle name="Normal 4 2 2 7 2 3 3 2 2 2" xfId="62610" xr:uid="{00000000-0005-0000-0000-000021970000}"/>
    <cellStyle name="Normal 4 2 2 7 2 3 3 2 3" xfId="41816" xr:uid="{00000000-0005-0000-0000-000022970000}"/>
    <cellStyle name="Normal 4 2 2 7 2 3 3 3" xfId="22861" xr:uid="{00000000-0005-0000-0000-000023970000}"/>
    <cellStyle name="Normal 4 2 2 7 2 3 3 3 2" xfId="54732" xr:uid="{00000000-0005-0000-0000-000024970000}"/>
    <cellStyle name="Normal 4 2 2 7 2 3 3 4" xfId="41815" xr:uid="{00000000-0005-0000-0000-000025970000}"/>
    <cellStyle name="Normal 4 2 2 7 2 3 4" xfId="9938" xr:uid="{00000000-0005-0000-0000-000026970000}"/>
    <cellStyle name="Normal 4 2 2 7 2 3 4 2" xfId="26800" xr:uid="{00000000-0005-0000-0000-000027970000}"/>
    <cellStyle name="Normal 4 2 2 7 2 3 4 2 2" xfId="58671" xr:uid="{00000000-0005-0000-0000-000028970000}"/>
    <cellStyle name="Normal 4 2 2 7 2 3 4 3" xfId="41817" xr:uid="{00000000-0005-0000-0000-000029970000}"/>
    <cellStyle name="Normal 4 2 2 7 2 3 5" xfId="18922" xr:uid="{00000000-0005-0000-0000-00002A970000}"/>
    <cellStyle name="Normal 4 2 2 7 2 3 5 2" xfId="50793" xr:uid="{00000000-0005-0000-0000-00002B970000}"/>
    <cellStyle name="Normal 4 2 2 7 2 3 6" xfId="41810" xr:uid="{00000000-0005-0000-0000-00002C970000}"/>
    <cellStyle name="Normal 4 2 2 7 2 4" xfId="9939" xr:uid="{00000000-0005-0000-0000-00002D970000}"/>
    <cellStyle name="Normal 4 2 2 7 2 4 2" xfId="9940" xr:uid="{00000000-0005-0000-0000-00002E970000}"/>
    <cellStyle name="Normal 4 2 2 7 2 4 2 2" xfId="9941" xr:uid="{00000000-0005-0000-0000-00002F970000}"/>
    <cellStyle name="Normal 4 2 2 7 2 4 2 2 2" xfId="30741" xr:uid="{00000000-0005-0000-0000-000030970000}"/>
    <cellStyle name="Normal 4 2 2 7 2 4 2 2 2 2" xfId="62612" xr:uid="{00000000-0005-0000-0000-000031970000}"/>
    <cellStyle name="Normal 4 2 2 7 2 4 2 2 3" xfId="41820" xr:uid="{00000000-0005-0000-0000-000032970000}"/>
    <cellStyle name="Normal 4 2 2 7 2 4 2 3" xfId="22863" xr:uid="{00000000-0005-0000-0000-000033970000}"/>
    <cellStyle name="Normal 4 2 2 7 2 4 2 3 2" xfId="54734" xr:uid="{00000000-0005-0000-0000-000034970000}"/>
    <cellStyle name="Normal 4 2 2 7 2 4 2 4" xfId="41819" xr:uid="{00000000-0005-0000-0000-000035970000}"/>
    <cellStyle name="Normal 4 2 2 7 2 4 3" xfId="9942" xr:uid="{00000000-0005-0000-0000-000036970000}"/>
    <cellStyle name="Normal 4 2 2 7 2 4 3 2" xfId="26802" xr:uid="{00000000-0005-0000-0000-000037970000}"/>
    <cellStyle name="Normal 4 2 2 7 2 4 3 2 2" xfId="58673" xr:uid="{00000000-0005-0000-0000-000038970000}"/>
    <cellStyle name="Normal 4 2 2 7 2 4 3 3" xfId="41821" xr:uid="{00000000-0005-0000-0000-000039970000}"/>
    <cellStyle name="Normal 4 2 2 7 2 4 4" xfId="18924" xr:uid="{00000000-0005-0000-0000-00003A970000}"/>
    <cellStyle name="Normal 4 2 2 7 2 4 4 2" xfId="50795" xr:uid="{00000000-0005-0000-0000-00003B970000}"/>
    <cellStyle name="Normal 4 2 2 7 2 4 5" xfId="41818" xr:uid="{00000000-0005-0000-0000-00003C970000}"/>
    <cellStyle name="Normal 4 2 2 7 2 5" xfId="9943" xr:uid="{00000000-0005-0000-0000-00003D970000}"/>
    <cellStyle name="Normal 4 2 2 7 2 5 2" xfId="9944" xr:uid="{00000000-0005-0000-0000-00003E970000}"/>
    <cellStyle name="Normal 4 2 2 7 2 5 2 2" xfId="30734" xr:uid="{00000000-0005-0000-0000-00003F970000}"/>
    <cellStyle name="Normal 4 2 2 7 2 5 2 2 2" xfId="62605" xr:uid="{00000000-0005-0000-0000-000040970000}"/>
    <cellStyle name="Normal 4 2 2 7 2 5 2 3" xfId="41823" xr:uid="{00000000-0005-0000-0000-000041970000}"/>
    <cellStyle name="Normal 4 2 2 7 2 5 3" xfId="22856" xr:uid="{00000000-0005-0000-0000-000042970000}"/>
    <cellStyle name="Normal 4 2 2 7 2 5 3 2" xfId="54727" xr:uid="{00000000-0005-0000-0000-000043970000}"/>
    <cellStyle name="Normal 4 2 2 7 2 5 4" xfId="41822" xr:uid="{00000000-0005-0000-0000-000044970000}"/>
    <cellStyle name="Normal 4 2 2 7 2 6" xfId="9945" xr:uid="{00000000-0005-0000-0000-000045970000}"/>
    <cellStyle name="Normal 4 2 2 7 2 6 2" xfId="26795" xr:uid="{00000000-0005-0000-0000-000046970000}"/>
    <cellStyle name="Normal 4 2 2 7 2 6 2 2" xfId="58666" xr:uid="{00000000-0005-0000-0000-000047970000}"/>
    <cellStyle name="Normal 4 2 2 7 2 6 3" xfId="41824" xr:uid="{00000000-0005-0000-0000-000048970000}"/>
    <cellStyle name="Normal 4 2 2 7 2 7" xfId="18917" xr:uid="{00000000-0005-0000-0000-000049970000}"/>
    <cellStyle name="Normal 4 2 2 7 2 7 2" xfId="50788" xr:uid="{00000000-0005-0000-0000-00004A970000}"/>
    <cellStyle name="Normal 4 2 2 7 2 8" xfId="41793" xr:uid="{00000000-0005-0000-0000-00004B970000}"/>
    <cellStyle name="Normal 4 2 2 7 3" xfId="9946" xr:uid="{00000000-0005-0000-0000-00004C970000}"/>
    <cellStyle name="Normal 4 2 2 7 3 2" xfId="9947" xr:uid="{00000000-0005-0000-0000-00004D970000}"/>
    <cellStyle name="Normal 4 2 2 7 3 2 2" xfId="9948" xr:uid="{00000000-0005-0000-0000-00004E970000}"/>
    <cellStyle name="Normal 4 2 2 7 3 2 2 2" xfId="9949" xr:uid="{00000000-0005-0000-0000-00004F970000}"/>
    <cellStyle name="Normal 4 2 2 7 3 2 2 2 2" xfId="9950" xr:uid="{00000000-0005-0000-0000-000050970000}"/>
    <cellStyle name="Normal 4 2 2 7 3 2 2 2 2 2" xfId="30744" xr:uid="{00000000-0005-0000-0000-000051970000}"/>
    <cellStyle name="Normal 4 2 2 7 3 2 2 2 2 2 2" xfId="62615" xr:uid="{00000000-0005-0000-0000-000052970000}"/>
    <cellStyle name="Normal 4 2 2 7 3 2 2 2 2 3" xfId="41829" xr:uid="{00000000-0005-0000-0000-000053970000}"/>
    <cellStyle name="Normal 4 2 2 7 3 2 2 2 3" xfId="22866" xr:uid="{00000000-0005-0000-0000-000054970000}"/>
    <cellStyle name="Normal 4 2 2 7 3 2 2 2 3 2" xfId="54737" xr:uid="{00000000-0005-0000-0000-000055970000}"/>
    <cellStyle name="Normal 4 2 2 7 3 2 2 2 4" xfId="41828" xr:uid="{00000000-0005-0000-0000-000056970000}"/>
    <cellStyle name="Normal 4 2 2 7 3 2 2 3" xfId="9951" xr:uid="{00000000-0005-0000-0000-000057970000}"/>
    <cellStyle name="Normal 4 2 2 7 3 2 2 3 2" xfId="26805" xr:uid="{00000000-0005-0000-0000-000058970000}"/>
    <cellStyle name="Normal 4 2 2 7 3 2 2 3 2 2" xfId="58676" xr:uid="{00000000-0005-0000-0000-000059970000}"/>
    <cellStyle name="Normal 4 2 2 7 3 2 2 3 3" xfId="41830" xr:uid="{00000000-0005-0000-0000-00005A970000}"/>
    <cellStyle name="Normal 4 2 2 7 3 2 2 4" xfId="18927" xr:uid="{00000000-0005-0000-0000-00005B970000}"/>
    <cellStyle name="Normal 4 2 2 7 3 2 2 4 2" xfId="50798" xr:uid="{00000000-0005-0000-0000-00005C970000}"/>
    <cellStyle name="Normal 4 2 2 7 3 2 2 5" xfId="41827" xr:uid="{00000000-0005-0000-0000-00005D970000}"/>
    <cellStyle name="Normal 4 2 2 7 3 2 3" xfId="9952" xr:uid="{00000000-0005-0000-0000-00005E970000}"/>
    <cellStyle name="Normal 4 2 2 7 3 2 3 2" xfId="9953" xr:uid="{00000000-0005-0000-0000-00005F970000}"/>
    <cellStyle name="Normal 4 2 2 7 3 2 3 2 2" xfId="30743" xr:uid="{00000000-0005-0000-0000-000060970000}"/>
    <cellStyle name="Normal 4 2 2 7 3 2 3 2 2 2" xfId="62614" xr:uid="{00000000-0005-0000-0000-000061970000}"/>
    <cellStyle name="Normal 4 2 2 7 3 2 3 2 3" xfId="41832" xr:uid="{00000000-0005-0000-0000-000062970000}"/>
    <cellStyle name="Normal 4 2 2 7 3 2 3 3" xfId="22865" xr:uid="{00000000-0005-0000-0000-000063970000}"/>
    <cellStyle name="Normal 4 2 2 7 3 2 3 3 2" xfId="54736" xr:uid="{00000000-0005-0000-0000-000064970000}"/>
    <cellStyle name="Normal 4 2 2 7 3 2 3 4" xfId="41831" xr:uid="{00000000-0005-0000-0000-000065970000}"/>
    <cellStyle name="Normal 4 2 2 7 3 2 4" xfId="9954" xr:uid="{00000000-0005-0000-0000-000066970000}"/>
    <cellStyle name="Normal 4 2 2 7 3 2 4 2" xfId="26804" xr:uid="{00000000-0005-0000-0000-000067970000}"/>
    <cellStyle name="Normal 4 2 2 7 3 2 4 2 2" xfId="58675" xr:uid="{00000000-0005-0000-0000-000068970000}"/>
    <cellStyle name="Normal 4 2 2 7 3 2 4 3" xfId="41833" xr:uid="{00000000-0005-0000-0000-000069970000}"/>
    <cellStyle name="Normal 4 2 2 7 3 2 5" xfId="18926" xr:uid="{00000000-0005-0000-0000-00006A970000}"/>
    <cellStyle name="Normal 4 2 2 7 3 2 5 2" xfId="50797" xr:uid="{00000000-0005-0000-0000-00006B970000}"/>
    <cellStyle name="Normal 4 2 2 7 3 2 6" xfId="41826" xr:uid="{00000000-0005-0000-0000-00006C970000}"/>
    <cellStyle name="Normal 4 2 2 7 3 3" xfId="9955" xr:uid="{00000000-0005-0000-0000-00006D970000}"/>
    <cellStyle name="Normal 4 2 2 7 3 3 2" xfId="9956" xr:uid="{00000000-0005-0000-0000-00006E970000}"/>
    <cellStyle name="Normal 4 2 2 7 3 3 2 2" xfId="9957" xr:uid="{00000000-0005-0000-0000-00006F970000}"/>
    <cellStyle name="Normal 4 2 2 7 3 3 2 2 2" xfId="30745" xr:uid="{00000000-0005-0000-0000-000070970000}"/>
    <cellStyle name="Normal 4 2 2 7 3 3 2 2 2 2" xfId="62616" xr:uid="{00000000-0005-0000-0000-000071970000}"/>
    <cellStyle name="Normal 4 2 2 7 3 3 2 2 3" xfId="41836" xr:uid="{00000000-0005-0000-0000-000072970000}"/>
    <cellStyle name="Normal 4 2 2 7 3 3 2 3" xfId="22867" xr:uid="{00000000-0005-0000-0000-000073970000}"/>
    <cellStyle name="Normal 4 2 2 7 3 3 2 3 2" xfId="54738" xr:uid="{00000000-0005-0000-0000-000074970000}"/>
    <cellStyle name="Normal 4 2 2 7 3 3 2 4" xfId="41835" xr:uid="{00000000-0005-0000-0000-000075970000}"/>
    <cellStyle name="Normal 4 2 2 7 3 3 3" xfId="9958" xr:uid="{00000000-0005-0000-0000-000076970000}"/>
    <cellStyle name="Normal 4 2 2 7 3 3 3 2" xfId="26806" xr:uid="{00000000-0005-0000-0000-000077970000}"/>
    <cellStyle name="Normal 4 2 2 7 3 3 3 2 2" xfId="58677" xr:uid="{00000000-0005-0000-0000-000078970000}"/>
    <cellStyle name="Normal 4 2 2 7 3 3 3 3" xfId="41837" xr:uid="{00000000-0005-0000-0000-000079970000}"/>
    <cellStyle name="Normal 4 2 2 7 3 3 4" xfId="18928" xr:uid="{00000000-0005-0000-0000-00007A970000}"/>
    <cellStyle name="Normal 4 2 2 7 3 3 4 2" xfId="50799" xr:uid="{00000000-0005-0000-0000-00007B970000}"/>
    <cellStyle name="Normal 4 2 2 7 3 3 5" xfId="41834" xr:uid="{00000000-0005-0000-0000-00007C970000}"/>
    <cellStyle name="Normal 4 2 2 7 3 4" xfId="9959" xr:uid="{00000000-0005-0000-0000-00007D970000}"/>
    <cellStyle name="Normal 4 2 2 7 3 4 2" xfId="9960" xr:uid="{00000000-0005-0000-0000-00007E970000}"/>
    <cellStyle name="Normal 4 2 2 7 3 4 2 2" xfId="30742" xr:uid="{00000000-0005-0000-0000-00007F970000}"/>
    <cellStyle name="Normal 4 2 2 7 3 4 2 2 2" xfId="62613" xr:uid="{00000000-0005-0000-0000-000080970000}"/>
    <cellStyle name="Normal 4 2 2 7 3 4 2 3" xfId="41839" xr:uid="{00000000-0005-0000-0000-000081970000}"/>
    <cellStyle name="Normal 4 2 2 7 3 4 3" xfId="22864" xr:uid="{00000000-0005-0000-0000-000082970000}"/>
    <cellStyle name="Normal 4 2 2 7 3 4 3 2" xfId="54735" xr:uid="{00000000-0005-0000-0000-000083970000}"/>
    <cellStyle name="Normal 4 2 2 7 3 4 4" xfId="41838" xr:uid="{00000000-0005-0000-0000-000084970000}"/>
    <cellStyle name="Normal 4 2 2 7 3 5" xfId="9961" xr:uid="{00000000-0005-0000-0000-000085970000}"/>
    <cellStyle name="Normal 4 2 2 7 3 5 2" xfId="26803" xr:uid="{00000000-0005-0000-0000-000086970000}"/>
    <cellStyle name="Normal 4 2 2 7 3 5 2 2" xfId="58674" xr:uid="{00000000-0005-0000-0000-000087970000}"/>
    <cellStyle name="Normal 4 2 2 7 3 5 3" xfId="41840" xr:uid="{00000000-0005-0000-0000-000088970000}"/>
    <cellStyle name="Normal 4 2 2 7 3 6" xfId="18925" xr:uid="{00000000-0005-0000-0000-000089970000}"/>
    <cellStyle name="Normal 4 2 2 7 3 6 2" xfId="50796" xr:uid="{00000000-0005-0000-0000-00008A970000}"/>
    <cellStyle name="Normal 4 2 2 7 3 7" xfId="41825" xr:uid="{00000000-0005-0000-0000-00008B970000}"/>
    <cellStyle name="Normal 4 2 2 7 4" xfId="9962" xr:uid="{00000000-0005-0000-0000-00008C970000}"/>
    <cellStyle name="Normal 4 2 2 7 4 2" xfId="9963" xr:uid="{00000000-0005-0000-0000-00008D970000}"/>
    <cellStyle name="Normal 4 2 2 7 4 2 2" xfId="9964" xr:uid="{00000000-0005-0000-0000-00008E970000}"/>
    <cellStyle name="Normal 4 2 2 7 4 2 2 2" xfId="9965" xr:uid="{00000000-0005-0000-0000-00008F970000}"/>
    <cellStyle name="Normal 4 2 2 7 4 2 2 2 2" xfId="30747" xr:uid="{00000000-0005-0000-0000-000090970000}"/>
    <cellStyle name="Normal 4 2 2 7 4 2 2 2 2 2" xfId="62618" xr:uid="{00000000-0005-0000-0000-000091970000}"/>
    <cellStyle name="Normal 4 2 2 7 4 2 2 2 3" xfId="41844" xr:uid="{00000000-0005-0000-0000-000092970000}"/>
    <cellStyle name="Normal 4 2 2 7 4 2 2 3" xfId="22869" xr:uid="{00000000-0005-0000-0000-000093970000}"/>
    <cellStyle name="Normal 4 2 2 7 4 2 2 3 2" xfId="54740" xr:uid="{00000000-0005-0000-0000-000094970000}"/>
    <cellStyle name="Normal 4 2 2 7 4 2 2 4" xfId="41843" xr:uid="{00000000-0005-0000-0000-000095970000}"/>
    <cellStyle name="Normal 4 2 2 7 4 2 3" xfId="9966" xr:uid="{00000000-0005-0000-0000-000096970000}"/>
    <cellStyle name="Normal 4 2 2 7 4 2 3 2" xfId="26808" xr:uid="{00000000-0005-0000-0000-000097970000}"/>
    <cellStyle name="Normal 4 2 2 7 4 2 3 2 2" xfId="58679" xr:uid="{00000000-0005-0000-0000-000098970000}"/>
    <cellStyle name="Normal 4 2 2 7 4 2 3 3" xfId="41845" xr:uid="{00000000-0005-0000-0000-000099970000}"/>
    <cellStyle name="Normal 4 2 2 7 4 2 4" xfId="18930" xr:uid="{00000000-0005-0000-0000-00009A970000}"/>
    <cellStyle name="Normal 4 2 2 7 4 2 4 2" xfId="50801" xr:uid="{00000000-0005-0000-0000-00009B970000}"/>
    <cellStyle name="Normal 4 2 2 7 4 2 5" xfId="41842" xr:uid="{00000000-0005-0000-0000-00009C970000}"/>
    <cellStyle name="Normal 4 2 2 7 4 3" xfId="9967" xr:uid="{00000000-0005-0000-0000-00009D970000}"/>
    <cellStyle name="Normal 4 2 2 7 4 3 2" xfId="9968" xr:uid="{00000000-0005-0000-0000-00009E970000}"/>
    <cellStyle name="Normal 4 2 2 7 4 3 2 2" xfId="30746" xr:uid="{00000000-0005-0000-0000-00009F970000}"/>
    <cellStyle name="Normal 4 2 2 7 4 3 2 2 2" xfId="62617" xr:uid="{00000000-0005-0000-0000-0000A0970000}"/>
    <cellStyle name="Normal 4 2 2 7 4 3 2 3" xfId="41847" xr:uid="{00000000-0005-0000-0000-0000A1970000}"/>
    <cellStyle name="Normal 4 2 2 7 4 3 3" xfId="22868" xr:uid="{00000000-0005-0000-0000-0000A2970000}"/>
    <cellStyle name="Normal 4 2 2 7 4 3 3 2" xfId="54739" xr:uid="{00000000-0005-0000-0000-0000A3970000}"/>
    <cellStyle name="Normal 4 2 2 7 4 3 4" xfId="41846" xr:uid="{00000000-0005-0000-0000-0000A4970000}"/>
    <cellStyle name="Normal 4 2 2 7 4 4" xfId="9969" xr:uid="{00000000-0005-0000-0000-0000A5970000}"/>
    <cellStyle name="Normal 4 2 2 7 4 4 2" xfId="26807" xr:uid="{00000000-0005-0000-0000-0000A6970000}"/>
    <cellStyle name="Normal 4 2 2 7 4 4 2 2" xfId="58678" xr:uid="{00000000-0005-0000-0000-0000A7970000}"/>
    <cellStyle name="Normal 4 2 2 7 4 4 3" xfId="41848" xr:uid="{00000000-0005-0000-0000-0000A8970000}"/>
    <cellStyle name="Normal 4 2 2 7 4 5" xfId="18929" xr:uid="{00000000-0005-0000-0000-0000A9970000}"/>
    <cellStyle name="Normal 4 2 2 7 4 5 2" xfId="50800" xr:uid="{00000000-0005-0000-0000-0000AA970000}"/>
    <cellStyle name="Normal 4 2 2 7 4 6" xfId="41841" xr:uid="{00000000-0005-0000-0000-0000AB970000}"/>
    <cellStyle name="Normal 4 2 2 7 5" xfId="9970" xr:uid="{00000000-0005-0000-0000-0000AC970000}"/>
    <cellStyle name="Normal 4 2 2 7 5 2" xfId="9971" xr:uid="{00000000-0005-0000-0000-0000AD970000}"/>
    <cellStyle name="Normal 4 2 2 7 5 2 2" xfId="9972" xr:uid="{00000000-0005-0000-0000-0000AE970000}"/>
    <cellStyle name="Normal 4 2 2 7 5 2 2 2" xfId="30748" xr:uid="{00000000-0005-0000-0000-0000AF970000}"/>
    <cellStyle name="Normal 4 2 2 7 5 2 2 2 2" xfId="62619" xr:uid="{00000000-0005-0000-0000-0000B0970000}"/>
    <cellStyle name="Normal 4 2 2 7 5 2 2 3" xfId="41851" xr:uid="{00000000-0005-0000-0000-0000B1970000}"/>
    <cellStyle name="Normal 4 2 2 7 5 2 3" xfId="22870" xr:uid="{00000000-0005-0000-0000-0000B2970000}"/>
    <cellStyle name="Normal 4 2 2 7 5 2 3 2" xfId="54741" xr:uid="{00000000-0005-0000-0000-0000B3970000}"/>
    <cellStyle name="Normal 4 2 2 7 5 2 4" xfId="41850" xr:uid="{00000000-0005-0000-0000-0000B4970000}"/>
    <cellStyle name="Normal 4 2 2 7 5 3" xfId="9973" xr:uid="{00000000-0005-0000-0000-0000B5970000}"/>
    <cellStyle name="Normal 4 2 2 7 5 3 2" xfId="26809" xr:uid="{00000000-0005-0000-0000-0000B6970000}"/>
    <cellStyle name="Normal 4 2 2 7 5 3 2 2" xfId="58680" xr:uid="{00000000-0005-0000-0000-0000B7970000}"/>
    <cellStyle name="Normal 4 2 2 7 5 3 3" xfId="41852" xr:uid="{00000000-0005-0000-0000-0000B8970000}"/>
    <cellStyle name="Normal 4 2 2 7 5 4" xfId="18931" xr:uid="{00000000-0005-0000-0000-0000B9970000}"/>
    <cellStyle name="Normal 4 2 2 7 5 4 2" xfId="50802" xr:uid="{00000000-0005-0000-0000-0000BA970000}"/>
    <cellStyle name="Normal 4 2 2 7 5 5" xfId="41849" xr:uid="{00000000-0005-0000-0000-0000BB970000}"/>
    <cellStyle name="Normal 4 2 2 7 6" xfId="9974" xr:uid="{00000000-0005-0000-0000-0000BC970000}"/>
    <cellStyle name="Normal 4 2 2 7 6 2" xfId="9975" xr:uid="{00000000-0005-0000-0000-0000BD970000}"/>
    <cellStyle name="Normal 4 2 2 7 6 2 2" xfId="28388" xr:uid="{00000000-0005-0000-0000-0000BE970000}"/>
    <cellStyle name="Normal 4 2 2 7 6 2 2 2" xfId="60259" xr:uid="{00000000-0005-0000-0000-0000BF970000}"/>
    <cellStyle name="Normal 4 2 2 7 6 2 3" xfId="41854" xr:uid="{00000000-0005-0000-0000-0000C0970000}"/>
    <cellStyle name="Normal 4 2 2 7 6 3" xfId="20510" xr:uid="{00000000-0005-0000-0000-0000C1970000}"/>
    <cellStyle name="Normal 4 2 2 7 6 3 2" xfId="52381" xr:uid="{00000000-0005-0000-0000-0000C2970000}"/>
    <cellStyle name="Normal 4 2 2 7 6 4" xfId="41853" xr:uid="{00000000-0005-0000-0000-0000C3970000}"/>
    <cellStyle name="Normal 4 2 2 7 7" xfId="9976" xr:uid="{00000000-0005-0000-0000-0000C4970000}"/>
    <cellStyle name="Normal 4 2 2 7 7 2" xfId="24449" xr:uid="{00000000-0005-0000-0000-0000C5970000}"/>
    <cellStyle name="Normal 4 2 2 7 7 2 2" xfId="56320" xr:uid="{00000000-0005-0000-0000-0000C6970000}"/>
    <cellStyle name="Normal 4 2 2 7 7 3" xfId="41855" xr:uid="{00000000-0005-0000-0000-0000C7970000}"/>
    <cellStyle name="Normal 4 2 2 7 8" xfId="16571" xr:uid="{00000000-0005-0000-0000-0000C8970000}"/>
    <cellStyle name="Normal 4 2 2 7 8 2" xfId="48442" xr:uid="{00000000-0005-0000-0000-0000C9970000}"/>
    <cellStyle name="Normal 4 2 2 7 9" xfId="41792" xr:uid="{00000000-0005-0000-0000-0000CA970000}"/>
    <cellStyle name="Normal 4 2 2 8" xfId="9977" xr:uid="{00000000-0005-0000-0000-0000CB970000}"/>
    <cellStyle name="Normal 4 2 2 8 2" xfId="9978" xr:uid="{00000000-0005-0000-0000-0000CC970000}"/>
    <cellStyle name="Normal 4 2 2 8 2 2" xfId="9979" xr:uid="{00000000-0005-0000-0000-0000CD970000}"/>
    <cellStyle name="Normal 4 2 2 8 2 2 2" xfId="9980" xr:uid="{00000000-0005-0000-0000-0000CE970000}"/>
    <cellStyle name="Normal 4 2 2 8 2 2 2 2" xfId="9981" xr:uid="{00000000-0005-0000-0000-0000CF970000}"/>
    <cellStyle name="Normal 4 2 2 8 2 2 2 2 2" xfId="9982" xr:uid="{00000000-0005-0000-0000-0000D0970000}"/>
    <cellStyle name="Normal 4 2 2 8 2 2 2 2 2 2" xfId="30751" xr:uid="{00000000-0005-0000-0000-0000D1970000}"/>
    <cellStyle name="Normal 4 2 2 8 2 2 2 2 2 2 2" xfId="62622" xr:uid="{00000000-0005-0000-0000-0000D2970000}"/>
    <cellStyle name="Normal 4 2 2 8 2 2 2 2 2 3" xfId="41861" xr:uid="{00000000-0005-0000-0000-0000D3970000}"/>
    <cellStyle name="Normal 4 2 2 8 2 2 2 2 3" xfId="22873" xr:uid="{00000000-0005-0000-0000-0000D4970000}"/>
    <cellStyle name="Normal 4 2 2 8 2 2 2 2 3 2" xfId="54744" xr:uid="{00000000-0005-0000-0000-0000D5970000}"/>
    <cellStyle name="Normal 4 2 2 8 2 2 2 2 4" xfId="41860" xr:uid="{00000000-0005-0000-0000-0000D6970000}"/>
    <cellStyle name="Normal 4 2 2 8 2 2 2 3" xfId="9983" xr:uid="{00000000-0005-0000-0000-0000D7970000}"/>
    <cellStyle name="Normal 4 2 2 8 2 2 2 3 2" xfId="26812" xr:uid="{00000000-0005-0000-0000-0000D8970000}"/>
    <cellStyle name="Normal 4 2 2 8 2 2 2 3 2 2" xfId="58683" xr:uid="{00000000-0005-0000-0000-0000D9970000}"/>
    <cellStyle name="Normal 4 2 2 8 2 2 2 3 3" xfId="41862" xr:uid="{00000000-0005-0000-0000-0000DA970000}"/>
    <cellStyle name="Normal 4 2 2 8 2 2 2 4" xfId="18934" xr:uid="{00000000-0005-0000-0000-0000DB970000}"/>
    <cellStyle name="Normal 4 2 2 8 2 2 2 4 2" xfId="50805" xr:uid="{00000000-0005-0000-0000-0000DC970000}"/>
    <cellStyle name="Normal 4 2 2 8 2 2 2 5" xfId="41859" xr:uid="{00000000-0005-0000-0000-0000DD970000}"/>
    <cellStyle name="Normal 4 2 2 8 2 2 3" xfId="9984" xr:uid="{00000000-0005-0000-0000-0000DE970000}"/>
    <cellStyle name="Normal 4 2 2 8 2 2 3 2" xfId="9985" xr:uid="{00000000-0005-0000-0000-0000DF970000}"/>
    <cellStyle name="Normal 4 2 2 8 2 2 3 2 2" xfId="30750" xr:uid="{00000000-0005-0000-0000-0000E0970000}"/>
    <cellStyle name="Normal 4 2 2 8 2 2 3 2 2 2" xfId="62621" xr:uid="{00000000-0005-0000-0000-0000E1970000}"/>
    <cellStyle name="Normal 4 2 2 8 2 2 3 2 3" xfId="41864" xr:uid="{00000000-0005-0000-0000-0000E2970000}"/>
    <cellStyle name="Normal 4 2 2 8 2 2 3 3" xfId="22872" xr:uid="{00000000-0005-0000-0000-0000E3970000}"/>
    <cellStyle name="Normal 4 2 2 8 2 2 3 3 2" xfId="54743" xr:uid="{00000000-0005-0000-0000-0000E4970000}"/>
    <cellStyle name="Normal 4 2 2 8 2 2 3 4" xfId="41863" xr:uid="{00000000-0005-0000-0000-0000E5970000}"/>
    <cellStyle name="Normal 4 2 2 8 2 2 4" xfId="9986" xr:uid="{00000000-0005-0000-0000-0000E6970000}"/>
    <cellStyle name="Normal 4 2 2 8 2 2 4 2" xfId="26811" xr:uid="{00000000-0005-0000-0000-0000E7970000}"/>
    <cellStyle name="Normal 4 2 2 8 2 2 4 2 2" xfId="58682" xr:uid="{00000000-0005-0000-0000-0000E8970000}"/>
    <cellStyle name="Normal 4 2 2 8 2 2 4 3" xfId="41865" xr:uid="{00000000-0005-0000-0000-0000E9970000}"/>
    <cellStyle name="Normal 4 2 2 8 2 2 5" xfId="18933" xr:uid="{00000000-0005-0000-0000-0000EA970000}"/>
    <cellStyle name="Normal 4 2 2 8 2 2 5 2" xfId="50804" xr:uid="{00000000-0005-0000-0000-0000EB970000}"/>
    <cellStyle name="Normal 4 2 2 8 2 2 6" xfId="41858" xr:uid="{00000000-0005-0000-0000-0000EC970000}"/>
    <cellStyle name="Normal 4 2 2 8 2 3" xfId="9987" xr:uid="{00000000-0005-0000-0000-0000ED970000}"/>
    <cellStyle name="Normal 4 2 2 8 2 3 2" xfId="9988" xr:uid="{00000000-0005-0000-0000-0000EE970000}"/>
    <cellStyle name="Normal 4 2 2 8 2 3 2 2" xfId="9989" xr:uid="{00000000-0005-0000-0000-0000EF970000}"/>
    <cellStyle name="Normal 4 2 2 8 2 3 2 2 2" xfId="30752" xr:uid="{00000000-0005-0000-0000-0000F0970000}"/>
    <cellStyle name="Normal 4 2 2 8 2 3 2 2 2 2" xfId="62623" xr:uid="{00000000-0005-0000-0000-0000F1970000}"/>
    <cellStyle name="Normal 4 2 2 8 2 3 2 2 3" xfId="41868" xr:uid="{00000000-0005-0000-0000-0000F2970000}"/>
    <cellStyle name="Normal 4 2 2 8 2 3 2 3" xfId="22874" xr:uid="{00000000-0005-0000-0000-0000F3970000}"/>
    <cellStyle name="Normal 4 2 2 8 2 3 2 3 2" xfId="54745" xr:uid="{00000000-0005-0000-0000-0000F4970000}"/>
    <cellStyle name="Normal 4 2 2 8 2 3 2 4" xfId="41867" xr:uid="{00000000-0005-0000-0000-0000F5970000}"/>
    <cellStyle name="Normal 4 2 2 8 2 3 3" xfId="9990" xr:uid="{00000000-0005-0000-0000-0000F6970000}"/>
    <cellStyle name="Normal 4 2 2 8 2 3 3 2" xfId="26813" xr:uid="{00000000-0005-0000-0000-0000F7970000}"/>
    <cellStyle name="Normal 4 2 2 8 2 3 3 2 2" xfId="58684" xr:uid="{00000000-0005-0000-0000-0000F8970000}"/>
    <cellStyle name="Normal 4 2 2 8 2 3 3 3" xfId="41869" xr:uid="{00000000-0005-0000-0000-0000F9970000}"/>
    <cellStyle name="Normal 4 2 2 8 2 3 4" xfId="18935" xr:uid="{00000000-0005-0000-0000-0000FA970000}"/>
    <cellStyle name="Normal 4 2 2 8 2 3 4 2" xfId="50806" xr:uid="{00000000-0005-0000-0000-0000FB970000}"/>
    <cellStyle name="Normal 4 2 2 8 2 3 5" xfId="41866" xr:uid="{00000000-0005-0000-0000-0000FC970000}"/>
    <cellStyle name="Normal 4 2 2 8 2 4" xfId="9991" xr:uid="{00000000-0005-0000-0000-0000FD970000}"/>
    <cellStyle name="Normal 4 2 2 8 2 4 2" xfId="9992" xr:uid="{00000000-0005-0000-0000-0000FE970000}"/>
    <cellStyle name="Normal 4 2 2 8 2 4 2 2" xfId="30749" xr:uid="{00000000-0005-0000-0000-0000FF970000}"/>
    <cellStyle name="Normal 4 2 2 8 2 4 2 2 2" xfId="62620" xr:uid="{00000000-0005-0000-0000-000000980000}"/>
    <cellStyle name="Normal 4 2 2 8 2 4 2 3" xfId="41871" xr:uid="{00000000-0005-0000-0000-000001980000}"/>
    <cellStyle name="Normal 4 2 2 8 2 4 3" xfId="22871" xr:uid="{00000000-0005-0000-0000-000002980000}"/>
    <cellStyle name="Normal 4 2 2 8 2 4 3 2" xfId="54742" xr:uid="{00000000-0005-0000-0000-000003980000}"/>
    <cellStyle name="Normal 4 2 2 8 2 4 4" xfId="41870" xr:uid="{00000000-0005-0000-0000-000004980000}"/>
    <cellStyle name="Normal 4 2 2 8 2 5" xfId="9993" xr:uid="{00000000-0005-0000-0000-000005980000}"/>
    <cellStyle name="Normal 4 2 2 8 2 5 2" xfId="26810" xr:uid="{00000000-0005-0000-0000-000006980000}"/>
    <cellStyle name="Normal 4 2 2 8 2 5 2 2" xfId="58681" xr:uid="{00000000-0005-0000-0000-000007980000}"/>
    <cellStyle name="Normal 4 2 2 8 2 5 3" xfId="41872" xr:uid="{00000000-0005-0000-0000-000008980000}"/>
    <cellStyle name="Normal 4 2 2 8 2 6" xfId="18932" xr:uid="{00000000-0005-0000-0000-000009980000}"/>
    <cellStyle name="Normal 4 2 2 8 2 6 2" xfId="50803" xr:uid="{00000000-0005-0000-0000-00000A980000}"/>
    <cellStyle name="Normal 4 2 2 8 2 7" xfId="41857" xr:uid="{00000000-0005-0000-0000-00000B980000}"/>
    <cellStyle name="Normal 4 2 2 8 3" xfId="9994" xr:uid="{00000000-0005-0000-0000-00000C980000}"/>
    <cellStyle name="Normal 4 2 2 8 3 2" xfId="9995" xr:uid="{00000000-0005-0000-0000-00000D980000}"/>
    <cellStyle name="Normal 4 2 2 8 3 2 2" xfId="9996" xr:uid="{00000000-0005-0000-0000-00000E980000}"/>
    <cellStyle name="Normal 4 2 2 8 3 2 2 2" xfId="9997" xr:uid="{00000000-0005-0000-0000-00000F980000}"/>
    <cellStyle name="Normal 4 2 2 8 3 2 2 2 2" xfId="30754" xr:uid="{00000000-0005-0000-0000-000010980000}"/>
    <cellStyle name="Normal 4 2 2 8 3 2 2 2 2 2" xfId="62625" xr:uid="{00000000-0005-0000-0000-000011980000}"/>
    <cellStyle name="Normal 4 2 2 8 3 2 2 2 3" xfId="41876" xr:uid="{00000000-0005-0000-0000-000012980000}"/>
    <cellStyle name="Normal 4 2 2 8 3 2 2 3" xfId="22876" xr:uid="{00000000-0005-0000-0000-000013980000}"/>
    <cellStyle name="Normal 4 2 2 8 3 2 2 3 2" xfId="54747" xr:uid="{00000000-0005-0000-0000-000014980000}"/>
    <cellStyle name="Normal 4 2 2 8 3 2 2 4" xfId="41875" xr:uid="{00000000-0005-0000-0000-000015980000}"/>
    <cellStyle name="Normal 4 2 2 8 3 2 3" xfId="9998" xr:uid="{00000000-0005-0000-0000-000016980000}"/>
    <cellStyle name="Normal 4 2 2 8 3 2 3 2" xfId="26815" xr:uid="{00000000-0005-0000-0000-000017980000}"/>
    <cellStyle name="Normal 4 2 2 8 3 2 3 2 2" xfId="58686" xr:uid="{00000000-0005-0000-0000-000018980000}"/>
    <cellStyle name="Normal 4 2 2 8 3 2 3 3" xfId="41877" xr:uid="{00000000-0005-0000-0000-000019980000}"/>
    <cellStyle name="Normal 4 2 2 8 3 2 4" xfId="18937" xr:uid="{00000000-0005-0000-0000-00001A980000}"/>
    <cellStyle name="Normal 4 2 2 8 3 2 4 2" xfId="50808" xr:uid="{00000000-0005-0000-0000-00001B980000}"/>
    <cellStyle name="Normal 4 2 2 8 3 2 5" xfId="41874" xr:uid="{00000000-0005-0000-0000-00001C980000}"/>
    <cellStyle name="Normal 4 2 2 8 3 3" xfId="9999" xr:uid="{00000000-0005-0000-0000-00001D980000}"/>
    <cellStyle name="Normal 4 2 2 8 3 3 2" xfId="10000" xr:uid="{00000000-0005-0000-0000-00001E980000}"/>
    <cellStyle name="Normal 4 2 2 8 3 3 2 2" xfId="30753" xr:uid="{00000000-0005-0000-0000-00001F980000}"/>
    <cellStyle name="Normal 4 2 2 8 3 3 2 2 2" xfId="62624" xr:uid="{00000000-0005-0000-0000-000020980000}"/>
    <cellStyle name="Normal 4 2 2 8 3 3 2 3" xfId="41879" xr:uid="{00000000-0005-0000-0000-000021980000}"/>
    <cellStyle name="Normal 4 2 2 8 3 3 3" xfId="22875" xr:uid="{00000000-0005-0000-0000-000022980000}"/>
    <cellStyle name="Normal 4 2 2 8 3 3 3 2" xfId="54746" xr:uid="{00000000-0005-0000-0000-000023980000}"/>
    <cellStyle name="Normal 4 2 2 8 3 3 4" xfId="41878" xr:uid="{00000000-0005-0000-0000-000024980000}"/>
    <cellStyle name="Normal 4 2 2 8 3 4" xfId="10001" xr:uid="{00000000-0005-0000-0000-000025980000}"/>
    <cellStyle name="Normal 4 2 2 8 3 4 2" xfId="26814" xr:uid="{00000000-0005-0000-0000-000026980000}"/>
    <cellStyle name="Normal 4 2 2 8 3 4 2 2" xfId="58685" xr:uid="{00000000-0005-0000-0000-000027980000}"/>
    <cellStyle name="Normal 4 2 2 8 3 4 3" xfId="41880" xr:uid="{00000000-0005-0000-0000-000028980000}"/>
    <cellStyle name="Normal 4 2 2 8 3 5" xfId="18936" xr:uid="{00000000-0005-0000-0000-000029980000}"/>
    <cellStyle name="Normal 4 2 2 8 3 5 2" xfId="50807" xr:uid="{00000000-0005-0000-0000-00002A980000}"/>
    <cellStyle name="Normal 4 2 2 8 3 6" xfId="41873" xr:uid="{00000000-0005-0000-0000-00002B980000}"/>
    <cellStyle name="Normal 4 2 2 8 4" xfId="10002" xr:uid="{00000000-0005-0000-0000-00002C980000}"/>
    <cellStyle name="Normal 4 2 2 8 4 2" xfId="10003" xr:uid="{00000000-0005-0000-0000-00002D980000}"/>
    <cellStyle name="Normal 4 2 2 8 4 2 2" xfId="10004" xr:uid="{00000000-0005-0000-0000-00002E980000}"/>
    <cellStyle name="Normal 4 2 2 8 4 2 2 2" xfId="30755" xr:uid="{00000000-0005-0000-0000-00002F980000}"/>
    <cellStyle name="Normal 4 2 2 8 4 2 2 2 2" xfId="62626" xr:uid="{00000000-0005-0000-0000-000030980000}"/>
    <cellStyle name="Normal 4 2 2 8 4 2 2 3" xfId="41883" xr:uid="{00000000-0005-0000-0000-000031980000}"/>
    <cellStyle name="Normal 4 2 2 8 4 2 3" xfId="22877" xr:uid="{00000000-0005-0000-0000-000032980000}"/>
    <cellStyle name="Normal 4 2 2 8 4 2 3 2" xfId="54748" xr:uid="{00000000-0005-0000-0000-000033980000}"/>
    <cellStyle name="Normal 4 2 2 8 4 2 4" xfId="41882" xr:uid="{00000000-0005-0000-0000-000034980000}"/>
    <cellStyle name="Normal 4 2 2 8 4 3" xfId="10005" xr:uid="{00000000-0005-0000-0000-000035980000}"/>
    <cellStyle name="Normal 4 2 2 8 4 3 2" xfId="26816" xr:uid="{00000000-0005-0000-0000-000036980000}"/>
    <cellStyle name="Normal 4 2 2 8 4 3 2 2" xfId="58687" xr:uid="{00000000-0005-0000-0000-000037980000}"/>
    <cellStyle name="Normal 4 2 2 8 4 3 3" xfId="41884" xr:uid="{00000000-0005-0000-0000-000038980000}"/>
    <cellStyle name="Normal 4 2 2 8 4 4" xfId="18938" xr:uid="{00000000-0005-0000-0000-000039980000}"/>
    <cellStyle name="Normal 4 2 2 8 4 4 2" xfId="50809" xr:uid="{00000000-0005-0000-0000-00003A980000}"/>
    <cellStyle name="Normal 4 2 2 8 4 5" xfId="41881" xr:uid="{00000000-0005-0000-0000-00003B980000}"/>
    <cellStyle name="Normal 4 2 2 8 5" xfId="10006" xr:uid="{00000000-0005-0000-0000-00003C980000}"/>
    <cellStyle name="Normal 4 2 2 8 5 2" xfId="10007" xr:uid="{00000000-0005-0000-0000-00003D980000}"/>
    <cellStyle name="Normal 4 2 2 8 5 2 2" xfId="28265" xr:uid="{00000000-0005-0000-0000-00003E980000}"/>
    <cellStyle name="Normal 4 2 2 8 5 2 2 2" xfId="60136" xr:uid="{00000000-0005-0000-0000-00003F980000}"/>
    <cellStyle name="Normal 4 2 2 8 5 2 3" xfId="41886" xr:uid="{00000000-0005-0000-0000-000040980000}"/>
    <cellStyle name="Normal 4 2 2 8 5 3" xfId="20387" xr:uid="{00000000-0005-0000-0000-000041980000}"/>
    <cellStyle name="Normal 4 2 2 8 5 3 2" xfId="52258" xr:uid="{00000000-0005-0000-0000-000042980000}"/>
    <cellStyle name="Normal 4 2 2 8 5 4" xfId="41885" xr:uid="{00000000-0005-0000-0000-000043980000}"/>
    <cellStyle name="Normal 4 2 2 8 6" xfId="10008" xr:uid="{00000000-0005-0000-0000-000044980000}"/>
    <cellStyle name="Normal 4 2 2 8 6 2" xfId="24326" xr:uid="{00000000-0005-0000-0000-000045980000}"/>
    <cellStyle name="Normal 4 2 2 8 6 2 2" xfId="56197" xr:uid="{00000000-0005-0000-0000-000046980000}"/>
    <cellStyle name="Normal 4 2 2 8 6 3" xfId="41887" xr:uid="{00000000-0005-0000-0000-000047980000}"/>
    <cellStyle name="Normal 4 2 2 8 7" xfId="16448" xr:uid="{00000000-0005-0000-0000-000048980000}"/>
    <cellStyle name="Normal 4 2 2 8 7 2" xfId="48319" xr:uid="{00000000-0005-0000-0000-000049980000}"/>
    <cellStyle name="Normal 4 2 2 8 8" xfId="41856" xr:uid="{00000000-0005-0000-0000-00004A980000}"/>
    <cellStyle name="Normal 4 2 2 9" xfId="10009" xr:uid="{00000000-0005-0000-0000-00004B980000}"/>
    <cellStyle name="Normal 4 2 2 9 2" xfId="10010" xr:uid="{00000000-0005-0000-0000-00004C980000}"/>
    <cellStyle name="Normal 4 2 2 9 2 2" xfId="10011" xr:uid="{00000000-0005-0000-0000-00004D980000}"/>
    <cellStyle name="Normal 4 2 2 9 2 2 2" xfId="10012" xr:uid="{00000000-0005-0000-0000-00004E980000}"/>
    <cellStyle name="Normal 4 2 2 9 2 2 2 2" xfId="10013" xr:uid="{00000000-0005-0000-0000-00004F980000}"/>
    <cellStyle name="Normal 4 2 2 9 2 2 2 2 2" xfId="30758" xr:uid="{00000000-0005-0000-0000-000050980000}"/>
    <cellStyle name="Normal 4 2 2 9 2 2 2 2 2 2" xfId="62629" xr:uid="{00000000-0005-0000-0000-000051980000}"/>
    <cellStyle name="Normal 4 2 2 9 2 2 2 2 3" xfId="41892" xr:uid="{00000000-0005-0000-0000-000052980000}"/>
    <cellStyle name="Normal 4 2 2 9 2 2 2 3" xfId="22880" xr:uid="{00000000-0005-0000-0000-000053980000}"/>
    <cellStyle name="Normal 4 2 2 9 2 2 2 3 2" xfId="54751" xr:uid="{00000000-0005-0000-0000-000054980000}"/>
    <cellStyle name="Normal 4 2 2 9 2 2 2 4" xfId="41891" xr:uid="{00000000-0005-0000-0000-000055980000}"/>
    <cellStyle name="Normal 4 2 2 9 2 2 3" xfId="10014" xr:uid="{00000000-0005-0000-0000-000056980000}"/>
    <cellStyle name="Normal 4 2 2 9 2 2 3 2" xfId="26819" xr:uid="{00000000-0005-0000-0000-000057980000}"/>
    <cellStyle name="Normal 4 2 2 9 2 2 3 2 2" xfId="58690" xr:uid="{00000000-0005-0000-0000-000058980000}"/>
    <cellStyle name="Normal 4 2 2 9 2 2 3 3" xfId="41893" xr:uid="{00000000-0005-0000-0000-000059980000}"/>
    <cellStyle name="Normal 4 2 2 9 2 2 4" xfId="18941" xr:uid="{00000000-0005-0000-0000-00005A980000}"/>
    <cellStyle name="Normal 4 2 2 9 2 2 4 2" xfId="50812" xr:uid="{00000000-0005-0000-0000-00005B980000}"/>
    <cellStyle name="Normal 4 2 2 9 2 2 5" xfId="41890" xr:uid="{00000000-0005-0000-0000-00005C980000}"/>
    <cellStyle name="Normal 4 2 2 9 2 3" xfId="10015" xr:uid="{00000000-0005-0000-0000-00005D980000}"/>
    <cellStyle name="Normal 4 2 2 9 2 3 2" xfId="10016" xr:uid="{00000000-0005-0000-0000-00005E980000}"/>
    <cellStyle name="Normal 4 2 2 9 2 3 2 2" xfId="30757" xr:uid="{00000000-0005-0000-0000-00005F980000}"/>
    <cellStyle name="Normal 4 2 2 9 2 3 2 2 2" xfId="62628" xr:uid="{00000000-0005-0000-0000-000060980000}"/>
    <cellStyle name="Normal 4 2 2 9 2 3 2 3" xfId="41895" xr:uid="{00000000-0005-0000-0000-000061980000}"/>
    <cellStyle name="Normal 4 2 2 9 2 3 3" xfId="22879" xr:uid="{00000000-0005-0000-0000-000062980000}"/>
    <cellStyle name="Normal 4 2 2 9 2 3 3 2" xfId="54750" xr:uid="{00000000-0005-0000-0000-000063980000}"/>
    <cellStyle name="Normal 4 2 2 9 2 3 4" xfId="41894" xr:uid="{00000000-0005-0000-0000-000064980000}"/>
    <cellStyle name="Normal 4 2 2 9 2 4" xfId="10017" xr:uid="{00000000-0005-0000-0000-000065980000}"/>
    <cellStyle name="Normal 4 2 2 9 2 4 2" xfId="26818" xr:uid="{00000000-0005-0000-0000-000066980000}"/>
    <cellStyle name="Normal 4 2 2 9 2 4 2 2" xfId="58689" xr:uid="{00000000-0005-0000-0000-000067980000}"/>
    <cellStyle name="Normal 4 2 2 9 2 4 3" xfId="41896" xr:uid="{00000000-0005-0000-0000-000068980000}"/>
    <cellStyle name="Normal 4 2 2 9 2 5" xfId="18940" xr:uid="{00000000-0005-0000-0000-000069980000}"/>
    <cellStyle name="Normal 4 2 2 9 2 5 2" xfId="50811" xr:uid="{00000000-0005-0000-0000-00006A980000}"/>
    <cellStyle name="Normal 4 2 2 9 2 6" xfId="41889" xr:uid="{00000000-0005-0000-0000-00006B980000}"/>
    <cellStyle name="Normal 4 2 2 9 3" xfId="10018" xr:uid="{00000000-0005-0000-0000-00006C980000}"/>
    <cellStyle name="Normal 4 2 2 9 3 2" xfId="10019" xr:uid="{00000000-0005-0000-0000-00006D980000}"/>
    <cellStyle name="Normal 4 2 2 9 3 2 2" xfId="10020" xr:uid="{00000000-0005-0000-0000-00006E980000}"/>
    <cellStyle name="Normal 4 2 2 9 3 2 2 2" xfId="30759" xr:uid="{00000000-0005-0000-0000-00006F980000}"/>
    <cellStyle name="Normal 4 2 2 9 3 2 2 2 2" xfId="62630" xr:uid="{00000000-0005-0000-0000-000070980000}"/>
    <cellStyle name="Normal 4 2 2 9 3 2 2 3" xfId="41899" xr:uid="{00000000-0005-0000-0000-000071980000}"/>
    <cellStyle name="Normal 4 2 2 9 3 2 3" xfId="22881" xr:uid="{00000000-0005-0000-0000-000072980000}"/>
    <cellStyle name="Normal 4 2 2 9 3 2 3 2" xfId="54752" xr:uid="{00000000-0005-0000-0000-000073980000}"/>
    <cellStyle name="Normal 4 2 2 9 3 2 4" xfId="41898" xr:uid="{00000000-0005-0000-0000-000074980000}"/>
    <cellStyle name="Normal 4 2 2 9 3 3" xfId="10021" xr:uid="{00000000-0005-0000-0000-000075980000}"/>
    <cellStyle name="Normal 4 2 2 9 3 3 2" xfId="26820" xr:uid="{00000000-0005-0000-0000-000076980000}"/>
    <cellStyle name="Normal 4 2 2 9 3 3 2 2" xfId="58691" xr:uid="{00000000-0005-0000-0000-000077980000}"/>
    <cellStyle name="Normal 4 2 2 9 3 3 3" xfId="41900" xr:uid="{00000000-0005-0000-0000-000078980000}"/>
    <cellStyle name="Normal 4 2 2 9 3 4" xfId="18942" xr:uid="{00000000-0005-0000-0000-000079980000}"/>
    <cellStyle name="Normal 4 2 2 9 3 4 2" xfId="50813" xr:uid="{00000000-0005-0000-0000-00007A980000}"/>
    <cellStyle name="Normal 4 2 2 9 3 5" xfId="41897" xr:uid="{00000000-0005-0000-0000-00007B980000}"/>
    <cellStyle name="Normal 4 2 2 9 4" xfId="10022" xr:uid="{00000000-0005-0000-0000-00007C980000}"/>
    <cellStyle name="Normal 4 2 2 9 4 2" xfId="10023" xr:uid="{00000000-0005-0000-0000-00007D980000}"/>
    <cellStyle name="Normal 4 2 2 9 4 2 2" xfId="30756" xr:uid="{00000000-0005-0000-0000-00007E980000}"/>
    <cellStyle name="Normal 4 2 2 9 4 2 2 2" xfId="62627" xr:uid="{00000000-0005-0000-0000-00007F980000}"/>
    <cellStyle name="Normal 4 2 2 9 4 2 3" xfId="41902" xr:uid="{00000000-0005-0000-0000-000080980000}"/>
    <cellStyle name="Normal 4 2 2 9 4 3" xfId="22878" xr:uid="{00000000-0005-0000-0000-000081980000}"/>
    <cellStyle name="Normal 4 2 2 9 4 3 2" xfId="54749" xr:uid="{00000000-0005-0000-0000-000082980000}"/>
    <cellStyle name="Normal 4 2 2 9 4 4" xfId="41901" xr:uid="{00000000-0005-0000-0000-000083980000}"/>
    <cellStyle name="Normal 4 2 2 9 5" xfId="10024" xr:uid="{00000000-0005-0000-0000-000084980000}"/>
    <cellStyle name="Normal 4 2 2 9 5 2" xfId="26817" xr:uid="{00000000-0005-0000-0000-000085980000}"/>
    <cellStyle name="Normal 4 2 2 9 5 2 2" xfId="58688" xr:uid="{00000000-0005-0000-0000-000086980000}"/>
    <cellStyle name="Normal 4 2 2 9 5 3" xfId="41903" xr:uid="{00000000-0005-0000-0000-000087980000}"/>
    <cellStyle name="Normal 4 2 2 9 6" xfId="18939" xr:uid="{00000000-0005-0000-0000-000088980000}"/>
    <cellStyle name="Normal 4 2 2 9 6 2" xfId="50810" xr:uid="{00000000-0005-0000-0000-000089980000}"/>
    <cellStyle name="Normal 4 2 2 9 7" xfId="41888" xr:uid="{00000000-0005-0000-0000-00008A980000}"/>
    <cellStyle name="Normal 4 2 3" xfId="207" xr:uid="{00000000-0005-0000-0000-00008B980000}"/>
    <cellStyle name="Normal 4 2 3 10" xfId="10026" xr:uid="{00000000-0005-0000-0000-00008C980000}"/>
    <cellStyle name="Normal 4 2 3 10 2" xfId="10027" xr:uid="{00000000-0005-0000-0000-00008D980000}"/>
    <cellStyle name="Normal 4 2 3 10 2 2" xfId="28245" xr:uid="{00000000-0005-0000-0000-00008E980000}"/>
    <cellStyle name="Normal 4 2 3 10 2 2 2" xfId="60116" xr:uid="{00000000-0005-0000-0000-00008F980000}"/>
    <cellStyle name="Normal 4 2 3 10 2 3" xfId="41906" xr:uid="{00000000-0005-0000-0000-000090980000}"/>
    <cellStyle name="Normal 4 2 3 10 3" xfId="20367" xr:uid="{00000000-0005-0000-0000-000091980000}"/>
    <cellStyle name="Normal 4 2 3 10 3 2" xfId="52238" xr:uid="{00000000-0005-0000-0000-000092980000}"/>
    <cellStyle name="Normal 4 2 3 10 4" xfId="41905" xr:uid="{00000000-0005-0000-0000-000093980000}"/>
    <cellStyle name="Normal 4 2 3 11" xfId="10028" xr:uid="{00000000-0005-0000-0000-000094980000}"/>
    <cellStyle name="Normal 4 2 3 11 2" xfId="24306" xr:uid="{00000000-0005-0000-0000-000095980000}"/>
    <cellStyle name="Normal 4 2 3 11 2 2" xfId="56177" xr:uid="{00000000-0005-0000-0000-000096980000}"/>
    <cellStyle name="Normal 4 2 3 11 3" xfId="41907" xr:uid="{00000000-0005-0000-0000-000097980000}"/>
    <cellStyle name="Normal 4 2 3 12" xfId="16428" xr:uid="{00000000-0005-0000-0000-000098980000}"/>
    <cellStyle name="Normal 4 2 3 12 2" xfId="48299" xr:uid="{00000000-0005-0000-0000-000099980000}"/>
    <cellStyle name="Normal 4 2 3 13" xfId="10025" xr:uid="{00000000-0005-0000-0000-00009A980000}"/>
    <cellStyle name="Normal 4 2 3 13 2" xfId="41904" xr:uid="{00000000-0005-0000-0000-00009B980000}"/>
    <cellStyle name="Normal 4 2 3 14" xfId="32191" xr:uid="{00000000-0005-0000-0000-00009C980000}"/>
    <cellStyle name="Normal 4 2 3 2" xfId="10029" xr:uid="{00000000-0005-0000-0000-00009D980000}"/>
    <cellStyle name="Normal 4 2 3 2 10" xfId="10030" xr:uid="{00000000-0005-0000-0000-00009E980000}"/>
    <cellStyle name="Normal 4 2 3 2 10 2" xfId="24347" xr:uid="{00000000-0005-0000-0000-00009F980000}"/>
    <cellStyle name="Normal 4 2 3 2 10 2 2" xfId="56218" xr:uid="{00000000-0005-0000-0000-0000A0980000}"/>
    <cellStyle name="Normal 4 2 3 2 10 3" xfId="41909" xr:uid="{00000000-0005-0000-0000-0000A1980000}"/>
    <cellStyle name="Normal 4 2 3 2 11" xfId="16469" xr:uid="{00000000-0005-0000-0000-0000A2980000}"/>
    <cellStyle name="Normal 4 2 3 2 11 2" xfId="48340" xr:uid="{00000000-0005-0000-0000-0000A3980000}"/>
    <cellStyle name="Normal 4 2 3 2 12" xfId="41908" xr:uid="{00000000-0005-0000-0000-0000A4980000}"/>
    <cellStyle name="Normal 4 2 3 2 2" xfId="10031" xr:uid="{00000000-0005-0000-0000-0000A5980000}"/>
    <cellStyle name="Normal 4 2 3 2 2 10" xfId="41910" xr:uid="{00000000-0005-0000-0000-0000A6980000}"/>
    <cellStyle name="Normal 4 2 3 2 2 2" xfId="10032" xr:uid="{00000000-0005-0000-0000-0000A7980000}"/>
    <cellStyle name="Normal 4 2 3 2 2 2 2" xfId="10033" xr:uid="{00000000-0005-0000-0000-0000A8980000}"/>
    <cellStyle name="Normal 4 2 3 2 2 2 2 2" xfId="10034" xr:uid="{00000000-0005-0000-0000-0000A9980000}"/>
    <cellStyle name="Normal 4 2 3 2 2 2 2 2 2" xfId="10035" xr:uid="{00000000-0005-0000-0000-0000AA980000}"/>
    <cellStyle name="Normal 4 2 3 2 2 2 2 2 2 2" xfId="10036" xr:uid="{00000000-0005-0000-0000-0000AB980000}"/>
    <cellStyle name="Normal 4 2 3 2 2 2 2 2 2 2 2" xfId="10037" xr:uid="{00000000-0005-0000-0000-0000AC980000}"/>
    <cellStyle name="Normal 4 2 3 2 2 2 2 2 2 2 2 2" xfId="10038" xr:uid="{00000000-0005-0000-0000-0000AD980000}"/>
    <cellStyle name="Normal 4 2 3 2 2 2 2 2 2 2 2 2 2" xfId="30763" xr:uid="{00000000-0005-0000-0000-0000AE980000}"/>
    <cellStyle name="Normal 4 2 3 2 2 2 2 2 2 2 2 2 2 2" xfId="62634" xr:uid="{00000000-0005-0000-0000-0000AF980000}"/>
    <cellStyle name="Normal 4 2 3 2 2 2 2 2 2 2 2 2 3" xfId="41917" xr:uid="{00000000-0005-0000-0000-0000B0980000}"/>
    <cellStyle name="Normal 4 2 3 2 2 2 2 2 2 2 2 3" xfId="22885" xr:uid="{00000000-0005-0000-0000-0000B1980000}"/>
    <cellStyle name="Normal 4 2 3 2 2 2 2 2 2 2 2 3 2" xfId="54756" xr:uid="{00000000-0005-0000-0000-0000B2980000}"/>
    <cellStyle name="Normal 4 2 3 2 2 2 2 2 2 2 2 4" xfId="41916" xr:uid="{00000000-0005-0000-0000-0000B3980000}"/>
    <cellStyle name="Normal 4 2 3 2 2 2 2 2 2 2 3" xfId="10039" xr:uid="{00000000-0005-0000-0000-0000B4980000}"/>
    <cellStyle name="Normal 4 2 3 2 2 2 2 2 2 2 3 2" xfId="26824" xr:uid="{00000000-0005-0000-0000-0000B5980000}"/>
    <cellStyle name="Normal 4 2 3 2 2 2 2 2 2 2 3 2 2" xfId="58695" xr:uid="{00000000-0005-0000-0000-0000B6980000}"/>
    <cellStyle name="Normal 4 2 3 2 2 2 2 2 2 2 3 3" xfId="41918" xr:uid="{00000000-0005-0000-0000-0000B7980000}"/>
    <cellStyle name="Normal 4 2 3 2 2 2 2 2 2 2 4" xfId="18946" xr:uid="{00000000-0005-0000-0000-0000B8980000}"/>
    <cellStyle name="Normal 4 2 3 2 2 2 2 2 2 2 4 2" xfId="50817" xr:uid="{00000000-0005-0000-0000-0000B9980000}"/>
    <cellStyle name="Normal 4 2 3 2 2 2 2 2 2 2 5" xfId="41915" xr:uid="{00000000-0005-0000-0000-0000BA980000}"/>
    <cellStyle name="Normal 4 2 3 2 2 2 2 2 2 3" xfId="10040" xr:uid="{00000000-0005-0000-0000-0000BB980000}"/>
    <cellStyle name="Normal 4 2 3 2 2 2 2 2 2 3 2" xfId="10041" xr:uid="{00000000-0005-0000-0000-0000BC980000}"/>
    <cellStyle name="Normal 4 2 3 2 2 2 2 2 2 3 2 2" xfId="30762" xr:uid="{00000000-0005-0000-0000-0000BD980000}"/>
    <cellStyle name="Normal 4 2 3 2 2 2 2 2 2 3 2 2 2" xfId="62633" xr:uid="{00000000-0005-0000-0000-0000BE980000}"/>
    <cellStyle name="Normal 4 2 3 2 2 2 2 2 2 3 2 3" xfId="41920" xr:uid="{00000000-0005-0000-0000-0000BF980000}"/>
    <cellStyle name="Normal 4 2 3 2 2 2 2 2 2 3 3" xfId="22884" xr:uid="{00000000-0005-0000-0000-0000C0980000}"/>
    <cellStyle name="Normal 4 2 3 2 2 2 2 2 2 3 3 2" xfId="54755" xr:uid="{00000000-0005-0000-0000-0000C1980000}"/>
    <cellStyle name="Normal 4 2 3 2 2 2 2 2 2 3 4" xfId="41919" xr:uid="{00000000-0005-0000-0000-0000C2980000}"/>
    <cellStyle name="Normal 4 2 3 2 2 2 2 2 2 4" xfId="10042" xr:uid="{00000000-0005-0000-0000-0000C3980000}"/>
    <cellStyle name="Normal 4 2 3 2 2 2 2 2 2 4 2" xfId="26823" xr:uid="{00000000-0005-0000-0000-0000C4980000}"/>
    <cellStyle name="Normal 4 2 3 2 2 2 2 2 2 4 2 2" xfId="58694" xr:uid="{00000000-0005-0000-0000-0000C5980000}"/>
    <cellStyle name="Normal 4 2 3 2 2 2 2 2 2 4 3" xfId="41921" xr:uid="{00000000-0005-0000-0000-0000C6980000}"/>
    <cellStyle name="Normal 4 2 3 2 2 2 2 2 2 5" xfId="18945" xr:uid="{00000000-0005-0000-0000-0000C7980000}"/>
    <cellStyle name="Normal 4 2 3 2 2 2 2 2 2 5 2" xfId="50816" xr:uid="{00000000-0005-0000-0000-0000C8980000}"/>
    <cellStyle name="Normal 4 2 3 2 2 2 2 2 2 6" xfId="41914" xr:uid="{00000000-0005-0000-0000-0000C9980000}"/>
    <cellStyle name="Normal 4 2 3 2 2 2 2 2 3" xfId="10043" xr:uid="{00000000-0005-0000-0000-0000CA980000}"/>
    <cellStyle name="Normal 4 2 3 2 2 2 2 2 3 2" xfId="10044" xr:uid="{00000000-0005-0000-0000-0000CB980000}"/>
    <cellStyle name="Normal 4 2 3 2 2 2 2 2 3 2 2" xfId="10045" xr:uid="{00000000-0005-0000-0000-0000CC980000}"/>
    <cellStyle name="Normal 4 2 3 2 2 2 2 2 3 2 2 2" xfId="30764" xr:uid="{00000000-0005-0000-0000-0000CD980000}"/>
    <cellStyle name="Normal 4 2 3 2 2 2 2 2 3 2 2 2 2" xfId="62635" xr:uid="{00000000-0005-0000-0000-0000CE980000}"/>
    <cellStyle name="Normal 4 2 3 2 2 2 2 2 3 2 2 3" xfId="41924" xr:uid="{00000000-0005-0000-0000-0000CF980000}"/>
    <cellStyle name="Normal 4 2 3 2 2 2 2 2 3 2 3" xfId="22886" xr:uid="{00000000-0005-0000-0000-0000D0980000}"/>
    <cellStyle name="Normal 4 2 3 2 2 2 2 2 3 2 3 2" xfId="54757" xr:uid="{00000000-0005-0000-0000-0000D1980000}"/>
    <cellStyle name="Normal 4 2 3 2 2 2 2 2 3 2 4" xfId="41923" xr:uid="{00000000-0005-0000-0000-0000D2980000}"/>
    <cellStyle name="Normal 4 2 3 2 2 2 2 2 3 3" xfId="10046" xr:uid="{00000000-0005-0000-0000-0000D3980000}"/>
    <cellStyle name="Normal 4 2 3 2 2 2 2 2 3 3 2" xfId="26825" xr:uid="{00000000-0005-0000-0000-0000D4980000}"/>
    <cellStyle name="Normal 4 2 3 2 2 2 2 2 3 3 2 2" xfId="58696" xr:uid="{00000000-0005-0000-0000-0000D5980000}"/>
    <cellStyle name="Normal 4 2 3 2 2 2 2 2 3 3 3" xfId="41925" xr:uid="{00000000-0005-0000-0000-0000D6980000}"/>
    <cellStyle name="Normal 4 2 3 2 2 2 2 2 3 4" xfId="18947" xr:uid="{00000000-0005-0000-0000-0000D7980000}"/>
    <cellStyle name="Normal 4 2 3 2 2 2 2 2 3 4 2" xfId="50818" xr:uid="{00000000-0005-0000-0000-0000D8980000}"/>
    <cellStyle name="Normal 4 2 3 2 2 2 2 2 3 5" xfId="41922" xr:uid="{00000000-0005-0000-0000-0000D9980000}"/>
    <cellStyle name="Normal 4 2 3 2 2 2 2 2 4" xfId="10047" xr:uid="{00000000-0005-0000-0000-0000DA980000}"/>
    <cellStyle name="Normal 4 2 3 2 2 2 2 2 4 2" xfId="10048" xr:uid="{00000000-0005-0000-0000-0000DB980000}"/>
    <cellStyle name="Normal 4 2 3 2 2 2 2 2 4 2 2" xfId="30761" xr:uid="{00000000-0005-0000-0000-0000DC980000}"/>
    <cellStyle name="Normal 4 2 3 2 2 2 2 2 4 2 2 2" xfId="62632" xr:uid="{00000000-0005-0000-0000-0000DD980000}"/>
    <cellStyle name="Normal 4 2 3 2 2 2 2 2 4 2 3" xfId="41927" xr:uid="{00000000-0005-0000-0000-0000DE980000}"/>
    <cellStyle name="Normal 4 2 3 2 2 2 2 2 4 3" xfId="22883" xr:uid="{00000000-0005-0000-0000-0000DF980000}"/>
    <cellStyle name="Normal 4 2 3 2 2 2 2 2 4 3 2" xfId="54754" xr:uid="{00000000-0005-0000-0000-0000E0980000}"/>
    <cellStyle name="Normal 4 2 3 2 2 2 2 2 4 4" xfId="41926" xr:uid="{00000000-0005-0000-0000-0000E1980000}"/>
    <cellStyle name="Normal 4 2 3 2 2 2 2 2 5" xfId="10049" xr:uid="{00000000-0005-0000-0000-0000E2980000}"/>
    <cellStyle name="Normal 4 2 3 2 2 2 2 2 5 2" xfId="26822" xr:uid="{00000000-0005-0000-0000-0000E3980000}"/>
    <cellStyle name="Normal 4 2 3 2 2 2 2 2 5 2 2" xfId="58693" xr:uid="{00000000-0005-0000-0000-0000E4980000}"/>
    <cellStyle name="Normal 4 2 3 2 2 2 2 2 5 3" xfId="41928" xr:uid="{00000000-0005-0000-0000-0000E5980000}"/>
    <cellStyle name="Normal 4 2 3 2 2 2 2 2 6" xfId="18944" xr:uid="{00000000-0005-0000-0000-0000E6980000}"/>
    <cellStyle name="Normal 4 2 3 2 2 2 2 2 6 2" xfId="50815" xr:uid="{00000000-0005-0000-0000-0000E7980000}"/>
    <cellStyle name="Normal 4 2 3 2 2 2 2 2 7" xfId="41913" xr:uid="{00000000-0005-0000-0000-0000E8980000}"/>
    <cellStyle name="Normal 4 2 3 2 2 2 2 3" xfId="10050" xr:uid="{00000000-0005-0000-0000-0000E9980000}"/>
    <cellStyle name="Normal 4 2 3 2 2 2 2 3 2" xfId="10051" xr:uid="{00000000-0005-0000-0000-0000EA980000}"/>
    <cellStyle name="Normal 4 2 3 2 2 2 2 3 2 2" xfId="10052" xr:uid="{00000000-0005-0000-0000-0000EB980000}"/>
    <cellStyle name="Normal 4 2 3 2 2 2 2 3 2 2 2" xfId="10053" xr:uid="{00000000-0005-0000-0000-0000EC980000}"/>
    <cellStyle name="Normal 4 2 3 2 2 2 2 3 2 2 2 2" xfId="30766" xr:uid="{00000000-0005-0000-0000-0000ED980000}"/>
    <cellStyle name="Normal 4 2 3 2 2 2 2 3 2 2 2 2 2" xfId="62637" xr:uid="{00000000-0005-0000-0000-0000EE980000}"/>
    <cellStyle name="Normal 4 2 3 2 2 2 2 3 2 2 2 3" xfId="41932" xr:uid="{00000000-0005-0000-0000-0000EF980000}"/>
    <cellStyle name="Normal 4 2 3 2 2 2 2 3 2 2 3" xfId="22888" xr:uid="{00000000-0005-0000-0000-0000F0980000}"/>
    <cellStyle name="Normal 4 2 3 2 2 2 2 3 2 2 3 2" xfId="54759" xr:uid="{00000000-0005-0000-0000-0000F1980000}"/>
    <cellStyle name="Normal 4 2 3 2 2 2 2 3 2 2 4" xfId="41931" xr:uid="{00000000-0005-0000-0000-0000F2980000}"/>
    <cellStyle name="Normal 4 2 3 2 2 2 2 3 2 3" xfId="10054" xr:uid="{00000000-0005-0000-0000-0000F3980000}"/>
    <cellStyle name="Normal 4 2 3 2 2 2 2 3 2 3 2" xfId="26827" xr:uid="{00000000-0005-0000-0000-0000F4980000}"/>
    <cellStyle name="Normal 4 2 3 2 2 2 2 3 2 3 2 2" xfId="58698" xr:uid="{00000000-0005-0000-0000-0000F5980000}"/>
    <cellStyle name="Normal 4 2 3 2 2 2 2 3 2 3 3" xfId="41933" xr:uid="{00000000-0005-0000-0000-0000F6980000}"/>
    <cellStyle name="Normal 4 2 3 2 2 2 2 3 2 4" xfId="18949" xr:uid="{00000000-0005-0000-0000-0000F7980000}"/>
    <cellStyle name="Normal 4 2 3 2 2 2 2 3 2 4 2" xfId="50820" xr:uid="{00000000-0005-0000-0000-0000F8980000}"/>
    <cellStyle name="Normal 4 2 3 2 2 2 2 3 2 5" xfId="41930" xr:uid="{00000000-0005-0000-0000-0000F9980000}"/>
    <cellStyle name="Normal 4 2 3 2 2 2 2 3 3" xfId="10055" xr:uid="{00000000-0005-0000-0000-0000FA980000}"/>
    <cellStyle name="Normal 4 2 3 2 2 2 2 3 3 2" xfId="10056" xr:uid="{00000000-0005-0000-0000-0000FB980000}"/>
    <cellStyle name="Normal 4 2 3 2 2 2 2 3 3 2 2" xfId="30765" xr:uid="{00000000-0005-0000-0000-0000FC980000}"/>
    <cellStyle name="Normal 4 2 3 2 2 2 2 3 3 2 2 2" xfId="62636" xr:uid="{00000000-0005-0000-0000-0000FD980000}"/>
    <cellStyle name="Normal 4 2 3 2 2 2 2 3 3 2 3" xfId="41935" xr:uid="{00000000-0005-0000-0000-0000FE980000}"/>
    <cellStyle name="Normal 4 2 3 2 2 2 2 3 3 3" xfId="22887" xr:uid="{00000000-0005-0000-0000-0000FF980000}"/>
    <cellStyle name="Normal 4 2 3 2 2 2 2 3 3 3 2" xfId="54758" xr:uid="{00000000-0005-0000-0000-000000990000}"/>
    <cellStyle name="Normal 4 2 3 2 2 2 2 3 3 4" xfId="41934" xr:uid="{00000000-0005-0000-0000-000001990000}"/>
    <cellStyle name="Normal 4 2 3 2 2 2 2 3 4" xfId="10057" xr:uid="{00000000-0005-0000-0000-000002990000}"/>
    <cellStyle name="Normal 4 2 3 2 2 2 2 3 4 2" xfId="26826" xr:uid="{00000000-0005-0000-0000-000003990000}"/>
    <cellStyle name="Normal 4 2 3 2 2 2 2 3 4 2 2" xfId="58697" xr:uid="{00000000-0005-0000-0000-000004990000}"/>
    <cellStyle name="Normal 4 2 3 2 2 2 2 3 4 3" xfId="41936" xr:uid="{00000000-0005-0000-0000-000005990000}"/>
    <cellStyle name="Normal 4 2 3 2 2 2 2 3 5" xfId="18948" xr:uid="{00000000-0005-0000-0000-000006990000}"/>
    <cellStyle name="Normal 4 2 3 2 2 2 2 3 5 2" xfId="50819" xr:uid="{00000000-0005-0000-0000-000007990000}"/>
    <cellStyle name="Normal 4 2 3 2 2 2 2 3 6" xfId="41929" xr:uid="{00000000-0005-0000-0000-000008990000}"/>
    <cellStyle name="Normal 4 2 3 2 2 2 2 4" xfId="10058" xr:uid="{00000000-0005-0000-0000-000009990000}"/>
    <cellStyle name="Normal 4 2 3 2 2 2 2 4 2" xfId="10059" xr:uid="{00000000-0005-0000-0000-00000A990000}"/>
    <cellStyle name="Normal 4 2 3 2 2 2 2 4 2 2" xfId="10060" xr:uid="{00000000-0005-0000-0000-00000B990000}"/>
    <cellStyle name="Normal 4 2 3 2 2 2 2 4 2 2 2" xfId="30767" xr:uid="{00000000-0005-0000-0000-00000C990000}"/>
    <cellStyle name="Normal 4 2 3 2 2 2 2 4 2 2 2 2" xfId="62638" xr:uid="{00000000-0005-0000-0000-00000D990000}"/>
    <cellStyle name="Normal 4 2 3 2 2 2 2 4 2 2 3" xfId="41939" xr:uid="{00000000-0005-0000-0000-00000E990000}"/>
    <cellStyle name="Normal 4 2 3 2 2 2 2 4 2 3" xfId="22889" xr:uid="{00000000-0005-0000-0000-00000F990000}"/>
    <cellStyle name="Normal 4 2 3 2 2 2 2 4 2 3 2" xfId="54760" xr:uid="{00000000-0005-0000-0000-000010990000}"/>
    <cellStyle name="Normal 4 2 3 2 2 2 2 4 2 4" xfId="41938" xr:uid="{00000000-0005-0000-0000-000011990000}"/>
    <cellStyle name="Normal 4 2 3 2 2 2 2 4 3" xfId="10061" xr:uid="{00000000-0005-0000-0000-000012990000}"/>
    <cellStyle name="Normal 4 2 3 2 2 2 2 4 3 2" xfId="26828" xr:uid="{00000000-0005-0000-0000-000013990000}"/>
    <cellStyle name="Normal 4 2 3 2 2 2 2 4 3 2 2" xfId="58699" xr:uid="{00000000-0005-0000-0000-000014990000}"/>
    <cellStyle name="Normal 4 2 3 2 2 2 2 4 3 3" xfId="41940" xr:uid="{00000000-0005-0000-0000-000015990000}"/>
    <cellStyle name="Normal 4 2 3 2 2 2 2 4 4" xfId="18950" xr:uid="{00000000-0005-0000-0000-000016990000}"/>
    <cellStyle name="Normal 4 2 3 2 2 2 2 4 4 2" xfId="50821" xr:uid="{00000000-0005-0000-0000-000017990000}"/>
    <cellStyle name="Normal 4 2 3 2 2 2 2 4 5" xfId="41937" xr:uid="{00000000-0005-0000-0000-000018990000}"/>
    <cellStyle name="Normal 4 2 3 2 2 2 2 5" xfId="10062" xr:uid="{00000000-0005-0000-0000-000019990000}"/>
    <cellStyle name="Normal 4 2 3 2 2 2 2 5 2" xfId="10063" xr:uid="{00000000-0005-0000-0000-00001A990000}"/>
    <cellStyle name="Normal 4 2 3 2 2 2 2 5 2 2" xfId="30760" xr:uid="{00000000-0005-0000-0000-00001B990000}"/>
    <cellStyle name="Normal 4 2 3 2 2 2 2 5 2 2 2" xfId="62631" xr:uid="{00000000-0005-0000-0000-00001C990000}"/>
    <cellStyle name="Normal 4 2 3 2 2 2 2 5 2 3" xfId="41942" xr:uid="{00000000-0005-0000-0000-00001D990000}"/>
    <cellStyle name="Normal 4 2 3 2 2 2 2 5 3" xfId="22882" xr:uid="{00000000-0005-0000-0000-00001E990000}"/>
    <cellStyle name="Normal 4 2 3 2 2 2 2 5 3 2" xfId="54753" xr:uid="{00000000-0005-0000-0000-00001F990000}"/>
    <cellStyle name="Normal 4 2 3 2 2 2 2 5 4" xfId="41941" xr:uid="{00000000-0005-0000-0000-000020990000}"/>
    <cellStyle name="Normal 4 2 3 2 2 2 2 6" xfId="10064" xr:uid="{00000000-0005-0000-0000-000021990000}"/>
    <cellStyle name="Normal 4 2 3 2 2 2 2 6 2" xfId="26821" xr:uid="{00000000-0005-0000-0000-000022990000}"/>
    <cellStyle name="Normal 4 2 3 2 2 2 2 6 2 2" xfId="58692" xr:uid="{00000000-0005-0000-0000-000023990000}"/>
    <cellStyle name="Normal 4 2 3 2 2 2 2 6 3" xfId="41943" xr:uid="{00000000-0005-0000-0000-000024990000}"/>
    <cellStyle name="Normal 4 2 3 2 2 2 2 7" xfId="18943" xr:uid="{00000000-0005-0000-0000-000025990000}"/>
    <cellStyle name="Normal 4 2 3 2 2 2 2 7 2" xfId="50814" xr:uid="{00000000-0005-0000-0000-000026990000}"/>
    <cellStyle name="Normal 4 2 3 2 2 2 2 8" xfId="41912" xr:uid="{00000000-0005-0000-0000-000027990000}"/>
    <cellStyle name="Normal 4 2 3 2 2 2 3" xfId="10065" xr:uid="{00000000-0005-0000-0000-000028990000}"/>
    <cellStyle name="Normal 4 2 3 2 2 2 3 2" xfId="10066" xr:uid="{00000000-0005-0000-0000-000029990000}"/>
    <cellStyle name="Normal 4 2 3 2 2 2 3 2 2" xfId="10067" xr:uid="{00000000-0005-0000-0000-00002A990000}"/>
    <cellStyle name="Normal 4 2 3 2 2 2 3 2 2 2" xfId="10068" xr:uid="{00000000-0005-0000-0000-00002B990000}"/>
    <cellStyle name="Normal 4 2 3 2 2 2 3 2 2 2 2" xfId="10069" xr:uid="{00000000-0005-0000-0000-00002C990000}"/>
    <cellStyle name="Normal 4 2 3 2 2 2 3 2 2 2 2 2" xfId="30770" xr:uid="{00000000-0005-0000-0000-00002D990000}"/>
    <cellStyle name="Normal 4 2 3 2 2 2 3 2 2 2 2 2 2" xfId="62641" xr:uid="{00000000-0005-0000-0000-00002E990000}"/>
    <cellStyle name="Normal 4 2 3 2 2 2 3 2 2 2 2 3" xfId="41948" xr:uid="{00000000-0005-0000-0000-00002F990000}"/>
    <cellStyle name="Normal 4 2 3 2 2 2 3 2 2 2 3" xfId="22892" xr:uid="{00000000-0005-0000-0000-000030990000}"/>
    <cellStyle name="Normal 4 2 3 2 2 2 3 2 2 2 3 2" xfId="54763" xr:uid="{00000000-0005-0000-0000-000031990000}"/>
    <cellStyle name="Normal 4 2 3 2 2 2 3 2 2 2 4" xfId="41947" xr:uid="{00000000-0005-0000-0000-000032990000}"/>
    <cellStyle name="Normal 4 2 3 2 2 2 3 2 2 3" xfId="10070" xr:uid="{00000000-0005-0000-0000-000033990000}"/>
    <cellStyle name="Normal 4 2 3 2 2 2 3 2 2 3 2" xfId="26831" xr:uid="{00000000-0005-0000-0000-000034990000}"/>
    <cellStyle name="Normal 4 2 3 2 2 2 3 2 2 3 2 2" xfId="58702" xr:uid="{00000000-0005-0000-0000-000035990000}"/>
    <cellStyle name="Normal 4 2 3 2 2 2 3 2 2 3 3" xfId="41949" xr:uid="{00000000-0005-0000-0000-000036990000}"/>
    <cellStyle name="Normal 4 2 3 2 2 2 3 2 2 4" xfId="18953" xr:uid="{00000000-0005-0000-0000-000037990000}"/>
    <cellStyle name="Normal 4 2 3 2 2 2 3 2 2 4 2" xfId="50824" xr:uid="{00000000-0005-0000-0000-000038990000}"/>
    <cellStyle name="Normal 4 2 3 2 2 2 3 2 2 5" xfId="41946" xr:uid="{00000000-0005-0000-0000-000039990000}"/>
    <cellStyle name="Normal 4 2 3 2 2 2 3 2 3" xfId="10071" xr:uid="{00000000-0005-0000-0000-00003A990000}"/>
    <cellStyle name="Normal 4 2 3 2 2 2 3 2 3 2" xfId="10072" xr:uid="{00000000-0005-0000-0000-00003B990000}"/>
    <cellStyle name="Normal 4 2 3 2 2 2 3 2 3 2 2" xfId="30769" xr:uid="{00000000-0005-0000-0000-00003C990000}"/>
    <cellStyle name="Normal 4 2 3 2 2 2 3 2 3 2 2 2" xfId="62640" xr:uid="{00000000-0005-0000-0000-00003D990000}"/>
    <cellStyle name="Normal 4 2 3 2 2 2 3 2 3 2 3" xfId="41951" xr:uid="{00000000-0005-0000-0000-00003E990000}"/>
    <cellStyle name="Normal 4 2 3 2 2 2 3 2 3 3" xfId="22891" xr:uid="{00000000-0005-0000-0000-00003F990000}"/>
    <cellStyle name="Normal 4 2 3 2 2 2 3 2 3 3 2" xfId="54762" xr:uid="{00000000-0005-0000-0000-000040990000}"/>
    <cellStyle name="Normal 4 2 3 2 2 2 3 2 3 4" xfId="41950" xr:uid="{00000000-0005-0000-0000-000041990000}"/>
    <cellStyle name="Normal 4 2 3 2 2 2 3 2 4" xfId="10073" xr:uid="{00000000-0005-0000-0000-000042990000}"/>
    <cellStyle name="Normal 4 2 3 2 2 2 3 2 4 2" xfId="26830" xr:uid="{00000000-0005-0000-0000-000043990000}"/>
    <cellStyle name="Normal 4 2 3 2 2 2 3 2 4 2 2" xfId="58701" xr:uid="{00000000-0005-0000-0000-000044990000}"/>
    <cellStyle name="Normal 4 2 3 2 2 2 3 2 4 3" xfId="41952" xr:uid="{00000000-0005-0000-0000-000045990000}"/>
    <cellStyle name="Normal 4 2 3 2 2 2 3 2 5" xfId="18952" xr:uid="{00000000-0005-0000-0000-000046990000}"/>
    <cellStyle name="Normal 4 2 3 2 2 2 3 2 5 2" xfId="50823" xr:uid="{00000000-0005-0000-0000-000047990000}"/>
    <cellStyle name="Normal 4 2 3 2 2 2 3 2 6" xfId="41945" xr:uid="{00000000-0005-0000-0000-000048990000}"/>
    <cellStyle name="Normal 4 2 3 2 2 2 3 3" xfId="10074" xr:uid="{00000000-0005-0000-0000-000049990000}"/>
    <cellStyle name="Normal 4 2 3 2 2 2 3 3 2" xfId="10075" xr:uid="{00000000-0005-0000-0000-00004A990000}"/>
    <cellStyle name="Normal 4 2 3 2 2 2 3 3 2 2" xfId="10076" xr:uid="{00000000-0005-0000-0000-00004B990000}"/>
    <cellStyle name="Normal 4 2 3 2 2 2 3 3 2 2 2" xfId="30771" xr:uid="{00000000-0005-0000-0000-00004C990000}"/>
    <cellStyle name="Normal 4 2 3 2 2 2 3 3 2 2 2 2" xfId="62642" xr:uid="{00000000-0005-0000-0000-00004D990000}"/>
    <cellStyle name="Normal 4 2 3 2 2 2 3 3 2 2 3" xfId="41955" xr:uid="{00000000-0005-0000-0000-00004E990000}"/>
    <cellStyle name="Normal 4 2 3 2 2 2 3 3 2 3" xfId="22893" xr:uid="{00000000-0005-0000-0000-00004F990000}"/>
    <cellStyle name="Normal 4 2 3 2 2 2 3 3 2 3 2" xfId="54764" xr:uid="{00000000-0005-0000-0000-000050990000}"/>
    <cellStyle name="Normal 4 2 3 2 2 2 3 3 2 4" xfId="41954" xr:uid="{00000000-0005-0000-0000-000051990000}"/>
    <cellStyle name="Normal 4 2 3 2 2 2 3 3 3" xfId="10077" xr:uid="{00000000-0005-0000-0000-000052990000}"/>
    <cellStyle name="Normal 4 2 3 2 2 2 3 3 3 2" xfId="26832" xr:uid="{00000000-0005-0000-0000-000053990000}"/>
    <cellStyle name="Normal 4 2 3 2 2 2 3 3 3 2 2" xfId="58703" xr:uid="{00000000-0005-0000-0000-000054990000}"/>
    <cellStyle name="Normal 4 2 3 2 2 2 3 3 3 3" xfId="41956" xr:uid="{00000000-0005-0000-0000-000055990000}"/>
    <cellStyle name="Normal 4 2 3 2 2 2 3 3 4" xfId="18954" xr:uid="{00000000-0005-0000-0000-000056990000}"/>
    <cellStyle name="Normal 4 2 3 2 2 2 3 3 4 2" xfId="50825" xr:uid="{00000000-0005-0000-0000-000057990000}"/>
    <cellStyle name="Normal 4 2 3 2 2 2 3 3 5" xfId="41953" xr:uid="{00000000-0005-0000-0000-000058990000}"/>
    <cellStyle name="Normal 4 2 3 2 2 2 3 4" xfId="10078" xr:uid="{00000000-0005-0000-0000-000059990000}"/>
    <cellStyle name="Normal 4 2 3 2 2 2 3 4 2" xfId="10079" xr:uid="{00000000-0005-0000-0000-00005A990000}"/>
    <cellStyle name="Normal 4 2 3 2 2 2 3 4 2 2" xfId="30768" xr:uid="{00000000-0005-0000-0000-00005B990000}"/>
    <cellStyle name="Normal 4 2 3 2 2 2 3 4 2 2 2" xfId="62639" xr:uid="{00000000-0005-0000-0000-00005C990000}"/>
    <cellStyle name="Normal 4 2 3 2 2 2 3 4 2 3" xfId="41958" xr:uid="{00000000-0005-0000-0000-00005D990000}"/>
    <cellStyle name="Normal 4 2 3 2 2 2 3 4 3" xfId="22890" xr:uid="{00000000-0005-0000-0000-00005E990000}"/>
    <cellStyle name="Normal 4 2 3 2 2 2 3 4 3 2" xfId="54761" xr:uid="{00000000-0005-0000-0000-00005F990000}"/>
    <cellStyle name="Normal 4 2 3 2 2 2 3 4 4" xfId="41957" xr:uid="{00000000-0005-0000-0000-000060990000}"/>
    <cellStyle name="Normal 4 2 3 2 2 2 3 5" xfId="10080" xr:uid="{00000000-0005-0000-0000-000061990000}"/>
    <cellStyle name="Normal 4 2 3 2 2 2 3 5 2" xfId="26829" xr:uid="{00000000-0005-0000-0000-000062990000}"/>
    <cellStyle name="Normal 4 2 3 2 2 2 3 5 2 2" xfId="58700" xr:uid="{00000000-0005-0000-0000-000063990000}"/>
    <cellStyle name="Normal 4 2 3 2 2 2 3 5 3" xfId="41959" xr:uid="{00000000-0005-0000-0000-000064990000}"/>
    <cellStyle name="Normal 4 2 3 2 2 2 3 6" xfId="18951" xr:uid="{00000000-0005-0000-0000-000065990000}"/>
    <cellStyle name="Normal 4 2 3 2 2 2 3 6 2" xfId="50822" xr:uid="{00000000-0005-0000-0000-000066990000}"/>
    <cellStyle name="Normal 4 2 3 2 2 2 3 7" xfId="41944" xr:uid="{00000000-0005-0000-0000-000067990000}"/>
    <cellStyle name="Normal 4 2 3 2 2 2 4" xfId="10081" xr:uid="{00000000-0005-0000-0000-000068990000}"/>
    <cellStyle name="Normal 4 2 3 2 2 2 4 2" xfId="10082" xr:uid="{00000000-0005-0000-0000-000069990000}"/>
    <cellStyle name="Normal 4 2 3 2 2 2 4 2 2" xfId="10083" xr:uid="{00000000-0005-0000-0000-00006A990000}"/>
    <cellStyle name="Normal 4 2 3 2 2 2 4 2 2 2" xfId="10084" xr:uid="{00000000-0005-0000-0000-00006B990000}"/>
    <cellStyle name="Normal 4 2 3 2 2 2 4 2 2 2 2" xfId="30773" xr:uid="{00000000-0005-0000-0000-00006C990000}"/>
    <cellStyle name="Normal 4 2 3 2 2 2 4 2 2 2 2 2" xfId="62644" xr:uid="{00000000-0005-0000-0000-00006D990000}"/>
    <cellStyle name="Normal 4 2 3 2 2 2 4 2 2 2 3" xfId="41963" xr:uid="{00000000-0005-0000-0000-00006E990000}"/>
    <cellStyle name="Normal 4 2 3 2 2 2 4 2 2 3" xfId="22895" xr:uid="{00000000-0005-0000-0000-00006F990000}"/>
    <cellStyle name="Normal 4 2 3 2 2 2 4 2 2 3 2" xfId="54766" xr:uid="{00000000-0005-0000-0000-000070990000}"/>
    <cellStyle name="Normal 4 2 3 2 2 2 4 2 2 4" xfId="41962" xr:uid="{00000000-0005-0000-0000-000071990000}"/>
    <cellStyle name="Normal 4 2 3 2 2 2 4 2 3" xfId="10085" xr:uid="{00000000-0005-0000-0000-000072990000}"/>
    <cellStyle name="Normal 4 2 3 2 2 2 4 2 3 2" xfId="26834" xr:uid="{00000000-0005-0000-0000-000073990000}"/>
    <cellStyle name="Normal 4 2 3 2 2 2 4 2 3 2 2" xfId="58705" xr:uid="{00000000-0005-0000-0000-000074990000}"/>
    <cellStyle name="Normal 4 2 3 2 2 2 4 2 3 3" xfId="41964" xr:uid="{00000000-0005-0000-0000-000075990000}"/>
    <cellStyle name="Normal 4 2 3 2 2 2 4 2 4" xfId="18956" xr:uid="{00000000-0005-0000-0000-000076990000}"/>
    <cellStyle name="Normal 4 2 3 2 2 2 4 2 4 2" xfId="50827" xr:uid="{00000000-0005-0000-0000-000077990000}"/>
    <cellStyle name="Normal 4 2 3 2 2 2 4 2 5" xfId="41961" xr:uid="{00000000-0005-0000-0000-000078990000}"/>
    <cellStyle name="Normal 4 2 3 2 2 2 4 3" xfId="10086" xr:uid="{00000000-0005-0000-0000-000079990000}"/>
    <cellStyle name="Normal 4 2 3 2 2 2 4 3 2" xfId="10087" xr:uid="{00000000-0005-0000-0000-00007A990000}"/>
    <cellStyle name="Normal 4 2 3 2 2 2 4 3 2 2" xfId="30772" xr:uid="{00000000-0005-0000-0000-00007B990000}"/>
    <cellStyle name="Normal 4 2 3 2 2 2 4 3 2 2 2" xfId="62643" xr:uid="{00000000-0005-0000-0000-00007C990000}"/>
    <cellStyle name="Normal 4 2 3 2 2 2 4 3 2 3" xfId="41966" xr:uid="{00000000-0005-0000-0000-00007D990000}"/>
    <cellStyle name="Normal 4 2 3 2 2 2 4 3 3" xfId="22894" xr:uid="{00000000-0005-0000-0000-00007E990000}"/>
    <cellStyle name="Normal 4 2 3 2 2 2 4 3 3 2" xfId="54765" xr:uid="{00000000-0005-0000-0000-00007F990000}"/>
    <cellStyle name="Normal 4 2 3 2 2 2 4 3 4" xfId="41965" xr:uid="{00000000-0005-0000-0000-000080990000}"/>
    <cellStyle name="Normal 4 2 3 2 2 2 4 4" xfId="10088" xr:uid="{00000000-0005-0000-0000-000081990000}"/>
    <cellStyle name="Normal 4 2 3 2 2 2 4 4 2" xfId="26833" xr:uid="{00000000-0005-0000-0000-000082990000}"/>
    <cellStyle name="Normal 4 2 3 2 2 2 4 4 2 2" xfId="58704" xr:uid="{00000000-0005-0000-0000-000083990000}"/>
    <cellStyle name="Normal 4 2 3 2 2 2 4 4 3" xfId="41967" xr:uid="{00000000-0005-0000-0000-000084990000}"/>
    <cellStyle name="Normal 4 2 3 2 2 2 4 5" xfId="18955" xr:uid="{00000000-0005-0000-0000-000085990000}"/>
    <cellStyle name="Normal 4 2 3 2 2 2 4 5 2" xfId="50826" xr:uid="{00000000-0005-0000-0000-000086990000}"/>
    <cellStyle name="Normal 4 2 3 2 2 2 4 6" xfId="41960" xr:uid="{00000000-0005-0000-0000-000087990000}"/>
    <cellStyle name="Normal 4 2 3 2 2 2 5" xfId="10089" xr:uid="{00000000-0005-0000-0000-000088990000}"/>
    <cellStyle name="Normal 4 2 3 2 2 2 5 2" xfId="10090" xr:uid="{00000000-0005-0000-0000-000089990000}"/>
    <cellStyle name="Normal 4 2 3 2 2 2 5 2 2" xfId="10091" xr:uid="{00000000-0005-0000-0000-00008A990000}"/>
    <cellStyle name="Normal 4 2 3 2 2 2 5 2 2 2" xfId="30774" xr:uid="{00000000-0005-0000-0000-00008B990000}"/>
    <cellStyle name="Normal 4 2 3 2 2 2 5 2 2 2 2" xfId="62645" xr:uid="{00000000-0005-0000-0000-00008C990000}"/>
    <cellStyle name="Normal 4 2 3 2 2 2 5 2 2 3" xfId="41970" xr:uid="{00000000-0005-0000-0000-00008D990000}"/>
    <cellStyle name="Normal 4 2 3 2 2 2 5 2 3" xfId="22896" xr:uid="{00000000-0005-0000-0000-00008E990000}"/>
    <cellStyle name="Normal 4 2 3 2 2 2 5 2 3 2" xfId="54767" xr:uid="{00000000-0005-0000-0000-00008F990000}"/>
    <cellStyle name="Normal 4 2 3 2 2 2 5 2 4" xfId="41969" xr:uid="{00000000-0005-0000-0000-000090990000}"/>
    <cellStyle name="Normal 4 2 3 2 2 2 5 3" xfId="10092" xr:uid="{00000000-0005-0000-0000-000091990000}"/>
    <cellStyle name="Normal 4 2 3 2 2 2 5 3 2" xfId="26835" xr:uid="{00000000-0005-0000-0000-000092990000}"/>
    <cellStyle name="Normal 4 2 3 2 2 2 5 3 2 2" xfId="58706" xr:uid="{00000000-0005-0000-0000-000093990000}"/>
    <cellStyle name="Normal 4 2 3 2 2 2 5 3 3" xfId="41971" xr:uid="{00000000-0005-0000-0000-000094990000}"/>
    <cellStyle name="Normal 4 2 3 2 2 2 5 4" xfId="18957" xr:uid="{00000000-0005-0000-0000-000095990000}"/>
    <cellStyle name="Normal 4 2 3 2 2 2 5 4 2" xfId="50828" xr:uid="{00000000-0005-0000-0000-000096990000}"/>
    <cellStyle name="Normal 4 2 3 2 2 2 5 5" xfId="41968" xr:uid="{00000000-0005-0000-0000-000097990000}"/>
    <cellStyle name="Normal 4 2 3 2 2 2 6" xfId="10093" xr:uid="{00000000-0005-0000-0000-000098990000}"/>
    <cellStyle name="Normal 4 2 3 2 2 2 6 2" xfId="10094" xr:uid="{00000000-0005-0000-0000-000099990000}"/>
    <cellStyle name="Normal 4 2 3 2 2 2 6 2 2" xfId="28450" xr:uid="{00000000-0005-0000-0000-00009A990000}"/>
    <cellStyle name="Normal 4 2 3 2 2 2 6 2 2 2" xfId="60321" xr:uid="{00000000-0005-0000-0000-00009B990000}"/>
    <cellStyle name="Normal 4 2 3 2 2 2 6 2 3" xfId="41973" xr:uid="{00000000-0005-0000-0000-00009C990000}"/>
    <cellStyle name="Normal 4 2 3 2 2 2 6 3" xfId="20572" xr:uid="{00000000-0005-0000-0000-00009D990000}"/>
    <cellStyle name="Normal 4 2 3 2 2 2 6 3 2" xfId="52443" xr:uid="{00000000-0005-0000-0000-00009E990000}"/>
    <cellStyle name="Normal 4 2 3 2 2 2 6 4" xfId="41972" xr:uid="{00000000-0005-0000-0000-00009F990000}"/>
    <cellStyle name="Normal 4 2 3 2 2 2 7" xfId="10095" xr:uid="{00000000-0005-0000-0000-0000A0990000}"/>
    <cellStyle name="Normal 4 2 3 2 2 2 7 2" xfId="24511" xr:uid="{00000000-0005-0000-0000-0000A1990000}"/>
    <cellStyle name="Normal 4 2 3 2 2 2 7 2 2" xfId="56382" xr:uid="{00000000-0005-0000-0000-0000A2990000}"/>
    <cellStyle name="Normal 4 2 3 2 2 2 7 3" xfId="41974" xr:uid="{00000000-0005-0000-0000-0000A3990000}"/>
    <cellStyle name="Normal 4 2 3 2 2 2 8" xfId="16633" xr:uid="{00000000-0005-0000-0000-0000A4990000}"/>
    <cellStyle name="Normal 4 2 3 2 2 2 8 2" xfId="48504" xr:uid="{00000000-0005-0000-0000-0000A5990000}"/>
    <cellStyle name="Normal 4 2 3 2 2 2 9" xfId="41911" xr:uid="{00000000-0005-0000-0000-0000A6990000}"/>
    <cellStyle name="Normal 4 2 3 2 2 3" xfId="10096" xr:uid="{00000000-0005-0000-0000-0000A7990000}"/>
    <cellStyle name="Normal 4 2 3 2 2 3 2" xfId="10097" xr:uid="{00000000-0005-0000-0000-0000A8990000}"/>
    <cellStyle name="Normal 4 2 3 2 2 3 2 2" xfId="10098" xr:uid="{00000000-0005-0000-0000-0000A9990000}"/>
    <cellStyle name="Normal 4 2 3 2 2 3 2 2 2" xfId="10099" xr:uid="{00000000-0005-0000-0000-0000AA990000}"/>
    <cellStyle name="Normal 4 2 3 2 2 3 2 2 2 2" xfId="10100" xr:uid="{00000000-0005-0000-0000-0000AB990000}"/>
    <cellStyle name="Normal 4 2 3 2 2 3 2 2 2 2 2" xfId="10101" xr:uid="{00000000-0005-0000-0000-0000AC990000}"/>
    <cellStyle name="Normal 4 2 3 2 2 3 2 2 2 2 2 2" xfId="30778" xr:uid="{00000000-0005-0000-0000-0000AD990000}"/>
    <cellStyle name="Normal 4 2 3 2 2 3 2 2 2 2 2 2 2" xfId="62649" xr:uid="{00000000-0005-0000-0000-0000AE990000}"/>
    <cellStyle name="Normal 4 2 3 2 2 3 2 2 2 2 2 3" xfId="41980" xr:uid="{00000000-0005-0000-0000-0000AF990000}"/>
    <cellStyle name="Normal 4 2 3 2 2 3 2 2 2 2 3" xfId="22900" xr:uid="{00000000-0005-0000-0000-0000B0990000}"/>
    <cellStyle name="Normal 4 2 3 2 2 3 2 2 2 2 3 2" xfId="54771" xr:uid="{00000000-0005-0000-0000-0000B1990000}"/>
    <cellStyle name="Normal 4 2 3 2 2 3 2 2 2 2 4" xfId="41979" xr:uid="{00000000-0005-0000-0000-0000B2990000}"/>
    <cellStyle name="Normal 4 2 3 2 2 3 2 2 2 3" xfId="10102" xr:uid="{00000000-0005-0000-0000-0000B3990000}"/>
    <cellStyle name="Normal 4 2 3 2 2 3 2 2 2 3 2" xfId="26839" xr:uid="{00000000-0005-0000-0000-0000B4990000}"/>
    <cellStyle name="Normal 4 2 3 2 2 3 2 2 2 3 2 2" xfId="58710" xr:uid="{00000000-0005-0000-0000-0000B5990000}"/>
    <cellStyle name="Normal 4 2 3 2 2 3 2 2 2 3 3" xfId="41981" xr:uid="{00000000-0005-0000-0000-0000B6990000}"/>
    <cellStyle name="Normal 4 2 3 2 2 3 2 2 2 4" xfId="18961" xr:uid="{00000000-0005-0000-0000-0000B7990000}"/>
    <cellStyle name="Normal 4 2 3 2 2 3 2 2 2 4 2" xfId="50832" xr:uid="{00000000-0005-0000-0000-0000B8990000}"/>
    <cellStyle name="Normal 4 2 3 2 2 3 2 2 2 5" xfId="41978" xr:uid="{00000000-0005-0000-0000-0000B9990000}"/>
    <cellStyle name="Normal 4 2 3 2 2 3 2 2 3" xfId="10103" xr:uid="{00000000-0005-0000-0000-0000BA990000}"/>
    <cellStyle name="Normal 4 2 3 2 2 3 2 2 3 2" xfId="10104" xr:uid="{00000000-0005-0000-0000-0000BB990000}"/>
    <cellStyle name="Normal 4 2 3 2 2 3 2 2 3 2 2" xfId="30777" xr:uid="{00000000-0005-0000-0000-0000BC990000}"/>
    <cellStyle name="Normal 4 2 3 2 2 3 2 2 3 2 2 2" xfId="62648" xr:uid="{00000000-0005-0000-0000-0000BD990000}"/>
    <cellStyle name="Normal 4 2 3 2 2 3 2 2 3 2 3" xfId="41983" xr:uid="{00000000-0005-0000-0000-0000BE990000}"/>
    <cellStyle name="Normal 4 2 3 2 2 3 2 2 3 3" xfId="22899" xr:uid="{00000000-0005-0000-0000-0000BF990000}"/>
    <cellStyle name="Normal 4 2 3 2 2 3 2 2 3 3 2" xfId="54770" xr:uid="{00000000-0005-0000-0000-0000C0990000}"/>
    <cellStyle name="Normal 4 2 3 2 2 3 2 2 3 4" xfId="41982" xr:uid="{00000000-0005-0000-0000-0000C1990000}"/>
    <cellStyle name="Normal 4 2 3 2 2 3 2 2 4" xfId="10105" xr:uid="{00000000-0005-0000-0000-0000C2990000}"/>
    <cellStyle name="Normal 4 2 3 2 2 3 2 2 4 2" xfId="26838" xr:uid="{00000000-0005-0000-0000-0000C3990000}"/>
    <cellStyle name="Normal 4 2 3 2 2 3 2 2 4 2 2" xfId="58709" xr:uid="{00000000-0005-0000-0000-0000C4990000}"/>
    <cellStyle name="Normal 4 2 3 2 2 3 2 2 4 3" xfId="41984" xr:uid="{00000000-0005-0000-0000-0000C5990000}"/>
    <cellStyle name="Normal 4 2 3 2 2 3 2 2 5" xfId="18960" xr:uid="{00000000-0005-0000-0000-0000C6990000}"/>
    <cellStyle name="Normal 4 2 3 2 2 3 2 2 5 2" xfId="50831" xr:uid="{00000000-0005-0000-0000-0000C7990000}"/>
    <cellStyle name="Normal 4 2 3 2 2 3 2 2 6" xfId="41977" xr:uid="{00000000-0005-0000-0000-0000C8990000}"/>
    <cellStyle name="Normal 4 2 3 2 2 3 2 3" xfId="10106" xr:uid="{00000000-0005-0000-0000-0000C9990000}"/>
    <cellStyle name="Normal 4 2 3 2 2 3 2 3 2" xfId="10107" xr:uid="{00000000-0005-0000-0000-0000CA990000}"/>
    <cellStyle name="Normal 4 2 3 2 2 3 2 3 2 2" xfId="10108" xr:uid="{00000000-0005-0000-0000-0000CB990000}"/>
    <cellStyle name="Normal 4 2 3 2 2 3 2 3 2 2 2" xfId="30779" xr:uid="{00000000-0005-0000-0000-0000CC990000}"/>
    <cellStyle name="Normal 4 2 3 2 2 3 2 3 2 2 2 2" xfId="62650" xr:uid="{00000000-0005-0000-0000-0000CD990000}"/>
    <cellStyle name="Normal 4 2 3 2 2 3 2 3 2 2 3" xfId="41987" xr:uid="{00000000-0005-0000-0000-0000CE990000}"/>
    <cellStyle name="Normal 4 2 3 2 2 3 2 3 2 3" xfId="22901" xr:uid="{00000000-0005-0000-0000-0000CF990000}"/>
    <cellStyle name="Normal 4 2 3 2 2 3 2 3 2 3 2" xfId="54772" xr:uid="{00000000-0005-0000-0000-0000D0990000}"/>
    <cellStyle name="Normal 4 2 3 2 2 3 2 3 2 4" xfId="41986" xr:uid="{00000000-0005-0000-0000-0000D1990000}"/>
    <cellStyle name="Normal 4 2 3 2 2 3 2 3 3" xfId="10109" xr:uid="{00000000-0005-0000-0000-0000D2990000}"/>
    <cellStyle name="Normal 4 2 3 2 2 3 2 3 3 2" xfId="26840" xr:uid="{00000000-0005-0000-0000-0000D3990000}"/>
    <cellStyle name="Normal 4 2 3 2 2 3 2 3 3 2 2" xfId="58711" xr:uid="{00000000-0005-0000-0000-0000D4990000}"/>
    <cellStyle name="Normal 4 2 3 2 2 3 2 3 3 3" xfId="41988" xr:uid="{00000000-0005-0000-0000-0000D5990000}"/>
    <cellStyle name="Normal 4 2 3 2 2 3 2 3 4" xfId="18962" xr:uid="{00000000-0005-0000-0000-0000D6990000}"/>
    <cellStyle name="Normal 4 2 3 2 2 3 2 3 4 2" xfId="50833" xr:uid="{00000000-0005-0000-0000-0000D7990000}"/>
    <cellStyle name="Normal 4 2 3 2 2 3 2 3 5" xfId="41985" xr:uid="{00000000-0005-0000-0000-0000D8990000}"/>
    <cellStyle name="Normal 4 2 3 2 2 3 2 4" xfId="10110" xr:uid="{00000000-0005-0000-0000-0000D9990000}"/>
    <cellStyle name="Normal 4 2 3 2 2 3 2 4 2" xfId="10111" xr:uid="{00000000-0005-0000-0000-0000DA990000}"/>
    <cellStyle name="Normal 4 2 3 2 2 3 2 4 2 2" xfId="30776" xr:uid="{00000000-0005-0000-0000-0000DB990000}"/>
    <cellStyle name="Normal 4 2 3 2 2 3 2 4 2 2 2" xfId="62647" xr:uid="{00000000-0005-0000-0000-0000DC990000}"/>
    <cellStyle name="Normal 4 2 3 2 2 3 2 4 2 3" xfId="41990" xr:uid="{00000000-0005-0000-0000-0000DD990000}"/>
    <cellStyle name="Normal 4 2 3 2 2 3 2 4 3" xfId="22898" xr:uid="{00000000-0005-0000-0000-0000DE990000}"/>
    <cellStyle name="Normal 4 2 3 2 2 3 2 4 3 2" xfId="54769" xr:uid="{00000000-0005-0000-0000-0000DF990000}"/>
    <cellStyle name="Normal 4 2 3 2 2 3 2 4 4" xfId="41989" xr:uid="{00000000-0005-0000-0000-0000E0990000}"/>
    <cellStyle name="Normal 4 2 3 2 2 3 2 5" xfId="10112" xr:uid="{00000000-0005-0000-0000-0000E1990000}"/>
    <cellStyle name="Normal 4 2 3 2 2 3 2 5 2" xfId="26837" xr:uid="{00000000-0005-0000-0000-0000E2990000}"/>
    <cellStyle name="Normal 4 2 3 2 2 3 2 5 2 2" xfId="58708" xr:uid="{00000000-0005-0000-0000-0000E3990000}"/>
    <cellStyle name="Normal 4 2 3 2 2 3 2 5 3" xfId="41991" xr:uid="{00000000-0005-0000-0000-0000E4990000}"/>
    <cellStyle name="Normal 4 2 3 2 2 3 2 6" xfId="18959" xr:uid="{00000000-0005-0000-0000-0000E5990000}"/>
    <cellStyle name="Normal 4 2 3 2 2 3 2 6 2" xfId="50830" xr:uid="{00000000-0005-0000-0000-0000E6990000}"/>
    <cellStyle name="Normal 4 2 3 2 2 3 2 7" xfId="41976" xr:uid="{00000000-0005-0000-0000-0000E7990000}"/>
    <cellStyle name="Normal 4 2 3 2 2 3 3" xfId="10113" xr:uid="{00000000-0005-0000-0000-0000E8990000}"/>
    <cellStyle name="Normal 4 2 3 2 2 3 3 2" xfId="10114" xr:uid="{00000000-0005-0000-0000-0000E9990000}"/>
    <cellStyle name="Normal 4 2 3 2 2 3 3 2 2" xfId="10115" xr:uid="{00000000-0005-0000-0000-0000EA990000}"/>
    <cellStyle name="Normal 4 2 3 2 2 3 3 2 2 2" xfId="10116" xr:uid="{00000000-0005-0000-0000-0000EB990000}"/>
    <cellStyle name="Normal 4 2 3 2 2 3 3 2 2 2 2" xfId="30781" xr:uid="{00000000-0005-0000-0000-0000EC990000}"/>
    <cellStyle name="Normal 4 2 3 2 2 3 3 2 2 2 2 2" xfId="62652" xr:uid="{00000000-0005-0000-0000-0000ED990000}"/>
    <cellStyle name="Normal 4 2 3 2 2 3 3 2 2 2 3" xfId="41995" xr:uid="{00000000-0005-0000-0000-0000EE990000}"/>
    <cellStyle name="Normal 4 2 3 2 2 3 3 2 2 3" xfId="22903" xr:uid="{00000000-0005-0000-0000-0000EF990000}"/>
    <cellStyle name="Normal 4 2 3 2 2 3 3 2 2 3 2" xfId="54774" xr:uid="{00000000-0005-0000-0000-0000F0990000}"/>
    <cellStyle name="Normal 4 2 3 2 2 3 3 2 2 4" xfId="41994" xr:uid="{00000000-0005-0000-0000-0000F1990000}"/>
    <cellStyle name="Normal 4 2 3 2 2 3 3 2 3" xfId="10117" xr:uid="{00000000-0005-0000-0000-0000F2990000}"/>
    <cellStyle name="Normal 4 2 3 2 2 3 3 2 3 2" xfId="26842" xr:uid="{00000000-0005-0000-0000-0000F3990000}"/>
    <cellStyle name="Normal 4 2 3 2 2 3 3 2 3 2 2" xfId="58713" xr:uid="{00000000-0005-0000-0000-0000F4990000}"/>
    <cellStyle name="Normal 4 2 3 2 2 3 3 2 3 3" xfId="41996" xr:uid="{00000000-0005-0000-0000-0000F5990000}"/>
    <cellStyle name="Normal 4 2 3 2 2 3 3 2 4" xfId="18964" xr:uid="{00000000-0005-0000-0000-0000F6990000}"/>
    <cellStyle name="Normal 4 2 3 2 2 3 3 2 4 2" xfId="50835" xr:uid="{00000000-0005-0000-0000-0000F7990000}"/>
    <cellStyle name="Normal 4 2 3 2 2 3 3 2 5" xfId="41993" xr:uid="{00000000-0005-0000-0000-0000F8990000}"/>
    <cellStyle name="Normal 4 2 3 2 2 3 3 3" xfId="10118" xr:uid="{00000000-0005-0000-0000-0000F9990000}"/>
    <cellStyle name="Normal 4 2 3 2 2 3 3 3 2" xfId="10119" xr:uid="{00000000-0005-0000-0000-0000FA990000}"/>
    <cellStyle name="Normal 4 2 3 2 2 3 3 3 2 2" xfId="30780" xr:uid="{00000000-0005-0000-0000-0000FB990000}"/>
    <cellStyle name="Normal 4 2 3 2 2 3 3 3 2 2 2" xfId="62651" xr:uid="{00000000-0005-0000-0000-0000FC990000}"/>
    <cellStyle name="Normal 4 2 3 2 2 3 3 3 2 3" xfId="41998" xr:uid="{00000000-0005-0000-0000-0000FD990000}"/>
    <cellStyle name="Normal 4 2 3 2 2 3 3 3 3" xfId="22902" xr:uid="{00000000-0005-0000-0000-0000FE990000}"/>
    <cellStyle name="Normal 4 2 3 2 2 3 3 3 3 2" xfId="54773" xr:uid="{00000000-0005-0000-0000-0000FF990000}"/>
    <cellStyle name="Normal 4 2 3 2 2 3 3 3 4" xfId="41997" xr:uid="{00000000-0005-0000-0000-0000009A0000}"/>
    <cellStyle name="Normal 4 2 3 2 2 3 3 4" xfId="10120" xr:uid="{00000000-0005-0000-0000-0000019A0000}"/>
    <cellStyle name="Normal 4 2 3 2 2 3 3 4 2" xfId="26841" xr:uid="{00000000-0005-0000-0000-0000029A0000}"/>
    <cellStyle name="Normal 4 2 3 2 2 3 3 4 2 2" xfId="58712" xr:uid="{00000000-0005-0000-0000-0000039A0000}"/>
    <cellStyle name="Normal 4 2 3 2 2 3 3 4 3" xfId="41999" xr:uid="{00000000-0005-0000-0000-0000049A0000}"/>
    <cellStyle name="Normal 4 2 3 2 2 3 3 5" xfId="18963" xr:uid="{00000000-0005-0000-0000-0000059A0000}"/>
    <cellStyle name="Normal 4 2 3 2 2 3 3 5 2" xfId="50834" xr:uid="{00000000-0005-0000-0000-0000069A0000}"/>
    <cellStyle name="Normal 4 2 3 2 2 3 3 6" xfId="41992" xr:uid="{00000000-0005-0000-0000-0000079A0000}"/>
    <cellStyle name="Normal 4 2 3 2 2 3 4" xfId="10121" xr:uid="{00000000-0005-0000-0000-0000089A0000}"/>
    <cellStyle name="Normal 4 2 3 2 2 3 4 2" xfId="10122" xr:uid="{00000000-0005-0000-0000-0000099A0000}"/>
    <cellStyle name="Normal 4 2 3 2 2 3 4 2 2" xfId="10123" xr:uid="{00000000-0005-0000-0000-00000A9A0000}"/>
    <cellStyle name="Normal 4 2 3 2 2 3 4 2 2 2" xfId="30782" xr:uid="{00000000-0005-0000-0000-00000B9A0000}"/>
    <cellStyle name="Normal 4 2 3 2 2 3 4 2 2 2 2" xfId="62653" xr:uid="{00000000-0005-0000-0000-00000C9A0000}"/>
    <cellStyle name="Normal 4 2 3 2 2 3 4 2 2 3" xfId="42002" xr:uid="{00000000-0005-0000-0000-00000D9A0000}"/>
    <cellStyle name="Normal 4 2 3 2 2 3 4 2 3" xfId="22904" xr:uid="{00000000-0005-0000-0000-00000E9A0000}"/>
    <cellStyle name="Normal 4 2 3 2 2 3 4 2 3 2" xfId="54775" xr:uid="{00000000-0005-0000-0000-00000F9A0000}"/>
    <cellStyle name="Normal 4 2 3 2 2 3 4 2 4" xfId="42001" xr:uid="{00000000-0005-0000-0000-0000109A0000}"/>
    <cellStyle name="Normal 4 2 3 2 2 3 4 3" xfId="10124" xr:uid="{00000000-0005-0000-0000-0000119A0000}"/>
    <cellStyle name="Normal 4 2 3 2 2 3 4 3 2" xfId="26843" xr:uid="{00000000-0005-0000-0000-0000129A0000}"/>
    <cellStyle name="Normal 4 2 3 2 2 3 4 3 2 2" xfId="58714" xr:uid="{00000000-0005-0000-0000-0000139A0000}"/>
    <cellStyle name="Normal 4 2 3 2 2 3 4 3 3" xfId="42003" xr:uid="{00000000-0005-0000-0000-0000149A0000}"/>
    <cellStyle name="Normal 4 2 3 2 2 3 4 4" xfId="18965" xr:uid="{00000000-0005-0000-0000-0000159A0000}"/>
    <cellStyle name="Normal 4 2 3 2 2 3 4 4 2" xfId="50836" xr:uid="{00000000-0005-0000-0000-0000169A0000}"/>
    <cellStyle name="Normal 4 2 3 2 2 3 4 5" xfId="42000" xr:uid="{00000000-0005-0000-0000-0000179A0000}"/>
    <cellStyle name="Normal 4 2 3 2 2 3 5" xfId="10125" xr:uid="{00000000-0005-0000-0000-0000189A0000}"/>
    <cellStyle name="Normal 4 2 3 2 2 3 5 2" xfId="10126" xr:uid="{00000000-0005-0000-0000-0000199A0000}"/>
    <cellStyle name="Normal 4 2 3 2 2 3 5 2 2" xfId="30775" xr:uid="{00000000-0005-0000-0000-00001A9A0000}"/>
    <cellStyle name="Normal 4 2 3 2 2 3 5 2 2 2" xfId="62646" xr:uid="{00000000-0005-0000-0000-00001B9A0000}"/>
    <cellStyle name="Normal 4 2 3 2 2 3 5 2 3" xfId="42005" xr:uid="{00000000-0005-0000-0000-00001C9A0000}"/>
    <cellStyle name="Normal 4 2 3 2 2 3 5 3" xfId="22897" xr:uid="{00000000-0005-0000-0000-00001D9A0000}"/>
    <cellStyle name="Normal 4 2 3 2 2 3 5 3 2" xfId="54768" xr:uid="{00000000-0005-0000-0000-00001E9A0000}"/>
    <cellStyle name="Normal 4 2 3 2 2 3 5 4" xfId="42004" xr:uid="{00000000-0005-0000-0000-00001F9A0000}"/>
    <cellStyle name="Normal 4 2 3 2 2 3 6" xfId="10127" xr:uid="{00000000-0005-0000-0000-0000209A0000}"/>
    <cellStyle name="Normal 4 2 3 2 2 3 6 2" xfId="26836" xr:uid="{00000000-0005-0000-0000-0000219A0000}"/>
    <cellStyle name="Normal 4 2 3 2 2 3 6 2 2" xfId="58707" xr:uid="{00000000-0005-0000-0000-0000229A0000}"/>
    <cellStyle name="Normal 4 2 3 2 2 3 6 3" xfId="42006" xr:uid="{00000000-0005-0000-0000-0000239A0000}"/>
    <cellStyle name="Normal 4 2 3 2 2 3 7" xfId="18958" xr:uid="{00000000-0005-0000-0000-0000249A0000}"/>
    <cellStyle name="Normal 4 2 3 2 2 3 7 2" xfId="50829" xr:uid="{00000000-0005-0000-0000-0000259A0000}"/>
    <cellStyle name="Normal 4 2 3 2 2 3 8" xfId="41975" xr:uid="{00000000-0005-0000-0000-0000269A0000}"/>
    <cellStyle name="Normal 4 2 3 2 2 4" xfId="10128" xr:uid="{00000000-0005-0000-0000-0000279A0000}"/>
    <cellStyle name="Normal 4 2 3 2 2 4 2" xfId="10129" xr:uid="{00000000-0005-0000-0000-0000289A0000}"/>
    <cellStyle name="Normal 4 2 3 2 2 4 2 2" xfId="10130" xr:uid="{00000000-0005-0000-0000-0000299A0000}"/>
    <cellStyle name="Normal 4 2 3 2 2 4 2 2 2" xfId="10131" xr:uid="{00000000-0005-0000-0000-00002A9A0000}"/>
    <cellStyle name="Normal 4 2 3 2 2 4 2 2 2 2" xfId="10132" xr:uid="{00000000-0005-0000-0000-00002B9A0000}"/>
    <cellStyle name="Normal 4 2 3 2 2 4 2 2 2 2 2" xfId="30785" xr:uid="{00000000-0005-0000-0000-00002C9A0000}"/>
    <cellStyle name="Normal 4 2 3 2 2 4 2 2 2 2 2 2" xfId="62656" xr:uid="{00000000-0005-0000-0000-00002D9A0000}"/>
    <cellStyle name="Normal 4 2 3 2 2 4 2 2 2 2 3" xfId="42011" xr:uid="{00000000-0005-0000-0000-00002E9A0000}"/>
    <cellStyle name="Normal 4 2 3 2 2 4 2 2 2 3" xfId="22907" xr:uid="{00000000-0005-0000-0000-00002F9A0000}"/>
    <cellStyle name="Normal 4 2 3 2 2 4 2 2 2 3 2" xfId="54778" xr:uid="{00000000-0005-0000-0000-0000309A0000}"/>
    <cellStyle name="Normal 4 2 3 2 2 4 2 2 2 4" xfId="42010" xr:uid="{00000000-0005-0000-0000-0000319A0000}"/>
    <cellStyle name="Normal 4 2 3 2 2 4 2 2 3" xfId="10133" xr:uid="{00000000-0005-0000-0000-0000329A0000}"/>
    <cellStyle name="Normal 4 2 3 2 2 4 2 2 3 2" xfId="26846" xr:uid="{00000000-0005-0000-0000-0000339A0000}"/>
    <cellStyle name="Normal 4 2 3 2 2 4 2 2 3 2 2" xfId="58717" xr:uid="{00000000-0005-0000-0000-0000349A0000}"/>
    <cellStyle name="Normal 4 2 3 2 2 4 2 2 3 3" xfId="42012" xr:uid="{00000000-0005-0000-0000-0000359A0000}"/>
    <cellStyle name="Normal 4 2 3 2 2 4 2 2 4" xfId="18968" xr:uid="{00000000-0005-0000-0000-0000369A0000}"/>
    <cellStyle name="Normal 4 2 3 2 2 4 2 2 4 2" xfId="50839" xr:uid="{00000000-0005-0000-0000-0000379A0000}"/>
    <cellStyle name="Normal 4 2 3 2 2 4 2 2 5" xfId="42009" xr:uid="{00000000-0005-0000-0000-0000389A0000}"/>
    <cellStyle name="Normal 4 2 3 2 2 4 2 3" xfId="10134" xr:uid="{00000000-0005-0000-0000-0000399A0000}"/>
    <cellStyle name="Normal 4 2 3 2 2 4 2 3 2" xfId="10135" xr:uid="{00000000-0005-0000-0000-00003A9A0000}"/>
    <cellStyle name="Normal 4 2 3 2 2 4 2 3 2 2" xfId="30784" xr:uid="{00000000-0005-0000-0000-00003B9A0000}"/>
    <cellStyle name="Normal 4 2 3 2 2 4 2 3 2 2 2" xfId="62655" xr:uid="{00000000-0005-0000-0000-00003C9A0000}"/>
    <cellStyle name="Normal 4 2 3 2 2 4 2 3 2 3" xfId="42014" xr:uid="{00000000-0005-0000-0000-00003D9A0000}"/>
    <cellStyle name="Normal 4 2 3 2 2 4 2 3 3" xfId="22906" xr:uid="{00000000-0005-0000-0000-00003E9A0000}"/>
    <cellStyle name="Normal 4 2 3 2 2 4 2 3 3 2" xfId="54777" xr:uid="{00000000-0005-0000-0000-00003F9A0000}"/>
    <cellStyle name="Normal 4 2 3 2 2 4 2 3 4" xfId="42013" xr:uid="{00000000-0005-0000-0000-0000409A0000}"/>
    <cellStyle name="Normal 4 2 3 2 2 4 2 4" xfId="10136" xr:uid="{00000000-0005-0000-0000-0000419A0000}"/>
    <cellStyle name="Normal 4 2 3 2 2 4 2 4 2" xfId="26845" xr:uid="{00000000-0005-0000-0000-0000429A0000}"/>
    <cellStyle name="Normal 4 2 3 2 2 4 2 4 2 2" xfId="58716" xr:uid="{00000000-0005-0000-0000-0000439A0000}"/>
    <cellStyle name="Normal 4 2 3 2 2 4 2 4 3" xfId="42015" xr:uid="{00000000-0005-0000-0000-0000449A0000}"/>
    <cellStyle name="Normal 4 2 3 2 2 4 2 5" xfId="18967" xr:uid="{00000000-0005-0000-0000-0000459A0000}"/>
    <cellStyle name="Normal 4 2 3 2 2 4 2 5 2" xfId="50838" xr:uid="{00000000-0005-0000-0000-0000469A0000}"/>
    <cellStyle name="Normal 4 2 3 2 2 4 2 6" xfId="42008" xr:uid="{00000000-0005-0000-0000-0000479A0000}"/>
    <cellStyle name="Normal 4 2 3 2 2 4 3" xfId="10137" xr:uid="{00000000-0005-0000-0000-0000489A0000}"/>
    <cellStyle name="Normal 4 2 3 2 2 4 3 2" xfId="10138" xr:uid="{00000000-0005-0000-0000-0000499A0000}"/>
    <cellStyle name="Normal 4 2 3 2 2 4 3 2 2" xfId="10139" xr:uid="{00000000-0005-0000-0000-00004A9A0000}"/>
    <cellStyle name="Normal 4 2 3 2 2 4 3 2 2 2" xfId="30786" xr:uid="{00000000-0005-0000-0000-00004B9A0000}"/>
    <cellStyle name="Normal 4 2 3 2 2 4 3 2 2 2 2" xfId="62657" xr:uid="{00000000-0005-0000-0000-00004C9A0000}"/>
    <cellStyle name="Normal 4 2 3 2 2 4 3 2 2 3" xfId="42018" xr:uid="{00000000-0005-0000-0000-00004D9A0000}"/>
    <cellStyle name="Normal 4 2 3 2 2 4 3 2 3" xfId="22908" xr:uid="{00000000-0005-0000-0000-00004E9A0000}"/>
    <cellStyle name="Normal 4 2 3 2 2 4 3 2 3 2" xfId="54779" xr:uid="{00000000-0005-0000-0000-00004F9A0000}"/>
    <cellStyle name="Normal 4 2 3 2 2 4 3 2 4" xfId="42017" xr:uid="{00000000-0005-0000-0000-0000509A0000}"/>
    <cellStyle name="Normal 4 2 3 2 2 4 3 3" xfId="10140" xr:uid="{00000000-0005-0000-0000-0000519A0000}"/>
    <cellStyle name="Normal 4 2 3 2 2 4 3 3 2" xfId="26847" xr:uid="{00000000-0005-0000-0000-0000529A0000}"/>
    <cellStyle name="Normal 4 2 3 2 2 4 3 3 2 2" xfId="58718" xr:uid="{00000000-0005-0000-0000-0000539A0000}"/>
    <cellStyle name="Normal 4 2 3 2 2 4 3 3 3" xfId="42019" xr:uid="{00000000-0005-0000-0000-0000549A0000}"/>
    <cellStyle name="Normal 4 2 3 2 2 4 3 4" xfId="18969" xr:uid="{00000000-0005-0000-0000-0000559A0000}"/>
    <cellStyle name="Normal 4 2 3 2 2 4 3 4 2" xfId="50840" xr:uid="{00000000-0005-0000-0000-0000569A0000}"/>
    <cellStyle name="Normal 4 2 3 2 2 4 3 5" xfId="42016" xr:uid="{00000000-0005-0000-0000-0000579A0000}"/>
    <cellStyle name="Normal 4 2 3 2 2 4 4" xfId="10141" xr:uid="{00000000-0005-0000-0000-0000589A0000}"/>
    <cellStyle name="Normal 4 2 3 2 2 4 4 2" xfId="10142" xr:uid="{00000000-0005-0000-0000-0000599A0000}"/>
    <cellStyle name="Normal 4 2 3 2 2 4 4 2 2" xfId="30783" xr:uid="{00000000-0005-0000-0000-00005A9A0000}"/>
    <cellStyle name="Normal 4 2 3 2 2 4 4 2 2 2" xfId="62654" xr:uid="{00000000-0005-0000-0000-00005B9A0000}"/>
    <cellStyle name="Normal 4 2 3 2 2 4 4 2 3" xfId="42021" xr:uid="{00000000-0005-0000-0000-00005C9A0000}"/>
    <cellStyle name="Normal 4 2 3 2 2 4 4 3" xfId="22905" xr:uid="{00000000-0005-0000-0000-00005D9A0000}"/>
    <cellStyle name="Normal 4 2 3 2 2 4 4 3 2" xfId="54776" xr:uid="{00000000-0005-0000-0000-00005E9A0000}"/>
    <cellStyle name="Normal 4 2 3 2 2 4 4 4" xfId="42020" xr:uid="{00000000-0005-0000-0000-00005F9A0000}"/>
    <cellStyle name="Normal 4 2 3 2 2 4 5" xfId="10143" xr:uid="{00000000-0005-0000-0000-0000609A0000}"/>
    <cellStyle name="Normal 4 2 3 2 2 4 5 2" xfId="26844" xr:uid="{00000000-0005-0000-0000-0000619A0000}"/>
    <cellStyle name="Normal 4 2 3 2 2 4 5 2 2" xfId="58715" xr:uid="{00000000-0005-0000-0000-0000629A0000}"/>
    <cellStyle name="Normal 4 2 3 2 2 4 5 3" xfId="42022" xr:uid="{00000000-0005-0000-0000-0000639A0000}"/>
    <cellStyle name="Normal 4 2 3 2 2 4 6" xfId="18966" xr:uid="{00000000-0005-0000-0000-0000649A0000}"/>
    <cellStyle name="Normal 4 2 3 2 2 4 6 2" xfId="50837" xr:uid="{00000000-0005-0000-0000-0000659A0000}"/>
    <cellStyle name="Normal 4 2 3 2 2 4 7" xfId="42007" xr:uid="{00000000-0005-0000-0000-0000669A0000}"/>
    <cellStyle name="Normal 4 2 3 2 2 5" xfId="10144" xr:uid="{00000000-0005-0000-0000-0000679A0000}"/>
    <cellStyle name="Normal 4 2 3 2 2 5 2" xfId="10145" xr:uid="{00000000-0005-0000-0000-0000689A0000}"/>
    <cellStyle name="Normal 4 2 3 2 2 5 2 2" xfId="10146" xr:uid="{00000000-0005-0000-0000-0000699A0000}"/>
    <cellStyle name="Normal 4 2 3 2 2 5 2 2 2" xfId="10147" xr:uid="{00000000-0005-0000-0000-00006A9A0000}"/>
    <cellStyle name="Normal 4 2 3 2 2 5 2 2 2 2" xfId="30788" xr:uid="{00000000-0005-0000-0000-00006B9A0000}"/>
    <cellStyle name="Normal 4 2 3 2 2 5 2 2 2 2 2" xfId="62659" xr:uid="{00000000-0005-0000-0000-00006C9A0000}"/>
    <cellStyle name="Normal 4 2 3 2 2 5 2 2 2 3" xfId="42026" xr:uid="{00000000-0005-0000-0000-00006D9A0000}"/>
    <cellStyle name="Normal 4 2 3 2 2 5 2 2 3" xfId="22910" xr:uid="{00000000-0005-0000-0000-00006E9A0000}"/>
    <cellStyle name="Normal 4 2 3 2 2 5 2 2 3 2" xfId="54781" xr:uid="{00000000-0005-0000-0000-00006F9A0000}"/>
    <cellStyle name="Normal 4 2 3 2 2 5 2 2 4" xfId="42025" xr:uid="{00000000-0005-0000-0000-0000709A0000}"/>
    <cellStyle name="Normal 4 2 3 2 2 5 2 3" xfId="10148" xr:uid="{00000000-0005-0000-0000-0000719A0000}"/>
    <cellStyle name="Normal 4 2 3 2 2 5 2 3 2" xfId="26849" xr:uid="{00000000-0005-0000-0000-0000729A0000}"/>
    <cellStyle name="Normal 4 2 3 2 2 5 2 3 2 2" xfId="58720" xr:uid="{00000000-0005-0000-0000-0000739A0000}"/>
    <cellStyle name="Normal 4 2 3 2 2 5 2 3 3" xfId="42027" xr:uid="{00000000-0005-0000-0000-0000749A0000}"/>
    <cellStyle name="Normal 4 2 3 2 2 5 2 4" xfId="18971" xr:uid="{00000000-0005-0000-0000-0000759A0000}"/>
    <cellStyle name="Normal 4 2 3 2 2 5 2 4 2" xfId="50842" xr:uid="{00000000-0005-0000-0000-0000769A0000}"/>
    <cellStyle name="Normal 4 2 3 2 2 5 2 5" xfId="42024" xr:uid="{00000000-0005-0000-0000-0000779A0000}"/>
    <cellStyle name="Normal 4 2 3 2 2 5 3" xfId="10149" xr:uid="{00000000-0005-0000-0000-0000789A0000}"/>
    <cellStyle name="Normal 4 2 3 2 2 5 3 2" xfId="10150" xr:uid="{00000000-0005-0000-0000-0000799A0000}"/>
    <cellStyle name="Normal 4 2 3 2 2 5 3 2 2" xfId="30787" xr:uid="{00000000-0005-0000-0000-00007A9A0000}"/>
    <cellStyle name="Normal 4 2 3 2 2 5 3 2 2 2" xfId="62658" xr:uid="{00000000-0005-0000-0000-00007B9A0000}"/>
    <cellStyle name="Normal 4 2 3 2 2 5 3 2 3" xfId="42029" xr:uid="{00000000-0005-0000-0000-00007C9A0000}"/>
    <cellStyle name="Normal 4 2 3 2 2 5 3 3" xfId="22909" xr:uid="{00000000-0005-0000-0000-00007D9A0000}"/>
    <cellStyle name="Normal 4 2 3 2 2 5 3 3 2" xfId="54780" xr:uid="{00000000-0005-0000-0000-00007E9A0000}"/>
    <cellStyle name="Normal 4 2 3 2 2 5 3 4" xfId="42028" xr:uid="{00000000-0005-0000-0000-00007F9A0000}"/>
    <cellStyle name="Normal 4 2 3 2 2 5 4" xfId="10151" xr:uid="{00000000-0005-0000-0000-0000809A0000}"/>
    <cellStyle name="Normal 4 2 3 2 2 5 4 2" xfId="26848" xr:uid="{00000000-0005-0000-0000-0000819A0000}"/>
    <cellStyle name="Normal 4 2 3 2 2 5 4 2 2" xfId="58719" xr:uid="{00000000-0005-0000-0000-0000829A0000}"/>
    <cellStyle name="Normal 4 2 3 2 2 5 4 3" xfId="42030" xr:uid="{00000000-0005-0000-0000-0000839A0000}"/>
    <cellStyle name="Normal 4 2 3 2 2 5 5" xfId="18970" xr:uid="{00000000-0005-0000-0000-0000849A0000}"/>
    <cellStyle name="Normal 4 2 3 2 2 5 5 2" xfId="50841" xr:uid="{00000000-0005-0000-0000-0000859A0000}"/>
    <cellStyle name="Normal 4 2 3 2 2 5 6" xfId="42023" xr:uid="{00000000-0005-0000-0000-0000869A0000}"/>
    <cellStyle name="Normal 4 2 3 2 2 6" xfId="10152" xr:uid="{00000000-0005-0000-0000-0000879A0000}"/>
    <cellStyle name="Normal 4 2 3 2 2 6 2" xfId="10153" xr:uid="{00000000-0005-0000-0000-0000889A0000}"/>
    <cellStyle name="Normal 4 2 3 2 2 6 2 2" xfId="10154" xr:uid="{00000000-0005-0000-0000-0000899A0000}"/>
    <cellStyle name="Normal 4 2 3 2 2 6 2 2 2" xfId="30789" xr:uid="{00000000-0005-0000-0000-00008A9A0000}"/>
    <cellStyle name="Normal 4 2 3 2 2 6 2 2 2 2" xfId="62660" xr:uid="{00000000-0005-0000-0000-00008B9A0000}"/>
    <cellStyle name="Normal 4 2 3 2 2 6 2 2 3" xfId="42033" xr:uid="{00000000-0005-0000-0000-00008C9A0000}"/>
    <cellStyle name="Normal 4 2 3 2 2 6 2 3" xfId="22911" xr:uid="{00000000-0005-0000-0000-00008D9A0000}"/>
    <cellStyle name="Normal 4 2 3 2 2 6 2 3 2" xfId="54782" xr:uid="{00000000-0005-0000-0000-00008E9A0000}"/>
    <cellStyle name="Normal 4 2 3 2 2 6 2 4" xfId="42032" xr:uid="{00000000-0005-0000-0000-00008F9A0000}"/>
    <cellStyle name="Normal 4 2 3 2 2 6 3" xfId="10155" xr:uid="{00000000-0005-0000-0000-0000909A0000}"/>
    <cellStyle name="Normal 4 2 3 2 2 6 3 2" xfId="26850" xr:uid="{00000000-0005-0000-0000-0000919A0000}"/>
    <cellStyle name="Normal 4 2 3 2 2 6 3 2 2" xfId="58721" xr:uid="{00000000-0005-0000-0000-0000929A0000}"/>
    <cellStyle name="Normal 4 2 3 2 2 6 3 3" xfId="42034" xr:uid="{00000000-0005-0000-0000-0000939A0000}"/>
    <cellStyle name="Normal 4 2 3 2 2 6 4" xfId="18972" xr:uid="{00000000-0005-0000-0000-0000949A0000}"/>
    <cellStyle name="Normal 4 2 3 2 2 6 4 2" xfId="50843" xr:uid="{00000000-0005-0000-0000-0000959A0000}"/>
    <cellStyle name="Normal 4 2 3 2 2 6 5" xfId="42031" xr:uid="{00000000-0005-0000-0000-0000969A0000}"/>
    <cellStyle name="Normal 4 2 3 2 2 7" xfId="10156" xr:uid="{00000000-0005-0000-0000-0000979A0000}"/>
    <cellStyle name="Normal 4 2 3 2 2 7 2" xfId="10157" xr:uid="{00000000-0005-0000-0000-0000989A0000}"/>
    <cellStyle name="Normal 4 2 3 2 2 7 2 2" xfId="28327" xr:uid="{00000000-0005-0000-0000-0000999A0000}"/>
    <cellStyle name="Normal 4 2 3 2 2 7 2 2 2" xfId="60198" xr:uid="{00000000-0005-0000-0000-00009A9A0000}"/>
    <cellStyle name="Normal 4 2 3 2 2 7 2 3" xfId="42036" xr:uid="{00000000-0005-0000-0000-00009B9A0000}"/>
    <cellStyle name="Normal 4 2 3 2 2 7 3" xfId="20449" xr:uid="{00000000-0005-0000-0000-00009C9A0000}"/>
    <cellStyle name="Normal 4 2 3 2 2 7 3 2" xfId="52320" xr:uid="{00000000-0005-0000-0000-00009D9A0000}"/>
    <cellStyle name="Normal 4 2 3 2 2 7 4" xfId="42035" xr:uid="{00000000-0005-0000-0000-00009E9A0000}"/>
    <cellStyle name="Normal 4 2 3 2 2 8" xfId="10158" xr:uid="{00000000-0005-0000-0000-00009F9A0000}"/>
    <cellStyle name="Normal 4 2 3 2 2 8 2" xfId="24388" xr:uid="{00000000-0005-0000-0000-0000A09A0000}"/>
    <cellStyle name="Normal 4 2 3 2 2 8 2 2" xfId="56259" xr:uid="{00000000-0005-0000-0000-0000A19A0000}"/>
    <cellStyle name="Normal 4 2 3 2 2 8 3" xfId="42037" xr:uid="{00000000-0005-0000-0000-0000A29A0000}"/>
    <cellStyle name="Normal 4 2 3 2 2 9" xfId="16510" xr:uid="{00000000-0005-0000-0000-0000A39A0000}"/>
    <cellStyle name="Normal 4 2 3 2 2 9 2" xfId="48381" xr:uid="{00000000-0005-0000-0000-0000A49A0000}"/>
    <cellStyle name="Normal 4 2 3 2 3" xfId="10159" xr:uid="{00000000-0005-0000-0000-0000A59A0000}"/>
    <cellStyle name="Normal 4 2 3 2 3 10" xfId="42038" xr:uid="{00000000-0005-0000-0000-0000A69A0000}"/>
    <cellStyle name="Normal 4 2 3 2 3 2" xfId="10160" xr:uid="{00000000-0005-0000-0000-0000A79A0000}"/>
    <cellStyle name="Normal 4 2 3 2 3 2 2" xfId="10161" xr:uid="{00000000-0005-0000-0000-0000A89A0000}"/>
    <cellStyle name="Normal 4 2 3 2 3 2 2 2" xfId="10162" xr:uid="{00000000-0005-0000-0000-0000A99A0000}"/>
    <cellStyle name="Normal 4 2 3 2 3 2 2 2 2" xfId="10163" xr:uid="{00000000-0005-0000-0000-0000AA9A0000}"/>
    <cellStyle name="Normal 4 2 3 2 3 2 2 2 2 2" xfId="10164" xr:uid="{00000000-0005-0000-0000-0000AB9A0000}"/>
    <cellStyle name="Normal 4 2 3 2 3 2 2 2 2 2 2" xfId="10165" xr:uid="{00000000-0005-0000-0000-0000AC9A0000}"/>
    <cellStyle name="Normal 4 2 3 2 3 2 2 2 2 2 2 2" xfId="10166" xr:uid="{00000000-0005-0000-0000-0000AD9A0000}"/>
    <cellStyle name="Normal 4 2 3 2 3 2 2 2 2 2 2 2 2" xfId="30793" xr:uid="{00000000-0005-0000-0000-0000AE9A0000}"/>
    <cellStyle name="Normal 4 2 3 2 3 2 2 2 2 2 2 2 2 2" xfId="62664" xr:uid="{00000000-0005-0000-0000-0000AF9A0000}"/>
    <cellStyle name="Normal 4 2 3 2 3 2 2 2 2 2 2 2 3" xfId="42045" xr:uid="{00000000-0005-0000-0000-0000B09A0000}"/>
    <cellStyle name="Normal 4 2 3 2 3 2 2 2 2 2 2 3" xfId="22915" xr:uid="{00000000-0005-0000-0000-0000B19A0000}"/>
    <cellStyle name="Normal 4 2 3 2 3 2 2 2 2 2 2 3 2" xfId="54786" xr:uid="{00000000-0005-0000-0000-0000B29A0000}"/>
    <cellStyle name="Normal 4 2 3 2 3 2 2 2 2 2 2 4" xfId="42044" xr:uid="{00000000-0005-0000-0000-0000B39A0000}"/>
    <cellStyle name="Normal 4 2 3 2 3 2 2 2 2 2 3" xfId="10167" xr:uid="{00000000-0005-0000-0000-0000B49A0000}"/>
    <cellStyle name="Normal 4 2 3 2 3 2 2 2 2 2 3 2" xfId="26854" xr:uid="{00000000-0005-0000-0000-0000B59A0000}"/>
    <cellStyle name="Normal 4 2 3 2 3 2 2 2 2 2 3 2 2" xfId="58725" xr:uid="{00000000-0005-0000-0000-0000B69A0000}"/>
    <cellStyle name="Normal 4 2 3 2 3 2 2 2 2 2 3 3" xfId="42046" xr:uid="{00000000-0005-0000-0000-0000B79A0000}"/>
    <cellStyle name="Normal 4 2 3 2 3 2 2 2 2 2 4" xfId="18976" xr:uid="{00000000-0005-0000-0000-0000B89A0000}"/>
    <cellStyle name="Normal 4 2 3 2 3 2 2 2 2 2 4 2" xfId="50847" xr:uid="{00000000-0005-0000-0000-0000B99A0000}"/>
    <cellStyle name="Normal 4 2 3 2 3 2 2 2 2 2 5" xfId="42043" xr:uid="{00000000-0005-0000-0000-0000BA9A0000}"/>
    <cellStyle name="Normal 4 2 3 2 3 2 2 2 2 3" xfId="10168" xr:uid="{00000000-0005-0000-0000-0000BB9A0000}"/>
    <cellStyle name="Normal 4 2 3 2 3 2 2 2 2 3 2" xfId="10169" xr:uid="{00000000-0005-0000-0000-0000BC9A0000}"/>
    <cellStyle name="Normal 4 2 3 2 3 2 2 2 2 3 2 2" xfId="30792" xr:uid="{00000000-0005-0000-0000-0000BD9A0000}"/>
    <cellStyle name="Normal 4 2 3 2 3 2 2 2 2 3 2 2 2" xfId="62663" xr:uid="{00000000-0005-0000-0000-0000BE9A0000}"/>
    <cellStyle name="Normal 4 2 3 2 3 2 2 2 2 3 2 3" xfId="42048" xr:uid="{00000000-0005-0000-0000-0000BF9A0000}"/>
    <cellStyle name="Normal 4 2 3 2 3 2 2 2 2 3 3" xfId="22914" xr:uid="{00000000-0005-0000-0000-0000C09A0000}"/>
    <cellStyle name="Normal 4 2 3 2 3 2 2 2 2 3 3 2" xfId="54785" xr:uid="{00000000-0005-0000-0000-0000C19A0000}"/>
    <cellStyle name="Normal 4 2 3 2 3 2 2 2 2 3 4" xfId="42047" xr:uid="{00000000-0005-0000-0000-0000C29A0000}"/>
    <cellStyle name="Normal 4 2 3 2 3 2 2 2 2 4" xfId="10170" xr:uid="{00000000-0005-0000-0000-0000C39A0000}"/>
    <cellStyle name="Normal 4 2 3 2 3 2 2 2 2 4 2" xfId="26853" xr:uid="{00000000-0005-0000-0000-0000C49A0000}"/>
    <cellStyle name="Normal 4 2 3 2 3 2 2 2 2 4 2 2" xfId="58724" xr:uid="{00000000-0005-0000-0000-0000C59A0000}"/>
    <cellStyle name="Normal 4 2 3 2 3 2 2 2 2 4 3" xfId="42049" xr:uid="{00000000-0005-0000-0000-0000C69A0000}"/>
    <cellStyle name="Normal 4 2 3 2 3 2 2 2 2 5" xfId="18975" xr:uid="{00000000-0005-0000-0000-0000C79A0000}"/>
    <cellStyle name="Normal 4 2 3 2 3 2 2 2 2 5 2" xfId="50846" xr:uid="{00000000-0005-0000-0000-0000C89A0000}"/>
    <cellStyle name="Normal 4 2 3 2 3 2 2 2 2 6" xfId="42042" xr:uid="{00000000-0005-0000-0000-0000C99A0000}"/>
    <cellStyle name="Normal 4 2 3 2 3 2 2 2 3" xfId="10171" xr:uid="{00000000-0005-0000-0000-0000CA9A0000}"/>
    <cellStyle name="Normal 4 2 3 2 3 2 2 2 3 2" xfId="10172" xr:uid="{00000000-0005-0000-0000-0000CB9A0000}"/>
    <cellStyle name="Normal 4 2 3 2 3 2 2 2 3 2 2" xfId="10173" xr:uid="{00000000-0005-0000-0000-0000CC9A0000}"/>
    <cellStyle name="Normal 4 2 3 2 3 2 2 2 3 2 2 2" xfId="30794" xr:uid="{00000000-0005-0000-0000-0000CD9A0000}"/>
    <cellStyle name="Normal 4 2 3 2 3 2 2 2 3 2 2 2 2" xfId="62665" xr:uid="{00000000-0005-0000-0000-0000CE9A0000}"/>
    <cellStyle name="Normal 4 2 3 2 3 2 2 2 3 2 2 3" xfId="42052" xr:uid="{00000000-0005-0000-0000-0000CF9A0000}"/>
    <cellStyle name="Normal 4 2 3 2 3 2 2 2 3 2 3" xfId="22916" xr:uid="{00000000-0005-0000-0000-0000D09A0000}"/>
    <cellStyle name="Normal 4 2 3 2 3 2 2 2 3 2 3 2" xfId="54787" xr:uid="{00000000-0005-0000-0000-0000D19A0000}"/>
    <cellStyle name="Normal 4 2 3 2 3 2 2 2 3 2 4" xfId="42051" xr:uid="{00000000-0005-0000-0000-0000D29A0000}"/>
    <cellStyle name="Normal 4 2 3 2 3 2 2 2 3 3" xfId="10174" xr:uid="{00000000-0005-0000-0000-0000D39A0000}"/>
    <cellStyle name="Normal 4 2 3 2 3 2 2 2 3 3 2" xfId="26855" xr:uid="{00000000-0005-0000-0000-0000D49A0000}"/>
    <cellStyle name="Normal 4 2 3 2 3 2 2 2 3 3 2 2" xfId="58726" xr:uid="{00000000-0005-0000-0000-0000D59A0000}"/>
    <cellStyle name="Normal 4 2 3 2 3 2 2 2 3 3 3" xfId="42053" xr:uid="{00000000-0005-0000-0000-0000D69A0000}"/>
    <cellStyle name="Normal 4 2 3 2 3 2 2 2 3 4" xfId="18977" xr:uid="{00000000-0005-0000-0000-0000D79A0000}"/>
    <cellStyle name="Normal 4 2 3 2 3 2 2 2 3 4 2" xfId="50848" xr:uid="{00000000-0005-0000-0000-0000D89A0000}"/>
    <cellStyle name="Normal 4 2 3 2 3 2 2 2 3 5" xfId="42050" xr:uid="{00000000-0005-0000-0000-0000D99A0000}"/>
    <cellStyle name="Normal 4 2 3 2 3 2 2 2 4" xfId="10175" xr:uid="{00000000-0005-0000-0000-0000DA9A0000}"/>
    <cellStyle name="Normal 4 2 3 2 3 2 2 2 4 2" xfId="10176" xr:uid="{00000000-0005-0000-0000-0000DB9A0000}"/>
    <cellStyle name="Normal 4 2 3 2 3 2 2 2 4 2 2" xfId="30791" xr:uid="{00000000-0005-0000-0000-0000DC9A0000}"/>
    <cellStyle name="Normal 4 2 3 2 3 2 2 2 4 2 2 2" xfId="62662" xr:uid="{00000000-0005-0000-0000-0000DD9A0000}"/>
    <cellStyle name="Normal 4 2 3 2 3 2 2 2 4 2 3" xfId="42055" xr:uid="{00000000-0005-0000-0000-0000DE9A0000}"/>
    <cellStyle name="Normal 4 2 3 2 3 2 2 2 4 3" xfId="22913" xr:uid="{00000000-0005-0000-0000-0000DF9A0000}"/>
    <cellStyle name="Normal 4 2 3 2 3 2 2 2 4 3 2" xfId="54784" xr:uid="{00000000-0005-0000-0000-0000E09A0000}"/>
    <cellStyle name="Normal 4 2 3 2 3 2 2 2 4 4" xfId="42054" xr:uid="{00000000-0005-0000-0000-0000E19A0000}"/>
    <cellStyle name="Normal 4 2 3 2 3 2 2 2 5" xfId="10177" xr:uid="{00000000-0005-0000-0000-0000E29A0000}"/>
    <cellStyle name="Normal 4 2 3 2 3 2 2 2 5 2" xfId="26852" xr:uid="{00000000-0005-0000-0000-0000E39A0000}"/>
    <cellStyle name="Normal 4 2 3 2 3 2 2 2 5 2 2" xfId="58723" xr:uid="{00000000-0005-0000-0000-0000E49A0000}"/>
    <cellStyle name="Normal 4 2 3 2 3 2 2 2 5 3" xfId="42056" xr:uid="{00000000-0005-0000-0000-0000E59A0000}"/>
    <cellStyle name="Normal 4 2 3 2 3 2 2 2 6" xfId="18974" xr:uid="{00000000-0005-0000-0000-0000E69A0000}"/>
    <cellStyle name="Normal 4 2 3 2 3 2 2 2 6 2" xfId="50845" xr:uid="{00000000-0005-0000-0000-0000E79A0000}"/>
    <cellStyle name="Normal 4 2 3 2 3 2 2 2 7" xfId="42041" xr:uid="{00000000-0005-0000-0000-0000E89A0000}"/>
    <cellStyle name="Normal 4 2 3 2 3 2 2 3" xfId="10178" xr:uid="{00000000-0005-0000-0000-0000E99A0000}"/>
    <cellStyle name="Normal 4 2 3 2 3 2 2 3 2" xfId="10179" xr:uid="{00000000-0005-0000-0000-0000EA9A0000}"/>
    <cellStyle name="Normal 4 2 3 2 3 2 2 3 2 2" xfId="10180" xr:uid="{00000000-0005-0000-0000-0000EB9A0000}"/>
    <cellStyle name="Normal 4 2 3 2 3 2 2 3 2 2 2" xfId="10181" xr:uid="{00000000-0005-0000-0000-0000EC9A0000}"/>
    <cellStyle name="Normal 4 2 3 2 3 2 2 3 2 2 2 2" xfId="30796" xr:uid="{00000000-0005-0000-0000-0000ED9A0000}"/>
    <cellStyle name="Normal 4 2 3 2 3 2 2 3 2 2 2 2 2" xfId="62667" xr:uid="{00000000-0005-0000-0000-0000EE9A0000}"/>
    <cellStyle name="Normal 4 2 3 2 3 2 2 3 2 2 2 3" xfId="42060" xr:uid="{00000000-0005-0000-0000-0000EF9A0000}"/>
    <cellStyle name="Normal 4 2 3 2 3 2 2 3 2 2 3" xfId="22918" xr:uid="{00000000-0005-0000-0000-0000F09A0000}"/>
    <cellStyle name="Normal 4 2 3 2 3 2 2 3 2 2 3 2" xfId="54789" xr:uid="{00000000-0005-0000-0000-0000F19A0000}"/>
    <cellStyle name="Normal 4 2 3 2 3 2 2 3 2 2 4" xfId="42059" xr:uid="{00000000-0005-0000-0000-0000F29A0000}"/>
    <cellStyle name="Normal 4 2 3 2 3 2 2 3 2 3" xfId="10182" xr:uid="{00000000-0005-0000-0000-0000F39A0000}"/>
    <cellStyle name="Normal 4 2 3 2 3 2 2 3 2 3 2" xfId="26857" xr:uid="{00000000-0005-0000-0000-0000F49A0000}"/>
    <cellStyle name="Normal 4 2 3 2 3 2 2 3 2 3 2 2" xfId="58728" xr:uid="{00000000-0005-0000-0000-0000F59A0000}"/>
    <cellStyle name="Normal 4 2 3 2 3 2 2 3 2 3 3" xfId="42061" xr:uid="{00000000-0005-0000-0000-0000F69A0000}"/>
    <cellStyle name="Normal 4 2 3 2 3 2 2 3 2 4" xfId="18979" xr:uid="{00000000-0005-0000-0000-0000F79A0000}"/>
    <cellStyle name="Normal 4 2 3 2 3 2 2 3 2 4 2" xfId="50850" xr:uid="{00000000-0005-0000-0000-0000F89A0000}"/>
    <cellStyle name="Normal 4 2 3 2 3 2 2 3 2 5" xfId="42058" xr:uid="{00000000-0005-0000-0000-0000F99A0000}"/>
    <cellStyle name="Normal 4 2 3 2 3 2 2 3 3" xfId="10183" xr:uid="{00000000-0005-0000-0000-0000FA9A0000}"/>
    <cellStyle name="Normal 4 2 3 2 3 2 2 3 3 2" xfId="10184" xr:uid="{00000000-0005-0000-0000-0000FB9A0000}"/>
    <cellStyle name="Normal 4 2 3 2 3 2 2 3 3 2 2" xfId="30795" xr:uid="{00000000-0005-0000-0000-0000FC9A0000}"/>
    <cellStyle name="Normal 4 2 3 2 3 2 2 3 3 2 2 2" xfId="62666" xr:uid="{00000000-0005-0000-0000-0000FD9A0000}"/>
    <cellStyle name="Normal 4 2 3 2 3 2 2 3 3 2 3" xfId="42063" xr:uid="{00000000-0005-0000-0000-0000FE9A0000}"/>
    <cellStyle name="Normal 4 2 3 2 3 2 2 3 3 3" xfId="22917" xr:uid="{00000000-0005-0000-0000-0000FF9A0000}"/>
    <cellStyle name="Normal 4 2 3 2 3 2 2 3 3 3 2" xfId="54788" xr:uid="{00000000-0005-0000-0000-0000009B0000}"/>
    <cellStyle name="Normal 4 2 3 2 3 2 2 3 3 4" xfId="42062" xr:uid="{00000000-0005-0000-0000-0000019B0000}"/>
    <cellStyle name="Normal 4 2 3 2 3 2 2 3 4" xfId="10185" xr:uid="{00000000-0005-0000-0000-0000029B0000}"/>
    <cellStyle name="Normal 4 2 3 2 3 2 2 3 4 2" xfId="26856" xr:uid="{00000000-0005-0000-0000-0000039B0000}"/>
    <cellStyle name="Normal 4 2 3 2 3 2 2 3 4 2 2" xfId="58727" xr:uid="{00000000-0005-0000-0000-0000049B0000}"/>
    <cellStyle name="Normal 4 2 3 2 3 2 2 3 4 3" xfId="42064" xr:uid="{00000000-0005-0000-0000-0000059B0000}"/>
    <cellStyle name="Normal 4 2 3 2 3 2 2 3 5" xfId="18978" xr:uid="{00000000-0005-0000-0000-0000069B0000}"/>
    <cellStyle name="Normal 4 2 3 2 3 2 2 3 5 2" xfId="50849" xr:uid="{00000000-0005-0000-0000-0000079B0000}"/>
    <cellStyle name="Normal 4 2 3 2 3 2 2 3 6" xfId="42057" xr:uid="{00000000-0005-0000-0000-0000089B0000}"/>
    <cellStyle name="Normal 4 2 3 2 3 2 2 4" xfId="10186" xr:uid="{00000000-0005-0000-0000-0000099B0000}"/>
    <cellStyle name="Normal 4 2 3 2 3 2 2 4 2" xfId="10187" xr:uid="{00000000-0005-0000-0000-00000A9B0000}"/>
    <cellStyle name="Normal 4 2 3 2 3 2 2 4 2 2" xfId="10188" xr:uid="{00000000-0005-0000-0000-00000B9B0000}"/>
    <cellStyle name="Normal 4 2 3 2 3 2 2 4 2 2 2" xfId="30797" xr:uid="{00000000-0005-0000-0000-00000C9B0000}"/>
    <cellStyle name="Normal 4 2 3 2 3 2 2 4 2 2 2 2" xfId="62668" xr:uid="{00000000-0005-0000-0000-00000D9B0000}"/>
    <cellStyle name="Normal 4 2 3 2 3 2 2 4 2 2 3" xfId="42067" xr:uid="{00000000-0005-0000-0000-00000E9B0000}"/>
    <cellStyle name="Normal 4 2 3 2 3 2 2 4 2 3" xfId="22919" xr:uid="{00000000-0005-0000-0000-00000F9B0000}"/>
    <cellStyle name="Normal 4 2 3 2 3 2 2 4 2 3 2" xfId="54790" xr:uid="{00000000-0005-0000-0000-0000109B0000}"/>
    <cellStyle name="Normal 4 2 3 2 3 2 2 4 2 4" xfId="42066" xr:uid="{00000000-0005-0000-0000-0000119B0000}"/>
    <cellStyle name="Normal 4 2 3 2 3 2 2 4 3" xfId="10189" xr:uid="{00000000-0005-0000-0000-0000129B0000}"/>
    <cellStyle name="Normal 4 2 3 2 3 2 2 4 3 2" xfId="26858" xr:uid="{00000000-0005-0000-0000-0000139B0000}"/>
    <cellStyle name="Normal 4 2 3 2 3 2 2 4 3 2 2" xfId="58729" xr:uid="{00000000-0005-0000-0000-0000149B0000}"/>
    <cellStyle name="Normal 4 2 3 2 3 2 2 4 3 3" xfId="42068" xr:uid="{00000000-0005-0000-0000-0000159B0000}"/>
    <cellStyle name="Normal 4 2 3 2 3 2 2 4 4" xfId="18980" xr:uid="{00000000-0005-0000-0000-0000169B0000}"/>
    <cellStyle name="Normal 4 2 3 2 3 2 2 4 4 2" xfId="50851" xr:uid="{00000000-0005-0000-0000-0000179B0000}"/>
    <cellStyle name="Normal 4 2 3 2 3 2 2 4 5" xfId="42065" xr:uid="{00000000-0005-0000-0000-0000189B0000}"/>
    <cellStyle name="Normal 4 2 3 2 3 2 2 5" xfId="10190" xr:uid="{00000000-0005-0000-0000-0000199B0000}"/>
    <cellStyle name="Normal 4 2 3 2 3 2 2 5 2" xfId="10191" xr:uid="{00000000-0005-0000-0000-00001A9B0000}"/>
    <cellStyle name="Normal 4 2 3 2 3 2 2 5 2 2" xfId="30790" xr:uid="{00000000-0005-0000-0000-00001B9B0000}"/>
    <cellStyle name="Normal 4 2 3 2 3 2 2 5 2 2 2" xfId="62661" xr:uid="{00000000-0005-0000-0000-00001C9B0000}"/>
    <cellStyle name="Normal 4 2 3 2 3 2 2 5 2 3" xfId="42070" xr:uid="{00000000-0005-0000-0000-00001D9B0000}"/>
    <cellStyle name="Normal 4 2 3 2 3 2 2 5 3" xfId="22912" xr:uid="{00000000-0005-0000-0000-00001E9B0000}"/>
    <cellStyle name="Normal 4 2 3 2 3 2 2 5 3 2" xfId="54783" xr:uid="{00000000-0005-0000-0000-00001F9B0000}"/>
    <cellStyle name="Normal 4 2 3 2 3 2 2 5 4" xfId="42069" xr:uid="{00000000-0005-0000-0000-0000209B0000}"/>
    <cellStyle name="Normal 4 2 3 2 3 2 2 6" xfId="10192" xr:uid="{00000000-0005-0000-0000-0000219B0000}"/>
    <cellStyle name="Normal 4 2 3 2 3 2 2 6 2" xfId="26851" xr:uid="{00000000-0005-0000-0000-0000229B0000}"/>
    <cellStyle name="Normal 4 2 3 2 3 2 2 6 2 2" xfId="58722" xr:uid="{00000000-0005-0000-0000-0000239B0000}"/>
    <cellStyle name="Normal 4 2 3 2 3 2 2 6 3" xfId="42071" xr:uid="{00000000-0005-0000-0000-0000249B0000}"/>
    <cellStyle name="Normal 4 2 3 2 3 2 2 7" xfId="18973" xr:uid="{00000000-0005-0000-0000-0000259B0000}"/>
    <cellStyle name="Normal 4 2 3 2 3 2 2 7 2" xfId="50844" xr:uid="{00000000-0005-0000-0000-0000269B0000}"/>
    <cellStyle name="Normal 4 2 3 2 3 2 2 8" xfId="42040" xr:uid="{00000000-0005-0000-0000-0000279B0000}"/>
    <cellStyle name="Normal 4 2 3 2 3 2 3" xfId="10193" xr:uid="{00000000-0005-0000-0000-0000289B0000}"/>
    <cellStyle name="Normal 4 2 3 2 3 2 3 2" xfId="10194" xr:uid="{00000000-0005-0000-0000-0000299B0000}"/>
    <cellStyle name="Normal 4 2 3 2 3 2 3 2 2" xfId="10195" xr:uid="{00000000-0005-0000-0000-00002A9B0000}"/>
    <cellStyle name="Normal 4 2 3 2 3 2 3 2 2 2" xfId="10196" xr:uid="{00000000-0005-0000-0000-00002B9B0000}"/>
    <cellStyle name="Normal 4 2 3 2 3 2 3 2 2 2 2" xfId="10197" xr:uid="{00000000-0005-0000-0000-00002C9B0000}"/>
    <cellStyle name="Normal 4 2 3 2 3 2 3 2 2 2 2 2" xfId="30800" xr:uid="{00000000-0005-0000-0000-00002D9B0000}"/>
    <cellStyle name="Normal 4 2 3 2 3 2 3 2 2 2 2 2 2" xfId="62671" xr:uid="{00000000-0005-0000-0000-00002E9B0000}"/>
    <cellStyle name="Normal 4 2 3 2 3 2 3 2 2 2 2 3" xfId="42076" xr:uid="{00000000-0005-0000-0000-00002F9B0000}"/>
    <cellStyle name="Normal 4 2 3 2 3 2 3 2 2 2 3" xfId="22922" xr:uid="{00000000-0005-0000-0000-0000309B0000}"/>
    <cellStyle name="Normal 4 2 3 2 3 2 3 2 2 2 3 2" xfId="54793" xr:uid="{00000000-0005-0000-0000-0000319B0000}"/>
    <cellStyle name="Normal 4 2 3 2 3 2 3 2 2 2 4" xfId="42075" xr:uid="{00000000-0005-0000-0000-0000329B0000}"/>
    <cellStyle name="Normal 4 2 3 2 3 2 3 2 2 3" xfId="10198" xr:uid="{00000000-0005-0000-0000-0000339B0000}"/>
    <cellStyle name="Normal 4 2 3 2 3 2 3 2 2 3 2" xfId="26861" xr:uid="{00000000-0005-0000-0000-0000349B0000}"/>
    <cellStyle name="Normal 4 2 3 2 3 2 3 2 2 3 2 2" xfId="58732" xr:uid="{00000000-0005-0000-0000-0000359B0000}"/>
    <cellStyle name="Normal 4 2 3 2 3 2 3 2 2 3 3" xfId="42077" xr:uid="{00000000-0005-0000-0000-0000369B0000}"/>
    <cellStyle name="Normal 4 2 3 2 3 2 3 2 2 4" xfId="18983" xr:uid="{00000000-0005-0000-0000-0000379B0000}"/>
    <cellStyle name="Normal 4 2 3 2 3 2 3 2 2 4 2" xfId="50854" xr:uid="{00000000-0005-0000-0000-0000389B0000}"/>
    <cellStyle name="Normal 4 2 3 2 3 2 3 2 2 5" xfId="42074" xr:uid="{00000000-0005-0000-0000-0000399B0000}"/>
    <cellStyle name="Normal 4 2 3 2 3 2 3 2 3" xfId="10199" xr:uid="{00000000-0005-0000-0000-00003A9B0000}"/>
    <cellStyle name="Normal 4 2 3 2 3 2 3 2 3 2" xfId="10200" xr:uid="{00000000-0005-0000-0000-00003B9B0000}"/>
    <cellStyle name="Normal 4 2 3 2 3 2 3 2 3 2 2" xfId="30799" xr:uid="{00000000-0005-0000-0000-00003C9B0000}"/>
    <cellStyle name="Normal 4 2 3 2 3 2 3 2 3 2 2 2" xfId="62670" xr:uid="{00000000-0005-0000-0000-00003D9B0000}"/>
    <cellStyle name="Normal 4 2 3 2 3 2 3 2 3 2 3" xfId="42079" xr:uid="{00000000-0005-0000-0000-00003E9B0000}"/>
    <cellStyle name="Normal 4 2 3 2 3 2 3 2 3 3" xfId="22921" xr:uid="{00000000-0005-0000-0000-00003F9B0000}"/>
    <cellStyle name="Normal 4 2 3 2 3 2 3 2 3 3 2" xfId="54792" xr:uid="{00000000-0005-0000-0000-0000409B0000}"/>
    <cellStyle name="Normal 4 2 3 2 3 2 3 2 3 4" xfId="42078" xr:uid="{00000000-0005-0000-0000-0000419B0000}"/>
    <cellStyle name="Normal 4 2 3 2 3 2 3 2 4" xfId="10201" xr:uid="{00000000-0005-0000-0000-0000429B0000}"/>
    <cellStyle name="Normal 4 2 3 2 3 2 3 2 4 2" xfId="26860" xr:uid="{00000000-0005-0000-0000-0000439B0000}"/>
    <cellStyle name="Normal 4 2 3 2 3 2 3 2 4 2 2" xfId="58731" xr:uid="{00000000-0005-0000-0000-0000449B0000}"/>
    <cellStyle name="Normal 4 2 3 2 3 2 3 2 4 3" xfId="42080" xr:uid="{00000000-0005-0000-0000-0000459B0000}"/>
    <cellStyle name="Normal 4 2 3 2 3 2 3 2 5" xfId="18982" xr:uid="{00000000-0005-0000-0000-0000469B0000}"/>
    <cellStyle name="Normal 4 2 3 2 3 2 3 2 5 2" xfId="50853" xr:uid="{00000000-0005-0000-0000-0000479B0000}"/>
    <cellStyle name="Normal 4 2 3 2 3 2 3 2 6" xfId="42073" xr:uid="{00000000-0005-0000-0000-0000489B0000}"/>
    <cellStyle name="Normal 4 2 3 2 3 2 3 3" xfId="10202" xr:uid="{00000000-0005-0000-0000-0000499B0000}"/>
    <cellStyle name="Normal 4 2 3 2 3 2 3 3 2" xfId="10203" xr:uid="{00000000-0005-0000-0000-00004A9B0000}"/>
    <cellStyle name="Normal 4 2 3 2 3 2 3 3 2 2" xfId="10204" xr:uid="{00000000-0005-0000-0000-00004B9B0000}"/>
    <cellStyle name="Normal 4 2 3 2 3 2 3 3 2 2 2" xfId="30801" xr:uid="{00000000-0005-0000-0000-00004C9B0000}"/>
    <cellStyle name="Normal 4 2 3 2 3 2 3 3 2 2 2 2" xfId="62672" xr:uid="{00000000-0005-0000-0000-00004D9B0000}"/>
    <cellStyle name="Normal 4 2 3 2 3 2 3 3 2 2 3" xfId="42083" xr:uid="{00000000-0005-0000-0000-00004E9B0000}"/>
    <cellStyle name="Normal 4 2 3 2 3 2 3 3 2 3" xfId="22923" xr:uid="{00000000-0005-0000-0000-00004F9B0000}"/>
    <cellStyle name="Normal 4 2 3 2 3 2 3 3 2 3 2" xfId="54794" xr:uid="{00000000-0005-0000-0000-0000509B0000}"/>
    <cellStyle name="Normal 4 2 3 2 3 2 3 3 2 4" xfId="42082" xr:uid="{00000000-0005-0000-0000-0000519B0000}"/>
    <cellStyle name="Normal 4 2 3 2 3 2 3 3 3" xfId="10205" xr:uid="{00000000-0005-0000-0000-0000529B0000}"/>
    <cellStyle name="Normal 4 2 3 2 3 2 3 3 3 2" xfId="26862" xr:uid="{00000000-0005-0000-0000-0000539B0000}"/>
    <cellStyle name="Normal 4 2 3 2 3 2 3 3 3 2 2" xfId="58733" xr:uid="{00000000-0005-0000-0000-0000549B0000}"/>
    <cellStyle name="Normal 4 2 3 2 3 2 3 3 3 3" xfId="42084" xr:uid="{00000000-0005-0000-0000-0000559B0000}"/>
    <cellStyle name="Normal 4 2 3 2 3 2 3 3 4" xfId="18984" xr:uid="{00000000-0005-0000-0000-0000569B0000}"/>
    <cellStyle name="Normal 4 2 3 2 3 2 3 3 4 2" xfId="50855" xr:uid="{00000000-0005-0000-0000-0000579B0000}"/>
    <cellStyle name="Normal 4 2 3 2 3 2 3 3 5" xfId="42081" xr:uid="{00000000-0005-0000-0000-0000589B0000}"/>
    <cellStyle name="Normal 4 2 3 2 3 2 3 4" xfId="10206" xr:uid="{00000000-0005-0000-0000-0000599B0000}"/>
    <cellStyle name="Normal 4 2 3 2 3 2 3 4 2" xfId="10207" xr:uid="{00000000-0005-0000-0000-00005A9B0000}"/>
    <cellStyle name="Normal 4 2 3 2 3 2 3 4 2 2" xfId="30798" xr:uid="{00000000-0005-0000-0000-00005B9B0000}"/>
    <cellStyle name="Normal 4 2 3 2 3 2 3 4 2 2 2" xfId="62669" xr:uid="{00000000-0005-0000-0000-00005C9B0000}"/>
    <cellStyle name="Normal 4 2 3 2 3 2 3 4 2 3" xfId="42086" xr:uid="{00000000-0005-0000-0000-00005D9B0000}"/>
    <cellStyle name="Normal 4 2 3 2 3 2 3 4 3" xfId="22920" xr:uid="{00000000-0005-0000-0000-00005E9B0000}"/>
    <cellStyle name="Normal 4 2 3 2 3 2 3 4 3 2" xfId="54791" xr:uid="{00000000-0005-0000-0000-00005F9B0000}"/>
    <cellStyle name="Normal 4 2 3 2 3 2 3 4 4" xfId="42085" xr:uid="{00000000-0005-0000-0000-0000609B0000}"/>
    <cellStyle name="Normal 4 2 3 2 3 2 3 5" xfId="10208" xr:uid="{00000000-0005-0000-0000-0000619B0000}"/>
    <cellStyle name="Normal 4 2 3 2 3 2 3 5 2" xfId="26859" xr:uid="{00000000-0005-0000-0000-0000629B0000}"/>
    <cellStyle name="Normal 4 2 3 2 3 2 3 5 2 2" xfId="58730" xr:uid="{00000000-0005-0000-0000-0000639B0000}"/>
    <cellStyle name="Normal 4 2 3 2 3 2 3 5 3" xfId="42087" xr:uid="{00000000-0005-0000-0000-0000649B0000}"/>
    <cellStyle name="Normal 4 2 3 2 3 2 3 6" xfId="18981" xr:uid="{00000000-0005-0000-0000-0000659B0000}"/>
    <cellStyle name="Normal 4 2 3 2 3 2 3 6 2" xfId="50852" xr:uid="{00000000-0005-0000-0000-0000669B0000}"/>
    <cellStyle name="Normal 4 2 3 2 3 2 3 7" xfId="42072" xr:uid="{00000000-0005-0000-0000-0000679B0000}"/>
    <cellStyle name="Normal 4 2 3 2 3 2 4" xfId="10209" xr:uid="{00000000-0005-0000-0000-0000689B0000}"/>
    <cellStyle name="Normal 4 2 3 2 3 2 4 2" xfId="10210" xr:uid="{00000000-0005-0000-0000-0000699B0000}"/>
    <cellStyle name="Normal 4 2 3 2 3 2 4 2 2" xfId="10211" xr:uid="{00000000-0005-0000-0000-00006A9B0000}"/>
    <cellStyle name="Normal 4 2 3 2 3 2 4 2 2 2" xfId="10212" xr:uid="{00000000-0005-0000-0000-00006B9B0000}"/>
    <cellStyle name="Normal 4 2 3 2 3 2 4 2 2 2 2" xfId="30803" xr:uid="{00000000-0005-0000-0000-00006C9B0000}"/>
    <cellStyle name="Normal 4 2 3 2 3 2 4 2 2 2 2 2" xfId="62674" xr:uid="{00000000-0005-0000-0000-00006D9B0000}"/>
    <cellStyle name="Normal 4 2 3 2 3 2 4 2 2 2 3" xfId="42091" xr:uid="{00000000-0005-0000-0000-00006E9B0000}"/>
    <cellStyle name="Normal 4 2 3 2 3 2 4 2 2 3" xfId="22925" xr:uid="{00000000-0005-0000-0000-00006F9B0000}"/>
    <cellStyle name="Normal 4 2 3 2 3 2 4 2 2 3 2" xfId="54796" xr:uid="{00000000-0005-0000-0000-0000709B0000}"/>
    <cellStyle name="Normal 4 2 3 2 3 2 4 2 2 4" xfId="42090" xr:uid="{00000000-0005-0000-0000-0000719B0000}"/>
    <cellStyle name="Normal 4 2 3 2 3 2 4 2 3" xfId="10213" xr:uid="{00000000-0005-0000-0000-0000729B0000}"/>
    <cellStyle name="Normal 4 2 3 2 3 2 4 2 3 2" xfId="26864" xr:uid="{00000000-0005-0000-0000-0000739B0000}"/>
    <cellStyle name="Normal 4 2 3 2 3 2 4 2 3 2 2" xfId="58735" xr:uid="{00000000-0005-0000-0000-0000749B0000}"/>
    <cellStyle name="Normal 4 2 3 2 3 2 4 2 3 3" xfId="42092" xr:uid="{00000000-0005-0000-0000-0000759B0000}"/>
    <cellStyle name="Normal 4 2 3 2 3 2 4 2 4" xfId="18986" xr:uid="{00000000-0005-0000-0000-0000769B0000}"/>
    <cellStyle name="Normal 4 2 3 2 3 2 4 2 4 2" xfId="50857" xr:uid="{00000000-0005-0000-0000-0000779B0000}"/>
    <cellStyle name="Normal 4 2 3 2 3 2 4 2 5" xfId="42089" xr:uid="{00000000-0005-0000-0000-0000789B0000}"/>
    <cellStyle name="Normal 4 2 3 2 3 2 4 3" xfId="10214" xr:uid="{00000000-0005-0000-0000-0000799B0000}"/>
    <cellStyle name="Normal 4 2 3 2 3 2 4 3 2" xfId="10215" xr:uid="{00000000-0005-0000-0000-00007A9B0000}"/>
    <cellStyle name="Normal 4 2 3 2 3 2 4 3 2 2" xfId="30802" xr:uid="{00000000-0005-0000-0000-00007B9B0000}"/>
    <cellStyle name="Normal 4 2 3 2 3 2 4 3 2 2 2" xfId="62673" xr:uid="{00000000-0005-0000-0000-00007C9B0000}"/>
    <cellStyle name="Normal 4 2 3 2 3 2 4 3 2 3" xfId="42094" xr:uid="{00000000-0005-0000-0000-00007D9B0000}"/>
    <cellStyle name="Normal 4 2 3 2 3 2 4 3 3" xfId="22924" xr:uid="{00000000-0005-0000-0000-00007E9B0000}"/>
    <cellStyle name="Normal 4 2 3 2 3 2 4 3 3 2" xfId="54795" xr:uid="{00000000-0005-0000-0000-00007F9B0000}"/>
    <cellStyle name="Normal 4 2 3 2 3 2 4 3 4" xfId="42093" xr:uid="{00000000-0005-0000-0000-0000809B0000}"/>
    <cellStyle name="Normal 4 2 3 2 3 2 4 4" xfId="10216" xr:uid="{00000000-0005-0000-0000-0000819B0000}"/>
    <cellStyle name="Normal 4 2 3 2 3 2 4 4 2" xfId="26863" xr:uid="{00000000-0005-0000-0000-0000829B0000}"/>
    <cellStyle name="Normal 4 2 3 2 3 2 4 4 2 2" xfId="58734" xr:uid="{00000000-0005-0000-0000-0000839B0000}"/>
    <cellStyle name="Normal 4 2 3 2 3 2 4 4 3" xfId="42095" xr:uid="{00000000-0005-0000-0000-0000849B0000}"/>
    <cellStyle name="Normal 4 2 3 2 3 2 4 5" xfId="18985" xr:uid="{00000000-0005-0000-0000-0000859B0000}"/>
    <cellStyle name="Normal 4 2 3 2 3 2 4 5 2" xfId="50856" xr:uid="{00000000-0005-0000-0000-0000869B0000}"/>
    <cellStyle name="Normal 4 2 3 2 3 2 4 6" xfId="42088" xr:uid="{00000000-0005-0000-0000-0000879B0000}"/>
    <cellStyle name="Normal 4 2 3 2 3 2 5" xfId="10217" xr:uid="{00000000-0005-0000-0000-0000889B0000}"/>
    <cellStyle name="Normal 4 2 3 2 3 2 5 2" xfId="10218" xr:uid="{00000000-0005-0000-0000-0000899B0000}"/>
    <cellStyle name="Normal 4 2 3 2 3 2 5 2 2" xfId="10219" xr:uid="{00000000-0005-0000-0000-00008A9B0000}"/>
    <cellStyle name="Normal 4 2 3 2 3 2 5 2 2 2" xfId="30804" xr:uid="{00000000-0005-0000-0000-00008B9B0000}"/>
    <cellStyle name="Normal 4 2 3 2 3 2 5 2 2 2 2" xfId="62675" xr:uid="{00000000-0005-0000-0000-00008C9B0000}"/>
    <cellStyle name="Normal 4 2 3 2 3 2 5 2 2 3" xfId="42098" xr:uid="{00000000-0005-0000-0000-00008D9B0000}"/>
    <cellStyle name="Normal 4 2 3 2 3 2 5 2 3" xfId="22926" xr:uid="{00000000-0005-0000-0000-00008E9B0000}"/>
    <cellStyle name="Normal 4 2 3 2 3 2 5 2 3 2" xfId="54797" xr:uid="{00000000-0005-0000-0000-00008F9B0000}"/>
    <cellStyle name="Normal 4 2 3 2 3 2 5 2 4" xfId="42097" xr:uid="{00000000-0005-0000-0000-0000909B0000}"/>
    <cellStyle name="Normal 4 2 3 2 3 2 5 3" xfId="10220" xr:uid="{00000000-0005-0000-0000-0000919B0000}"/>
    <cellStyle name="Normal 4 2 3 2 3 2 5 3 2" xfId="26865" xr:uid="{00000000-0005-0000-0000-0000929B0000}"/>
    <cellStyle name="Normal 4 2 3 2 3 2 5 3 2 2" xfId="58736" xr:uid="{00000000-0005-0000-0000-0000939B0000}"/>
    <cellStyle name="Normal 4 2 3 2 3 2 5 3 3" xfId="42099" xr:uid="{00000000-0005-0000-0000-0000949B0000}"/>
    <cellStyle name="Normal 4 2 3 2 3 2 5 4" xfId="18987" xr:uid="{00000000-0005-0000-0000-0000959B0000}"/>
    <cellStyle name="Normal 4 2 3 2 3 2 5 4 2" xfId="50858" xr:uid="{00000000-0005-0000-0000-0000969B0000}"/>
    <cellStyle name="Normal 4 2 3 2 3 2 5 5" xfId="42096" xr:uid="{00000000-0005-0000-0000-0000979B0000}"/>
    <cellStyle name="Normal 4 2 3 2 3 2 6" xfId="10221" xr:uid="{00000000-0005-0000-0000-0000989B0000}"/>
    <cellStyle name="Normal 4 2 3 2 3 2 6 2" xfId="10222" xr:uid="{00000000-0005-0000-0000-0000999B0000}"/>
    <cellStyle name="Normal 4 2 3 2 3 2 6 2 2" xfId="28491" xr:uid="{00000000-0005-0000-0000-00009A9B0000}"/>
    <cellStyle name="Normal 4 2 3 2 3 2 6 2 2 2" xfId="60362" xr:uid="{00000000-0005-0000-0000-00009B9B0000}"/>
    <cellStyle name="Normal 4 2 3 2 3 2 6 2 3" xfId="42101" xr:uid="{00000000-0005-0000-0000-00009C9B0000}"/>
    <cellStyle name="Normal 4 2 3 2 3 2 6 3" xfId="20613" xr:uid="{00000000-0005-0000-0000-00009D9B0000}"/>
    <cellStyle name="Normal 4 2 3 2 3 2 6 3 2" xfId="52484" xr:uid="{00000000-0005-0000-0000-00009E9B0000}"/>
    <cellStyle name="Normal 4 2 3 2 3 2 6 4" xfId="42100" xr:uid="{00000000-0005-0000-0000-00009F9B0000}"/>
    <cellStyle name="Normal 4 2 3 2 3 2 7" xfId="10223" xr:uid="{00000000-0005-0000-0000-0000A09B0000}"/>
    <cellStyle name="Normal 4 2 3 2 3 2 7 2" xfId="24552" xr:uid="{00000000-0005-0000-0000-0000A19B0000}"/>
    <cellStyle name="Normal 4 2 3 2 3 2 7 2 2" xfId="56423" xr:uid="{00000000-0005-0000-0000-0000A29B0000}"/>
    <cellStyle name="Normal 4 2 3 2 3 2 7 3" xfId="42102" xr:uid="{00000000-0005-0000-0000-0000A39B0000}"/>
    <cellStyle name="Normal 4 2 3 2 3 2 8" xfId="16674" xr:uid="{00000000-0005-0000-0000-0000A49B0000}"/>
    <cellStyle name="Normal 4 2 3 2 3 2 8 2" xfId="48545" xr:uid="{00000000-0005-0000-0000-0000A59B0000}"/>
    <cellStyle name="Normal 4 2 3 2 3 2 9" xfId="42039" xr:uid="{00000000-0005-0000-0000-0000A69B0000}"/>
    <cellStyle name="Normal 4 2 3 2 3 3" xfId="10224" xr:uid="{00000000-0005-0000-0000-0000A79B0000}"/>
    <cellStyle name="Normal 4 2 3 2 3 3 2" xfId="10225" xr:uid="{00000000-0005-0000-0000-0000A89B0000}"/>
    <cellStyle name="Normal 4 2 3 2 3 3 2 2" xfId="10226" xr:uid="{00000000-0005-0000-0000-0000A99B0000}"/>
    <cellStyle name="Normal 4 2 3 2 3 3 2 2 2" xfId="10227" xr:uid="{00000000-0005-0000-0000-0000AA9B0000}"/>
    <cellStyle name="Normal 4 2 3 2 3 3 2 2 2 2" xfId="10228" xr:uid="{00000000-0005-0000-0000-0000AB9B0000}"/>
    <cellStyle name="Normal 4 2 3 2 3 3 2 2 2 2 2" xfId="10229" xr:uid="{00000000-0005-0000-0000-0000AC9B0000}"/>
    <cellStyle name="Normal 4 2 3 2 3 3 2 2 2 2 2 2" xfId="30808" xr:uid="{00000000-0005-0000-0000-0000AD9B0000}"/>
    <cellStyle name="Normal 4 2 3 2 3 3 2 2 2 2 2 2 2" xfId="62679" xr:uid="{00000000-0005-0000-0000-0000AE9B0000}"/>
    <cellStyle name="Normal 4 2 3 2 3 3 2 2 2 2 2 3" xfId="42108" xr:uid="{00000000-0005-0000-0000-0000AF9B0000}"/>
    <cellStyle name="Normal 4 2 3 2 3 3 2 2 2 2 3" xfId="22930" xr:uid="{00000000-0005-0000-0000-0000B09B0000}"/>
    <cellStyle name="Normal 4 2 3 2 3 3 2 2 2 2 3 2" xfId="54801" xr:uid="{00000000-0005-0000-0000-0000B19B0000}"/>
    <cellStyle name="Normal 4 2 3 2 3 3 2 2 2 2 4" xfId="42107" xr:uid="{00000000-0005-0000-0000-0000B29B0000}"/>
    <cellStyle name="Normal 4 2 3 2 3 3 2 2 2 3" xfId="10230" xr:uid="{00000000-0005-0000-0000-0000B39B0000}"/>
    <cellStyle name="Normal 4 2 3 2 3 3 2 2 2 3 2" xfId="26869" xr:uid="{00000000-0005-0000-0000-0000B49B0000}"/>
    <cellStyle name="Normal 4 2 3 2 3 3 2 2 2 3 2 2" xfId="58740" xr:uid="{00000000-0005-0000-0000-0000B59B0000}"/>
    <cellStyle name="Normal 4 2 3 2 3 3 2 2 2 3 3" xfId="42109" xr:uid="{00000000-0005-0000-0000-0000B69B0000}"/>
    <cellStyle name="Normal 4 2 3 2 3 3 2 2 2 4" xfId="18991" xr:uid="{00000000-0005-0000-0000-0000B79B0000}"/>
    <cellStyle name="Normal 4 2 3 2 3 3 2 2 2 4 2" xfId="50862" xr:uid="{00000000-0005-0000-0000-0000B89B0000}"/>
    <cellStyle name="Normal 4 2 3 2 3 3 2 2 2 5" xfId="42106" xr:uid="{00000000-0005-0000-0000-0000B99B0000}"/>
    <cellStyle name="Normal 4 2 3 2 3 3 2 2 3" xfId="10231" xr:uid="{00000000-0005-0000-0000-0000BA9B0000}"/>
    <cellStyle name="Normal 4 2 3 2 3 3 2 2 3 2" xfId="10232" xr:uid="{00000000-0005-0000-0000-0000BB9B0000}"/>
    <cellStyle name="Normal 4 2 3 2 3 3 2 2 3 2 2" xfId="30807" xr:uid="{00000000-0005-0000-0000-0000BC9B0000}"/>
    <cellStyle name="Normal 4 2 3 2 3 3 2 2 3 2 2 2" xfId="62678" xr:uid="{00000000-0005-0000-0000-0000BD9B0000}"/>
    <cellStyle name="Normal 4 2 3 2 3 3 2 2 3 2 3" xfId="42111" xr:uid="{00000000-0005-0000-0000-0000BE9B0000}"/>
    <cellStyle name="Normal 4 2 3 2 3 3 2 2 3 3" xfId="22929" xr:uid="{00000000-0005-0000-0000-0000BF9B0000}"/>
    <cellStyle name="Normal 4 2 3 2 3 3 2 2 3 3 2" xfId="54800" xr:uid="{00000000-0005-0000-0000-0000C09B0000}"/>
    <cellStyle name="Normal 4 2 3 2 3 3 2 2 3 4" xfId="42110" xr:uid="{00000000-0005-0000-0000-0000C19B0000}"/>
    <cellStyle name="Normal 4 2 3 2 3 3 2 2 4" xfId="10233" xr:uid="{00000000-0005-0000-0000-0000C29B0000}"/>
    <cellStyle name="Normal 4 2 3 2 3 3 2 2 4 2" xfId="26868" xr:uid="{00000000-0005-0000-0000-0000C39B0000}"/>
    <cellStyle name="Normal 4 2 3 2 3 3 2 2 4 2 2" xfId="58739" xr:uid="{00000000-0005-0000-0000-0000C49B0000}"/>
    <cellStyle name="Normal 4 2 3 2 3 3 2 2 4 3" xfId="42112" xr:uid="{00000000-0005-0000-0000-0000C59B0000}"/>
    <cellStyle name="Normal 4 2 3 2 3 3 2 2 5" xfId="18990" xr:uid="{00000000-0005-0000-0000-0000C69B0000}"/>
    <cellStyle name="Normal 4 2 3 2 3 3 2 2 5 2" xfId="50861" xr:uid="{00000000-0005-0000-0000-0000C79B0000}"/>
    <cellStyle name="Normal 4 2 3 2 3 3 2 2 6" xfId="42105" xr:uid="{00000000-0005-0000-0000-0000C89B0000}"/>
    <cellStyle name="Normal 4 2 3 2 3 3 2 3" xfId="10234" xr:uid="{00000000-0005-0000-0000-0000C99B0000}"/>
    <cellStyle name="Normal 4 2 3 2 3 3 2 3 2" xfId="10235" xr:uid="{00000000-0005-0000-0000-0000CA9B0000}"/>
    <cellStyle name="Normal 4 2 3 2 3 3 2 3 2 2" xfId="10236" xr:uid="{00000000-0005-0000-0000-0000CB9B0000}"/>
    <cellStyle name="Normal 4 2 3 2 3 3 2 3 2 2 2" xfId="30809" xr:uid="{00000000-0005-0000-0000-0000CC9B0000}"/>
    <cellStyle name="Normal 4 2 3 2 3 3 2 3 2 2 2 2" xfId="62680" xr:uid="{00000000-0005-0000-0000-0000CD9B0000}"/>
    <cellStyle name="Normal 4 2 3 2 3 3 2 3 2 2 3" xfId="42115" xr:uid="{00000000-0005-0000-0000-0000CE9B0000}"/>
    <cellStyle name="Normal 4 2 3 2 3 3 2 3 2 3" xfId="22931" xr:uid="{00000000-0005-0000-0000-0000CF9B0000}"/>
    <cellStyle name="Normal 4 2 3 2 3 3 2 3 2 3 2" xfId="54802" xr:uid="{00000000-0005-0000-0000-0000D09B0000}"/>
    <cellStyle name="Normal 4 2 3 2 3 3 2 3 2 4" xfId="42114" xr:uid="{00000000-0005-0000-0000-0000D19B0000}"/>
    <cellStyle name="Normal 4 2 3 2 3 3 2 3 3" xfId="10237" xr:uid="{00000000-0005-0000-0000-0000D29B0000}"/>
    <cellStyle name="Normal 4 2 3 2 3 3 2 3 3 2" xfId="26870" xr:uid="{00000000-0005-0000-0000-0000D39B0000}"/>
    <cellStyle name="Normal 4 2 3 2 3 3 2 3 3 2 2" xfId="58741" xr:uid="{00000000-0005-0000-0000-0000D49B0000}"/>
    <cellStyle name="Normal 4 2 3 2 3 3 2 3 3 3" xfId="42116" xr:uid="{00000000-0005-0000-0000-0000D59B0000}"/>
    <cellStyle name="Normal 4 2 3 2 3 3 2 3 4" xfId="18992" xr:uid="{00000000-0005-0000-0000-0000D69B0000}"/>
    <cellStyle name="Normal 4 2 3 2 3 3 2 3 4 2" xfId="50863" xr:uid="{00000000-0005-0000-0000-0000D79B0000}"/>
    <cellStyle name="Normal 4 2 3 2 3 3 2 3 5" xfId="42113" xr:uid="{00000000-0005-0000-0000-0000D89B0000}"/>
    <cellStyle name="Normal 4 2 3 2 3 3 2 4" xfId="10238" xr:uid="{00000000-0005-0000-0000-0000D99B0000}"/>
    <cellStyle name="Normal 4 2 3 2 3 3 2 4 2" xfId="10239" xr:uid="{00000000-0005-0000-0000-0000DA9B0000}"/>
    <cellStyle name="Normal 4 2 3 2 3 3 2 4 2 2" xfId="30806" xr:uid="{00000000-0005-0000-0000-0000DB9B0000}"/>
    <cellStyle name="Normal 4 2 3 2 3 3 2 4 2 2 2" xfId="62677" xr:uid="{00000000-0005-0000-0000-0000DC9B0000}"/>
    <cellStyle name="Normal 4 2 3 2 3 3 2 4 2 3" xfId="42118" xr:uid="{00000000-0005-0000-0000-0000DD9B0000}"/>
    <cellStyle name="Normal 4 2 3 2 3 3 2 4 3" xfId="22928" xr:uid="{00000000-0005-0000-0000-0000DE9B0000}"/>
    <cellStyle name="Normal 4 2 3 2 3 3 2 4 3 2" xfId="54799" xr:uid="{00000000-0005-0000-0000-0000DF9B0000}"/>
    <cellStyle name="Normal 4 2 3 2 3 3 2 4 4" xfId="42117" xr:uid="{00000000-0005-0000-0000-0000E09B0000}"/>
    <cellStyle name="Normal 4 2 3 2 3 3 2 5" xfId="10240" xr:uid="{00000000-0005-0000-0000-0000E19B0000}"/>
    <cellStyle name="Normal 4 2 3 2 3 3 2 5 2" xfId="26867" xr:uid="{00000000-0005-0000-0000-0000E29B0000}"/>
    <cellStyle name="Normal 4 2 3 2 3 3 2 5 2 2" xfId="58738" xr:uid="{00000000-0005-0000-0000-0000E39B0000}"/>
    <cellStyle name="Normal 4 2 3 2 3 3 2 5 3" xfId="42119" xr:uid="{00000000-0005-0000-0000-0000E49B0000}"/>
    <cellStyle name="Normal 4 2 3 2 3 3 2 6" xfId="18989" xr:uid="{00000000-0005-0000-0000-0000E59B0000}"/>
    <cellStyle name="Normal 4 2 3 2 3 3 2 6 2" xfId="50860" xr:uid="{00000000-0005-0000-0000-0000E69B0000}"/>
    <cellStyle name="Normal 4 2 3 2 3 3 2 7" xfId="42104" xr:uid="{00000000-0005-0000-0000-0000E79B0000}"/>
    <cellStyle name="Normal 4 2 3 2 3 3 3" xfId="10241" xr:uid="{00000000-0005-0000-0000-0000E89B0000}"/>
    <cellStyle name="Normal 4 2 3 2 3 3 3 2" xfId="10242" xr:uid="{00000000-0005-0000-0000-0000E99B0000}"/>
    <cellStyle name="Normal 4 2 3 2 3 3 3 2 2" xfId="10243" xr:uid="{00000000-0005-0000-0000-0000EA9B0000}"/>
    <cellStyle name="Normal 4 2 3 2 3 3 3 2 2 2" xfId="10244" xr:uid="{00000000-0005-0000-0000-0000EB9B0000}"/>
    <cellStyle name="Normal 4 2 3 2 3 3 3 2 2 2 2" xfId="30811" xr:uid="{00000000-0005-0000-0000-0000EC9B0000}"/>
    <cellStyle name="Normal 4 2 3 2 3 3 3 2 2 2 2 2" xfId="62682" xr:uid="{00000000-0005-0000-0000-0000ED9B0000}"/>
    <cellStyle name="Normal 4 2 3 2 3 3 3 2 2 2 3" xfId="42123" xr:uid="{00000000-0005-0000-0000-0000EE9B0000}"/>
    <cellStyle name="Normal 4 2 3 2 3 3 3 2 2 3" xfId="22933" xr:uid="{00000000-0005-0000-0000-0000EF9B0000}"/>
    <cellStyle name="Normal 4 2 3 2 3 3 3 2 2 3 2" xfId="54804" xr:uid="{00000000-0005-0000-0000-0000F09B0000}"/>
    <cellStyle name="Normal 4 2 3 2 3 3 3 2 2 4" xfId="42122" xr:uid="{00000000-0005-0000-0000-0000F19B0000}"/>
    <cellStyle name="Normal 4 2 3 2 3 3 3 2 3" xfId="10245" xr:uid="{00000000-0005-0000-0000-0000F29B0000}"/>
    <cellStyle name="Normal 4 2 3 2 3 3 3 2 3 2" xfId="26872" xr:uid="{00000000-0005-0000-0000-0000F39B0000}"/>
    <cellStyle name="Normal 4 2 3 2 3 3 3 2 3 2 2" xfId="58743" xr:uid="{00000000-0005-0000-0000-0000F49B0000}"/>
    <cellStyle name="Normal 4 2 3 2 3 3 3 2 3 3" xfId="42124" xr:uid="{00000000-0005-0000-0000-0000F59B0000}"/>
    <cellStyle name="Normal 4 2 3 2 3 3 3 2 4" xfId="18994" xr:uid="{00000000-0005-0000-0000-0000F69B0000}"/>
    <cellStyle name="Normal 4 2 3 2 3 3 3 2 4 2" xfId="50865" xr:uid="{00000000-0005-0000-0000-0000F79B0000}"/>
    <cellStyle name="Normal 4 2 3 2 3 3 3 2 5" xfId="42121" xr:uid="{00000000-0005-0000-0000-0000F89B0000}"/>
    <cellStyle name="Normal 4 2 3 2 3 3 3 3" xfId="10246" xr:uid="{00000000-0005-0000-0000-0000F99B0000}"/>
    <cellStyle name="Normal 4 2 3 2 3 3 3 3 2" xfId="10247" xr:uid="{00000000-0005-0000-0000-0000FA9B0000}"/>
    <cellStyle name="Normal 4 2 3 2 3 3 3 3 2 2" xfId="30810" xr:uid="{00000000-0005-0000-0000-0000FB9B0000}"/>
    <cellStyle name="Normal 4 2 3 2 3 3 3 3 2 2 2" xfId="62681" xr:uid="{00000000-0005-0000-0000-0000FC9B0000}"/>
    <cellStyle name="Normal 4 2 3 2 3 3 3 3 2 3" xfId="42126" xr:uid="{00000000-0005-0000-0000-0000FD9B0000}"/>
    <cellStyle name="Normal 4 2 3 2 3 3 3 3 3" xfId="22932" xr:uid="{00000000-0005-0000-0000-0000FE9B0000}"/>
    <cellStyle name="Normal 4 2 3 2 3 3 3 3 3 2" xfId="54803" xr:uid="{00000000-0005-0000-0000-0000FF9B0000}"/>
    <cellStyle name="Normal 4 2 3 2 3 3 3 3 4" xfId="42125" xr:uid="{00000000-0005-0000-0000-0000009C0000}"/>
    <cellStyle name="Normal 4 2 3 2 3 3 3 4" xfId="10248" xr:uid="{00000000-0005-0000-0000-0000019C0000}"/>
    <cellStyle name="Normal 4 2 3 2 3 3 3 4 2" xfId="26871" xr:uid="{00000000-0005-0000-0000-0000029C0000}"/>
    <cellStyle name="Normal 4 2 3 2 3 3 3 4 2 2" xfId="58742" xr:uid="{00000000-0005-0000-0000-0000039C0000}"/>
    <cellStyle name="Normal 4 2 3 2 3 3 3 4 3" xfId="42127" xr:uid="{00000000-0005-0000-0000-0000049C0000}"/>
    <cellStyle name="Normal 4 2 3 2 3 3 3 5" xfId="18993" xr:uid="{00000000-0005-0000-0000-0000059C0000}"/>
    <cellStyle name="Normal 4 2 3 2 3 3 3 5 2" xfId="50864" xr:uid="{00000000-0005-0000-0000-0000069C0000}"/>
    <cellStyle name="Normal 4 2 3 2 3 3 3 6" xfId="42120" xr:uid="{00000000-0005-0000-0000-0000079C0000}"/>
    <cellStyle name="Normal 4 2 3 2 3 3 4" xfId="10249" xr:uid="{00000000-0005-0000-0000-0000089C0000}"/>
    <cellStyle name="Normal 4 2 3 2 3 3 4 2" xfId="10250" xr:uid="{00000000-0005-0000-0000-0000099C0000}"/>
    <cellStyle name="Normal 4 2 3 2 3 3 4 2 2" xfId="10251" xr:uid="{00000000-0005-0000-0000-00000A9C0000}"/>
    <cellStyle name="Normal 4 2 3 2 3 3 4 2 2 2" xfId="30812" xr:uid="{00000000-0005-0000-0000-00000B9C0000}"/>
    <cellStyle name="Normal 4 2 3 2 3 3 4 2 2 2 2" xfId="62683" xr:uid="{00000000-0005-0000-0000-00000C9C0000}"/>
    <cellStyle name="Normal 4 2 3 2 3 3 4 2 2 3" xfId="42130" xr:uid="{00000000-0005-0000-0000-00000D9C0000}"/>
    <cellStyle name="Normal 4 2 3 2 3 3 4 2 3" xfId="22934" xr:uid="{00000000-0005-0000-0000-00000E9C0000}"/>
    <cellStyle name="Normal 4 2 3 2 3 3 4 2 3 2" xfId="54805" xr:uid="{00000000-0005-0000-0000-00000F9C0000}"/>
    <cellStyle name="Normal 4 2 3 2 3 3 4 2 4" xfId="42129" xr:uid="{00000000-0005-0000-0000-0000109C0000}"/>
    <cellStyle name="Normal 4 2 3 2 3 3 4 3" xfId="10252" xr:uid="{00000000-0005-0000-0000-0000119C0000}"/>
    <cellStyle name="Normal 4 2 3 2 3 3 4 3 2" xfId="26873" xr:uid="{00000000-0005-0000-0000-0000129C0000}"/>
    <cellStyle name="Normal 4 2 3 2 3 3 4 3 2 2" xfId="58744" xr:uid="{00000000-0005-0000-0000-0000139C0000}"/>
    <cellStyle name="Normal 4 2 3 2 3 3 4 3 3" xfId="42131" xr:uid="{00000000-0005-0000-0000-0000149C0000}"/>
    <cellStyle name="Normal 4 2 3 2 3 3 4 4" xfId="18995" xr:uid="{00000000-0005-0000-0000-0000159C0000}"/>
    <cellStyle name="Normal 4 2 3 2 3 3 4 4 2" xfId="50866" xr:uid="{00000000-0005-0000-0000-0000169C0000}"/>
    <cellStyle name="Normal 4 2 3 2 3 3 4 5" xfId="42128" xr:uid="{00000000-0005-0000-0000-0000179C0000}"/>
    <cellStyle name="Normal 4 2 3 2 3 3 5" xfId="10253" xr:uid="{00000000-0005-0000-0000-0000189C0000}"/>
    <cellStyle name="Normal 4 2 3 2 3 3 5 2" xfId="10254" xr:uid="{00000000-0005-0000-0000-0000199C0000}"/>
    <cellStyle name="Normal 4 2 3 2 3 3 5 2 2" xfId="30805" xr:uid="{00000000-0005-0000-0000-00001A9C0000}"/>
    <cellStyle name="Normal 4 2 3 2 3 3 5 2 2 2" xfId="62676" xr:uid="{00000000-0005-0000-0000-00001B9C0000}"/>
    <cellStyle name="Normal 4 2 3 2 3 3 5 2 3" xfId="42133" xr:uid="{00000000-0005-0000-0000-00001C9C0000}"/>
    <cellStyle name="Normal 4 2 3 2 3 3 5 3" xfId="22927" xr:uid="{00000000-0005-0000-0000-00001D9C0000}"/>
    <cellStyle name="Normal 4 2 3 2 3 3 5 3 2" xfId="54798" xr:uid="{00000000-0005-0000-0000-00001E9C0000}"/>
    <cellStyle name="Normal 4 2 3 2 3 3 5 4" xfId="42132" xr:uid="{00000000-0005-0000-0000-00001F9C0000}"/>
    <cellStyle name="Normal 4 2 3 2 3 3 6" xfId="10255" xr:uid="{00000000-0005-0000-0000-0000209C0000}"/>
    <cellStyle name="Normal 4 2 3 2 3 3 6 2" xfId="26866" xr:uid="{00000000-0005-0000-0000-0000219C0000}"/>
    <cellStyle name="Normal 4 2 3 2 3 3 6 2 2" xfId="58737" xr:uid="{00000000-0005-0000-0000-0000229C0000}"/>
    <cellStyle name="Normal 4 2 3 2 3 3 6 3" xfId="42134" xr:uid="{00000000-0005-0000-0000-0000239C0000}"/>
    <cellStyle name="Normal 4 2 3 2 3 3 7" xfId="18988" xr:uid="{00000000-0005-0000-0000-0000249C0000}"/>
    <cellStyle name="Normal 4 2 3 2 3 3 7 2" xfId="50859" xr:uid="{00000000-0005-0000-0000-0000259C0000}"/>
    <cellStyle name="Normal 4 2 3 2 3 3 8" xfId="42103" xr:uid="{00000000-0005-0000-0000-0000269C0000}"/>
    <cellStyle name="Normal 4 2 3 2 3 4" xfId="10256" xr:uid="{00000000-0005-0000-0000-0000279C0000}"/>
    <cellStyle name="Normal 4 2 3 2 3 4 2" xfId="10257" xr:uid="{00000000-0005-0000-0000-0000289C0000}"/>
    <cellStyle name="Normal 4 2 3 2 3 4 2 2" xfId="10258" xr:uid="{00000000-0005-0000-0000-0000299C0000}"/>
    <cellStyle name="Normal 4 2 3 2 3 4 2 2 2" xfId="10259" xr:uid="{00000000-0005-0000-0000-00002A9C0000}"/>
    <cellStyle name="Normal 4 2 3 2 3 4 2 2 2 2" xfId="10260" xr:uid="{00000000-0005-0000-0000-00002B9C0000}"/>
    <cellStyle name="Normal 4 2 3 2 3 4 2 2 2 2 2" xfId="30815" xr:uid="{00000000-0005-0000-0000-00002C9C0000}"/>
    <cellStyle name="Normal 4 2 3 2 3 4 2 2 2 2 2 2" xfId="62686" xr:uid="{00000000-0005-0000-0000-00002D9C0000}"/>
    <cellStyle name="Normal 4 2 3 2 3 4 2 2 2 2 3" xfId="42139" xr:uid="{00000000-0005-0000-0000-00002E9C0000}"/>
    <cellStyle name="Normal 4 2 3 2 3 4 2 2 2 3" xfId="22937" xr:uid="{00000000-0005-0000-0000-00002F9C0000}"/>
    <cellStyle name="Normal 4 2 3 2 3 4 2 2 2 3 2" xfId="54808" xr:uid="{00000000-0005-0000-0000-0000309C0000}"/>
    <cellStyle name="Normal 4 2 3 2 3 4 2 2 2 4" xfId="42138" xr:uid="{00000000-0005-0000-0000-0000319C0000}"/>
    <cellStyle name="Normal 4 2 3 2 3 4 2 2 3" xfId="10261" xr:uid="{00000000-0005-0000-0000-0000329C0000}"/>
    <cellStyle name="Normal 4 2 3 2 3 4 2 2 3 2" xfId="26876" xr:uid="{00000000-0005-0000-0000-0000339C0000}"/>
    <cellStyle name="Normal 4 2 3 2 3 4 2 2 3 2 2" xfId="58747" xr:uid="{00000000-0005-0000-0000-0000349C0000}"/>
    <cellStyle name="Normal 4 2 3 2 3 4 2 2 3 3" xfId="42140" xr:uid="{00000000-0005-0000-0000-0000359C0000}"/>
    <cellStyle name="Normal 4 2 3 2 3 4 2 2 4" xfId="18998" xr:uid="{00000000-0005-0000-0000-0000369C0000}"/>
    <cellStyle name="Normal 4 2 3 2 3 4 2 2 4 2" xfId="50869" xr:uid="{00000000-0005-0000-0000-0000379C0000}"/>
    <cellStyle name="Normal 4 2 3 2 3 4 2 2 5" xfId="42137" xr:uid="{00000000-0005-0000-0000-0000389C0000}"/>
    <cellStyle name="Normal 4 2 3 2 3 4 2 3" xfId="10262" xr:uid="{00000000-0005-0000-0000-0000399C0000}"/>
    <cellStyle name="Normal 4 2 3 2 3 4 2 3 2" xfId="10263" xr:uid="{00000000-0005-0000-0000-00003A9C0000}"/>
    <cellStyle name="Normal 4 2 3 2 3 4 2 3 2 2" xfId="30814" xr:uid="{00000000-0005-0000-0000-00003B9C0000}"/>
    <cellStyle name="Normal 4 2 3 2 3 4 2 3 2 2 2" xfId="62685" xr:uid="{00000000-0005-0000-0000-00003C9C0000}"/>
    <cellStyle name="Normal 4 2 3 2 3 4 2 3 2 3" xfId="42142" xr:uid="{00000000-0005-0000-0000-00003D9C0000}"/>
    <cellStyle name="Normal 4 2 3 2 3 4 2 3 3" xfId="22936" xr:uid="{00000000-0005-0000-0000-00003E9C0000}"/>
    <cellStyle name="Normal 4 2 3 2 3 4 2 3 3 2" xfId="54807" xr:uid="{00000000-0005-0000-0000-00003F9C0000}"/>
    <cellStyle name="Normal 4 2 3 2 3 4 2 3 4" xfId="42141" xr:uid="{00000000-0005-0000-0000-0000409C0000}"/>
    <cellStyle name="Normal 4 2 3 2 3 4 2 4" xfId="10264" xr:uid="{00000000-0005-0000-0000-0000419C0000}"/>
    <cellStyle name="Normal 4 2 3 2 3 4 2 4 2" xfId="26875" xr:uid="{00000000-0005-0000-0000-0000429C0000}"/>
    <cellStyle name="Normal 4 2 3 2 3 4 2 4 2 2" xfId="58746" xr:uid="{00000000-0005-0000-0000-0000439C0000}"/>
    <cellStyle name="Normal 4 2 3 2 3 4 2 4 3" xfId="42143" xr:uid="{00000000-0005-0000-0000-0000449C0000}"/>
    <cellStyle name="Normal 4 2 3 2 3 4 2 5" xfId="18997" xr:uid="{00000000-0005-0000-0000-0000459C0000}"/>
    <cellStyle name="Normal 4 2 3 2 3 4 2 5 2" xfId="50868" xr:uid="{00000000-0005-0000-0000-0000469C0000}"/>
    <cellStyle name="Normal 4 2 3 2 3 4 2 6" xfId="42136" xr:uid="{00000000-0005-0000-0000-0000479C0000}"/>
    <cellStyle name="Normal 4 2 3 2 3 4 3" xfId="10265" xr:uid="{00000000-0005-0000-0000-0000489C0000}"/>
    <cellStyle name="Normal 4 2 3 2 3 4 3 2" xfId="10266" xr:uid="{00000000-0005-0000-0000-0000499C0000}"/>
    <cellStyle name="Normal 4 2 3 2 3 4 3 2 2" xfId="10267" xr:uid="{00000000-0005-0000-0000-00004A9C0000}"/>
    <cellStyle name="Normal 4 2 3 2 3 4 3 2 2 2" xfId="30816" xr:uid="{00000000-0005-0000-0000-00004B9C0000}"/>
    <cellStyle name="Normal 4 2 3 2 3 4 3 2 2 2 2" xfId="62687" xr:uid="{00000000-0005-0000-0000-00004C9C0000}"/>
    <cellStyle name="Normal 4 2 3 2 3 4 3 2 2 3" xfId="42146" xr:uid="{00000000-0005-0000-0000-00004D9C0000}"/>
    <cellStyle name="Normal 4 2 3 2 3 4 3 2 3" xfId="22938" xr:uid="{00000000-0005-0000-0000-00004E9C0000}"/>
    <cellStyle name="Normal 4 2 3 2 3 4 3 2 3 2" xfId="54809" xr:uid="{00000000-0005-0000-0000-00004F9C0000}"/>
    <cellStyle name="Normal 4 2 3 2 3 4 3 2 4" xfId="42145" xr:uid="{00000000-0005-0000-0000-0000509C0000}"/>
    <cellStyle name="Normal 4 2 3 2 3 4 3 3" xfId="10268" xr:uid="{00000000-0005-0000-0000-0000519C0000}"/>
    <cellStyle name="Normal 4 2 3 2 3 4 3 3 2" xfId="26877" xr:uid="{00000000-0005-0000-0000-0000529C0000}"/>
    <cellStyle name="Normal 4 2 3 2 3 4 3 3 2 2" xfId="58748" xr:uid="{00000000-0005-0000-0000-0000539C0000}"/>
    <cellStyle name="Normal 4 2 3 2 3 4 3 3 3" xfId="42147" xr:uid="{00000000-0005-0000-0000-0000549C0000}"/>
    <cellStyle name="Normal 4 2 3 2 3 4 3 4" xfId="18999" xr:uid="{00000000-0005-0000-0000-0000559C0000}"/>
    <cellStyle name="Normal 4 2 3 2 3 4 3 4 2" xfId="50870" xr:uid="{00000000-0005-0000-0000-0000569C0000}"/>
    <cellStyle name="Normal 4 2 3 2 3 4 3 5" xfId="42144" xr:uid="{00000000-0005-0000-0000-0000579C0000}"/>
    <cellStyle name="Normal 4 2 3 2 3 4 4" xfId="10269" xr:uid="{00000000-0005-0000-0000-0000589C0000}"/>
    <cellStyle name="Normal 4 2 3 2 3 4 4 2" xfId="10270" xr:uid="{00000000-0005-0000-0000-0000599C0000}"/>
    <cellStyle name="Normal 4 2 3 2 3 4 4 2 2" xfId="30813" xr:uid="{00000000-0005-0000-0000-00005A9C0000}"/>
    <cellStyle name="Normal 4 2 3 2 3 4 4 2 2 2" xfId="62684" xr:uid="{00000000-0005-0000-0000-00005B9C0000}"/>
    <cellStyle name="Normal 4 2 3 2 3 4 4 2 3" xfId="42149" xr:uid="{00000000-0005-0000-0000-00005C9C0000}"/>
    <cellStyle name="Normal 4 2 3 2 3 4 4 3" xfId="22935" xr:uid="{00000000-0005-0000-0000-00005D9C0000}"/>
    <cellStyle name="Normal 4 2 3 2 3 4 4 3 2" xfId="54806" xr:uid="{00000000-0005-0000-0000-00005E9C0000}"/>
    <cellStyle name="Normal 4 2 3 2 3 4 4 4" xfId="42148" xr:uid="{00000000-0005-0000-0000-00005F9C0000}"/>
    <cellStyle name="Normal 4 2 3 2 3 4 5" xfId="10271" xr:uid="{00000000-0005-0000-0000-0000609C0000}"/>
    <cellStyle name="Normal 4 2 3 2 3 4 5 2" xfId="26874" xr:uid="{00000000-0005-0000-0000-0000619C0000}"/>
    <cellStyle name="Normal 4 2 3 2 3 4 5 2 2" xfId="58745" xr:uid="{00000000-0005-0000-0000-0000629C0000}"/>
    <cellStyle name="Normal 4 2 3 2 3 4 5 3" xfId="42150" xr:uid="{00000000-0005-0000-0000-0000639C0000}"/>
    <cellStyle name="Normal 4 2 3 2 3 4 6" xfId="18996" xr:uid="{00000000-0005-0000-0000-0000649C0000}"/>
    <cellStyle name="Normal 4 2 3 2 3 4 6 2" xfId="50867" xr:uid="{00000000-0005-0000-0000-0000659C0000}"/>
    <cellStyle name="Normal 4 2 3 2 3 4 7" xfId="42135" xr:uid="{00000000-0005-0000-0000-0000669C0000}"/>
    <cellStyle name="Normal 4 2 3 2 3 5" xfId="10272" xr:uid="{00000000-0005-0000-0000-0000679C0000}"/>
    <cellStyle name="Normal 4 2 3 2 3 5 2" xfId="10273" xr:uid="{00000000-0005-0000-0000-0000689C0000}"/>
    <cellStyle name="Normal 4 2 3 2 3 5 2 2" xfId="10274" xr:uid="{00000000-0005-0000-0000-0000699C0000}"/>
    <cellStyle name="Normal 4 2 3 2 3 5 2 2 2" xfId="10275" xr:uid="{00000000-0005-0000-0000-00006A9C0000}"/>
    <cellStyle name="Normal 4 2 3 2 3 5 2 2 2 2" xfId="30818" xr:uid="{00000000-0005-0000-0000-00006B9C0000}"/>
    <cellStyle name="Normal 4 2 3 2 3 5 2 2 2 2 2" xfId="62689" xr:uid="{00000000-0005-0000-0000-00006C9C0000}"/>
    <cellStyle name="Normal 4 2 3 2 3 5 2 2 2 3" xfId="42154" xr:uid="{00000000-0005-0000-0000-00006D9C0000}"/>
    <cellStyle name="Normal 4 2 3 2 3 5 2 2 3" xfId="22940" xr:uid="{00000000-0005-0000-0000-00006E9C0000}"/>
    <cellStyle name="Normal 4 2 3 2 3 5 2 2 3 2" xfId="54811" xr:uid="{00000000-0005-0000-0000-00006F9C0000}"/>
    <cellStyle name="Normal 4 2 3 2 3 5 2 2 4" xfId="42153" xr:uid="{00000000-0005-0000-0000-0000709C0000}"/>
    <cellStyle name="Normal 4 2 3 2 3 5 2 3" xfId="10276" xr:uid="{00000000-0005-0000-0000-0000719C0000}"/>
    <cellStyle name="Normal 4 2 3 2 3 5 2 3 2" xfId="26879" xr:uid="{00000000-0005-0000-0000-0000729C0000}"/>
    <cellStyle name="Normal 4 2 3 2 3 5 2 3 2 2" xfId="58750" xr:uid="{00000000-0005-0000-0000-0000739C0000}"/>
    <cellStyle name="Normal 4 2 3 2 3 5 2 3 3" xfId="42155" xr:uid="{00000000-0005-0000-0000-0000749C0000}"/>
    <cellStyle name="Normal 4 2 3 2 3 5 2 4" xfId="19001" xr:uid="{00000000-0005-0000-0000-0000759C0000}"/>
    <cellStyle name="Normal 4 2 3 2 3 5 2 4 2" xfId="50872" xr:uid="{00000000-0005-0000-0000-0000769C0000}"/>
    <cellStyle name="Normal 4 2 3 2 3 5 2 5" xfId="42152" xr:uid="{00000000-0005-0000-0000-0000779C0000}"/>
    <cellStyle name="Normal 4 2 3 2 3 5 3" xfId="10277" xr:uid="{00000000-0005-0000-0000-0000789C0000}"/>
    <cellStyle name="Normal 4 2 3 2 3 5 3 2" xfId="10278" xr:uid="{00000000-0005-0000-0000-0000799C0000}"/>
    <cellStyle name="Normal 4 2 3 2 3 5 3 2 2" xfId="30817" xr:uid="{00000000-0005-0000-0000-00007A9C0000}"/>
    <cellStyle name="Normal 4 2 3 2 3 5 3 2 2 2" xfId="62688" xr:uid="{00000000-0005-0000-0000-00007B9C0000}"/>
    <cellStyle name="Normal 4 2 3 2 3 5 3 2 3" xfId="42157" xr:uid="{00000000-0005-0000-0000-00007C9C0000}"/>
    <cellStyle name="Normal 4 2 3 2 3 5 3 3" xfId="22939" xr:uid="{00000000-0005-0000-0000-00007D9C0000}"/>
    <cellStyle name="Normal 4 2 3 2 3 5 3 3 2" xfId="54810" xr:uid="{00000000-0005-0000-0000-00007E9C0000}"/>
    <cellStyle name="Normal 4 2 3 2 3 5 3 4" xfId="42156" xr:uid="{00000000-0005-0000-0000-00007F9C0000}"/>
    <cellStyle name="Normal 4 2 3 2 3 5 4" xfId="10279" xr:uid="{00000000-0005-0000-0000-0000809C0000}"/>
    <cellStyle name="Normal 4 2 3 2 3 5 4 2" xfId="26878" xr:uid="{00000000-0005-0000-0000-0000819C0000}"/>
    <cellStyle name="Normal 4 2 3 2 3 5 4 2 2" xfId="58749" xr:uid="{00000000-0005-0000-0000-0000829C0000}"/>
    <cellStyle name="Normal 4 2 3 2 3 5 4 3" xfId="42158" xr:uid="{00000000-0005-0000-0000-0000839C0000}"/>
    <cellStyle name="Normal 4 2 3 2 3 5 5" xfId="19000" xr:uid="{00000000-0005-0000-0000-0000849C0000}"/>
    <cellStyle name="Normal 4 2 3 2 3 5 5 2" xfId="50871" xr:uid="{00000000-0005-0000-0000-0000859C0000}"/>
    <cellStyle name="Normal 4 2 3 2 3 5 6" xfId="42151" xr:uid="{00000000-0005-0000-0000-0000869C0000}"/>
    <cellStyle name="Normal 4 2 3 2 3 6" xfId="10280" xr:uid="{00000000-0005-0000-0000-0000879C0000}"/>
    <cellStyle name="Normal 4 2 3 2 3 6 2" xfId="10281" xr:uid="{00000000-0005-0000-0000-0000889C0000}"/>
    <cellStyle name="Normal 4 2 3 2 3 6 2 2" xfId="10282" xr:uid="{00000000-0005-0000-0000-0000899C0000}"/>
    <cellStyle name="Normal 4 2 3 2 3 6 2 2 2" xfId="30819" xr:uid="{00000000-0005-0000-0000-00008A9C0000}"/>
    <cellStyle name="Normal 4 2 3 2 3 6 2 2 2 2" xfId="62690" xr:uid="{00000000-0005-0000-0000-00008B9C0000}"/>
    <cellStyle name="Normal 4 2 3 2 3 6 2 2 3" xfId="42161" xr:uid="{00000000-0005-0000-0000-00008C9C0000}"/>
    <cellStyle name="Normal 4 2 3 2 3 6 2 3" xfId="22941" xr:uid="{00000000-0005-0000-0000-00008D9C0000}"/>
    <cellStyle name="Normal 4 2 3 2 3 6 2 3 2" xfId="54812" xr:uid="{00000000-0005-0000-0000-00008E9C0000}"/>
    <cellStyle name="Normal 4 2 3 2 3 6 2 4" xfId="42160" xr:uid="{00000000-0005-0000-0000-00008F9C0000}"/>
    <cellStyle name="Normal 4 2 3 2 3 6 3" xfId="10283" xr:uid="{00000000-0005-0000-0000-0000909C0000}"/>
    <cellStyle name="Normal 4 2 3 2 3 6 3 2" xfId="26880" xr:uid="{00000000-0005-0000-0000-0000919C0000}"/>
    <cellStyle name="Normal 4 2 3 2 3 6 3 2 2" xfId="58751" xr:uid="{00000000-0005-0000-0000-0000929C0000}"/>
    <cellStyle name="Normal 4 2 3 2 3 6 3 3" xfId="42162" xr:uid="{00000000-0005-0000-0000-0000939C0000}"/>
    <cellStyle name="Normal 4 2 3 2 3 6 4" xfId="19002" xr:uid="{00000000-0005-0000-0000-0000949C0000}"/>
    <cellStyle name="Normal 4 2 3 2 3 6 4 2" xfId="50873" xr:uid="{00000000-0005-0000-0000-0000959C0000}"/>
    <cellStyle name="Normal 4 2 3 2 3 6 5" xfId="42159" xr:uid="{00000000-0005-0000-0000-0000969C0000}"/>
    <cellStyle name="Normal 4 2 3 2 3 7" xfId="10284" xr:uid="{00000000-0005-0000-0000-0000979C0000}"/>
    <cellStyle name="Normal 4 2 3 2 3 7 2" xfId="10285" xr:uid="{00000000-0005-0000-0000-0000989C0000}"/>
    <cellStyle name="Normal 4 2 3 2 3 7 2 2" xfId="28368" xr:uid="{00000000-0005-0000-0000-0000999C0000}"/>
    <cellStyle name="Normal 4 2 3 2 3 7 2 2 2" xfId="60239" xr:uid="{00000000-0005-0000-0000-00009A9C0000}"/>
    <cellStyle name="Normal 4 2 3 2 3 7 2 3" xfId="42164" xr:uid="{00000000-0005-0000-0000-00009B9C0000}"/>
    <cellStyle name="Normal 4 2 3 2 3 7 3" xfId="20490" xr:uid="{00000000-0005-0000-0000-00009C9C0000}"/>
    <cellStyle name="Normal 4 2 3 2 3 7 3 2" xfId="52361" xr:uid="{00000000-0005-0000-0000-00009D9C0000}"/>
    <cellStyle name="Normal 4 2 3 2 3 7 4" xfId="42163" xr:uid="{00000000-0005-0000-0000-00009E9C0000}"/>
    <cellStyle name="Normal 4 2 3 2 3 8" xfId="10286" xr:uid="{00000000-0005-0000-0000-00009F9C0000}"/>
    <cellStyle name="Normal 4 2 3 2 3 8 2" xfId="24429" xr:uid="{00000000-0005-0000-0000-0000A09C0000}"/>
    <cellStyle name="Normal 4 2 3 2 3 8 2 2" xfId="56300" xr:uid="{00000000-0005-0000-0000-0000A19C0000}"/>
    <cellStyle name="Normal 4 2 3 2 3 8 3" xfId="42165" xr:uid="{00000000-0005-0000-0000-0000A29C0000}"/>
    <cellStyle name="Normal 4 2 3 2 3 9" xfId="16551" xr:uid="{00000000-0005-0000-0000-0000A39C0000}"/>
    <cellStyle name="Normal 4 2 3 2 3 9 2" xfId="48422" xr:uid="{00000000-0005-0000-0000-0000A49C0000}"/>
    <cellStyle name="Normal 4 2 3 2 4" xfId="10287" xr:uid="{00000000-0005-0000-0000-0000A59C0000}"/>
    <cellStyle name="Normal 4 2 3 2 4 2" xfId="10288" xr:uid="{00000000-0005-0000-0000-0000A69C0000}"/>
    <cellStyle name="Normal 4 2 3 2 4 2 2" xfId="10289" xr:uid="{00000000-0005-0000-0000-0000A79C0000}"/>
    <cellStyle name="Normal 4 2 3 2 4 2 2 2" xfId="10290" xr:uid="{00000000-0005-0000-0000-0000A89C0000}"/>
    <cellStyle name="Normal 4 2 3 2 4 2 2 2 2" xfId="10291" xr:uid="{00000000-0005-0000-0000-0000A99C0000}"/>
    <cellStyle name="Normal 4 2 3 2 4 2 2 2 2 2" xfId="10292" xr:uid="{00000000-0005-0000-0000-0000AA9C0000}"/>
    <cellStyle name="Normal 4 2 3 2 4 2 2 2 2 2 2" xfId="10293" xr:uid="{00000000-0005-0000-0000-0000AB9C0000}"/>
    <cellStyle name="Normal 4 2 3 2 4 2 2 2 2 2 2 2" xfId="30823" xr:uid="{00000000-0005-0000-0000-0000AC9C0000}"/>
    <cellStyle name="Normal 4 2 3 2 4 2 2 2 2 2 2 2 2" xfId="62694" xr:uid="{00000000-0005-0000-0000-0000AD9C0000}"/>
    <cellStyle name="Normal 4 2 3 2 4 2 2 2 2 2 2 3" xfId="42172" xr:uid="{00000000-0005-0000-0000-0000AE9C0000}"/>
    <cellStyle name="Normal 4 2 3 2 4 2 2 2 2 2 3" xfId="22945" xr:uid="{00000000-0005-0000-0000-0000AF9C0000}"/>
    <cellStyle name="Normal 4 2 3 2 4 2 2 2 2 2 3 2" xfId="54816" xr:uid="{00000000-0005-0000-0000-0000B09C0000}"/>
    <cellStyle name="Normal 4 2 3 2 4 2 2 2 2 2 4" xfId="42171" xr:uid="{00000000-0005-0000-0000-0000B19C0000}"/>
    <cellStyle name="Normal 4 2 3 2 4 2 2 2 2 3" xfId="10294" xr:uid="{00000000-0005-0000-0000-0000B29C0000}"/>
    <cellStyle name="Normal 4 2 3 2 4 2 2 2 2 3 2" xfId="26884" xr:uid="{00000000-0005-0000-0000-0000B39C0000}"/>
    <cellStyle name="Normal 4 2 3 2 4 2 2 2 2 3 2 2" xfId="58755" xr:uid="{00000000-0005-0000-0000-0000B49C0000}"/>
    <cellStyle name="Normal 4 2 3 2 4 2 2 2 2 3 3" xfId="42173" xr:uid="{00000000-0005-0000-0000-0000B59C0000}"/>
    <cellStyle name="Normal 4 2 3 2 4 2 2 2 2 4" xfId="19006" xr:uid="{00000000-0005-0000-0000-0000B69C0000}"/>
    <cellStyle name="Normal 4 2 3 2 4 2 2 2 2 4 2" xfId="50877" xr:uid="{00000000-0005-0000-0000-0000B79C0000}"/>
    <cellStyle name="Normal 4 2 3 2 4 2 2 2 2 5" xfId="42170" xr:uid="{00000000-0005-0000-0000-0000B89C0000}"/>
    <cellStyle name="Normal 4 2 3 2 4 2 2 2 3" xfId="10295" xr:uid="{00000000-0005-0000-0000-0000B99C0000}"/>
    <cellStyle name="Normal 4 2 3 2 4 2 2 2 3 2" xfId="10296" xr:uid="{00000000-0005-0000-0000-0000BA9C0000}"/>
    <cellStyle name="Normal 4 2 3 2 4 2 2 2 3 2 2" xfId="30822" xr:uid="{00000000-0005-0000-0000-0000BB9C0000}"/>
    <cellStyle name="Normal 4 2 3 2 4 2 2 2 3 2 2 2" xfId="62693" xr:uid="{00000000-0005-0000-0000-0000BC9C0000}"/>
    <cellStyle name="Normal 4 2 3 2 4 2 2 2 3 2 3" xfId="42175" xr:uid="{00000000-0005-0000-0000-0000BD9C0000}"/>
    <cellStyle name="Normal 4 2 3 2 4 2 2 2 3 3" xfId="22944" xr:uid="{00000000-0005-0000-0000-0000BE9C0000}"/>
    <cellStyle name="Normal 4 2 3 2 4 2 2 2 3 3 2" xfId="54815" xr:uid="{00000000-0005-0000-0000-0000BF9C0000}"/>
    <cellStyle name="Normal 4 2 3 2 4 2 2 2 3 4" xfId="42174" xr:uid="{00000000-0005-0000-0000-0000C09C0000}"/>
    <cellStyle name="Normal 4 2 3 2 4 2 2 2 4" xfId="10297" xr:uid="{00000000-0005-0000-0000-0000C19C0000}"/>
    <cellStyle name="Normal 4 2 3 2 4 2 2 2 4 2" xfId="26883" xr:uid="{00000000-0005-0000-0000-0000C29C0000}"/>
    <cellStyle name="Normal 4 2 3 2 4 2 2 2 4 2 2" xfId="58754" xr:uid="{00000000-0005-0000-0000-0000C39C0000}"/>
    <cellStyle name="Normal 4 2 3 2 4 2 2 2 4 3" xfId="42176" xr:uid="{00000000-0005-0000-0000-0000C49C0000}"/>
    <cellStyle name="Normal 4 2 3 2 4 2 2 2 5" xfId="19005" xr:uid="{00000000-0005-0000-0000-0000C59C0000}"/>
    <cellStyle name="Normal 4 2 3 2 4 2 2 2 5 2" xfId="50876" xr:uid="{00000000-0005-0000-0000-0000C69C0000}"/>
    <cellStyle name="Normal 4 2 3 2 4 2 2 2 6" xfId="42169" xr:uid="{00000000-0005-0000-0000-0000C79C0000}"/>
    <cellStyle name="Normal 4 2 3 2 4 2 2 3" xfId="10298" xr:uid="{00000000-0005-0000-0000-0000C89C0000}"/>
    <cellStyle name="Normal 4 2 3 2 4 2 2 3 2" xfId="10299" xr:uid="{00000000-0005-0000-0000-0000C99C0000}"/>
    <cellStyle name="Normal 4 2 3 2 4 2 2 3 2 2" xfId="10300" xr:uid="{00000000-0005-0000-0000-0000CA9C0000}"/>
    <cellStyle name="Normal 4 2 3 2 4 2 2 3 2 2 2" xfId="30824" xr:uid="{00000000-0005-0000-0000-0000CB9C0000}"/>
    <cellStyle name="Normal 4 2 3 2 4 2 2 3 2 2 2 2" xfId="62695" xr:uid="{00000000-0005-0000-0000-0000CC9C0000}"/>
    <cellStyle name="Normal 4 2 3 2 4 2 2 3 2 2 3" xfId="42179" xr:uid="{00000000-0005-0000-0000-0000CD9C0000}"/>
    <cellStyle name="Normal 4 2 3 2 4 2 2 3 2 3" xfId="22946" xr:uid="{00000000-0005-0000-0000-0000CE9C0000}"/>
    <cellStyle name="Normal 4 2 3 2 4 2 2 3 2 3 2" xfId="54817" xr:uid="{00000000-0005-0000-0000-0000CF9C0000}"/>
    <cellStyle name="Normal 4 2 3 2 4 2 2 3 2 4" xfId="42178" xr:uid="{00000000-0005-0000-0000-0000D09C0000}"/>
    <cellStyle name="Normal 4 2 3 2 4 2 2 3 3" xfId="10301" xr:uid="{00000000-0005-0000-0000-0000D19C0000}"/>
    <cellStyle name="Normal 4 2 3 2 4 2 2 3 3 2" xfId="26885" xr:uid="{00000000-0005-0000-0000-0000D29C0000}"/>
    <cellStyle name="Normal 4 2 3 2 4 2 2 3 3 2 2" xfId="58756" xr:uid="{00000000-0005-0000-0000-0000D39C0000}"/>
    <cellStyle name="Normal 4 2 3 2 4 2 2 3 3 3" xfId="42180" xr:uid="{00000000-0005-0000-0000-0000D49C0000}"/>
    <cellStyle name="Normal 4 2 3 2 4 2 2 3 4" xfId="19007" xr:uid="{00000000-0005-0000-0000-0000D59C0000}"/>
    <cellStyle name="Normal 4 2 3 2 4 2 2 3 4 2" xfId="50878" xr:uid="{00000000-0005-0000-0000-0000D69C0000}"/>
    <cellStyle name="Normal 4 2 3 2 4 2 2 3 5" xfId="42177" xr:uid="{00000000-0005-0000-0000-0000D79C0000}"/>
    <cellStyle name="Normal 4 2 3 2 4 2 2 4" xfId="10302" xr:uid="{00000000-0005-0000-0000-0000D89C0000}"/>
    <cellStyle name="Normal 4 2 3 2 4 2 2 4 2" xfId="10303" xr:uid="{00000000-0005-0000-0000-0000D99C0000}"/>
    <cellStyle name="Normal 4 2 3 2 4 2 2 4 2 2" xfId="30821" xr:uid="{00000000-0005-0000-0000-0000DA9C0000}"/>
    <cellStyle name="Normal 4 2 3 2 4 2 2 4 2 2 2" xfId="62692" xr:uid="{00000000-0005-0000-0000-0000DB9C0000}"/>
    <cellStyle name="Normal 4 2 3 2 4 2 2 4 2 3" xfId="42182" xr:uid="{00000000-0005-0000-0000-0000DC9C0000}"/>
    <cellStyle name="Normal 4 2 3 2 4 2 2 4 3" xfId="22943" xr:uid="{00000000-0005-0000-0000-0000DD9C0000}"/>
    <cellStyle name="Normal 4 2 3 2 4 2 2 4 3 2" xfId="54814" xr:uid="{00000000-0005-0000-0000-0000DE9C0000}"/>
    <cellStyle name="Normal 4 2 3 2 4 2 2 4 4" xfId="42181" xr:uid="{00000000-0005-0000-0000-0000DF9C0000}"/>
    <cellStyle name="Normal 4 2 3 2 4 2 2 5" xfId="10304" xr:uid="{00000000-0005-0000-0000-0000E09C0000}"/>
    <cellStyle name="Normal 4 2 3 2 4 2 2 5 2" xfId="26882" xr:uid="{00000000-0005-0000-0000-0000E19C0000}"/>
    <cellStyle name="Normal 4 2 3 2 4 2 2 5 2 2" xfId="58753" xr:uid="{00000000-0005-0000-0000-0000E29C0000}"/>
    <cellStyle name="Normal 4 2 3 2 4 2 2 5 3" xfId="42183" xr:uid="{00000000-0005-0000-0000-0000E39C0000}"/>
    <cellStyle name="Normal 4 2 3 2 4 2 2 6" xfId="19004" xr:uid="{00000000-0005-0000-0000-0000E49C0000}"/>
    <cellStyle name="Normal 4 2 3 2 4 2 2 6 2" xfId="50875" xr:uid="{00000000-0005-0000-0000-0000E59C0000}"/>
    <cellStyle name="Normal 4 2 3 2 4 2 2 7" xfId="42168" xr:uid="{00000000-0005-0000-0000-0000E69C0000}"/>
    <cellStyle name="Normal 4 2 3 2 4 2 3" xfId="10305" xr:uid="{00000000-0005-0000-0000-0000E79C0000}"/>
    <cellStyle name="Normal 4 2 3 2 4 2 3 2" xfId="10306" xr:uid="{00000000-0005-0000-0000-0000E89C0000}"/>
    <cellStyle name="Normal 4 2 3 2 4 2 3 2 2" xfId="10307" xr:uid="{00000000-0005-0000-0000-0000E99C0000}"/>
    <cellStyle name="Normal 4 2 3 2 4 2 3 2 2 2" xfId="10308" xr:uid="{00000000-0005-0000-0000-0000EA9C0000}"/>
    <cellStyle name="Normal 4 2 3 2 4 2 3 2 2 2 2" xfId="30826" xr:uid="{00000000-0005-0000-0000-0000EB9C0000}"/>
    <cellStyle name="Normal 4 2 3 2 4 2 3 2 2 2 2 2" xfId="62697" xr:uid="{00000000-0005-0000-0000-0000EC9C0000}"/>
    <cellStyle name="Normal 4 2 3 2 4 2 3 2 2 2 3" xfId="42187" xr:uid="{00000000-0005-0000-0000-0000ED9C0000}"/>
    <cellStyle name="Normal 4 2 3 2 4 2 3 2 2 3" xfId="22948" xr:uid="{00000000-0005-0000-0000-0000EE9C0000}"/>
    <cellStyle name="Normal 4 2 3 2 4 2 3 2 2 3 2" xfId="54819" xr:uid="{00000000-0005-0000-0000-0000EF9C0000}"/>
    <cellStyle name="Normal 4 2 3 2 4 2 3 2 2 4" xfId="42186" xr:uid="{00000000-0005-0000-0000-0000F09C0000}"/>
    <cellStyle name="Normal 4 2 3 2 4 2 3 2 3" xfId="10309" xr:uid="{00000000-0005-0000-0000-0000F19C0000}"/>
    <cellStyle name="Normal 4 2 3 2 4 2 3 2 3 2" xfId="26887" xr:uid="{00000000-0005-0000-0000-0000F29C0000}"/>
    <cellStyle name="Normal 4 2 3 2 4 2 3 2 3 2 2" xfId="58758" xr:uid="{00000000-0005-0000-0000-0000F39C0000}"/>
    <cellStyle name="Normal 4 2 3 2 4 2 3 2 3 3" xfId="42188" xr:uid="{00000000-0005-0000-0000-0000F49C0000}"/>
    <cellStyle name="Normal 4 2 3 2 4 2 3 2 4" xfId="19009" xr:uid="{00000000-0005-0000-0000-0000F59C0000}"/>
    <cellStyle name="Normal 4 2 3 2 4 2 3 2 4 2" xfId="50880" xr:uid="{00000000-0005-0000-0000-0000F69C0000}"/>
    <cellStyle name="Normal 4 2 3 2 4 2 3 2 5" xfId="42185" xr:uid="{00000000-0005-0000-0000-0000F79C0000}"/>
    <cellStyle name="Normal 4 2 3 2 4 2 3 3" xfId="10310" xr:uid="{00000000-0005-0000-0000-0000F89C0000}"/>
    <cellStyle name="Normal 4 2 3 2 4 2 3 3 2" xfId="10311" xr:uid="{00000000-0005-0000-0000-0000F99C0000}"/>
    <cellStyle name="Normal 4 2 3 2 4 2 3 3 2 2" xfId="30825" xr:uid="{00000000-0005-0000-0000-0000FA9C0000}"/>
    <cellStyle name="Normal 4 2 3 2 4 2 3 3 2 2 2" xfId="62696" xr:uid="{00000000-0005-0000-0000-0000FB9C0000}"/>
    <cellStyle name="Normal 4 2 3 2 4 2 3 3 2 3" xfId="42190" xr:uid="{00000000-0005-0000-0000-0000FC9C0000}"/>
    <cellStyle name="Normal 4 2 3 2 4 2 3 3 3" xfId="22947" xr:uid="{00000000-0005-0000-0000-0000FD9C0000}"/>
    <cellStyle name="Normal 4 2 3 2 4 2 3 3 3 2" xfId="54818" xr:uid="{00000000-0005-0000-0000-0000FE9C0000}"/>
    <cellStyle name="Normal 4 2 3 2 4 2 3 3 4" xfId="42189" xr:uid="{00000000-0005-0000-0000-0000FF9C0000}"/>
    <cellStyle name="Normal 4 2 3 2 4 2 3 4" xfId="10312" xr:uid="{00000000-0005-0000-0000-0000009D0000}"/>
    <cellStyle name="Normal 4 2 3 2 4 2 3 4 2" xfId="26886" xr:uid="{00000000-0005-0000-0000-0000019D0000}"/>
    <cellStyle name="Normal 4 2 3 2 4 2 3 4 2 2" xfId="58757" xr:uid="{00000000-0005-0000-0000-0000029D0000}"/>
    <cellStyle name="Normal 4 2 3 2 4 2 3 4 3" xfId="42191" xr:uid="{00000000-0005-0000-0000-0000039D0000}"/>
    <cellStyle name="Normal 4 2 3 2 4 2 3 5" xfId="19008" xr:uid="{00000000-0005-0000-0000-0000049D0000}"/>
    <cellStyle name="Normal 4 2 3 2 4 2 3 5 2" xfId="50879" xr:uid="{00000000-0005-0000-0000-0000059D0000}"/>
    <cellStyle name="Normal 4 2 3 2 4 2 3 6" xfId="42184" xr:uid="{00000000-0005-0000-0000-0000069D0000}"/>
    <cellStyle name="Normal 4 2 3 2 4 2 4" xfId="10313" xr:uid="{00000000-0005-0000-0000-0000079D0000}"/>
    <cellStyle name="Normal 4 2 3 2 4 2 4 2" xfId="10314" xr:uid="{00000000-0005-0000-0000-0000089D0000}"/>
    <cellStyle name="Normal 4 2 3 2 4 2 4 2 2" xfId="10315" xr:uid="{00000000-0005-0000-0000-0000099D0000}"/>
    <cellStyle name="Normal 4 2 3 2 4 2 4 2 2 2" xfId="30827" xr:uid="{00000000-0005-0000-0000-00000A9D0000}"/>
    <cellStyle name="Normal 4 2 3 2 4 2 4 2 2 2 2" xfId="62698" xr:uid="{00000000-0005-0000-0000-00000B9D0000}"/>
    <cellStyle name="Normal 4 2 3 2 4 2 4 2 2 3" xfId="42194" xr:uid="{00000000-0005-0000-0000-00000C9D0000}"/>
    <cellStyle name="Normal 4 2 3 2 4 2 4 2 3" xfId="22949" xr:uid="{00000000-0005-0000-0000-00000D9D0000}"/>
    <cellStyle name="Normal 4 2 3 2 4 2 4 2 3 2" xfId="54820" xr:uid="{00000000-0005-0000-0000-00000E9D0000}"/>
    <cellStyle name="Normal 4 2 3 2 4 2 4 2 4" xfId="42193" xr:uid="{00000000-0005-0000-0000-00000F9D0000}"/>
    <cellStyle name="Normal 4 2 3 2 4 2 4 3" xfId="10316" xr:uid="{00000000-0005-0000-0000-0000109D0000}"/>
    <cellStyle name="Normal 4 2 3 2 4 2 4 3 2" xfId="26888" xr:uid="{00000000-0005-0000-0000-0000119D0000}"/>
    <cellStyle name="Normal 4 2 3 2 4 2 4 3 2 2" xfId="58759" xr:uid="{00000000-0005-0000-0000-0000129D0000}"/>
    <cellStyle name="Normal 4 2 3 2 4 2 4 3 3" xfId="42195" xr:uid="{00000000-0005-0000-0000-0000139D0000}"/>
    <cellStyle name="Normal 4 2 3 2 4 2 4 4" xfId="19010" xr:uid="{00000000-0005-0000-0000-0000149D0000}"/>
    <cellStyle name="Normal 4 2 3 2 4 2 4 4 2" xfId="50881" xr:uid="{00000000-0005-0000-0000-0000159D0000}"/>
    <cellStyle name="Normal 4 2 3 2 4 2 4 5" xfId="42192" xr:uid="{00000000-0005-0000-0000-0000169D0000}"/>
    <cellStyle name="Normal 4 2 3 2 4 2 5" xfId="10317" xr:uid="{00000000-0005-0000-0000-0000179D0000}"/>
    <cellStyle name="Normal 4 2 3 2 4 2 5 2" xfId="10318" xr:uid="{00000000-0005-0000-0000-0000189D0000}"/>
    <cellStyle name="Normal 4 2 3 2 4 2 5 2 2" xfId="30820" xr:uid="{00000000-0005-0000-0000-0000199D0000}"/>
    <cellStyle name="Normal 4 2 3 2 4 2 5 2 2 2" xfId="62691" xr:uid="{00000000-0005-0000-0000-00001A9D0000}"/>
    <cellStyle name="Normal 4 2 3 2 4 2 5 2 3" xfId="42197" xr:uid="{00000000-0005-0000-0000-00001B9D0000}"/>
    <cellStyle name="Normal 4 2 3 2 4 2 5 3" xfId="22942" xr:uid="{00000000-0005-0000-0000-00001C9D0000}"/>
    <cellStyle name="Normal 4 2 3 2 4 2 5 3 2" xfId="54813" xr:uid="{00000000-0005-0000-0000-00001D9D0000}"/>
    <cellStyle name="Normal 4 2 3 2 4 2 5 4" xfId="42196" xr:uid="{00000000-0005-0000-0000-00001E9D0000}"/>
    <cellStyle name="Normal 4 2 3 2 4 2 6" xfId="10319" xr:uid="{00000000-0005-0000-0000-00001F9D0000}"/>
    <cellStyle name="Normal 4 2 3 2 4 2 6 2" xfId="26881" xr:uid="{00000000-0005-0000-0000-0000209D0000}"/>
    <cellStyle name="Normal 4 2 3 2 4 2 6 2 2" xfId="58752" xr:uid="{00000000-0005-0000-0000-0000219D0000}"/>
    <cellStyle name="Normal 4 2 3 2 4 2 6 3" xfId="42198" xr:uid="{00000000-0005-0000-0000-0000229D0000}"/>
    <cellStyle name="Normal 4 2 3 2 4 2 7" xfId="19003" xr:uid="{00000000-0005-0000-0000-0000239D0000}"/>
    <cellStyle name="Normal 4 2 3 2 4 2 7 2" xfId="50874" xr:uid="{00000000-0005-0000-0000-0000249D0000}"/>
    <cellStyle name="Normal 4 2 3 2 4 2 8" xfId="42167" xr:uid="{00000000-0005-0000-0000-0000259D0000}"/>
    <cellStyle name="Normal 4 2 3 2 4 3" xfId="10320" xr:uid="{00000000-0005-0000-0000-0000269D0000}"/>
    <cellStyle name="Normal 4 2 3 2 4 3 2" xfId="10321" xr:uid="{00000000-0005-0000-0000-0000279D0000}"/>
    <cellStyle name="Normal 4 2 3 2 4 3 2 2" xfId="10322" xr:uid="{00000000-0005-0000-0000-0000289D0000}"/>
    <cellStyle name="Normal 4 2 3 2 4 3 2 2 2" xfId="10323" xr:uid="{00000000-0005-0000-0000-0000299D0000}"/>
    <cellStyle name="Normal 4 2 3 2 4 3 2 2 2 2" xfId="10324" xr:uid="{00000000-0005-0000-0000-00002A9D0000}"/>
    <cellStyle name="Normal 4 2 3 2 4 3 2 2 2 2 2" xfId="30830" xr:uid="{00000000-0005-0000-0000-00002B9D0000}"/>
    <cellStyle name="Normal 4 2 3 2 4 3 2 2 2 2 2 2" xfId="62701" xr:uid="{00000000-0005-0000-0000-00002C9D0000}"/>
    <cellStyle name="Normal 4 2 3 2 4 3 2 2 2 2 3" xfId="42203" xr:uid="{00000000-0005-0000-0000-00002D9D0000}"/>
    <cellStyle name="Normal 4 2 3 2 4 3 2 2 2 3" xfId="22952" xr:uid="{00000000-0005-0000-0000-00002E9D0000}"/>
    <cellStyle name="Normal 4 2 3 2 4 3 2 2 2 3 2" xfId="54823" xr:uid="{00000000-0005-0000-0000-00002F9D0000}"/>
    <cellStyle name="Normal 4 2 3 2 4 3 2 2 2 4" xfId="42202" xr:uid="{00000000-0005-0000-0000-0000309D0000}"/>
    <cellStyle name="Normal 4 2 3 2 4 3 2 2 3" xfId="10325" xr:uid="{00000000-0005-0000-0000-0000319D0000}"/>
    <cellStyle name="Normal 4 2 3 2 4 3 2 2 3 2" xfId="26891" xr:uid="{00000000-0005-0000-0000-0000329D0000}"/>
    <cellStyle name="Normal 4 2 3 2 4 3 2 2 3 2 2" xfId="58762" xr:uid="{00000000-0005-0000-0000-0000339D0000}"/>
    <cellStyle name="Normal 4 2 3 2 4 3 2 2 3 3" xfId="42204" xr:uid="{00000000-0005-0000-0000-0000349D0000}"/>
    <cellStyle name="Normal 4 2 3 2 4 3 2 2 4" xfId="19013" xr:uid="{00000000-0005-0000-0000-0000359D0000}"/>
    <cellStyle name="Normal 4 2 3 2 4 3 2 2 4 2" xfId="50884" xr:uid="{00000000-0005-0000-0000-0000369D0000}"/>
    <cellStyle name="Normal 4 2 3 2 4 3 2 2 5" xfId="42201" xr:uid="{00000000-0005-0000-0000-0000379D0000}"/>
    <cellStyle name="Normal 4 2 3 2 4 3 2 3" xfId="10326" xr:uid="{00000000-0005-0000-0000-0000389D0000}"/>
    <cellStyle name="Normal 4 2 3 2 4 3 2 3 2" xfId="10327" xr:uid="{00000000-0005-0000-0000-0000399D0000}"/>
    <cellStyle name="Normal 4 2 3 2 4 3 2 3 2 2" xfId="30829" xr:uid="{00000000-0005-0000-0000-00003A9D0000}"/>
    <cellStyle name="Normal 4 2 3 2 4 3 2 3 2 2 2" xfId="62700" xr:uid="{00000000-0005-0000-0000-00003B9D0000}"/>
    <cellStyle name="Normal 4 2 3 2 4 3 2 3 2 3" xfId="42206" xr:uid="{00000000-0005-0000-0000-00003C9D0000}"/>
    <cellStyle name="Normal 4 2 3 2 4 3 2 3 3" xfId="22951" xr:uid="{00000000-0005-0000-0000-00003D9D0000}"/>
    <cellStyle name="Normal 4 2 3 2 4 3 2 3 3 2" xfId="54822" xr:uid="{00000000-0005-0000-0000-00003E9D0000}"/>
    <cellStyle name="Normal 4 2 3 2 4 3 2 3 4" xfId="42205" xr:uid="{00000000-0005-0000-0000-00003F9D0000}"/>
    <cellStyle name="Normal 4 2 3 2 4 3 2 4" xfId="10328" xr:uid="{00000000-0005-0000-0000-0000409D0000}"/>
    <cellStyle name="Normal 4 2 3 2 4 3 2 4 2" xfId="26890" xr:uid="{00000000-0005-0000-0000-0000419D0000}"/>
    <cellStyle name="Normal 4 2 3 2 4 3 2 4 2 2" xfId="58761" xr:uid="{00000000-0005-0000-0000-0000429D0000}"/>
    <cellStyle name="Normal 4 2 3 2 4 3 2 4 3" xfId="42207" xr:uid="{00000000-0005-0000-0000-0000439D0000}"/>
    <cellStyle name="Normal 4 2 3 2 4 3 2 5" xfId="19012" xr:uid="{00000000-0005-0000-0000-0000449D0000}"/>
    <cellStyle name="Normal 4 2 3 2 4 3 2 5 2" xfId="50883" xr:uid="{00000000-0005-0000-0000-0000459D0000}"/>
    <cellStyle name="Normal 4 2 3 2 4 3 2 6" xfId="42200" xr:uid="{00000000-0005-0000-0000-0000469D0000}"/>
    <cellStyle name="Normal 4 2 3 2 4 3 3" xfId="10329" xr:uid="{00000000-0005-0000-0000-0000479D0000}"/>
    <cellStyle name="Normal 4 2 3 2 4 3 3 2" xfId="10330" xr:uid="{00000000-0005-0000-0000-0000489D0000}"/>
    <cellStyle name="Normal 4 2 3 2 4 3 3 2 2" xfId="10331" xr:uid="{00000000-0005-0000-0000-0000499D0000}"/>
    <cellStyle name="Normal 4 2 3 2 4 3 3 2 2 2" xfId="30831" xr:uid="{00000000-0005-0000-0000-00004A9D0000}"/>
    <cellStyle name="Normal 4 2 3 2 4 3 3 2 2 2 2" xfId="62702" xr:uid="{00000000-0005-0000-0000-00004B9D0000}"/>
    <cellStyle name="Normal 4 2 3 2 4 3 3 2 2 3" xfId="42210" xr:uid="{00000000-0005-0000-0000-00004C9D0000}"/>
    <cellStyle name="Normal 4 2 3 2 4 3 3 2 3" xfId="22953" xr:uid="{00000000-0005-0000-0000-00004D9D0000}"/>
    <cellStyle name="Normal 4 2 3 2 4 3 3 2 3 2" xfId="54824" xr:uid="{00000000-0005-0000-0000-00004E9D0000}"/>
    <cellStyle name="Normal 4 2 3 2 4 3 3 2 4" xfId="42209" xr:uid="{00000000-0005-0000-0000-00004F9D0000}"/>
    <cellStyle name="Normal 4 2 3 2 4 3 3 3" xfId="10332" xr:uid="{00000000-0005-0000-0000-0000509D0000}"/>
    <cellStyle name="Normal 4 2 3 2 4 3 3 3 2" xfId="26892" xr:uid="{00000000-0005-0000-0000-0000519D0000}"/>
    <cellStyle name="Normal 4 2 3 2 4 3 3 3 2 2" xfId="58763" xr:uid="{00000000-0005-0000-0000-0000529D0000}"/>
    <cellStyle name="Normal 4 2 3 2 4 3 3 3 3" xfId="42211" xr:uid="{00000000-0005-0000-0000-0000539D0000}"/>
    <cellStyle name="Normal 4 2 3 2 4 3 3 4" xfId="19014" xr:uid="{00000000-0005-0000-0000-0000549D0000}"/>
    <cellStyle name="Normal 4 2 3 2 4 3 3 4 2" xfId="50885" xr:uid="{00000000-0005-0000-0000-0000559D0000}"/>
    <cellStyle name="Normal 4 2 3 2 4 3 3 5" xfId="42208" xr:uid="{00000000-0005-0000-0000-0000569D0000}"/>
    <cellStyle name="Normal 4 2 3 2 4 3 4" xfId="10333" xr:uid="{00000000-0005-0000-0000-0000579D0000}"/>
    <cellStyle name="Normal 4 2 3 2 4 3 4 2" xfId="10334" xr:uid="{00000000-0005-0000-0000-0000589D0000}"/>
    <cellStyle name="Normal 4 2 3 2 4 3 4 2 2" xfId="30828" xr:uid="{00000000-0005-0000-0000-0000599D0000}"/>
    <cellStyle name="Normal 4 2 3 2 4 3 4 2 2 2" xfId="62699" xr:uid="{00000000-0005-0000-0000-00005A9D0000}"/>
    <cellStyle name="Normal 4 2 3 2 4 3 4 2 3" xfId="42213" xr:uid="{00000000-0005-0000-0000-00005B9D0000}"/>
    <cellStyle name="Normal 4 2 3 2 4 3 4 3" xfId="22950" xr:uid="{00000000-0005-0000-0000-00005C9D0000}"/>
    <cellStyle name="Normal 4 2 3 2 4 3 4 3 2" xfId="54821" xr:uid="{00000000-0005-0000-0000-00005D9D0000}"/>
    <cellStyle name="Normal 4 2 3 2 4 3 4 4" xfId="42212" xr:uid="{00000000-0005-0000-0000-00005E9D0000}"/>
    <cellStyle name="Normal 4 2 3 2 4 3 5" xfId="10335" xr:uid="{00000000-0005-0000-0000-00005F9D0000}"/>
    <cellStyle name="Normal 4 2 3 2 4 3 5 2" xfId="26889" xr:uid="{00000000-0005-0000-0000-0000609D0000}"/>
    <cellStyle name="Normal 4 2 3 2 4 3 5 2 2" xfId="58760" xr:uid="{00000000-0005-0000-0000-0000619D0000}"/>
    <cellStyle name="Normal 4 2 3 2 4 3 5 3" xfId="42214" xr:uid="{00000000-0005-0000-0000-0000629D0000}"/>
    <cellStyle name="Normal 4 2 3 2 4 3 6" xfId="19011" xr:uid="{00000000-0005-0000-0000-0000639D0000}"/>
    <cellStyle name="Normal 4 2 3 2 4 3 6 2" xfId="50882" xr:uid="{00000000-0005-0000-0000-0000649D0000}"/>
    <cellStyle name="Normal 4 2 3 2 4 3 7" xfId="42199" xr:uid="{00000000-0005-0000-0000-0000659D0000}"/>
    <cellStyle name="Normal 4 2 3 2 4 4" xfId="10336" xr:uid="{00000000-0005-0000-0000-0000669D0000}"/>
    <cellStyle name="Normal 4 2 3 2 4 4 2" xfId="10337" xr:uid="{00000000-0005-0000-0000-0000679D0000}"/>
    <cellStyle name="Normal 4 2 3 2 4 4 2 2" xfId="10338" xr:uid="{00000000-0005-0000-0000-0000689D0000}"/>
    <cellStyle name="Normal 4 2 3 2 4 4 2 2 2" xfId="10339" xr:uid="{00000000-0005-0000-0000-0000699D0000}"/>
    <cellStyle name="Normal 4 2 3 2 4 4 2 2 2 2" xfId="30833" xr:uid="{00000000-0005-0000-0000-00006A9D0000}"/>
    <cellStyle name="Normal 4 2 3 2 4 4 2 2 2 2 2" xfId="62704" xr:uid="{00000000-0005-0000-0000-00006B9D0000}"/>
    <cellStyle name="Normal 4 2 3 2 4 4 2 2 2 3" xfId="42218" xr:uid="{00000000-0005-0000-0000-00006C9D0000}"/>
    <cellStyle name="Normal 4 2 3 2 4 4 2 2 3" xfId="22955" xr:uid="{00000000-0005-0000-0000-00006D9D0000}"/>
    <cellStyle name="Normal 4 2 3 2 4 4 2 2 3 2" xfId="54826" xr:uid="{00000000-0005-0000-0000-00006E9D0000}"/>
    <cellStyle name="Normal 4 2 3 2 4 4 2 2 4" xfId="42217" xr:uid="{00000000-0005-0000-0000-00006F9D0000}"/>
    <cellStyle name="Normal 4 2 3 2 4 4 2 3" xfId="10340" xr:uid="{00000000-0005-0000-0000-0000709D0000}"/>
    <cellStyle name="Normal 4 2 3 2 4 4 2 3 2" xfId="26894" xr:uid="{00000000-0005-0000-0000-0000719D0000}"/>
    <cellStyle name="Normal 4 2 3 2 4 4 2 3 2 2" xfId="58765" xr:uid="{00000000-0005-0000-0000-0000729D0000}"/>
    <cellStyle name="Normal 4 2 3 2 4 4 2 3 3" xfId="42219" xr:uid="{00000000-0005-0000-0000-0000739D0000}"/>
    <cellStyle name="Normal 4 2 3 2 4 4 2 4" xfId="19016" xr:uid="{00000000-0005-0000-0000-0000749D0000}"/>
    <cellStyle name="Normal 4 2 3 2 4 4 2 4 2" xfId="50887" xr:uid="{00000000-0005-0000-0000-0000759D0000}"/>
    <cellStyle name="Normal 4 2 3 2 4 4 2 5" xfId="42216" xr:uid="{00000000-0005-0000-0000-0000769D0000}"/>
    <cellStyle name="Normal 4 2 3 2 4 4 3" xfId="10341" xr:uid="{00000000-0005-0000-0000-0000779D0000}"/>
    <cellStyle name="Normal 4 2 3 2 4 4 3 2" xfId="10342" xr:uid="{00000000-0005-0000-0000-0000789D0000}"/>
    <cellStyle name="Normal 4 2 3 2 4 4 3 2 2" xfId="30832" xr:uid="{00000000-0005-0000-0000-0000799D0000}"/>
    <cellStyle name="Normal 4 2 3 2 4 4 3 2 2 2" xfId="62703" xr:uid="{00000000-0005-0000-0000-00007A9D0000}"/>
    <cellStyle name="Normal 4 2 3 2 4 4 3 2 3" xfId="42221" xr:uid="{00000000-0005-0000-0000-00007B9D0000}"/>
    <cellStyle name="Normal 4 2 3 2 4 4 3 3" xfId="22954" xr:uid="{00000000-0005-0000-0000-00007C9D0000}"/>
    <cellStyle name="Normal 4 2 3 2 4 4 3 3 2" xfId="54825" xr:uid="{00000000-0005-0000-0000-00007D9D0000}"/>
    <cellStyle name="Normal 4 2 3 2 4 4 3 4" xfId="42220" xr:uid="{00000000-0005-0000-0000-00007E9D0000}"/>
    <cellStyle name="Normal 4 2 3 2 4 4 4" xfId="10343" xr:uid="{00000000-0005-0000-0000-00007F9D0000}"/>
    <cellStyle name="Normal 4 2 3 2 4 4 4 2" xfId="26893" xr:uid="{00000000-0005-0000-0000-0000809D0000}"/>
    <cellStyle name="Normal 4 2 3 2 4 4 4 2 2" xfId="58764" xr:uid="{00000000-0005-0000-0000-0000819D0000}"/>
    <cellStyle name="Normal 4 2 3 2 4 4 4 3" xfId="42222" xr:uid="{00000000-0005-0000-0000-0000829D0000}"/>
    <cellStyle name="Normal 4 2 3 2 4 4 5" xfId="19015" xr:uid="{00000000-0005-0000-0000-0000839D0000}"/>
    <cellStyle name="Normal 4 2 3 2 4 4 5 2" xfId="50886" xr:uid="{00000000-0005-0000-0000-0000849D0000}"/>
    <cellStyle name="Normal 4 2 3 2 4 4 6" xfId="42215" xr:uid="{00000000-0005-0000-0000-0000859D0000}"/>
    <cellStyle name="Normal 4 2 3 2 4 5" xfId="10344" xr:uid="{00000000-0005-0000-0000-0000869D0000}"/>
    <cellStyle name="Normal 4 2 3 2 4 5 2" xfId="10345" xr:uid="{00000000-0005-0000-0000-0000879D0000}"/>
    <cellStyle name="Normal 4 2 3 2 4 5 2 2" xfId="10346" xr:uid="{00000000-0005-0000-0000-0000889D0000}"/>
    <cellStyle name="Normal 4 2 3 2 4 5 2 2 2" xfId="30834" xr:uid="{00000000-0005-0000-0000-0000899D0000}"/>
    <cellStyle name="Normal 4 2 3 2 4 5 2 2 2 2" xfId="62705" xr:uid="{00000000-0005-0000-0000-00008A9D0000}"/>
    <cellStyle name="Normal 4 2 3 2 4 5 2 2 3" xfId="42225" xr:uid="{00000000-0005-0000-0000-00008B9D0000}"/>
    <cellStyle name="Normal 4 2 3 2 4 5 2 3" xfId="22956" xr:uid="{00000000-0005-0000-0000-00008C9D0000}"/>
    <cellStyle name="Normal 4 2 3 2 4 5 2 3 2" xfId="54827" xr:uid="{00000000-0005-0000-0000-00008D9D0000}"/>
    <cellStyle name="Normal 4 2 3 2 4 5 2 4" xfId="42224" xr:uid="{00000000-0005-0000-0000-00008E9D0000}"/>
    <cellStyle name="Normal 4 2 3 2 4 5 3" xfId="10347" xr:uid="{00000000-0005-0000-0000-00008F9D0000}"/>
    <cellStyle name="Normal 4 2 3 2 4 5 3 2" xfId="26895" xr:uid="{00000000-0005-0000-0000-0000909D0000}"/>
    <cellStyle name="Normal 4 2 3 2 4 5 3 2 2" xfId="58766" xr:uid="{00000000-0005-0000-0000-0000919D0000}"/>
    <cellStyle name="Normal 4 2 3 2 4 5 3 3" xfId="42226" xr:uid="{00000000-0005-0000-0000-0000929D0000}"/>
    <cellStyle name="Normal 4 2 3 2 4 5 4" xfId="19017" xr:uid="{00000000-0005-0000-0000-0000939D0000}"/>
    <cellStyle name="Normal 4 2 3 2 4 5 4 2" xfId="50888" xr:uid="{00000000-0005-0000-0000-0000949D0000}"/>
    <cellStyle name="Normal 4 2 3 2 4 5 5" xfId="42223" xr:uid="{00000000-0005-0000-0000-0000959D0000}"/>
    <cellStyle name="Normal 4 2 3 2 4 6" xfId="10348" xr:uid="{00000000-0005-0000-0000-0000969D0000}"/>
    <cellStyle name="Normal 4 2 3 2 4 6 2" xfId="10349" xr:uid="{00000000-0005-0000-0000-0000979D0000}"/>
    <cellStyle name="Normal 4 2 3 2 4 6 2 2" xfId="28409" xr:uid="{00000000-0005-0000-0000-0000989D0000}"/>
    <cellStyle name="Normal 4 2 3 2 4 6 2 2 2" xfId="60280" xr:uid="{00000000-0005-0000-0000-0000999D0000}"/>
    <cellStyle name="Normal 4 2 3 2 4 6 2 3" xfId="42228" xr:uid="{00000000-0005-0000-0000-00009A9D0000}"/>
    <cellStyle name="Normal 4 2 3 2 4 6 3" xfId="20531" xr:uid="{00000000-0005-0000-0000-00009B9D0000}"/>
    <cellStyle name="Normal 4 2 3 2 4 6 3 2" xfId="52402" xr:uid="{00000000-0005-0000-0000-00009C9D0000}"/>
    <cellStyle name="Normal 4 2 3 2 4 6 4" xfId="42227" xr:uid="{00000000-0005-0000-0000-00009D9D0000}"/>
    <cellStyle name="Normal 4 2 3 2 4 7" xfId="10350" xr:uid="{00000000-0005-0000-0000-00009E9D0000}"/>
    <cellStyle name="Normal 4 2 3 2 4 7 2" xfId="24470" xr:uid="{00000000-0005-0000-0000-00009F9D0000}"/>
    <cellStyle name="Normal 4 2 3 2 4 7 2 2" xfId="56341" xr:uid="{00000000-0005-0000-0000-0000A09D0000}"/>
    <cellStyle name="Normal 4 2 3 2 4 7 3" xfId="42229" xr:uid="{00000000-0005-0000-0000-0000A19D0000}"/>
    <cellStyle name="Normal 4 2 3 2 4 8" xfId="16592" xr:uid="{00000000-0005-0000-0000-0000A29D0000}"/>
    <cellStyle name="Normal 4 2 3 2 4 8 2" xfId="48463" xr:uid="{00000000-0005-0000-0000-0000A39D0000}"/>
    <cellStyle name="Normal 4 2 3 2 4 9" xfId="42166" xr:uid="{00000000-0005-0000-0000-0000A49D0000}"/>
    <cellStyle name="Normal 4 2 3 2 5" xfId="10351" xr:uid="{00000000-0005-0000-0000-0000A59D0000}"/>
    <cellStyle name="Normal 4 2 3 2 5 2" xfId="10352" xr:uid="{00000000-0005-0000-0000-0000A69D0000}"/>
    <cellStyle name="Normal 4 2 3 2 5 2 2" xfId="10353" xr:uid="{00000000-0005-0000-0000-0000A79D0000}"/>
    <cellStyle name="Normal 4 2 3 2 5 2 2 2" xfId="10354" xr:uid="{00000000-0005-0000-0000-0000A89D0000}"/>
    <cellStyle name="Normal 4 2 3 2 5 2 2 2 2" xfId="10355" xr:uid="{00000000-0005-0000-0000-0000A99D0000}"/>
    <cellStyle name="Normal 4 2 3 2 5 2 2 2 2 2" xfId="10356" xr:uid="{00000000-0005-0000-0000-0000AA9D0000}"/>
    <cellStyle name="Normal 4 2 3 2 5 2 2 2 2 2 2" xfId="30838" xr:uid="{00000000-0005-0000-0000-0000AB9D0000}"/>
    <cellStyle name="Normal 4 2 3 2 5 2 2 2 2 2 2 2" xfId="62709" xr:uid="{00000000-0005-0000-0000-0000AC9D0000}"/>
    <cellStyle name="Normal 4 2 3 2 5 2 2 2 2 2 3" xfId="42235" xr:uid="{00000000-0005-0000-0000-0000AD9D0000}"/>
    <cellStyle name="Normal 4 2 3 2 5 2 2 2 2 3" xfId="22960" xr:uid="{00000000-0005-0000-0000-0000AE9D0000}"/>
    <cellStyle name="Normal 4 2 3 2 5 2 2 2 2 3 2" xfId="54831" xr:uid="{00000000-0005-0000-0000-0000AF9D0000}"/>
    <cellStyle name="Normal 4 2 3 2 5 2 2 2 2 4" xfId="42234" xr:uid="{00000000-0005-0000-0000-0000B09D0000}"/>
    <cellStyle name="Normal 4 2 3 2 5 2 2 2 3" xfId="10357" xr:uid="{00000000-0005-0000-0000-0000B19D0000}"/>
    <cellStyle name="Normal 4 2 3 2 5 2 2 2 3 2" xfId="26899" xr:uid="{00000000-0005-0000-0000-0000B29D0000}"/>
    <cellStyle name="Normal 4 2 3 2 5 2 2 2 3 2 2" xfId="58770" xr:uid="{00000000-0005-0000-0000-0000B39D0000}"/>
    <cellStyle name="Normal 4 2 3 2 5 2 2 2 3 3" xfId="42236" xr:uid="{00000000-0005-0000-0000-0000B49D0000}"/>
    <cellStyle name="Normal 4 2 3 2 5 2 2 2 4" xfId="19021" xr:uid="{00000000-0005-0000-0000-0000B59D0000}"/>
    <cellStyle name="Normal 4 2 3 2 5 2 2 2 4 2" xfId="50892" xr:uid="{00000000-0005-0000-0000-0000B69D0000}"/>
    <cellStyle name="Normal 4 2 3 2 5 2 2 2 5" xfId="42233" xr:uid="{00000000-0005-0000-0000-0000B79D0000}"/>
    <cellStyle name="Normal 4 2 3 2 5 2 2 3" xfId="10358" xr:uid="{00000000-0005-0000-0000-0000B89D0000}"/>
    <cellStyle name="Normal 4 2 3 2 5 2 2 3 2" xfId="10359" xr:uid="{00000000-0005-0000-0000-0000B99D0000}"/>
    <cellStyle name="Normal 4 2 3 2 5 2 2 3 2 2" xfId="30837" xr:uid="{00000000-0005-0000-0000-0000BA9D0000}"/>
    <cellStyle name="Normal 4 2 3 2 5 2 2 3 2 2 2" xfId="62708" xr:uid="{00000000-0005-0000-0000-0000BB9D0000}"/>
    <cellStyle name="Normal 4 2 3 2 5 2 2 3 2 3" xfId="42238" xr:uid="{00000000-0005-0000-0000-0000BC9D0000}"/>
    <cellStyle name="Normal 4 2 3 2 5 2 2 3 3" xfId="22959" xr:uid="{00000000-0005-0000-0000-0000BD9D0000}"/>
    <cellStyle name="Normal 4 2 3 2 5 2 2 3 3 2" xfId="54830" xr:uid="{00000000-0005-0000-0000-0000BE9D0000}"/>
    <cellStyle name="Normal 4 2 3 2 5 2 2 3 4" xfId="42237" xr:uid="{00000000-0005-0000-0000-0000BF9D0000}"/>
    <cellStyle name="Normal 4 2 3 2 5 2 2 4" xfId="10360" xr:uid="{00000000-0005-0000-0000-0000C09D0000}"/>
    <cellStyle name="Normal 4 2 3 2 5 2 2 4 2" xfId="26898" xr:uid="{00000000-0005-0000-0000-0000C19D0000}"/>
    <cellStyle name="Normal 4 2 3 2 5 2 2 4 2 2" xfId="58769" xr:uid="{00000000-0005-0000-0000-0000C29D0000}"/>
    <cellStyle name="Normal 4 2 3 2 5 2 2 4 3" xfId="42239" xr:uid="{00000000-0005-0000-0000-0000C39D0000}"/>
    <cellStyle name="Normal 4 2 3 2 5 2 2 5" xfId="19020" xr:uid="{00000000-0005-0000-0000-0000C49D0000}"/>
    <cellStyle name="Normal 4 2 3 2 5 2 2 5 2" xfId="50891" xr:uid="{00000000-0005-0000-0000-0000C59D0000}"/>
    <cellStyle name="Normal 4 2 3 2 5 2 2 6" xfId="42232" xr:uid="{00000000-0005-0000-0000-0000C69D0000}"/>
    <cellStyle name="Normal 4 2 3 2 5 2 3" xfId="10361" xr:uid="{00000000-0005-0000-0000-0000C79D0000}"/>
    <cellStyle name="Normal 4 2 3 2 5 2 3 2" xfId="10362" xr:uid="{00000000-0005-0000-0000-0000C89D0000}"/>
    <cellStyle name="Normal 4 2 3 2 5 2 3 2 2" xfId="10363" xr:uid="{00000000-0005-0000-0000-0000C99D0000}"/>
    <cellStyle name="Normal 4 2 3 2 5 2 3 2 2 2" xfId="30839" xr:uid="{00000000-0005-0000-0000-0000CA9D0000}"/>
    <cellStyle name="Normal 4 2 3 2 5 2 3 2 2 2 2" xfId="62710" xr:uid="{00000000-0005-0000-0000-0000CB9D0000}"/>
    <cellStyle name="Normal 4 2 3 2 5 2 3 2 2 3" xfId="42242" xr:uid="{00000000-0005-0000-0000-0000CC9D0000}"/>
    <cellStyle name="Normal 4 2 3 2 5 2 3 2 3" xfId="22961" xr:uid="{00000000-0005-0000-0000-0000CD9D0000}"/>
    <cellStyle name="Normal 4 2 3 2 5 2 3 2 3 2" xfId="54832" xr:uid="{00000000-0005-0000-0000-0000CE9D0000}"/>
    <cellStyle name="Normal 4 2 3 2 5 2 3 2 4" xfId="42241" xr:uid="{00000000-0005-0000-0000-0000CF9D0000}"/>
    <cellStyle name="Normal 4 2 3 2 5 2 3 3" xfId="10364" xr:uid="{00000000-0005-0000-0000-0000D09D0000}"/>
    <cellStyle name="Normal 4 2 3 2 5 2 3 3 2" xfId="26900" xr:uid="{00000000-0005-0000-0000-0000D19D0000}"/>
    <cellStyle name="Normal 4 2 3 2 5 2 3 3 2 2" xfId="58771" xr:uid="{00000000-0005-0000-0000-0000D29D0000}"/>
    <cellStyle name="Normal 4 2 3 2 5 2 3 3 3" xfId="42243" xr:uid="{00000000-0005-0000-0000-0000D39D0000}"/>
    <cellStyle name="Normal 4 2 3 2 5 2 3 4" xfId="19022" xr:uid="{00000000-0005-0000-0000-0000D49D0000}"/>
    <cellStyle name="Normal 4 2 3 2 5 2 3 4 2" xfId="50893" xr:uid="{00000000-0005-0000-0000-0000D59D0000}"/>
    <cellStyle name="Normal 4 2 3 2 5 2 3 5" xfId="42240" xr:uid="{00000000-0005-0000-0000-0000D69D0000}"/>
    <cellStyle name="Normal 4 2 3 2 5 2 4" xfId="10365" xr:uid="{00000000-0005-0000-0000-0000D79D0000}"/>
    <cellStyle name="Normal 4 2 3 2 5 2 4 2" xfId="10366" xr:uid="{00000000-0005-0000-0000-0000D89D0000}"/>
    <cellStyle name="Normal 4 2 3 2 5 2 4 2 2" xfId="30836" xr:uid="{00000000-0005-0000-0000-0000D99D0000}"/>
    <cellStyle name="Normal 4 2 3 2 5 2 4 2 2 2" xfId="62707" xr:uid="{00000000-0005-0000-0000-0000DA9D0000}"/>
    <cellStyle name="Normal 4 2 3 2 5 2 4 2 3" xfId="42245" xr:uid="{00000000-0005-0000-0000-0000DB9D0000}"/>
    <cellStyle name="Normal 4 2 3 2 5 2 4 3" xfId="22958" xr:uid="{00000000-0005-0000-0000-0000DC9D0000}"/>
    <cellStyle name="Normal 4 2 3 2 5 2 4 3 2" xfId="54829" xr:uid="{00000000-0005-0000-0000-0000DD9D0000}"/>
    <cellStyle name="Normal 4 2 3 2 5 2 4 4" xfId="42244" xr:uid="{00000000-0005-0000-0000-0000DE9D0000}"/>
    <cellStyle name="Normal 4 2 3 2 5 2 5" xfId="10367" xr:uid="{00000000-0005-0000-0000-0000DF9D0000}"/>
    <cellStyle name="Normal 4 2 3 2 5 2 5 2" xfId="26897" xr:uid="{00000000-0005-0000-0000-0000E09D0000}"/>
    <cellStyle name="Normal 4 2 3 2 5 2 5 2 2" xfId="58768" xr:uid="{00000000-0005-0000-0000-0000E19D0000}"/>
    <cellStyle name="Normal 4 2 3 2 5 2 5 3" xfId="42246" xr:uid="{00000000-0005-0000-0000-0000E29D0000}"/>
    <cellStyle name="Normal 4 2 3 2 5 2 6" xfId="19019" xr:uid="{00000000-0005-0000-0000-0000E39D0000}"/>
    <cellStyle name="Normal 4 2 3 2 5 2 6 2" xfId="50890" xr:uid="{00000000-0005-0000-0000-0000E49D0000}"/>
    <cellStyle name="Normal 4 2 3 2 5 2 7" xfId="42231" xr:uid="{00000000-0005-0000-0000-0000E59D0000}"/>
    <cellStyle name="Normal 4 2 3 2 5 3" xfId="10368" xr:uid="{00000000-0005-0000-0000-0000E69D0000}"/>
    <cellStyle name="Normal 4 2 3 2 5 3 2" xfId="10369" xr:uid="{00000000-0005-0000-0000-0000E79D0000}"/>
    <cellStyle name="Normal 4 2 3 2 5 3 2 2" xfId="10370" xr:uid="{00000000-0005-0000-0000-0000E89D0000}"/>
    <cellStyle name="Normal 4 2 3 2 5 3 2 2 2" xfId="10371" xr:uid="{00000000-0005-0000-0000-0000E99D0000}"/>
    <cellStyle name="Normal 4 2 3 2 5 3 2 2 2 2" xfId="30841" xr:uid="{00000000-0005-0000-0000-0000EA9D0000}"/>
    <cellStyle name="Normal 4 2 3 2 5 3 2 2 2 2 2" xfId="62712" xr:uid="{00000000-0005-0000-0000-0000EB9D0000}"/>
    <cellStyle name="Normal 4 2 3 2 5 3 2 2 2 3" xfId="42250" xr:uid="{00000000-0005-0000-0000-0000EC9D0000}"/>
    <cellStyle name="Normal 4 2 3 2 5 3 2 2 3" xfId="22963" xr:uid="{00000000-0005-0000-0000-0000ED9D0000}"/>
    <cellStyle name="Normal 4 2 3 2 5 3 2 2 3 2" xfId="54834" xr:uid="{00000000-0005-0000-0000-0000EE9D0000}"/>
    <cellStyle name="Normal 4 2 3 2 5 3 2 2 4" xfId="42249" xr:uid="{00000000-0005-0000-0000-0000EF9D0000}"/>
    <cellStyle name="Normal 4 2 3 2 5 3 2 3" xfId="10372" xr:uid="{00000000-0005-0000-0000-0000F09D0000}"/>
    <cellStyle name="Normal 4 2 3 2 5 3 2 3 2" xfId="26902" xr:uid="{00000000-0005-0000-0000-0000F19D0000}"/>
    <cellStyle name="Normal 4 2 3 2 5 3 2 3 2 2" xfId="58773" xr:uid="{00000000-0005-0000-0000-0000F29D0000}"/>
    <cellStyle name="Normal 4 2 3 2 5 3 2 3 3" xfId="42251" xr:uid="{00000000-0005-0000-0000-0000F39D0000}"/>
    <cellStyle name="Normal 4 2 3 2 5 3 2 4" xfId="19024" xr:uid="{00000000-0005-0000-0000-0000F49D0000}"/>
    <cellStyle name="Normal 4 2 3 2 5 3 2 4 2" xfId="50895" xr:uid="{00000000-0005-0000-0000-0000F59D0000}"/>
    <cellStyle name="Normal 4 2 3 2 5 3 2 5" xfId="42248" xr:uid="{00000000-0005-0000-0000-0000F69D0000}"/>
    <cellStyle name="Normal 4 2 3 2 5 3 3" xfId="10373" xr:uid="{00000000-0005-0000-0000-0000F79D0000}"/>
    <cellStyle name="Normal 4 2 3 2 5 3 3 2" xfId="10374" xr:uid="{00000000-0005-0000-0000-0000F89D0000}"/>
    <cellStyle name="Normal 4 2 3 2 5 3 3 2 2" xfId="30840" xr:uid="{00000000-0005-0000-0000-0000F99D0000}"/>
    <cellStyle name="Normal 4 2 3 2 5 3 3 2 2 2" xfId="62711" xr:uid="{00000000-0005-0000-0000-0000FA9D0000}"/>
    <cellStyle name="Normal 4 2 3 2 5 3 3 2 3" xfId="42253" xr:uid="{00000000-0005-0000-0000-0000FB9D0000}"/>
    <cellStyle name="Normal 4 2 3 2 5 3 3 3" xfId="22962" xr:uid="{00000000-0005-0000-0000-0000FC9D0000}"/>
    <cellStyle name="Normal 4 2 3 2 5 3 3 3 2" xfId="54833" xr:uid="{00000000-0005-0000-0000-0000FD9D0000}"/>
    <cellStyle name="Normal 4 2 3 2 5 3 3 4" xfId="42252" xr:uid="{00000000-0005-0000-0000-0000FE9D0000}"/>
    <cellStyle name="Normal 4 2 3 2 5 3 4" xfId="10375" xr:uid="{00000000-0005-0000-0000-0000FF9D0000}"/>
    <cellStyle name="Normal 4 2 3 2 5 3 4 2" xfId="26901" xr:uid="{00000000-0005-0000-0000-0000009E0000}"/>
    <cellStyle name="Normal 4 2 3 2 5 3 4 2 2" xfId="58772" xr:uid="{00000000-0005-0000-0000-0000019E0000}"/>
    <cellStyle name="Normal 4 2 3 2 5 3 4 3" xfId="42254" xr:uid="{00000000-0005-0000-0000-0000029E0000}"/>
    <cellStyle name="Normal 4 2 3 2 5 3 5" xfId="19023" xr:uid="{00000000-0005-0000-0000-0000039E0000}"/>
    <cellStyle name="Normal 4 2 3 2 5 3 5 2" xfId="50894" xr:uid="{00000000-0005-0000-0000-0000049E0000}"/>
    <cellStyle name="Normal 4 2 3 2 5 3 6" xfId="42247" xr:uid="{00000000-0005-0000-0000-0000059E0000}"/>
    <cellStyle name="Normal 4 2 3 2 5 4" xfId="10376" xr:uid="{00000000-0005-0000-0000-0000069E0000}"/>
    <cellStyle name="Normal 4 2 3 2 5 4 2" xfId="10377" xr:uid="{00000000-0005-0000-0000-0000079E0000}"/>
    <cellStyle name="Normal 4 2 3 2 5 4 2 2" xfId="10378" xr:uid="{00000000-0005-0000-0000-0000089E0000}"/>
    <cellStyle name="Normal 4 2 3 2 5 4 2 2 2" xfId="30842" xr:uid="{00000000-0005-0000-0000-0000099E0000}"/>
    <cellStyle name="Normal 4 2 3 2 5 4 2 2 2 2" xfId="62713" xr:uid="{00000000-0005-0000-0000-00000A9E0000}"/>
    <cellStyle name="Normal 4 2 3 2 5 4 2 2 3" xfId="42257" xr:uid="{00000000-0005-0000-0000-00000B9E0000}"/>
    <cellStyle name="Normal 4 2 3 2 5 4 2 3" xfId="22964" xr:uid="{00000000-0005-0000-0000-00000C9E0000}"/>
    <cellStyle name="Normal 4 2 3 2 5 4 2 3 2" xfId="54835" xr:uid="{00000000-0005-0000-0000-00000D9E0000}"/>
    <cellStyle name="Normal 4 2 3 2 5 4 2 4" xfId="42256" xr:uid="{00000000-0005-0000-0000-00000E9E0000}"/>
    <cellStyle name="Normal 4 2 3 2 5 4 3" xfId="10379" xr:uid="{00000000-0005-0000-0000-00000F9E0000}"/>
    <cellStyle name="Normal 4 2 3 2 5 4 3 2" xfId="26903" xr:uid="{00000000-0005-0000-0000-0000109E0000}"/>
    <cellStyle name="Normal 4 2 3 2 5 4 3 2 2" xfId="58774" xr:uid="{00000000-0005-0000-0000-0000119E0000}"/>
    <cellStyle name="Normal 4 2 3 2 5 4 3 3" xfId="42258" xr:uid="{00000000-0005-0000-0000-0000129E0000}"/>
    <cellStyle name="Normal 4 2 3 2 5 4 4" xfId="19025" xr:uid="{00000000-0005-0000-0000-0000139E0000}"/>
    <cellStyle name="Normal 4 2 3 2 5 4 4 2" xfId="50896" xr:uid="{00000000-0005-0000-0000-0000149E0000}"/>
    <cellStyle name="Normal 4 2 3 2 5 4 5" xfId="42255" xr:uid="{00000000-0005-0000-0000-0000159E0000}"/>
    <cellStyle name="Normal 4 2 3 2 5 5" xfId="10380" xr:uid="{00000000-0005-0000-0000-0000169E0000}"/>
    <cellStyle name="Normal 4 2 3 2 5 5 2" xfId="10381" xr:uid="{00000000-0005-0000-0000-0000179E0000}"/>
    <cellStyle name="Normal 4 2 3 2 5 5 2 2" xfId="30835" xr:uid="{00000000-0005-0000-0000-0000189E0000}"/>
    <cellStyle name="Normal 4 2 3 2 5 5 2 2 2" xfId="62706" xr:uid="{00000000-0005-0000-0000-0000199E0000}"/>
    <cellStyle name="Normal 4 2 3 2 5 5 2 3" xfId="42260" xr:uid="{00000000-0005-0000-0000-00001A9E0000}"/>
    <cellStyle name="Normal 4 2 3 2 5 5 3" xfId="22957" xr:uid="{00000000-0005-0000-0000-00001B9E0000}"/>
    <cellStyle name="Normal 4 2 3 2 5 5 3 2" xfId="54828" xr:uid="{00000000-0005-0000-0000-00001C9E0000}"/>
    <cellStyle name="Normal 4 2 3 2 5 5 4" xfId="42259" xr:uid="{00000000-0005-0000-0000-00001D9E0000}"/>
    <cellStyle name="Normal 4 2 3 2 5 6" xfId="10382" xr:uid="{00000000-0005-0000-0000-00001E9E0000}"/>
    <cellStyle name="Normal 4 2 3 2 5 6 2" xfId="26896" xr:uid="{00000000-0005-0000-0000-00001F9E0000}"/>
    <cellStyle name="Normal 4 2 3 2 5 6 2 2" xfId="58767" xr:uid="{00000000-0005-0000-0000-0000209E0000}"/>
    <cellStyle name="Normal 4 2 3 2 5 6 3" xfId="42261" xr:uid="{00000000-0005-0000-0000-0000219E0000}"/>
    <cellStyle name="Normal 4 2 3 2 5 7" xfId="19018" xr:uid="{00000000-0005-0000-0000-0000229E0000}"/>
    <cellStyle name="Normal 4 2 3 2 5 7 2" xfId="50889" xr:uid="{00000000-0005-0000-0000-0000239E0000}"/>
    <cellStyle name="Normal 4 2 3 2 5 8" xfId="42230" xr:uid="{00000000-0005-0000-0000-0000249E0000}"/>
    <cellStyle name="Normal 4 2 3 2 6" xfId="10383" xr:uid="{00000000-0005-0000-0000-0000259E0000}"/>
    <cellStyle name="Normal 4 2 3 2 6 2" xfId="10384" xr:uid="{00000000-0005-0000-0000-0000269E0000}"/>
    <cellStyle name="Normal 4 2 3 2 6 2 2" xfId="10385" xr:uid="{00000000-0005-0000-0000-0000279E0000}"/>
    <cellStyle name="Normal 4 2 3 2 6 2 2 2" xfId="10386" xr:uid="{00000000-0005-0000-0000-0000289E0000}"/>
    <cellStyle name="Normal 4 2 3 2 6 2 2 2 2" xfId="10387" xr:uid="{00000000-0005-0000-0000-0000299E0000}"/>
    <cellStyle name="Normal 4 2 3 2 6 2 2 2 2 2" xfId="30845" xr:uid="{00000000-0005-0000-0000-00002A9E0000}"/>
    <cellStyle name="Normal 4 2 3 2 6 2 2 2 2 2 2" xfId="62716" xr:uid="{00000000-0005-0000-0000-00002B9E0000}"/>
    <cellStyle name="Normal 4 2 3 2 6 2 2 2 2 3" xfId="42266" xr:uid="{00000000-0005-0000-0000-00002C9E0000}"/>
    <cellStyle name="Normal 4 2 3 2 6 2 2 2 3" xfId="22967" xr:uid="{00000000-0005-0000-0000-00002D9E0000}"/>
    <cellStyle name="Normal 4 2 3 2 6 2 2 2 3 2" xfId="54838" xr:uid="{00000000-0005-0000-0000-00002E9E0000}"/>
    <cellStyle name="Normal 4 2 3 2 6 2 2 2 4" xfId="42265" xr:uid="{00000000-0005-0000-0000-00002F9E0000}"/>
    <cellStyle name="Normal 4 2 3 2 6 2 2 3" xfId="10388" xr:uid="{00000000-0005-0000-0000-0000309E0000}"/>
    <cellStyle name="Normal 4 2 3 2 6 2 2 3 2" xfId="26906" xr:uid="{00000000-0005-0000-0000-0000319E0000}"/>
    <cellStyle name="Normal 4 2 3 2 6 2 2 3 2 2" xfId="58777" xr:uid="{00000000-0005-0000-0000-0000329E0000}"/>
    <cellStyle name="Normal 4 2 3 2 6 2 2 3 3" xfId="42267" xr:uid="{00000000-0005-0000-0000-0000339E0000}"/>
    <cellStyle name="Normal 4 2 3 2 6 2 2 4" xfId="19028" xr:uid="{00000000-0005-0000-0000-0000349E0000}"/>
    <cellStyle name="Normal 4 2 3 2 6 2 2 4 2" xfId="50899" xr:uid="{00000000-0005-0000-0000-0000359E0000}"/>
    <cellStyle name="Normal 4 2 3 2 6 2 2 5" xfId="42264" xr:uid="{00000000-0005-0000-0000-0000369E0000}"/>
    <cellStyle name="Normal 4 2 3 2 6 2 3" xfId="10389" xr:uid="{00000000-0005-0000-0000-0000379E0000}"/>
    <cellStyle name="Normal 4 2 3 2 6 2 3 2" xfId="10390" xr:uid="{00000000-0005-0000-0000-0000389E0000}"/>
    <cellStyle name="Normal 4 2 3 2 6 2 3 2 2" xfId="30844" xr:uid="{00000000-0005-0000-0000-0000399E0000}"/>
    <cellStyle name="Normal 4 2 3 2 6 2 3 2 2 2" xfId="62715" xr:uid="{00000000-0005-0000-0000-00003A9E0000}"/>
    <cellStyle name="Normal 4 2 3 2 6 2 3 2 3" xfId="42269" xr:uid="{00000000-0005-0000-0000-00003B9E0000}"/>
    <cellStyle name="Normal 4 2 3 2 6 2 3 3" xfId="22966" xr:uid="{00000000-0005-0000-0000-00003C9E0000}"/>
    <cellStyle name="Normal 4 2 3 2 6 2 3 3 2" xfId="54837" xr:uid="{00000000-0005-0000-0000-00003D9E0000}"/>
    <cellStyle name="Normal 4 2 3 2 6 2 3 4" xfId="42268" xr:uid="{00000000-0005-0000-0000-00003E9E0000}"/>
    <cellStyle name="Normal 4 2 3 2 6 2 4" xfId="10391" xr:uid="{00000000-0005-0000-0000-00003F9E0000}"/>
    <cellStyle name="Normal 4 2 3 2 6 2 4 2" xfId="26905" xr:uid="{00000000-0005-0000-0000-0000409E0000}"/>
    <cellStyle name="Normal 4 2 3 2 6 2 4 2 2" xfId="58776" xr:uid="{00000000-0005-0000-0000-0000419E0000}"/>
    <cellStyle name="Normal 4 2 3 2 6 2 4 3" xfId="42270" xr:uid="{00000000-0005-0000-0000-0000429E0000}"/>
    <cellStyle name="Normal 4 2 3 2 6 2 5" xfId="19027" xr:uid="{00000000-0005-0000-0000-0000439E0000}"/>
    <cellStyle name="Normal 4 2 3 2 6 2 5 2" xfId="50898" xr:uid="{00000000-0005-0000-0000-0000449E0000}"/>
    <cellStyle name="Normal 4 2 3 2 6 2 6" xfId="42263" xr:uid="{00000000-0005-0000-0000-0000459E0000}"/>
    <cellStyle name="Normal 4 2 3 2 6 3" xfId="10392" xr:uid="{00000000-0005-0000-0000-0000469E0000}"/>
    <cellStyle name="Normal 4 2 3 2 6 3 2" xfId="10393" xr:uid="{00000000-0005-0000-0000-0000479E0000}"/>
    <cellStyle name="Normal 4 2 3 2 6 3 2 2" xfId="10394" xr:uid="{00000000-0005-0000-0000-0000489E0000}"/>
    <cellStyle name="Normal 4 2 3 2 6 3 2 2 2" xfId="30846" xr:uid="{00000000-0005-0000-0000-0000499E0000}"/>
    <cellStyle name="Normal 4 2 3 2 6 3 2 2 2 2" xfId="62717" xr:uid="{00000000-0005-0000-0000-00004A9E0000}"/>
    <cellStyle name="Normal 4 2 3 2 6 3 2 2 3" xfId="42273" xr:uid="{00000000-0005-0000-0000-00004B9E0000}"/>
    <cellStyle name="Normal 4 2 3 2 6 3 2 3" xfId="22968" xr:uid="{00000000-0005-0000-0000-00004C9E0000}"/>
    <cellStyle name="Normal 4 2 3 2 6 3 2 3 2" xfId="54839" xr:uid="{00000000-0005-0000-0000-00004D9E0000}"/>
    <cellStyle name="Normal 4 2 3 2 6 3 2 4" xfId="42272" xr:uid="{00000000-0005-0000-0000-00004E9E0000}"/>
    <cellStyle name="Normal 4 2 3 2 6 3 3" xfId="10395" xr:uid="{00000000-0005-0000-0000-00004F9E0000}"/>
    <cellStyle name="Normal 4 2 3 2 6 3 3 2" xfId="26907" xr:uid="{00000000-0005-0000-0000-0000509E0000}"/>
    <cellStyle name="Normal 4 2 3 2 6 3 3 2 2" xfId="58778" xr:uid="{00000000-0005-0000-0000-0000519E0000}"/>
    <cellStyle name="Normal 4 2 3 2 6 3 3 3" xfId="42274" xr:uid="{00000000-0005-0000-0000-0000529E0000}"/>
    <cellStyle name="Normal 4 2 3 2 6 3 4" xfId="19029" xr:uid="{00000000-0005-0000-0000-0000539E0000}"/>
    <cellStyle name="Normal 4 2 3 2 6 3 4 2" xfId="50900" xr:uid="{00000000-0005-0000-0000-0000549E0000}"/>
    <cellStyle name="Normal 4 2 3 2 6 3 5" xfId="42271" xr:uid="{00000000-0005-0000-0000-0000559E0000}"/>
    <cellStyle name="Normal 4 2 3 2 6 4" xfId="10396" xr:uid="{00000000-0005-0000-0000-0000569E0000}"/>
    <cellStyle name="Normal 4 2 3 2 6 4 2" xfId="10397" xr:uid="{00000000-0005-0000-0000-0000579E0000}"/>
    <cellStyle name="Normal 4 2 3 2 6 4 2 2" xfId="30843" xr:uid="{00000000-0005-0000-0000-0000589E0000}"/>
    <cellStyle name="Normal 4 2 3 2 6 4 2 2 2" xfId="62714" xr:uid="{00000000-0005-0000-0000-0000599E0000}"/>
    <cellStyle name="Normal 4 2 3 2 6 4 2 3" xfId="42276" xr:uid="{00000000-0005-0000-0000-00005A9E0000}"/>
    <cellStyle name="Normal 4 2 3 2 6 4 3" xfId="22965" xr:uid="{00000000-0005-0000-0000-00005B9E0000}"/>
    <cellStyle name="Normal 4 2 3 2 6 4 3 2" xfId="54836" xr:uid="{00000000-0005-0000-0000-00005C9E0000}"/>
    <cellStyle name="Normal 4 2 3 2 6 4 4" xfId="42275" xr:uid="{00000000-0005-0000-0000-00005D9E0000}"/>
    <cellStyle name="Normal 4 2 3 2 6 5" xfId="10398" xr:uid="{00000000-0005-0000-0000-00005E9E0000}"/>
    <cellStyle name="Normal 4 2 3 2 6 5 2" xfId="26904" xr:uid="{00000000-0005-0000-0000-00005F9E0000}"/>
    <cellStyle name="Normal 4 2 3 2 6 5 2 2" xfId="58775" xr:uid="{00000000-0005-0000-0000-0000609E0000}"/>
    <cellStyle name="Normal 4 2 3 2 6 5 3" xfId="42277" xr:uid="{00000000-0005-0000-0000-0000619E0000}"/>
    <cellStyle name="Normal 4 2 3 2 6 6" xfId="19026" xr:uid="{00000000-0005-0000-0000-0000629E0000}"/>
    <cellStyle name="Normal 4 2 3 2 6 6 2" xfId="50897" xr:uid="{00000000-0005-0000-0000-0000639E0000}"/>
    <cellStyle name="Normal 4 2 3 2 6 7" xfId="42262" xr:uid="{00000000-0005-0000-0000-0000649E0000}"/>
    <cellStyle name="Normal 4 2 3 2 7" xfId="10399" xr:uid="{00000000-0005-0000-0000-0000659E0000}"/>
    <cellStyle name="Normal 4 2 3 2 7 2" xfId="10400" xr:uid="{00000000-0005-0000-0000-0000669E0000}"/>
    <cellStyle name="Normal 4 2 3 2 7 2 2" xfId="10401" xr:uid="{00000000-0005-0000-0000-0000679E0000}"/>
    <cellStyle name="Normal 4 2 3 2 7 2 2 2" xfId="10402" xr:uid="{00000000-0005-0000-0000-0000689E0000}"/>
    <cellStyle name="Normal 4 2 3 2 7 2 2 2 2" xfId="30848" xr:uid="{00000000-0005-0000-0000-0000699E0000}"/>
    <cellStyle name="Normal 4 2 3 2 7 2 2 2 2 2" xfId="62719" xr:uid="{00000000-0005-0000-0000-00006A9E0000}"/>
    <cellStyle name="Normal 4 2 3 2 7 2 2 2 3" xfId="42281" xr:uid="{00000000-0005-0000-0000-00006B9E0000}"/>
    <cellStyle name="Normal 4 2 3 2 7 2 2 3" xfId="22970" xr:uid="{00000000-0005-0000-0000-00006C9E0000}"/>
    <cellStyle name="Normal 4 2 3 2 7 2 2 3 2" xfId="54841" xr:uid="{00000000-0005-0000-0000-00006D9E0000}"/>
    <cellStyle name="Normal 4 2 3 2 7 2 2 4" xfId="42280" xr:uid="{00000000-0005-0000-0000-00006E9E0000}"/>
    <cellStyle name="Normal 4 2 3 2 7 2 3" xfId="10403" xr:uid="{00000000-0005-0000-0000-00006F9E0000}"/>
    <cellStyle name="Normal 4 2 3 2 7 2 3 2" xfId="26909" xr:uid="{00000000-0005-0000-0000-0000709E0000}"/>
    <cellStyle name="Normal 4 2 3 2 7 2 3 2 2" xfId="58780" xr:uid="{00000000-0005-0000-0000-0000719E0000}"/>
    <cellStyle name="Normal 4 2 3 2 7 2 3 3" xfId="42282" xr:uid="{00000000-0005-0000-0000-0000729E0000}"/>
    <cellStyle name="Normal 4 2 3 2 7 2 4" xfId="19031" xr:uid="{00000000-0005-0000-0000-0000739E0000}"/>
    <cellStyle name="Normal 4 2 3 2 7 2 4 2" xfId="50902" xr:uid="{00000000-0005-0000-0000-0000749E0000}"/>
    <cellStyle name="Normal 4 2 3 2 7 2 5" xfId="42279" xr:uid="{00000000-0005-0000-0000-0000759E0000}"/>
    <cellStyle name="Normal 4 2 3 2 7 3" xfId="10404" xr:uid="{00000000-0005-0000-0000-0000769E0000}"/>
    <cellStyle name="Normal 4 2 3 2 7 3 2" xfId="10405" xr:uid="{00000000-0005-0000-0000-0000779E0000}"/>
    <cellStyle name="Normal 4 2 3 2 7 3 2 2" xfId="30847" xr:uid="{00000000-0005-0000-0000-0000789E0000}"/>
    <cellStyle name="Normal 4 2 3 2 7 3 2 2 2" xfId="62718" xr:uid="{00000000-0005-0000-0000-0000799E0000}"/>
    <cellStyle name="Normal 4 2 3 2 7 3 2 3" xfId="42284" xr:uid="{00000000-0005-0000-0000-00007A9E0000}"/>
    <cellStyle name="Normal 4 2 3 2 7 3 3" xfId="22969" xr:uid="{00000000-0005-0000-0000-00007B9E0000}"/>
    <cellStyle name="Normal 4 2 3 2 7 3 3 2" xfId="54840" xr:uid="{00000000-0005-0000-0000-00007C9E0000}"/>
    <cellStyle name="Normal 4 2 3 2 7 3 4" xfId="42283" xr:uid="{00000000-0005-0000-0000-00007D9E0000}"/>
    <cellStyle name="Normal 4 2 3 2 7 4" xfId="10406" xr:uid="{00000000-0005-0000-0000-00007E9E0000}"/>
    <cellStyle name="Normal 4 2 3 2 7 4 2" xfId="26908" xr:uid="{00000000-0005-0000-0000-00007F9E0000}"/>
    <cellStyle name="Normal 4 2 3 2 7 4 2 2" xfId="58779" xr:uid="{00000000-0005-0000-0000-0000809E0000}"/>
    <cellStyle name="Normal 4 2 3 2 7 4 3" xfId="42285" xr:uid="{00000000-0005-0000-0000-0000819E0000}"/>
    <cellStyle name="Normal 4 2 3 2 7 5" xfId="19030" xr:uid="{00000000-0005-0000-0000-0000829E0000}"/>
    <cellStyle name="Normal 4 2 3 2 7 5 2" xfId="50901" xr:uid="{00000000-0005-0000-0000-0000839E0000}"/>
    <cellStyle name="Normal 4 2 3 2 7 6" xfId="42278" xr:uid="{00000000-0005-0000-0000-0000849E0000}"/>
    <cellStyle name="Normal 4 2 3 2 8" xfId="10407" xr:uid="{00000000-0005-0000-0000-0000859E0000}"/>
    <cellStyle name="Normal 4 2 3 2 8 2" xfId="10408" xr:uid="{00000000-0005-0000-0000-0000869E0000}"/>
    <cellStyle name="Normal 4 2 3 2 8 2 2" xfId="10409" xr:uid="{00000000-0005-0000-0000-0000879E0000}"/>
    <cellStyle name="Normal 4 2 3 2 8 2 2 2" xfId="30849" xr:uid="{00000000-0005-0000-0000-0000889E0000}"/>
    <cellStyle name="Normal 4 2 3 2 8 2 2 2 2" xfId="62720" xr:uid="{00000000-0005-0000-0000-0000899E0000}"/>
    <cellStyle name="Normal 4 2 3 2 8 2 2 3" xfId="42288" xr:uid="{00000000-0005-0000-0000-00008A9E0000}"/>
    <cellStyle name="Normal 4 2 3 2 8 2 3" xfId="22971" xr:uid="{00000000-0005-0000-0000-00008B9E0000}"/>
    <cellStyle name="Normal 4 2 3 2 8 2 3 2" xfId="54842" xr:uid="{00000000-0005-0000-0000-00008C9E0000}"/>
    <cellStyle name="Normal 4 2 3 2 8 2 4" xfId="42287" xr:uid="{00000000-0005-0000-0000-00008D9E0000}"/>
    <cellStyle name="Normal 4 2 3 2 8 3" xfId="10410" xr:uid="{00000000-0005-0000-0000-00008E9E0000}"/>
    <cellStyle name="Normal 4 2 3 2 8 3 2" xfId="26910" xr:uid="{00000000-0005-0000-0000-00008F9E0000}"/>
    <cellStyle name="Normal 4 2 3 2 8 3 2 2" xfId="58781" xr:uid="{00000000-0005-0000-0000-0000909E0000}"/>
    <cellStyle name="Normal 4 2 3 2 8 3 3" xfId="42289" xr:uid="{00000000-0005-0000-0000-0000919E0000}"/>
    <cellStyle name="Normal 4 2 3 2 8 4" xfId="19032" xr:uid="{00000000-0005-0000-0000-0000929E0000}"/>
    <cellStyle name="Normal 4 2 3 2 8 4 2" xfId="50903" xr:uid="{00000000-0005-0000-0000-0000939E0000}"/>
    <cellStyle name="Normal 4 2 3 2 8 5" xfId="42286" xr:uid="{00000000-0005-0000-0000-0000949E0000}"/>
    <cellStyle name="Normal 4 2 3 2 9" xfId="10411" xr:uid="{00000000-0005-0000-0000-0000959E0000}"/>
    <cellStyle name="Normal 4 2 3 2 9 2" xfId="10412" xr:uid="{00000000-0005-0000-0000-0000969E0000}"/>
    <cellStyle name="Normal 4 2 3 2 9 2 2" xfId="28286" xr:uid="{00000000-0005-0000-0000-0000979E0000}"/>
    <cellStyle name="Normal 4 2 3 2 9 2 2 2" xfId="60157" xr:uid="{00000000-0005-0000-0000-0000989E0000}"/>
    <cellStyle name="Normal 4 2 3 2 9 2 3" xfId="42291" xr:uid="{00000000-0005-0000-0000-0000999E0000}"/>
    <cellStyle name="Normal 4 2 3 2 9 3" xfId="20408" xr:uid="{00000000-0005-0000-0000-00009A9E0000}"/>
    <cellStyle name="Normal 4 2 3 2 9 3 2" xfId="52279" xr:uid="{00000000-0005-0000-0000-00009B9E0000}"/>
    <cellStyle name="Normal 4 2 3 2 9 4" xfId="42290" xr:uid="{00000000-0005-0000-0000-00009C9E0000}"/>
    <cellStyle name="Normal 4 2 3 3" xfId="10413" xr:uid="{00000000-0005-0000-0000-00009D9E0000}"/>
    <cellStyle name="Normal 4 2 3 3 10" xfId="42292" xr:uid="{00000000-0005-0000-0000-00009E9E0000}"/>
    <cellStyle name="Normal 4 2 3 3 2" xfId="10414" xr:uid="{00000000-0005-0000-0000-00009F9E0000}"/>
    <cellStyle name="Normal 4 2 3 3 2 2" xfId="10415" xr:uid="{00000000-0005-0000-0000-0000A09E0000}"/>
    <cellStyle name="Normal 4 2 3 3 2 2 2" xfId="10416" xr:uid="{00000000-0005-0000-0000-0000A19E0000}"/>
    <cellStyle name="Normal 4 2 3 3 2 2 2 2" xfId="10417" xr:uid="{00000000-0005-0000-0000-0000A29E0000}"/>
    <cellStyle name="Normal 4 2 3 3 2 2 2 2 2" xfId="10418" xr:uid="{00000000-0005-0000-0000-0000A39E0000}"/>
    <cellStyle name="Normal 4 2 3 3 2 2 2 2 2 2" xfId="10419" xr:uid="{00000000-0005-0000-0000-0000A49E0000}"/>
    <cellStyle name="Normal 4 2 3 3 2 2 2 2 2 2 2" xfId="10420" xr:uid="{00000000-0005-0000-0000-0000A59E0000}"/>
    <cellStyle name="Normal 4 2 3 3 2 2 2 2 2 2 2 2" xfId="30853" xr:uid="{00000000-0005-0000-0000-0000A69E0000}"/>
    <cellStyle name="Normal 4 2 3 3 2 2 2 2 2 2 2 2 2" xfId="62724" xr:uid="{00000000-0005-0000-0000-0000A79E0000}"/>
    <cellStyle name="Normal 4 2 3 3 2 2 2 2 2 2 2 3" xfId="42299" xr:uid="{00000000-0005-0000-0000-0000A89E0000}"/>
    <cellStyle name="Normal 4 2 3 3 2 2 2 2 2 2 3" xfId="22975" xr:uid="{00000000-0005-0000-0000-0000A99E0000}"/>
    <cellStyle name="Normal 4 2 3 3 2 2 2 2 2 2 3 2" xfId="54846" xr:uid="{00000000-0005-0000-0000-0000AA9E0000}"/>
    <cellStyle name="Normal 4 2 3 3 2 2 2 2 2 2 4" xfId="42298" xr:uid="{00000000-0005-0000-0000-0000AB9E0000}"/>
    <cellStyle name="Normal 4 2 3 3 2 2 2 2 2 3" xfId="10421" xr:uid="{00000000-0005-0000-0000-0000AC9E0000}"/>
    <cellStyle name="Normal 4 2 3 3 2 2 2 2 2 3 2" xfId="26914" xr:uid="{00000000-0005-0000-0000-0000AD9E0000}"/>
    <cellStyle name="Normal 4 2 3 3 2 2 2 2 2 3 2 2" xfId="58785" xr:uid="{00000000-0005-0000-0000-0000AE9E0000}"/>
    <cellStyle name="Normal 4 2 3 3 2 2 2 2 2 3 3" xfId="42300" xr:uid="{00000000-0005-0000-0000-0000AF9E0000}"/>
    <cellStyle name="Normal 4 2 3 3 2 2 2 2 2 4" xfId="19036" xr:uid="{00000000-0005-0000-0000-0000B09E0000}"/>
    <cellStyle name="Normal 4 2 3 3 2 2 2 2 2 4 2" xfId="50907" xr:uid="{00000000-0005-0000-0000-0000B19E0000}"/>
    <cellStyle name="Normal 4 2 3 3 2 2 2 2 2 5" xfId="42297" xr:uid="{00000000-0005-0000-0000-0000B29E0000}"/>
    <cellStyle name="Normal 4 2 3 3 2 2 2 2 3" xfId="10422" xr:uid="{00000000-0005-0000-0000-0000B39E0000}"/>
    <cellStyle name="Normal 4 2 3 3 2 2 2 2 3 2" xfId="10423" xr:uid="{00000000-0005-0000-0000-0000B49E0000}"/>
    <cellStyle name="Normal 4 2 3 3 2 2 2 2 3 2 2" xfId="30852" xr:uid="{00000000-0005-0000-0000-0000B59E0000}"/>
    <cellStyle name="Normal 4 2 3 3 2 2 2 2 3 2 2 2" xfId="62723" xr:uid="{00000000-0005-0000-0000-0000B69E0000}"/>
    <cellStyle name="Normal 4 2 3 3 2 2 2 2 3 2 3" xfId="42302" xr:uid="{00000000-0005-0000-0000-0000B79E0000}"/>
    <cellStyle name="Normal 4 2 3 3 2 2 2 2 3 3" xfId="22974" xr:uid="{00000000-0005-0000-0000-0000B89E0000}"/>
    <cellStyle name="Normal 4 2 3 3 2 2 2 2 3 3 2" xfId="54845" xr:uid="{00000000-0005-0000-0000-0000B99E0000}"/>
    <cellStyle name="Normal 4 2 3 3 2 2 2 2 3 4" xfId="42301" xr:uid="{00000000-0005-0000-0000-0000BA9E0000}"/>
    <cellStyle name="Normal 4 2 3 3 2 2 2 2 4" xfId="10424" xr:uid="{00000000-0005-0000-0000-0000BB9E0000}"/>
    <cellStyle name="Normal 4 2 3 3 2 2 2 2 4 2" xfId="26913" xr:uid="{00000000-0005-0000-0000-0000BC9E0000}"/>
    <cellStyle name="Normal 4 2 3 3 2 2 2 2 4 2 2" xfId="58784" xr:uid="{00000000-0005-0000-0000-0000BD9E0000}"/>
    <cellStyle name="Normal 4 2 3 3 2 2 2 2 4 3" xfId="42303" xr:uid="{00000000-0005-0000-0000-0000BE9E0000}"/>
    <cellStyle name="Normal 4 2 3 3 2 2 2 2 5" xfId="19035" xr:uid="{00000000-0005-0000-0000-0000BF9E0000}"/>
    <cellStyle name="Normal 4 2 3 3 2 2 2 2 5 2" xfId="50906" xr:uid="{00000000-0005-0000-0000-0000C09E0000}"/>
    <cellStyle name="Normal 4 2 3 3 2 2 2 2 6" xfId="42296" xr:uid="{00000000-0005-0000-0000-0000C19E0000}"/>
    <cellStyle name="Normal 4 2 3 3 2 2 2 3" xfId="10425" xr:uid="{00000000-0005-0000-0000-0000C29E0000}"/>
    <cellStyle name="Normal 4 2 3 3 2 2 2 3 2" xfId="10426" xr:uid="{00000000-0005-0000-0000-0000C39E0000}"/>
    <cellStyle name="Normal 4 2 3 3 2 2 2 3 2 2" xfId="10427" xr:uid="{00000000-0005-0000-0000-0000C49E0000}"/>
    <cellStyle name="Normal 4 2 3 3 2 2 2 3 2 2 2" xfId="30854" xr:uid="{00000000-0005-0000-0000-0000C59E0000}"/>
    <cellStyle name="Normal 4 2 3 3 2 2 2 3 2 2 2 2" xfId="62725" xr:uid="{00000000-0005-0000-0000-0000C69E0000}"/>
    <cellStyle name="Normal 4 2 3 3 2 2 2 3 2 2 3" xfId="42306" xr:uid="{00000000-0005-0000-0000-0000C79E0000}"/>
    <cellStyle name="Normal 4 2 3 3 2 2 2 3 2 3" xfId="22976" xr:uid="{00000000-0005-0000-0000-0000C89E0000}"/>
    <cellStyle name="Normal 4 2 3 3 2 2 2 3 2 3 2" xfId="54847" xr:uid="{00000000-0005-0000-0000-0000C99E0000}"/>
    <cellStyle name="Normal 4 2 3 3 2 2 2 3 2 4" xfId="42305" xr:uid="{00000000-0005-0000-0000-0000CA9E0000}"/>
    <cellStyle name="Normal 4 2 3 3 2 2 2 3 3" xfId="10428" xr:uid="{00000000-0005-0000-0000-0000CB9E0000}"/>
    <cellStyle name="Normal 4 2 3 3 2 2 2 3 3 2" xfId="26915" xr:uid="{00000000-0005-0000-0000-0000CC9E0000}"/>
    <cellStyle name="Normal 4 2 3 3 2 2 2 3 3 2 2" xfId="58786" xr:uid="{00000000-0005-0000-0000-0000CD9E0000}"/>
    <cellStyle name="Normal 4 2 3 3 2 2 2 3 3 3" xfId="42307" xr:uid="{00000000-0005-0000-0000-0000CE9E0000}"/>
    <cellStyle name="Normal 4 2 3 3 2 2 2 3 4" xfId="19037" xr:uid="{00000000-0005-0000-0000-0000CF9E0000}"/>
    <cellStyle name="Normal 4 2 3 3 2 2 2 3 4 2" xfId="50908" xr:uid="{00000000-0005-0000-0000-0000D09E0000}"/>
    <cellStyle name="Normal 4 2 3 3 2 2 2 3 5" xfId="42304" xr:uid="{00000000-0005-0000-0000-0000D19E0000}"/>
    <cellStyle name="Normal 4 2 3 3 2 2 2 4" xfId="10429" xr:uid="{00000000-0005-0000-0000-0000D29E0000}"/>
    <cellStyle name="Normal 4 2 3 3 2 2 2 4 2" xfId="10430" xr:uid="{00000000-0005-0000-0000-0000D39E0000}"/>
    <cellStyle name="Normal 4 2 3 3 2 2 2 4 2 2" xfId="30851" xr:uid="{00000000-0005-0000-0000-0000D49E0000}"/>
    <cellStyle name="Normal 4 2 3 3 2 2 2 4 2 2 2" xfId="62722" xr:uid="{00000000-0005-0000-0000-0000D59E0000}"/>
    <cellStyle name="Normal 4 2 3 3 2 2 2 4 2 3" xfId="42309" xr:uid="{00000000-0005-0000-0000-0000D69E0000}"/>
    <cellStyle name="Normal 4 2 3 3 2 2 2 4 3" xfId="22973" xr:uid="{00000000-0005-0000-0000-0000D79E0000}"/>
    <cellStyle name="Normal 4 2 3 3 2 2 2 4 3 2" xfId="54844" xr:uid="{00000000-0005-0000-0000-0000D89E0000}"/>
    <cellStyle name="Normal 4 2 3 3 2 2 2 4 4" xfId="42308" xr:uid="{00000000-0005-0000-0000-0000D99E0000}"/>
    <cellStyle name="Normal 4 2 3 3 2 2 2 5" xfId="10431" xr:uid="{00000000-0005-0000-0000-0000DA9E0000}"/>
    <cellStyle name="Normal 4 2 3 3 2 2 2 5 2" xfId="26912" xr:uid="{00000000-0005-0000-0000-0000DB9E0000}"/>
    <cellStyle name="Normal 4 2 3 3 2 2 2 5 2 2" xfId="58783" xr:uid="{00000000-0005-0000-0000-0000DC9E0000}"/>
    <cellStyle name="Normal 4 2 3 3 2 2 2 5 3" xfId="42310" xr:uid="{00000000-0005-0000-0000-0000DD9E0000}"/>
    <cellStyle name="Normal 4 2 3 3 2 2 2 6" xfId="19034" xr:uid="{00000000-0005-0000-0000-0000DE9E0000}"/>
    <cellStyle name="Normal 4 2 3 3 2 2 2 6 2" xfId="50905" xr:uid="{00000000-0005-0000-0000-0000DF9E0000}"/>
    <cellStyle name="Normal 4 2 3 3 2 2 2 7" xfId="42295" xr:uid="{00000000-0005-0000-0000-0000E09E0000}"/>
    <cellStyle name="Normal 4 2 3 3 2 2 3" xfId="10432" xr:uid="{00000000-0005-0000-0000-0000E19E0000}"/>
    <cellStyle name="Normal 4 2 3 3 2 2 3 2" xfId="10433" xr:uid="{00000000-0005-0000-0000-0000E29E0000}"/>
    <cellStyle name="Normal 4 2 3 3 2 2 3 2 2" xfId="10434" xr:uid="{00000000-0005-0000-0000-0000E39E0000}"/>
    <cellStyle name="Normal 4 2 3 3 2 2 3 2 2 2" xfId="10435" xr:uid="{00000000-0005-0000-0000-0000E49E0000}"/>
    <cellStyle name="Normal 4 2 3 3 2 2 3 2 2 2 2" xfId="30856" xr:uid="{00000000-0005-0000-0000-0000E59E0000}"/>
    <cellStyle name="Normal 4 2 3 3 2 2 3 2 2 2 2 2" xfId="62727" xr:uid="{00000000-0005-0000-0000-0000E69E0000}"/>
    <cellStyle name="Normal 4 2 3 3 2 2 3 2 2 2 3" xfId="42314" xr:uid="{00000000-0005-0000-0000-0000E79E0000}"/>
    <cellStyle name="Normal 4 2 3 3 2 2 3 2 2 3" xfId="22978" xr:uid="{00000000-0005-0000-0000-0000E89E0000}"/>
    <cellStyle name="Normal 4 2 3 3 2 2 3 2 2 3 2" xfId="54849" xr:uid="{00000000-0005-0000-0000-0000E99E0000}"/>
    <cellStyle name="Normal 4 2 3 3 2 2 3 2 2 4" xfId="42313" xr:uid="{00000000-0005-0000-0000-0000EA9E0000}"/>
    <cellStyle name="Normal 4 2 3 3 2 2 3 2 3" xfId="10436" xr:uid="{00000000-0005-0000-0000-0000EB9E0000}"/>
    <cellStyle name="Normal 4 2 3 3 2 2 3 2 3 2" xfId="26917" xr:uid="{00000000-0005-0000-0000-0000EC9E0000}"/>
    <cellStyle name="Normal 4 2 3 3 2 2 3 2 3 2 2" xfId="58788" xr:uid="{00000000-0005-0000-0000-0000ED9E0000}"/>
    <cellStyle name="Normal 4 2 3 3 2 2 3 2 3 3" xfId="42315" xr:uid="{00000000-0005-0000-0000-0000EE9E0000}"/>
    <cellStyle name="Normal 4 2 3 3 2 2 3 2 4" xfId="19039" xr:uid="{00000000-0005-0000-0000-0000EF9E0000}"/>
    <cellStyle name="Normal 4 2 3 3 2 2 3 2 4 2" xfId="50910" xr:uid="{00000000-0005-0000-0000-0000F09E0000}"/>
    <cellStyle name="Normal 4 2 3 3 2 2 3 2 5" xfId="42312" xr:uid="{00000000-0005-0000-0000-0000F19E0000}"/>
    <cellStyle name="Normal 4 2 3 3 2 2 3 3" xfId="10437" xr:uid="{00000000-0005-0000-0000-0000F29E0000}"/>
    <cellStyle name="Normal 4 2 3 3 2 2 3 3 2" xfId="10438" xr:uid="{00000000-0005-0000-0000-0000F39E0000}"/>
    <cellStyle name="Normal 4 2 3 3 2 2 3 3 2 2" xfId="30855" xr:uid="{00000000-0005-0000-0000-0000F49E0000}"/>
    <cellStyle name="Normal 4 2 3 3 2 2 3 3 2 2 2" xfId="62726" xr:uid="{00000000-0005-0000-0000-0000F59E0000}"/>
    <cellStyle name="Normal 4 2 3 3 2 2 3 3 2 3" xfId="42317" xr:uid="{00000000-0005-0000-0000-0000F69E0000}"/>
    <cellStyle name="Normal 4 2 3 3 2 2 3 3 3" xfId="22977" xr:uid="{00000000-0005-0000-0000-0000F79E0000}"/>
    <cellStyle name="Normal 4 2 3 3 2 2 3 3 3 2" xfId="54848" xr:uid="{00000000-0005-0000-0000-0000F89E0000}"/>
    <cellStyle name="Normal 4 2 3 3 2 2 3 3 4" xfId="42316" xr:uid="{00000000-0005-0000-0000-0000F99E0000}"/>
    <cellStyle name="Normal 4 2 3 3 2 2 3 4" xfId="10439" xr:uid="{00000000-0005-0000-0000-0000FA9E0000}"/>
    <cellStyle name="Normal 4 2 3 3 2 2 3 4 2" xfId="26916" xr:uid="{00000000-0005-0000-0000-0000FB9E0000}"/>
    <cellStyle name="Normal 4 2 3 3 2 2 3 4 2 2" xfId="58787" xr:uid="{00000000-0005-0000-0000-0000FC9E0000}"/>
    <cellStyle name="Normal 4 2 3 3 2 2 3 4 3" xfId="42318" xr:uid="{00000000-0005-0000-0000-0000FD9E0000}"/>
    <cellStyle name="Normal 4 2 3 3 2 2 3 5" xfId="19038" xr:uid="{00000000-0005-0000-0000-0000FE9E0000}"/>
    <cellStyle name="Normal 4 2 3 3 2 2 3 5 2" xfId="50909" xr:uid="{00000000-0005-0000-0000-0000FF9E0000}"/>
    <cellStyle name="Normal 4 2 3 3 2 2 3 6" xfId="42311" xr:uid="{00000000-0005-0000-0000-0000009F0000}"/>
    <cellStyle name="Normal 4 2 3 3 2 2 4" xfId="10440" xr:uid="{00000000-0005-0000-0000-0000019F0000}"/>
    <cellStyle name="Normal 4 2 3 3 2 2 4 2" xfId="10441" xr:uid="{00000000-0005-0000-0000-0000029F0000}"/>
    <cellStyle name="Normal 4 2 3 3 2 2 4 2 2" xfId="10442" xr:uid="{00000000-0005-0000-0000-0000039F0000}"/>
    <cellStyle name="Normal 4 2 3 3 2 2 4 2 2 2" xfId="30857" xr:uid="{00000000-0005-0000-0000-0000049F0000}"/>
    <cellStyle name="Normal 4 2 3 3 2 2 4 2 2 2 2" xfId="62728" xr:uid="{00000000-0005-0000-0000-0000059F0000}"/>
    <cellStyle name="Normal 4 2 3 3 2 2 4 2 2 3" xfId="42321" xr:uid="{00000000-0005-0000-0000-0000069F0000}"/>
    <cellStyle name="Normal 4 2 3 3 2 2 4 2 3" xfId="22979" xr:uid="{00000000-0005-0000-0000-0000079F0000}"/>
    <cellStyle name="Normal 4 2 3 3 2 2 4 2 3 2" xfId="54850" xr:uid="{00000000-0005-0000-0000-0000089F0000}"/>
    <cellStyle name="Normal 4 2 3 3 2 2 4 2 4" xfId="42320" xr:uid="{00000000-0005-0000-0000-0000099F0000}"/>
    <cellStyle name="Normal 4 2 3 3 2 2 4 3" xfId="10443" xr:uid="{00000000-0005-0000-0000-00000A9F0000}"/>
    <cellStyle name="Normal 4 2 3 3 2 2 4 3 2" xfId="26918" xr:uid="{00000000-0005-0000-0000-00000B9F0000}"/>
    <cellStyle name="Normal 4 2 3 3 2 2 4 3 2 2" xfId="58789" xr:uid="{00000000-0005-0000-0000-00000C9F0000}"/>
    <cellStyle name="Normal 4 2 3 3 2 2 4 3 3" xfId="42322" xr:uid="{00000000-0005-0000-0000-00000D9F0000}"/>
    <cellStyle name="Normal 4 2 3 3 2 2 4 4" xfId="19040" xr:uid="{00000000-0005-0000-0000-00000E9F0000}"/>
    <cellStyle name="Normal 4 2 3 3 2 2 4 4 2" xfId="50911" xr:uid="{00000000-0005-0000-0000-00000F9F0000}"/>
    <cellStyle name="Normal 4 2 3 3 2 2 4 5" xfId="42319" xr:uid="{00000000-0005-0000-0000-0000109F0000}"/>
    <cellStyle name="Normal 4 2 3 3 2 2 5" xfId="10444" xr:uid="{00000000-0005-0000-0000-0000119F0000}"/>
    <cellStyle name="Normal 4 2 3 3 2 2 5 2" xfId="10445" xr:uid="{00000000-0005-0000-0000-0000129F0000}"/>
    <cellStyle name="Normal 4 2 3 3 2 2 5 2 2" xfId="30850" xr:uid="{00000000-0005-0000-0000-0000139F0000}"/>
    <cellStyle name="Normal 4 2 3 3 2 2 5 2 2 2" xfId="62721" xr:uid="{00000000-0005-0000-0000-0000149F0000}"/>
    <cellStyle name="Normal 4 2 3 3 2 2 5 2 3" xfId="42324" xr:uid="{00000000-0005-0000-0000-0000159F0000}"/>
    <cellStyle name="Normal 4 2 3 3 2 2 5 3" xfId="22972" xr:uid="{00000000-0005-0000-0000-0000169F0000}"/>
    <cellStyle name="Normal 4 2 3 3 2 2 5 3 2" xfId="54843" xr:uid="{00000000-0005-0000-0000-0000179F0000}"/>
    <cellStyle name="Normal 4 2 3 3 2 2 5 4" xfId="42323" xr:uid="{00000000-0005-0000-0000-0000189F0000}"/>
    <cellStyle name="Normal 4 2 3 3 2 2 6" xfId="10446" xr:uid="{00000000-0005-0000-0000-0000199F0000}"/>
    <cellStyle name="Normal 4 2 3 3 2 2 6 2" xfId="26911" xr:uid="{00000000-0005-0000-0000-00001A9F0000}"/>
    <cellStyle name="Normal 4 2 3 3 2 2 6 2 2" xfId="58782" xr:uid="{00000000-0005-0000-0000-00001B9F0000}"/>
    <cellStyle name="Normal 4 2 3 3 2 2 6 3" xfId="42325" xr:uid="{00000000-0005-0000-0000-00001C9F0000}"/>
    <cellStyle name="Normal 4 2 3 3 2 2 7" xfId="19033" xr:uid="{00000000-0005-0000-0000-00001D9F0000}"/>
    <cellStyle name="Normal 4 2 3 3 2 2 7 2" xfId="50904" xr:uid="{00000000-0005-0000-0000-00001E9F0000}"/>
    <cellStyle name="Normal 4 2 3 3 2 2 8" xfId="42294" xr:uid="{00000000-0005-0000-0000-00001F9F0000}"/>
    <cellStyle name="Normal 4 2 3 3 2 3" xfId="10447" xr:uid="{00000000-0005-0000-0000-0000209F0000}"/>
    <cellStyle name="Normal 4 2 3 3 2 3 2" xfId="10448" xr:uid="{00000000-0005-0000-0000-0000219F0000}"/>
    <cellStyle name="Normal 4 2 3 3 2 3 2 2" xfId="10449" xr:uid="{00000000-0005-0000-0000-0000229F0000}"/>
    <cellStyle name="Normal 4 2 3 3 2 3 2 2 2" xfId="10450" xr:uid="{00000000-0005-0000-0000-0000239F0000}"/>
    <cellStyle name="Normal 4 2 3 3 2 3 2 2 2 2" xfId="10451" xr:uid="{00000000-0005-0000-0000-0000249F0000}"/>
    <cellStyle name="Normal 4 2 3 3 2 3 2 2 2 2 2" xfId="30860" xr:uid="{00000000-0005-0000-0000-0000259F0000}"/>
    <cellStyle name="Normal 4 2 3 3 2 3 2 2 2 2 2 2" xfId="62731" xr:uid="{00000000-0005-0000-0000-0000269F0000}"/>
    <cellStyle name="Normal 4 2 3 3 2 3 2 2 2 2 3" xfId="42330" xr:uid="{00000000-0005-0000-0000-0000279F0000}"/>
    <cellStyle name="Normal 4 2 3 3 2 3 2 2 2 3" xfId="22982" xr:uid="{00000000-0005-0000-0000-0000289F0000}"/>
    <cellStyle name="Normal 4 2 3 3 2 3 2 2 2 3 2" xfId="54853" xr:uid="{00000000-0005-0000-0000-0000299F0000}"/>
    <cellStyle name="Normal 4 2 3 3 2 3 2 2 2 4" xfId="42329" xr:uid="{00000000-0005-0000-0000-00002A9F0000}"/>
    <cellStyle name="Normal 4 2 3 3 2 3 2 2 3" xfId="10452" xr:uid="{00000000-0005-0000-0000-00002B9F0000}"/>
    <cellStyle name="Normal 4 2 3 3 2 3 2 2 3 2" xfId="26921" xr:uid="{00000000-0005-0000-0000-00002C9F0000}"/>
    <cellStyle name="Normal 4 2 3 3 2 3 2 2 3 2 2" xfId="58792" xr:uid="{00000000-0005-0000-0000-00002D9F0000}"/>
    <cellStyle name="Normal 4 2 3 3 2 3 2 2 3 3" xfId="42331" xr:uid="{00000000-0005-0000-0000-00002E9F0000}"/>
    <cellStyle name="Normal 4 2 3 3 2 3 2 2 4" xfId="19043" xr:uid="{00000000-0005-0000-0000-00002F9F0000}"/>
    <cellStyle name="Normal 4 2 3 3 2 3 2 2 4 2" xfId="50914" xr:uid="{00000000-0005-0000-0000-0000309F0000}"/>
    <cellStyle name="Normal 4 2 3 3 2 3 2 2 5" xfId="42328" xr:uid="{00000000-0005-0000-0000-0000319F0000}"/>
    <cellStyle name="Normal 4 2 3 3 2 3 2 3" xfId="10453" xr:uid="{00000000-0005-0000-0000-0000329F0000}"/>
    <cellStyle name="Normal 4 2 3 3 2 3 2 3 2" xfId="10454" xr:uid="{00000000-0005-0000-0000-0000339F0000}"/>
    <cellStyle name="Normal 4 2 3 3 2 3 2 3 2 2" xfId="30859" xr:uid="{00000000-0005-0000-0000-0000349F0000}"/>
    <cellStyle name="Normal 4 2 3 3 2 3 2 3 2 2 2" xfId="62730" xr:uid="{00000000-0005-0000-0000-0000359F0000}"/>
    <cellStyle name="Normal 4 2 3 3 2 3 2 3 2 3" xfId="42333" xr:uid="{00000000-0005-0000-0000-0000369F0000}"/>
    <cellStyle name="Normal 4 2 3 3 2 3 2 3 3" xfId="22981" xr:uid="{00000000-0005-0000-0000-0000379F0000}"/>
    <cellStyle name="Normal 4 2 3 3 2 3 2 3 3 2" xfId="54852" xr:uid="{00000000-0005-0000-0000-0000389F0000}"/>
    <cellStyle name="Normal 4 2 3 3 2 3 2 3 4" xfId="42332" xr:uid="{00000000-0005-0000-0000-0000399F0000}"/>
    <cellStyle name="Normal 4 2 3 3 2 3 2 4" xfId="10455" xr:uid="{00000000-0005-0000-0000-00003A9F0000}"/>
    <cellStyle name="Normal 4 2 3 3 2 3 2 4 2" xfId="26920" xr:uid="{00000000-0005-0000-0000-00003B9F0000}"/>
    <cellStyle name="Normal 4 2 3 3 2 3 2 4 2 2" xfId="58791" xr:uid="{00000000-0005-0000-0000-00003C9F0000}"/>
    <cellStyle name="Normal 4 2 3 3 2 3 2 4 3" xfId="42334" xr:uid="{00000000-0005-0000-0000-00003D9F0000}"/>
    <cellStyle name="Normal 4 2 3 3 2 3 2 5" xfId="19042" xr:uid="{00000000-0005-0000-0000-00003E9F0000}"/>
    <cellStyle name="Normal 4 2 3 3 2 3 2 5 2" xfId="50913" xr:uid="{00000000-0005-0000-0000-00003F9F0000}"/>
    <cellStyle name="Normal 4 2 3 3 2 3 2 6" xfId="42327" xr:uid="{00000000-0005-0000-0000-0000409F0000}"/>
    <cellStyle name="Normal 4 2 3 3 2 3 3" xfId="10456" xr:uid="{00000000-0005-0000-0000-0000419F0000}"/>
    <cellStyle name="Normal 4 2 3 3 2 3 3 2" xfId="10457" xr:uid="{00000000-0005-0000-0000-0000429F0000}"/>
    <cellStyle name="Normal 4 2 3 3 2 3 3 2 2" xfId="10458" xr:uid="{00000000-0005-0000-0000-0000439F0000}"/>
    <cellStyle name="Normal 4 2 3 3 2 3 3 2 2 2" xfId="30861" xr:uid="{00000000-0005-0000-0000-0000449F0000}"/>
    <cellStyle name="Normal 4 2 3 3 2 3 3 2 2 2 2" xfId="62732" xr:uid="{00000000-0005-0000-0000-0000459F0000}"/>
    <cellStyle name="Normal 4 2 3 3 2 3 3 2 2 3" xfId="42337" xr:uid="{00000000-0005-0000-0000-0000469F0000}"/>
    <cellStyle name="Normal 4 2 3 3 2 3 3 2 3" xfId="22983" xr:uid="{00000000-0005-0000-0000-0000479F0000}"/>
    <cellStyle name="Normal 4 2 3 3 2 3 3 2 3 2" xfId="54854" xr:uid="{00000000-0005-0000-0000-0000489F0000}"/>
    <cellStyle name="Normal 4 2 3 3 2 3 3 2 4" xfId="42336" xr:uid="{00000000-0005-0000-0000-0000499F0000}"/>
    <cellStyle name="Normal 4 2 3 3 2 3 3 3" xfId="10459" xr:uid="{00000000-0005-0000-0000-00004A9F0000}"/>
    <cellStyle name="Normal 4 2 3 3 2 3 3 3 2" xfId="26922" xr:uid="{00000000-0005-0000-0000-00004B9F0000}"/>
    <cellStyle name="Normal 4 2 3 3 2 3 3 3 2 2" xfId="58793" xr:uid="{00000000-0005-0000-0000-00004C9F0000}"/>
    <cellStyle name="Normal 4 2 3 3 2 3 3 3 3" xfId="42338" xr:uid="{00000000-0005-0000-0000-00004D9F0000}"/>
    <cellStyle name="Normal 4 2 3 3 2 3 3 4" xfId="19044" xr:uid="{00000000-0005-0000-0000-00004E9F0000}"/>
    <cellStyle name="Normal 4 2 3 3 2 3 3 4 2" xfId="50915" xr:uid="{00000000-0005-0000-0000-00004F9F0000}"/>
    <cellStyle name="Normal 4 2 3 3 2 3 3 5" xfId="42335" xr:uid="{00000000-0005-0000-0000-0000509F0000}"/>
    <cellStyle name="Normal 4 2 3 3 2 3 4" xfId="10460" xr:uid="{00000000-0005-0000-0000-0000519F0000}"/>
    <cellStyle name="Normal 4 2 3 3 2 3 4 2" xfId="10461" xr:uid="{00000000-0005-0000-0000-0000529F0000}"/>
    <cellStyle name="Normal 4 2 3 3 2 3 4 2 2" xfId="30858" xr:uid="{00000000-0005-0000-0000-0000539F0000}"/>
    <cellStyle name="Normal 4 2 3 3 2 3 4 2 2 2" xfId="62729" xr:uid="{00000000-0005-0000-0000-0000549F0000}"/>
    <cellStyle name="Normal 4 2 3 3 2 3 4 2 3" xfId="42340" xr:uid="{00000000-0005-0000-0000-0000559F0000}"/>
    <cellStyle name="Normal 4 2 3 3 2 3 4 3" xfId="22980" xr:uid="{00000000-0005-0000-0000-0000569F0000}"/>
    <cellStyle name="Normal 4 2 3 3 2 3 4 3 2" xfId="54851" xr:uid="{00000000-0005-0000-0000-0000579F0000}"/>
    <cellStyle name="Normal 4 2 3 3 2 3 4 4" xfId="42339" xr:uid="{00000000-0005-0000-0000-0000589F0000}"/>
    <cellStyle name="Normal 4 2 3 3 2 3 5" xfId="10462" xr:uid="{00000000-0005-0000-0000-0000599F0000}"/>
    <cellStyle name="Normal 4 2 3 3 2 3 5 2" xfId="26919" xr:uid="{00000000-0005-0000-0000-00005A9F0000}"/>
    <cellStyle name="Normal 4 2 3 3 2 3 5 2 2" xfId="58790" xr:uid="{00000000-0005-0000-0000-00005B9F0000}"/>
    <cellStyle name="Normal 4 2 3 3 2 3 5 3" xfId="42341" xr:uid="{00000000-0005-0000-0000-00005C9F0000}"/>
    <cellStyle name="Normal 4 2 3 3 2 3 6" xfId="19041" xr:uid="{00000000-0005-0000-0000-00005D9F0000}"/>
    <cellStyle name="Normal 4 2 3 3 2 3 6 2" xfId="50912" xr:uid="{00000000-0005-0000-0000-00005E9F0000}"/>
    <cellStyle name="Normal 4 2 3 3 2 3 7" xfId="42326" xr:uid="{00000000-0005-0000-0000-00005F9F0000}"/>
    <cellStyle name="Normal 4 2 3 3 2 4" xfId="10463" xr:uid="{00000000-0005-0000-0000-0000609F0000}"/>
    <cellStyle name="Normal 4 2 3 3 2 4 2" xfId="10464" xr:uid="{00000000-0005-0000-0000-0000619F0000}"/>
    <cellStyle name="Normal 4 2 3 3 2 4 2 2" xfId="10465" xr:uid="{00000000-0005-0000-0000-0000629F0000}"/>
    <cellStyle name="Normal 4 2 3 3 2 4 2 2 2" xfId="10466" xr:uid="{00000000-0005-0000-0000-0000639F0000}"/>
    <cellStyle name="Normal 4 2 3 3 2 4 2 2 2 2" xfId="30863" xr:uid="{00000000-0005-0000-0000-0000649F0000}"/>
    <cellStyle name="Normal 4 2 3 3 2 4 2 2 2 2 2" xfId="62734" xr:uid="{00000000-0005-0000-0000-0000659F0000}"/>
    <cellStyle name="Normal 4 2 3 3 2 4 2 2 2 3" xfId="42345" xr:uid="{00000000-0005-0000-0000-0000669F0000}"/>
    <cellStyle name="Normal 4 2 3 3 2 4 2 2 3" xfId="22985" xr:uid="{00000000-0005-0000-0000-0000679F0000}"/>
    <cellStyle name="Normal 4 2 3 3 2 4 2 2 3 2" xfId="54856" xr:uid="{00000000-0005-0000-0000-0000689F0000}"/>
    <cellStyle name="Normal 4 2 3 3 2 4 2 2 4" xfId="42344" xr:uid="{00000000-0005-0000-0000-0000699F0000}"/>
    <cellStyle name="Normal 4 2 3 3 2 4 2 3" xfId="10467" xr:uid="{00000000-0005-0000-0000-00006A9F0000}"/>
    <cellStyle name="Normal 4 2 3 3 2 4 2 3 2" xfId="26924" xr:uid="{00000000-0005-0000-0000-00006B9F0000}"/>
    <cellStyle name="Normal 4 2 3 3 2 4 2 3 2 2" xfId="58795" xr:uid="{00000000-0005-0000-0000-00006C9F0000}"/>
    <cellStyle name="Normal 4 2 3 3 2 4 2 3 3" xfId="42346" xr:uid="{00000000-0005-0000-0000-00006D9F0000}"/>
    <cellStyle name="Normal 4 2 3 3 2 4 2 4" xfId="19046" xr:uid="{00000000-0005-0000-0000-00006E9F0000}"/>
    <cellStyle name="Normal 4 2 3 3 2 4 2 4 2" xfId="50917" xr:uid="{00000000-0005-0000-0000-00006F9F0000}"/>
    <cellStyle name="Normal 4 2 3 3 2 4 2 5" xfId="42343" xr:uid="{00000000-0005-0000-0000-0000709F0000}"/>
    <cellStyle name="Normal 4 2 3 3 2 4 3" xfId="10468" xr:uid="{00000000-0005-0000-0000-0000719F0000}"/>
    <cellStyle name="Normal 4 2 3 3 2 4 3 2" xfId="10469" xr:uid="{00000000-0005-0000-0000-0000729F0000}"/>
    <cellStyle name="Normal 4 2 3 3 2 4 3 2 2" xfId="30862" xr:uid="{00000000-0005-0000-0000-0000739F0000}"/>
    <cellStyle name="Normal 4 2 3 3 2 4 3 2 2 2" xfId="62733" xr:uid="{00000000-0005-0000-0000-0000749F0000}"/>
    <cellStyle name="Normal 4 2 3 3 2 4 3 2 3" xfId="42348" xr:uid="{00000000-0005-0000-0000-0000759F0000}"/>
    <cellStyle name="Normal 4 2 3 3 2 4 3 3" xfId="22984" xr:uid="{00000000-0005-0000-0000-0000769F0000}"/>
    <cellStyle name="Normal 4 2 3 3 2 4 3 3 2" xfId="54855" xr:uid="{00000000-0005-0000-0000-0000779F0000}"/>
    <cellStyle name="Normal 4 2 3 3 2 4 3 4" xfId="42347" xr:uid="{00000000-0005-0000-0000-0000789F0000}"/>
    <cellStyle name="Normal 4 2 3 3 2 4 4" xfId="10470" xr:uid="{00000000-0005-0000-0000-0000799F0000}"/>
    <cellStyle name="Normal 4 2 3 3 2 4 4 2" xfId="26923" xr:uid="{00000000-0005-0000-0000-00007A9F0000}"/>
    <cellStyle name="Normal 4 2 3 3 2 4 4 2 2" xfId="58794" xr:uid="{00000000-0005-0000-0000-00007B9F0000}"/>
    <cellStyle name="Normal 4 2 3 3 2 4 4 3" xfId="42349" xr:uid="{00000000-0005-0000-0000-00007C9F0000}"/>
    <cellStyle name="Normal 4 2 3 3 2 4 5" xfId="19045" xr:uid="{00000000-0005-0000-0000-00007D9F0000}"/>
    <cellStyle name="Normal 4 2 3 3 2 4 5 2" xfId="50916" xr:uid="{00000000-0005-0000-0000-00007E9F0000}"/>
    <cellStyle name="Normal 4 2 3 3 2 4 6" xfId="42342" xr:uid="{00000000-0005-0000-0000-00007F9F0000}"/>
    <cellStyle name="Normal 4 2 3 3 2 5" xfId="10471" xr:uid="{00000000-0005-0000-0000-0000809F0000}"/>
    <cellStyle name="Normal 4 2 3 3 2 5 2" xfId="10472" xr:uid="{00000000-0005-0000-0000-0000819F0000}"/>
    <cellStyle name="Normal 4 2 3 3 2 5 2 2" xfId="10473" xr:uid="{00000000-0005-0000-0000-0000829F0000}"/>
    <cellStyle name="Normal 4 2 3 3 2 5 2 2 2" xfId="30864" xr:uid="{00000000-0005-0000-0000-0000839F0000}"/>
    <cellStyle name="Normal 4 2 3 3 2 5 2 2 2 2" xfId="62735" xr:uid="{00000000-0005-0000-0000-0000849F0000}"/>
    <cellStyle name="Normal 4 2 3 3 2 5 2 2 3" xfId="42352" xr:uid="{00000000-0005-0000-0000-0000859F0000}"/>
    <cellStyle name="Normal 4 2 3 3 2 5 2 3" xfId="22986" xr:uid="{00000000-0005-0000-0000-0000869F0000}"/>
    <cellStyle name="Normal 4 2 3 3 2 5 2 3 2" xfId="54857" xr:uid="{00000000-0005-0000-0000-0000879F0000}"/>
    <cellStyle name="Normal 4 2 3 3 2 5 2 4" xfId="42351" xr:uid="{00000000-0005-0000-0000-0000889F0000}"/>
    <cellStyle name="Normal 4 2 3 3 2 5 3" xfId="10474" xr:uid="{00000000-0005-0000-0000-0000899F0000}"/>
    <cellStyle name="Normal 4 2 3 3 2 5 3 2" xfId="26925" xr:uid="{00000000-0005-0000-0000-00008A9F0000}"/>
    <cellStyle name="Normal 4 2 3 3 2 5 3 2 2" xfId="58796" xr:uid="{00000000-0005-0000-0000-00008B9F0000}"/>
    <cellStyle name="Normal 4 2 3 3 2 5 3 3" xfId="42353" xr:uid="{00000000-0005-0000-0000-00008C9F0000}"/>
    <cellStyle name="Normal 4 2 3 3 2 5 4" xfId="19047" xr:uid="{00000000-0005-0000-0000-00008D9F0000}"/>
    <cellStyle name="Normal 4 2 3 3 2 5 4 2" xfId="50918" xr:uid="{00000000-0005-0000-0000-00008E9F0000}"/>
    <cellStyle name="Normal 4 2 3 3 2 5 5" xfId="42350" xr:uid="{00000000-0005-0000-0000-00008F9F0000}"/>
    <cellStyle name="Normal 4 2 3 3 2 6" xfId="10475" xr:uid="{00000000-0005-0000-0000-0000909F0000}"/>
    <cellStyle name="Normal 4 2 3 3 2 6 2" xfId="10476" xr:uid="{00000000-0005-0000-0000-0000919F0000}"/>
    <cellStyle name="Normal 4 2 3 3 2 6 2 2" xfId="28433" xr:uid="{00000000-0005-0000-0000-0000929F0000}"/>
    <cellStyle name="Normal 4 2 3 3 2 6 2 2 2" xfId="60304" xr:uid="{00000000-0005-0000-0000-0000939F0000}"/>
    <cellStyle name="Normal 4 2 3 3 2 6 2 3" xfId="42355" xr:uid="{00000000-0005-0000-0000-0000949F0000}"/>
    <cellStyle name="Normal 4 2 3 3 2 6 3" xfId="20555" xr:uid="{00000000-0005-0000-0000-0000959F0000}"/>
    <cellStyle name="Normal 4 2 3 3 2 6 3 2" xfId="52426" xr:uid="{00000000-0005-0000-0000-0000969F0000}"/>
    <cellStyle name="Normal 4 2 3 3 2 6 4" xfId="42354" xr:uid="{00000000-0005-0000-0000-0000979F0000}"/>
    <cellStyle name="Normal 4 2 3 3 2 7" xfId="10477" xr:uid="{00000000-0005-0000-0000-0000989F0000}"/>
    <cellStyle name="Normal 4 2 3 3 2 7 2" xfId="24494" xr:uid="{00000000-0005-0000-0000-0000999F0000}"/>
    <cellStyle name="Normal 4 2 3 3 2 7 2 2" xfId="56365" xr:uid="{00000000-0005-0000-0000-00009A9F0000}"/>
    <cellStyle name="Normal 4 2 3 3 2 7 3" xfId="42356" xr:uid="{00000000-0005-0000-0000-00009B9F0000}"/>
    <cellStyle name="Normal 4 2 3 3 2 8" xfId="16616" xr:uid="{00000000-0005-0000-0000-00009C9F0000}"/>
    <cellStyle name="Normal 4 2 3 3 2 8 2" xfId="48487" xr:uid="{00000000-0005-0000-0000-00009D9F0000}"/>
    <cellStyle name="Normal 4 2 3 3 2 9" xfId="42293" xr:uid="{00000000-0005-0000-0000-00009E9F0000}"/>
    <cellStyle name="Normal 4 2 3 3 3" xfId="10478" xr:uid="{00000000-0005-0000-0000-00009F9F0000}"/>
    <cellStyle name="Normal 4 2 3 3 3 2" xfId="10479" xr:uid="{00000000-0005-0000-0000-0000A09F0000}"/>
    <cellStyle name="Normal 4 2 3 3 3 2 2" xfId="10480" xr:uid="{00000000-0005-0000-0000-0000A19F0000}"/>
    <cellStyle name="Normal 4 2 3 3 3 2 2 2" xfId="10481" xr:uid="{00000000-0005-0000-0000-0000A29F0000}"/>
    <cellStyle name="Normal 4 2 3 3 3 2 2 2 2" xfId="10482" xr:uid="{00000000-0005-0000-0000-0000A39F0000}"/>
    <cellStyle name="Normal 4 2 3 3 3 2 2 2 2 2" xfId="10483" xr:uid="{00000000-0005-0000-0000-0000A49F0000}"/>
    <cellStyle name="Normal 4 2 3 3 3 2 2 2 2 2 2" xfId="30868" xr:uid="{00000000-0005-0000-0000-0000A59F0000}"/>
    <cellStyle name="Normal 4 2 3 3 3 2 2 2 2 2 2 2" xfId="62739" xr:uid="{00000000-0005-0000-0000-0000A69F0000}"/>
    <cellStyle name="Normal 4 2 3 3 3 2 2 2 2 2 3" xfId="42362" xr:uid="{00000000-0005-0000-0000-0000A79F0000}"/>
    <cellStyle name="Normal 4 2 3 3 3 2 2 2 2 3" xfId="22990" xr:uid="{00000000-0005-0000-0000-0000A89F0000}"/>
    <cellStyle name="Normal 4 2 3 3 3 2 2 2 2 3 2" xfId="54861" xr:uid="{00000000-0005-0000-0000-0000A99F0000}"/>
    <cellStyle name="Normal 4 2 3 3 3 2 2 2 2 4" xfId="42361" xr:uid="{00000000-0005-0000-0000-0000AA9F0000}"/>
    <cellStyle name="Normal 4 2 3 3 3 2 2 2 3" xfId="10484" xr:uid="{00000000-0005-0000-0000-0000AB9F0000}"/>
    <cellStyle name="Normal 4 2 3 3 3 2 2 2 3 2" xfId="26929" xr:uid="{00000000-0005-0000-0000-0000AC9F0000}"/>
    <cellStyle name="Normal 4 2 3 3 3 2 2 2 3 2 2" xfId="58800" xr:uid="{00000000-0005-0000-0000-0000AD9F0000}"/>
    <cellStyle name="Normal 4 2 3 3 3 2 2 2 3 3" xfId="42363" xr:uid="{00000000-0005-0000-0000-0000AE9F0000}"/>
    <cellStyle name="Normal 4 2 3 3 3 2 2 2 4" xfId="19051" xr:uid="{00000000-0005-0000-0000-0000AF9F0000}"/>
    <cellStyle name="Normal 4 2 3 3 3 2 2 2 4 2" xfId="50922" xr:uid="{00000000-0005-0000-0000-0000B09F0000}"/>
    <cellStyle name="Normal 4 2 3 3 3 2 2 2 5" xfId="42360" xr:uid="{00000000-0005-0000-0000-0000B19F0000}"/>
    <cellStyle name="Normal 4 2 3 3 3 2 2 3" xfId="10485" xr:uid="{00000000-0005-0000-0000-0000B29F0000}"/>
    <cellStyle name="Normal 4 2 3 3 3 2 2 3 2" xfId="10486" xr:uid="{00000000-0005-0000-0000-0000B39F0000}"/>
    <cellStyle name="Normal 4 2 3 3 3 2 2 3 2 2" xfId="30867" xr:uid="{00000000-0005-0000-0000-0000B49F0000}"/>
    <cellStyle name="Normal 4 2 3 3 3 2 2 3 2 2 2" xfId="62738" xr:uid="{00000000-0005-0000-0000-0000B59F0000}"/>
    <cellStyle name="Normal 4 2 3 3 3 2 2 3 2 3" xfId="42365" xr:uid="{00000000-0005-0000-0000-0000B69F0000}"/>
    <cellStyle name="Normal 4 2 3 3 3 2 2 3 3" xfId="22989" xr:uid="{00000000-0005-0000-0000-0000B79F0000}"/>
    <cellStyle name="Normal 4 2 3 3 3 2 2 3 3 2" xfId="54860" xr:uid="{00000000-0005-0000-0000-0000B89F0000}"/>
    <cellStyle name="Normal 4 2 3 3 3 2 2 3 4" xfId="42364" xr:uid="{00000000-0005-0000-0000-0000B99F0000}"/>
    <cellStyle name="Normal 4 2 3 3 3 2 2 4" xfId="10487" xr:uid="{00000000-0005-0000-0000-0000BA9F0000}"/>
    <cellStyle name="Normal 4 2 3 3 3 2 2 4 2" xfId="26928" xr:uid="{00000000-0005-0000-0000-0000BB9F0000}"/>
    <cellStyle name="Normal 4 2 3 3 3 2 2 4 2 2" xfId="58799" xr:uid="{00000000-0005-0000-0000-0000BC9F0000}"/>
    <cellStyle name="Normal 4 2 3 3 3 2 2 4 3" xfId="42366" xr:uid="{00000000-0005-0000-0000-0000BD9F0000}"/>
    <cellStyle name="Normal 4 2 3 3 3 2 2 5" xfId="19050" xr:uid="{00000000-0005-0000-0000-0000BE9F0000}"/>
    <cellStyle name="Normal 4 2 3 3 3 2 2 5 2" xfId="50921" xr:uid="{00000000-0005-0000-0000-0000BF9F0000}"/>
    <cellStyle name="Normal 4 2 3 3 3 2 2 6" xfId="42359" xr:uid="{00000000-0005-0000-0000-0000C09F0000}"/>
    <cellStyle name="Normal 4 2 3 3 3 2 3" xfId="10488" xr:uid="{00000000-0005-0000-0000-0000C19F0000}"/>
    <cellStyle name="Normal 4 2 3 3 3 2 3 2" xfId="10489" xr:uid="{00000000-0005-0000-0000-0000C29F0000}"/>
    <cellStyle name="Normal 4 2 3 3 3 2 3 2 2" xfId="10490" xr:uid="{00000000-0005-0000-0000-0000C39F0000}"/>
    <cellStyle name="Normal 4 2 3 3 3 2 3 2 2 2" xfId="30869" xr:uid="{00000000-0005-0000-0000-0000C49F0000}"/>
    <cellStyle name="Normal 4 2 3 3 3 2 3 2 2 2 2" xfId="62740" xr:uid="{00000000-0005-0000-0000-0000C59F0000}"/>
    <cellStyle name="Normal 4 2 3 3 3 2 3 2 2 3" xfId="42369" xr:uid="{00000000-0005-0000-0000-0000C69F0000}"/>
    <cellStyle name="Normal 4 2 3 3 3 2 3 2 3" xfId="22991" xr:uid="{00000000-0005-0000-0000-0000C79F0000}"/>
    <cellStyle name="Normal 4 2 3 3 3 2 3 2 3 2" xfId="54862" xr:uid="{00000000-0005-0000-0000-0000C89F0000}"/>
    <cellStyle name="Normal 4 2 3 3 3 2 3 2 4" xfId="42368" xr:uid="{00000000-0005-0000-0000-0000C99F0000}"/>
    <cellStyle name="Normal 4 2 3 3 3 2 3 3" xfId="10491" xr:uid="{00000000-0005-0000-0000-0000CA9F0000}"/>
    <cellStyle name="Normal 4 2 3 3 3 2 3 3 2" xfId="26930" xr:uid="{00000000-0005-0000-0000-0000CB9F0000}"/>
    <cellStyle name="Normal 4 2 3 3 3 2 3 3 2 2" xfId="58801" xr:uid="{00000000-0005-0000-0000-0000CC9F0000}"/>
    <cellStyle name="Normal 4 2 3 3 3 2 3 3 3" xfId="42370" xr:uid="{00000000-0005-0000-0000-0000CD9F0000}"/>
    <cellStyle name="Normal 4 2 3 3 3 2 3 4" xfId="19052" xr:uid="{00000000-0005-0000-0000-0000CE9F0000}"/>
    <cellStyle name="Normal 4 2 3 3 3 2 3 4 2" xfId="50923" xr:uid="{00000000-0005-0000-0000-0000CF9F0000}"/>
    <cellStyle name="Normal 4 2 3 3 3 2 3 5" xfId="42367" xr:uid="{00000000-0005-0000-0000-0000D09F0000}"/>
    <cellStyle name="Normal 4 2 3 3 3 2 4" xfId="10492" xr:uid="{00000000-0005-0000-0000-0000D19F0000}"/>
    <cellStyle name="Normal 4 2 3 3 3 2 4 2" xfId="10493" xr:uid="{00000000-0005-0000-0000-0000D29F0000}"/>
    <cellStyle name="Normal 4 2 3 3 3 2 4 2 2" xfId="30866" xr:uid="{00000000-0005-0000-0000-0000D39F0000}"/>
    <cellStyle name="Normal 4 2 3 3 3 2 4 2 2 2" xfId="62737" xr:uid="{00000000-0005-0000-0000-0000D49F0000}"/>
    <cellStyle name="Normal 4 2 3 3 3 2 4 2 3" xfId="42372" xr:uid="{00000000-0005-0000-0000-0000D59F0000}"/>
    <cellStyle name="Normal 4 2 3 3 3 2 4 3" xfId="22988" xr:uid="{00000000-0005-0000-0000-0000D69F0000}"/>
    <cellStyle name="Normal 4 2 3 3 3 2 4 3 2" xfId="54859" xr:uid="{00000000-0005-0000-0000-0000D79F0000}"/>
    <cellStyle name="Normal 4 2 3 3 3 2 4 4" xfId="42371" xr:uid="{00000000-0005-0000-0000-0000D89F0000}"/>
    <cellStyle name="Normal 4 2 3 3 3 2 5" xfId="10494" xr:uid="{00000000-0005-0000-0000-0000D99F0000}"/>
    <cellStyle name="Normal 4 2 3 3 3 2 5 2" xfId="26927" xr:uid="{00000000-0005-0000-0000-0000DA9F0000}"/>
    <cellStyle name="Normal 4 2 3 3 3 2 5 2 2" xfId="58798" xr:uid="{00000000-0005-0000-0000-0000DB9F0000}"/>
    <cellStyle name="Normal 4 2 3 3 3 2 5 3" xfId="42373" xr:uid="{00000000-0005-0000-0000-0000DC9F0000}"/>
    <cellStyle name="Normal 4 2 3 3 3 2 6" xfId="19049" xr:uid="{00000000-0005-0000-0000-0000DD9F0000}"/>
    <cellStyle name="Normal 4 2 3 3 3 2 6 2" xfId="50920" xr:uid="{00000000-0005-0000-0000-0000DE9F0000}"/>
    <cellStyle name="Normal 4 2 3 3 3 2 7" xfId="42358" xr:uid="{00000000-0005-0000-0000-0000DF9F0000}"/>
    <cellStyle name="Normal 4 2 3 3 3 3" xfId="10495" xr:uid="{00000000-0005-0000-0000-0000E09F0000}"/>
    <cellStyle name="Normal 4 2 3 3 3 3 2" xfId="10496" xr:uid="{00000000-0005-0000-0000-0000E19F0000}"/>
    <cellStyle name="Normal 4 2 3 3 3 3 2 2" xfId="10497" xr:uid="{00000000-0005-0000-0000-0000E29F0000}"/>
    <cellStyle name="Normal 4 2 3 3 3 3 2 2 2" xfId="10498" xr:uid="{00000000-0005-0000-0000-0000E39F0000}"/>
    <cellStyle name="Normal 4 2 3 3 3 3 2 2 2 2" xfId="30871" xr:uid="{00000000-0005-0000-0000-0000E49F0000}"/>
    <cellStyle name="Normal 4 2 3 3 3 3 2 2 2 2 2" xfId="62742" xr:uid="{00000000-0005-0000-0000-0000E59F0000}"/>
    <cellStyle name="Normal 4 2 3 3 3 3 2 2 2 3" xfId="42377" xr:uid="{00000000-0005-0000-0000-0000E69F0000}"/>
    <cellStyle name="Normal 4 2 3 3 3 3 2 2 3" xfId="22993" xr:uid="{00000000-0005-0000-0000-0000E79F0000}"/>
    <cellStyle name="Normal 4 2 3 3 3 3 2 2 3 2" xfId="54864" xr:uid="{00000000-0005-0000-0000-0000E89F0000}"/>
    <cellStyle name="Normal 4 2 3 3 3 3 2 2 4" xfId="42376" xr:uid="{00000000-0005-0000-0000-0000E99F0000}"/>
    <cellStyle name="Normal 4 2 3 3 3 3 2 3" xfId="10499" xr:uid="{00000000-0005-0000-0000-0000EA9F0000}"/>
    <cellStyle name="Normal 4 2 3 3 3 3 2 3 2" xfId="26932" xr:uid="{00000000-0005-0000-0000-0000EB9F0000}"/>
    <cellStyle name="Normal 4 2 3 3 3 3 2 3 2 2" xfId="58803" xr:uid="{00000000-0005-0000-0000-0000EC9F0000}"/>
    <cellStyle name="Normal 4 2 3 3 3 3 2 3 3" xfId="42378" xr:uid="{00000000-0005-0000-0000-0000ED9F0000}"/>
    <cellStyle name="Normal 4 2 3 3 3 3 2 4" xfId="19054" xr:uid="{00000000-0005-0000-0000-0000EE9F0000}"/>
    <cellStyle name="Normal 4 2 3 3 3 3 2 4 2" xfId="50925" xr:uid="{00000000-0005-0000-0000-0000EF9F0000}"/>
    <cellStyle name="Normal 4 2 3 3 3 3 2 5" xfId="42375" xr:uid="{00000000-0005-0000-0000-0000F09F0000}"/>
    <cellStyle name="Normal 4 2 3 3 3 3 3" xfId="10500" xr:uid="{00000000-0005-0000-0000-0000F19F0000}"/>
    <cellStyle name="Normal 4 2 3 3 3 3 3 2" xfId="10501" xr:uid="{00000000-0005-0000-0000-0000F29F0000}"/>
    <cellStyle name="Normal 4 2 3 3 3 3 3 2 2" xfId="30870" xr:uid="{00000000-0005-0000-0000-0000F39F0000}"/>
    <cellStyle name="Normal 4 2 3 3 3 3 3 2 2 2" xfId="62741" xr:uid="{00000000-0005-0000-0000-0000F49F0000}"/>
    <cellStyle name="Normal 4 2 3 3 3 3 3 2 3" xfId="42380" xr:uid="{00000000-0005-0000-0000-0000F59F0000}"/>
    <cellStyle name="Normal 4 2 3 3 3 3 3 3" xfId="22992" xr:uid="{00000000-0005-0000-0000-0000F69F0000}"/>
    <cellStyle name="Normal 4 2 3 3 3 3 3 3 2" xfId="54863" xr:uid="{00000000-0005-0000-0000-0000F79F0000}"/>
    <cellStyle name="Normal 4 2 3 3 3 3 3 4" xfId="42379" xr:uid="{00000000-0005-0000-0000-0000F89F0000}"/>
    <cellStyle name="Normal 4 2 3 3 3 3 4" xfId="10502" xr:uid="{00000000-0005-0000-0000-0000F99F0000}"/>
    <cellStyle name="Normal 4 2 3 3 3 3 4 2" xfId="26931" xr:uid="{00000000-0005-0000-0000-0000FA9F0000}"/>
    <cellStyle name="Normal 4 2 3 3 3 3 4 2 2" xfId="58802" xr:uid="{00000000-0005-0000-0000-0000FB9F0000}"/>
    <cellStyle name="Normal 4 2 3 3 3 3 4 3" xfId="42381" xr:uid="{00000000-0005-0000-0000-0000FC9F0000}"/>
    <cellStyle name="Normal 4 2 3 3 3 3 5" xfId="19053" xr:uid="{00000000-0005-0000-0000-0000FD9F0000}"/>
    <cellStyle name="Normal 4 2 3 3 3 3 5 2" xfId="50924" xr:uid="{00000000-0005-0000-0000-0000FE9F0000}"/>
    <cellStyle name="Normal 4 2 3 3 3 3 6" xfId="42374" xr:uid="{00000000-0005-0000-0000-0000FF9F0000}"/>
    <cellStyle name="Normal 4 2 3 3 3 4" xfId="10503" xr:uid="{00000000-0005-0000-0000-000000A00000}"/>
    <cellStyle name="Normal 4 2 3 3 3 4 2" xfId="10504" xr:uid="{00000000-0005-0000-0000-000001A00000}"/>
    <cellStyle name="Normal 4 2 3 3 3 4 2 2" xfId="10505" xr:uid="{00000000-0005-0000-0000-000002A00000}"/>
    <cellStyle name="Normal 4 2 3 3 3 4 2 2 2" xfId="30872" xr:uid="{00000000-0005-0000-0000-000003A00000}"/>
    <cellStyle name="Normal 4 2 3 3 3 4 2 2 2 2" xfId="62743" xr:uid="{00000000-0005-0000-0000-000004A00000}"/>
    <cellStyle name="Normal 4 2 3 3 3 4 2 2 3" xfId="42384" xr:uid="{00000000-0005-0000-0000-000005A00000}"/>
    <cellStyle name="Normal 4 2 3 3 3 4 2 3" xfId="22994" xr:uid="{00000000-0005-0000-0000-000006A00000}"/>
    <cellStyle name="Normal 4 2 3 3 3 4 2 3 2" xfId="54865" xr:uid="{00000000-0005-0000-0000-000007A00000}"/>
    <cellStyle name="Normal 4 2 3 3 3 4 2 4" xfId="42383" xr:uid="{00000000-0005-0000-0000-000008A00000}"/>
    <cellStyle name="Normal 4 2 3 3 3 4 3" xfId="10506" xr:uid="{00000000-0005-0000-0000-000009A00000}"/>
    <cellStyle name="Normal 4 2 3 3 3 4 3 2" xfId="26933" xr:uid="{00000000-0005-0000-0000-00000AA00000}"/>
    <cellStyle name="Normal 4 2 3 3 3 4 3 2 2" xfId="58804" xr:uid="{00000000-0005-0000-0000-00000BA00000}"/>
    <cellStyle name="Normal 4 2 3 3 3 4 3 3" xfId="42385" xr:uid="{00000000-0005-0000-0000-00000CA00000}"/>
    <cellStyle name="Normal 4 2 3 3 3 4 4" xfId="19055" xr:uid="{00000000-0005-0000-0000-00000DA00000}"/>
    <cellStyle name="Normal 4 2 3 3 3 4 4 2" xfId="50926" xr:uid="{00000000-0005-0000-0000-00000EA00000}"/>
    <cellStyle name="Normal 4 2 3 3 3 4 5" xfId="42382" xr:uid="{00000000-0005-0000-0000-00000FA00000}"/>
    <cellStyle name="Normal 4 2 3 3 3 5" xfId="10507" xr:uid="{00000000-0005-0000-0000-000010A00000}"/>
    <cellStyle name="Normal 4 2 3 3 3 5 2" xfId="10508" xr:uid="{00000000-0005-0000-0000-000011A00000}"/>
    <cellStyle name="Normal 4 2 3 3 3 5 2 2" xfId="30865" xr:uid="{00000000-0005-0000-0000-000012A00000}"/>
    <cellStyle name="Normal 4 2 3 3 3 5 2 2 2" xfId="62736" xr:uid="{00000000-0005-0000-0000-000013A00000}"/>
    <cellStyle name="Normal 4 2 3 3 3 5 2 3" xfId="42387" xr:uid="{00000000-0005-0000-0000-000014A00000}"/>
    <cellStyle name="Normal 4 2 3 3 3 5 3" xfId="22987" xr:uid="{00000000-0005-0000-0000-000015A00000}"/>
    <cellStyle name="Normal 4 2 3 3 3 5 3 2" xfId="54858" xr:uid="{00000000-0005-0000-0000-000016A00000}"/>
    <cellStyle name="Normal 4 2 3 3 3 5 4" xfId="42386" xr:uid="{00000000-0005-0000-0000-000017A00000}"/>
    <cellStyle name="Normal 4 2 3 3 3 6" xfId="10509" xr:uid="{00000000-0005-0000-0000-000018A00000}"/>
    <cellStyle name="Normal 4 2 3 3 3 6 2" xfId="26926" xr:uid="{00000000-0005-0000-0000-000019A00000}"/>
    <cellStyle name="Normal 4 2 3 3 3 6 2 2" xfId="58797" xr:uid="{00000000-0005-0000-0000-00001AA00000}"/>
    <cellStyle name="Normal 4 2 3 3 3 6 3" xfId="42388" xr:uid="{00000000-0005-0000-0000-00001BA00000}"/>
    <cellStyle name="Normal 4 2 3 3 3 7" xfId="19048" xr:uid="{00000000-0005-0000-0000-00001CA00000}"/>
    <cellStyle name="Normal 4 2 3 3 3 7 2" xfId="50919" xr:uid="{00000000-0005-0000-0000-00001DA00000}"/>
    <cellStyle name="Normal 4 2 3 3 3 8" xfId="42357" xr:uid="{00000000-0005-0000-0000-00001EA00000}"/>
    <cellStyle name="Normal 4 2 3 3 4" xfId="10510" xr:uid="{00000000-0005-0000-0000-00001FA00000}"/>
    <cellStyle name="Normal 4 2 3 3 4 2" xfId="10511" xr:uid="{00000000-0005-0000-0000-000020A00000}"/>
    <cellStyle name="Normal 4 2 3 3 4 2 2" xfId="10512" xr:uid="{00000000-0005-0000-0000-000021A00000}"/>
    <cellStyle name="Normal 4 2 3 3 4 2 2 2" xfId="10513" xr:uid="{00000000-0005-0000-0000-000022A00000}"/>
    <cellStyle name="Normal 4 2 3 3 4 2 2 2 2" xfId="10514" xr:uid="{00000000-0005-0000-0000-000023A00000}"/>
    <cellStyle name="Normal 4 2 3 3 4 2 2 2 2 2" xfId="30875" xr:uid="{00000000-0005-0000-0000-000024A00000}"/>
    <cellStyle name="Normal 4 2 3 3 4 2 2 2 2 2 2" xfId="62746" xr:uid="{00000000-0005-0000-0000-000025A00000}"/>
    <cellStyle name="Normal 4 2 3 3 4 2 2 2 2 3" xfId="42393" xr:uid="{00000000-0005-0000-0000-000026A00000}"/>
    <cellStyle name="Normal 4 2 3 3 4 2 2 2 3" xfId="22997" xr:uid="{00000000-0005-0000-0000-000027A00000}"/>
    <cellStyle name="Normal 4 2 3 3 4 2 2 2 3 2" xfId="54868" xr:uid="{00000000-0005-0000-0000-000028A00000}"/>
    <cellStyle name="Normal 4 2 3 3 4 2 2 2 4" xfId="42392" xr:uid="{00000000-0005-0000-0000-000029A00000}"/>
    <cellStyle name="Normal 4 2 3 3 4 2 2 3" xfId="10515" xr:uid="{00000000-0005-0000-0000-00002AA00000}"/>
    <cellStyle name="Normal 4 2 3 3 4 2 2 3 2" xfId="26936" xr:uid="{00000000-0005-0000-0000-00002BA00000}"/>
    <cellStyle name="Normal 4 2 3 3 4 2 2 3 2 2" xfId="58807" xr:uid="{00000000-0005-0000-0000-00002CA00000}"/>
    <cellStyle name="Normal 4 2 3 3 4 2 2 3 3" xfId="42394" xr:uid="{00000000-0005-0000-0000-00002DA00000}"/>
    <cellStyle name="Normal 4 2 3 3 4 2 2 4" xfId="19058" xr:uid="{00000000-0005-0000-0000-00002EA00000}"/>
    <cellStyle name="Normal 4 2 3 3 4 2 2 4 2" xfId="50929" xr:uid="{00000000-0005-0000-0000-00002FA00000}"/>
    <cellStyle name="Normal 4 2 3 3 4 2 2 5" xfId="42391" xr:uid="{00000000-0005-0000-0000-000030A00000}"/>
    <cellStyle name="Normal 4 2 3 3 4 2 3" xfId="10516" xr:uid="{00000000-0005-0000-0000-000031A00000}"/>
    <cellStyle name="Normal 4 2 3 3 4 2 3 2" xfId="10517" xr:uid="{00000000-0005-0000-0000-000032A00000}"/>
    <cellStyle name="Normal 4 2 3 3 4 2 3 2 2" xfId="30874" xr:uid="{00000000-0005-0000-0000-000033A00000}"/>
    <cellStyle name="Normal 4 2 3 3 4 2 3 2 2 2" xfId="62745" xr:uid="{00000000-0005-0000-0000-000034A00000}"/>
    <cellStyle name="Normal 4 2 3 3 4 2 3 2 3" xfId="42396" xr:uid="{00000000-0005-0000-0000-000035A00000}"/>
    <cellStyle name="Normal 4 2 3 3 4 2 3 3" xfId="22996" xr:uid="{00000000-0005-0000-0000-000036A00000}"/>
    <cellStyle name="Normal 4 2 3 3 4 2 3 3 2" xfId="54867" xr:uid="{00000000-0005-0000-0000-000037A00000}"/>
    <cellStyle name="Normal 4 2 3 3 4 2 3 4" xfId="42395" xr:uid="{00000000-0005-0000-0000-000038A00000}"/>
    <cellStyle name="Normal 4 2 3 3 4 2 4" xfId="10518" xr:uid="{00000000-0005-0000-0000-000039A00000}"/>
    <cellStyle name="Normal 4 2 3 3 4 2 4 2" xfId="26935" xr:uid="{00000000-0005-0000-0000-00003AA00000}"/>
    <cellStyle name="Normal 4 2 3 3 4 2 4 2 2" xfId="58806" xr:uid="{00000000-0005-0000-0000-00003BA00000}"/>
    <cellStyle name="Normal 4 2 3 3 4 2 4 3" xfId="42397" xr:uid="{00000000-0005-0000-0000-00003CA00000}"/>
    <cellStyle name="Normal 4 2 3 3 4 2 5" xfId="19057" xr:uid="{00000000-0005-0000-0000-00003DA00000}"/>
    <cellStyle name="Normal 4 2 3 3 4 2 5 2" xfId="50928" xr:uid="{00000000-0005-0000-0000-00003EA00000}"/>
    <cellStyle name="Normal 4 2 3 3 4 2 6" xfId="42390" xr:uid="{00000000-0005-0000-0000-00003FA00000}"/>
    <cellStyle name="Normal 4 2 3 3 4 3" xfId="10519" xr:uid="{00000000-0005-0000-0000-000040A00000}"/>
    <cellStyle name="Normal 4 2 3 3 4 3 2" xfId="10520" xr:uid="{00000000-0005-0000-0000-000041A00000}"/>
    <cellStyle name="Normal 4 2 3 3 4 3 2 2" xfId="10521" xr:uid="{00000000-0005-0000-0000-000042A00000}"/>
    <cellStyle name="Normal 4 2 3 3 4 3 2 2 2" xfId="30876" xr:uid="{00000000-0005-0000-0000-000043A00000}"/>
    <cellStyle name="Normal 4 2 3 3 4 3 2 2 2 2" xfId="62747" xr:uid="{00000000-0005-0000-0000-000044A00000}"/>
    <cellStyle name="Normal 4 2 3 3 4 3 2 2 3" xfId="42400" xr:uid="{00000000-0005-0000-0000-000045A00000}"/>
    <cellStyle name="Normal 4 2 3 3 4 3 2 3" xfId="22998" xr:uid="{00000000-0005-0000-0000-000046A00000}"/>
    <cellStyle name="Normal 4 2 3 3 4 3 2 3 2" xfId="54869" xr:uid="{00000000-0005-0000-0000-000047A00000}"/>
    <cellStyle name="Normal 4 2 3 3 4 3 2 4" xfId="42399" xr:uid="{00000000-0005-0000-0000-000048A00000}"/>
    <cellStyle name="Normal 4 2 3 3 4 3 3" xfId="10522" xr:uid="{00000000-0005-0000-0000-000049A00000}"/>
    <cellStyle name="Normal 4 2 3 3 4 3 3 2" xfId="26937" xr:uid="{00000000-0005-0000-0000-00004AA00000}"/>
    <cellStyle name="Normal 4 2 3 3 4 3 3 2 2" xfId="58808" xr:uid="{00000000-0005-0000-0000-00004BA00000}"/>
    <cellStyle name="Normal 4 2 3 3 4 3 3 3" xfId="42401" xr:uid="{00000000-0005-0000-0000-00004CA00000}"/>
    <cellStyle name="Normal 4 2 3 3 4 3 4" xfId="19059" xr:uid="{00000000-0005-0000-0000-00004DA00000}"/>
    <cellStyle name="Normal 4 2 3 3 4 3 4 2" xfId="50930" xr:uid="{00000000-0005-0000-0000-00004EA00000}"/>
    <cellStyle name="Normal 4 2 3 3 4 3 5" xfId="42398" xr:uid="{00000000-0005-0000-0000-00004FA00000}"/>
    <cellStyle name="Normal 4 2 3 3 4 4" xfId="10523" xr:uid="{00000000-0005-0000-0000-000050A00000}"/>
    <cellStyle name="Normal 4 2 3 3 4 4 2" xfId="10524" xr:uid="{00000000-0005-0000-0000-000051A00000}"/>
    <cellStyle name="Normal 4 2 3 3 4 4 2 2" xfId="30873" xr:uid="{00000000-0005-0000-0000-000052A00000}"/>
    <cellStyle name="Normal 4 2 3 3 4 4 2 2 2" xfId="62744" xr:uid="{00000000-0005-0000-0000-000053A00000}"/>
    <cellStyle name="Normal 4 2 3 3 4 4 2 3" xfId="42403" xr:uid="{00000000-0005-0000-0000-000054A00000}"/>
    <cellStyle name="Normal 4 2 3 3 4 4 3" xfId="22995" xr:uid="{00000000-0005-0000-0000-000055A00000}"/>
    <cellStyle name="Normal 4 2 3 3 4 4 3 2" xfId="54866" xr:uid="{00000000-0005-0000-0000-000056A00000}"/>
    <cellStyle name="Normal 4 2 3 3 4 4 4" xfId="42402" xr:uid="{00000000-0005-0000-0000-000057A00000}"/>
    <cellStyle name="Normal 4 2 3 3 4 5" xfId="10525" xr:uid="{00000000-0005-0000-0000-000058A00000}"/>
    <cellStyle name="Normal 4 2 3 3 4 5 2" xfId="26934" xr:uid="{00000000-0005-0000-0000-000059A00000}"/>
    <cellStyle name="Normal 4 2 3 3 4 5 2 2" xfId="58805" xr:uid="{00000000-0005-0000-0000-00005AA00000}"/>
    <cellStyle name="Normal 4 2 3 3 4 5 3" xfId="42404" xr:uid="{00000000-0005-0000-0000-00005BA00000}"/>
    <cellStyle name="Normal 4 2 3 3 4 6" xfId="19056" xr:uid="{00000000-0005-0000-0000-00005CA00000}"/>
    <cellStyle name="Normal 4 2 3 3 4 6 2" xfId="50927" xr:uid="{00000000-0005-0000-0000-00005DA00000}"/>
    <cellStyle name="Normal 4 2 3 3 4 7" xfId="42389" xr:uid="{00000000-0005-0000-0000-00005EA00000}"/>
    <cellStyle name="Normal 4 2 3 3 5" xfId="10526" xr:uid="{00000000-0005-0000-0000-00005FA00000}"/>
    <cellStyle name="Normal 4 2 3 3 5 2" xfId="10527" xr:uid="{00000000-0005-0000-0000-000060A00000}"/>
    <cellStyle name="Normal 4 2 3 3 5 2 2" xfId="10528" xr:uid="{00000000-0005-0000-0000-000061A00000}"/>
    <cellStyle name="Normal 4 2 3 3 5 2 2 2" xfId="10529" xr:uid="{00000000-0005-0000-0000-000062A00000}"/>
    <cellStyle name="Normal 4 2 3 3 5 2 2 2 2" xfId="30878" xr:uid="{00000000-0005-0000-0000-000063A00000}"/>
    <cellStyle name="Normal 4 2 3 3 5 2 2 2 2 2" xfId="62749" xr:uid="{00000000-0005-0000-0000-000064A00000}"/>
    <cellStyle name="Normal 4 2 3 3 5 2 2 2 3" xfId="42408" xr:uid="{00000000-0005-0000-0000-000065A00000}"/>
    <cellStyle name="Normal 4 2 3 3 5 2 2 3" xfId="23000" xr:uid="{00000000-0005-0000-0000-000066A00000}"/>
    <cellStyle name="Normal 4 2 3 3 5 2 2 3 2" xfId="54871" xr:uid="{00000000-0005-0000-0000-000067A00000}"/>
    <cellStyle name="Normal 4 2 3 3 5 2 2 4" xfId="42407" xr:uid="{00000000-0005-0000-0000-000068A00000}"/>
    <cellStyle name="Normal 4 2 3 3 5 2 3" xfId="10530" xr:uid="{00000000-0005-0000-0000-000069A00000}"/>
    <cellStyle name="Normal 4 2 3 3 5 2 3 2" xfId="26939" xr:uid="{00000000-0005-0000-0000-00006AA00000}"/>
    <cellStyle name="Normal 4 2 3 3 5 2 3 2 2" xfId="58810" xr:uid="{00000000-0005-0000-0000-00006BA00000}"/>
    <cellStyle name="Normal 4 2 3 3 5 2 3 3" xfId="42409" xr:uid="{00000000-0005-0000-0000-00006CA00000}"/>
    <cellStyle name="Normal 4 2 3 3 5 2 4" xfId="19061" xr:uid="{00000000-0005-0000-0000-00006DA00000}"/>
    <cellStyle name="Normal 4 2 3 3 5 2 4 2" xfId="50932" xr:uid="{00000000-0005-0000-0000-00006EA00000}"/>
    <cellStyle name="Normal 4 2 3 3 5 2 5" xfId="42406" xr:uid="{00000000-0005-0000-0000-00006FA00000}"/>
    <cellStyle name="Normal 4 2 3 3 5 3" xfId="10531" xr:uid="{00000000-0005-0000-0000-000070A00000}"/>
    <cellStyle name="Normal 4 2 3 3 5 3 2" xfId="10532" xr:uid="{00000000-0005-0000-0000-000071A00000}"/>
    <cellStyle name="Normal 4 2 3 3 5 3 2 2" xfId="30877" xr:uid="{00000000-0005-0000-0000-000072A00000}"/>
    <cellStyle name="Normal 4 2 3 3 5 3 2 2 2" xfId="62748" xr:uid="{00000000-0005-0000-0000-000073A00000}"/>
    <cellStyle name="Normal 4 2 3 3 5 3 2 3" xfId="42411" xr:uid="{00000000-0005-0000-0000-000074A00000}"/>
    <cellStyle name="Normal 4 2 3 3 5 3 3" xfId="22999" xr:uid="{00000000-0005-0000-0000-000075A00000}"/>
    <cellStyle name="Normal 4 2 3 3 5 3 3 2" xfId="54870" xr:uid="{00000000-0005-0000-0000-000076A00000}"/>
    <cellStyle name="Normal 4 2 3 3 5 3 4" xfId="42410" xr:uid="{00000000-0005-0000-0000-000077A00000}"/>
    <cellStyle name="Normal 4 2 3 3 5 4" xfId="10533" xr:uid="{00000000-0005-0000-0000-000078A00000}"/>
    <cellStyle name="Normal 4 2 3 3 5 4 2" xfId="26938" xr:uid="{00000000-0005-0000-0000-000079A00000}"/>
    <cellStyle name="Normal 4 2 3 3 5 4 2 2" xfId="58809" xr:uid="{00000000-0005-0000-0000-00007AA00000}"/>
    <cellStyle name="Normal 4 2 3 3 5 4 3" xfId="42412" xr:uid="{00000000-0005-0000-0000-00007BA00000}"/>
    <cellStyle name="Normal 4 2 3 3 5 5" xfId="19060" xr:uid="{00000000-0005-0000-0000-00007CA00000}"/>
    <cellStyle name="Normal 4 2 3 3 5 5 2" xfId="50931" xr:uid="{00000000-0005-0000-0000-00007DA00000}"/>
    <cellStyle name="Normal 4 2 3 3 5 6" xfId="42405" xr:uid="{00000000-0005-0000-0000-00007EA00000}"/>
    <cellStyle name="Normal 4 2 3 3 6" xfId="10534" xr:uid="{00000000-0005-0000-0000-00007FA00000}"/>
    <cellStyle name="Normal 4 2 3 3 6 2" xfId="10535" xr:uid="{00000000-0005-0000-0000-000080A00000}"/>
    <cellStyle name="Normal 4 2 3 3 6 2 2" xfId="10536" xr:uid="{00000000-0005-0000-0000-000081A00000}"/>
    <cellStyle name="Normal 4 2 3 3 6 2 2 2" xfId="30879" xr:uid="{00000000-0005-0000-0000-000082A00000}"/>
    <cellStyle name="Normal 4 2 3 3 6 2 2 2 2" xfId="62750" xr:uid="{00000000-0005-0000-0000-000083A00000}"/>
    <cellStyle name="Normal 4 2 3 3 6 2 2 3" xfId="42415" xr:uid="{00000000-0005-0000-0000-000084A00000}"/>
    <cellStyle name="Normal 4 2 3 3 6 2 3" xfId="23001" xr:uid="{00000000-0005-0000-0000-000085A00000}"/>
    <cellStyle name="Normal 4 2 3 3 6 2 3 2" xfId="54872" xr:uid="{00000000-0005-0000-0000-000086A00000}"/>
    <cellStyle name="Normal 4 2 3 3 6 2 4" xfId="42414" xr:uid="{00000000-0005-0000-0000-000087A00000}"/>
    <cellStyle name="Normal 4 2 3 3 6 3" xfId="10537" xr:uid="{00000000-0005-0000-0000-000088A00000}"/>
    <cellStyle name="Normal 4 2 3 3 6 3 2" xfId="26940" xr:uid="{00000000-0005-0000-0000-000089A00000}"/>
    <cellStyle name="Normal 4 2 3 3 6 3 2 2" xfId="58811" xr:uid="{00000000-0005-0000-0000-00008AA00000}"/>
    <cellStyle name="Normal 4 2 3 3 6 3 3" xfId="42416" xr:uid="{00000000-0005-0000-0000-00008BA00000}"/>
    <cellStyle name="Normal 4 2 3 3 6 4" xfId="19062" xr:uid="{00000000-0005-0000-0000-00008CA00000}"/>
    <cellStyle name="Normal 4 2 3 3 6 4 2" xfId="50933" xr:uid="{00000000-0005-0000-0000-00008DA00000}"/>
    <cellStyle name="Normal 4 2 3 3 6 5" xfId="42413" xr:uid="{00000000-0005-0000-0000-00008EA00000}"/>
    <cellStyle name="Normal 4 2 3 3 7" xfId="10538" xr:uid="{00000000-0005-0000-0000-00008FA00000}"/>
    <cellStyle name="Normal 4 2 3 3 7 2" xfId="10539" xr:uid="{00000000-0005-0000-0000-000090A00000}"/>
    <cellStyle name="Normal 4 2 3 3 7 2 2" xfId="28310" xr:uid="{00000000-0005-0000-0000-000091A00000}"/>
    <cellStyle name="Normal 4 2 3 3 7 2 2 2" xfId="60181" xr:uid="{00000000-0005-0000-0000-000092A00000}"/>
    <cellStyle name="Normal 4 2 3 3 7 2 3" xfId="42418" xr:uid="{00000000-0005-0000-0000-000093A00000}"/>
    <cellStyle name="Normal 4 2 3 3 7 3" xfId="20432" xr:uid="{00000000-0005-0000-0000-000094A00000}"/>
    <cellStyle name="Normal 4 2 3 3 7 3 2" xfId="52303" xr:uid="{00000000-0005-0000-0000-000095A00000}"/>
    <cellStyle name="Normal 4 2 3 3 7 4" xfId="42417" xr:uid="{00000000-0005-0000-0000-000096A00000}"/>
    <cellStyle name="Normal 4 2 3 3 8" xfId="10540" xr:uid="{00000000-0005-0000-0000-000097A00000}"/>
    <cellStyle name="Normal 4 2 3 3 8 2" xfId="24371" xr:uid="{00000000-0005-0000-0000-000098A00000}"/>
    <cellStyle name="Normal 4 2 3 3 8 2 2" xfId="56242" xr:uid="{00000000-0005-0000-0000-000099A00000}"/>
    <cellStyle name="Normal 4 2 3 3 8 3" xfId="42419" xr:uid="{00000000-0005-0000-0000-00009AA00000}"/>
    <cellStyle name="Normal 4 2 3 3 9" xfId="16493" xr:uid="{00000000-0005-0000-0000-00009BA00000}"/>
    <cellStyle name="Normal 4 2 3 3 9 2" xfId="48364" xr:uid="{00000000-0005-0000-0000-00009CA00000}"/>
    <cellStyle name="Normal 4 2 3 4" xfId="10541" xr:uid="{00000000-0005-0000-0000-00009DA00000}"/>
    <cellStyle name="Normal 4 2 3 4 10" xfId="42420" xr:uid="{00000000-0005-0000-0000-00009EA00000}"/>
    <cellStyle name="Normal 4 2 3 4 2" xfId="10542" xr:uid="{00000000-0005-0000-0000-00009FA00000}"/>
    <cellStyle name="Normal 4 2 3 4 2 2" xfId="10543" xr:uid="{00000000-0005-0000-0000-0000A0A00000}"/>
    <cellStyle name="Normal 4 2 3 4 2 2 2" xfId="10544" xr:uid="{00000000-0005-0000-0000-0000A1A00000}"/>
    <cellStyle name="Normal 4 2 3 4 2 2 2 2" xfId="10545" xr:uid="{00000000-0005-0000-0000-0000A2A00000}"/>
    <cellStyle name="Normal 4 2 3 4 2 2 2 2 2" xfId="10546" xr:uid="{00000000-0005-0000-0000-0000A3A00000}"/>
    <cellStyle name="Normal 4 2 3 4 2 2 2 2 2 2" xfId="10547" xr:uid="{00000000-0005-0000-0000-0000A4A00000}"/>
    <cellStyle name="Normal 4 2 3 4 2 2 2 2 2 2 2" xfId="10548" xr:uid="{00000000-0005-0000-0000-0000A5A00000}"/>
    <cellStyle name="Normal 4 2 3 4 2 2 2 2 2 2 2 2" xfId="30883" xr:uid="{00000000-0005-0000-0000-0000A6A00000}"/>
    <cellStyle name="Normal 4 2 3 4 2 2 2 2 2 2 2 2 2" xfId="62754" xr:uid="{00000000-0005-0000-0000-0000A7A00000}"/>
    <cellStyle name="Normal 4 2 3 4 2 2 2 2 2 2 2 3" xfId="42427" xr:uid="{00000000-0005-0000-0000-0000A8A00000}"/>
    <cellStyle name="Normal 4 2 3 4 2 2 2 2 2 2 3" xfId="23005" xr:uid="{00000000-0005-0000-0000-0000A9A00000}"/>
    <cellStyle name="Normal 4 2 3 4 2 2 2 2 2 2 3 2" xfId="54876" xr:uid="{00000000-0005-0000-0000-0000AAA00000}"/>
    <cellStyle name="Normal 4 2 3 4 2 2 2 2 2 2 4" xfId="42426" xr:uid="{00000000-0005-0000-0000-0000ABA00000}"/>
    <cellStyle name="Normal 4 2 3 4 2 2 2 2 2 3" xfId="10549" xr:uid="{00000000-0005-0000-0000-0000ACA00000}"/>
    <cellStyle name="Normal 4 2 3 4 2 2 2 2 2 3 2" xfId="26944" xr:uid="{00000000-0005-0000-0000-0000ADA00000}"/>
    <cellStyle name="Normal 4 2 3 4 2 2 2 2 2 3 2 2" xfId="58815" xr:uid="{00000000-0005-0000-0000-0000AEA00000}"/>
    <cellStyle name="Normal 4 2 3 4 2 2 2 2 2 3 3" xfId="42428" xr:uid="{00000000-0005-0000-0000-0000AFA00000}"/>
    <cellStyle name="Normal 4 2 3 4 2 2 2 2 2 4" xfId="19066" xr:uid="{00000000-0005-0000-0000-0000B0A00000}"/>
    <cellStyle name="Normal 4 2 3 4 2 2 2 2 2 4 2" xfId="50937" xr:uid="{00000000-0005-0000-0000-0000B1A00000}"/>
    <cellStyle name="Normal 4 2 3 4 2 2 2 2 2 5" xfId="42425" xr:uid="{00000000-0005-0000-0000-0000B2A00000}"/>
    <cellStyle name="Normal 4 2 3 4 2 2 2 2 3" xfId="10550" xr:uid="{00000000-0005-0000-0000-0000B3A00000}"/>
    <cellStyle name="Normal 4 2 3 4 2 2 2 2 3 2" xfId="10551" xr:uid="{00000000-0005-0000-0000-0000B4A00000}"/>
    <cellStyle name="Normal 4 2 3 4 2 2 2 2 3 2 2" xfId="30882" xr:uid="{00000000-0005-0000-0000-0000B5A00000}"/>
    <cellStyle name="Normal 4 2 3 4 2 2 2 2 3 2 2 2" xfId="62753" xr:uid="{00000000-0005-0000-0000-0000B6A00000}"/>
    <cellStyle name="Normal 4 2 3 4 2 2 2 2 3 2 3" xfId="42430" xr:uid="{00000000-0005-0000-0000-0000B7A00000}"/>
    <cellStyle name="Normal 4 2 3 4 2 2 2 2 3 3" xfId="23004" xr:uid="{00000000-0005-0000-0000-0000B8A00000}"/>
    <cellStyle name="Normal 4 2 3 4 2 2 2 2 3 3 2" xfId="54875" xr:uid="{00000000-0005-0000-0000-0000B9A00000}"/>
    <cellStyle name="Normal 4 2 3 4 2 2 2 2 3 4" xfId="42429" xr:uid="{00000000-0005-0000-0000-0000BAA00000}"/>
    <cellStyle name="Normal 4 2 3 4 2 2 2 2 4" xfId="10552" xr:uid="{00000000-0005-0000-0000-0000BBA00000}"/>
    <cellStyle name="Normal 4 2 3 4 2 2 2 2 4 2" xfId="26943" xr:uid="{00000000-0005-0000-0000-0000BCA00000}"/>
    <cellStyle name="Normal 4 2 3 4 2 2 2 2 4 2 2" xfId="58814" xr:uid="{00000000-0005-0000-0000-0000BDA00000}"/>
    <cellStyle name="Normal 4 2 3 4 2 2 2 2 4 3" xfId="42431" xr:uid="{00000000-0005-0000-0000-0000BEA00000}"/>
    <cellStyle name="Normal 4 2 3 4 2 2 2 2 5" xfId="19065" xr:uid="{00000000-0005-0000-0000-0000BFA00000}"/>
    <cellStyle name="Normal 4 2 3 4 2 2 2 2 5 2" xfId="50936" xr:uid="{00000000-0005-0000-0000-0000C0A00000}"/>
    <cellStyle name="Normal 4 2 3 4 2 2 2 2 6" xfId="42424" xr:uid="{00000000-0005-0000-0000-0000C1A00000}"/>
    <cellStyle name="Normal 4 2 3 4 2 2 2 3" xfId="10553" xr:uid="{00000000-0005-0000-0000-0000C2A00000}"/>
    <cellStyle name="Normal 4 2 3 4 2 2 2 3 2" xfId="10554" xr:uid="{00000000-0005-0000-0000-0000C3A00000}"/>
    <cellStyle name="Normal 4 2 3 4 2 2 2 3 2 2" xfId="10555" xr:uid="{00000000-0005-0000-0000-0000C4A00000}"/>
    <cellStyle name="Normal 4 2 3 4 2 2 2 3 2 2 2" xfId="30884" xr:uid="{00000000-0005-0000-0000-0000C5A00000}"/>
    <cellStyle name="Normal 4 2 3 4 2 2 2 3 2 2 2 2" xfId="62755" xr:uid="{00000000-0005-0000-0000-0000C6A00000}"/>
    <cellStyle name="Normal 4 2 3 4 2 2 2 3 2 2 3" xfId="42434" xr:uid="{00000000-0005-0000-0000-0000C7A00000}"/>
    <cellStyle name="Normal 4 2 3 4 2 2 2 3 2 3" xfId="23006" xr:uid="{00000000-0005-0000-0000-0000C8A00000}"/>
    <cellStyle name="Normal 4 2 3 4 2 2 2 3 2 3 2" xfId="54877" xr:uid="{00000000-0005-0000-0000-0000C9A00000}"/>
    <cellStyle name="Normal 4 2 3 4 2 2 2 3 2 4" xfId="42433" xr:uid="{00000000-0005-0000-0000-0000CAA00000}"/>
    <cellStyle name="Normal 4 2 3 4 2 2 2 3 3" xfId="10556" xr:uid="{00000000-0005-0000-0000-0000CBA00000}"/>
    <cellStyle name="Normal 4 2 3 4 2 2 2 3 3 2" xfId="26945" xr:uid="{00000000-0005-0000-0000-0000CCA00000}"/>
    <cellStyle name="Normal 4 2 3 4 2 2 2 3 3 2 2" xfId="58816" xr:uid="{00000000-0005-0000-0000-0000CDA00000}"/>
    <cellStyle name="Normal 4 2 3 4 2 2 2 3 3 3" xfId="42435" xr:uid="{00000000-0005-0000-0000-0000CEA00000}"/>
    <cellStyle name="Normal 4 2 3 4 2 2 2 3 4" xfId="19067" xr:uid="{00000000-0005-0000-0000-0000CFA00000}"/>
    <cellStyle name="Normal 4 2 3 4 2 2 2 3 4 2" xfId="50938" xr:uid="{00000000-0005-0000-0000-0000D0A00000}"/>
    <cellStyle name="Normal 4 2 3 4 2 2 2 3 5" xfId="42432" xr:uid="{00000000-0005-0000-0000-0000D1A00000}"/>
    <cellStyle name="Normal 4 2 3 4 2 2 2 4" xfId="10557" xr:uid="{00000000-0005-0000-0000-0000D2A00000}"/>
    <cellStyle name="Normal 4 2 3 4 2 2 2 4 2" xfId="10558" xr:uid="{00000000-0005-0000-0000-0000D3A00000}"/>
    <cellStyle name="Normal 4 2 3 4 2 2 2 4 2 2" xfId="30881" xr:uid="{00000000-0005-0000-0000-0000D4A00000}"/>
    <cellStyle name="Normal 4 2 3 4 2 2 2 4 2 2 2" xfId="62752" xr:uid="{00000000-0005-0000-0000-0000D5A00000}"/>
    <cellStyle name="Normal 4 2 3 4 2 2 2 4 2 3" xfId="42437" xr:uid="{00000000-0005-0000-0000-0000D6A00000}"/>
    <cellStyle name="Normal 4 2 3 4 2 2 2 4 3" xfId="23003" xr:uid="{00000000-0005-0000-0000-0000D7A00000}"/>
    <cellStyle name="Normal 4 2 3 4 2 2 2 4 3 2" xfId="54874" xr:uid="{00000000-0005-0000-0000-0000D8A00000}"/>
    <cellStyle name="Normal 4 2 3 4 2 2 2 4 4" xfId="42436" xr:uid="{00000000-0005-0000-0000-0000D9A00000}"/>
    <cellStyle name="Normal 4 2 3 4 2 2 2 5" xfId="10559" xr:uid="{00000000-0005-0000-0000-0000DAA00000}"/>
    <cellStyle name="Normal 4 2 3 4 2 2 2 5 2" xfId="26942" xr:uid="{00000000-0005-0000-0000-0000DBA00000}"/>
    <cellStyle name="Normal 4 2 3 4 2 2 2 5 2 2" xfId="58813" xr:uid="{00000000-0005-0000-0000-0000DCA00000}"/>
    <cellStyle name="Normal 4 2 3 4 2 2 2 5 3" xfId="42438" xr:uid="{00000000-0005-0000-0000-0000DDA00000}"/>
    <cellStyle name="Normal 4 2 3 4 2 2 2 6" xfId="19064" xr:uid="{00000000-0005-0000-0000-0000DEA00000}"/>
    <cellStyle name="Normal 4 2 3 4 2 2 2 6 2" xfId="50935" xr:uid="{00000000-0005-0000-0000-0000DFA00000}"/>
    <cellStyle name="Normal 4 2 3 4 2 2 2 7" xfId="42423" xr:uid="{00000000-0005-0000-0000-0000E0A00000}"/>
    <cellStyle name="Normal 4 2 3 4 2 2 3" xfId="10560" xr:uid="{00000000-0005-0000-0000-0000E1A00000}"/>
    <cellStyle name="Normal 4 2 3 4 2 2 3 2" xfId="10561" xr:uid="{00000000-0005-0000-0000-0000E2A00000}"/>
    <cellStyle name="Normal 4 2 3 4 2 2 3 2 2" xfId="10562" xr:uid="{00000000-0005-0000-0000-0000E3A00000}"/>
    <cellStyle name="Normal 4 2 3 4 2 2 3 2 2 2" xfId="10563" xr:uid="{00000000-0005-0000-0000-0000E4A00000}"/>
    <cellStyle name="Normal 4 2 3 4 2 2 3 2 2 2 2" xfId="30886" xr:uid="{00000000-0005-0000-0000-0000E5A00000}"/>
    <cellStyle name="Normal 4 2 3 4 2 2 3 2 2 2 2 2" xfId="62757" xr:uid="{00000000-0005-0000-0000-0000E6A00000}"/>
    <cellStyle name="Normal 4 2 3 4 2 2 3 2 2 2 3" xfId="42442" xr:uid="{00000000-0005-0000-0000-0000E7A00000}"/>
    <cellStyle name="Normal 4 2 3 4 2 2 3 2 2 3" xfId="23008" xr:uid="{00000000-0005-0000-0000-0000E8A00000}"/>
    <cellStyle name="Normal 4 2 3 4 2 2 3 2 2 3 2" xfId="54879" xr:uid="{00000000-0005-0000-0000-0000E9A00000}"/>
    <cellStyle name="Normal 4 2 3 4 2 2 3 2 2 4" xfId="42441" xr:uid="{00000000-0005-0000-0000-0000EAA00000}"/>
    <cellStyle name="Normal 4 2 3 4 2 2 3 2 3" xfId="10564" xr:uid="{00000000-0005-0000-0000-0000EBA00000}"/>
    <cellStyle name="Normal 4 2 3 4 2 2 3 2 3 2" xfId="26947" xr:uid="{00000000-0005-0000-0000-0000ECA00000}"/>
    <cellStyle name="Normal 4 2 3 4 2 2 3 2 3 2 2" xfId="58818" xr:uid="{00000000-0005-0000-0000-0000EDA00000}"/>
    <cellStyle name="Normal 4 2 3 4 2 2 3 2 3 3" xfId="42443" xr:uid="{00000000-0005-0000-0000-0000EEA00000}"/>
    <cellStyle name="Normal 4 2 3 4 2 2 3 2 4" xfId="19069" xr:uid="{00000000-0005-0000-0000-0000EFA00000}"/>
    <cellStyle name="Normal 4 2 3 4 2 2 3 2 4 2" xfId="50940" xr:uid="{00000000-0005-0000-0000-0000F0A00000}"/>
    <cellStyle name="Normal 4 2 3 4 2 2 3 2 5" xfId="42440" xr:uid="{00000000-0005-0000-0000-0000F1A00000}"/>
    <cellStyle name="Normal 4 2 3 4 2 2 3 3" xfId="10565" xr:uid="{00000000-0005-0000-0000-0000F2A00000}"/>
    <cellStyle name="Normal 4 2 3 4 2 2 3 3 2" xfId="10566" xr:uid="{00000000-0005-0000-0000-0000F3A00000}"/>
    <cellStyle name="Normal 4 2 3 4 2 2 3 3 2 2" xfId="30885" xr:uid="{00000000-0005-0000-0000-0000F4A00000}"/>
    <cellStyle name="Normal 4 2 3 4 2 2 3 3 2 2 2" xfId="62756" xr:uid="{00000000-0005-0000-0000-0000F5A00000}"/>
    <cellStyle name="Normal 4 2 3 4 2 2 3 3 2 3" xfId="42445" xr:uid="{00000000-0005-0000-0000-0000F6A00000}"/>
    <cellStyle name="Normal 4 2 3 4 2 2 3 3 3" xfId="23007" xr:uid="{00000000-0005-0000-0000-0000F7A00000}"/>
    <cellStyle name="Normal 4 2 3 4 2 2 3 3 3 2" xfId="54878" xr:uid="{00000000-0005-0000-0000-0000F8A00000}"/>
    <cellStyle name="Normal 4 2 3 4 2 2 3 3 4" xfId="42444" xr:uid="{00000000-0005-0000-0000-0000F9A00000}"/>
    <cellStyle name="Normal 4 2 3 4 2 2 3 4" xfId="10567" xr:uid="{00000000-0005-0000-0000-0000FAA00000}"/>
    <cellStyle name="Normal 4 2 3 4 2 2 3 4 2" xfId="26946" xr:uid="{00000000-0005-0000-0000-0000FBA00000}"/>
    <cellStyle name="Normal 4 2 3 4 2 2 3 4 2 2" xfId="58817" xr:uid="{00000000-0005-0000-0000-0000FCA00000}"/>
    <cellStyle name="Normal 4 2 3 4 2 2 3 4 3" xfId="42446" xr:uid="{00000000-0005-0000-0000-0000FDA00000}"/>
    <cellStyle name="Normal 4 2 3 4 2 2 3 5" xfId="19068" xr:uid="{00000000-0005-0000-0000-0000FEA00000}"/>
    <cellStyle name="Normal 4 2 3 4 2 2 3 5 2" xfId="50939" xr:uid="{00000000-0005-0000-0000-0000FFA00000}"/>
    <cellStyle name="Normal 4 2 3 4 2 2 3 6" xfId="42439" xr:uid="{00000000-0005-0000-0000-000000A10000}"/>
    <cellStyle name="Normal 4 2 3 4 2 2 4" xfId="10568" xr:uid="{00000000-0005-0000-0000-000001A10000}"/>
    <cellStyle name="Normal 4 2 3 4 2 2 4 2" xfId="10569" xr:uid="{00000000-0005-0000-0000-000002A10000}"/>
    <cellStyle name="Normal 4 2 3 4 2 2 4 2 2" xfId="10570" xr:uid="{00000000-0005-0000-0000-000003A10000}"/>
    <cellStyle name="Normal 4 2 3 4 2 2 4 2 2 2" xfId="30887" xr:uid="{00000000-0005-0000-0000-000004A10000}"/>
    <cellStyle name="Normal 4 2 3 4 2 2 4 2 2 2 2" xfId="62758" xr:uid="{00000000-0005-0000-0000-000005A10000}"/>
    <cellStyle name="Normal 4 2 3 4 2 2 4 2 2 3" xfId="42449" xr:uid="{00000000-0005-0000-0000-000006A10000}"/>
    <cellStyle name="Normal 4 2 3 4 2 2 4 2 3" xfId="23009" xr:uid="{00000000-0005-0000-0000-000007A10000}"/>
    <cellStyle name="Normal 4 2 3 4 2 2 4 2 3 2" xfId="54880" xr:uid="{00000000-0005-0000-0000-000008A10000}"/>
    <cellStyle name="Normal 4 2 3 4 2 2 4 2 4" xfId="42448" xr:uid="{00000000-0005-0000-0000-000009A10000}"/>
    <cellStyle name="Normal 4 2 3 4 2 2 4 3" xfId="10571" xr:uid="{00000000-0005-0000-0000-00000AA10000}"/>
    <cellStyle name="Normal 4 2 3 4 2 2 4 3 2" xfId="26948" xr:uid="{00000000-0005-0000-0000-00000BA10000}"/>
    <cellStyle name="Normal 4 2 3 4 2 2 4 3 2 2" xfId="58819" xr:uid="{00000000-0005-0000-0000-00000CA10000}"/>
    <cellStyle name="Normal 4 2 3 4 2 2 4 3 3" xfId="42450" xr:uid="{00000000-0005-0000-0000-00000DA10000}"/>
    <cellStyle name="Normal 4 2 3 4 2 2 4 4" xfId="19070" xr:uid="{00000000-0005-0000-0000-00000EA10000}"/>
    <cellStyle name="Normal 4 2 3 4 2 2 4 4 2" xfId="50941" xr:uid="{00000000-0005-0000-0000-00000FA10000}"/>
    <cellStyle name="Normal 4 2 3 4 2 2 4 5" xfId="42447" xr:uid="{00000000-0005-0000-0000-000010A10000}"/>
    <cellStyle name="Normal 4 2 3 4 2 2 5" xfId="10572" xr:uid="{00000000-0005-0000-0000-000011A10000}"/>
    <cellStyle name="Normal 4 2 3 4 2 2 5 2" xfId="10573" xr:uid="{00000000-0005-0000-0000-000012A10000}"/>
    <cellStyle name="Normal 4 2 3 4 2 2 5 2 2" xfId="30880" xr:uid="{00000000-0005-0000-0000-000013A10000}"/>
    <cellStyle name="Normal 4 2 3 4 2 2 5 2 2 2" xfId="62751" xr:uid="{00000000-0005-0000-0000-000014A10000}"/>
    <cellStyle name="Normal 4 2 3 4 2 2 5 2 3" xfId="42452" xr:uid="{00000000-0005-0000-0000-000015A10000}"/>
    <cellStyle name="Normal 4 2 3 4 2 2 5 3" xfId="23002" xr:uid="{00000000-0005-0000-0000-000016A10000}"/>
    <cellStyle name="Normal 4 2 3 4 2 2 5 3 2" xfId="54873" xr:uid="{00000000-0005-0000-0000-000017A10000}"/>
    <cellStyle name="Normal 4 2 3 4 2 2 5 4" xfId="42451" xr:uid="{00000000-0005-0000-0000-000018A10000}"/>
    <cellStyle name="Normal 4 2 3 4 2 2 6" xfId="10574" xr:uid="{00000000-0005-0000-0000-000019A10000}"/>
    <cellStyle name="Normal 4 2 3 4 2 2 6 2" xfId="26941" xr:uid="{00000000-0005-0000-0000-00001AA10000}"/>
    <cellStyle name="Normal 4 2 3 4 2 2 6 2 2" xfId="58812" xr:uid="{00000000-0005-0000-0000-00001BA10000}"/>
    <cellStyle name="Normal 4 2 3 4 2 2 6 3" xfId="42453" xr:uid="{00000000-0005-0000-0000-00001CA10000}"/>
    <cellStyle name="Normal 4 2 3 4 2 2 7" xfId="19063" xr:uid="{00000000-0005-0000-0000-00001DA10000}"/>
    <cellStyle name="Normal 4 2 3 4 2 2 7 2" xfId="50934" xr:uid="{00000000-0005-0000-0000-00001EA10000}"/>
    <cellStyle name="Normal 4 2 3 4 2 2 8" xfId="42422" xr:uid="{00000000-0005-0000-0000-00001FA10000}"/>
    <cellStyle name="Normal 4 2 3 4 2 3" xfId="10575" xr:uid="{00000000-0005-0000-0000-000020A10000}"/>
    <cellStyle name="Normal 4 2 3 4 2 3 2" xfId="10576" xr:uid="{00000000-0005-0000-0000-000021A10000}"/>
    <cellStyle name="Normal 4 2 3 4 2 3 2 2" xfId="10577" xr:uid="{00000000-0005-0000-0000-000022A10000}"/>
    <cellStyle name="Normal 4 2 3 4 2 3 2 2 2" xfId="10578" xr:uid="{00000000-0005-0000-0000-000023A10000}"/>
    <cellStyle name="Normal 4 2 3 4 2 3 2 2 2 2" xfId="10579" xr:uid="{00000000-0005-0000-0000-000024A10000}"/>
    <cellStyle name="Normal 4 2 3 4 2 3 2 2 2 2 2" xfId="30890" xr:uid="{00000000-0005-0000-0000-000025A10000}"/>
    <cellStyle name="Normal 4 2 3 4 2 3 2 2 2 2 2 2" xfId="62761" xr:uid="{00000000-0005-0000-0000-000026A10000}"/>
    <cellStyle name="Normal 4 2 3 4 2 3 2 2 2 2 3" xfId="42458" xr:uid="{00000000-0005-0000-0000-000027A10000}"/>
    <cellStyle name="Normal 4 2 3 4 2 3 2 2 2 3" xfId="23012" xr:uid="{00000000-0005-0000-0000-000028A10000}"/>
    <cellStyle name="Normal 4 2 3 4 2 3 2 2 2 3 2" xfId="54883" xr:uid="{00000000-0005-0000-0000-000029A10000}"/>
    <cellStyle name="Normal 4 2 3 4 2 3 2 2 2 4" xfId="42457" xr:uid="{00000000-0005-0000-0000-00002AA10000}"/>
    <cellStyle name="Normal 4 2 3 4 2 3 2 2 3" xfId="10580" xr:uid="{00000000-0005-0000-0000-00002BA10000}"/>
    <cellStyle name="Normal 4 2 3 4 2 3 2 2 3 2" xfId="26951" xr:uid="{00000000-0005-0000-0000-00002CA10000}"/>
    <cellStyle name="Normal 4 2 3 4 2 3 2 2 3 2 2" xfId="58822" xr:uid="{00000000-0005-0000-0000-00002DA10000}"/>
    <cellStyle name="Normal 4 2 3 4 2 3 2 2 3 3" xfId="42459" xr:uid="{00000000-0005-0000-0000-00002EA10000}"/>
    <cellStyle name="Normal 4 2 3 4 2 3 2 2 4" xfId="19073" xr:uid="{00000000-0005-0000-0000-00002FA10000}"/>
    <cellStyle name="Normal 4 2 3 4 2 3 2 2 4 2" xfId="50944" xr:uid="{00000000-0005-0000-0000-000030A10000}"/>
    <cellStyle name="Normal 4 2 3 4 2 3 2 2 5" xfId="42456" xr:uid="{00000000-0005-0000-0000-000031A10000}"/>
    <cellStyle name="Normal 4 2 3 4 2 3 2 3" xfId="10581" xr:uid="{00000000-0005-0000-0000-000032A10000}"/>
    <cellStyle name="Normal 4 2 3 4 2 3 2 3 2" xfId="10582" xr:uid="{00000000-0005-0000-0000-000033A10000}"/>
    <cellStyle name="Normal 4 2 3 4 2 3 2 3 2 2" xfId="30889" xr:uid="{00000000-0005-0000-0000-000034A10000}"/>
    <cellStyle name="Normal 4 2 3 4 2 3 2 3 2 2 2" xfId="62760" xr:uid="{00000000-0005-0000-0000-000035A10000}"/>
    <cellStyle name="Normal 4 2 3 4 2 3 2 3 2 3" xfId="42461" xr:uid="{00000000-0005-0000-0000-000036A10000}"/>
    <cellStyle name="Normal 4 2 3 4 2 3 2 3 3" xfId="23011" xr:uid="{00000000-0005-0000-0000-000037A10000}"/>
    <cellStyle name="Normal 4 2 3 4 2 3 2 3 3 2" xfId="54882" xr:uid="{00000000-0005-0000-0000-000038A10000}"/>
    <cellStyle name="Normal 4 2 3 4 2 3 2 3 4" xfId="42460" xr:uid="{00000000-0005-0000-0000-000039A10000}"/>
    <cellStyle name="Normal 4 2 3 4 2 3 2 4" xfId="10583" xr:uid="{00000000-0005-0000-0000-00003AA10000}"/>
    <cellStyle name="Normal 4 2 3 4 2 3 2 4 2" xfId="26950" xr:uid="{00000000-0005-0000-0000-00003BA10000}"/>
    <cellStyle name="Normal 4 2 3 4 2 3 2 4 2 2" xfId="58821" xr:uid="{00000000-0005-0000-0000-00003CA10000}"/>
    <cellStyle name="Normal 4 2 3 4 2 3 2 4 3" xfId="42462" xr:uid="{00000000-0005-0000-0000-00003DA10000}"/>
    <cellStyle name="Normal 4 2 3 4 2 3 2 5" xfId="19072" xr:uid="{00000000-0005-0000-0000-00003EA10000}"/>
    <cellStyle name="Normal 4 2 3 4 2 3 2 5 2" xfId="50943" xr:uid="{00000000-0005-0000-0000-00003FA10000}"/>
    <cellStyle name="Normal 4 2 3 4 2 3 2 6" xfId="42455" xr:uid="{00000000-0005-0000-0000-000040A10000}"/>
    <cellStyle name="Normal 4 2 3 4 2 3 3" xfId="10584" xr:uid="{00000000-0005-0000-0000-000041A10000}"/>
    <cellStyle name="Normal 4 2 3 4 2 3 3 2" xfId="10585" xr:uid="{00000000-0005-0000-0000-000042A10000}"/>
    <cellStyle name="Normal 4 2 3 4 2 3 3 2 2" xfId="10586" xr:uid="{00000000-0005-0000-0000-000043A10000}"/>
    <cellStyle name="Normal 4 2 3 4 2 3 3 2 2 2" xfId="30891" xr:uid="{00000000-0005-0000-0000-000044A10000}"/>
    <cellStyle name="Normal 4 2 3 4 2 3 3 2 2 2 2" xfId="62762" xr:uid="{00000000-0005-0000-0000-000045A10000}"/>
    <cellStyle name="Normal 4 2 3 4 2 3 3 2 2 3" xfId="42465" xr:uid="{00000000-0005-0000-0000-000046A10000}"/>
    <cellStyle name="Normal 4 2 3 4 2 3 3 2 3" xfId="23013" xr:uid="{00000000-0005-0000-0000-000047A10000}"/>
    <cellStyle name="Normal 4 2 3 4 2 3 3 2 3 2" xfId="54884" xr:uid="{00000000-0005-0000-0000-000048A10000}"/>
    <cellStyle name="Normal 4 2 3 4 2 3 3 2 4" xfId="42464" xr:uid="{00000000-0005-0000-0000-000049A10000}"/>
    <cellStyle name="Normal 4 2 3 4 2 3 3 3" xfId="10587" xr:uid="{00000000-0005-0000-0000-00004AA10000}"/>
    <cellStyle name="Normal 4 2 3 4 2 3 3 3 2" xfId="26952" xr:uid="{00000000-0005-0000-0000-00004BA10000}"/>
    <cellStyle name="Normal 4 2 3 4 2 3 3 3 2 2" xfId="58823" xr:uid="{00000000-0005-0000-0000-00004CA10000}"/>
    <cellStyle name="Normal 4 2 3 4 2 3 3 3 3" xfId="42466" xr:uid="{00000000-0005-0000-0000-00004DA10000}"/>
    <cellStyle name="Normal 4 2 3 4 2 3 3 4" xfId="19074" xr:uid="{00000000-0005-0000-0000-00004EA10000}"/>
    <cellStyle name="Normal 4 2 3 4 2 3 3 4 2" xfId="50945" xr:uid="{00000000-0005-0000-0000-00004FA10000}"/>
    <cellStyle name="Normal 4 2 3 4 2 3 3 5" xfId="42463" xr:uid="{00000000-0005-0000-0000-000050A10000}"/>
    <cellStyle name="Normal 4 2 3 4 2 3 4" xfId="10588" xr:uid="{00000000-0005-0000-0000-000051A10000}"/>
    <cellStyle name="Normal 4 2 3 4 2 3 4 2" xfId="10589" xr:uid="{00000000-0005-0000-0000-000052A10000}"/>
    <cellStyle name="Normal 4 2 3 4 2 3 4 2 2" xfId="30888" xr:uid="{00000000-0005-0000-0000-000053A10000}"/>
    <cellStyle name="Normal 4 2 3 4 2 3 4 2 2 2" xfId="62759" xr:uid="{00000000-0005-0000-0000-000054A10000}"/>
    <cellStyle name="Normal 4 2 3 4 2 3 4 2 3" xfId="42468" xr:uid="{00000000-0005-0000-0000-000055A10000}"/>
    <cellStyle name="Normal 4 2 3 4 2 3 4 3" xfId="23010" xr:uid="{00000000-0005-0000-0000-000056A10000}"/>
    <cellStyle name="Normal 4 2 3 4 2 3 4 3 2" xfId="54881" xr:uid="{00000000-0005-0000-0000-000057A10000}"/>
    <cellStyle name="Normal 4 2 3 4 2 3 4 4" xfId="42467" xr:uid="{00000000-0005-0000-0000-000058A10000}"/>
    <cellStyle name="Normal 4 2 3 4 2 3 5" xfId="10590" xr:uid="{00000000-0005-0000-0000-000059A10000}"/>
    <cellStyle name="Normal 4 2 3 4 2 3 5 2" xfId="26949" xr:uid="{00000000-0005-0000-0000-00005AA10000}"/>
    <cellStyle name="Normal 4 2 3 4 2 3 5 2 2" xfId="58820" xr:uid="{00000000-0005-0000-0000-00005BA10000}"/>
    <cellStyle name="Normal 4 2 3 4 2 3 5 3" xfId="42469" xr:uid="{00000000-0005-0000-0000-00005CA10000}"/>
    <cellStyle name="Normal 4 2 3 4 2 3 6" xfId="19071" xr:uid="{00000000-0005-0000-0000-00005DA10000}"/>
    <cellStyle name="Normal 4 2 3 4 2 3 6 2" xfId="50942" xr:uid="{00000000-0005-0000-0000-00005EA10000}"/>
    <cellStyle name="Normal 4 2 3 4 2 3 7" xfId="42454" xr:uid="{00000000-0005-0000-0000-00005FA10000}"/>
    <cellStyle name="Normal 4 2 3 4 2 4" xfId="10591" xr:uid="{00000000-0005-0000-0000-000060A10000}"/>
    <cellStyle name="Normal 4 2 3 4 2 4 2" xfId="10592" xr:uid="{00000000-0005-0000-0000-000061A10000}"/>
    <cellStyle name="Normal 4 2 3 4 2 4 2 2" xfId="10593" xr:uid="{00000000-0005-0000-0000-000062A10000}"/>
    <cellStyle name="Normal 4 2 3 4 2 4 2 2 2" xfId="10594" xr:uid="{00000000-0005-0000-0000-000063A10000}"/>
    <cellStyle name="Normal 4 2 3 4 2 4 2 2 2 2" xfId="30893" xr:uid="{00000000-0005-0000-0000-000064A10000}"/>
    <cellStyle name="Normal 4 2 3 4 2 4 2 2 2 2 2" xfId="62764" xr:uid="{00000000-0005-0000-0000-000065A10000}"/>
    <cellStyle name="Normal 4 2 3 4 2 4 2 2 2 3" xfId="42473" xr:uid="{00000000-0005-0000-0000-000066A10000}"/>
    <cellStyle name="Normal 4 2 3 4 2 4 2 2 3" xfId="23015" xr:uid="{00000000-0005-0000-0000-000067A10000}"/>
    <cellStyle name="Normal 4 2 3 4 2 4 2 2 3 2" xfId="54886" xr:uid="{00000000-0005-0000-0000-000068A10000}"/>
    <cellStyle name="Normal 4 2 3 4 2 4 2 2 4" xfId="42472" xr:uid="{00000000-0005-0000-0000-000069A10000}"/>
    <cellStyle name="Normal 4 2 3 4 2 4 2 3" xfId="10595" xr:uid="{00000000-0005-0000-0000-00006AA10000}"/>
    <cellStyle name="Normal 4 2 3 4 2 4 2 3 2" xfId="26954" xr:uid="{00000000-0005-0000-0000-00006BA10000}"/>
    <cellStyle name="Normal 4 2 3 4 2 4 2 3 2 2" xfId="58825" xr:uid="{00000000-0005-0000-0000-00006CA10000}"/>
    <cellStyle name="Normal 4 2 3 4 2 4 2 3 3" xfId="42474" xr:uid="{00000000-0005-0000-0000-00006DA10000}"/>
    <cellStyle name="Normal 4 2 3 4 2 4 2 4" xfId="19076" xr:uid="{00000000-0005-0000-0000-00006EA10000}"/>
    <cellStyle name="Normal 4 2 3 4 2 4 2 4 2" xfId="50947" xr:uid="{00000000-0005-0000-0000-00006FA10000}"/>
    <cellStyle name="Normal 4 2 3 4 2 4 2 5" xfId="42471" xr:uid="{00000000-0005-0000-0000-000070A10000}"/>
    <cellStyle name="Normal 4 2 3 4 2 4 3" xfId="10596" xr:uid="{00000000-0005-0000-0000-000071A10000}"/>
    <cellStyle name="Normal 4 2 3 4 2 4 3 2" xfId="10597" xr:uid="{00000000-0005-0000-0000-000072A10000}"/>
    <cellStyle name="Normal 4 2 3 4 2 4 3 2 2" xfId="30892" xr:uid="{00000000-0005-0000-0000-000073A10000}"/>
    <cellStyle name="Normal 4 2 3 4 2 4 3 2 2 2" xfId="62763" xr:uid="{00000000-0005-0000-0000-000074A10000}"/>
    <cellStyle name="Normal 4 2 3 4 2 4 3 2 3" xfId="42476" xr:uid="{00000000-0005-0000-0000-000075A10000}"/>
    <cellStyle name="Normal 4 2 3 4 2 4 3 3" xfId="23014" xr:uid="{00000000-0005-0000-0000-000076A10000}"/>
    <cellStyle name="Normal 4 2 3 4 2 4 3 3 2" xfId="54885" xr:uid="{00000000-0005-0000-0000-000077A10000}"/>
    <cellStyle name="Normal 4 2 3 4 2 4 3 4" xfId="42475" xr:uid="{00000000-0005-0000-0000-000078A10000}"/>
    <cellStyle name="Normal 4 2 3 4 2 4 4" xfId="10598" xr:uid="{00000000-0005-0000-0000-000079A10000}"/>
    <cellStyle name="Normal 4 2 3 4 2 4 4 2" xfId="26953" xr:uid="{00000000-0005-0000-0000-00007AA10000}"/>
    <cellStyle name="Normal 4 2 3 4 2 4 4 2 2" xfId="58824" xr:uid="{00000000-0005-0000-0000-00007BA10000}"/>
    <cellStyle name="Normal 4 2 3 4 2 4 4 3" xfId="42477" xr:uid="{00000000-0005-0000-0000-00007CA10000}"/>
    <cellStyle name="Normal 4 2 3 4 2 4 5" xfId="19075" xr:uid="{00000000-0005-0000-0000-00007DA10000}"/>
    <cellStyle name="Normal 4 2 3 4 2 4 5 2" xfId="50946" xr:uid="{00000000-0005-0000-0000-00007EA10000}"/>
    <cellStyle name="Normal 4 2 3 4 2 4 6" xfId="42470" xr:uid="{00000000-0005-0000-0000-00007FA10000}"/>
    <cellStyle name="Normal 4 2 3 4 2 5" xfId="10599" xr:uid="{00000000-0005-0000-0000-000080A10000}"/>
    <cellStyle name="Normal 4 2 3 4 2 5 2" xfId="10600" xr:uid="{00000000-0005-0000-0000-000081A10000}"/>
    <cellStyle name="Normal 4 2 3 4 2 5 2 2" xfId="10601" xr:uid="{00000000-0005-0000-0000-000082A10000}"/>
    <cellStyle name="Normal 4 2 3 4 2 5 2 2 2" xfId="30894" xr:uid="{00000000-0005-0000-0000-000083A10000}"/>
    <cellStyle name="Normal 4 2 3 4 2 5 2 2 2 2" xfId="62765" xr:uid="{00000000-0005-0000-0000-000084A10000}"/>
    <cellStyle name="Normal 4 2 3 4 2 5 2 2 3" xfId="42480" xr:uid="{00000000-0005-0000-0000-000085A10000}"/>
    <cellStyle name="Normal 4 2 3 4 2 5 2 3" xfId="23016" xr:uid="{00000000-0005-0000-0000-000086A10000}"/>
    <cellStyle name="Normal 4 2 3 4 2 5 2 3 2" xfId="54887" xr:uid="{00000000-0005-0000-0000-000087A10000}"/>
    <cellStyle name="Normal 4 2 3 4 2 5 2 4" xfId="42479" xr:uid="{00000000-0005-0000-0000-000088A10000}"/>
    <cellStyle name="Normal 4 2 3 4 2 5 3" xfId="10602" xr:uid="{00000000-0005-0000-0000-000089A10000}"/>
    <cellStyle name="Normal 4 2 3 4 2 5 3 2" xfId="26955" xr:uid="{00000000-0005-0000-0000-00008AA10000}"/>
    <cellStyle name="Normal 4 2 3 4 2 5 3 2 2" xfId="58826" xr:uid="{00000000-0005-0000-0000-00008BA10000}"/>
    <cellStyle name="Normal 4 2 3 4 2 5 3 3" xfId="42481" xr:uid="{00000000-0005-0000-0000-00008CA10000}"/>
    <cellStyle name="Normal 4 2 3 4 2 5 4" xfId="19077" xr:uid="{00000000-0005-0000-0000-00008DA10000}"/>
    <cellStyle name="Normal 4 2 3 4 2 5 4 2" xfId="50948" xr:uid="{00000000-0005-0000-0000-00008EA10000}"/>
    <cellStyle name="Normal 4 2 3 4 2 5 5" xfId="42478" xr:uid="{00000000-0005-0000-0000-00008FA10000}"/>
    <cellStyle name="Normal 4 2 3 4 2 6" xfId="10603" xr:uid="{00000000-0005-0000-0000-000090A10000}"/>
    <cellStyle name="Normal 4 2 3 4 2 6 2" xfId="10604" xr:uid="{00000000-0005-0000-0000-000091A10000}"/>
    <cellStyle name="Normal 4 2 3 4 2 6 2 2" xfId="28474" xr:uid="{00000000-0005-0000-0000-000092A10000}"/>
    <cellStyle name="Normal 4 2 3 4 2 6 2 2 2" xfId="60345" xr:uid="{00000000-0005-0000-0000-000093A10000}"/>
    <cellStyle name="Normal 4 2 3 4 2 6 2 3" xfId="42483" xr:uid="{00000000-0005-0000-0000-000094A10000}"/>
    <cellStyle name="Normal 4 2 3 4 2 6 3" xfId="20596" xr:uid="{00000000-0005-0000-0000-000095A10000}"/>
    <cellStyle name="Normal 4 2 3 4 2 6 3 2" xfId="52467" xr:uid="{00000000-0005-0000-0000-000096A10000}"/>
    <cellStyle name="Normal 4 2 3 4 2 6 4" xfId="42482" xr:uid="{00000000-0005-0000-0000-000097A10000}"/>
    <cellStyle name="Normal 4 2 3 4 2 7" xfId="10605" xr:uid="{00000000-0005-0000-0000-000098A10000}"/>
    <cellStyle name="Normal 4 2 3 4 2 7 2" xfId="24535" xr:uid="{00000000-0005-0000-0000-000099A10000}"/>
    <cellStyle name="Normal 4 2 3 4 2 7 2 2" xfId="56406" xr:uid="{00000000-0005-0000-0000-00009AA10000}"/>
    <cellStyle name="Normal 4 2 3 4 2 7 3" xfId="42484" xr:uid="{00000000-0005-0000-0000-00009BA10000}"/>
    <cellStyle name="Normal 4 2 3 4 2 8" xfId="16657" xr:uid="{00000000-0005-0000-0000-00009CA10000}"/>
    <cellStyle name="Normal 4 2 3 4 2 8 2" xfId="48528" xr:uid="{00000000-0005-0000-0000-00009DA10000}"/>
    <cellStyle name="Normal 4 2 3 4 2 9" xfId="42421" xr:uid="{00000000-0005-0000-0000-00009EA10000}"/>
    <cellStyle name="Normal 4 2 3 4 3" xfId="10606" xr:uid="{00000000-0005-0000-0000-00009FA10000}"/>
    <cellStyle name="Normal 4 2 3 4 3 2" xfId="10607" xr:uid="{00000000-0005-0000-0000-0000A0A10000}"/>
    <cellStyle name="Normal 4 2 3 4 3 2 2" xfId="10608" xr:uid="{00000000-0005-0000-0000-0000A1A10000}"/>
    <cellStyle name="Normal 4 2 3 4 3 2 2 2" xfId="10609" xr:uid="{00000000-0005-0000-0000-0000A2A10000}"/>
    <cellStyle name="Normal 4 2 3 4 3 2 2 2 2" xfId="10610" xr:uid="{00000000-0005-0000-0000-0000A3A10000}"/>
    <cellStyle name="Normal 4 2 3 4 3 2 2 2 2 2" xfId="10611" xr:uid="{00000000-0005-0000-0000-0000A4A10000}"/>
    <cellStyle name="Normal 4 2 3 4 3 2 2 2 2 2 2" xfId="30898" xr:uid="{00000000-0005-0000-0000-0000A5A10000}"/>
    <cellStyle name="Normal 4 2 3 4 3 2 2 2 2 2 2 2" xfId="62769" xr:uid="{00000000-0005-0000-0000-0000A6A10000}"/>
    <cellStyle name="Normal 4 2 3 4 3 2 2 2 2 2 3" xfId="42490" xr:uid="{00000000-0005-0000-0000-0000A7A10000}"/>
    <cellStyle name="Normal 4 2 3 4 3 2 2 2 2 3" xfId="23020" xr:uid="{00000000-0005-0000-0000-0000A8A10000}"/>
    <cellStyle name="Normal 4 2 3 4 3 2 2 2 2 3 2" xfId="54891" xr:uid="{00000000-0005-0000-0000-0000A9A10000}"/>
    <cellStyle name="Normal 4 2 3 4 3 2 2 2 2 4" xfId="42489" xr:uid="{00000000-0005-0000-0000-0000AAA10000}"/>
    <cellStyle name="Normal 4 2 3 4 3 2 2 2 3" xfId="10612" xr:uid="{00000000-0005-0000-0000-0000ABA10000}"/>
    <cellStyle name="Normal 4 2 3 4 3 2 2 2 3 2" xfId="26959" xr:uid="{00000000-0005-0000-0000-0000ACA10000}"/>
    <cellStyle name="Normal 4 2 3 4 3 2 2 2 3 2 2" xfId="58830" xr:uid="{00000000-0005-0000-0000-0000ADA10000}"/>
    <cellStyle name="Normal 4 2 3 4 3 2 2 2 3 3" xfId="42491" xr:uid="{00000000-0005-0000-0000-0000AEA10000}"/>
    <cellStyle name="Normal 4 2 3 4 3 2 2 2 4" xfId="19081" xr:uid="{00000000-0005-0000-0000-0000AFA10000}"/>
    <cellStyle name="Normal 4 2 3 4 3 2 2 2 4 2" xfId="50952" xr:uid="{00000000-0005-0000-0000-0000B0A10000}"/>
    <cellStyle name="Normal 4 2 3 4 3 2 2 2 5" xfId="42488" xr:uid="{00000000-0005-0000-0000-0000B1A10000}"/>
    <cellStyle name="Normal 4 2 3 4 3 2 2 3" xfId="10613" xr:uid="{00000000-0005-0000-0000-0000B2A10000}"/>
    <cellStyle name="Normal 4 2 3 4 3 2 2 3 2" xfId="10614" xr:uid="{00000000-0005-0000-0000-0000B3A10000}"/>
    <cellStyle name="Normal 4 2 3 4 3 2 2 3 2 2" xfId="30897" xr:uid="{00000000-0005-0000-0000-0000B4A10000}"/>
    <cellStyle name="Normal 4 2 3 4 3 2 2 3 2 2 2" xfId="62768" xr:uid="{00000000-0005-0000-0000-0000B5A10000}"/>
    <cellStyle name="Normal 4 2 3 4 3 2 2 3 2 3" xfId="42493" xr:uid="{00000000-0005-0000-0000-0000B6A10000}"/>
    <cellStyle name="Normal 4 2 3 4 3 2 2 3 3" xfId="23019" xr:uid="{00000000-0005-0000-0000-0000B7A10000}"/>
    <cellStyle name="Normal 4 2 3 4 3 2 2 3 3 2" xfId="54890" xr:uid="{00000000-0005-0000-0000-0000B8A10000}"/>
    <cellStyle name="Normal 4 2 3 4 3 2 2 3 4" xfId="42492" xr:uid="{00000000-0005-0000-0000-0000B9A10000}"/>
    <cellStyle name="Normal 4 2 3 4 3 2 2 4" xfId="10615" xr:uid="{00000000-0005-0000-0000-0000BAA10000}"/>
    <cellStyle name="Normal 4 2 3 4 3 2 2 4 2" xfId="26958" xr:uid="{00000000-0005-0000-0000-0000BBA10000}"/>
    <cellStyle name="Normal 4 2 3 4 3 2 2 4 2 2" xfId="58829" xr:uid="{00000000-0005-0000-0000-0000BCA10000}"/>
    <cellStyle name="Normal 4 2 3 4 3 2 2 4 3" xfId="42494" xr:uid="{00000000-0005-0000-0000-0000BDA10000}"/>
    <cellStyle name="Normal 4 2 3 4 3 2 2 5" xfId="19080" xr:uid="{00000000-0005-0000-0000-0000BEA10000}"/>
    <cellStyle name="Normal 4 2 3 4 3 2 2 5 2" xfId="50951" xr:uid="{00000000-0005-0000-0000-0000BFA10000}"/>
    <cellStyle name="Normal 4 2 3 4 3 2 2 6" xfId="42487" xr:uid="{00000000-0005-0000-0000-0000C0A10000}"/>
    <cellStyle name="Normal 4 2 3 4 3 2 3" xfId="10616" xr:uid="{00000000-0005-0000-0000-0000C1A10000}"/>
    <cellStyle name="Normal 4 2 3 4 3 2 3 2" xfId="10617" xr:uid="{00000000-0005-0000-0000-0000C2A10000}"/>
    <cellStyle name="Normal 4 2 3 4 3 2 3 2 2" xfId="10618" xr:uid="{00000000-0005-0000-0000-0000C3A10000}"/>
    <cellStyle name="Normal 4 2 3 4 3 2 3 2 2 2" xfId="30899" xr:uid="{00000000-0005-0000-0000-0000C4A10000}"/>
    <cellStyle name="Normal 4 2 3 4 3 2 3 2 2 2 2" xfId="62770" xr:uid="{00000000-0005-0000-0000-0000C5A10000}"/>
    <cellStyle name="Normal 4 2 3 4 3 2 3 2 2 3" xfId="42497" xr:uid="{00000000-0005-0000-0000-0000C6A10000}"/>
    <cellStyle name="Normal 4 2 3 4 3 2 3 2 3" xfId="23021" xr:uid="{00000000-0005-0000-0000-0000C7A10000}"/>
    <cellStyle name="Normal 4 2 3 4 3 2 3 2 3 2" xfId="54892" xr:uid="{00000000-0005-0000-0000-0000C8A10000}"/>
    <cellStyle name="Normal 4 2 3 4 3 2 3 2 4" xfId="42496" xr:uid="{00000000-0005-0000-0000-0000C9A10000}"/>
    <cellStyle name="Normal 4 2 3 4 3 2 3 3" xfId="10619" xr:uid="{00000000-0005-0000-0000-0000CAA10000}"/>
    <cellStyle name="Normal 4 2 3 4 3 2 3 3 2" xfId="26960" xr:uid="{00000000-0005-0000-0000-0000CBA10000}"/>
    <cellStyle name="Normal 4 2 3 4 3 2 3 3 2 2" xfId="58831" xr:uid="{00000000-0005-0000-0000-0000CCA10000}"/>
    <cellStyle name="Normal 4 2 3 4 3 2 3 3 3" xfId="42498" xr:uid="{00000000-0005-0000-0000-0000CDA10000}"/>
    <cellStyle name="Normal 4 2 3 4 3 2 3 4" xfId="19082" xr:uid="{00000000-0005-0000-0000-0000CEA10000}"/>
    <cellStyle name="Normal 4 2 3 4 3 2 3 4 2" xfId="50953" xr:uid="{00000000-0005-0000-0000-0000CFA10000}"/>
    <cellStyle name="Normal 4 2 3 4 3 2 3 5" xfId="42495" xr:uid="{00000000-0005-0000-0000-0000D0A10000}"/>
    <cellStyle name="Normal 4 2 3 4 3 2 4" xfId="10620" xr:uid="{00000000-0005-0000-0000-0000D1A10000}"/>
    <cellStyle name="Normal 4 2 3 4 3 2 4 2" xfId="10621" xr:uid="{00000000-0005-0000-0000-0000D2A10000}"/>
    <cellStyle name="Normal 4 2 3 4 3 2 4 2 2" xfId="30896" xr:uid="{00000000-0005-0000-0000-0000D3A10000}"/>
    <cellStyle name="Normal 4 2 3 4 3 2 4 2 2 2" xfId="62767" xr:uid="{00000000-0005-0000-0000-0000D4A10000}"/>
    <cellStyle name="Normal 4 2 3 4 3 2 4 2 3" xfId="42500" xr:uid="{00000000-0005-0000-0000-0000D5A10000}"/>
    <cellStyle name="Normal 4 2 3 4 3 2 4 3" xfId="23018" xr:uid="{00000000-0005-0000-0000-0000D6A10000}"/>
    <cellStyle name="Normal 4 2 3 4 3 2 4 3 2" xfId="54889" xr:uid="{00000000-0005-0000-0000-0000D7A10000}"/>
    <cellStyle name="Normal 4 2 3 4 3 2 4 4" xfId="42499" xr:uid="{00000000-0005-0000-0000-0000D8A10000}"/>
    <cellStyle name="Normal 4 2 3 4 3 2 5" xfId="10622" xr:uid="{00000000-0005-0000-0000-0000D9A10000}"/>
    <cellStyle name="Normal 4 2 3 4 3 2 5 2" xfId="26957" xr:uid="{00000000-0005-0000-0000-0000DAA10000}"/>
    <cellStyle name="Normal 4 2 3 4 3 2 5 2 2" xfId="58828" xr:uid="{00000000-0005-0000-0000-0000DBA10000}"/>
    <cellStyle name="Normal 4 2 3 4 3 2 5 3" xfId="42501" xr:uid="{00000000-0005-0000-0000-0000DCA10000}"/>
    <cellStyle name="Normal 4 2 3 4 3 2 6" xfId="19079" xr:uid="{00000000-0005-0000-0000-0000DDA10000}"/>
    <cellStyle name="Normal 4 2 3 4 3 2 6 2" xfId="50950" xr:uid="{00000000-0005-0000-0000-0000DEA10000}"/>
    <cellStyle name="Normal 4 2 3 4 3 2 7" xfId="42486" xr:uid="{00000000-0005-0000-0000-0000DFA10000}"/>
    <cellStyle name="Normal 4 2 3 4 3 3" xfId="10623" xr:uid="{00000000-0005-0000-0000-0000E0A10000}"/>
    <cellStyle name="Normal 4 2 3 4 3 3 2" xfId="10624" xr:uid="{00000000-0005-0000-0000-0000E1A10000}"/>
    <cellStyle name="Normal 4 2 3 4 3 3 2 2" xfId="10625" xr:uid="{00000000-0005-0000-0000-0000E2A10000}"/>
    <cellStyle name="Normal 4 2 3 4 3 3 2 2 2" xfId="10626" xr:uid="{00000000-0005-0000-0000-0000E3A10000}"/>
    <cellStyle name="Normal 4 2 3 4 3 3 2 2 2 2" xfId="30901" xr:uid="{00000000-0005-0000-0000-0000E4A10000}"/>
    <cellStyle name="Normal 4 2 3 4 3 3 2 2 2 2 2" xfId="62772" xr:uid="{00000000-0005-0000-0000-0000E5A10000}"/>
    <cellStyle name="Normal 4 2 3 4 3 3 2 2 2 3" xfId="42505" xr:uid="{00000000-0005-0000-0000-0000E6A10000}"/>
    <cellStyle name="Normal 4 2 3 4 3 3 2 2 3" xfId="23023" xr:uid="{00000000-0005-0000-0000-0000E7A10000}"/>
    <cellStyle name="Normal 4 2 3 4 3 3 2 2 3 2" xfId="54894" xr:uid="{00000000-0005-0000-0000-0000E8A10000}"/>
    <cellStyle name="Normal 4 2 3 4 3 3 2 2 4" xfId="42504" xr:uid="{00000000-0005-0000-0000-0000E9A10000}"/>
    <cellStyle name="Normal 4 2 3 4 3 3 2 3" xfId="10627" xr:uid="{00000000-0005-0000-0000-0000EAA10000}"/>
    <cellStyle name="Normal 4 2 3 4 3 3 2 3 2" xfId="26962" xr:uid="{00000000-0005-0000-0000-0000EBA10000}"/>
    <cellStyle name="Normal 4 2 3 4 3 3 2 3 2 2" xfId="58833" xr:uid="{00000000-0005-0000-0000-0000ECA10000}"/>
    <cellStyle name="Normal 4 2 3 4 3 3 2 3 3" xfId="42506" xr:uid="{00000000-0005-0000-0000-0000EDA10000}"/>
    <cellStyle name="Normal 4 2 3 4 3 3 2 4" xfId="19084" xr:uid="{00000000-0005-0000-0000-0000EEA10000}"/>
    <cellStyle name="Normal 4 2 3 4 3 3 2 4 2" xfId="50955" xr:uid="{00000000-0005-0000-0000-0000EFA10000}"/>
    <cellStyle name="Normal 4 2 3 4 3 3 2 5" xfId="42503" xr:uid="{00000000-0005-0000-0000-0000F0A10000}"/>
    <cellStyle name="Normal 4 2 3 4 3 3 3" xfId="10628" xr:uid="{00000000-0005-0000-0000-0000F1A10000}"/>
    <cellStyle name="Normal 4 2 3 4 3 3 3 2" xfId="10629" xr:uid="{00000000-0005-0000-0000-0000F2A10000}"/>
    <cellStyle name="Normal 4 2 3 4 3 3 3 2 2" xfId="30900" xr:uid="{00000000-0005-0000-0000-0000F3A10000}"/>
    <cellStyle name="Normal 4 2 3 4 3 3 3 2 2 2" xfId="62771" xr:uid="{00000000-0005-0000-0000-0000F4A10000}"/>
    <cellStyle name="Normal 4 2 3 4 3 3 3 2 3" xfId="42508" xr:uid="{00000000-0005-0000-0000-0000F5A10000}"/>
    <cellStyle name="Normal 4 2 3 4 3 3 3 3" xfId="23022" xr:uid="{00000000-0005-0000-0000-0000F6A10000}"/>
    <cellStyle name="Normal 4 2 3 4 3 3 3 3 2" xfId="54893" xr:uid="{00000000-0005-0000-0000-0000F7A10000}"/>
    <cellStyle name="Normal 4 2 3 4 3 3 3 4" xfId="42507" xr:uid="{00000000-0005-0000-0000-0000F8A10000}"/>
    <cellStyle name="Normal 4 2 3 4 3 3 4" xfId="10630" xr:uid="{00000000-0005-0000-0000-0000F9A10000}"/>
    <cellStyle name="Normal 4 2 3 4 3 3 4 2" xfId="26961" xr:uid="{00000000-0005-0000-0000-0000FAA10000}"/>
    <cellStyle name="Normal 4 2 3 4 3 3 4 2 2" xfId="58832" xr:uid="{00000000-0005-0000-0000-0000FBA10000}"/>
    <cellStyle name="Normal 4 2 3 4 3 3 4 3" xfId="42509" xr:uid="{00000000-0005-0000-0000-0000FCA10000}"/>
    <cellStyle name="Normal 4 2 3 4 3 3 5" xfId="19083" xr:uid="{00000000-0005-0000-0000-0000FDA10000}"/>
    <cellStyle name="Normal 4 2 3 4 3 3 5 2" xfId="50954" xr:uid="{00000000-0005-0000-0000-0000FEA10000}"/>
    <cellStyle name="Normal 4 2 3 4 3 3 6" xfId="42502" xr:uid="{00000000-0005-0000-0000-0000FFA10000}"/>
    <cellStyle name="Normal 4 2 3 4 3 4" xfId="10631" xr:uid="{00000000-0005-0000-0000-000000A20000}"/>
    <cellStyle name="Normal 4 2 3 4 3 4 2" xfId="10632" xr:uid="{00000000-0005-0000-0000-000001A20000}"/>
    <cellStyle name="Normal 4 2 3 4 3 4 2 2" xfId="10633" xr:uid="{00000000-0005-0000-0000-000002A20000}"/>
    <cellStyle name="Normal 4 2 3 4 3 4 2 2 2" xfId="30902" xr:uid="{00000000-0005-0000-0000-000003A20000}"/>
    <cellStyle name="Normal 4 2 3 4 3 4 2 2 2 2" xfId="62773" xr:uid="{00000000-0005-0000-0000-000004A20000}"/>
    <cellStyle name="Normal 4 2 3 4 3 4 2 2 3" xfId="42512" xr:uid="{00000000-0005-0000-0000-000005A20000}"/>
    <cellStyle name="Normal 4 2 3 4 3 4 2 3" xfId="23024" xr:uid="{00000000-0005-0000-0000-000006A20000}"/>
    <cellStyle name="Normal 4 2 3 4 3 4 2 3 2" xfId="54895" xr:uid="{00000000-0005-0000-0000-000007A20000}"/>
    <cellStyle name="Normal 4 2 3 4 3 4 2 4" xfId="42511" xr:uid="{00000000-0005-0000-0000-000008A20000}"/>
    <cellStyle name="Normal 4 2 3 4 3 4 3" xfId="10634" xr:uid="{00000000-0005-0000-0000-000009A20000}"/>
    <cellStyle name="Normal 4 2 3 4 3 4 3 2" xfId="26963" xr:uid="{00000000-0005-0000-0000-00000AA20000}"/>
    <cellStyle name="Normal 4 2 3 4 3 4 3 2 2" xfId="58834" xr:uid="{00000000-0005-0000-0000-00000BA20000}"/>
    <cellStyle name="Normal 4 2 3 4 3 4 3 3" xfId="42513" xr:uid="{00000000-0005-0000-0000-00000CA20000}"/>
    <cellStyle name="Normal 4 2 3 4 3 4 4" xfId="19085" xr:uid="{00000000-0005-0000-0000-00000DA20000}"/>
    <cellStyle name="Normal 4 2 3 4 3 4 4 2" xfId="50956" xr:uid="{00000000-0005-0000-0000-00000EA20000}"/>
    <cellStyle name="Normal 4 2 3 4 3 4 5" xfId="42510" xr:uid="{00000000-0005-0000-0000-00000FA20000}"/>
    <cellStyle name="Normal 4 2 3 4 3 5" xfId="10635" xr:uid="{00000000-0005-0000-0000-000010A20000}"/>
    <cellStyle name="Normal 4 2 3 4 3 5 2" xfId="10636" xr:uid="{00000000-0005-0000-0000-000011A20000}"/>
    <cellStyle name="Normal 4 2 3 4 3 5 2 2" xfId="30895" xr:uid="{00000000-0005-0000-0000-000012A20000}"/>
    <cellStyle name="Normal 4 2 3 4 3 5 2 2 2" xfId="62766" xr:uid="{00000000-0005-0000-0000-000013A20000}"/>
    <cellStyle name="Normal 4 2 3 4 3 5 2 3" xfId="42515" xr:uid="{00000000-0005-0000-0000-000014A20000}"/>
    <cellStyle name="Normal 4 2 3 4 3 5 3" xfId="23017" xr:uid="{00000000-0005-0000-0000-000015A20000}"/>
    <cellStyle name="Normal 4 2 3 4 3 5 3 2" xfId="54888" xr:uid="{00000000-0005-0000-0000-000016A20000}"/>
    <cellStyle name="Normal 4 2 3 4 3 5 4" xfId="42514" xr:uid="{00000000-0005-0000-0000-000017A20000}"/>
    <cellStyle name="Normal 4 2 3 4 3 6" xfId="10637" xr:uid="{00000000-0005-0000-0000-000018A20000}"/>
    <cellStyle name="Normal 4 2 3 4 3 6 2" xfId="26956" xr:uid="{00000000-0005-0000-0000-000019A20000}"/>
    <cellStyle name="Normal 4 2 3 4 3 6 2 2" xfId="58827" xr:uid="{00000000-0005-0000-0000-00001AA20000}"/>
    <cellStyle name="Normal 4 2 3 4 3 6 3" xfId="42516" xr:uid="{00000000-0005-0000-0000-00001BA20000}"/>
    <cellStyle name="Normal 4 2 3 4 3 7" xfId="19078" xr:uid="{00000000-0005-0000-0000-00001CA20000}"/>
    <cellStyle name="Normal 4 2 3 4 3 7 2" xfId="50949" xr:uid="{00000000-0005-0000-0000-00001DA20000}"/>
    <cellStyle name="Normal 4 2 3 4 3 8" xfId="42485" xr:uid="{00000000-0005-0000-0000-00001EA20000}"/>
    <cellStyle name="Normal 4 2 3 4 4" xfId="10638" xr:uid="{00000000-0005-0000-0000-00001FA20000}"/>
    <cellStyle name="Normal 4 2 3 4 4 2" xfId="10639" xr:uid="{00000000-0005-0000-0000-000020A20000}"/>
    <cellStyle name="Normal 4 2 3 4 4 2 2" xfId="10640" xr:uid="{00000000-0005-0000-0000-000021A20000}"/>
    <cellStyle name="Normal 4 2 3 4 4 2 2 2" xfId="10641" xr:uid="{00000000-0005-0000-0000-000022A20000}"/>
    <cellStyle name="Normal 4 2 3 4 4 2 2 2 2" xfId="10642" xr:uid="{00000000-0005-0000-0000-000023A20000}"/>
    <cellStyle name="Normal 4 2 3 4 4 2 2 2 2 2" xfId="30905" xr:uid="{00000000-0005-0000-0000-000024A20000}"/>
    <cellStyle name="Normal 4 2 3 4 4 2 2 2 2 2 2" xfId="62776" xr:uid="{00000000-0005-0000-0000-000025A20000}"/>
    <cellStyle name="Normal 4 2 3 4 4 2 2 2 2 3" xfId="42521" xr:uid="{00000000-0005-0000-0000-000026A20000}"/>
    <cellStyle name="Normal 4 2 3 4 4 2 2 2 3" xfId="23027" xr:uid="{00000000-0005-0000-0000-000027A20000}"/>
    <cellStyle name="Normal 4 2 3 4 4 2 2 2 3 2" xfId="54898" xr:uid="{00000000-0005-0000-0000-000028A20000}"/>
    <cellStyle name="Normal 4 2 3 4 4 2 2 2 4" xfId="42520" xr:uid="{00000000-0005-0000-0000-000029A20000}"/>
    <cellStyle name="Normal 4 2 3 4 4 2 2 3" xfId="10643" xr:uid="{00000000-0005-0000-0000-00002AA20000}"/>
    <cellStyle name="Normal 4 2 3 4 4 2 2 3 2" xfId="26966" xr:uid="{00000000-0005-0000-0000-00002BA20000}"/>
    <cellStyle name="Normal 4 2 3 4 4 2 2 3 2 2" xfId="58837" xr:uid="{00000000-0005-0000-0000-00002CA20000}"/>
    <cellStyle name="Normal 4 2 3 4 4 2 2 3 3" xfId="42522" xr:uid="{00000000-0005-0000-0000-00002DA20000}"/>
    <cellStyle name="Normal 4 2 3 4 4 2 2 4" xfId="19088" xr:uid="{00000000-0005-0000-0000-00002EA20000}"/>
    <cellStyle name="Normal 4 2 3 4 4 2 2 4 2" xfId="50959" xr:uid="{00000000-0005-0000-0000-00002FA20000}"/>
    <cellStyle name="Normal 4 2 3 4 4 2 2 5" xfId="42519" xr:uid="{00000000-0005-0000-0000-000030A20000}"/>
    <cellStyle name="Normal 4 2 3 4 4 2 3" xfId="10644" xr:uid="{00000000-0005-0000-0000-000031A20000}"/>
    <cellStyle name="Normal 4 2 3 4 4 2 3 2" xfId="10645" xr:uid="{00000000-0005-0000-0000-000032A20000}"/>
    <cellStyle name="Normal 4 2 3 4 4 2 3 2 2" xfId="30904" xr:uid="{00000000-0005-0000-0000-000033A20000}"/>
    <cellStyle name="Normal 4 2 3 4 4 2 3 2 2 2" xfId="62775" xr:uid="{00000000-0005-0000-0000-000034A20000}"/>
    <cellStyle name="Normal 4 2 3 4 4 2 3 2 3" xfId="42524" xr:uid="{00000000-0005-0000-0000-000035A20000}"/>
    <cellStyle name="Normal 4 2 3 4 4 2 3 3" xfId="23026" xr:uid="{00000000-0005-0000-0000-000036A20000}"/>
    <cellStyle name="Normal 4 2 3 4 4 2 3 3 2" xfId="54897" xr:uid="{00000000-0005-0000-0000-000037A20000}"/>
    <cellStyle name="Normal 4 2 3 4 4 2 3 4" xfId="42523" xr:uid="{00000000-0005-0000-0000-000038A20000}"/>
    <cellStyle name="Normal 4 2 3 4 4 2 4" xfId="10646" xr:uid="{00000000-0005-0000-0000-000039A20000}"/>
    <cellStyle name="Normal 4 2 3 4 4 2 4 2" xfId="26965" xr:uid="{00000000-0005-0000-0000-00003AA20000}"/>
    <cellStyle name="Normal 4 2 3 4 4 2 4 2 2" xfId="58836" xr:uid="{00000000-0005-0000-0000-00003BA20000}"/>
    <cellStyle name="Normal 4 2 3 4 4 2 4 3" xfId="42525" xr:uid="{00000000-0005-0000-0000-00003CA20000}"/>
    <cellStyle name="Normal 4 2 3 4 4 2 5" xfId="19087" xr:uid="{00000000-0005-0000-0000-00003DA20000}"/>
    <cellStyle name="Normal 4 2 3 4 4 2 5 2" xfId="50958" xr:uid="{00000000-0005-0000-0000-00003EA20000}"/>
    <cellStyle name="Normal 4 2 3 4 4 2 6" xfId="42518" xr:uid="{00000000-0005-0000-0000-00003FA20000}"/>
    <cellStyle name="Normal 4 2 3 4 4 3" xfId="10647" xr:uid="{00000000-0005-0000-0000-000040A20000}"/>
    <cellStyle name="Normal 4 2 3 4 4 3 2" xfId="10648" xr:uid="{00000000-0005-0000-0000-000041A20000}"/>
    <cellStyle name="Normal 4 2 3 4 4 3 2 2" xfId="10649" xr:uid="{00000000-0005-0000-0000-000042A20000}"/>
    <cellStyle name="Normal 4 2 3 4 4 3 2 2 2" xfId="30906" xr:uid="{00000000-0005-0000-0000-000043A20000}"/>
    <cellStyle name="Normal 4 2 3 4 4 3 2 2 2 2" xfId="62777" xr:uid="{00000000-0005-0000-0000-000044A20000}"/>
    <cellStyle name="Normal 4 2 3 4 4 3 2 2 3" xfId="42528" xr:uid="{00000000-0005-0000-0000-000045A20000}"/>
    <cellStyle name="Normal 4 2 3 4 4 3 2 3" xfId="23028" xr:uid="{00000000-0005-0000-0000-000046A20000}"/>
    <cellStyle name="Normal 4 2 3 4 4 3 2 3 2" xfId="54899" xr:uid="{00000000-0005-0000-0000-000047A20000}"/>
    <cellStyle name="Normal 4 2 3 4 4 3 2 4" xfId="42527" xr:uid="{00000000-0005-0000-0000-000048A20000}"/>
    <cellStyle name="Normal 4 2 3 4 4 3 3" xfId="10650" xr:uid="{00000000-0005-0000-0000-000049A20000}"/>
    <cellStyle name="Normal 4 2 3 4 4 3 3 2" xfId="26967" xr:uid="{00000000-0005-0000-0000-00004AA20000}"/>
    <cellStyle name="Normal 4 2 3 4 4 3 3 2 2" xfId="58838" xr:uid="{00000000-0005-0000-0000-00004BA20000}"/>
    <cellStyle name="Normal 4 2 3 4 4 3 3 3" xfId="42529" xr:uid="{00000000-0005-0000-0000-00004CA20000}"/>
    <cellStyle name="Normal 4 2 3 4 4 3 4" xfId="19089" xr:uid="{00000000-0005-0000-0000-00004DA20000}"/>
    <cellStyle name="Normal 4 2 3 4 4 3 4 2" xfId="50960" xr:uid="{00000000-0005-0000-0000-00004EA20000}"/>
    <cellStyle name="Normal 4 2 3 4 4 3 5" xfId="42526" xr:uid="{00000000-0005-0000-0000-00004FA20000}"/>
    <cellStyle name="Normal 4 2 3 4 4 4" xfId="10651" xr:uid="{00000000-0005-0000-0000-000050A20000}"/>
    <cellStyle name="Normal 4 2 3 4 4 4 2" xfId="10652" xr:uid="{00000000-0005-0000-0000-000051A20000}"/>
    <cellStyle name="Normal 4 2 3 4 4 4 2 2" xfId="30903" xr:uid="{00000000-0005-0000-0000-000052A20000}"/>
    <cellStyle name="Normal 4 2 3 4 4 4 2 2 2" xfId="62774" xr:uid="{00000000-0005-0000-0000-000053A20000}"/>
    <cellStyle name="Normal 4 2 3 4 4 4 2 3" xfId="42531" xr:uid="{00000000-0005-0000-0000-000054A20000}"/>
    <cellStyle name="Normal 4 2 3 4 4 4 3" xfId="23025" xr:uid="{00000000-0005-0000-0000-000055A20000}"/>
    <cellStyle name="Normal 4 2 3 4 4 4 3 2" xfId="54896" xr:uid="{00000000-0005-0000-0000-000056A20000}"/>
    <cellStyle name="Normal 4 2 3 4 4 4 4" xfId="42530" xr:uid="{00000000-0005-0000-0000-000057A20000}"/>
    <cellStyle name="Normal 4 2 3 4 4 5" xfId="10653" xr:uid="{00000000-0005-0000-0000-000058A20000}"/>
    <cellStyle name="Normal 4 2 3 4 4 5 2" xfId="26964" xr:uid="{00000000-0005-0000-0000-000059A20000}"/>
    <cellStyle name="Normal 4 2 3 4 4 5 2 2" xfId="58835" xr:uid="{00000000-0005-0000-0000-00005AA20000}"/>
    <cellStyle name="Normal 4 2 3 4 4 5 3" xfId="42532" xr:uid="{00000000-0005-0000-0000-00005BA20000}"/>
    <cellStyle name="Normal 4 2 3 4 4 6" xfId="19086" xr:uid="{00000000-0005-0000-0000-00005CA20000}"/>
    <cellStyle name="Normal 4 2 3 4 4 6 2" xfId="50957" xr:uid="{00000000-0005-0000-0000-00005DA20000}"/>
    <cellStyle name="Normal 4 2 3 4 4 7" xfId="42517" xr:uid="{00000000-0005-0000-0000-00005EA20000}"/>
    <cellStyle name="Normal 4 2 3 4 5" xfId="10654" xr:uid="{00000000-0005-0000-0000-00005FA20000}"/>
    <cellStyle name="Normal 4 2 3 4 5 2" xfId="10655" xr:uid="{00000000-0005-0000-0000-000060A20000}"/>
    <cellStyle name="Normal 4 2 3 4 5 2 2" xfId="10656" xr:uid="{00000000-0005-0000-0000-000061A20000}"/>
    <cellStyle name="Normal 4 2 3 4 5 2 2 2" xfId="10657" xr:uid="{00000000-0005-0000-0000-000062A20000}"/>
    <cellStyle name="Normal 4 2 3 4 5 2 2 2 2" xfId="30908" xr:uid="{00000000-0005-0000-0000-000063A20000}"/>
    <cellStyle name="Normal 4 2 3 4 5 2 2 2 2 2" xfId="62779" xr:uid="{00000000-0005-0000-0000-000064A20000}"/>
    <cellStyle name="Normal 4 2 3 4 5 2 2 2 3" xfId="42536" xr:uid="{00000000-0005-0000-0000-000065A20000}"/>
    <cellStyle name="Normal 4 2 3 4 5 2 2 3" xfId="23030" xr:uid="{00000000-0005-0000-0000-000066A20000}"/>
    <cellStyle name="Normal 4 2 3 4 5 2 2 3 2" xfId="54901" xr:uid="{00000000-0005-0000-0000-000067A20000}"/>
    <cellStyle name="Normal 4 2 3 4 5 2 2 4" xfId="42535" xr:uid="{00000000-0005-0000-0000-000068A20000}"/>
    <cellStyle name="Normal 4 2 3 4 5 2 3" xfId="10658" xr:uid="{00000000-0005-0000-0000-000069A20000}"/>
    <cellStyle name="Normal 4 2 3 4 5 2 3 2" xfId="26969" xr:uid="{00000000-0005-0000-0000-00006AA20000}"/>
    <cellStyle name="Normal 4 2 3 4 5 2 3 2 2" xfId="58840" xr:uid="{00000000-0005-0000-0000-00006BA20000}"/>
    <cellStyle name="Normal 4 2 3 4 5 2 3 3" xfId="42537" xr:uid="{00000000-0005-0000-0000-00006CA20000}"/>
    <cellStyle name="Normal 4 2 3 4 5 2 4" xfId="19091" xr:uid="{00000000-0005-0000-0000-00006DA20000}"/>
    <cellStyle name="Normal 4 2 3 4 5 2 4 2" xfId="50962" xr:uid="{00000000-0005-0000-0000-00006EA20000}"/>
    <cellStyle name="Normal 4 2 3 4 5 2 5" xfId="42534" xr:uid="{00000000-0005-0000-0000-00006FA20000}"/>
    <cellStyle name="Normal 4 2 3 4 5 3" xfId="10659" xr:uid="{00000000-0005-0000-0000-000070A20000}"/>
    <cellStyle name="Normal 4 2 3 4 5 3 2" xfId="10660" xr:uid="{00000000-0005-0000-0000-000071A20000}"/>
    <cellStyle name="Normal 4 2 3 4 5 3 2 2" xfId="30907" xr:uid="{00000000-0005-0000-0000-000072A20000}"/>
    <cellStyle name="Normal 4 2 3 4 5 3 2 2 2" xfId="62778" xr:uid="{00000000-0005-0000-0000-000073A20000}"/>
    <cellStyle name="Normal 4 2 3 4 5 3 2 3" xfId="42539" xr:uid="{00000000-0005-0000-0000-000074A20000}"/>
    <cellStyle name="Normal 4 2 3 4 5 3 3" xfId="23029" xr:uid="{00000000-0005-0000-0000-000075A20000}"/>
    <cellStyle name="Normal 4 2 3 4 5 3 3 2" xfId="54900" xr:uid="{00000000-0005-0000-0000-000076A20000}"/>
    <cellStyle name="Normal 4 2 3 4 5 3 4" xfId="42538" xr:uid="{00000000-0005-0000-0000-000077A20000}"/>
    <cellStyle name="Normal 4 2 3 4 5 4" xfId="10661" xr:uid="{00000000-0005-0000-0000-000078A20000}"/>
    <cellStyle name="Normal 4 2 3 4 5 4 2" xfId="26968" xr:uid="{00000000-0005-0000-0000-000079A20000}"/>
    <cellStyle name="Normal 4 2 3 4 5 4 2 2" xfId="58839" xr:uid="{00000000-0005-0000-0000-00007AA20000}"/>
    <cellStyle name="Normal 4 2 3 4 5 4 3" xfId="42540" xr:uid="{00000000-0005-0000-0000-00007BA20000}"/>
    <cellStyle name="Normal 4 2 3 4 5 5" xfId="19090" xr:uid="{00000000-0005-0000-0000-00007CA20000}"/>
    <cellStyle name="Normal 4 2 3 4 5 5 2" xfId="50961" xr:uid="{00000000-0005-0000-0000-00007DA20000}"/>
    <cellStyle name="Normal 4 2 3 4 5 6" xfId="42533" xr:uid="{00000000-0005-0000-0000-00007EA20000}"/>
    <cellStyle name="Normal 4 2 3 4 6" xfId="10662" xr:uid="{00000000-0005-0000-0000-00007FA20000}"/>
    <cellStyle name="Normal 4 2 3 4 6 2" xfId="10663" xr:uid="{00000000-0005-0000-0000-000080A20000}"/>
    <cellStyle name="Normal 4 2 3 4 6 2 2" xfId="10664" xr:uid="{00000000-0005-0000-0000-000081A20000}"/>
    <cellStyle name="Normal 4 2 3 4 6 2 2 2" xfId="30909" xr:uid="{00000000-0005-0000-0000-000082A20000}"/>
    <cellStyle name="Normal 4 2 3 4 6 2 2 2 2" xfId="62780" xr:uid="{00000000-0005-0000-0000-000083A20000}"/>
    <cellStyle name="Normal 4 2 3 4 6 2 2 3" xfId="42543" xr:uid="{00000000-0005-0000-0000-000084A20000}"/>
    <cellStyle name="Normal 4 2 3 4 6 2 3" xfId="23031" xr:uid="{00000000-0005-0000-0000-000085A20000}"/>
    <cellStyle name="Normal 4 2 3 4 6 2 3 2" xfId="54902" xr:uid="{00000000-0005-0000-0000-000086A20000}"/>
    <cellStyle name="Normal 4 2 3 4 6 2 4" xfId="42542" xr:uid="{00000000-0005-0000-0000-000087A20000}"/>
    <cellStyle name="Normal 4 2 3 4 6 3" xfId="10665" xr:uid="{00000000-0005-0000-0000-000088A20000}"/>
    <cellStyle name="Normal 4 2 3 4 6 3 2" xfId="26970" xr:uid="{00000000-0005-0000-0000-000089A20000}"/>
    <cellStyle name="Normal 4 2 3 4 6 3 2 2" xfId="58841" xr:uid="{00000000-0005-0000-0000-00008AA20000}"/>
    <cellStyle name="Normal 4 2 3 4 6 3 3" xfId="42544" xr:uid="{00000000-0005-0000-0000-00008BA20000}"/>
    <cellStyle name="Normal 4 2 3 4 6 4" xfId="19092" xr:uid="{00000000-0005-0000-0000-00008CA20000}"/>
    <cellStyle name="Normal 4 2 3 4 6 4 2" xfId="50963" xr:uid="{00000000-0005-0000-0000-00008DA20000}"/>
    <cellStyle name="Normal 4 2 3 4 6 5" xfId="42541" xr:uid="{00000000-0005-0000-0000-00008EA20000}"/>
    <cellStyle name="Normal 4 2 3 4 7" xfId="10666" xr:uid="{00000000-0005-0000-0000-00008FA20000}"/>
    <cellStyle name="Normal 4 2 3 4 7 2" xfId="10667" xr:uid="{00000000-0005-0000-0000-000090A20000}"/>
    <cellStyle name="Normal 4 2 3 4 7 2 2" xfId="28351" xr:uid="{00000000-0005-0000-0000-000091A20000}"/>
    <cellStyle name="Normal 4 2 3 4 7 2 2 2" xfId="60222" xr:uid="{00000000-0005-0000-0000-000092A20000}"/>
    <cellStyle name="Normal 4 2 3 4 7 2 3" xfId="42546" xr:uid="{00000000-0005-0000-0000-000093A20000}"/>
    <cellStyle name="Normal 4 2 3 4 7 3" xfId="20473" xr:uid="{00000000-0005-0000-0000-000094A20000}"/>
    <cellStyle name="Normal 4 2 3 4 7 3 2" xfId="52344" xr:uid="{00000000-0005-0000-0000-000095A20000}"/>
    <cellStyle name="Normal 4 2 3 4 7 4" xfId="42545" xr:uid="{00000000-0005-0000-0000-000096A20000}"/>
    <cellStyle name="Normal 4 2 3 4 8" xfId="10668" xr:uid="{00000000-0005-0000-0000-000097A20000}"/>
    <cellStyle name="Normal 4 2 3 4 8 2" xfId="24412" xr:uid="{00000000-0005-0000-0000-000098A20000}"/>
    <cellStyle name="Normal 4 2 3 4 8 2 2" xfId="56283" xr:uid="{00000000-0005-0000-0000-000099A20000}"/>
    <cellStyle name="Normal 4 2 3 4 8 3" xfId="42547" xr:uid="{00000000-0005-0000-0000-00009AA20000}"/>
    <cellStyle name="Normal 4 2 3 4 9" xfId="16534" xr:uid="{00000000-0005-0000-0000-00009BA20000}"/>
    <cellStyle name="Normal 4 2 3 4 9 2" xfId="48405" xr:uid="{00000000-0005-0000-0000-00009CA20000}"/>
    <cellStyle name="Normal 4 2 3 5" xfId="10669" xr:uid="{00000000-0005-0000-0000-00009DA20000}"/>
    <cellStyle name="Normal 4 2 3 5 2" xfId="10670" xr:uid="{00000000-0005-0000-0000-00009EA20000}"/>
    <cellStyle name="Normal 4 2 3 5 2 2" xfId="10671" xr:uid="{00000000-0005-0000-0000-00009FA20000}"/>
    <cellStyle name="Normal 4 2 3 5 2 2 2" xfId="10672" xr:uid="{00000000-0005-0000-0000-0000A0A20000}"/>
    <cellStyle name="Normal 4 2 3 5 2 2 2 2" xfId="10673" xr:uid="{00000000-0005-0000-0000-0000A1A20000}"/>
    <cellStyle name="Normal 4 2 3 5 2 2 2 2 2" xfId="10674" xr:uid="{00000000-0005-0000-0000-0000A2A20000}"/>
    <cellStyle name="Normal 4 2 3 5 2 2 2 2 2 2" xfId="10675" xr:uid="{00000000-0005-0000-0000-0000A3A20000}"/>
    <cellStyle name="Normal 4 2 3 5 2 2 2 2 2 2 2" xfId="30913" xr:uid="{00000000-0005-0000-0000-0000A4A20000}"/>
    <cellStyle name="Normal 4 2 3 5 2 2 2 2 2 2 2 2" xfId="62784" xr:uid="{00000000-0005-0000-0000-0000A5A20000}"/>
    <cellStyle name="Normal 4 2 3 5 2 2 2 2 2 2 3" xfId="42554" xr:uid="{00000000-0005-0000-0000-0000A6A20000}"/>
    <cellStyle name="Normal 4 2 3 5 2 2 2 2 2 3" xfId="23035" xr:uid="{00000000-0005-0000-0000-0000A7A20000}"/>
    <cellStyle name="Normal 4 2 3 5 2 2 2 2 2 3 2" xfId="54906" xr:uid="{00000000-0005-0000-0000-0000A8A20000}"/>
    <cellStyle name="Normal 4 2 3 5 2 2 2 2 2 4" xfId="42553" xr:uid="{00000000-0005-0000-0000-0000A9A20000}"/>
    <cellStyle name="Normal 4 2 3 5 2 2 2 2 3" xfId="10676" xr:uid="{00000000-0005-0000-0000-0000AAA20000}"/>
    <cellStyle name="Normal 4 2 3 5 2 2 2 2 3 2" xfId="26974" xr:uid="{00000000-0005-0000-0000-0000ABA20000}"/>
    <cellStyle name="Normal 4 2 3 5 2 2 2 2 3 2 2" xfId="58845" xr:uid="{00000000-0005-0000-0000-0000ACA20000}"/>
    <cellStyle name="Normal 4 2 3 5 2 2 2 2 3 3" xfId="42555" xr:uid="{00000000-0005-0000-0000-0000ADA20000}"/>
    <cellStyle name="Normal 4 2 3 5 2 2 2 2 4" xfId="19096" xr:uid="{00000000-0005-0000-0000-0000AEA20000}"/>
    <cellStyle name="Normal 4 2 3 5 2 2 2 2 4 2" xfId="50967" xr:uid="{00000000-0005-0000-0000-0000AFA20000}"/>
    <cellStyle name="Normal 4 2 3 5 2 2 2 2 5" xfId="42552" xr:uid="{00000000-0005-0000-0000-0000B0A20000}"/>
    <cellStyle name="Normal 4 2 3 5 2 2 2 3" xfId="10677" xr:uid="{00000000-0005-0000-0000-0000B1A20000}"/>
    <cellStyle name="Normal 4 2 3 5 2 2 2 3 2" xfId="10678" xr:uid="{00000000-0005-0000-0000-0000B2A20000}"/>
    <cellStyle name="Normal 4 2 3 5 2 2 2 3 2 2" xfId="30912" xr:uid="{00000000-0005-0000-0000-0000B3A20000}"/>
    <cellStyle name="Normal 4 2 3 5 2 2 2 3 2 2 2" xfId="62783" xr:uid="{00000000-0005-0000-0000-0000B4A20000}"/>
    <cellStyle name="Normal 4 2 3 5 2 2 2 3 2 3" xfId="42557" xr:uid="{00000000-0005-0000-0000-0000B5A20000}"/>
    <cellStyle name="Normal 4 2 3 5 2 2 2 3 3" xfId="23034" xr:uid="{00000000-0005-0000-0000-0000B6A20000}"/>
    <cellStyle name="Normal 4 2 3 5 2 2 2 3 3 2" xfId="54905" xr:uid="{00000000-0005-0000-0000-0000B7A20000}"/>
    <cellStyle name="Normal 4 2 3 5 2 2 2 3 4" xfId="42556" xr:uid="{00000000-0005-0000-0000-0000B8A20000}"/>
    <cellStyle name="Normal 4 2 3 5 2 2 2 4" xfId="10679" xr:uid="{00000000-0005-0000-0000-0000B9A20000}"/>
    <cellStyle name="Normal 4 2 3 5 2 2 2 4 2" xfId="26973" xr:uid="{00000000-0005-0000-0000-0000BAA20000}"/>
    <cellStyle name="Normal 4 2 3 5 2 2 2 4 2 2" xfId="58844" xr:uid="{00000000-0005-0000-0000-0000BBA20000}"/>
    <cellStyle name="Normal 4 2 3 5 2 2 2 4 3" xfId="42558" xr:uid="{00000000-0005-0000-0000-0000BCA20000}"/>
    <cellStyle name="Normal 4 2 3 5 2 2 2 5" xfId="19095" xr:uid="{00000000-0005-0000-0000-0000BDA20000}"/>
    <cellStyle name="Normal 4 2 3 5 2 2 2 5 2" xfId="50966" xr:uid="{00000000-0005-0000-0000-0000BEA20000}"/>
    <cellStyle name="Normal 4 2 3 5 2 2 2 6" xfId="42551" xr:uid="{00000000-0005-0000-0000-0000BFA20000}"/>
    <cellStyle name="Normal 4 2 3 5 2 2 3" xfId="10680" xr:uid="{00000000-0005-0000-0000-0000C0A20000}"/>
    <cellStyle name="Normal 4 2 3 5 2 2 3 2" xfId="10681" xr:uid="{00000000-0005-0000-0000-0000C1A20000}"/>
    <cellStyle name="Normal 4 2 3 5 2 2 3 2 2" xfId="10682" xr:uid="{00000000-0005-0000-0000-0000C2A20000}"/>
    <cellStyle name="Normal 4 2 3 5 2 2 3 2 2 2" xfId="30914" xr:uid="{00000000-0005-0000-0000-0000C3A20000}"/>
    <cellStyle name="Normal 4 2 3 5 2 2 3 2 2 2 2" xfId="62785" xr:uid="{00000000-0005-0000-0000-0000C4A20000}"/>
    <cellStyle name="Normal 4 2 3 5 2 2 3 2 2 3" xfId="42561" xr:uid="{00000000-0005-0000-0000-0000C5A20000}"/>
    <cellStyle name="Normal 4 2 3 5 2 2 3 2 3" xfId="23036" xr:uid="{00000000-0005-0000-0000-0000C6A20000}"/>
    <cellStyle name="Normal 4 2 3 5 2 2 3 2 3 2" xfId="54907" xr:uid="{00000000-0005-0000-0000-0000C7A20000}"/>
    <cellStyle name="Normal 4 2 3 5 2 2 3 2 4" xfId="42560" xr:uid="{00000000-0005-0000-0000-0000C8A20000}"/>
    <cellStyle name="Normal 4 2 3 5 2 2 3 3" xfId="10683" xr:uid="{00000000-0005-0000-0000-0000C9A20000}"/>
    <cellStyle name="Normal 4 2 3 5 2 2 3 3 2" xfId="26975" xr:uid="{00000000-0005-0000-0000-0000CAA20000}"/>
    <cellStyle name="Normal 4 2 3 5 2 2 3 3 2 2" xfId="58846" xr:uid="{00000000-0005-0000-0000-0000CBA20000}"/>
    <cellStyle name="Normal 4 2 3 5 2 2 3 3 3" xfId="42562" xr:uid="{00000000-0005-0000-0000-0000CCA20000}"/>
    <cellStyle name="Normal 4 2 3 5 2 2 3 4" xfId="19097" xr:uid="{00000000-0005-0000-0000-0000CDA20000}"/>
    <cellStyle name="Normal 4 2 3 5 2 2 3 4 2" xfId="50968" xr:uid="{00000000-0005-0000-0000-0000CEA20000}"/>
    <cellStyle name="Normal 4 2 3 5 2 2 3 5" xfId="42559" xr:uid="{00000000-0005-0000-0000-0000CFA20000}"/>
    <cellStyle name="Normal 4 2 3 5 2 2 4" xfId="10684" xr:uid="{00000000-0005-0000-0000-0000D0A20000}"/>
    <cellStyle name="Normal 4 2 3 5 2 2 4 2" xfId="10685" xr:uid="{00000000-0005-0000-0000-0000D1A20000}"/>
    <cellStyle name="Normal 4 2 3 5 2 2 4 2 2" xfId="30911" xr:uid="{00000000-0005-0000-0000-0000D2A20000}"/>
    <cellStyle name="Normal 4 2 3 5 2 2 4 2 2 2" xfId="62782" xr:uid="{00000000-0005-0000-0000-0000D3A20000}"/>
    <cellStyle name="Normal 4 2 3 5 2 2 4 2 3" xfId="42564" xr:uid="{00000000-0005-0000-0000-0000D4A20000}"/>
    <cellStyle name="Normal 4 2 3 5 2 2 4 3" xfId="23033" xr:uid="{00000000-0005-0000-0000-0000D5A20000}"/>
    <cellStyle name="Normal 4 2 3 5 2 2 4 3 2" xfId="54904" xr:uid="{00000000-0005-0000-0000-0000D6A20000}"/>
    <cellStyle name="Normal 4 2 3 5 2 2 4 4" xfId="42563" xr:uid="{00000000-0005-0000-0000-0000D7A20000}"/>
    <cellStyle name="Normal 4 2 3 5 2 2 5" xfId="10686" xr:uid="{00000000-0005-0000-0000-0000D8A20000}"/>
    <cellStyle name="Normal 4 2 3 5 2 2 5 2" xfId="26972" xr:uid="{00000000-0005-0000-0000-0000D9A20000}"/>
    <cellStyle name="Normal 4 2 3 5 2 2 5 2 2" xfId="58843" xr:uid="{00000000-0005-0000-0000-0000DAA20000}"/>
    <cellStyle name="Normal 4 2 3 5 2 2 5 3" xfId="42565" xr:uid="{00000000-0005-0000-0000-0000DBA20000}"/>
    <cellStyle name="Normal 4 2 3 5 2 2 6" xfId="19094" xr:uid="{00000000-0005-0000-0000-0000DCA20000}"/>
    <cellStyle name="Normal 4 2 3 5 2 2 6 2" xfId="50965" xr:uid="{00000000-0005-0000-0000-0000DDA20000}"/>
    <cellStyle name="Normal 4 2 3 5 2 2 7" xfId="42550" xr:uid="{00000000-0005-0000-0000-0000DEA20000}"/>
    <cellStyle name="Normal 4 2 3 5 2 3" xfId="10687" xr:uid="{00000000-0005-0000-0000-0000DFA20000}"/>
    <cellStyle name="Normal 4 2 3 5 2 3 2" xfId="10688" xr:uid="{00000000-0005-0000-0000-0000E0A20000}"/>
    <cellStyle name="Normal 4 2 3 5 2 3 2 2" xfId="10689" xr:uid="{00000000-0005-0000-0000-0000E1A20000}"/>
    <cellStyle name="Normal 4 2 3 5 2 3 2 2 2" xfId="10690" xr:uid="{00000000-0005-0000-0000-0000E2A20000}"/>
    <cellStyle name="Normal 4 2 3 5 2 3 2 2 2 2" xfId="30916" xr:uid="{00000000-0005-0000-0000-0000E3A20000}"/>
    <cellStyle name="Normal 4 2 3 5 2 3 2 2 2 2 2" xfId="62787" xr:uid="{00000000-0005-0000-0000-0000E4A20000}"/>
    <cellStyle name="Normal 4 2 3 5 2 3 2 2 2 3" xfId="42569" xr:uid="{00000000-0005-0000-0000-0000E5A20000}"/>
    <cellStyle name="Normal 4 2 3 5 2 3 2 2 3" xfId="23038" xr:uid="{00000000-0005-0000-0000-0000E6A20000}"/>
    <cellStyle name="Normal 4 2 3 5 2 3 2 2 3 2" xfId="54909" xr:uid="{00000000-0005-0000-0000-0000E7A20000}"/>
    <cellStyle name="Normal 4 2 3 5 2 3 2 2 4" xfId="42568" xr:uid="{00000000-0005-0000-0000-0000E8A20000}"/>
    <cellStyle name="Normal 4 2 3 5 2 3 2 3" xfId="10691" xr:uid="{00000000-0005-0000-0000-0000E9A20000}"/>
    <cellStyle name="Normal 4 2 3 5 2 3 2 3 2" xfId="26977" xr:uid="{00000000-0005-0000-0000-0000EAA20000}"/>
    <cellStyle name="Normal 4 2 3 5 2 3 2 3 2 2" xfId="58848" xr:uid="{00000000-0005-0000-0000-0000EBA20000}"/>
    <cellStyle name="Normal 4 2 3 5 2 3 2 3 3" xfId="42570" xr:uid="{00000000-0005-0000-0000-0000ECA20000}"/>
    <cellStyle name="Normal 4 2 3 5 2 3 2 4" xfId="19099" xr:uid="{00000000-0005-0000-0000-0000EDA20000}"/>
    <cellStyle name="Normal 4 2 3 5 2 3 2 4 2" xfId="50970" xr:uid="{00000000-0005-0000-0000-0000EEA20000}"/>
    <cellStyle name="Normal 4 2 3 5 2 3 2 5" xfId="42567" xr:uid="{00000000-0005-0000-0000-0000EFA20000}"/>
    <cellStyle name="Normal 4 2 3 5 2 3 3" xfId="10692" xr:uid="{00000000-0005-0000-0000-0000F0A20000}"/>
    <cellStyle name="Normal 4 2 3 5 2 3 3 2" xfId="10693" xr:uid="{00000000-0005-0000-0000-0000F1A20000}"/>
    <cellStyle name="Normal 4 2 3 5 2 3 3 2 2" xfId="30915" xr:uid="{00000000-0005-0000-0000-0000F2A20000}"/>
    <cellStyle name="Normal 4 2 3 5 2 3 3 2 2 2" xfId="62786" xr:uid="{00000000-0005-0000-0000-0000F3A20000}"/>
    <cellStyle name="Normal 4 2 3 5 2 3 3 2 3" xfId="42572" xr:uid="{00000000-0005-0000-0000-0000F4A20000}"/>
    <cellStyle name="Normal 4 2 3 5 2 3 3 3" xfId="23037" xr:uid="{00000000-0005-0000-0000-0000F5A20000}"/>
    <cellStyle name="Normal 4 2 3 5 2 3 3 3 2" xfId="54908" xr:uid="{00000000-0005-0000-0000-0000F6A20000}"/>
    <cellStyle name="Normal 4 2 3 5 2 3 3 4" xfId="42571" xr:uid="{00000000-0005-0000-0000-0000F7A20000}"/>
    <cellStyle name="Normal 4 2 3 5 2 3 4" xfId="10694" xr:uid="{00000000-0005-0000-0000-0000F8A20000}"/>
    <cellStyle name="Normal 4 2 3 5 2 3 4 2" xfId="26976" xr:uid="{00000000-0005-0000-0000-0000F9A20000}"/>
    <cellStyle name="Normal 4 2 3 5 2 3 4 2 2" xfId="58847" xr:uid="{00000000-0005-0000-0000-0000FAA20000}"/>
    <cellStyle name="Normal 4 2 3 5 2 3 4 3" xfId="42573" xr:uid="{00000000-0005-0000-0000-0000FBA20000}"/>
    <cellStyle name="Normal 4 2 3 5 2 3 5" xfId="19098" xr:uid="{00000000-0005-0000-0000-0000FCA20000}"/>
    <cellStyle name="Normal 4 2 3 5 2 3 5 2" xfId="50969" xr:uid="{00000000-0005-0000-0000-0000FDA20000}"/>
    <cellStyle name="Normal 4 2 3 5 2 3 6" xfId="42566" xr:uid="{00000000-0005-0000-0000-0000FEA20000}"/>
    <cellStyle name="Normal 4 2 3 5 2 4" xfId="10695" xr:uid="{00000000-0005-0000-0000-0000FFA20000}"/>
    <cellStyle name="Normal 4 2 3 5 2 4 2" xfId="10696" xr:uid="{00000000-0005-0000-0000-000000A30000}"/>
    <cellStyle name="Normal 4 2 3 5 2 4 2 2" xfId="10697" xr:uid="{00000000-0005-0000-0000-000001A30000}"/>
    <cellStyle name="Normal 4 2 3 5 2 4 2 2 2" xfId="30917" xr:uid="{00000000-0005-0000-0000-000002A30000}"/>
    <cellStyle name="Normal 4 2 3 5 2 4 2 2 2 2" xfId="62788" xr:uid="{00000000-0005-0000-0000-000003A30000}"/>
    <cellStyle name="Normal 4 2 3 5 2 4 2 2 3" xfId="42576" xr:uid="{00000000-0005-0000-0000-000004A30000}"/>
    <cellStyle name="Normal 4 2 3 5 2 4 2 3" xfId="23039" xr:uid="{00000000-0005-0000-0000-000005A30000}"/>
    <cellStyle name="Normal 4 2 3 5 2 4 2 3 2" xfId="54910" xr:uid="{00000000-0005-0000-0000-000006A30000}"/>
    <cellStyle name="Normal 4 2 3 5 2 4 2 4" xfId="42575" xr:uid="{00000000-0005-0000-0000-000007A30000}"/>
    <cellStyle name="Normal 4 2 3 5 2 4 3" xfId="10698" xr:uid="{00000000-0005-0000-0000-000008A30000}"/>
    <cellStyle name="Normal 4 2 3 5 2 4 3 2" xfId="26978" xr:uid="{00000000-0005-0000-0000-000009A30000}"/>
    <cellStyle name="Normal 4 2 3 5 2 4 3 2 2" xfId="58849" xr:uid="{00000000-0005-0000-0000-00000AA30000}"/>
    <cellStyle name="Normal 4 2 3 5 2 4 3 3" xfId="42577" xr:uid="{00000000-0005-0000-0000-00000BA30000}"/>
    <cellStyle name="Normal 4 2 3 5 2 4 4" xfId="19100" xr:uid="{00000000-0005-0000-0000-00000CA30000}"/>
    <cellStyle name="Normal 4 2 3 5 2 4 4 2" xfId="50971" xr:uid="{00000000-0005-0000-0000-00000DA30000}"/>
    <cellStyle name="Normal 4 2 3 5 2 4 5" xfId="42574" xr:uid="{00000000-0005-0000-0000-00000EA30000}"/>
    <cellStyle name="Normal 4 2 3 5 2 5" xfId="10699" xr:uid="{00000000-0005-0000-0000-00000FA30000}"/>
    <cellStyle name="Normal 4 2 3 5 2 5 2" xfId="10700" xr:uid="{00000000-0005-0000-0000-000010A30000}"/>
    <cellStyle name="Normal 4 2 3 5 2 5 2 2" xfId="30910" xr:uid="{00000000-0005-0000-0000-000011A30000}"/>
    <cellStyle name="Normal 4 2 3 5 2 5 2 2 2" xfId="62781" xr:uid="{00000000-0005-0000-0000-000012A30000}"/>
    <cellStyle name="Normal 4 2 3 5 2 5 2 3" xfId="42579" xr:uid="{00000000-0005-0000-0000-000013A30000}"/>
    <cellStyle name="Normal 4 2 3 5 2 5 3" xfId="23032" xr:uid="{00000000-0005-0000-0000-000014A30000}"/>
    <cellStyle name="Normal 4 2 3 5 2 5 3 2" xfId="54903" xr:uid="{00000000-0005-0000-0000-000015A30000}"/>
    <cellStyle name="Normal 4 2 3 5 2 5 4" xfId="42578" xr:uid="{00000000-0005-0000-0000-000016A30000}"/>
    <cellStyle name="Normal 4 2 3 5 2 6" xfId="10701" xr:uid="{00000000-0005-0000-0000-000017A30000}"/>
    <cellStyle name="Normal 4 2 3 5 2 6 2" xfId="26971" xr:uid="{00000000-0005-0000-0000-000018A30000}"/>
    <cellStyle name="Normal 4 2 3 5 2 6 2 2" xfId="58842" xr:uid="{00000000-0005-0000-0000-000019A30000}"/>
    <cellStyle name="Normal 4 2 3 5 2 6 3" xfId="42580" xr:uid="{00000000-0005-0000-0000-00001AA30000}"/>
    <cellStyle name="Normal 4 2 3 5 2 7" xfId="19093" xr:uid="{00000000-0005-0000-0000-00001BA30000}"/>
    <cellStyle name="Normal 4 2 3 5 2 7 2" xfId="50964" xr:uid="{00000000-0005-0000-0000-00001CA30000}"/>
    <cellStyle name="Normal 4 2 3 5 2 8" xfId="42549" xr:uid="{00000000-0005-0000-0000-00001DA30000}"/>
    <cellStyle name="Normal 4 2 3 5 3" xfId="10702" xr:uid="{00000000-0005-0000-0000-00001EA30000}"/>
    <cellStyle name="Normal 4 2 3 5 3 2" xfId="10703" xr:uid="{00000000-0005-0000-0000-00001FA30000}"/>
    <cellStyle name="Normal 4 2 3 5 3 2 2" xfId="10704" xr:uid="{00000000-0005-0000-0000-000020A30000}"/>
    <cellStyle name="Normal 4 2 3 5 3 2 2 2" xfId="10705" xr:uid="{00000000-0005-0000-0000-000021A30000}"/>
    <cellStyle name="Normal 4 2 3 5 3 2 2 2 2" xfId="10706" xr:uid="{00000000-0005-0000-0000-000022A30000}"/>
    <cellStyle name="Normal 4 2 3 5 3 2 2 2 2 2" xfId="30920" xr:uid="{00000000-0005-0000-0000-000023A30000}"/>
    <cellStyle name="Normal 4 2 3 5 3 2 2 2 2 2 2" xfId="62791" xr:uid="{00000000-0005-0000-0000-000024A30000}"/>
    <cellStyle name="Normal 4 2 3 5 3 2 2 2 2 3" xfId="42585" xr:uid="{00000000-0005-0000-0000-000025A30000}"/>
    <cellStyle name="Normal 4 2 3 5 3 2 2 2 3" xfId="23042" xr:uid="{00000000-0005-0000-0000-000026A30000}"/>
    <cellStyle name="Normal 4 2 3 5 3 2 2 2 3 2" xfId="54913" xr:uid="{00000000-0005-0000-0000-000027A30000}"/>
    <cellStyle name="Normal 4 2 3 5 3 2 2 2 4" xfId="42584" xr:uid="{00000000-0005-0000-0000-000028A30000}"/>
    <cellStyle name="Normal 4 2 3 5 3 2 2 3" xfId="10707" xr:uid="{00000000-0005-0000-0000-000029A30000}"/>
    <cellStyle name="Normal 4 2 3 5 3 2 2 3 2" xfId="26981" xr:uid="{00000000-0005-0000-0000-00002AA30000}"/>
    <cellStyle name="Normal 4 2 3 5 3 2 2 3 2 2" xfId="58852" xr:uid="{00000000-0005-0000-0000-00002BA30000}"/>
    <cellStyle name="Normal 4 2 3 5 3 2 2 3 3" xfId="42586" xr:uid="{00000000-0005-0000-0000-00002CA30000}"/>
    <cellStyle name="Normal 4 2 3 5 3 2 2 4" xfId="19103" xr:uid="{00000000-0005-0000-0000-00002DA30000}"/>
    <cellStyle name="Normal 4 2 3 5 3 2 2 4 2" xfId="50974" xr:uid="{00000000-0005-0000-0000-00002EA30000}"/>
    <cellStyle name="Normal 4 2 3 5 3 2 2 5" xfId="42583" xr:uid="{00000000-0005-0000-0000-00002FA30000}"/>
    <cellStyle name="Normal 4 2 3 5 3 2 3" xfId="10708" xr:uid="{00000000-0005-0000-0000-000030A30000}"/>
    <cellStyle name="Normal 4 2 3 5 3 2 3 2" xfId="10709" xr:uid="{00000000-0005-0000-0000-000031A30000}"/>
    <cellStyle name="Normal 4 2 3 5 3 2 3 2 2" xfId="30919" xr:uid="{00000000-0005-0000-0000-000032A30000}"/>
    <cellStyle name="Normal 4 2 3 5 3 2 3 2 2 2" xfId="62790" xr:uid="{00000000-0005-0000-0000-000033A30000}"/>
    <cellStyle name="Normal 4 2 3 5 3 2 3 2 3" xfId="42588" xr:uid="{00000000-0005-0000-0000-000034A30000}"/>
    <cellStyle name="Normal 4 2 3 5 3 2 3 3" xfId="23041" xr:uid="{00000000-0005-0000-0000-000035A30000}"/>
    <cellStyle name="Normal 4 2 3 5 3 2 3 3 2" xfId="54912" xr:uid="{00000000-0005-0000-0000-000036A30000}"/>
    <cellStyle name="Normal 4 2 3 5 3 2 3 4" xfId="42587" xr:uid="{00000000-0005-0000-0000-000037A30000}"/>
    <cellStyle name="Normal 4 2 3 5 3 2 4" xfId="10710" xr:uid="{00000000-0005-0000-0000-000038A30000}"/>
    <cellStyle name="Normal 4 2 3 5 3 2 4 2" xfId="26980" xr:uid="{00000000-0005-0000-0000-000039A30000}"/>
    <cellStyle name="Normal 4 2 3 5 3 2 4 2 2" xfId="58851" xr:uid="{00000000-0005-0000-0000-00003AA30000}"/>
    <cellStyle name="Normal 4 2 3 5 3 2 4 3" xfId="42589" xr:uid="{00000000-0005-0000-0000-00003BA30000}"/>
    <cellStyle name="Normal 4 2 3 5 3 2 5" xfId="19102" xr:uid="{00000000-0005-0000-0000-00003CA30000}"/>
    <cellStyle name="Normal 4 2 3 5 3 2 5 2" xfId="50973" xr:uid="{00000000-0005-0000-0000-00003DA30000}"/>
    <cellStyle name="Normal 4 2 3 5 3 2 6" xfId="42582" xr:uid="{00000000-0005-0000-0000-00003EA30000}"/>
    <cellStyle name="Normal 4 2 3 5 3 3" xfId="10711" xr:uid="{00000000-0005-0000-0000-00003FA30000}"/>
    <cellStyle name="Normal 4 2 3 5 3 3 2" xfId="10712" xr:uid="{00000000-0005-0000-0000-000040A30000}"/>
    <cellStyle name="Normal 4 2 3 5 3 3 2 2" xfId="10713" xr:uid="{00000000-0005-0000-0000-000041A30000}"/>
    <cellStyle name="Normal 4 2 3 5 3 3 2 2 2" xfId="30921" xr:uid="{00000000-0005-0000-0000-000042A30000}"/>
    <cellStyle name="Normal 4 2 3 5 3 3 2 2 2 2" xfId="62792" xr:uid="{00000000-0005-0000-0000-000043A30000}"/>
    <cellStyle name="Normal 4 2 3 5 3 3 2 2 3" xfId="42592" xr:uid="{00000000-0005-0000-0000-000044A30000}"/>
    <cellStyle name="Normal 4 2 3 5 3 3 2 3" xfId="23043" xr:uid="{00000000-0005-0000-0000-000045A30000}"/>
    <cellStyle name="Normal 4 2 3 5 3 3 2 3 2" xfId="54914" xr:uid="{00000000-0005-0000-0000-000046A30000}"/>
    <cellStyle name="Normal 4 2 3 5 3 3 2 4" xfId="42591" xr:uid="{00000000-0005-0000-0000-000047A30000}"/>
    <cellStyle name="Normal 4 2 3 5 3 3 3" xfId="10714" xr:uid="{00000000-0005-0000-0000-000048A30000}"/>
    <cellStyle name="Normal 4 2 3 5 3 3 3 2" xfId="26982" xr:uid="{00000000-0005-0000-0000-000049A30000}"/>
    <cellStyle name="Normal 4 2 3 5 3 3 3 2 2" xfId="58853" xr:uid="{00000000-0005-0000-0000-00004AA30000}"/>
    <cellStyle name="Normal 4 2 3 5 3 3 3 3" xfId="42593" xr:uid="{00000000-0005-0000-0000-00004BA30000}"/>
    <cellStyle name="Normal 4 2 3 5 3 3 4" xfId="19104" xr:uid="{00000000-0005-0000-0000-00004CA30000}"/>
    <cellStyle name="Normal 4 2 3 5 3 3 4 2" xfId="50975" xr:uid="{00000000-0005-0000-0000-00004DA30000}"/>
    <cellStyle name="Normal 4 2 3 5 3 3 5" xfId="42590" xr:uid="{00000000-0005-0000-0000-00004EA30000}"/>
    <cellStyle name="Normal 4 2 3 5 3 4" xfId="10715" xr:uid="{00000000-0005-0000-0000-00004FA30000}"/>
    <cellStyle name="Normal 4 2 3 5 3 4 2" xfId="10716" xr:uid="{00000000-0005-0000-0000-000050A30000}"/>
    <cellStyle name="Normal 4 2 3 5 3 4 2 2" xfId="30918" xr:uid="{00000000-0005-0000-0000-000051A30000}"/>
    <cellStyle name="Normal 4 2 3 5 3 4 2 2 2" xfId="62789" xr:uid="{00000000-0005-0000-0000-000052A30000}"/>
    <cellStyle name="Normal 4 2 3 5 3 4 2 3" xfId="42595" xr:uid="{00000000-0005-0000-0000-000053A30000}"/>
    <cellStyle name="Normal 4 2 3 5 3 4 3" xfId="23040" xr:uid="{00000000-0005-0000-0000-000054A30000}"/>
    <cellStyle name="Normal 4 2 3 5 3 4 3 2" xfId="54911" xr:uid="{00000000-0005-0000-0000-000055A30000}"/>
    <cellStyle name="Normal 4 2 3 5 3 4 4" xfId="42594" xr:uid="{00000000-0005-0000-0000-000056A30000}"/>
    <cellStyle name="Normal 4 2 3 5 3 5" xfId="10717" xr:uid="{00000000-0005-0000-0000-000057A30000}"/>
    <cellStyle name="Normal 4 2 3 5 3 5 2" xfId="26979" xr:uid="{00000000-0005-0000-0000-000058A30000}"/>
    <cellStyle name="Normal 4 2 3 5 3 5 2 2" xfId="58850" xr:uid="{00000000-0005-0000-0000-000059A30000}"/>
    <cellStyle name="Normal 4 2 3 5 3 5 3" xfId="42596" xr:uid="{00000000-0005-0000-0000-00005AA30000}"/>
    <cellStyle name="Normal 4 2 3 5 3 6" xfId="19101" xr:uid="{00000000-0005-0000-0000-00005BA30000}"/>
    <cellStyle name="Normal 4 2 3 5 3 6 2" xfId="50972" xr:uid="{00000000-0005-0000-0000-00005CA30000}"/>
    <cellStyle name="Normal 4 2 3 5 3 7" xfId="42581" xr:uid="{00000000-0005-0000-0000-00005DA30000}"/>
    <cellStyle name="Normal 4 2 3 5 4" xfId="10718" xr:uid="{00000000-0005-0000-0000-00005EA30000}"/>
    <cellStyle name="Normal 4 2 3 5 4 2" xfId="10719" xr:uid="{00000000-0005-0000-0000-00005FA30000}"/>
    <cellStyle name="Normal 4 2 3 5 4 2 2" xfId="10720" xr:uid="{00000000-0005-0000-0000-000060A30000}"/>
    <cellStyle name="Normal 4 2 3 5 4 2 2 2" xfId="10721" xr:uid="{00000000-0005-0000-0000-000061A30000}"/>
    <cellStyle name="Normal 4 2 3 5 4 2 2 2 2" xfId="30923" xr:uid="{00000000-0005-0000-0000-000062A30000}"/>
    <cellStyle name="Normal 4 2 3 5 4 2 2 2 2 2" xfId="62794" xr:uid="{00000000-0005-0000-0000-000063A30000}"/>
    <cellStyle name="Normal 4 2 3 5 4 2 2 2 3" xfId="42600" xr:uid="{00000000-0005-0000-0000-000064A30000}"/>
    <cellStyle name="Normal 4 2 3 5 4 2 2 3" xfId="23045" xr:uid="{00000000-0005-0000-0000-000065A30000}"/>
    <cellStyle name="Normal 4 2 3 5 4 2 2 3 2" xfId="54916" xr:uid="{00000000-0005-0000-0000-000066A30000}"/>
    <cellStyle name="Normal 4 2 3 5 4 2 2 4" xfId="42599" xr:uid="{00000000-0005-0000-0000-000067A30000}"/>
    <cellStyle name="Normal 4 2 3 5 4 2 3" xfId="10722" xr:uid="{00000000-0005-0000-0000-000068A30000}"/>
    <cellStyle name="Normal 4 2 3 5 4 2 3 2" xfId="26984" xr:uid="{00000000-0005-0000-0000-000069A30000}"/>
    <cellStyle name="Normal 4 2 3 5 4 2 3 2 2" xfId="58855" xr:uid="{00000000-0005-0000-0000-00006AA30000}"/>
    <cellStyle name="Normal 4 2 3 5 4 2 3 3" xfId="42601" xr:uid="{00000000-0005-0000-0000-00006BA30000}"/>
    <cellStyle name="Normal 4 2 3 5 4 2 4" xfId="19106" xr:uid="{00000000-0005-0000-0000-00006CA30000}"/>
    <cellStyle name="Normal 4 2 3 5 4 2 4 2" xfId="50977" xr:uid="{00000000-0005-0000-0000-00006DA30000}"/>
    <cellStyle name="Normal 4 2 3 5 4 2 5" xfId="42598" xr:uid="{00000000-0005-0000-0000-00006EA30000}"/>
    <cellStyle name="Normal 4 2 3 5 4 3" xfId="10723" xr:uid="{00000000-0005-0000-0000-00006FA30000}"/>
    <cellStyle name="Normal 4 2 3 5 4 3 2" xfId="10724" xr:uid="{00000000-0005-0000-0000-000070A30000}"/>
    <cellStyle name="Normal 4 2 3 5 4 3 2 2" xfId="30922" xr:uid="{00000000-0005-0000-0000-000071A30000}"/>
    <cellStyle name="Normal 4 2 3 5 4 3 2 2 2" xfId="62793" xr:uid="{00000000-0005-0000-0000-000072A30000}"/>
    <cellStyle name="Normal 4 2 3 5 4 3 2 3" xfId="42603" xr:uid="{00000000-0005-0000-0000-000073A30000}"/>
    <cellStyle name="Normal 4 2 3 5 4 3 3" xfId="23044" xr:uid="{00000000-0005-0000-0000-000074A30000}"/>
    <cellStyle name="Normal 4 2 3 5 4 3 3 2" xfId="54915" xr:uid="{00000000-0005-0000-0000-000075A30000}"/>
    <cellStyle name="Normal 4 2 3 5 4 3 4" xfId="42602" xr:uid="{00000000-0005-0000-0000-000076A30000}"/>
    <cellStyle name="Normal 4 2 3 5 4 4" xfId="10725" xr:uid="{00000000-0005-0000-0000-000077A30000}"/>
    <cellStyle name="Normal 4 2 3 5 4 4 2" xfId="26983" xr:uid="{00000000-0005-0000-0000-000078A30000}"/>
    <cellStyle name="Normal 4 2 3 5 4 4 2 2" xfId="58854" xr:uid="{00000000-0005-0000-0000-000079A30000}"/>
    <cellStyle name="Normal 4 2 3 5 4 4 3" xfId="42604" xr:uid="{00000000-0005-0000-0000-00007AA30000}"/>
    <cellStyle name="Normal 4 2 3 5 4 5" xfId="19105" xr:uid="{00000000-0005-0000-0000-00007BA30000}"/>
    <cellStyle name="Normal 4 2 3 5 4 5 2" xfId="50976" xr:uid="{00000000-0005-0000-0000-00007CA30000}"/>
    <cellStyle name="Normal 4 2 3 5 4 6" xfId="42597" xr:uid="{00000000-0005-0000-0000-00007DA30000}"/>
    <cellStyle name="Normal 4 2 3 5 5" xfId="10726" xr:uid="{00000000-0005-0000-0000-00007EA30000}"/>
    <cellStyle name="Normal 4 2 3 5 5 2" xfId="10727" xr:uid="{00000000-0005-0000-0000-00007FA30000}"/>
    <cellStyle name="Normal 4 2 3 5 5 2 2" xfId="10728" xr:uid="{00000000-0005-0000-0000-000080A30000}"/>
    <cellStyle name="Normal 4 2 3 5 5 2 2 2" xfId="30924" xr:uid="{00000000-0005-0000-0000-000081A30000}"/>
    <cellStyle name="Normal 4 2 3 5 5 2 2 2 2" xfId="62795" xr:uid="{00000000-0005-0000-0000-000082A30000}"/>
    <cellStyle name="Normal 4 2 3 5 5 2 2 3" xfId="42607" xr:uid="{00000000-0005-0000-0000-000083A30000}"/>
    <cellStyle name="Normal 4 2 3 5 5 2 3" xfId="23046" xr:uid="{00000000-0005-0000-0000-000084A30000}"/>
    <cellStyle name="Normal 4 2 3 5 5 2 3 2" xfId="54917" xr:uid="{00000000-0005-0000-0000-000085A30000}"/>
    <cellStyle name="Normal 4 2 3 5 5 2 4" xfId="42606" xr:uid="{00000000-0005-0000-0000-000086A30000}"/>
    <cellStyle name="Normal 4 2 3 5 5 3" xfId="10729" xr:uid="{00000000-0005-0000-0000-000087A30000}"/>
    <cellStyle name="Normal 4 2 3 5 5 3 2" xfId="26985" xr:uid="{00000000-0005-0000-0000-000088A30000}"/>
    <cellStyle name="Normal 4 2 3 5 5 3 2 2" xfId="58856" xr:uid="{00000000-0005-0000-0000-000089A30000}"/>
    <cellStyle name="Normal 4 2 3 5 5 3 3" xfId="42608" xr:uid="{00000000-0005-0000-0000-00008AA30000}"/>
    <cellStyle name="Normal 4 2 3 5 5 4" xfId="19107" xr:uid="{00000000-0005-0000-0000-00008BA30000}"/>
    <cellStyle name="Normal 4 2 3 5 5 4 2" xfId="50978" xr:uid="{00000000-0005-0000-0000-00008CA30000}"/>
    <cellStyle name="Normal 4 2 3 5 5 5" xfId="42605" xr:uid="{00000000-0005-0000-0000-00008DA30000}"/>
    <cellStyle name="Normal 4 2 3 5 6" xfId="10730" xr:uid="{00000000-0005-0000-0000-00008EA30000}"/>
    <cellStyle name="Normal 4 2 3 5 6 2" xfId="10731" xr:uid="{00000000-0005-0000-0000-00008FA30000}"/>
    <cellStyle name="Normal 4 2 3 5 6 2 2" xfId="28392" xr:uid="{00000000-0005-0000-0000-000090A30000}"/>
    <cellStyle name="Normal 4 2 3 5 6 2 2 2" xfId="60263" xr:uid="{00000000-0005-0000-0000-000091A30000}"/>
    <cellStyle name="Normal 4 2 3 5 6 2 3" xfId="42610" xr:uid="{00000000-0005-0000-0000-000092A30000}"/>
    <cellStyle name="Normal 4 2 3 5 6 3" xfId="20514" xr:uid="{00000000-0005-0000-0000-000093A30000}"/>
    <cellStyle name="Normal 4 2 3 5 6 3 2" xfId="52385" xr:uid="{00000000-0005-0000-0000-000094A30000}"/>
    <cellStyle name="Normal 4 2 3 5 6 4" xfId="42609" xr:uid="{00000000-0005-0000-0000-000095A30000}"/>
    <cellStyle name="Normal 4 2 3 5 7" xfId="10732" xr:uid="{00000000-0005-0000-0000-000096A30000}"/>
    <cellStyle name="Normal 4 2 3 5 7 2" xfId="24453" xr:uid="{00000000-0005-0000-0000-000097A30000}"/>
    <cellStyle name="Normal 4 2 3 5 7 2 2" xfId="56324" xr:uid="{00000000-0005-0000-0000-000098A30000}"/>
    <cellStyle name="Normal 4 2 3 5 7 3" xfId="42611" xr:uid="{00000000-0005-0000-0000-000099A30000}"/>
    <cellStyle name="Normal 4 2 3 5 8" xfId="16575" xr:uid="{00000000-0005-0000-0000-00009AA30000}"/>
    <cellStyle name="Normal 4 2 3 5 8 2" xfId="48446" xr:uid="{00000000-0005-0000-0000-00009BA30000}"/>
    <cellStyle name="Normal 4 2 3 5 9" xfId="42548" xr:uid="{00000000-0005-0000-0000-00009CA30000}"/>
    <cellStyle name="Normal 4 2 3 6" xfId="10733" xr:uid="{00000000-0005-0000-0000-00009DA30000}"/>
    <cellStyle name="Normal 4 2 3 6 2" xfId="10734" xr:uid="{00000000-0005-0000-0000-00009EA30000}"/>
    <cellStyle name="Normal 4 2 3 6 2 2" xfId="10735" xr:uid="{00000000-0005-0000-0000-00009FA30000}"/>
    <cellStyle name="Normal 4 2 3 6 2 2 2" xfId="10736" xr:uid="{00000000-0005-0000-0000-0000A0A30000}"/>
    <cellStyle name="Normal 4 2 3 6 2 2 2 2" xfId="10737" xr:uid="{00000000-0005-0000-0000-0000A1A30000}"/>
    <cellStyle name="Normal 4 2 3 6 2 2 2 2 2" xfId="10738" xr:uid="{00000000-0005-0000-0000-0000A2A30000}"/>
    <cellStyle name="Normal 4 2 3 6 2 2 2 2 2 2" xfId="30927" xr:uid="{00000000-0005-0000-0000-0000A3A30000}"/>
    <cellStyle name="Normal 4 2 3 6 2 2 2 2 2 2 2" xfId="62798" xr:uid="{00000000-0005-0000-0000-0000A4A30000}"/>
    <cellStyle name="Normal 4 2 3 6 2 2 2 2 2 3" xfId="42617" xr:uid="{00000000-0005-0000-0000-0000A5A30000}"/>
    <cellStyle name="Normal 4 2 3 6 2 2 2 2 3" xfId="23049" xr:uid="{00000000-0005-0000-0000-0000A6A30000}"/>
    <cellStyle name="Normal 4 2 3 6 2 2 2 2 3 2" xfId="54920" xr:uid="{00000000-0005-0000-0000-0000A7A30000}"/>
    <cellStyle name="Normal 4 2 3 6 2 2 2 2 4" xfId="42616" xr:uid="{00000000-0005-0000-0000-0000A8A30000}"/>
    <cellStyle name="Normal 4 2 3 6 2 2 2 3" xfId="10739" xr:uid="{00000000-0005-0000-0000-0000A9A30000}"/>
    <cellStyle name="Normal 4 2 3 6 2 2 2 3 2" xfId="26988" xr:uid="{00000000-0005-0000-0000-0000AAA30000}"/>
    <cellStyle name="Normal 4 2 3 6 2 2 2 3 2 2" xfId="58859" xr:uid="{00000000-0005-0000-0000-0000ABA30000}"/>
    <cellStyle name="Normal 4 2 3 6 2 2 2 3 3" xfId="42618" xr:uid="{00000000-0005-0000-0000-0000ACA30000}"/>
    <cellStyle name="Normal 4 2 3 6 2 2 2 4" xfId="19110" xr:uid="{00000000-0005-0000-0000-0000ADA30000}"/>
    <cellStyle name="Normal 4 2 3 6 2 2 2 4 2" xfId="50981" xr:uid="{00000000-0005-0000-0000-0000AEA30000}"/>
    <cellStyle name="Normal 4 2 3 6 2 2 2 5" xfId="42615" xr:uid="{00000000-0005-0000-0000-0000AFA30000}"/>
    <cellStyle name="Normal 4 2 3 6 2 2 3" xfId="10740" xr:uid="{00000000-0005-0000-0000-0000B0A30000}"/>
    <cellStyle name="Normal 4 2 3 6 2 2 3 2" xfId="10741" xr:uid="{00000000-0005-0000-0000-0000B1A30000}"/>
    <cellStyle name="Normal 4 2 3 6 2 2 3 2 2" xfId="30926" xr:uid="{00000000-0005-0000-0000-0000B2A30000}"/>
    <cellStyle name="Normal 4 2 3 6 2 2 3 2 2 2" xfId="62797" xr:uid="{00000000-0005-0000-0000-0000B3A30000}"/>
    <cellStyle name="Normal 4 2 3 6 2 2 3 2 3" xfId="42620" xr:uid="{00000000-0005-0000-0000-0000B4A30000}"/>
    <cellStyle name="Normal 4 2 3 6 2 2 3 3" xfId="23048" xr:uid="{00000000-0005-0000-0000-0000B5A30000}"/>
    <cellStyle name="Normal 4 2 3 6 2 2 3 3 2" xfId="54919" xr:uid="{00000000-0005-0000-0000-0000B6A30000}"/>
    <cellStyle name="Normal 4 2 3 6 2 2 3 4" xfId="42619" xr:uid="{00000000-0005-0000-0000-0000B7A30000}"/>
    <cellStyle name="Normal 4 2 3 6 2 2 4" xfId="10742" xr:uid="{00000000-0005-0000-0000-0000B8A30000}"/>
    <cellStyle name="Normal 4 2 3 6 2 2 4 2" xfId="26987" xr:uid="{00000000-0005-0000-0000-0000B9A30000}"/>
    <cellStyle name="Normal 4 2 3 6 2 2 4 2 2" xfId="58858" xr:uid="{00000000-0005-0000-0000-0000BAA30000}"/>
    <cellStyle name="Normal 4 2 3 6 2 2 4 3" xfId="42621" xr:uid="{00000000-0005-0000-0000-0000BBA30000}"/>
    <cellStyle name="Normal 4 2 3 6 2 2 5" xfId="19109" xr:uid="{00000000-0005-0000-0000-0000BCA30000}"/>
    <cellStyle name="Normal 4 2 3 6 2 2 5 2" xfId="50980" xr:uid="{00000000-0005-0000-0000-0000BDA30000}"/>
    <cellStyle name="Normal 4 2 3 6 2 2 6" xfId="42614" xr:uid="{00000000-0005-0000-0000-0000BEA30000}"/>
    <cellStyle name="Normal 4 2 3 6 2 3" xfId="10743" xr:uid="{00000000-0005-0000-0000-0000BFA30000}"/>
    <cellStyle name="Normal 4 2 3 6 2 3 2" xfId="10744" xr:uid="{00000000-0005-0000-0000-0000C0A30000}"/>
    <cellStyle name="Normal 4 2 3 6 2 3 2 2" xfId="10745" xr:uid="{00000000-0005-0000-0000-0000C1A30000}"/>
    <cellStyle name="Normal 4 2 3 6 2 3 2 2 2" xfId="30928" xr:uid="{00000000-0005-0000-0000-0000C2A30000}"/>
    <cellStyle name="Normal 4 2 3 6 2 3 2 2 2 2" xfId="62799" xr:uid="{00000000-0005-0000-0000-0000C3A30000}"/>
    <cellStyle name="Normal 4 2 3 6 2 3 2 2 3" xfId="42624" xr:uid="{00000000-0005-0000-0000-0000C4A30000}"/>
    <cellStyle name="Normal 4 2 3 6 2 3 2 3" xfId="23050" xr:uid="{00000000-0005-0000-0000-0000C5A30000}"/>
    <cellStyle name="Normal 4 2 3 6 2 3 2 3 2" xfId="54921" xr:uid="{00000000-0005-0000-0000-0000C6A30000}"/>
    <cellStyle name="Normal 4 2 3 6 2 3 2 4" xfId="42623" xr:uid="{00000000-0005-0000-0000-0000C7A30000}"/>
    <cellStyle name="Normal 4 2 3 6 2 3 3" xfId="10746" xr:uid="{00000000-0005-0000-0000-0000C8A30000}"/>
    <cellStyle name="Normal 4 2 3 6 2 3 3 2" xfId="26989" xr:uid="{00000000-0005-0000-0000-0000C9A30000}"/>
    <cellStyle name="Normal 4 2 3 6 2 3 3 2 2" xfId="58860" xr:uid="{00000000-0005-0000-0000-0000CAA30000}"/>
    <cellStyle name="Normal 4 2 3 6 2 3 3 3" xfId="42625" xr:uid="{00000000-0005-0000-0000-0000CBA30000}"/>
    <cellStyle name="Normal 4 2 3 6 2 3 4" xfId="19111" xr:uid="{00000000-0005-0000-0000-0000CCA30000}"/>
    <cellStyle name="Normal 4 2 3 6 2 3 4 2" xfId="50982" xr:uid="{00000000-0005-0000-0000-0000CDA30000}"/>
    <cellStyle name="Normal 4 2 3 6 2 3 5" xfId="42622" xr:uid="{00000000-0005-0000-0000-0000CEA30000}"/>
    <cellStyle name="Normal 4 2 3 6 2 4" xfId="10747" xr:uid="{00000000-0005-0000-0000-0000CFA30000}"/>
    <cellStyle name="Normal 4 2 3 6 2 4 2" xfId="10748" xr:uid="{00000000-0005-0000-0000-0000D0A30000}"/>
    <cellStyle name="Normal 4 2 3 6 2 4 2 2" xfId="30925" xr:uid="{00000000-0005-0000-0000-0000D1A30000}"/>
    <cellStyle name="Normal 4 2 3 6 2 4 2 2 2" xfId="62796" xr:uid="{00000000-0005-0000-0000-0000D2A30000}"/>
    <cellStyle name="Normal 4 2 3 6 2 4 2 3" xfId="42627" xr:uid="{00000000-0005-0000-0000-0000D3A30000}"/>
    <cellStyle name="Normal 4 2 3 6 2 4 3" xfId="23047" xr:uid="{00000000-0005-0000-0000-0000D4A30000}"/>
    <cellStyle name="Normal 4 2 3 6 2 4 3 2" xfId="54918" xr:uid="{00000000-0005-0000-0000-0000D5A30000}"/>
    <cellStyle name="Normal 4 2 3 6 2 4 4" xfId="42626" xr:uid="{00000000-0005-0000-0000-0000D6A30000}"/>
    <cellStyle name="Normal 4 2 3 6 2 5" xfId="10749" xr:uid="{00000000-0005-0000-0000-0000D7A30000}"/>
    <cellStyle name="Normal 4 2 3 6 2 5 2" xfId="26986" xr:uid="{00000000-0005-0000-0000-0000D8A30000}"/>
    <cellStyle name="Normal 4 2 3 6 2 5 2 2" xfId="58857" xr:uid="{00000000-0005-0000-0000-0000D9A30000}"/>
    <cellStyle name="Normal 4 2 3 6 2 5 3" xfId="42628" xr:uid="{00000000-0005-0000-0000-0000DAA30000}"/>
    <cellStyle name="Normal 4 2 3 6 2 6" xfId="19108" xr:uid="{00000000-0005-0000-0000-0000DBA30000}"/>
    <cellStyle name="Normal 4 2 3 6 2 6 2" xfId="50979" xr:uid="{00000000-0005-0000-0000-0000DCA30000}"/>
    <cellStyle name="Normal 4 2 3 6 2 7" xfId="42613" xr:uid="{00000000-0005-0000-0000-0000DDA30000}"/>
    <cellStyle name="Normal 4 2 3 6 3" xfId="10750" xr:uid="{00000000-0005-0000-0000-0000DEA30000}"/>
    <cellStyle name="Normal 4 2 3 6 3 2" xfId="10751" xr:uid="{00000000-0005-0000-0000-0000DFA30000}"/>
    <cellStyle name="Normal 4 2 3 6 3 2 2" xfId="10752" xr:uid="{00000000-0005-0000-0000-0000E0A30000}"/>
    <cellStyle name="Normal 4 2 3 6 3 2 2 2" xfId="10753" xr:uid="{00000000-0005-0000-0000-0000E1A30000}"/>
    <cellStyle name="Normal 4 2 3 6 3 2 2 2 2" xfId="30930" xr:uid="{00000000-0005-0000-0000-0000E2A30000}"/>
    <cellStyle name="Normal 4 2 3 6 3 2 2 2 2 2" xfId="62801" xr:uid="{00000000-0005-0000-0000-0000E3A30000}"/>
    <cellStyle name="Normal 4 2 3 6 3 2 2 2 3" xfId="42632" xr:uid="{00000000-0005-0000-0000-0000E4A30000}"/>
    <cellStyle name="Normal 4 2 3 6 3 2 2 3" xfId="23052" xr:uid="{00000000-0005-0000-0000-0000E5A30000}"/>
    <cellStyle name="Normal 4 2 3 6 3 2 2 3 2" xfId="54923" xr:uid="{00000000-0005-0000-0000-0000E6A30000}"/>
    <cellStyle name="Normal 4 2 3 6 3 2 2 4" xfId="42631" xr:uid="{00000000-0005-0000-0000-0000E7A30000}"/>
    <cellStyle name="Normal 4 2 3 6 3 2 3" xfId="10754" xr:uid="{00000000-0005-0000-0000-0000E8A30000}"/>
    <cellStyle name="Normal 4 2 3 6 3 2 3 2" xfId="26991" xr:uid="{00000000-0005-0000-0000-0000E9A30000}"/>
    <cellStyle name="Normal 4 2 3 6 3 2 3 2 2" xfId="58862" xr:uid="{00000000-0005-0000-0000-0000EAA30000}"/>
    <cellStyle name="Normal 4 2 3 6 3 2 3 3" xfId="42633" xr:uid="{00000000-0005-0000-0000-0000EBA30000}"/>
    <cellStyle name="Normal 4 2 3 6 3 2 4" xfId="19113" xr:uid="{00000000-0005-0000-0000-0000ECA30000}"/>
    <cellStyle name="Normal 4 2 3 6 3 2 4 2" xfId="50984" xr:uid="{00000000-0005-0000-0000-0000EDA30000}"/>
    <cellStyle name="Normal 4 2 3 6 3 2 5" xfId="42630" xr:uid="{00000000-0005-0000-0000-0000EEA30000}"/>
    <cellStyle name="Normal 4 2 3 6 3 3" xfId="10755" xr:uid="{00000000-0005-0000-0000-0000EFA30000}"/>
    <cellStyle name="Normal 4 2 3 6 3 3 2" xfId="10756" xr:uid="{00000000-0005-0000-0000-0000F0A30000}"/>
    <cellStyle name="Normal 4 2 3 6 3 3 2 2" xfId="30929" xr:uid="{00000000-0005-0000-0000-0000F1A30000}"/>
    <cellStyle name="Normal 4 2 3 6 3 3 2 2 2" xfId="62800" xr:uid="{00000000-0005-0000-0000-0000F2A30000}"/>
    <cellStyle name="Normal 4 2 3 6 3 3 2 3" xfId="42635" xr:uid="{00000000-0005-0000-0000-0000F3A30000}"/>
    <cellStyle name="Normal 4 2 3 6 3 3 3" xfId="23051" xr:uid="{00000000-0005-0000-0000-0000F4A30000}"/>
    <cellStyle name="Normal 4 2 3 6 3 3 3 2" xfId="54922" xr:uid="{00000000-0005-0000-0000-0000F5A30000}"/>
    <cellStyle name="Normal 4 2 3 6 3 3 4" xfId="42634" xr:uid="{00000000-0005-0000-0000-0000F6A30000}"/>
    <cellStyle name="Normal 4 2 3 6 3 4" xfId="10757" xr:uid="{00000000-0005-0000-0000-0000F7A30000}"/>
    <cellStyle name="Normal 4 2 3 6 3 4 2" xfId="26990" xr:uid="{00000000-0005-0000-0000-0000F8A30000}"/>
    <cellStyle name="Normal 4 2 3 6 3 4 2 2" xfId="58861" xr:uid="{00000000-0005-0000-0000-0000F9A30000}"/>
    <cellStyle name="Normal 4 2 3 6 3 4 3" xfId="42636" xr:uid="{00000000-0005-0000-0000-0000FAA30000}"/>
    <cellStyle name="Normal 4 2 3 6 3 5" xfId="19112" xr:uid="{00000000-0005-0000-0000-0000FBA30000}"/>
    <cellStyle name="Normal 4 2 3 6 3 5 2" xfId="50983" xr:uid="{00000000-0005-0000-0000-0000FCA30000}"/>
    <cellStyle name="Normal 4 2 3 6 3 6" xfId="42629" xr:uid="{00000000-0005-0000-0000-0000FDA30000}"/>
    <cellStyle name="Normal 4 2 3 6 4" xfId="10758" xr:uid="{00000000-0005-0000-0000-0000FEA30000}"/>
    <cellStyle name="Normal 4 2 3 6 4 2" xfId="10759" xr:uid="{00000000-0005-0000-0000-0000FFA30000}"/>
    <cellStyle name="Normal 4 2 3 6 4 2 2" xfId="10760" xr:uid="{00000000-0005-0000-0000-000000A40000}"/>
    <cellStyle name="Normal 4 2 3 6 4 2 2 2" xfId="30931" xr:uid="{00000000-0005-0000-0000-000001A40000}"/>
    <cellStyle name="Normal 4 2 3 6 4 2 2 2 2" xfId="62802" xr:uid="{00000000-0005-0000-0000-000002A40000}"/>
    <cellStyle name="Normal 4 2 3 6 4 2 2 3" xfId="42639" xr:uid="{00000000-0005-0000-0000-000003A40000}"/>
    <cellStyle name="Normal 4 2 3 6 4 2 3" xfId="23053" xr:uid="{00000000-0005-0000-0000-000004A40000}"/>
    <cellStyle name="Normal 4 2 3 6 4 2 3 2" xfId="54924" xr:uid="{00000000-0005-0000-0000-000005A40000}"/>
    <cellStyle name="Normal 4 2 3 6 4 2 4" xfId="42638" xr:uid="{00000000-0005-0000-0000-000006A40000}"/>
    <cellStyle name="Normal 4 2 3 6 4 3" xfId="10761" xr:uid="{00000000-0005-0000-0000-000007A40000}"/>
    <cellStyle name="Normal 4 2 3 6 4 3 2" xfId="26992" xr:uid="{00000000-0005-0000-0000-000008A40000}"/>
    <cellStyle name="Normal 4 2 3 6 4 3 2 2" xfId="58863" xr:uid="{00000000-0005-0000-0000-000009A40000}"/>
    <cellStyle name="Normal 4 2 3 6 4 3 3" xfId="42640" xr:uid="{00000000-0005-0000-0000-00000AA40000}"/>
    <cellStyle name="Normal 4 2 3 6 4 4" xfId="19114" xr:uid="{00000000-0005-0000-0000-00000BA40000}"/>
    <cellStyle name="Normal 4 2 3 6 4 4 2" xfId="50985" xr:uid="{00000000-0005-0000-0000-00000CA40000}"/>
    <cellStyle name="Normal 4 2 3 6 4 5" xfId="42637" xr:uid="{00000000-0005-0000-0000-00000DA40000}"/>
    <cellStyle name="Normal 4 2 3 6 5" xfId="10762" xr:uid="{00000000-0005-0000-0000-00000EA40000}"/>
    <cellStyle name="Normal 4 2 3 6 5 2" xfId="10763" xr:uid="{00000000-0005-0000-0000-00000FA40000}"/>
    <cellStyle name="Normal 4 2 3 6 5 2 2" xfId="28269" xr:uid="{00000000-0005-0000-0000-000010A40000}"/>
    <cellStyle name="Normal 4 2 3 6 5 2 2 2" xfId="60140" xr:uid="{00000000-0005-0000-0000-000011A40000}"/>
    <cellStyle name="Normal 4 2 3 6 5 2 3" xfId="42642" xr:uid="{00000000-0005-0000-0000-000012A40000}"/>
    <cellStyle name="Normal 4 2 3 6 5 3" xfId="20391" xr:uid="{00000000-0005-0000-0000-000013A40000}"/>
    <cellStyle name="Normal 4 2 3 6 5 3 2" xfId="52262" xr:uid="{00000000-0005-0000-0000-000014A40000}"/>
    <cellStyle name="Normal 4 2 3 6 5 4" xfId="42641" xr:uid="{00000000-0005-0000-0000-000015A40000}"/>
    <cellStyle name="Normal 4 2 3 6 6" xfId="10764" xr:uid="{00000000-0005-0000-0000-000016A40000}"/>
    <cellStyle name="Normal 4 2 3 6 6 2" xfId="24330" xr:uid="{00000000-0005-0000-0000-000017A40000}"/>
    <cellStyle name="Normal 4 2 3 6 6 2 2" xfId="56201" xr:uid="{00000000-0005-0000-0000-000018A40000}"/>
    <cellStyle name="Normal 4 2 3 6 6 3" xfId="42643" xr:uid="{00000000-0005-0000-0000-000019A40000}"/>
    <cellStyle name="Normal 4 2 3 6 7" xfId="16452" xr:uid="{00000000-0005-0000-0000-00001AA40000}"/>
    <cellStyle name="Normal 4 2 3 6 7 2" xfId="48323" xr:uid="{00000000-0005-0000-0000-00001BA40000}"/>
    <cellStyle name="Normal 4 2 3 6 8" xfId="42612" xr:uid="{00000000-0005-0000-0000-00001CA40000}"/>
    <cellStyle name="Normal 4 2 3 7" xfId="10765" xr:uid="{00000000-0005-0000-0000-00001DA40000}"/>
    <cellStyle name="Normal 4 2 3 7 2" xfId="10766" xr:uid="{00000000-0005-0000-0000-00001EA40000}"/>
    <cellStyle name="Normal 4 2 3 7 2 2" xfId="10767" xr:uid="{00000000-0005-0000-0000-00001FA40000}"/>
    <cellStyle name="Normal 4 2 3 7 2 2 2" xfId="10768" xr:uid="{00000000-0005-0000-0000-000020A40000}"/>
    <cellStyle name="Normal 4 2 3 7 2 2 2 2" xfId="10769" xr:uid="{00000000-0005-0000-0000-000021A40000}"/>
    <cellStyle name="Normal 4 2 3 7 2 2 2 2 2" xfId="30934" xr:uid="{00000000-0005-0000-0000-000022A40000}"/>
    <cellStyle name="Normal 4 2 3 7 2 2 2 2 2 2" xfId="62805" xr:uid="{00000000-0005-0000-0000-000023A40000}"/>
    <cellStyle name="Normal 4 2 3 7 2 2 2 2 3" xfId="42648" xr:uid="{00000000-0005-0000-0000-000024A40000}"/>
    <cellStyle name="Normal 4 2 3 7 2 2 2 3" xfId="23056" xr:uid="{00000000-0005-0000-0000-000025A40000}"/>
    <cellStyle name="Normal 4 2 3 7 2 2 2 3 2" xfId="54927" xr:uid="{00000000-0005-0000-0000-000026A40000}"/>
    <cellStyle name="Normal 4 2 3 7 2 2 2 4" xfId="42647" xr:uid="{00000000-0005-0000-0000-000027A40000}"/>
    <cellStyle name="Normal 4 2 3 7 2 2 3" xfId="10770" xr:uid="{00000000-0005-0000-0000-000028A40000}"/>
    <cellStyle name="Normal 4 2 3 7 2 2 3 2" xfId="26995" xr:uid="{00000000-0005-0000-0000-000029A40000}"/>
    <cellStyle name="Normal 4 2 3 7 2 2 3 2 2" xfId="58866" xr:uid="{00000000-0005-0000-0000-00002AA40000}"/>
    <cellStyle name="Normal 4 2 3 7 2 2 3 3" xfId="42649" xr:uid="{00000000-0005-0000-0000-00002BA40000}"/>
    <cellStyle name="Normal 4 2 3 7 2 2 4" xfId="19117" xr:uid="{00000000-0005-0000-0000-00002CA40000}"/>
    <cellStyle name="Normal 4 2 3 7 2 2 4 2" xfId="50988" xr:uid="{00000000-0005-0000-0000-00002DA40000}"/>
    <cellStyle name="Normal 4 2 3 7 2 2 5" xfId="42646" xr:uid="{00000000-0005-0000-0000-00002EA40000}"/>
    <cellStyle name="Normal 4 2 3 7 2 3" xfId="10771" xr:uid="{00000000-0005-0000-0000-00002FA40000}"/>
    <cellStyle name="Normal 4 2 3 7 2 3 2" xfId="10772" xr:uid="{00000000-0005-0000-0000-000030A40000}"/>
    <cellStyle name="Normal 4 2 3 7 2 3 2 2" xfId="30933" xr:uid="{00000000-0005-0000-0000-000031A40000}"/>
    <cellStyle name="Normal 4 2 3 7 2 3 2 2 2" xfId="62804" xr:uid="{00000000-0005-0000-0000-000032A40000}"/>
    <cellStyle name="Normal 4 2 3 7 2 3 2 3" xfId="42651" xr:uid="{00000000-0005-0000-0000-000033A40000}"/>
    <cellStyle name="Normal 4 2 3 7 2 3 3" xfId="23055" xr:uid="{00000000-0005-0000-0000-000034A40000}"/>
    <cellStyle name="Normal 4 2 3 7 2 3 3 2" xfId="54926" xr:uid="{00000000-0005-0000-0000-000035A40000}"/>
    <cellStyle name="Normal 4 2 3 7 2 3 4" xfId="42650" xr:uid="{00000000-0005-0000-0000-000036A40000}"/>
    <cellStyle name="Normal 4 2 3 7 2 4" xfId="10773" xr:uid="{00000000-0005-0000-0000-000037A40000}"/>
    <cellStyle name="Normal 4 2 3 7 2 4 2" xfId="26994" xr:uid="{00000000-0005-0000-0000-000038A40000}"/>
    <cellStyle name="Normal 4 2 3 7 2 4 2 2" xfId="58865" xr:uid="{00000000-0005-0000-0000-000039A40000}"/>
    <cellStyle name="Normal 4 2 3 7 2 4 3" xfId="42652" xr:uid="{00000000-0005-0000-0000-00003AA40000}"/>
    <cellStyle name="Normal 4 2 3 7 2 5" xfId="19116" xr:uid="{00000000-0005-0000-0000-00003BA40000}"/>
    <cellStyle name="Normal 4 2 3 7 2 5 2" xfId="50987" xr:uid="{00000000-0005-0000-0000-00003CA40000}"/>
    <cellStyle name="Normal 4 2 3 7 2 6" xfId="42645" xr:uid="{00000000-0005-0000-0000-00003DA40000}"/>
    <cellStyle name="Normal 4 2 3 7 3" xfId="10774" xr:uid="{00000000-0005-0000-0000-00003EA40000}"/>
    <cellStyle name="Normal 4 2 3 7 3 2" xfId="10775" xr:uid="{00000000-0005-0000-0000-00003FA40000}"/>
    <cellStyle name="Normal 4 2 3 7 3 2 2" xfId="10776" xr:uid="{00000000-0005-0000-0000-000040A40000}"/>
    <cellStyle name="Normal 4 2 3 7 3 2 2 2" xfId="30935" xr:uid="{00000000-0005-0000-0000-000041A40000}"/>
    <cellStyle name="Normal 4 2 3 7 3 2 2 2 2" xfId="62806" xr:uid="{00000000-0005-0000-0000-000042A40000}"/>
    <cellStyle name="Normal 4 2 3 7 3 2 2 3" xfId="42655" xr:uid="{00000000-0005-0000-0000-000043A40000}"/>
    <cellStyle name="Normal 4 2 3 7 3 2 3" xfId="23057" xr:uid="{00000000-0005-0000-0000-000044A40000}"/>
    <cellStyle name="Normal 4 2 3 7 3 2 3 2" xfId="54928" xr:uid="{00000000-0005-0000-0000-000045A40000}"/>
    <cellStyle name="Normal 4 2 3 7 3 2 4" xfId="42654" xr:uid="{00000000-0005-0000-0000-000046A40000}"/>
    <cellStyle name="Normal 4 2 3 7 3 3" xfId="10777" xr:uid="{00000000-0005-0000-0000-000047A40000}"/>
    <cellStyle name="Normal 4 2 3 7 3 3 2" xfId="26996" xr:uid="{00000000-0005-0000-0000-000048A40000}"/>
    <cellStyle name="Normal 4 2 3 7 3 3 2 2" xfId="58867" xr:uid="{00000000-0005-0000-0000-000049A40000}"/>
    <cellStyle name="Normal 4 2 3 7 3 3 3" xfId="42656" xr:uid="{00000000-0005-0000-0000-00004AA40000}"/>
    <cellStyle name="Normal 4 2 3 7 3 4" xfId="19118" xr:uid="{00000000-0005-0000-0000-00004BA40000}"/>
    <cellStyle name="Normal 4 2 3 7 3 4 2" xfId="50989" xr:uid="{00000000-0005-0000-0000-00004CA40000}"/>
    <cellStyle name="Normal 4 2 3 7 3 5" xfId="42653" xr:uid="{00000000-0005-0000-0000-00004DA40000}"/>
    <cellStyle name="Normal 4 2 3 7 4" xfId="10778" xr:uid="{00000000-0005-0000-0000-00004EA40000}"/>
    <cellStyle name="Normal 4 2 3 7 4 2" xfId="10779" xr:uid="{00000000-0005-0000-0000-00004FA40000}"/>
    <cellStyle name="Normal 4 2 3 7 4 2 2" xfId="30932" xr:uid="{00000000-0005-0000-0000-000050A40000}"/>
    <cellStyle name="Normal 4 2 3 7 4 2 2 2" xfId="62803" xr:uid="{00000000-0005-0000-0000-000051A40000}"/>
    <cellStyle name="Normal 4 2 3 7 4 2 3" xfId="42658" xr:uid="{00000000-0005-0000-0000-000052A40000}"/>
    <cellStyle name="Normal 4 2 3 7 4 3" xfId="23054" xr:uid="{00000000-0005-0000-0000-000053A40000}"/>
    <cellStyle name="Normal 4 2 3 7 4 3 2" xfId="54925" xr:uid="{00000000-0005-0000-0000-000054A40000}"/>
    <cellStyle name="Normal 4 2 3 7 4 4" xfId="42657" xr:uid="{00000000-0005-0000-0000-000055A40000}"/>
    <cellStyle name="Normal 4 2 3 7 5" xfId="10780" xr:uid="{00000000-0005-0000-0000-000056A40000}"/>
    <cellStyle name="Normal 4 2 3 7 5 2" xfId="26993" xr:uid="{00000000-0005-0000-0000-000057A40000}"/>
    <cellStyle name="Normal 4 2 3 7 5 2 2" xfId="58864" xr:uid="{00000000-0005-0000-0000-000058A40000}"/>
    <cellStyle name="Normal 4 2 3 7 5 3" xfId="42659" xr:uid="{00000000-0005-0000-0000-000059A40000}"/>
    <cellStyle name="Normal 4 2 3 7 6" xfId="19115" xr:uid="{00000000-0005-0000-0000-00005AA40000}"/>
    <cellStyle name="Normal 4 2 3 7 6 2" xfId="50986" xr:uid="{00000000-0005-0000-0000-00005BA40000}"/>
    <cellStyle name="Normal 4 2 3 7 7" xfId="42644" xr:uid="{00000000-0005-0000-0000-00005CA40000}"/>
    <cellStyle name="Normal 4 2 3 8" xfId="10781" xr:uid="{00000000-0005-0000-0000-00005DA40000}"/>
    <cellStyle name="Normal 4 2 3 8 2" xfId="10782" xr:uid="{00000000-0005-0000-0000-00005EA40000}"/>
    <cellStyle name="Normal 4 2 3 8 2 2" xfId="10783" xr:uid="{00000000-0005-0000-0000-00005FA40000}"/>
    <cellStyle name="Normal 4 2 3 8 2 2 2" xfId="10784" xr:uid="{00000000-0005-0000-0000-000060A40000}"/>
    <cellStyle name="Normal 4 2 3 8 2 2 2 2" xfId="30937" xr:uid="{00000000-0005-0000-0000-000061A40000}"/>
    <cellStyle name="Normal 4 2 3 8 2 2 2 2 2" xfId="62808" xr:uid="{00000000-0005-0000-0000-000062A40000}"/>
    <cellStyle name="Normal 4 2 3 8 2 2 2 3" xfId="42663" xr:uid="{00000000-0005-0000-0000-000063A40000}"/>
    <cellStyle name="Normal 4 2 3 8 2 2 3" xfId="23059" xr:uid="{00000000-0005-0000-0000-000064A40000}"/>
    <cellStyle name="Normal 4 2 3 8 2 2 3 2" xfId="54930" xr:uid="{00000000-0005-0000-0000-000065A40000}"/>
    <cellStyle name="Normal 4 2 3 8 2 2 4" xfId="42662" xr:uid="{00000000-0005-0000-0000-000066A40000}"/>
    <cellStyle name="Normal 4 2 3 8 2 3" xfId="10785" xr:uid="{00000000-0005-0000-0000-000067A40000}"/>
    <cellStyle name="Normal 4 2 3 8 2 3 2" xfId="26998" xr:uid="{00000000-0005-0000-0000-000068A40000}"/>
    <cellStyle name="Normal 4 2 3 8 2 3 2 2" xfId="58869" xr:uid="{00000000-0005-0000-0000-000069A40000}"/>
    <cellStyle name="Normal 4 2 3 8 2 3 3" xfId="42664" xr:uid="{00000000-0005-0000-0000-00006AA40000}"/>
    <cellStyle name="Normal 4 2 3 8 2 4" xfId="19120" xr:uid="{00000000-0005-0000-0000-00006BA40000}"/>
    <cellStyle name="Normal 4 2 3 8 2 4 2" xfId="50991" xr:uid="{00000000-0005-0000-0000-00006CA40000}"/>
    <cellStyle name="Normal 4 2 3 8 2 5" xfId="42661" xr:uid="{00000000-0005-0000-0000-00006DA40000}"/>
    <cellStyle name="Normal 4 2 3 8 3" xfId="10786" xr:uid="{00000000-0005-0000-0000-00006EA40000}"/>
    <cellStyle name="Normal 4 2 3 8 3 2" xfId="10787" xr:uid="{00000000-0005-0000-0000-00006FA40000}"/>
    <cellStyle name="Normal 4 2 3 8 3 2 2" xfId="30936" xr:uid="{00000000-0005-0000-0000-000070A40000}"/>
    <cellStyle name="Normal 4 2 3 8 3 2 2 2" xfId="62807" xr:uid="{00000000-0005-0000-0000-000071A40000}"/>
    <cellStyle name="Normal 4 2 3 8 3 2 3" xfId="42666" xr:uid="{00000000-0005-0000-0000-000072A40000}"/>
    <cellStyle name="Normal 4 2 3 8 3 3" xfId="23058" xr:uid="{00000000-0005-0000-0000-000073A40000}"/>
    <cellStyle name="Normal 4 2 3 8 3 3 2" xfId="54929" xr:uid="{00000000-0005-0000-0000-000074A40000}"/>
    <cellStyle name="Normal 4 2 3 8 3 4" xfId="42665" xr:uid="{00000000-0005-0000-0000-000075A40000}"/>
    <cellStyle name="Normal 4 2 3 8 4" xfId="10788" xr:uid="{00000000-0005-0000-0000-000076A40000}"/>
    <cellStyle name="Normal 4 2 3 8 4 2" xfId="26997" xr:uid="{00000000-0005-0000-0000-000077A40000}"/>
    <cellStyle name="Normal 4 2 3 8 4 2 2" xfId="58868" xr:uid="{00000000-0005-0000-0000-000078A40000}"/>
    <cellStyle name="Normal 4 2 3 8 4 3" xfId="42667" xr:uid="{00000000-0005-0000-0000-000079A40000}"/>
    <cellStyle name="Normal 4 2 3 8 5" xfId="19119" xr:uid="{00000000-0005-0000-0000-00007AA40000}"/>
    <cellStyle name="Normal 4 2 3 8 5 2" xfId="50990" xr:uid="{00000000-0005-0000-0000-00007BA40000}"/>
    <cellStyle name="Normal 4 2 3 8 6" xfId="42660" xr:uid="{00000000-0005-0000-0000-00007CA40000}"/>
    <cellStyle name="Normal 4 2 3 9" xfId="10789" xr:uid="{00000000-0005-0000-0000-00007DA40000}"/>
    <cellStyle name="Normal 4 2 3 9 2" xfId="10790" xr:uid="{00000000-0005-0000-0000-00007EA40000}"/>
    <cellStyle name="Normal 4 2 3 9 2 2" xfId="10791" xr:uid="{00000000-0005-0000-0000-00007FA40000}"/>
    <cellStyle name="Normal 4 2 3 9 2 2 2" xfId="30938" xr:uid="{00000000-0005-0000-0000-000080A40000}"/>
    <cellStyle name="Normal 4 2 3 9 2 2 2 2" xfId="62809" xr:uid="{00000000-0005-0000-0000-000081A40000}"/>
    <cellStyle name="Normal 4 2 3 9 2 2 3" xfId="42670" xr:uid="{00000000-0005-0000-0000-000082A40000}"/>
    <cellStyle name="Normal 4 2 3 9 2 3" xfId="23060" xr:uid="{00000000-0005-0000-0000-000083A40000}"/>
    <cellStyle name="Normal 4 2 3 9 2 3 2" xfId="54931" xr:uid="{00000000-0005-0000-0000-000084A40000}"/>
    <cellStyle name="Normal 4 2 3 9 2 4" xfId="42669" xr:uid="{00000000-0005-0000-0000-000085A40000}"/>
    <cellStyle name="Normal 4 2 3 9 3" xfId="10792" xr:uid="{00000000-0005-0000-0000-000086A40000}"/>
    <cellStyle name="Normal 4 2 3 9 3 2" xfId="26999" xr:uid="{00000000-0005-0000-0000-000087A40000}"/>
    <cellStyle name="Normal 4 2 3 9 3 2 2" xfId="58870" xr:uid="{00000000-0005-0000-0000-000088A40000}"/>
    <cellStyle name="Normal 4 2 3 9 3 3" xfId="42671" xr:uid="{00000000-0005-0000-0000-000089A40000}"/>
    <cellStyle name="Normal 4 2 3 9 4" xfId="19121" xr:uid="{00000000-0005-0000-0000-00008AA40000}"/>
    <cellStyle name="Normal 4 2 3 9 4 2" xfId="50992" xr:uid="{00000000-0005-0000-0000-00008BA40000}"/>
    <cellStyle name="Normal 4 2 3 9 5" xfId="42668" xr:uid="{00000000-0005-0000-0000-00008CA40000}"/>
    <cellStyle name="Normal 4 2 4" xfId="230" xr:uid="{00000000-0005-0000-0000-00008DA40000}"/>
    <cellStyle name="Normal 4 2 4 10" xfId="10794" xr:uid="{00000000-0005-0000-0000-00008EA40000}"/>
    <cellStyle name="Normal 4 2 4 10 2" xfId="24314" xr:uid="{00000000-0005-0000-0000-00008FA40000}"/>
    <cellStyle name="Normal 4 2 4 10 2 2" xfId="56185" xr:uid="{00000000-0005-0000-0000-000090A40000}"/>
    <cellStyle name="Normal 4 2 4 10 3" xfId="42673" xr:uid="{00000000-0005-0000-0000-000091A40000}"/>
    <cellStyle name="Normal 4 2 4 11" xfId="16436" xr:uid="{00000000-0005-0000-0000-000092A40000}"/>
    <cellStyle name="Normal 4 2 4 11 2" xfId="48307" xr:uid="{00000000-0005-0000-0000-000093A40000}"/>
    <cellStyle name="Normal 4 2 4 12" xfId="10793" xr:uid="{00000000-0005-0000-0000-000094A40000}"/>
    <cellStyle name="Normal 4 2 4 12 2" xfId="42672" xr:uid="{00000000-0005-0000-0000-000095A40000}"/>
    <cellStyle name="Normal 4 2 4 13" xfId="32200" xr:uid="{00000000-0005-0000-0000-000096A40000}"/>
    <cellStyle name="Normal 4 2 4 2" xfId="10795" xr:uid="{00000000-0005-0000-0000-000097A40000}"/>
    <cellStyle name="Normal 4 2 4 2 10" xfId="42674" xr:uid="{00000000-0005-0000-0000-000098A40000}"/>
    <cellStyle name="Normal 4 2 4 2 2" xfId="10796" xr:uid="{00000000-0005-0000-0000-000099A40000}"/>
    <cellStyle name="Normal 4 2 4 2 2 2" xfId="10797" xr:uid="{00000000-0005-0000-0000-00009AA40000}"/>
    <cellStyle name="Normal 4 2 4 2 2 2 2" xfId="10798" xr:uid="{00000000-0005-0000-0000-00009BA40000}"/>
    <cellStyle name="Normal 4 2 4 2 2 2 2 2" xfId="10799" xr:uid="{00000000-0005-0000-0000-00009CA40000}"/>
    <cellStyle name="Normal 4 2 4 2 2 2 2 2 2" xfId="10800" xr:uid="{00000000-0005-0000-0000-00009DA40000}"/>
    <cellStyle name="Normal 4 2 4 2 2 2 2 2 2 2" xfId="10801" xr:uid="{00000000-0005-0000-0000-00009EA40000}"/>
    <cellStyle name="Normal 4 2 4 2 2 2 2 2 2 2 2" xfId="10802" xr:uid="{00000000-0005-0000-0000-00009FA40000}"/>
    <cellStyle name="Normal 4 2 4 2 2 2 2 2 2 2 2 2" xfId="30942" xr:uid="{00000000-0005-0000-0000-0000A0A40000}"/>
    <cellStyle name="Normal 4 2 4 2 2 2 2 2 2 2 2 2 2" xfId="62813" xr:uid="{00000000-0005-0000-0000-0000A1A40000}"/>
    <cellStyle name="Normal 4 2 4 2 2 2 2 2 2 2 2 3" xfId="42681" xr:uid="{00000000-0005-0000-0000-0000A2A40000}"/>
    <cellStyle name="Normal 4 2 4 2 2 2 2 2 2 2 3" xfId="23064" xr:uid="{00000000-0005-0000-0000-0000A3A40000}"/>
    <cellStyle name="Normal 4 2 4 2 2 2 2 2 2 2 3 2" xfId="54935" xr:uid="{00000000-0005-0000-0000-0000A4A40000}"/>
    <cellStyle name="Normal 4 2 4 2 2 2 2 2 2 2 4" xfId="42680" xr:uid="{00000000-0005-0000-0000-0000A5A40000}"/>
    <cellStyle name="Normal 4 2 4 2 2 2 2 2 2 3" xfId="10803" xr:uid="{00000000-0005-0000-0000-0000A6A40000}"/>
    <cellStyle name="Normal 4 2 4 2 2 2 2 2 2 3 2" xfId="27003" xr:uid="{00000000-0005-0000-0000-0000A7A40000}"/>
    <cellStyle name="Normal 4 2 4 2 2 2 2 2 2 3 2 2" xfId="58874" xr:uid="{00000000-0005-0000-0000-0000A8A40000}"/>
    <cellStyle name="Normal 4 2 4 2 2 2 2 2 2 3 3" xfId="42682" xr:uid="{00000000-0005-0000-0000-0000A9A40000}"/>
    <cellStyle name="Normal 4 2 4 2 2 2 2 2 2 4" xfId="19125" xr:uid="{00000000-0005-0000-0000-0000AAA40000}"/>
    <cellStyle name="Normal 4 2 4 2 2 2 2 2 2 4 2" xfId="50996" xr:uid="{00000000-0005-0000-0000-0000ABA40000}"/>
    <cellStyle name="Normal 4 2 4 2 2 2 2 2 2 5" xfId="42679" xr:uid="{00000000-0005-0000-0000-0000ACA40000}"/>
    <cellStyle name="Normal 4 2 4 2 2 2 2 2 3" xfId="10804" xr:uid="{00000000-0005-0000-0000-0000ADA40000}"/>
    <cellStyle name="Normal 4 2 4 2 2 2 2 2 3 2" xfId="10805" xr:uid="{00000000-0005-0000-0000-0000AEA40000}"/>
    <cellStyle name="Normal 4 2 4 2 2 2 2 2 3 2 2" xfId="30941" xr:uid="{00000000-0005-0000-0000-0000AFA40000}"/>
    <cellStyle name="Normal 4 2 4 2 2 2 2 2 3 2 2 2" xfId="62812" xr:uid="{00000000-0005-0000-0000-0000B0A40000}"/>
    <cellStyle name="Normal 4 2 4 2 2 2 2 2 3 2 3" xfId="42684" xr:uid="{00000000-0005-0000-0000-0000B1A40000}"/>
    <cellStyle name="Normal 4 2 4 2 2 2 2 2 3 3" xfId="23063" xr:uid="{00000000-0005-0000-0000-0000B2A40000}"/>
    <cellStyle name="Normal 4 2 4 2 2 2 2 2 3 3 2" xfId="54934" xr:uid="{00000000-0005-0000-0000-0000B3A40000}"/>
    <cellStyle name="Normal 4 2 4 2 2 2 2 2 3 4" xfId="42683" xr:uid="{00000000-0005-0000-0000-0000B4A40000}"/>
    <cellStyle name="Normal 4 2 4 2 2 2 2 2 4" xfId="10806" xr:uid="{00000000-0005-0000-0000-0000B5A40000}"/>
    <cellStyle name="Normal 4 2 4 2 2 2 2 2 4 2" xfId="27002" xr:uid="{00000000-0005-0000-0000-0000B6A40000}"/>
    <cellStyle name="Normal 4 2 4 2 2 2 2 2 4 2 2" xfId="58873" xr:uid="{00000000-0005-0000-0000-0000B7A40000}"/>
    <cellStyle name="Normal 4 2 4 2 2 2 2 2 4 3" xfId="42685" xr:uid="{00000000-0005-0000-0000-0000B8A40000}"/>
    <cellStyle name="Normal 4 2 4 2 2 2 2 2 5" xfId="19124" xr:uid="{00000000-0005-0000-0000-0000B9A40000}"/>
    <cellStyle name="Normal 4 2 4 2 2 2 2 2 5 2" xfId="50995" xr:uid="{00000000-0005-0000-0000-0000BAA40000}"/>
    <cellStyle name="Normal 4 2 4 2 2 2 2 2 6" xfId="42678" xr:uid="{00000000-0005-0000-0000-0000BBA40000}"/>
    <cellStyle name="Normal 4 2 4 2 2 2 2 3" xfId="10807" xr:uid="{00000000-0005-0000-0000-0000BCA40000}"/>
    <cellStyle name="Normal 4 2 4 2 2 2 2 3 2" xfId="10808" xr:uid="{00000000-0005-0000-0000-0000BDA40000}"/>
    <cellStyle name="Normal 4 2 4 2 2 2 2 3 2 2" xfId="10809" xr:uid="{00000000-0005-0000-0000-0000BEA40000}"/>
    <cellStyle name="Normal 4 2 4 2 2 2 2 3 2 2 2" xfId="30943" xr:uid="{00000000-0005-0000-0000-0000BFA40000}"/>
    <cellStyle name="Normal 4 2 4 2 2 2 2 3 2 2 2 2" xfId="62814" xr:uid="{00000000-0005-0000-0000-0000C0A40000}"/>
    <cellStyle name="Normal 4 2 4 2 2 2 2 3 2 2 3" xfId="42688" xr:uid="{00000000-0005-0000-0000-0000C1A40000}"/>
    <cellStyle name="Normal 4 2 4 2 2 2 2 3 2 3" xfId="23065" xr:uid="{00000000-0005-0000-0000-0000C2A40000}"/>
    <cellStyle name="Normal 4 2 4 2 2 2 2 3 2 3 2" xfId="54936" xr:uid="{00000000-0005-0000-0000-0000C3A40000}"/>
    <cellStyle name="Normal 4 2 4 2 2 2 2 3 2 4" xfId="42687" xr:uid="{00000000-0005-0000-0000-0000C4A40000}"/>
    <cellStyle name="Normal 4 2 4 2 2 2 2 3 3" xfId="10810" xr:uid="{00000000-0005-0000-0000-0000C5A40000}"/>
    <cellStyle name="Normal 4 2 4 2 2 2 2 3 3 2" xfId="27004" xr:uid="{00000000-0005-0000-0000-0000C6A40000}"/>
    <cellStyle name="Normal 4 2 4 2 2 2 2 3 3 2 2" xfId="58875" xr:uid="{00000000-0005-0000-0000-0000C7A40000}"/>
    <cellStyle name="Normal 4 2 4 2 2 2 2 3 3 3" xfId="42689" xr:uid="{00000000-0005-0000-0000-0000C8A40000}"/>
    <cellStyle name="Normal 4 2 4 2 2 2 2 3 4" xfId="19126" xr:uid="{00000000-0005-0000-0000-0000C9A40000}"/>
    <cellStyle name="Normal 4 2 4 2 2 2 2 3 4 2" xfId="50997" xr:uid="{00000000-0005-0000-0000-0000CAA40000}"/>
    <cellStyle name="Normal 4 2 4 2 2 2 2 3 5" xfId="42686" xr:uid="{00000000-0005-0000-0000-0000CBA40000}"/>
    <cellStyle name="Normal 4 2 4 2 2 2 2 4" xfId="10811" xr:uid="{00000000-0005-0000-0000-0000CCA40000}"/>
    <cellStyle name="Normal 4 2 4 2 2 2 2 4 2" xfId="10812" xr:uid="{00000000-0005-0000-0000-0000CDA40000}"/>
    <cellStyle name="Normal 4 2 4 2 2 2 2 4 2 2" xfId="30940" xr:uid="{00000000-0005-0000-0000-0000CEA40000}"/>
    <cellStyle name="Normal 4 2 4 2 2 2 2 4 2 2 2" xfId="62811" xr:uid="{00000000-0005-0000-0000-0000CFA40000}"/>
    <cellStyle name="Normal 4 2 4 2 2 2 2 4 2 3" xfId="42691" xr:uid="{00000000-0005-0000-0000-0000D0A40000}"/>
    <cellStyle name="Normal 4 2 4 2 2 2 2 4 3" xfId="23062" xr:uid="{00000000-0005-0000-0000-0000D1A40000}"/>
    <cellStyle name="Normal 4 2 4 2 2 2 2 4 3 2" xfId="54933" xr:uid="{00000000-0005-0000-0000-0000D2A40000}"/>
    <cellStyle name="Normal 4 2 4 2 2 2 2 4 4" xfId="42690" xr:uid="{00000000-0005-0000-0000-0000D3A40000}"/>
    <cellStyle name="Normal 4 2 4 2 2 2 2 5" xfId="10813" xr:uid="{00000000-0005-0000-0000-0000D4A40000}"/>
    <cellStyle name="Normal 4 2 4 2 2 2 2 5 2" xfId="27001" xr:uid="{00000000-0005-0000-0000-0000D5A40000}"/>
    <cellStyle name="Normal 4 2 4 2 2 2 2 5 2 2" xfId="58872" xr:uid="{00000000-0005-0000-0000-0000D6A40000}"/>
    <cellStyle name="Normal 4 2 4 2 2 2 2 5 3" xfId="42692" xr:uid="{00000000-0005-0000-0000-0000D7A40000}"/>
    <cellStyle name="Normal 4 2 4 2 2 2 2 6" xfId="19123" xr:uid="{00000000-0005-0000-0000-0000D8A40000}"/>
    <cellStyle name="Normal 4 2 4 2 2 2 2 6 2" xfId="50994" xr:uid="{00000000-0005-0000-0000-0000D9A40000}"/>
    <cellStyle name="Normal 4 2 4 2 2 2 2 7" xfId="42677" xr:uid="{00000000-0005-0000-0000-0000DAA40000}"/>
    <cellStyle name="Normal 4 2 4 2 2 2 3" xfId="10814" xr:uid="{00000000-0005-0000-0000-0000DBA40000}"/>
    <cellStyle name="Normal 4 2 4 2 2 2 3 2" xfId="10815" xr:uid="{00000000-0005-0000-0000-0000DCA40000}"/>
    <cellStyle name="Normal 4 2 4 2 2 2 3 2 2" xfId="10816" xr:uid="{00000000-0005-0000-0000-0000DDA40000}"/>
    <cellStyle name="Normal 4 2 4 2 2 2 3 2 2 2" xfId="10817" xr:uid="{00000000-0005-0000-0000-0000DEA40000}"/>
    <cellStyle name="Normal 4 2 4 2 2 2 3 2 2 2 2" xfId="30945" xr:uid="{00000000-0005-0000-0000-0000DFA40000}"/>
    <cellStyle name="Normal 4 2 4 2 2 2 3 2 2 2 2 2" xfId="62816" xr:uid="{00000000-0005-0000-0000-0000E0A40000}"/>
    <cellStyle name="Normal 4 2 4 2 2 2 3 2 2 2 3" xfId="42696" xr:uid="{00000000-0005-0000-0000-0000E1A40000}"/>
    <cellStyle name="Normal 4 2 4 2 2 2 3 2 2 3" xfId="23067" xr:uid="{00000000-0005-0000-0000-0000E2A40000}"/>
    <cellStyle name="Normal 4 2 4 2 2 2 3 2 2 3 2" xfId="54938" xr:uid="{00000000-0005-0000-0000-0000E3A40000}"/>
    <cellStyle name="Normal 4 2 4 2 2 2 3 2 2 4" xfId="42695" xr:uid="{00000000-0005-0000-0000-0000E4A40000}"/>
    <cellStyle name="Normal 4 2 4 2 2 2 3 2 3" xfId="10818" xr:uid="{00000000-0005-0000-0000-0000E5A40000}"/>
    <cellStyle name="Normal 4 2 4 2 2 2 3 2 3 2" xfId="27006" xr:uid="{00000000-0005-0000-0000-0000E6A40000}"/>
    <cellStyle name="Normal 4 2 4 2 2 2 3 2 3 2 2" xfId="58877" xr:uid="{00000000-0005-0000-0000-0000E7A40000}"/>
    <cellStyle name="Normal 4 2 4 2 2 2 3 2 3 3" xfId="42697" xr:uid="{00000000-0005-0000-0000-0000E8A40000}"/>
    <cellStyle name="Normal 4 2 4 2 2 2 3 2 4" xfId="19128" xr:uid="{00000000-0005-0000-0000-0000E9A40000}"/>
    <cellStyle name="Normal 4 2 4 2 2 2 3 2 4 2" xfId="50999" xr:uid="{00000000-0005-0000-0000-0000EAA40000}"/>
    <cellStyle name="Normal 4 2 4 2 2 2 3 2 5" xfId="42694" xr:uid="{00000000-0005-0000-0000-0000EBA40000}"/>
    <cellStyle name="Normal 4 2 4 2 2 2 3 3" xfId="10819" xr:uid="{00000000-0005-0000-0000-0000ECA40000}"/>
    <cellStyle name="Normal 4 2 4 2 2 2 3 3 2" xfId="10820" xr:uid="{00000000-0005-0000-0000-0000EDA40000}"/>
    <cellStyle name="Normal 4 2 4 2 2 2 3 3 2 2" xfId="30944" xr:uid="{00000000-0005-0000-0000-0000EEA40000}"/>
    <cellStyle name="Normal 4 2 4 2 2 2 3 3 2 2 2" xfId="62815" xr:uid="{00000000-0005-0000-0000-0000EFA40000}"/>
    <cellStyle name="Normal 4 2 4 2 2 2 3 3 2 3" xfId="42699" xr:uid="{00000000-0005-0000-0000-0000F0A40000}"/>
    <cellStyle name="Normal 4 2 4 2 2 2 3 3 3" xfId="23066" xr:uid="{00000000-0005-0000-0000-0000F1A40000}"/>
    <cellStyle name="Normal 4 2 4 2 2 2 3 3 3 2" xfId="54937" xr:uid="{00000000-0005-0000-0000-0000F2A40000}"/>
    <cellStyle name="Normal 4 2 4 2 2 2 3 3 4" xfId="42698" xr:uid="{00000000-0005-0000-0000-0000F3A40000}"/>
    <cellStyle name="Normal 4 2 4 2 2 2 3 4" xfId="10821" xr:uid="{00000000-0005-0000-0000-0000F4A40000}"/>
    <cellStyle name="Normal 4 2 4 2 2 2 3 4 2" xfId="27005" xr:uid="{00000000-0005-0000-0000-0000F5A40000}"/>
    <cellStyle name="Normal 4 2 4 2 2 2 3 4 2 2" xfId="58876" xr:uid="{00000000-0005-0000-0000-0000F6A40000}"/>
    <cellStyle name="Normal 4 2 4 2 2 2 3 4 3" xfId="42700" xr:uid="{00000000-0005-0000-0000-0000F7A40000}"/>
    <cellStyle name="Normal 4 2 4 2 2 2 3 5" xfId="19127" xr:uid="{00000000-0005-0000-0000-0000F8A40000}"/>
    <cellStyle name="Normal 4 2 4 2 2 2 3 5 2" xfId="50998" xr:uid="{00000000-0005-0000-0000-0000F9A40000}"/>
    <cellStyle name="Normal 4 2 4 2 2 2 3 6" xfId="42693" xr:uid="{00000000-0005-0000-0000-0000FAA40000}"/>
    <cellStyle name="Normal 4 2 4 2 2 2 4" xfId="10822" xr:uid="{00000000-0005-0000-0000-0000FBA40000}"/>
    <cellStyle name="Normal 4 2 4 2 2 2 4 2" xfId="10823" xr:uid="{00000000-0005-0000-0000-0000FCA40000}"/>
    <cellStyle name="Normal 4 2 4 2 2 2 4 2 2" xfId="10824" xr:uid="{00000000-0005-0000-0000-0000FDA40000}"/>
    <cellStyle name="Normal 4 2 4 2 2 2 4 2 2 2" xfId="30946" xr:uid="{00000000-0005-0000-0000-0000FEA40000}"/>
    <cellStyle name="Normal 4 2 4 2 2 2 4 2 2 2 2" xfId="62817" xr:uid="{00000000-0005-0000-0000-0000FFA40000}"/>
    <cellStyle name="Normal 4 2 4 2 2 2 4 2 2 3" xfId="42703" xr:uid="{00000000-0005-0000-0000-000000A50000}"/>
    <cellStyle name="Normal 4 2 4 2 2 2 4 2 3" xfId="23068" xr:uid="{00000000-0005-0000-0000-000001A50000}"/>
    <cellStyle name="Normal 4 2 4 2 2 2 4 2 3 2" xfId="54939" xr:uid="{00000000-0005-0000-0000-000002A50000}"/>
    <cellStyle name="Normal 4 2 4 2 2 2 4 2 4" xfId="42702" xr:uid="{00000000-0005-0000-0000-000003A50000}"/>
    <cellStyle name="Normal 4 2 4 2 2 2 4 3" xfId="10825" xr:uid="{00000000-0005-0000-0000-000004A50000}"/>
    <cellStyle name="Normal 4 2 4 2 2 2 4 3 2" xfId="27007" xr:uid="{00000000-0005-0000-0000-000005A50000}"/>
    <cellStyle name="Normal 4 2 4 2 2 2 4 3 2 2" xfId="58878" xr:uid="{00000000-0005-0000-0000-000006A50000}"/>
    <cellStyle name="Normal 4 2 4 2 2 2 4 3 3" xfId="42704" xr:uid="{00000000-0005-0000-0000-000007A50000}"/>
    <cellStyle name="Normal 4 2 4 2 2 2 4 4" xfId="19129" xr:uid="{00000000-0005-0000-0000-000008A50000}"/>
    <cellStyle name="Normal 4 2 4 2 2 2 4 4 2" xfId="51000" xr:uid="{00000000-0005-0000-0000-000009A50000}"/>
    <cellStyle name="Normal 4 2 4 2 2 2 4 5" xfId="42701" xr:uid="{00000000-0005-0000-0000-00000AA50000}"/>
    <cellStyle name="Normal 4 2 4 2 2 2 5" xfId="10826" xr:uid="{00000000-0005-0000-0000-00000BA50000}"/>
    <cellStyle name="Normal 4 2 4 2 2 2 5 2" xfId="10827" xr:uid="{00000000-0005-0000-0000-00000CA50000}"/>
    <cellStyle name="Normal 4 2 4 2 2 2 5 2 2" xfId="30939" xr:uid="{00000000-0005-0000-0000-00000DA50000}"/>
    <cellStyle name="Normal 4 2 4 2 2 2 5 2 2 2" xfId="62810" xr:uid="{00000000-0005-0000-0000-00000EA50000}"/>
    <cellStyle name="Normal 4 2 4 2 2 2 5 2 3" xfId="42706" xr:uid="{00000000-0005-0000-0000-00000FA50000}"/>
    <cellStyle name="Normal 4 2 4 2 2 2 5 3" xfId="23061" xr:uid="{00000000-0005-0000-0000-000010A50000}"/>
    <cellStyle name="Normal 4 2 4 2 2 2 5 3 2" xfId="54932" xr:uid="{00000000-0005-0000-0000-000011A50000}"/>
    <cellStyle name="Normal 4 2 4 2 2 2 5 4" xfId="42705" xr:uid="{00000000-0005-0000-0000-000012A50000}"/>
    <cellStyle name="Normal 4 2 4 2 2 2 6" xfId="10828" xr:uid="{00000000-0005-0000-0000-000013A50000}"/>
    <cellStyle name="Normal 4 2 4 2 2 2 6 2" xfId="27000" xr:uid="{00000000-0005-0000-0000-000014A50000}"/>
    <cellStyle name="Normal 4 2 4 2 2 2 6 2 2" xfId="58871" xr:uid="{00000000-0005-0000-0000-000015A50000}"/>
    <cellStyle name="Normal 4 2 4 2 2 2 6 3" xfId="42707" xr:uid="{00000000-0005-0000-0000-000016A50000}"/>
    <cellStyle name="Normal 4 2 4 2 2 2 7" xfId="19122" xr:uid="{00000000-0005-0000-0000-000017A50000}"/>
    <cellStyle name="Normal 4 2 4 2 2 2 7 2" xfId="50993" xr:uid="{00000000-0005-0000-0000-000018A50000}"/>
    <cellStyle name="Normal 4 2 4 2 2 2 8" xfId="42676" xr:uid="{00000000-0005-0000-0000-000019A50000}"/>
    <cellStyle name="Normal 4 2 4 2 2 3" xfId="10829" xr:uid="{00000000-0005-0000-0000-00001AA50000}"/>
    <cellStyle name="Normal 4 2 4 2 2 3 2" xfId="10830" xr:uid="{00000000-0005-0000-0000-00001BA50000}"/>
    <cellStyle name="Normal 4 2 4 2 2 3 2 2" xfId="10831" xr:uid="{00000000-0005-0000-0000-00001CA50000}"/>
    <cellStyle name="Normal 4 2 4 2 2 3 2 2 2" xfId="10832" xr:uid="{00000000-0005-0000-0000-00001DA50000}"/>
    <cellStyle name="Normal 4 2 4 2 2 3 2 2 2 2" xfId="10833" xr:uid="{00000000-0005-0000-0000-00001EA50000}"/>
    <cellStyle name="Normal 4 2 4 2 2 3 2 2 2 2 2" xfId="30949" xr:uid="{00000000-0005-0000-0000-00001FA50000}"/>
    <cellStyle name="Normal 4 2 4 2 2 3 2 2 2 2 2 2" xfId="62820" xr:uid="{00000000-0005-0000-0000-000020A50000}"/>
    <cellStyle name="Normal 4 2 4 2 2 3 2 2 2 2 3" xfId="42712" xr:uid="{00000000-0005-0000-0000-000021A50000}"/>
    <cellStyle name="Normal 4 2 4 2 2 3 2 2 2 3" xfId="23071" xr:uid="{00000000-0005-0000-0000-000022A50000}"/>
    <cellStyle name="Normal 4 2 4 2 2 3 2 2 2 3 2" xfId="54942" xr:uid="{00000000-0005-0000-0000-000023A50000}"/>
    <cellStyle name="Normal 4 2 4 2 2 3 2 2 2 4" xfId="42711" xr:uid="{00000000-0005-0000-0000-000024A50000}"/>
    <cellStyle name="Normal 4 2 4 2 2 3 2 2 3" xfId="10834" xr:uid="{00000000-0005-0000-0000-000025A50000}"/>
    <cellStyle name="Normal 4 2 4 2 2 3 2 2 3 2" xfId="27010" xr:uid="{00000000-0005-0000-0000-000026A50000}"/>
    <cellStyle name="Normal 4 2 4 2 2 3 2 2 3 2 2" xfId="58881" xr:uid="{00000000-0005-0000-0000-000027A50000}"/>
    <cellStyle name="Normal 4 2 4 2 2 3 2 2 3 3" xfId="42713" xr:uid="{00000000-0005-0000-0000-000028A50000}"/>
    <cellStyle name="Normal 4 2 4 2 2 3 2 2 4" xfId="19132" xr:uid="{00000000-0005-0000-0000-000029A50000}"/>
    <cellStyle name="Normal 4 2 4 2 2 3 2 2 4 2" xfId="51003" xr:uid="{00000000-0005-0000-0000-00002AA50000}"/>
    <cellStyle name="Normal 4 2 4 2 2 3 2 2 5" xfId="42710" xr:uid="{00000000-0005-0000-0000-00002BA50000}"/>
    <cellStyle name="Normal 4 2 4 2 2 3 2 3" xfId="10835" xr:uid="{00000000-0005-0000-0000-00002CA50000}"/>
    <cellStyle name="Normal 4 2 4 2 2 3 2 3 2" xfId="10836" xr:uid="{00000000-0005-0000-0000-00002DA50000}"/>
    <cellStyle name="Normal 4 2 4 2 2 3 2 3 2 2" xfId="30948" xr:uid="{00000000-0005-0000-0000-00002EA50000}"/>
    <cellStyle name="Normal 4 2 4 2 2 3 2 3 2 2 2" xfId="62819" xr:uid="{00000000-0005-0000-0000-00002FA50000}"/>
    <cellStyle name="Normal 4 2 4 2 2 3 2 3 2 3" xfId="42715" xr:uid="{00000000-0005-0000-0000-000030A50000}"/>
    <cellStyle name="Normal 4 2 4 2 2 3 2 3 3" xfId="23070" xr:uid="{00000000-0005-0000-0000-000031A50000}"/>
    <cellStyle name="Normal 4 2 4 2 2 3 2 3 3 2" xfId="54941" xr:uid="{00000000-0005-0000-0000-000032A50000}"/>
    <cellStyle name="Normal 4 2 4 2 2 3 2 3 4" xfId="42714" xr:uid="{00000000-0005-0000-0000-000033A50000}"/>
    <cellStyle name="Normal 4 2 4 2 2 3 2 4" xfId="10837" xr:uid="{00000000-0005-0000-0000-000034A50000}"/>
    <cellStyle name="Normal 4 2 4 2 2 3 2 4 2" xfId="27009" xr:uid="{00000000-0005-0000-0000-000035A50000}"/>
    <cellStyle name="Normal 4 2 4 2 2 3 2 4 2 2" xfId="58880" xr:uid="{00000000-0005-0000-0000-000036A50000}"/>
    <cellStyle name="Normal 4 2 4 2 2 3 2 4 3" xfId="42716" xr:uid="{00000000-0005-0000-0000-000037A50000}"/>
    <cellStyle name="Normal 4 2 4 2 2 3 2 5" xfId="19131" xr:uid="{00000000-0005-0000-0000-000038A50000}"/>
    <cellStyle name="Normal 4 2 4 2 2 3 2 5 2" xfId="51002" xr:uid="{00000000-0005-0000-0000-000039A50000}"/>
    <cellStyle name="Normal 4 2 4 2 2 3 2 6" xfId="42709" xr:uid="{00000000-0005-0000-0000-00003AA50000}"/>
    <cellStyle name="Normal 4 2 4 2 2 3 3" xfId="10838" xr:uid="{00000000-0005-0000-0000-00003BA50000}"/>
    <cellStyle name="Normal 4 2 4 2 2 3 3 2" xfId="10839" xr:uid="{00000000-0005-0000-0000-00003CA50000}"/>
    <cellStyle name="Normal 4 2 4 2 2 3 3 2 2" xfId="10840" xr:uid="{00000000-0005-0000-0000-00003DA50000}"/>
    <cellStyle name="Normal 4 2 4 2 2 3 3 2 2 2" xfId="30950" xr:uid="{00000000-0005-0000-0000-00003EA50000}"/>
    <cellStyle name="Normal 4 2 4 2 2 3 3 2 2 2 2" xfId="62821" xr:uid="{00000000-0005-0000-0000-00003FA50000}"/>
    <cellStyle name="Normal 4 2 4 2 2 3 3 2 2 3" xfId="42719" xr:uid="{00000000-0005-0000-0000-000040A50000}"/>
    <cellStyle name="Normal 4 2 4 2 2 3 3 2 3" xfId="23072" xr:uid="{00000000-0005-0000-0000-000041A50000}"/>
    <cellStyle name="Normal 4 2 4 2 2 3 3 2 3 2" xfId="54943" xr:uid="{00000000-0005-0000-0000-000042A50000}"/>
    <cellStyle name="Normal 4 2 4 2 2 3 3 2 4" xfId="42718" xr:uid="{00000000-0005-0000-0000-000043A50000}"/>
    <cellStyle name="Normal 4 2 4 2 2 3 3 3" xfId="10841" xr:uid="{00000000-0005-0000-0000-000044A50000}"/>
    <cellStyle name="Normal 4 2 4 2 2 3 3 3 2" xfId="27011" xr:uid="{00000000-0005-0000-0000-000045A50000}"/>
    <cellStyle name="Normal 4 2 4 2 2 3 3 3 2 2" xfId="58882" xr:uid="{00000000-0005-0000-0000-000046A50000}"/>
    <cellStyle name="Normal 4 2 4 2 2 3 3 3 3" xfId="42720" xr:uid="{00000000-0005-0000-0000-000047A50000}"/>
    <cellStyle name="Normal 4 2 4 2 2 3 3 4" xfId="19133" xr:uid="{00000000-0005-0000-0000-000048A50000}"/>
    <cellStyle name="Normal 4 2 4 2 2 3 3 4 2" xfId="51004" xr:uid="{00000000-0005-0000-0000-000049A50000}"/>
    <cellStyle name="Normal 4 2 4 2 2 3 3 5" xfId="42717" xr:uid="{00000000-0005-0000-0000-00004AA50000}"/>
    <cellStyle name="Normal 4 2 4 2 2 3 4" xfId="10842" xr:uid="{00000000-0005-0000-0000-00004BA50000}"/>
    <cellStyle name="Normal 4 2 4 2 2 3 4 2" xfId="10843" xr:uid="{00000000-0005-0000-0000-00004CA50000}"/>
    <cellStyle name="Normal 4 2 4 2 2 3 4 2 2" xfId="30947" xr:uid="{00000000-0005-0000-0000-00004DA50000}"/>
    <cellStyle name="Normal 4 2 4 2 2 3 4 2 2 2" xfId="62818" xr:uid="{00000000-0005-0000-0000-00004EA50000}"/>
    <cellStyle name="Normal 4 2 4 2 2 3 4 2 3" xfId="42722" xr:uid="{00000000-0005-0000-0000-00004FA50000}"/>
    <cellStyle name="Normal 4 2 4 2 2 3 4 3" xfId="23069" xr:uid="{00000000-0005-0000-0000-000050A50000}"/>
    <cellStyle name="Normal 4 2 4 2 2 3 4 3 2" xfId="54940" xr:uid="{00000000-0005-0000-0000-000051A50000}"/>
    <cellStyle name="Normal 4 2 4 2 2 3 4 4" xfId="42721" xr:uid="{00000000-0005-0000-0000-000052A50000}"/>
    <cellStyle name="Normal 4 2 4 2 2 3 5" xfId="10844" xr:uid="{00000000-0005-0000-0000-000053A50000}"/>
    <cellStyle name="Normal 4 2 4 2 2 3 5 2" xfId="27008" xr:uid="{00000000-0005-0000-0000-000054A50000}"/>
    <cellStyle name="Normal 4 2 4 2 2 3 5 2 2" xfId="58879" xr:uid="{00000000-0005-0000-0000-000055A50000}"/>
    <cellStyle name="Normal 4 2 4 2 2 3 5 3" xfId="42723" xr:uid="{00000000-0005-0000-0000-000056A50000}"/>
    <cellStyle name="Normal 4 2 4 2 2 3 6" xfId="19130" xr:uid="{00000000-0005-0000-0000-000057A50000}"/>
    <cellStyle name="Normal 4 2 4 2 2 3 6 2" xfId="51001" xr:uid="{00000000-0005-0000-0000-000058A50000}"/>
    <cellStyle name="Normal 4 2 4 2 2 3 7" xfId="42708" xr:uid="{00000000-0005-0000-0000-000059A50000}"/>
    <cellStyle name="Normal 4 2 4 2 2 4" xfId="10845" xr:uid="{00000000-0005-0000-0000-00005AA50000}"/>
    <cellStyle name="Normal 4 2 4 2 2 4 2" xfId="10846" xr:uid="{00000000-0005-0000-0000-00005BA50000}"/>
    <cellStyle name="Normal 4 2 4 2 2 4 2 2" xfId="10847" xr:uid="{00000000-0005-0000-0000-00005CA50000}"/>
    <cellStyle name="Normal 4 2 4 2 2 4 2 2 2" xfId="10848" xr:uid="{00000000-0005-0000-0000-00005DA50000}"/>
    <cellStyle name="Normal 4 2 4 2 2 4 2 2 2 2" xfId="30952" xr:uid="{00000000-0005-0000-0000-00005EA50000}"/>
    <cellStyle name="Normal 4 2 4 2 2 4 2 2 2 2 2" xfId="62823" xr:uid="{00000000-0005-0000-0000-00005FA50000}"/>
    <cellStyle name="Normal 4 2 4 2 2 4 2 2 2 3" xfId="42727" xr:uid="{00000000-0005-0000-0000-000060A50000}"/>
    <cellStyle name="Normal 4 2 4 2 2 4 2 2 3" xfId="23074" xr:uid="{00000000-0005-0000-0000-000061A50000}"/>
    <cellStyle name="Normal 4 2 4 2 2 4 2 2 3 2" xfId="54945" xr:uid="{00000000-0005-0000-0000-000062A50000}"/>
    <cellStyle name="Normal 4 2 4 2 2 4 2 2 4" xfId="42726" xr:uid="{00000000-0005-0000-0000-000063A50000}"/>
    <cellStyle name="Normal 4 2 4 2 2 4 2 3" xfId="10849" xr:uid="{00000000-0005-0000-0000-000064A50000}"/>
    <cellStyle name="Normal 4 2 4 2 2 4 2 3 2" xfId="27013" xr:uid="{00000000-0005-0000-0000-000065A50000}"/>
    <cellStyle name="Normal 4 2 4 2 2 4 2 3 2 2" xfId="58884" xr:uid="{00000000-0005-0000-0000-000066A50000}"/>
    <cellStyle name="Normal 4 2 4 2 2 4 2 3 3" xfId="42728" xr:uid="{00000000-0005-0000-0000-000067A50000}"/>
    <cellStyle name="Normal 4 2 4 2 2 4 2 4" xfId="19135" xr:uid="{00000000-0005-0000-0000-000068A50000}"/>
    <cellStyle name="Normal 4 2 4 2 2 4 2 4 2" xfId="51006" xr:uid="{00000000-0005-0000-0000-000069A50000}"/>
    <cellStyle name="Normal 4 2 4 2 2 4 2 5" xfId="42725" xr:uid="{00000000-0005-0000-0000-00006AA50000}"/>
    <cellStyle name="Normal 4 2 4 2 2 4 3" xfId="10850" xr:uid="{00000000-0005-0000-0000-00006BA50000}"/>
    <cellStyle name="Normal 4 2 4 2 2 4 3 2" xfId="10851" xr:uid="{00000000-0005-0000-0000-00006CA50000}"/>
    <cellStyle name="Normal 4 2 4 2 2 4 3 2 2" xfId="30951" xr:uid="{00000000-0005-0000-0000-00006DA50000}"/>
    <cellStyle name="Normal 4 2 4 2 2 4 3 2 2 2" xfId="62822" xr:uid="{00000000-0005-0000-0000-00006EA50000}"/>
    <cellStyle name="Normal 4 2 4 2 2 4 3 2 3" xfId="42730" xr:uid="{00000000-0005-0000-0000-00006FA50000}"/>
    <cellStyle name="Normal 4 2 4 2 2 4 3 3" xfId="23073" xr:uid="{00000000-0005-0000-0000-000070A50000}"/>
    <cellStyle name="Normal 4 2 4 2 2 4 3 3 2" xfId="54944" xr:uid="{00000000-0005-0000-0000-000071A50000}"/>
    <cellStyle name="Normal 4 2 4 2 2 4 3 4" xfId="42729" xr:uid="{00000000-0005-0000-0000-000072A50000}"/>
    <cellStyle name="Normal 4 2 4 2 2 4 4" xfId="10852" xr:uid="{00000000-0005-0000-0000-000073A50000}"/>
    <cellStyle name="Normal 4 2 4 2 2 4 4 2" xfId="27012" xr:uid="{00000000-0005-0000-0000-000074A50000}"/>
    <cellStyle name="Normal 4 2 4 2 2 4 4 2 2" xfId="58883" xr:uid="{00000000-0005-0000-0000-000075A50000}"/>
    <cellStyle name="Normal 4 2 4 2 2 4 4 3" xfId="42731" xr:uid="{00000000-0005-0000-0000-000076A50000}"/>
    <cellStyle name="Normal 4 2 4 2 2 4 5" xfId="19134" xr:uid="{00000000-0005-0000-0000-000077A50000}"/>
    <cellStyle name="Normal 4 2 4 2 2 4 5 2" xfId="51005" xr:uid="{00000000-0005-0000-0000-000078A50000}"/>
    <cellStyle name="Normal 4 2 4 2 2 4 6" xfId="42724" xr:uid="{00000000-0005-0000-0000-000079A50000}"/>
    <cellStyle name="Normal 4 2 4 2 2 5" xfId="10853" xr:uid="{00000000-0005-0000-0000-00007AA50000}"/>
    <cellStyle name="Normal 4 2 4 2 2 5 2" xfId="10854" xr:uid="{00000000-0005-0000-0000-00007BA50000}"/>
    <cellStyle name="Normal 4 2 4 2 2 5 2 2" xfId="10855" xr:uid="{00000000-0005-0000-0000-00007CA50000}"/>
    <cellStyle name="Normal 4 2 4 2 2 5 2 2 2" xfId="30953" xr:uid="{00000000-0005-0000-0000-00007DA50000}"/>
    <cellStyle name="Normal 4 2 4 2 2 5 2 2 2 2" xfId="62824" xr:uid="{00000000-0005-0000-0000-00007EA50000}"/>
    <cellStyle name="Normal 4 2 4 2 2 5 2 2 3" xfId="42734" xr:uid="{00000000-0005-0000-0000-00007FA50000}"/>
    <cellStyle name="Normal 4 2 4 2 2 5 2 3" xfId="23075" xr:uid="{00000000-0005-0000-0000-000080A50000}"/>
    <cellStyle name="Normal 4 2 4 2 2 5 2 3 2" xfId="54946" xr:uid="{00000000-0005-0000-0000-000081A50000}"/>
    <cellStyle name="Normal 4 2 4 2 2 5 2 4" xfId="42733" xr:uid="{00000000-0005-0000-0000-000082A50000}"/>
    <cellStyle name="Normal 4 2 4 2 2 5 3" xfId="10856" xr:uid="{00000000-0005-0000-0000-000083A50000}"/>
    <cellStyle name="Normal 4 2 4 2 2 5 3 2" xfId="27014" xr:uid="{00000000-0005-0000-0000-000084A50000}"/>
    <cellStyle name="Normal 4 2 4 2 2 5 3 2 2" xfId="58885" xr:uid="{00000000-0005-0000-0000-000085A50000}"/>
    <cellStyle name="Normal 4 2 4 2 2 5 3 3" xfId="42735" xr:uid="{00000000-0005-0000-0000-000086A50000}"/>
    <cellStyle name="Normal 4 2 4 2 2 5 4" xfId="19136" xr:uid="{00000000-0005-0000-0000-000087A50000}"/>
    <cellStyle name="Normal 4 2 4 2 2 5 4 2" xfId="51007" xr:uid="{00000000-0005-0000-0000-000088A50000}"/>
    <cellStyle name="Normal 4 2 4 2 2 5 5" xfId="42732" xr:uid="{00000000-0005-0000-0000-000089A50000}"/>
    <cellStyle name="Normal 4 2 4 2 2 6" xfId="10857" xr:uid="{00000000-0005-0000-0000-00008AA50000}"/>
    <cellStyle name="Normal 4 2 4 2 2 6 2" xfId="10858" xr:uid="{00000000-0005-0000-0000-00008BA50000}"/>
    <cellStyle name="Normal 4 2 4 2 2 6 2 2" xfId="28458" xr:uid="{00000000-0005-0000-0000-00008CA50000}"/>
    <cellStyle name="Normal 4 2 4 2 2 6 2 2 2" xfId="60329" xr:uid="{00000000-0005-0000-0000-00008DA50000}"/>
    <cellStyle name="Normal 4 2 4 2 2 6 2 3" xfId="42737" xr:uid="{00000000-0005-0000-0000-00008EA50000}"/>
    <cellStyle name="Normal 4 2 4 2 2 6 3" xfId="20580" xr:uid="{00000000-0005-0000-0000-00008FA50000}"/>
    <cellStyle name="Normal 4 2 4 2 2 6 3 2" xfId="52451" xr:uid="{00000000-0005-0000-0000-000090A50000}"/>
    <cellStyle name="Normal 4 2 4 2 2 6 4" xfId="42736" xr:uid="{00000000-0005-0000-0000-000091A50000}"/>
    <cellStyle name="Normal 4 2 4 2 2 7" xfId="10859" xr:uid="{00000000-0005-0000-0000-000092A50000}"/>
    <cellStyle name="Normal 4 2 4 2 2 7 2" xfId="24519" xr:uid="{00000000-0005-0000-0000-000093A50000}"/>
    <cellStyle name="Normal 4 2 4 2 2 7 2 2" xfId="56390" xr:uid="{00000000-0005-0000-0000-000094A50000}"/>
    <cellStyle name="Normal 4 2 4 2 2 7 3" xfId="42738" xr:uid="{00000000-0005-0000-0000-000095A50000}"/>
    <cellStyle name="Normal 4 2 4 2 2 8" xfId="16641" xr:uid="{00000000-0005-0000-0000-000096A50000}"/>
    <cellStyle name="Normal 4 2 4 2 2 8 2" xfId="48512" xr:uid="{00000000-0005-0000-0000-000097A50000}"/>
    <cellStyle name="Normal 4 2 4 2 2 9" xfId="42675" xr:uid="{00000000-0005-0000-0000-000098A50000}"/>
    <cellStyle name="Normal 4 2 4 2 3" xfId="10860" xr:uid="{00000000-0005-0000-0000-000099A50000}"/>
    <cellStyle name="Normal 4 2 4 2 3 2" xfId="10861" xr:uid="{00000000-0005-0000-0000-00009AA50000}"/>
    <cellStyle name="Normal 4 2 4 2 3 2 2" xfId="10862" xr:uid="{00000000-0005-0000-0000-00009BA50000}"/>
    <cellStyle name="Normal 4 2 4 2 3 2 2 2" xfId="10863" xr:uid="{00000000-0005-0000-0000-00009CA50000}"/>
    <cellStyle name="Normal 4 2 4 2 3 2 2 2 2" xfId="10864" xr:uid="{00000000-0005-0000-0000-00009DA50000}"/>
    <cellStyle name="Normal 4 2 4 2 3 2 2 2 2 2" xfId="10865" xr:uid="{00000000-0005-0000-0000-00009EA50000}"/>
    <cellStyle name="Normal 4 2 4 2 3 2 2 2 2 2 2" xfId="30957" xr:uid="{00000000-0005-0000-0000-00009FA50000}"/>
    <cellStyle name="Normal 4 2 4 2 3 2 2 2 2 2 2 2" xfId="62828" xr:uid="{00000000-0005-0000-0000-0000A0A50000}"/>
    <cellStyle name="Normal 4 2 4 2 3 2 2 2 2 2 3" xfId="42744" xr:uid="{00000000-0005-0000-0000-0000A1A50000}"/>
    <cellStyle name="Normal 4 2 4 2 3 2 2 2 2 3" xfId="23079" xr:uid="{00000000-0005-0000-0000-0000A2A50000}"/>
    <cellStyle name="Normal 4 2 4 2 3 2 2 2 2 3 2" xfId="54950" xr:uid="{00000000-0005-0000-0000-0000A3A50000}"/>
    <cellStyle name="Normal 4 2 4 2 3 2 2 2 2 4" xfId="42743" xr:uid="{00000000-0005-0000-0000-0000A4A50000}"/>
    <cellStyle name="Normal 4 2 4 2 3 2 2 2 3" xfId="10866" xr:uid="{00000000-0005-0000-0000-0000A5A50000}"/>
    <cellStyle name="Normal 4 2 4 2 3 2 2 2 3 2" xfId="27018" xr:uid="{00000000-0005-0000-0000-0000A6A50000}"/>
    <cellStyle name="Normal 4 2 4 2 3 2 2 2 3 2 2" xfId="58889" xr:uid="{00000000-0005-0000-0000-0000A7A50000}"/>
    <cellStyle name="Normal 4 2 4 2 3 2 2 2 3 3" xfId="42745" xr:uid="{00000000-0005-0000-0000-0000A8A50000}"/>
    <cellStyle name="Normal 4 2 4 2 3 2 2 2 4" xfId="19140" xr:uid="{00000000-0005-0000-0000-0000A9A50000}"/>
    <cellStyle name="Normal 4 2 4 2 3 2 2 2 4 2" xfId="51011" xr:uid="{00000000-0005-0000-0000-0000AAA50000}"/>
    <cellStyle name="Normal 4 2 4 2 3 2 2 2 5" xfId="42742" xr:uid="{00000000-0005-0000-0000-0000ABA50000}"/>
    <cellStyle name="Normal 4 2 4 2 3 2 2 3" xfId="10867" xr:uid="{00000000-0005-0000-0000-0000ACA50000}"/>
    <cellStyle name="Normal 4 2 4 2 3 2 2 3 2" xfId="10868" xr:uid="{00000000-0005-0000-0000-0000ADA50000}"/>
    <cellStyle name="Normal 4 2 4 2 3 2 2 3 2 2" xfId="30956" xr:uid="{00000000-0005-0000-0000-0000AEA50000}"/>
    <cellStyle name="Normal 4 2 4 2 3 2 2 3 2 2 2" xfId="62827" xr:uid="{00000000-0005-0000-0000-0000AFA50000}"/>
    <cellStyle name="Normal 4 2 4 2 3 2 2 3 2 3" xfId="42747" xr:uid="{00000000-0005-0000-0000-0000B0A50000}"/>
    <cellStyle name="Normal 4 2 4 2 3 2 2 3 3" xfId="23078" xr:uid="{00000000-0005-0000-0000-0000B1A50000}"/>
    <cellStyle name="Normal 4 2 4 2 3 2 2 3 3 2" xfId="54949" xr:uid="{00000000-0005-0000-0000-0000B2A50000}"/>
    <cellStyle name="Normal 4 2 4 2 3 2 2 3 4" xfId="42746" xr:uid="{00000000-0005-0000-0000-0000B3A50000}"/>
    <cellStyle name="Normal 4 2 4 2 3 2 2 4" xfId="10869" xr:uid="{00000000-0005-0000-0000-0000B4A50000}"/>
    <cellStyle name="Normal 4 2 4 2 3 2 2 4 2" xfId="27017" xr:uid="{00000000-0005-0000-0000-0000B5A50000}"/>
    <cellStyle name="Normal 4 2 4 2 3 2 2 4 2 2" xfId="58888" xr:uid="{00000000-0005-0000-0000-0000B6A50000}"/>
    <cellStyle name="Normal 4 2 4 2 3 2 2 4 3" xfId="42748" xr:uid="{00000000-0005-0000-0000-0000B7A50000}"/>
    <cellStyle name="Normal 4 2 4 2 3 2 2 5" xfId="19139" xr:uid="{00000000-0005-0000-0000-0000B8A50000}"/>
    <cellStyle name="Normal 4 2 4 2 3 2 2 5 2" xfId="51010" xr:uid="{00000000-0005-0000-0000-0000B9A50000}"/>
    <cellStyle name="Normal 4 2 4 2 3 2 2 6" xfId="42741" xr:uid="{00000000-0005-0000-0000-0000BAA50000}"/>
    <cellStyle name="Normal 4 2 4 2 3 2 3" xfId="10870" xr:uid="{00000000-0005-0000-0000-0000BBA50000}"/>
    <cellStyle name="Normal 4 2 4 2 3 2 3 2" xfId="10871" xr:uid="{00000000-0005-0000-0000-0000BCA50000}"/>
    <cellStyle name="Normal 4 2 4 2 3 2 3 2 2" xfId="10872" xr:uid="{00000000-0005-0000-0000-0000BDA50000}"/>
    <cellStyle name="Normal 4 2 4 2 3 2 3 2 2 2" xfId="30958" xr:uid="{00000000-0005-0000-0000-0000BEA50000}"/>
    <cellStyle name="Normal 4 2 4 2 3 2 3 2 2 2 2" xfId="62829" xr:uid="{00000000-0005-0000-0000-0000BFA50000}"/>
    <cellStyle name="Normal 4 2 4 2 3 2 3 2 2 3" xfId="42751" xr:uid="{00000000-0005-0000-0000-0000C0A50000}"/>
    <cellStyle name="Normal 4 2 4 2 3 2 3 2 3" xfId="23080" xr:uid="{00000000-0005-0000-0000-0000C1A50000}"/>
    <cellStyle name="Normal 4 2 4 2 3 2 3 2 3 2" xfId="54951" xr:uid="{00000000-0005-0000-0000-0000C2A50000}"/>
    <cellStyle name="Normal 4 2 4 2 3 2 3 2 4" xfId="42750" xr:uid="{00000000-0005-0000-0000-0000C3A50000}"/>
    <cellStyle name="Normal 4 2 4 2 3 2 3 3" xfId="10873" xr:uid="{00000000-0005-0000-0000-0000C4A50000}"/>
    <cellStyle name="Normal 4 2 4 2 3 2 3 3 2" xfId="27019" xr:uid="{00000000-0005-0000-0000-0000C5A50000}"/>
    <cellStyle name="Normal 4 2 4 2 3 2 3 3 2 2" xfId="58890" xr:uid="{00000000-0005-0000-0000-0000C6A50000}"/>
    <cellStyle name="Normal 4 2 4 2 3 2 3 3 3" xfId="42752" xr:uid="{00000000-0005-0000-0000-0000C7A50000}"/>
    <cellStyle name="Normal 4 2 4 2 3 2 3 4" xfId="19141" xr:uid="{00000000-0005-0000-0000-0000C8A50000}"/>
    <cellStyle name="Normal 4 2 4 2 3 2 3 4 2" xfId="51012" xr:uid="{00000000-0005-0000-0000-0000C9A50000}"/>
    <cellStyle name="Normal 4 2 4 2 3 2 3 5" xfId="42749" xr:uid="{00000000-0005-0000-0000-0000CAA50000}"/>
    <cellStyle name="Normal 4 2 4 2 3 2 4" xfId="10874" xr:uid="{00000000-0005-0000-0000-0000CBA50000}"/>
    <cellStyle name="Normal 4 2 4 2 3 2 4 2" xfId="10875" xr:uid="{00000000-0005-0000-0000-0000CCA50000}"/>
    <cellStyle name="Normal 4 2 4 2 3 2 4 2 2" xfId="30955" xr:uid="{00000000-0005-0000-0000-0000CDA50000}"/>
    <cellStyle name="Normal 4 2 4 2 3 2 4 2 2 2" xfId="62826" xr:uid="{00000000-0005-0000-0000-0000CEA50000}"/>
    <cellStyle name="Normal 4 2 4 2 3 2 4 2 3" xfId="42754" xr:uid="{00000000-0005-0000-0000-0000CFA50000}"/>
    <cellStyle name="Normal 4 2 4 2 3 2 4 3" xfId="23077" xr:uid="{00000000-0005-0000-0000-0000D0A50000}"/>
    <cellStyle name="Normal 4 2 4 2 3 2 4 3 2" xfId="54948" xr:uid="{00000000-0005-0000-0000-0000D1A50000}"/>
    <cellStyle name="Normal 4 2 4 2 3 2 4 4" xfId="42753" xr:uid="{00000000-0005-0000-0000-0000D2A50000}"/>
    <cellStyle name="Normal 4 2 4 2 3 2 5" xfId="10876" xr:uid="{00000000-0005-0000-0000-0000D3A50000}"/>
    <cellStyle name="Normal 4 2 4 2 3 2 5 2" xfId="27016" xr:uid="{00000000-0005-0000-0000-0000D4A50000}"/>
    <cellStyle name="Normal 4 2 4 2 3 2 5 2 2" xfId="58887" xr:uid="{00000000-0005-0000-0000-0000D5A50000}"/>
    <cellStyle name="Normal 4 2 4 2 3 2 5 3" xfId="42755" xr:uid="{00000000-0005-0000-0000-0000D6A50000}"/>
    <cellStyle name="Normal 4 2 4 2 3 2 6" xfId="19138" xr:uid="{00000000-0005-0000-0000-0000D7A50000}"/>
    <cellStyle name="Normal 4 2 4 2 3 2 6 2" xfId="51009" xr:uid="{00000000-0005-0000-0000-0000D8A50000}"/>
    <cellStyle name="Normal 4 2 4 2 3 2 7" xfId="42740" xr:uid="{00000000-0005-0000-0000-0000D9A50000}"/>
    <cellStyle name="Normal 4 2 4 2 3 3" xfId="10877" xr:uid="{00000000-0005-0000-0000-0000DAA50000}"/>
    <cellStyle name="Normal 4 2 4 2 3 3 2" xfId="10878" xr:uid="{00000000-0005-0000-0000-0000DBA50000}"/>
    <cellStyle name="Normal 4 2 4 2 3 3 2 2" xfId="10879" xr:uid="{00000000-0005-0000-0000-0000DCA50000}"/>
    <cellStyle name="Normal 4 2 4 2 3 3 2 2 2" xfId="10880" xr:uid="{00000000-0005-0000-0000-0000DDA50000}"/>
    <cellStyle name="Normal 4 2 4 2 3 3 2 2 2 2" xfId="30960" xr:uid="{00000000-0005-0000-0000-0000DEA50000}"/>
    <cellStyle name="Normal 4 2 4 2 3 3 2 2 2 2 2" xfId="62831" xr:uid="{00000000-0005-0000-0000-0000DFA50000}"/>
    <cellStyle name="Normal 4 2 4 2 3 3 2 2 2 3" xfId="42759" xr:uid="{00000000-0005-0000-0000-0000E0A50000}"/>
    <cellStyle name="Normal 4 2 4 2 3 3 2 2 3" xfId="23082" xr:uid="{00000000-0005-0000-0000-0000E1A50000}"/>
    <cellStyle name="Normal 4 2 4 2 3 3 2 2 3 2" xfId="54953" xr:uid="{00000000-0005-0000-0000-0000E2A50000}"/>
    <cellStyle name="Normal 4 2 4 2 3 3 2 2 4" xfId="42758" xr:uid="{00000000-0005-0000-0000-0000E3A50000}"/>
    <cellStyle name="Normal 4 2 4 2 3 3 2 3" xfId="10881" xr:uid="{00000000-0005-0000-0000-0000E4A50000}"/>
    <cellStyle name="Normal 4 2 4 2 3 3 2 3 2" xfId="27021" xr:uid="{00000000-0005-0000-0000-0000E5A50000}"/>
    <cellStyle name="Normal 4 2 4 2 3 3 2 3 2 2" xfId="58892" xr:uid="{00000000-0005-0000-0000-0000E6A50000}"/>
    <cellStyle name="Normal 4 2 4 2 3 3 2 3 3" xfId="42760" xr:uid="{00000000-0005-0000-0000-0000E7A50000}"/>
    <cellStyle name="Normal 4 2 4 2 3 3 2 4" xfId="19143" xr:uid="{00000000-0005-0000-0000-0000E8A50000}"/>
    <cellStyle name="Normal 4 2 4 2 3 3 2 4 2" xfId="51014" xr:uid="{00000000-0005-0000-0000-0000E9A50000}"/>
    <cellStyle name="Normal 4 2 4 2 3 3 2 5" xfId="42757" xr:uid="{00000000-0005-0000-0000-0000EAA50000}"/>
    <cellStyle name="Normal 4 2 4 2 3 3 3" xfId="10882" xr:uid="{00000000-0005-0000-0000-0000EBA50000}"/>
    <cellStyle name="Normal 4 2 4 2 3 3 3 2" xfId="10883" xr:uid="{00000000-0005-0000-0000-0000ECA50000}"/>
    <cellStyle name="Normal 4 2 4 2 3 3 3 2 2" xfId="30959" xr:uid="{00000000-0005-0000-0000-0000EDA50000}"/>
    <cellStyle name="Normal 4 2 4 2 3 3 3 2 2 2" xfId="62830" xr:uid="{00000000-0005-0000-0000-0000EEA50000}"/>
    <cellStyle name="Normal 4 2 4 2 3 3 3 2 3" xfId="42762" xr:uid="{00000000-0005-0000-0000-0000EFA50000}"/>
    <cellStyle name="Normal 4 2 4 2 3 3 3 3" xfId="23081" xr:uid="{00000000-0005-0000-0000-0000F0A50000}"/>
    <cellStyle name="Normal 4 2 4 2 3 3 3 3 2" xfId="54952" xr:uid="{00000000-0005-0000-0000-0000F1A50000}"/>
    <cellStyle name="Normal 4 2 4 2 3 3 3 4" xfId="42761" xr:uid="{00000000-0005-0000-0000-0000F2A50000}"/>
    <cellStyle name="Normal 4 2 4 2 3 3 4" xfId="10884" xr:uid="{00000000-0005-0000-0000-0000F3A50000}"/>
    <cellStyle name="Normal 4 2 4 2 3 3 4 2" xfId="27020" xr:uid="{00000000-0005-0000-0000-0000F4A50000}"/>
    <cellStyle name="Normal 4 2 4 2 3 3 4 2 2" xfId="58891" xr:uid="{00000000-0005-0000-0000-0000F5A50000}"/>
    <cellStyle name="Normal 4 2 4 2 3 3 4 3" xfId="42763" xr:uid="{00000000-0005-0000-0000-0000F6A50000}"/>
    <cellStyle name="Normal 4 2 4 2 3 3 5" xfId="19142" xr:uid="{00000000-0005-0000-0000-0000F7A50000}"/>
    <cellStyle name="Normal 4 2 4 2 3 3 5 2" xfId="51013" xr:uid="{00000000-0005-0000-0000-0000F8A50000}"/>
    <cellStyle name="Normal 4 2 4 2 3 3 6" xfId="42756" xr:uid="{00000000-0005-0000-0000-0000F9A50000}"/>
    <cellStyle name="Normal 4 2 4 2 3 4" xfId="10885" xr:uid="{00000000-0005-0000-0000-0000FAA50000}"/>
    <cellStyle name="Normal 4 2 4 2 3 4 2" xfId="10886" xr:uid="{00000000-0005-0000-0000-0000FBA50000}"/>
    <cellStyle name="Normal 4 2 4 2 3 4 2 2" xfId="10887" xr:uid="{00000000-0005-0000-0000-0000FCA50000}"/>
    <cellStyle name="Normal 4 2 4 2 3 4 2 2 2" xfId="30961" xr:uid="{00000000-0005-0000-0000-0000FDA50000}"/>
    <cellStyle name="Normal 4 2 4 2 3 4 2 2 2 2" xfId="62832" xr:uid="{00000000-0005-0000-0000-0000FEA50000}"/>
    <cellStyle name="Normal 4 2 4 2 3 4 2 2 3" xfId="42766" xr:uid="{00000000-0005-0000-0000-0000FFA50000}"/>
    <cellStyle name="Normal 4 2 4 2 3 4 2 3" xfId="23083" xr:uid="{00000000-0005-0000-0000-000000A60000}"/>
    <cellStyle name="Normal 4 2 4 2 3 4 2 3 2" xfId="54954" xr:uid="{00000000-0005-0000-0000-000001A60000}"/>
    <cellStyle name="Normal 4 2 4 2 3 4 2 4" xfId="42765" xr:uid="{00000000-0005-0000-0000-000002A60000}"/>
    <cellStyle name="Normal 4 2 4 2 3 4 3" xfId="10888" xr:uid="{00000000-0005-0000-0000-000003A60000}"/>
    <cellStyle name="Normal 4 2 4 2 3 4 3 2" xfId="27022" xr:uid="{00000000-0005-0000-0000-000004A60000}"/>
    <cellStyle name="Normal 4 2 4 2 3 4 3 2 2" xfId="58893" xr:uid="{00000000-0005-0000-0000-000005A60000}"/>
    <cellStyle name="Normal 4 2 4 2 3 4 3 3" xfId="42767" xr:uid="{00000000-0005-0000-0000-000006A60000}"/>
    <cellStyle name="Normal 4 2 4 2 3 4 4" xfId="19144" xr:uid="{00000000-0005-0000-0000-000007A60000}"/>
    <cellStyle name="Normal 4 2 4 2 3 4 4 2" xfId="51015" xr:uid="{00000000-0005-0000-0000-000008A60000}"/>
    <cellStyle name="Normal 4 2 4 2 3 4 5" xfId="42764" xr:uid="{00000000-0005-0000-0000-000009A60000}"/>
    <cellStyle name="Normal 4 2 4 2 3 5" xfId="10889" xr:uid="{00000000-0005-0000-0000-00000AA60000}"/>
    <cellStyle name="Normal 4 2 4 2 3 5 2" xfId="10890" xr:uid="{00000000-0005-0000-0000-00000BA60000}"/>
    <cellStyle name="Normal 4 2 4 2 3 5 2 2" xfId="30954" xr:uid="{00000000-0005-0000-0000-00000CA60000}"/>
    <cellStyle name="Normal 4 2 4 2 3 5 2 2 2" xfId="62825" xr:uid="{00000000-0005-0000-0000-00000DA60000}"/>
    <cellStyle name="Normal 4 2 4 2 3 5 2 3" xfId="42769" xr:uid="{00000000-0005-0000-0000-00000EA60000}"/>
    <cellStyle name="Normal 4 2 4 2 3 5 3" xfId="23076" xr:uid="{00000000-0005-0000-0000-00000FA60000}"/>
    <cellStyle name="Normal 4 2 4 2 3 5 3 2" xfId="54947" xr:uid="{00000000-0005-0000-0000-000010A60000}"/>
    <cellStyle name="Normal 4 2 4 2 3 5 4" xfId="42768" xr:uid="{00000000-0005-0000-0000-000011A60000}"/>
    <cellStyle name="Normal 4 2 4 2 3 6" xfId="10891" xr:uid="{00000000-0005-0000-0000-000012A60000}"/>
    <cellStyle name="Normal 4 2 4 2 3 6 2" xfId="27015" xr:uid="{00000000-0005-0000-0000-000013A60000}"/>
    <cellStyle name="Normal 4 2 4 2 3 6 2 2" xfId="58886" xr:uid="{00000000-0005-0000-0000-000014A60000}"/>
    <cellStyle name="Normal 4 2 4 2 3 6 3" xfId="42770" xr:uid="{00000000-0005-0000-0000-000015A60000}"/>
    <cellStyle name="Normal 4 2 4 2 3 7" xfId="19137" xr:uid="{00000000-0005-0000-0000-000016A60000}"/>
    <cellStyle name="Normal 4 2 4 2 3 7 2" xfId="51008" xr:uid="{00000000-0005-0000-0000-000017A60000}"/>
    <cellStyle name="Normal 4 2 4 2 3 8" xfId="42739" xr:uid="{00000000-0005-0000-0000-000018A60000}"/>
    <cellStyle name="Normal 4 2 4 2 4" xfId="10892" xr:uid="{00000000-0005-0000-0000-000019A60000}"/>
    <cellStyle name="Normal 4 2 4 2 4 2" xfId="10893" xr:uid="{00000000-0005-0000-0000-00001AA60000}"/>
    <cellStyle name="Normal 4 2 4 2 4 2 2" xfId="10894" xr:uid="{00000000-0005-0000-0000-00001BA60000}"/>
    <cellStyle name="Normal 4 2 4 2 4 2 2 2" xfId="10895" xr:uid="{00000000-0005-0000-0000-00001CA60000}"/>
    <cellStyle name="Normal 4 2 4 2 4 2 2 2 2" xfId="10896" xr:uid="{00000000-0005-0000-0000-00001DA60000}"/>
    <cellStyle name="Normal 4 2 4 2 4 2 2 2 2 2" xfId="30964" xr:uid="{00000000-0005-0000-0000-00001EA60000}"/>
    <cellStyle name="Normal 4 2 4 2 4 2 2 2 2 2 2" xfId="62835" xr:uid="{00000000-0005-0000-0000-00001FA60000}"/>
    <cellStyle name="Normal 4 2 4 2 4 2 2 2 2 3" xfId="42775" xr:uid="{00000000-0005-0000-0000-000020A60000}"/>
    <cellStyle name="Normal 4 2 4 2 4 2 2 2 3" xfId="23086" xr:uid="{00000000-0005-0000-0000-000021A60000}"/>
    <cellStyle name="Normal 4 2 4 2 4 2 2 2 3 2" xfId="54957" xr:uid="{00000000-0005-0000-0000-000022A60000}"/>
    <cellStyle name="Normal 4 2 4 2 4 2 2 2 4" xfId="42774" xr:uid="{00000000-0005-0000-0000-000023A60000}"/>
    <cellStyle name="Normal 4 2 4 2 4 2 2 3" xfId="10897" xr:uid="{00000000-0005-0000-0000-000024A60000}"/>
    <cellStyle name="Normal 4 2 4 2 4 2 2 3 2" xfId="27025" xr:uid="{00000000-0005-0000-0000-000025A60000}"/>
    <cellStyle name="Normal 4 2 4 2 4 2 2 3 2 2" xfId="58896" xr:uid="{00000000-0005-0000-0000-000026A60000}"/>
    <cellStyle name="Normal 4 2 4 2 4 2 2 3 3" xfId="42776" xr:uid="{00000000-0005-0000-0000-000027A60000}"/>
    <cellStyle name="Normal 4 2 4 2 4 2 2 4" xfId="19147" xr:uid="{00000000-0005-0000-0000-000028A60000}"/>
    <cellStyle name="Normal 4 2 4 2 4 2 2 4 2" xfId="51018" xr:uid="{00000000-0005-0000-0000-000029A60000}"/>
    <cellStyle name="Normal 4 2 4 2 4 2 2 5" xfId="42773" xr:uid="{00000000-0005-0000-0000-00002AA60000}"/>
    <cellStyle name="Normal 4 2 4 2 4 2 3" xfId="10898" xr:uid="{00000000-0005-0000-0000-00002BA60000}"/>
    <cellStyle name="Normal 4 2 4 2 4 2 3 2" xfId="10899" xr:uid="{00000000-0005-0000-0000-00002CA60000}"/>
    <cellStyle name="Normal 4 2 4 2 4 2 3 2 2" xfId="30963" xr:uid="{00000000-0005-0000-0000-00002DA60000}"/>
    <cellStyle name="Normal 4 2 4 2 4 2 3 2 2 2" xfId="62834" xr:uid="{00000000-0005-0000-0000-00002EA60000}"/>
    <cellStyle name="Normal 4 2 4 2 4 2 3 2 3" xfId="42778" xr:uid="{00000000-0005-0000-0000-00002FA60000}"/>
    <cellStyle name="Normal 4 2 4 2 4 2 3 3" xfId="23085" xr:uid="{00000000-0005-0000-0000-000030A60000}"/>
    <cellStyle name="Normal 4 2 4 2 4 2 3 3 2" xfId="54956" xr:uid="{00000000-0005-0000-0000-000031A60000}"/>
    <cellStyle name="Normal 4 2 4 2 4 2 3 4" xfId="42777" xr:uid="{00000000-0005-0000-0000-000032A60000}"/>
    <cellStyle name="Normal 4 2 4 2 4 2 4" xfId="10900" xr:uid="{00000000-0005-0000-0000-000033A60000}"/>
    <cellStyle name="Normal 4 2 4 2 4 2 4 2" xfId="27024" xr:uid="{00000000-0005-0000-0000-000034A60000}"/>
    <cellStyle name="Normal 4 2 4 2 4 2 4 2 2" xfId="58895" xr:uid="{00000000-0005-0000-0000-000035A60000}"/>
    <cellStyle name="Normal 4 2 4 2 4 2 4 3" xfId="42779" xr:uid="{00000000-0005-0000-0000-000036A60000}"/>
    <cellStyle name="Normal 4 2 4 2 4 2 5" xfId="19146" xr:uid="{00000000-0005-0000-0000-000037A60000}"/>
    <cellStyle name="Normal 4 2 4 2 4 2 5 2" xfId="51017" xr:uid="{00000000-0005-0000-0000-000038A60000}"/>
    <cellStyle name="Normal 4 2 4 2 4 2 6" xfId="42772" xr:uid="{00000000-0005-0000-0000-000039A60000}"/>
    <cellStyle name="Normal 4 2 4 2 4 3" xfId="10901" xr:uid="{00000000-0005-0000-0000-00003AA60000}"/>
    <cellStyle name="Normal 4 2 4 2 4 3 2" xfId="10902" xr:uid="{00000000-0005-0000-0000-00003BA60000}"/>
    <cellStyle name="Normal 4 2 4 2 4 3 2 2" xfId="10903" xr:uid="{00000000-0005-0000-0000-00003CA60000}"/>
    <cellStyle name="Normal 4 2 4 2 4 3 2 2 2" xfId="30965" xr:uid="{00000000-0005-0000-0000-00003DA60000}"/>
    <cellStyle name="Normal 4 2 4 2 4 3 2 2 2 2" xfId="62836" xr:uid="{00000000-0005-0000-0000-00003EA60000}"/>
    <cellStyle name="Normal 4 2 4 2 4 3 2 2 3" xfId="42782" xr:uid="{00000000-0005-0000-0000-00003FA60000}"/>
    <cellStyle name="Normal 4 2 4 2 4 3 2 3" xfId="23087" xr:uid="{00000000-0005-0000-0000-000040A60000}"/>
    <cellStyle name="Normal 4 2 4 2 4 3 2 3 2" xfId="54958" xr:uid="{00000000-0005-0000-0000-000041A60000}"/>
    <cellStyle name="Normal 4 2 4 2 4 3 2 4" xfId="42781" xr:uid="{00000000-0005-0000-0000-000042A60000}"/>
    <cellStyle name="Normal 4 2 4 2 4 3 3" xfId="10904" xr:uid="{00000000-0005-0000-0000-000043A60000}"/>
    <cellStyle name="Normal 4 2 4 2 4 3 3 2" xfId="27026" xr:uid="{00000000-0005-0000-0000-000044A60000}"/>
    <cellStyle name="Normal 4 2 4 2 4 3 3 2 2" xfId="58897" xr:uid="{00000000-0005-0000-0000-000045A60000}"/>
    <cellStyle name="Normal 4 2 4 2 4 3 3 3" xfId="42783" xr:uid="{00000000-0005-0000-0000-000046A60000}"/>
    <cellStyle name="Normal 4 2 4 2 4 3 4" xfId="19148" xr:uid="{00000000-0005-0000-0000-000047A60000}"/>
    <cellStyle name="Normal 4 2 4 2 4 3 4 2" xfId="51019" xr:uid="{00000000-0005-0000-0000-000048A60000}"/>
    <cellStyle name="Normal 4 2 4 2 4 3 5" xfId="42780" xr:uid="{00000000-0005-0000-0000-000049A60000}"/>
    <cellStyle name="Normal 4 2 4 2 4 4" xfId="10905" xr:uid="{00000000-0005-0000-0000-00004AA60000}"/>
    <cellStyle name="Normal 4 2 4 2 4 4 2" xfId="10906" xr:uid="{00000000-0005-0000-0000-00004BA60000}"/>
    <cellStyle name="Normal 4 2 4 2 4 4 2 2" xfId="30962" xr:uid="{00000000-0005-0000-0000-00004CA60000}"/>
    <cellStyle name="Normal 4 2 4 2 4 4 2 2 2" xfId="62833" xr:uid="{00000000-0005-0000-0000-00004DA60000}"/>
    <cellStyle name="Normal 4 2 4 2 4 4 2 3" xfId="42785" xr:uid="{00000000-0005-0000-0000-00004EA60000}"/>
    <cellStyle name="Normal 4 2 4 2 4 4 3" xfId="23084" xr:uid="{00000000-0005-0000-0000-00004FA60000}"/>
    <cellStyle name="Normal 4 2 4 2 4 4 3 2" xfId="54955" xr:uid="{00000000-0005-0000-0000-000050A60000}"/>
    <cellStyle name="Normal 4 2 4 2 4 4 4" xfId="42784" xr:uid="{00000000-0005-0000-0000-000051A60000}"/>
    <cellStyle name="Normal 4 2 4 2 4 5" xfId="10907" xr:uid="{00000000-0005-0000-0000-000052A60000}"/>
    <cellStyle name="Normal 4 2 4 2 4 5 2" xfId="27023" xr:uid="{00000000-0005-0000-0000-000053A60000}"/>
    <cellStyle name="Normal 4 2 4 2 4 5 2 2" xfId="58894" xr:uid="{00000000-0005-0000-0000-000054A60000}"/>
    <cellStyle name="Normal 4 2 4 2 4 5 3" xfId="42786" xr:uid="{00000000-0005-0000-0000-000055A60000}"/>
    <cellStyle name="Normal 4 2 4 2 4 6" xfId="19145" xr:uid="{00000000-0005-0000-0000-000056A60000}"/>
    <cellStyle name="Normal 4 2 4 2 4 6 2" xfId="51016" xr:uid="{00000000-0005-0000-0000-000057A60000}"/>
    <cellStyle name="Normal 4 2 4 2 4 7" xfId="42771" xr:uid="{00000000-0005-0000-0000-000058A60000}"/>
    <cellStyle name="Normal 4 2 4 2 5" xfId="10908" xr:uid="{00000000-0005-0000-0000-000059A60000}"/>
    <cellStyle name="Normal 4 2 4 2 5 2" xfId="10909" xr:uid="{00000000-0005-0000-0000-00005AA60000}"/>
    <cellStyle name="Normal 4 2 4 2 5 2 2" xfId="10910" xr:uid="{00000000-0005-0000-0000-00005BA60000}"/>
    <cellStyle name="Normal 4 2 4 2 5 2 2 2" xfId="10911" xr:uid="{00000000-0005-0000-0000-00005CA60000}"/>
    <cellStyle name="Normal 4 2 4 2 5 2 2 2 2" xfId="30967" xr:uid="{00000000-0005-0000-0000-00005DA60000}"/>
    <cellStyle name="Normal 4 2 4 2 5 2 2 2 2 2" xfId="62838" xr:uid="{00000000-0005-0000-0000-00005EA60000}"/>
    <cellStyle name="Normal 4 2 4 2 5 2 2 2 3" xfId="42790" xr:uid="{00000000-0005-0000-0000-00005FA60000}"/>
    <cellStyle name="Normal 4 2 4 2 5 2 2 3" xfId="23089" xr:uid="{00000000-0005-0000-0000-000060A60000}"/>
    <cellStyle name="Normal 4 2 4 2 5 2 2 3 2" xfId="54960" xr:uid="{00000000-0005-0000-0000-000061A60000}"/>
    <cellStyle name="Normal 4 2 4 2 5 2 2 4" xfId="42789" xr:uid="{00000000-0005-0000-0000-000062A60000}"/>
    <cellStyle name="Normal 4 2 4 2 5 2 3" xfId="10912" xr:uid="{00000000-0005-0000-0000-000063A60000}"/>
    <cellStyle name="Normal 4 2 4 2 5 2 3 2" xfId="27028" xr:uid="{00000000-0005-0000-0000-000064A60000}"/>
    <cellStyle name="Normal 4 2 4 2 5 2 3 2 2" xfId="58899" xr:uid="{00000000-0005-0000-0000-000065A60000}"/>
    <cellStyle name="Normal 4 2 4 2 5 2 3 3" xfId="42791" xr:uid="{00000000-0005-0000-0000-000066A60000}"/>
    <cellStyle name="Normal 4 2 4 2 5 2 4" xfId="19150" xr:uid="{00000000-0005-0000-0000-000067A60000}"/>
    <cellStyle name="Normal 4 2 4 2 5 2 4 2" xfId="51021" xr:uid="{00000000-0005-0000-0000-000068A60000}"/>
    <cellStyle name="Normal 4 2 4 2 5 2 5" xfId="42788" xr:uid="{00000000-0005-0000-0000-000069A60000}"/>
    <cellStyle name="Normal 4 2 4 2 5 3" xfId="10913" xr:uid="{00000000-0005-0000-0000-00006AA60000}"/>
    <cellStyle name="Normal 4 2 4 2 5 3 2" xfId="10914" xr:uid="{00000000-0005-0000-0000-00006BA60000}"/>
    <cellStyle name="Normal 4 2 4 2 5 3 2 2" xfId="30966" xr:uid="{00000000-0005-0000-0000-00006CA60000}"/>
    <cellStyle name="Normal 4 2 4 2 5 3 2 2 2" xfId="62837" xr:uid="{00000000-0005-0000-0000-00006DA60000}"/>
    <cellStyle name="Normal 4 2 4 2 5 3 2 3" xfId="42793" xr:uid="{00000000-0005-0000-0000-00006EA60000}"/>
    <cellStyle name="Normal 4 2 4 2 5 3 3" xfId="23088" xr:uid="{00000000-0005-0000-0000-00006FA60000}"/>
    <cellStyle name="Normal 4 2 4 2 5 3 3 2" xfId="54959" xr:uid="{00000000-0005-0000-0000-000070A60000}"/>
    <cellStyle name="Normal 4 2 4 2 5 3 4" xfId="42792" xr:uid="{00000000-0005-0000-0000-000071A60000}"/>
    <cellStyle name="Normal 4 2 4 2 5 4" xfId="10915" xr:uid="{00000000-0005-0000-0000-000072A60000}"/>
    <cellStyle name="Normal 4 2 4 2 5 4 2" xfId="27027" xr:uid="{00000000-0005-0000-0000-000073A60000}"/>
    <cellStyle name="Normal 4 2 4 2 5 4 2 2" xfId="58898" xr:uid="{00000000-0005-0000-0000-000074A60000}"/>
    <cellStyle name="Normal 4 2 4 2 5 4 3" xfId="42794" xr:uid="{00000000-0005-0000-0000-000075A60000}"/>
    <cellStyle name="Normal 4 2 4 2 5 5" xfId="19149" xr:uid="{00000000-0005-0000-0000-000076A60000}"/>
    <cellStyle name="Normal 4 2 4 2 5 5 2" xfId="51020" xr:uid="{00000000-0005-0000-0000-000077A60000}"/>
    <cellStyle name="Normal 4 2 4 2 5 6" xfId="42787" xr:uid="{00000000-0005-0000-0000-000078A60000}"/>
    <cellStyle name="Normal 4 2 4 2 6" xfId="10916" xr:uid="{00000000-0005-0000-0000-000079A60000}"/>
    <cellStyle name="Normal 4 2 4 2 6 2" xfId="10917" xr:uid="{00000000-0005-0000-0000-00007AA60000}"/>
    <cellStyle name="Normal 4 2 4 2 6 2 2" xfId="10918" xr:uid="{00000000-0005-0000-0000-00007BA60000}"/>
    <cellStyle name="Normal 4 2 4 2 6 2 2 2" xfId="30968" xr:uid="{00000000-0005-0000-0000-00007CA60000}"/>
    <cellStyle name="Normal 4 2 4 2 6 2 2 2 2" xfId="62839" xr:uid="{00000000-0005-0000-0000-00007DA60000}"/>
    <cellStyle name="Normal 4 2 4 2 6 2 2 3" xfId="42797" xr:uid="{00000000-0005-0000-0000-00007EA60000}"/>
    <cellStyle name="Normal 4 2 4 2 6 2 3" xfId="23090" xr:uid="{00000000-0005-0000-0000-00007FA60000}"/>
    <cellStyle name="Normal 4 2 4 2 6 2 3 2" xfId="54961" xr:uid="{00000000-0005-0000-0000-000080A60000}"/>
    <cellStyle name="Normal 4 2 4 2 6 2 4" xfId="42796" xr:uid="{00000000-0005-0000-0000-000081A60000}"/>
    <cellStyle name="Normal 4 2 4 2 6 3" xfId="10919" xr:uid="{00000000-0005-0000-0000-000082A60000}"/>
    <cellStyle name="Normal 4 2 4 2 6 3 2" xfId="27029" xr:uid="{00000000-0005-0000-0000-000083A60000}"/>
    <cellStyle name="Normal 4 2 4 2 6 3 2 2" xfId="58900" xr:uid="{00000000-0005-0000-0000-000084A60000}"/>
    <cellStyle name="Normal 4 2 4 2 6 3 3" xfId="42798" xr:uid="{00000000-0005-0000-0000-000085A60000}"/>
    <cellStyle name="Normal 4 2 4 2 6 4" xfId="19151" xr:uid="{00000000-0005-0000-0000-000086A60000}"/>
    <cellStyle name="Normal 4 2 4 2 6 4 2" xfId="51022" xr:uid="{00000000-0005-0000-0000-000087A60000}"/>
    <cellStyle name="Normal 4 2 4 2 6 5" xfId="42795" xr:uid="{00000000-0005-0000-0000-000088A60000}"/>
    <cellStyle name="Normal 4 2 4 2 7" xfId="10920" xr:uid="{00000000-0005-0000-0000-000089A60000}"/>
    <cellStyle name="Normal 4 2 4 2 7 2" xfId="10921" xr:uid="{00000000-0005-0000-0000-00008AA60000}"/>
    <cellStyle name="Normal 4 2 4 2 7 2 2" xfId="28335" xr:uid="{00000000-0005-0000-0000-00008BA60000}"/>
    <cellStyle name="Normal 4 2 4 2 7 2 2 2" xfId="60206" xr:uid="{00000000-0005-0000-0000-00008CA60000}"/>
    <cellStyle name="Normal 4 2 4 2 7 2 3" xfId="42800" xr:uid="{00000000-0005-0000-0000-00008DA60000}"/>
    <cellStyle name="Normal 4 2 4 2 7 3" xfId="20457" xr:uid="{00000000-0005-0000-0000-00008EA60000}"/>
    <cellStyle name="Normal 4 2 4 2 7 3 2" xfId="52328" xr:uid="{00000000-0005-0000-0000-00008FA60000}"/>
    <cellStyle name="Normal 4 2 4 2 7 4" xfId="42799" xr:uid="{00000000-0005-0000-0000-000090A60000}"/>
    <cellStyle name="Normal 4 2 4 2 8" xfId="10922" xr:uid="{00000000-0005-0000-0000-000091A60000}"/>
    <cellStyle name="Normal 4 2 4 2 8 2" xfId="24396" xr:uid="{00000000-0005-0000-0000-000092A60000}"/>
    <cellStyle name="Normal 4 2 4 2 8 2 2" xfId="56267" xr:uid="{00000000-0005-0000-0000-000093A60000}"/>
    <cellStyle name="Normal 4 2 4 2 8 3" xfId="42801" xr:uid="{00000000-0005-0000-0000-000094A60000}"/>
    <cellStyle name="Normal 4 2 4 2 9" xfId="16518" xr:uid="{00000000-0005-0000-0000-000095A60000}"/>
    <cellStyle name="Normal 4 2 4 2 9 2" xfId="48389" xr:uid="{00000000-0005-0000-0000-000096A60000}"/>
    <cellStyle name="Normal 4 2 4 3" xfId="10923" xr:uid="{00000000-0005-0000-0000-000097A60000}"/>
    <cellStyle name="Normal 4 2 4 3 10" xfId="42802" xr:uid="{00000000-0005-0000-0000-000098A60000}"/>
    <cellStyle name="Normal 4 2 4 3 2" xfId="10924" xr:uid="{00000000-0005-0000-0000-000099A60000}"/>
    <cellStyle name="Normal 4 2 4 3 2 2" xfId="10925" xr:uid="{00000000-0005-0000-0000-00009AA60000}"/>
    <cellStyle name="Normal 4 2 4 3 2 2 2" xfId="10926" xr:uid="{00000000-0005-0000-0000-00009BA60000}"/>
    <cellStyle name="Normal 4 2 4 3 2 2 2 2" xfId="10927" xr:uid="{00000000-0005-0000-0000-00009CA60000}"/>
    <cellStyle name="Normal 4 2 4 3 2 2 2 2 2" xfId="10928" xr:uid="{00000000-0005-0000-0000-00009DA60000}"/>
    <cellStyle name="Normal 4 2 4 3 2 2 2 2 2 2" xfId="10929" xr:uid="{00000000-0005-0000-0000-00009EA60000}"/>
    <cellStyle name="Normal 4 2 4 3 2 2 2 2 2 2 2" xfId="10930" xr:uid="{00000000-0005-0000-0000-00009FA60000}"/>
    <cellStyle name="Normal 4 2 4 3 2 2 2 2 2 2 2 2" xfId="30972" xr:uid="{00000000-0005-0000-0000-0000A0A60000}"/>
    <cellStyle name="Normal 4 2 4 3 2 2 2 2 2 2 2 2 2" xfId="62843" xr:uid="{00000000-0005-0000-0000-0000A1A60000}"/>
    <cellStyle name="Normal 4 2 4 3 2 2 2 2 2 2 2 3" xfId="42809" xr:uid="{00000000-0005-0000-0000-0000A2A60000}"/>
    <cellStyle name="Normal 4 2 4 3 2 2 2 2 2 2 3" xfId="23094" xr:uid="{00000000-0005-0000-0000-0000A3A60000}"/>
    <cellStyle name="Normal 4 2 4 3 2 2 2 2 2 2 3 2" xfId="54965" xr:uid="{00000000-0005-0000-0000-0000A4A60000}"/>
    <cellStyle name="Normal 4 2 4 3 2 2 2 2 2 2 4" xfId="42808" xr:uid="{00000000-0005-0000-0000-0000A5A60000}"/>
    <cellStyle name="Normal 4 2 4 3 2 2 2 2 2 3" xfId="10931" xr:uid="{00000000-0005-0000-0000-0000A6A60000}"/>
    <cellStyle name="Normal 4 2 4 3 2 2 2 2 2 3 2" xfId="27033" xr:uid="{00000000-0005-0000-0000-0000A7A60000}"/>
    <cellStyle name="Normal 4 2 4 3 2 2 2 2 2 3 2 2" xfId="58904" xr:uid="{00000000-0005-0000-0000-0000A8A60000}"/>
    <cellStyle name="Normal 4 2 4 3 2 2 2 2 2 3 3" xfId="42810" xr:uid="{00000000-0005-0000-0000-0000A9A60000}"/>
    <cellStyle name="Normal 4 2 4 3 2 2 2 2 2 4" xfId="19155" xr:uid="{00000000-0005-0000-0000-0000AAA60000}"/>
    <cellStyle name="Normal 4 2 4 3 2 2 2 2 2 4 2" xfId="51026" xr:uid="{00000000-0005-0000-0000-0000ABA60000}"/>
    <cellStyle name="Normal 4 2 4 3 2 2 2 2 2 5" xfId="42807" xr:uid="{00000000-0005-0000-0000-0000ACA60000}"/>
    <cellStyle name="Normal 4 2 4 3 2 2 2 2 3" xfId="10932" xr:uid="{00000000-0005-0000-0000-0000ADA60000}"/>
    <cellStyle name="Normal 4 2 4 3 2 2 2 2 3 2" xfId="10933" xr:uid="{00000000-0005-0000-0000-0000AEA60000}"/>
    <cellStyle name="Normal 4 2 4 3 2 2 2 2 3 2 2" xfId="30971" xr:uid="{00000000-0005-0000-0000-0000AFA60000}"/>
    <cellStyle name="Normal 4 2 4 3 2 2 2 2 3 2 2 2" xfId="62842" xr:uid="{00000000-0005-0000-0000-0000B0A60000}"/>
    <cellStyle name="Normal 4 2 4 3 2 2 2 2 3 2 3" xfId="42812" xr:uid="{00000000-0005-0000-0000-0000B1A60000}"/>
    <cellStyle name="Normal 4 2 4 3 2 2 2 2 3 3" xfId="23093" xr:uid="{00000000-0005-0000-0000-0000B2A60000}"/>
    <cellStyle name="Normal 4 2 4 3 2 2 2 2 3 3 2" xfId="54964" xr:uid="{00000000-0005-0000-0000-0000B3A60000}"/>
    <cellStyle name="Normal 4 2 4 3 2 2 2 2 3 4" xfId="42811" xr:uid="{00000000-0005-0000-0000-0000B4A60000}"/>
    <cellStyle name="Normal 4 2 4 3 2 2 2 2 4" xfId="10934" xr:uid="{00000000-0005-0000-0000-0000B5A60000}"/>
    <cellStyle name="Normal 4 2 4 3 2 2 2 2 4 2" xfId="27032" xr:uid="{00000000-0005-0000-0000-0000B6A60000}"/>
    <cellStyle name="Normal 4 2 4 3 2 2 2 2 4 2 2" xfId="58903" xr:uid="{00000000-0005-0000-0000-0000B7A60000}"/>
    <cellStyle name="Normal 4 2 4 3 2 2 2 2 4 3" xfId="42813" xr:uid="{00000000-0005-0000-0000-0000B8A60000}"/>
    <cellStyle name="Normal 4 2 4 3 2 2 2 2 5" xfId="19154" xr:uid="{00000000-0005-0000-0000-0000B9A60000}"/>
    <cellStyle name="Normal 4 2 4 3 2 2 2 2 5 2" xfId="51025" xr:uid="{00000000-0005-0000-0000-0000BAA60000}"/>
    <cellStyle name="Normal 4 2 4 3 2 2 2 2 6" xfId="42806" xr:uid="{00000000-0005-0000-0000-0000BBA60000}"/>
    <cellStyle name="Normal 4 2 4 3 2 2 2 3" xfId="10935" xr:uid="{00000000-0005-0000-0000-0000BCA60000}"/>
    <cellStyle name="Normal 4 2 4 3 2 2 2 3 2" xfId="10936" xr:uid="{00000000-0005-0000-0000-0000BDA60000}"/>
    <cellStyle name="Normal 4 2 4 3 2 2 2 3 2 2" xfId="10937" xr:uid="{00000000-0005-0000-0000-0000BEA60000}"/>
    <cellStyle name="Normal 4 2 4 3 2 2 2 3 2 2 2" xfId="30973" xr:uid="{00000000-0005-0000-0000-0000BFA60000}"/>
    <cellStyle name="Normal 4 2 4 3 2 2 2 3 2 2 2 2" xfId="62844" xr:uid="{00000000-0005-0000-0000-0000C0A60000}"/>
    <cellStyle name="Normal 4 2 4 3 2 2 2 3 2 2 3" xfId="42816" xr:uid="{00000000-0005-0000-0000-0000C1A60000}"/>
    <cellStyle name="Normal 4 2 4 3 2 2 2 3 2 3" xfId="23095" xr:uid="{00000000-0005-0000-0000-0000C2A60000}"/>
    <cellStyle name="Normal 4 2 4 3 2 2 2 3 2 3 2" xfId="54966" xr:uid="{00000000-0005-0000-0000-0000C3A60000}"/>
    <cellStyle name="Normal 4 2 4 3 2 2 2 3 2 4" xfId="42815" xr:uid="{00000000-0005-0000-0000-0000C4A60000}"/>
    <cellStyle name="Normal 4 2 4 3 2 2 2 3 3" xfId="10938" xr:uid="{00000000-0005-0000-0000-0000C5A60000}"/>
    <cellStyle name="Normal 4 2 4 3 2 2 2 3 3 2" xfId="27034" xr:uid="{00000000-0005-0000-0000-0000C6A60000}"/>
    <cellStyle name="Normal 4 2 4 3 2 2 2 3 3 2 2" xfId="58905" xr:uid="{00000000-0005-0000-0000-0000C7A60000}"/>
    <cellStyle name="Normal 4 2 4 3 2 2 2 3 3 3" xfId="42817" xr:uid="{00000000-0005-0000-0000-0000C8A60000}"/>
    <cellStyle name="Normal 4 2 4 3 2 2 2 3 4" xfId="19156" xr:uid="{00000000-0005-0000-0000-0000C9A60000}"/>
    <cellStyle name="Normal 4 2 4 3 2 2 2 3 4 2" xfId="51027" xr:uid="{00000000-0005-0000-0000-0000CAA60000}"/>
    <cellStyle name="Normal 4 2 4 3 2 2 2 3 5" xfId="42814" xr:uid="{00000000-0005-0000-0000-0000CBA60000}"/>
    <cellStyle name="Normal 4 2 4 3 2 2 2 4" xfId="10939" xr:uid="{00000000-0005-0000-0000-0000CCA60000}"/>
    <cellStyle name="Normal 4 2 4 3 2 2 2 4 2" xfId="10940" xr:uid="{00000000-0005-0000-0000-0000CDA60000}"/>
    <cellStyle name="Normal 4 2 4 3 2 2 2 4 2 2" xfId="30970" xr:uid="{00000000-0005-0000-0000-0000CEA60000}"/>
    <cellStyle name="Normal 4 2 4 3 2 2 2 4 2 2 2" xfId="62841" xr:uid="{00000000-0005-0000-0000-0000CFA60000}"/>
    <cellStyle name="Normal 4 2 4 3 2 2 2 4 2 3" xfId="42819" xr:uid="{00000000-0005-0000-0000-0000D0A60000}"/>
    <cellStyle name="Normal 4 2 4 3 2 2 2 4 3" xfId="23092" xr:uid="{00000000-0005-0000-0000-0000D1A60000}"/>
    <cellStyle name="Normal 4 2 4 3 2 2 2 4 3 2" xfId="54963" xr:uid="{00000000-0005-0000-0000-0000D2A60000}"/>
    <cellStyle name="Normal 4 2 4 3 2 2 2 4 4" xfId="42818" xr:uid="{00000000-0005-0000-0000-0000D3A60000}"/>
    <cellStyle name="Normal 4 2 4 3 2 2 2 5" xfId="10941" xr:uid="{00000000-0005-0000-0000-0000D4A60000}"/>
    <cellStyle name="Normal 4 2 4 3 2 2 2 5 2" xfId="27031" xr:uid="{00000000-0005-0000-0000-0000D5A60000}"/>
    <cellStyle name="Normal 4 2 4 3 2 2 2 5 2 2" xfId="58902" xr:uid="{00000000-0005-0000-0000-0000D6A60000}"/>
    <cellStyle name="Normal 4 2 4 3 2 2 2 5 3" xfId="42820" xr:uid="{00000000-0005-0000-0000-0000D7A60000}"/>
    <cellStyle name="Normal 4 2 4 3 2 2 2 6" xfId="19153" xr:uid="{00000000-0005-0000-0000-0000D8A60000}"/>
    <cellStyle name="Normal 4 2 4 3 2 2 2 6 2" xfId="51024" xr:uid="{00000000-0005-0000-0000-0000D9A60000}"/>
    <cellStyle name="Normal 4 2 4 3 2 2 2 7" xfId="42805" xr:uid="{00000000-0005-0000-0000-0000DAA60000}"/>
    <cellStyle name="Normal 4 2 4 3 2 2 3" xfId="10942" xr:uid="{00000000-0005-0000-0000-0000DBA60000}"/>
    <cellStyle name="Normal 4 2 4 3 2 2 3 2" xfId="10943" xr:uid="{00000000-0005-0000-0000-0000DCA60000}"/>
    <cellStyle name="Normal 4 2 4 3 2 2 3 2 2" xfId="10944" xr:uid="{00000000-0005-0000-0000-0000DDA60000}"/>
    <cellStyle name="Normal 4 2 4 3 2 2 3 2 2 2" xfId="10945" xr:uid="{00000000-0005-0000-0000-0000DEA60000}"/>
    <cellStyle name="Normal 4 2 4 3 2 2 3 2 2 2 2" xfId="30975" xr:uid="{00000000-0005-0000-0000-0000DFA60000}"/>
    <cellStyle name="Normal 4 2 4 3 2 2 3 2 2 2 2 2" xfId="62846" xr:uid="{00000000-0005-0000-0000-0000E0A60000}"/>
    <cellStyle name="Normal 4 2 4 3 2 2 3 2 2 2 3" xfId="42824" xr:uid="{00000000-0005-0000-0000-0000E1A60000}"/>
    <cellStyle name="Normal 4 2 4 3 2 2 3 2 2 3" xfId="23097" xr:uid="{00000000-0005-0000-0000-0000E2A60000}"/>
    <cellStyle name="Normal 4 2 4 3 2 2 3 2 2 3 2" xfId="54968" xr:uid="{00000000-0005-0000-0000-0000E3A60000}"/>
    <cellStyle name="Normal 4 2 4 3 2 2 3 2 2 4" xfId="42823" xr:uid="{00000000-0005-0000-0000-0000E4A60000}"/>
    <cellStyle name="Normal 4 2 4 3 2 2 3 2 3" xfId="10946" xr:uid="{00000000-0005-0000-0000-0000E5A60000}"/>
    <cellStyle name="Normal 4 2 4 3 2 2 3 2 3 2" xfId="27036" xr:uid="{00000000-0005-0000-0000-0000E6A60000}"/>
    <cellStyle name="Normal 4 2 4 3 2 2 3 2 3 2 2" xfId="58907" xr:uid="{00000000-0005-0000-0000-0000E7A60000}"/>
    <cellStyle name="Normal 4 2 4 3 2 2 3 2 3 3" xfId="42825" xr:uid="{00000000-0005-0000-0000-0000E8A60000}"/>
    <cellStyle name="Normal 4 2 4 3 2 2 3 2 4" xfId="19158" xr:uid="{00000000-0005-0000-0000-0000E9A60000}"/>
    <cellStyle name="Normal 4 2 4 3 2 2 3 2 4 2" xfId="51029" xr:uid="{00000000-0005-0000-0000-0000EAA60000}"/>
    <cellStyle name="Normal 4 2 4 3 2 2 3 2 5" xfId="42822" xr:uid="{00000000-0005-0000-0000-0000EBA60000}"/>
    <cellStyle name="Normal 4 2 4 3 2 2 3 3" xfId="10947" xr:uid="{00000000-0005-0000-0000-0000ECA60000}"/>
    <cellStyle name="Normal 4 2 4 3 2 2 3 3 2" xfId="10948" xr:uid="{00000000-0005-0000-0000-0000EDA60000}"/>
    <cellStyle name="Normal 4 2 4 3 2 2 3 3 2 2" xfId="30974" xr:uid="{00000000-0005-0000-0000-0000EEA60000}"/>
    <cellStyle name="Normal 4 2 4 3 2 2 3 3 2 2 2" xfId="62845" xr:uid="{00000000-0005-0000-0000-0000EFA60000}"/>
    <cellStyle name="Normal 4 2 4 3 2 2 3 3 2 3" xfId="42827" xr:uid="{00000000-0005-0000-0000-0000F0A60000}"/>
    <cellStyle name="Normal 4 2 4 3 2 2 3 3 3" xfId="23096" xr:uid="{00000000-0005-0000-0000-0000F1A60000}"/>
    <cellStyle name="Normal 4 2 4 3 2 2 3 3 3 2" xfId="54967" xr:uid="{00000000-0005-0000-0000-0000F2A60000}"/>
    <cellStyle name="Normal 4 2 4 3 2 2 3 3 4" xfId="42826" xr:uid="{00000000-0005-0000-0000-0000F3A60000}"/>
    <cellStyle name="Normal 4 2 4 3 2 2 3 4" xfId="10949" xr:uid="{00000000-0005-0000-0000-0000F4A60000}"/>
    <cellStyle name="Normal 4 2 4 3 2 2 3 4 2" xfId="27035" xr:uid="{00000000-0005-0000-0000-0000F5A60000}"/>
    <cellStyle name="Normal 4 2 4 3 2 2 3 4 2 2" xfId="58906" xr:uid="{00000000-0005-0000-0000-0000F6A60000}"/>
    <cellStyle name="Normal 4 2 4 3 2 2 3 4 3" xfId="42828" xr:uid="{00000000-0005-0000-0000-0000F7A60000}"/>
    <cellStyle name="Normal 4 2 4 3 2 2 3 5" xfId="19157" xr:uid="{00000000-0005-0000-0000-0000F8A60000}"/>
    <cellStyle name="Normal 4 2 4 3 2 2 3 5 2" xfId="51028" xr:uid="{00000000-0005-0000-0000-0000F9A60000}"/>
    <cellStyle name="Normal 4 2 4 3 2 2 3 6" xfId="42821" xr:uid="{00000000-0005-0000-0000-0000FAA60000}"/>
    <cellStyle name="Normal 4 2 4 3 2 2 4" xfId="10950" xr:uid="{00000000-0005-0000-0000-0000FBA60000}"/>
    <cellStyle name="Normal 4 2 4 3 2 2 4 2" xfId="10951" xr:uid="{00000000-0005-0000-0000-0000FCA60000}"/>
    <cellStyle name="Normal 4 2 4 3 2 2 4 2 2" xfId="10952" xr:uid="{00000000-0005-0000-0000-0000FDA60000}"/>
    <cellStyle name="Normal 4 2 4 3 2 2 4 2 2 2" xfId="30976" xr:uid="{00000000-0005-0000-0000-0000FEA60000}"/>
    <cellStyle name="Normal 4 2 4 3 2 2 4 2 2 2 2" xfId="62847" xr:uid="{00000000-0005-0000-0000-0000FFA60000}"/>
    <cellStyle name="Normal 4 2 4 3 2 2 4 2 2 3" xfId="42831" xr:uid="{00000000-0005-0000-0000-000000A70000}"/>
    <cellStyle name="Normal 4 2 4 3 2 2 4 2 3" xfId="23098" xr:uid="{00000000-0005-0000-0000-000001A70000}"/>
    <cellStyle name="Normal 4 2 4 3 2 2 4 2 3 2" xfId="54969" xr:uid="{00000000-0005-0000-0000-000002A70000}"/>
    <cellStyle name="Normal 4 2 4 3 2 2 4 2 4" xfId="42830" xr:uid="{00000000-0005-0000-0000-000003A70000}"/>
    <cellStyle name="Normal 4 2 4 3 2 2 4 3" xfId="10953" xr:uid="{00000000-0005-0000-0000-000004A70000}"/>
    <cellStyle name="Normal 4 2 4 3 2 2 4 3 2" xfId="27037" xr:uid="{00000000-0005-0000-0000-000005A70000}"/>
    <cellStyle name="Normal 4 2 4 3 2 2 4 3 2 2" xfId="58908" xr:uid="{00000000-0005-0000-0000-000006A70000}"/>
    <cellStyle name="Normal 4 2 4 3 2 2 4 3 3" xfId="42832" xr:uid="{00000000-0005-0000-0000-000007A70000}"/>
    <cellStyle name="Normal 4 2 4 3 2 2 4 4" xfId="19159" xr:uid="{00000000-0005-0000-0000-000008A70000}"/>
    <cellStyle name="Normal 4 2 4 3 2 2 4 4 2" xfId="51030" xr:uid="{00000000-0005-0000-0000-000009A70000}"/>
    <cellStyle name="Normal 4 2 4 3 2 2 4 5" xfId="42829" xr:uid="{00000000-0005-0000-0000-00000AA70000}"/>
    <cellStyle name="Normal 4 2 4 3 2 2 5" xfId="10954" xr:uid="{00000000-0005-0000-0000-00000BA70000}"/>
    <cellStyle name="Normal 4 2 4 3 2 2 5 2" xfId="10955" xr:uid="{00000000-0005-0000-0000-00000CA70000}"/>
    <cellStyle name="Normal 4 2 4 3 2 2 5 2 2" xfId="30969" xr:uid="{00000000-0005-0000-0000-00000DA70000}"/>
    <cellStyle name="Normal 4 2 4 3 2 2 5 2 2 2" xfId="62840" xr:uid="{00000000-0005-0000-0000-00000EA70000}"/>
    <cellStyle name="Normal 4 2 4 3 2 2 5 2 3" xfId="42834" xr:uid="{00000000-0005-0000-0000-00000FA70000}"/>
    <cellStyle name="Normal 4 2 4 3 2 2 5 3" xfId="23091" xr:uid="{00000000-0005-0000-0000-000010A70000}"/>
    <cellStyle name="Normal 4 2 4 3 2 2 5 3 2" xfId="54962" xr:uid="{00000000-0005-0000-0000-000011A70000}"/>
    <cellStyle name="Normal 4 2 4 3 2 2 5 4" xfId="42833" xr:uid="{00000000-0005-0000-0000-000012A70000}"/>
    <cellStyle name="Normal 4 2 4 3 2 2 6" xfId="10956" xr:uid="{00000000-0005-0000-0000-000013A70000}"/>
    <cellStyle name="Normal 4 2 4 3 2 2 6 2" xfId="27030" xr:uid="{00000000-0005-0000-0000-000014A70000}"/>
    <cellStyle name="Normal 4 2 4 3 2 2 6 2 2" xfId="58901" xr:uid="{00000000-0005-0000-0000-000015A70000}"/>
    <cellStyle name="Normal 4 2 4 3 2 2 6 3" xfId="42835" xr:uid="{00000000-0005-0000-0000-000016A70000}"/>
    <cellStyle name="Normal 4 2 4 3 2 2 7" xfId="19152" xr:uid="{00000000-0005-0000-0000-000017A70000}"/>
    <cellStyle name="Normal 4 2 4 3 2 2 7 2" xfId="51023" xr:uid="{00000000-0005-0000-0000-000018A70000}"/>
    <cellStyle name="Normal 4 2 4 3 2 2 8" xfId="42804" xr:uid="{00000000-0005-0000-0000-000019A70000}"/>
    <cellStyle name="Normal 4 2 4 3 2 3" xfId="10957" xr:uid="{00000000-0005-0000-0000-00001AA70000}"/>
    <cellStyle name="Normal 4 2 4 3 2 3 2" xfId="10958" xr:uid="{00000000-0005-0000-0000-00001BA70000}"/>
    <cellStyle name="Normal 4 2 4 3 2 3 2 2" xfId="10959" xr:uid="{00000000-0005-0000-0000-00001CA70000}"/>
    <cellStyle name="Normal 4 2 4 3 2 3 2 2 2" xfId="10960" xr:uid="{00000000-0005-0000-0000-00001DA70000}"/>
    <cellStyle name="Normal 4 2 4 3 2 3 2 2 2 2" xfId="10961" xr:uid="{00000000-0005-0000-0000-00001EA70000}"/>
    <cellStyle name="Normal 4 2 4 3 2 3 2 2 2 2 2" xfId="30979" xr:uid="{00000000-0005-0000-0000-00001FA70000}"/>
    <cellStyle name="Normal 4 2 4 3 2 3 2 2 2 2 2 2" xfId="62850" xr:uid="{00000000-0005-0000-0000-000020A70000}"/>
    <cellStyle name="Normal 4 2 4 3 2 3 2 2 2 2 3" xfId="42840" xr:uid="{00000000-0005-0000-0000-000021A70000}"/>
    <cellStyle name="Normal 4 2 4 3 2 3 2 2 2 3" xfId="23101" xr:uid="{00000000-0005-0000-0000-000022A70000}"/>
    <cellStyle name="Normal 4 2 4 3 2 3 2 2 2 3 2" xfId="54972" xr:uid="{00000000-0005-0000-0000-000023A70000}"/>
    <cellStyle name="Normal 4 2 4 3 2 3 2 2 2 4" xfId="42839" xr:uid="{00000000-0005-0000-0000-000024A70000}"/>
    <cellStyle name="Normal 4 2 4 3 2 3 2 2 3" xfId="10962" xr:uid="{00000000-0005-0000-0000-000025A70000}"/>
    <cellStyle name="Normal 4 2 4 3 2 3 2 2 3 2" xfId="27040" xr:uid="{00000000-0005-0000-0000-000026A70000}"/>
    <cellStyle name="Normal 4 2 4 3 2 3 2 2 3 2 2" xfId="58911" xr:uid="{00000000-0005-0000-0000-000027A70000}"/>
    <cellStyle name="Normal 4 2 4 3 2 3 2 2 3 3" xfId="42841" xr:uid="{00000000-0005-0000-0000-000028A70000}"/>
    <cellStyle name="Normal 4 2 4 3 2 3 2 2 4" xfId="19162" xr:uid="{00000000-0005-0000-0000-000029A70000}"/>
    <cellStyle name="Normal 4 2 4 3 2 3 2 2 4 2" xfId="51033" xr:uid="{00000000-0005-0000-0000-00002AA70000}"/>
    <cellStyle name="Normal 4 2 4 3 2 3 2 2 5" xfId="42838" xr:uid="{00000000-0005-0000-0000-00002BA70000}"/>
    <cellStyle name="Normal 4 2 4 3 2 3 2 3" xfId="10963" xr:uid="{00000000-0005-0000-0000-00002CA70000}"/>
    <cellStyle name="Normal 4 2 4 3 2 3 2 3 2" xfId="10964" xr:uid="{00000000-0005-0000-0000-00002DA70000}"/>
    <cellStyle name="Normal 4 2 4 3 2 3 2 3 2 2" xfId="30978" xr:uid="{00000000-0005-0000-0000-00002EA70000}"/>
    <cellStyle name="Normal 4 2 4 3 2 3 2 3 2 2 2" xfId="62849" xr:uid="{00000000-0005-0000-0000-00002FA70000}"/>
    <cellStyle name="Normal 4 2 4 3 2 3 2 3 2 3" xfId="42843" xr:uid="{00000000-0005-0000-0000-000030A70000}"/>
    <cellStyle name="Normal 4 2 4 3 2 3 2 3 3" xfId="23100" xr:uid="{00000000-0005-0000-0000-000031A70000}"/>
    <cellStyle name="Normal 4 2 4 3 2 3 2 3 3 2" xfId="54971" xr:uid="{00000000-0005-0000-0000-000032A70000}"/>
    <cellStyle name="Normal 4 2 4 3 2 3 2 3 4" xfId="42842" xr:uid="{00000000-0005-0000-0000-000033A70000}"/>
    <cellStyle name="Normal 4 2 4 3 2 3 2 4" xfId="10965" xr:uid="{00000000-0005-0000-0000-000034A70000}"/>
    <cellStyle name="Normal 4 2 4 3 2 3 2 4 2" xfId="27039" xr:uid="{00000000-0005-0000-0000-000035A70000}"/>
    <cellStyle name="Normal 4 2 4 3 2 3 2 4 2 2" xfId="58910" xr:uid="{00000000-0005-0000-0000-000036A70000}"/>
    <cellStyle name="Normal 4 2 4 3 2 3 2 4 3" xfId="42844" xr:uid="{00000000-0005-0000-0000-000037A70000}"/>
    <cellStyle name="Normal 4 2 4 3 2 3 2 5" xfId="19161" xr:uid="{00000000-0005-0000-0000-000038A70000}"/>
    <cellStyle name="Normal 4 2 4 3 2 3 2 5 2" xfId="51032" xr:uid="{00000000-0005-0000-0000-000039A70000}"/>
    <cellStyle name="Normal 4 2 4 3 2 3 2 6" xfId="42837" xr:uid="{00000000-0005-0000-0000-00003AA70000}"/>
    <cellStyle name="Normal 4 2 4 3 2 3 3" xfId="10966" xr:uid="{00000000-0005-0000-0000-00003BA70000}"/>
    <cellStyle name="Normal 4 2 4 3 2 3 3 2" xfId="10967" xr:uid="{00000000-0005-0000-0000-00003CA70000}"/>
    <cellStyle name="Normal 4 2 4 3 2 3 3 2 2" xfId="10968" xr:uid="{00000000-0005-0000-0000-00003DA70000}"/>
    <cellStyle name="Normal 4 2 4 3 2 3 3 2 2 2" xfId="30980" xr:uid="{00000000-0005-0000-0000-00003EA70000}"/>
    <cellStyle name="Normal 4 2 4 3 2 3 3 2 2 2 2" xfId="62851" xr:uid="{00000000-0005-0000-0000-00003FA70000}"/>
    <cellStyle name="Normal 4 2 4 3 2 3 3 2 2 3" xfId="42847" xr:uid="{00000000-0005-0000-0000-000040A70000}"/>
    <cellStyle name="Normal 4 2 4 3 2 3 3 2 3" xfId="23102" xr:uid="{00000000-0005-0000-0000-000041A70000}"/>
    <cellStyle name="Normal 4 2 4 3 2 3 3 2 3 2" xfId="54973" xr:uid="{00000000-0005-0000-0000-000042A70000}"/>
    <cellStyle name="Normal 4 2 4 3 2 3 3 2 4" xfId="42846" xr:uid="{00000000-0005-0000-0000-000043A70000}"/>
    <cellStyle name="Normal 4 2 4 3 2 3 3 3" xfId="10969" xr:uid="{00000000-0005-0000-0000-000044A70000}"/>
    <cellStyle name="Normal 4 2 4 3 2 3 3 3 2" xfId="27041" xr:uid="{00000000-0005-0000-0000-000045A70000}"/>
    <cellStyle name="Normal 4 2 4 3 2 3 3 3 2 2" xfId="58912" xr:uid="{00000000-0005-0000-0000-000046A70000}"/>
    <cellStyle name="Normal 4 2 4 3 2 3 3 3 3" xfId="42848" xr:uid="{00000000-0005-0000-0000-000047A70000}"/>
    <cellStyle name="Normal 4 2 4 3 2 3 3 4" xfId="19163" xr:uid="{00000000-0005-0000-0000-000048A70000}"/>
    <cellStyle name="Normal 4 2 4 3 2 3 3 4 2" xfId="51034" xr:uid="{00000000-0005-0000-0000-000049A70000}"/>
    <cellStyle name="Normal 4 2 4 3 2 3 3 5" xfId="42845" xr:uid="{00000000-0005-0000-0000-00004AA70000}"/>
    <cellStyle name="Normal 4 2 4 3 2 3 4" xfId="10970" xr:uid="{00000000-0005-0000-0000-00004BA70000}"/>
    <cellStyle name="Normal 4 2 4 3 2 3 4 2" xfId="10971" xr:uid="{00000000-0005-0000-0000-00004CA70000}"/>
    <cellStyle name="Normal 4 2 4 3 2 3 4 2 2" xfId="30977" xr:uid="{00000000-0005-0000-0000-00004DA70000}"/>
    <cellStyle name="Normal 4 2 4 3 2 3 4 2 2 2" xfId="62848" xr:uid="{00000000-0005-0000-0000-00004EA70000}"/>
    <cellStyle name="Normal 4 2 4 3 2 3 4 2 3" xfId="42850" xr:uid="{00000000-0005-0000-0000-00004FA70000}"/>
    <cellStyle name="Normal 4 2 4 3 2 3 4 3" xfId="23099" xr:uid="{00000000-0005-0000-0000-000050A70000}"/>
    <cellStyle name="Normal 4 2 4 3 2 3 4 3 2" xfId="54970" xr:uid="{00000000-0005-0000-0000-000051A70000}"/>
    <cellStyle name="Normal 4 2 4 3 2 3 4 4" xfId="42849" xr:uid="{00000000-0005-0000-0000-000052A70000}"/>
    <cellStyle name="Normal 4 2 4 3 2 3 5" xfId="10972" xr:uid="{00000000-0005-0000-0000-000053A70000}"/>
    <cellStyle name="Normal 4 2 4 3 2 3 5 2" xfId="27038" xr:uid="{00000000-0005-0000-0000-000054A70000}"/>
    <cellStyle name="Normal 4 2 4 3 2 3 5 2 2" xfId="58909" xr:uid="{00000000-0005-0000-0000-000055A70000}"/>
    <cellStyle name="Normal 4 2 4 3 2 3 5 3" xfId="42851" xr:uid="{00000000-0005-0000-0000-000056A70000}"/>
    <cellStyle name="Normal 4 2 4 3 2 3 6" xfId="19160" xr:uid="{00000000-0005-0000-0000-000057A70000}"/>
    <cellStyle name="Normal 4 2 4 3 2 3 6 2" xfId="51031" xr:uid="{00000000-0005-0000-0000-000058A70000}"/>
    <cellStyle name="Normal 4 2 4 3 2 3 7" xfId="42836" xr:uid="{00000000-0005-0000-0000-000059A70000}"/>
    <cellStyle name="Normal 4 2 4 3 2 4" xfId="10973" xr:uid="{00000000-0005-0000-0000-00005AA70000}"/>
    <cellStyle name="Normal 4 2 4 3 2 4 2" xfId="10974" xr:uid="{00000000-0005-0000-0000-00005BA70000}"/>
    <cellStyle name="Normal 4 2 4 3 2 4 2 2" xfId="10975" xr:uid="{00000000-0005-0000-0000-00005CA70000}"/>
    <cellStyle name="Normal 4 2 4 3 2 4 2 2 2" xfId="10976" xr:uid="{00000000-0005-0000-0000-00005DA70000}"/>
    <cellStyle name="Normal 4 2 4 3 2 4 2 2 2 2" xfId="30982" xr:uid="{00000000-0005-0000-0000-00005EA70000}"/>
    <cellStyle name="Normal 4 2 4 3 2 4 2 2 2 2 2" xfId="62853" xr:uid="{00000000-0005-0000-0000-00005FA70000}"/>
    <cellStyle name="Normal 4 2 4 3 2 4 2 2 2 3" xfId="42855" xr:uid="{00000000-0005-0000-0000-000060A70000}"/>
    <cellStyle name="Normal 4 2 4 3 2 4 2 2 3" xfId="23104" xr:uid="{00000000-0005-0000-0000-000061A70000}"/>
    <cellStyle name="Normal 4 2 4 3 2 4 2 2 3 2" xfId="54975" xr:uid="{00000000-0005-0000-0000-000062A70000}"/>
    <cellStyle name="Normal 4 2 4 3 2 4 2 2 4" xfId="42854" xr:uid="{00000000-0005-0000-0000-000063A70000}"/>
    <cellStyle name="Normal 4 2 4 3 2 4 2 3" xfId="10977" xr:uid="{00000000-0005-0000-0000-000064A70000}"/>
    <cellStyle name="Normal 4 2 4 3 2 4 2 3 2" xfId="27043" xr:uid="{00000000-0005-0000-0000-000065A70000}"/>
    <cellStyle name="Normal 4 2 4 3 2 4 2 3 2 2" xfId="58914" xr:uid="{00000000-0005-0000-0000-000066A70000}"/>
    <cellStyle name="Normal 4 2 4 3 2 4 2 3 3" xfId="42856" xr:uid="{00000000-0005-0000-0000-000067A70000}"/>
    <cellStyle name="Normal 4 2 4 3 2 4 2 4" xfId="19165" xr:uid="{00000000-0005-0000-0000-000068A70000}"/>
    <cellStyle name="Normal 4 2 4 3 2 4 2 4 2" xfId="51036" xr:uid="{00000000-0005-0000-0000-000069A70000}"/>
    <cellStyle name="Normal 4 2 4 3 2 4 2 5" xfId="42853" xr:uid="{00000000-0005-0000-0000-00006AA70000}"/>
    <cellStyle name="Normal 4 2 4 3 2 4 3" xfId="10978" xr:uid="{00000000-0005-0000-0000-00006BA70000}"/>
    <cellStyle name="Normal 4 2 4 3 2 4 3 2" xfId="10979" xr:uid="{00000000-0005-0000-0000-00006CA70000}"/>
    <cellStyle name="Normal 4 2 4 3 2 4 3 2 2" xfId="30981" xr:uid="{00000000-0005-0000-0000-00006DA70000}"/>
    <cellStyle name="Normal 4 2 4 3 2 4 3 2 2 2" xfId="62852" xr:uid="{00000000-0005-0000-0000-00006EA70000}"/>
    <cellStyle name="Normal 4 2 4 3 2 4 3 2 3" xfId="42858" xr:uid="{00000000-0005-0000-0000-00006FA70000}"/>
    <cellStyle name="Normal 4 2 4 3 2 4 3 3" xfId="23103" xr:uid="{00000000-0005-0000-0000-000070A70000}"/>
    <cellStyle name="Normal 4 2 4 3 2 4 3 3 2" xfId="54974" xr:uid="{00000000-0005-0000-0000-000071A70000}"/>
    <cellStyle name="Normal 4 2 4 3 2 4 3 4" xfId="42857" xr:uid="{00000000-0005-0000-0000-000072A70000}"/>
    <cellStyle name="Normal 4 2 4 3 2 4 4" xfId="10980" xr:uid="{00000000-0005-0000-0000-000073A70000}"/>
    <cellStyle name="Normal 4 2 4 3 2 4 4 2" xfId="27042" xr:uid="{00000000-0005-0000-0000-000074A70000}"/>
    <cellStyle name="Normal 4 2 4 3 2 4 4 2 2" xfId="58913" xr:uid="{00000000-0005-0000-0000-000075A70000}"/>
    <cellStyle name="Normal 4 2 4 3 2 4 4 3" xfId="42859" xr:uid="{00000000-0005-0000-0000-000076A70000}"/>
    <cellStyle name="Normal 4 2 4 3 2 4 5" xfId="19164" xr:uid="{00000000-0005-0000-0000-000077A70000}"/>
    <cellStyle name="Normal 4 2 4 3 2 4 5 2" xfId="51035" xr:uid="{00000000-0005-0000-0000-000078A70000}"/>
    <cellStyle name="Normal 4 2 4 3 2 4 6" xfId="42852" xr:uid="{00000000-0005-0000-0000-000079A70000}"/>
    <cellStyle name="Normal 4 2 4 3 2 5" xfId="10981" xr:uid="{00000000-0005-0000-0000-00007AA70000}"/>
    <cellStyle name="Normal 4 2 4 3 2 5 2" xfId="10982" xr:uid="{00000000-0005-0000-0000-00007BA70000}"/>
    <cellStyle name="Normal 4 2 4 3 2 5 2 2" xfId="10983" xr:uid="{00000000-0005-0000-0000-00007CA70000}"/>
    <cellStyle name="Normal 4 2 4 3 2 5 2 2 2" xfId="30983" xr:uid="{00000000-0005-0000-0000-00007DA70000}"/>
    <cellStyle name="Normal 4 2 4 3 2 5 2 2 2 2" xfId="62854" xr:uid="{00000000-0005-0000-0000-00007EA70000}"/>
    <cellStyle name="Normal 4 2 4 3 2 5 2 2 3" xfId="42862" xr:uid="{00000000-0005-0000-0000-00007FA70000}"/>
    <cellStyle name="Normal 4 2 4 3 2 5 2 3" xfId="23105" xr:uid="{00000000-0005-0000-0000-000080A70000}"/>
    <cellStyle name="Normal 4 2 4 3 2 5 2 3 2" xfId="54976" xr:uid="{00000000-0005-0000-0000-000081A70000}"/>
    <cellStyle name="Normal 4 2 4 3 2 5 2 4" xfId="42861" xr:uid="{00000000-0005-0000-0000-000082A70000}"/>
    <cellStyle name="Normal 4 2 4 3 2 5 3" xfId="10984" xr:uid="{00000000-0005-0000-0000-000083A70000}"/>
    <cellStyle name="Normal 4 2 4 3 2 5 3 2" xfId="27044" xr:uid="{00000000-0005-0000-0000-000084A70000}"/>
    <cellStyle name="Normal 4 2 4 3 2 5 3 2 2" xfId="58915" xr:uid="{00000000-0005-0000-0000-000085A70000}"/>
    <cellStyle name="Normal 4 2 4 3 2 5 3 3" xfId="42863" xr:uid="{00000000-0005-0000-0000-000086A70000}"/>
    <cellStyle name="Normal 4 2 4 3 2 5 4" xfId="19166" xr:uid="{00000000-0005-0000-0000-000087A70000}"/>
    <cellStyle name="Normal 4 2 4 3 2 5 4 2" xfId="51037" xr:uid="{00000000-0005-0000-0000-000088A70000}"/>
    <cellStyle name="Normal 4 2 4 3 2 5 5" xfId="42860" xr:uid="{00000000-0005-0000-0000-000089A70000}"/>
    <cellStyle name="Normal 4 2 4 3 2 6" xfId="10985" xr:uid="{00000000-0005-0000-0000-00008AA70000}"/>
    <cellStyle name="Normal 4 2 4 3 2 6 2" xfId="10986" xr:uid="{00000000-0005-0000-0000-00008BA70000}"/>
    <cellStyle name="Normal 4 2 4 3 2 6 2 2" xfId="28499" xr:uid="{00000000-0005-0000-0000-00008CA70000}"/>
    <cellStyle name="Normal 4 2 4 3 2 6 2 2 2" xfId="60370" xr:uid="{00000000-0005-0000-0000-00008DA70000}"/>
    <cellStyle name="Normal 4 2 4 3 2 6 2 3" xfId="42865" xr:uid="{00000000-0005-0000-0000-00008EA70000}"/>
    <cellStyle name="Normal 4 2 4 3 2 6 3" xfId="20621" xr:uid="{00000000-0005-0000-0000-00008FA70000}"/>
    <cellStyle name="Normal 4 2 4 3 2 6 3 2" xfId="52492" xr:uid="{00000000-0005-0000-0000-000090A70000}"/>
    <cellStyle name="Normal 4 2 4 3 2 6 4" xfId="42864" xr:uid="{00000000-0005-0000-0000-000091A70000}"/>
    <cellStyle name="Normal 4 2 4 3 2 7" xfId="10987" xr:uid="{00000000-0005-0000-0000-000092A70000}"/>
    <cellStyle name="Normal 4 2 4 3 2 7 2" xfId="24560" xr:uid="{00000000-0005-0000-0000-000093A70000}"/>
    <cellStyle name="Normal 4 2 4 3 2 7 2 2" xfId="56431" xr:uid="{00000000-0005-0000-0000-000094A70000}"/>
    <cellStyle name="Normal 4 2 4 3 2 7 3" xfId="42866" xr:uid="{00000000-0005-0000-0000-000095A70000}"/>
    <cellStyle name="Normal 4 2 4 3 2 8" xfId="16682" xr:uid="{00000000-0005-0000-0000-000096A70000}"/>
    <cellStyle name="Normal 4 2 4 3 2 8 2" xfId="48553" xr:uid="{00000000-0005-0000-0000-000097A70000}"/>
    <cellStyle name="Normal 4 2 4 3 2 9" xfId="42803" xr:uid="{00000000-0005-0000-0000-000098A70000}"/>
    <cellStyle name="Normal 4 2 4 3 3" xfId="10988" xr:uid="{00000000-0005-0000-0000-000099A70000}"/>
    <cellStyle name="Normal 4 2 4 3 3 2" xfId="10989" xr:uid="{00000000-0005-0000-0000-00009AA70000}"/>
    <cellStyle name="Normal 4 2 4 3 3 2 2" xfId="10990" xr:uid="{00000000-0005-0000-0000-00009BA70000}"/>
    <cellStyle name="Normal 4 2 4 3 3 2 2 2" xfId="10991" xr:uid="{00000000-0005-0000-0000-00009CA70000}"/>
    <cellStyle name="Normal 4 2 4 3 3 2 2 2 2" xfId="10992" xr:uid="{00000000-0005-0000-0000-00009DA70000}"/>
    <cellStyle name="Normal 4 2 4 3 3 2 2 2 2 2" xfId="10993" xr:uid="{00000000-0005-0000-0000-00009EA70000}"/>
    <cellStyle name="Normal 4 2 4 3 3 2 2 2 2 2 2" xfId="30987" xr:uid="{00000000-0005-0000-0000-00009FA70000}"/>
    <cellStyle name="Normal 4 2 4 3 3 2 2 2 2 2 2 2" xfId="62858" xr:uid="{00000000-0005-0000-0000-0000A0A70000}"/>
    <cellStyle name="Normal 4 2 4 3 3 2 2 2 2 2 3" xfId="42872" xr:uid="{00000000-0005-0000-0000-0000A1A70000}"/>
    <cellStyle name="Normal 4 2 4 3 3 2 2 2 2 3" xfId="23109" xr:uid="{00000000-0005-0000-0000-0000A2A70000}"/>
    <cellStyle name="Normal 4 2 4 3 3 2 2 2 2 3 2" xfId="54980" xr:uid="{00000000-0005-0000-0000-0000A3A70000}"/>
    <cellStyle name="Normal 4 2 4 3 3 2 2 2 2 4" xfId="42871" xr:uid="{00000000-0005-0000-0000-0000A4A70000}"/>
    <cellStyle name="Normal 4 2 4 3 3 2 2 2 3" xfId="10994" xr:uid="{00000000-0005-0000-0000-0000A5A70000}"/>
    <cellStyle name="Normal 4 2 4 3 3 2 2 2 3 2" xfId="27048" xr:uid="{00000000-0005-0000-0000-0000A6A70000}"/>
    <cellStyle name="Normal 4 2 4 3 3 2 2 2 3 2 2" xfId="58919" xr:uid="{00000000-0005-0000-0000-0000A7A70000}"/>
    <cellStyle name="Normal 4 2 4 3 3 2 2 2 3 3" xfId="42873" xr:uid="{00000000-0005-0000-0000-0000A8A70000}"/>
    <cellStyle name="Normal 4 2 4 3 3 2 2 2 4" xfId="19170" xr:uid="{00000000-0005-0000-0000-0000A9A70000}"/>
    <cellStyle name="Normal 4 2 4 3 3 2 2 2 4 2" xfId="51041" xr:uid="{00000000-0005-0000-0000-0000AAA70000}"/>
    <cellStyle name="Normal 4 2 4 3 3 2 2 2 5" xfId="42870" xr:uid="{00000000-0005-0000-0000-0000ABA70000}"/>
    <cellStyle name="Normal 4 2 4 3 3 2 2 3" xfId="10995" xr:uid="{00000000-0005-0000-0000-0000ACA70000}"/>
    <cellStyle name="Normal 4 2 4 3 3 2 2 3 2" xfId="10996" xr:uid="{00000000-0005-0000-0000-0000ADA70000}"/>
    <cellStyle name="Normal 4 2 4 3 3 2 2 3 2 2" xfId="30986" xr:uid="{00000000-0005-0000-0000-0000AEA70000}"/>
    <cellStyle name="Normal 4 2 4 3 3 2 2 3 2 2 2" xfId="62857" xr:uid="{00000000-0005-0000-0000-0000AFA70000}"/>
    <cellStyle name="Normal 4 2 4 3 3 2 2 3 2 3" xfId="42875" xr:uid="{00000000-0005-0000-0000-0000B0A70000}"/>
    <cellStyle name="Normal 4 2 4 3 3 2 2 3 3" xfId="23108" xr:uid="{00000000-0005-0000-0000-0000B1A70000}"/>
    <cellStyle name="Normal 4 2 4 3 3 2 2 3 3 2" xfId="54979" xr:uid="{00000000-0005-0000-0000-0000B2A70000}"/>
    <cellStyle name="Normal 4 2 4 3 3 2 2 3 4" xfId="42874" xr:uid="{00000000-0005-0000-0000-0000B3A70000}"/>
    <cellStyle name="Normal 4 2 4 3 3 2 2 4" xfId="10997" xr:uid="{00000000-0005-0000-0000-0000B4A70000}"/>
    <cellStyle name="Normal 4 2 4 3 3 2 2 4 2" xfId="27047" xr:uid="{00000000-0005-0000-0000-0000B5A70000}"/>
    <cellStyle name="Normal 4 2 4 3 3 2 2 4 2 2" xfId="58918" xr:uid="{00000000-0005-0000-0000-0000B6A70000}"/>
    <cellStyle name="Normal 4 2 4 3 3 2 2 4 3" xfId="42876" xr:uid="{00000000-0005-0000-0000-0000B7A70000}"/>
    <cellStyle name="Normal 4 2 4 3 3 2 2 5" xfId="19169" xr:uid="{00000000-0005-0000-0000-0000B8A70000}"/>
    <cellStyle name="Normal 4 2 4 3 3 2 2 5 2" xfId="51040" xr:uid="{00000000-0005-0000-0000-0000B9A70000}"/>
    <cellStyle name="Normal 4 2 4 3 3 2 2 6" xfId="42869" xr:uid="{00000000-0005-0000-0000-0000BAA70000}"/>
    <cellStyle name="Normal 4 2 4 3 3 2 3" xfId="10998" xr:uid="{00000000-0005-0000-0000-0000BBA70000}"/>
    <cellStyle name="Normal 4 2 4 3 3 2 3 2" xfId="10999" xr:uid="{00000000-0005-0000-0000-0000BCA70000}"/>
    <cellStyle name="Normal 4 2 4 3 3 2 3 2 2" xfId="11000" xr:uid="{00000000-0005-0000-0000-0000BDA70000}"/>
    <cellStyle name="Normal 4 2 4 3 3 2 3 2 2 2" xfId="30988" xr:uid="{00000000-0005-0000-0000-0000BEA70000}"/>
    <cellStyle name="Normal 4 2 4 3 3 2 3 2 2 2 2" xfId="62859" xr:uid="{00000000-0005-0000-0000-0000BFA70000}"/>
    <cellStyle name="Normal 4 2 4 3 3 2 3 2 2 3" xfId="42879" xr:uid="{00000000-0005-0000-0000-0000C0A70000}"/>
    <cellStyle name="Normal 4 2 4 3 3 2 3 2 3" xfId="23110" xr:uid="{00000000-0005-0000-0000-0000C1A70000}"/>
    <cellStyle name="Normal 4 2 4 3 3 2 3 2 3 2" xfId="54981" xr:uid="{00000000-0005-0000-0000-0000C2A70000}"/>
    <cellStyle name="Normal 4 2 4 3 3 2 3 2 4" xfId="42878" xr:uid="{00000000-0005-0000-0000-0000C3A70000}"/>
    <cellStyle name="Normal 4 2 4 3 3 2 3 3" xfId="11001" xr:uid="{00000000-0005-0000-0000-0000C4A70000}"/>
    <cellStyle name="Normal 4 2 4 3 3 2 3 3 2" xfId="27049" xr:uid="{00000000-0005-0000-0000-0000C5A70000}"/>
    <cellStyle name="Normal 4 2 4 3 3 2 3 3 2 2" xfId="58920" xr:uid="{00000000-0005-0000-0000-0000C6A70000}"/>
    <cellStyle name="Normal 4 2 4 3 3 2 3 3 3" xfId="42880" xr:uid="{00000000-0005-0000-0000-0000C7A70000}"/>
    <cellStyle name="Normal 4 2 4 3 3 2 3 4" xfId="19171" xr:uid="{00000000-0005-0000-0000-0000C8A70000}"/>
    <cellStyle name="Normal 4 2 4 3 3 2 3 4 2" xfId="51042" xr:uid="{00000000-0005-0000-0000-0000C9A70000}"/>
    <cellStyle name="Normal 4 2 4 3 3 2 3 5" xfId="42877" xr:uid="{00000000-0005-0000-0000-0000CAA70000}"/>
    <cellStyle name="Normal 4 2 4 3 3 2 4" xfId="11002" xr:uid="{00000000-0005-0000-0000-0000CBA70000}"/>
    <cellStyle name="Normal 4 2 4 3 3 2 4 2" xfId="11003" xr:uid="{00000000-0005-0000-0000-0000CCA70000}"/>
    <cellStyle name="Normal 4 2 4 3 3 2 4 2 2" xfId="30985" xr:uid="{00000000-0005-0000-0000-0000CDA70000}"/>
    <cellStyle name="Normal 4 2 4 3 3 2 4 2 2 2" xfId="62856" xr:uid="{00000000-0005-0000-0000-0000CEA70000}"/>
    <cellStyle name="Normal 4 2 4 3 3 2 4 2 3" xfId="42882" xr:uid="{00000000-0005-0000-0000-0000CFA70000}"/>
    <cellStyle name="Normal 4 2 4 3 3 2 4 3" xfId="23107" xr:uid="{00000000-0005-0000-0000-0000D0A70000}"/>
    <cellStyle name="Normal 4 2 4 3 3 2 4 3 2" xfId="54978" xr:uid="{00000000-0005-0000-0000-0000D1A70000}"/>
    <cellStyle name="Normal 4 2 4 3 3 2 4 4" xfId="42881" xr:uid="{00000000-0005-0000-0000-0000D2A70000}"/>
    <cellStyle name="Normal 4 2 4 3 3 2 5" xfId="11004" xr:uid="{00000000-0005-0000-0000-0000D3A70000}"/>
    <cellStyle name="Normal 4 2 4 3 3 2 5 2" xfId="27046" xr:uid="{00000000-0005-0000-0000-0000D4A70000}"/>
    <cellStyle name="Normal 4 2 4 3 3 2 5 2 2" xfId="58917" xr:uid="{00000000-0005-0000-0000-0000D5A70000}"/>
    <cellStyle name="Normal 4 2 4 3 3 2 5 3" xfId="42883" xr:uid="{00000000-0005-0000-0000-0000D6A70000}"/>
    <cellStyle name="Normal 4 2 4 3 3 2 6" xfId="19168" xr:uid="{00000000-0005-0000-0000-0000D7A70000}"/>
    <cellStyle name="Normal 4 2 4 3 3 2 6 2" xfId="51039" xr:uid="{00000000-0005-0000-0000-0000D8A70000}"/>
    <cellStyle name="Normal 4 2 4 3 3 2 7" xfId="42868" xr:uid="{00000000-0005-0000-0000-0000D9A70000}"/>
    <cellStyle name="Normal 4 2 4 3 3 3" xfId="11005" xr:uid="{00000000-0005-0000-0000-0000DAA70000}"/>
    <cellStyle name="Normal 4 2 4 3 3 3 2" xfId="11006" xr:uid="{00000000-0005-0000-0000-0000DBA70000}"/>
    <cellStyle name="Normal 4 2 4 3 3 3 2 2" xfId="11007" xr:uid="{00000000-0005-0000-0000-0000DCA70000}"/>
    <cellStyle name="Normal 4 2 4 3 3 3 2 2 2" xfId="11008" xr:uid="{00000000-0005-0000-0000-0000DDA70000}"/>
    <cellStyle name="Normal 4 2 4 3 3 3 2 2 2 2" xfId="30990" xr:uid="{00000000-0005-0000-0000-0000DEA70000}"/>
    <cellStyle name="Normal 4 2 4 3 3 3 2 2 2 2 2" xfId="62861" xr:uid="{00000000-0005-0000-0000-0000DFA70000}"/>
    <cellStyle name="Normal 4 2 4 3 3 3 2 2 2 3" xfId="42887" xr:uid="{00000000-0005-0000-0000-0000E0A70000}"/>
    <cellStyle name="Normal 4 2 4 3 3 3 2 2 3" xfId="23112" xr:uid="{00000000-0005-0000-0000-0000E1A70000}"/>
    <cellStyle name="Normal 4 2 4 3 3 3 2 2 3 2" xfId="54983" xr:uid="{00000000-0005-0000-0000-0000E2A70000}"/>
    <cellStyle name="Normal 4 2 4 3 3 3 2 2 4" xfId="42886" xr:uid="{00000000-0005-0000-0000-0000E3A70000}"/>
    <cellStyle name="Normal 4 2 4 3 3 3 2 3" xfId="11009" xr:uid="{00000000-0005-0000-0000-0000E4A70000}"/>
    <cellStyle name="Normal 4 2 4 3 3 3 2 3 2" xfId="27051" xr:uid="{00000000-0005-0000-0000-0000E5A70000}"/>
    <cellStyle name="Normal 4 2 4 3 3 3 2 3 2 2" xfId="58922" xr:uid="{00000000-0005-0000-0000-0000E6A70000}"/>
    <cellStyle name="Normal 4 2 4 3 3 3 2 3 3" xfId="42888" xr:uid="{00000000-0005-0000-0000-0000E7A70000}"/>
    <cellStyle name="Normal 4 2 4 3 3 3 2 4" xfId="19173" xr:uid="{00000000-0005-0000-0000-0000E8A70000}"/>
    <cellStyle name="Normal 4 2 4 3 3 3 2 4 2" xfId="51044" xr:uid="{00000000-0005-0000-0000-0000E9A70000}"/>
    <cellStyle name="Normal 4 2 4 3 3 3 2 5" xfId="42885" xr:uid="{00000000-0005-0000-0000-0000EAA70000}"/>
    <cellStyle name="Normal 4 2 4 3 3 3 3" xfId="11010" xr:uid="{00000000-0005-0000-0000-0000EBA70000}"/>
    <cellStyle name="Normal 4 2 4 3 3 3 3 2" xfId="11011" xr:uid="{00000000-0005-0000-0000-0000ECA70000}"/>
    <cellStyle name="Normal 4 2 4 3 3 3 3 2 2" xfId="30989" xr:uid="{00000000-0005-0000-0000-0000EDA70000}"/>
    <cellStyle name="Normal 4 2 4 3 3 3 3 2 2 2" xfId="62860" xr:uid="{00000000-0005-0000-0000-0000EEA70000}"/>
    <cellStyle name="Normal 4 2 4 3 3 3 3 2 3" xfId="42890" xr:uid="{00000000-0005-0000-0000-0000EFA70000}"/>
    <cellStyle name="Normal 4 2 4 3 3 3 3 3" xfId="23111" xr:uid="{00000000-0005-0000-0000-0000F0A70000}"/>
    <cellStyle name="Normal 4 2 4 3 3 3 3 3 2" xfId="54982" xr:uid="{00000000-0005-0000-0000-0000F1A70000}"/>
    <cellStyle name="Normal 4 2 4 3 3 3 3 4" xfId="42889" xr:uid="{00000000-0005-0000-0000-0000F2A70000}"/>
    <cellStyle name="Normal 4 2 4 3 3 3 4" xfId="11012" xr:uid="{00000000-0005-0000-0000-0000F3A70000}"/>
    <cellStyle name="Normal 4 2 4 3 3 3 4 2" xfId="27050" xr:uid="{00000000-0005-0000-0000-0000F4A70000}"/>
    <cellStyle name="Normal 4 2 4 3 3 3 4 2 2" xfId="58921" xr:uid="{00000000-0005-0000-0000-0000F5A70000}"/>
    <cellStyle name="Normal 4 2 4 3 3 3 4 3" xfId="42891" xr:uid="{00000000-0005-0000-0000-0000F6A70000}"/>
    <cellStyle name="Normal 4 2 4 3 3 3 5" xfId="19172" xr:uid="{00000000-0005-0000-0000-0000F7A70000}"/>
    <cellStyle name="Normal 4 2 4 3 3 3 5 2" xfId="51043" xr:uid="{00000000-0005-0000-0000-0000F8A70000}"/>
    <cellStyle name="Normal 4 2 4 3 3 3 6" xfId="42884" xr:uid="{00000000-0005-0000-0000-0000F9A70000}"/>
    <cellStyle name="Normal 4 2 4 3 3 4" xfId="11013" xr:uid="{00000000-0005-0000-0000-0000FAA70000}"/>
    <cellStyle name="Normal 4 2 4 3 3 4 2" xfId="11014" xr:uid="{00000000-0005-0000-0000-0000FBA70000}"/>
    <cellStyle name="Normal 4 2 4 3 3 4 2 2" xfId="11015" xr:uid="{00000000-0005-0000-0000-0000FCA70000}"/>
    <cellStyle name="Normal 4 2 4 3 3 4 2 2 2" xfId="30991" xr:uid="{00000000-0005-0000-0000-0000FDA70000}"/>
    <cellStyle name="Normal 4 2 4 3 3 4 2 2 2 2" xfId="62862" xr:uid="{00000000-0005-0000-0000-0000FEA70000}"/>
    <cellStyle name="Normal 4 2 4 3 3 4 2 2 3" xfId="42894" xr:uid="{00000000-0005-0000-0000-0000FFA70000}"/>
    <cellStyle name="Normal 4 2 4 3 3 4 2 3" xfId="23113" xr:uid="{00000000-0005-0000-0000-000000A80000}"/>
    <cellStyle name="Normal 4 2 4 3 3 4 2 3 2" xfId="54984" xr:uid="{00000000-0005-0000-0000-000001A80000}"/>
    <cellStyle name="Normal 4 2 4 3 3 4 2 4" xfId="42893" xr:uid="{00000000-0005-0000-0000-000002A80000}"/>
    <cellStyle name="Normal 4 2 4 3 3 4 3" xfId="11016" xr:uid="{00000000-0005-0000-0000-000003A80000}"/>
    <cellStyle name="Normal 4 2 4 3 3 4 3 2" xfId="27052" xr:uid="{00000000-0005-0000-0000-000004A80000}"/>
    <cellStyle name="Normal 4 2 4 3 3 4 3 2 2" xfId="58923" xr:uid="{00000000-0005-0000-0000-000005A80000}"/>
    <cellStyle name="Normal 4 2 4 3 3 4 3 3" xfId="42895" xr:uid="{00000000-0005-0000-0000-000006A80000}"/>
    <cellStyle name="Normal 4 2 4 3 3 4 4" xfId="19174" xr:uid="{00000000-0005-0000-0000-000007A80000}"/>
    <cellStyle name="Normal 4 2 4 3 3 4 4 2" xfId="51045" xr:uid="{00000000-0005-0000-0000-000008A80000}"/>
    <cellStyle name="Normal 4 2 4 3 3 4 5" xfId="42892" xr:uid="{00000000-0005-0000-0000-000009A80000}"/>
    <cellStyle name="Normal 4 2 4 3 3 5" xfId="11017" xr:uid="{00000000-0005-0000-0000-00000AA80000}"/>
    <cellStyle name="Normal 4 2 4 3 3 5 2" xfId="11018" xr:uid="{00000000-0005-0000-0000-00000BA80000}"/>
    <cellStyle name="Normal 4 2 4 3 3 5 2 2" xfId="30984" xr:uid="{00000000-0005-0000-0000-00000CA80000}"/>
    <cellStyle name="Normal 4 2 4 3 3 5 2 2 2" xfId="62855" xr:uid="{00000000-0005-0000-0000-00000DA80000}"/>
    <cellStyle name="Normal 4 2 4 3 3 5 2 3" xfId="42897" xr:uid="{00000000-0005-0000-0000-00000EA80000}"/>
    <cellStyle name="Normal 4 2 4 3 3 5 3" xfId="23106" xr:uid="{00000000-0005-0000-0000-00000FA80000}"/>
    <cellStyle name="Normal 4 2 4 3 3 5 3 2" xfId="54977" xr:uid="{00000000-0005-0000-0000-000010A80000}"/>
    <cellStyle name="Normal 4 2 4 3 3 5 4" xfId="42896" xr:uid="{00000000-0005-0000-0000-000011A80000}"/>
    <cellStyle name="Normal 4 2 4 3 3 6" xfId="11019" xr:uid="{00000000-0005-0000-0000-000012A80000}"/>
    <cellStyle name="Normal 4 2 4 3 3 6 2" xfId="27045" xr:uid="{00000000-0005-0000-0000-000013A80000}"/>
    <cellStyle name="Normal 4 2 4 3 3 6 2 2" xfId="58916" xr:uid="{00000000-0005-0000-0000-000014A80000}"/>
    <cellStyle name="Normal 4 2 4 3 3 6 3" xfId="42898" xr:uid="{00000000-0005-0000-0000-000015A80000}"/>
    <cellStyle name="Normal 4 2 4 3 3 7" xfId="19167" xr:uid="{00000000-0005-0000-0000-000016A80000}"/>
    <cellStyle name="Normal 4 2 4 3 3 7 2" xfId="51038" xr:uid="{00000000-0005-0000-0000-000017A80000}"/>
    <cellStyle name="Normal 4 2 4 3 3 8" xfId="42867" xr:uid="{00000000-0005-0000-0000-000018A80000}"/>
    <cellStyle name="Normal 4 2 4 3 4" xfId="11020" xr:uid="{00000000-0005-0000-0000-000019A80000}"/>
    <cellStyle name="Normal 4 2 4 3 4 2" xfId="11021" xr:uid="{00000000-0005-0000-0000-00001AA80000}"/>
    <cellStyle name="Normal 4 2 4 3 4 2 2" xfId="11022" xr:uid="{00000000-0005-0000-0000-00001BA80000}"/>
    <cellStyle name="Normal 4 2 4 3 4 2 2 2" xfId="11023" xr:uid="{00000000-0005-0000-0000-00001CA80000}"/>
    <cellStyle name="Normal 4 2 4 3 4 2 2 2 2" xfId="11024" xr:uid="{00000000-0005-0000-0000-00001DA80000}"/>
    <cellStyle name="Normal 4 2 4 3 4 2 2 2 2 2" xfId="30994" xr:uid="{00000000-0005-0000-0000-00001EA80000}"/>
    <cellStyle name="Normal 4 2 4 3 4 2 2 2 2 2 2" xfId="62865" xr:uid="{00000000-0005-0000-0000-00001FA80000}"/>
    <cellStyle name="Normal 4 2 4 3 4 2 2 2 2 3" xfId="42903" xr:uid="{00000000-0005-0000-0000-000020A80000}"/>
    <cellStyle name="Normal 4 2 4 3 4 2 2 2 3" xfId="23116" xr:uid="{00000000-0005-0000-0000-000021A80000}"/>
    <cellStyle name="Normal 4 2 4 3 4 2 2 2 3 2" xfId="54987" xr:uid="{00000000-0005-0000-0000-000022A80000}"/>
    <cellStyle name="Normal 4 2 4 3 4 2 2 2 4" xfId="42902" xr:uid="{00000000-0005-0000-0000-000023A80000}"/>
    <cellStyle name="Normal 4 2 4 3 4 2 2 3" xfId="11025" xr:uid="{00000000-0005-0000-0000-000024A80000}"/>
    <cellStyle name="Normal 4 2 4 3 4 2 2 3 2" xfId="27055" xr:uid="{00000000-0005-0000-0000-000025A80000}"/>
    <cellStyle name="Normal 4 2 4 3 4 2 2 3 2 2" xfId="58926" xr:uid="{00000000-0005-0000-0000-000026A80000}"/>
    <cellStyle name="Normal 4 2 4 3 4 2 2 3 3" xfId="42904" xr:uid="{00000000-0005-0000-0000-000027A80000}"/>
    <cellStyle name="Normal 4 2 4 3 4 2 2 4" xfId="19177" xr:uid="{00000000-0005-0000-0000-000028A80000}"/>
    <cellStyle name="Normal 4 2 4 3 4 2 2 4 2" xfId="51048" xr:uid="{00000000-0005-0000-0000-000029A80000}"/>
    <cellStyle name="Normal 4 2 4 3 4 2 2 5" xfId="42901" xr:uid="{00000000-0005-0000-0000-00002AA80000}"/>
    <cellStyle name="Normal 4 2 4 3 4 2 3" xfId="11026" xr:uid="{00000000-0005-0000-0000-00002BA80000}"/>
    <cellStyle name="Normal 4 2 4 3 4 2 3 2" xfId="11027" xr:uid="{00000000-0005-0000-0000-00002CA80000}"/>
    <cellStyle name="Normal 4 2 4 3 4 2 3 2 2" xfId="30993" xr:uid="{00000000-0005-0000-0000-00002DA80000}"/>
    <cellStyle name="Normal 4 2 4 3 4 2 3 2 2 2" xfId="62864" xr:uid="{00000000-0005-0000-0000-00002EA80000}"/>
    <cellStyle name="Normal 4 2 4 3 4 2 3 2 3" xfId="42906" xr:uid="{00000000-0005-0000-0000-00002FA80000}"/>
    <cellStyle name="Normal 4 2 4 3 4 2 3 3" xfId="23115" xr:uid="{00000000-0005-0000-0000-000030A80000}"/>
    <cellStyle name="Normal 4 2 4 3 4 2 3 3 2" xfId="54986" xr:uid="{00000000-0005-0000-0000-000031A80000}"/>
    <cellStyle name="Normal 4 2 4 3 4 2 3 4" xfId="42905" xr:uid="{00000000-0005-0000-0000-000032A80000}"/>
    <cellStyle name="Normal 4 2 4 3 4 2 4" xfId="11028" xr:uid="{00000000-0005-0000-0000-000033A80000}"/>
    <cellStyle name="Normal 4 2 4 3 4 2 4 2" xfId="27054" xr:uid="{00000000-0005-0000-0000-000034A80000}"/>
    <cellStyle name="Normal 4 2 4 3 4 2 4 2 2" xfId="58925" xr:uid="{00000000-0005-0000-0000-000035A80000}"/>
    <cellStyle name="Normal 4 2 4 3 4 2 4 3" xfId="42907" xr:uid="{00000000-0005-0000-0000-000036A80000}"/>
    <cellStyle name="Normal 4 2 4 3 4 2 5" xfId="19176" xr:uid="{00000000-0005-0000-0000-000037A80000}"/>
    <cellStyle name="Normal 4 2 4 3 4 2 5 2" xfId="51047" xr:uid="{00000000-0005-0000-0000-000038A80000}"/>
    <cellStyle name="Normal 4 2 4 3 4 2 6" xfId="42900" xr:uid="{00000000-0005-0000-0000-000039A80000}"/>
    <cellStyle name="Normal 4 2 4 3 4 3" xfId="11029" xr:uid="{00000000-0005-0000-0000-00003AA80000}"/>
    <cellStyle name="Normal 4 2 4 3 4 3 2" xfId="11030" xr:uid="{00000000-0005-0000-0000-00003BA80000}"/>
    <cellStyle name="Normal 4 2 4 3 4 3 2 2" xfId="11031" xr:uid="{00000000-0005-0000-0000-00003CA80000}"/>
    <cellStyle name="Normal 4 2 4 3 4 3 2 2 2" xfId="30995" xr:uid="{00000000-0005-0000-0000-00003DA80000}"/>
    <cellStyle name="Normal 4 2 4 3 4 3 2 2 2 2" xfId="62866" xr:uid="{00000000-0005-0000-0000-00003EA80000}"/>
    <cellStyle name="Normal 4 2 4 3 4 3 2 2 3" xfId="42910" xr:uid="{00000000-0005-0000-0000-00003FA80000}"/>
    <cellStyle name="Normal 4 2 4 3 4 3 2 3" xfId="23117" xr:uid="{00000000-0005-0000-0000-000040A80000}"/>
    <cellStyle name="Normal 4 2 4 3 4 3 2 3 2" xfId="54988" xr:uid="{00000000-0005-0000-0000-000041A80000}"/>
    <cellStyle name="Normal 4 2 4 3 4 3 2 4" xfId="42909" xr:uid="{00000000-0005-0000-0000-000042A80000}"/>
    <cellStyle name="Normal 4 2 4 3 4 3 3" xfId="11032" xr:uid="{00000000-0005-0000-0000-000043A80000}"/>
    <cellStyle name="Normal 4 2 4 3 4 3 3 2" xfId="27056" xr:uid="{00000000-0005-0000-0000-000044A80000}"/>
    <cellStyle name="Normal 4 2 4 3 4 3 3 2 2" xfId="58927" xr:uid="{00000000-0005-0000-0000-000045A80000}"/>
    <cellStyle name="Normal 4 2 4 3 4 3 3 3" xfId="42911" xr:uid="{00000000-0005-0000-0000-000046A80000}"/>
    <cellStyle name="Normal 4 2 4 3 4 3 4" xfId="19178" xr:uid="{00000000-0005-0000-0000-000047A80000}"/>
    <cellStyle name="Normal 4 2 4 3 4 3 4 2" xfId="51049" xr:uid="{00000000-0005-0000-0000-000048A80000}"/>
    <cellStyle name="Normal 4 2 4 3 4 3 5" xfId="42908" xr:uid="{00000000-0005-0000-0000-000049A80000}"/>
    <cellStyle name="Normal 4 2 4 3 4 4" xfId="11033" xr:uid="{00000000-0005-0000-0000-00004AA80000}"/>
    <cellStyle name="Normal 4 2 4 3 4 4 2" xfId="11034" xr:uid="{00000000-0005-0000-0000-00004BA80000}"/>
    <cellStyle name="Normal 4 2 4 3 4 4 2 2" xfId="30992" xr:uid="{00000000-0005-0000-0000-00004CA80000}"/>
    <cellStyle name="Normal 4 2 4 3 4 4 2 2 2" xfId="62863" xr:uid="{00000000-0005-0000-0000-00004DA80000}"/>
    <cellStyle name="Normal 4 2 4 3 4 4 2 3" xfId="42913" xr:uid="{00000000-0005-0000-0000-00004EA80000}"/>
    <cellStyle name="Normal 4 2 4 3 4 4 3" xfId="23114" xr:uid="{00000000-0005-0000-0000-00004FA80000}"/>
    <cellStyle name="Normal 4 2 4 3 4 4 3 2" xfId="54985" xr:uid="{00000000-0005-0000-0000-000050A80000}"/>
    <cellStyle name="Normal 4 2 4 3 4 4 4" xfId="42912" xr:uid="{00000000-0005-0000-0000-000051A80000}"/>
    <cellStyle name="Normal 4 2 4 3 4 5" xfId="11035" xr:uid="{00000000-0005-0000-0000-000052A80000}"/>
    <cellStyle name="Normal 4 2 4 3 4 5 2" xfId="27053" xr:uid="{00000000-0005-0000-0000-000053A80000}"/>
    <cellStyle name="Normal 4 2 4 3 4 5 2 2" xfId="58924" xr:uid="{00000000-0005-0000-0000-000054A80000}"/>
    <cellStyle name="Normal 4 2 4 3 4 5 3" xfId="42914" xr:uid="{00000000-0005-0000-0000-000055A80000}"/>
    <cellStyle name="Normal 4 2 4 3 4 6" xfId="19175" xr:uid="{00000000-0005-0000-0000-000056A80000}"/>
    <cellStyle name="Normal 4 2 4 3 4 6 2" xfId="51046" xr:uid="{00000000-0005-0000-0000-000057A80000}"/>
    <cellStyle name="Normal 4 2 4 3 4 7" xfId="42899" xr:uid="{00000000-0005-0000-0000-000058A80000}"/>
    <cellStyle name="Normal 4 2 4 3 5" xfId="11036" xr:uid="{00000000-0005-0000-0000-000059A80000}"/>
    <cellStyle name="Normal 4 2 4 3 5 2" xfId="11037" xr:uid="{00000000-0005-0000-0000-00005AA80000}"/>
    <cellStyle name="Normal 4 2 4 3 5 2 2" xfId="11038" xr:uid="{00000000-0005-0000-0000-00005BA80000}"/>
    <cellStyle name="Normal 4 2 4 3 5 2 2 2" xfId="11039" xr:uid="{00000000-0005-0000-0000-00005CA80000}"/>
    <cellStyle name="Normal 4 2 4 3 5 2 2 2 2" xfId="30997" xr:uid="{00000000-0005-0000-0000-00005DA80000}"/>
    <cellStyle name="Normal 4 2 4 3 5 2 2 2 2 2" xfId="62868" xr:uid="{00000000-0005-0000-0000-00005EA80000}"/>
    <cellStyle name="Normal 4 2 4 3 5 2 2 2 3" xfId="42918" xr:uid="{00000000-0005-0000-0000-00005FA80000}"/>
    <cellStyle name="Normal 4 2 4 3 5 2 2 3" xfId="23119" xr:uid="{00000000-0005-0000-0000-000060A80000}"/>
    <cellStyle name="Normal 4 2 4 3 5 2 2 3 2" xfId="54990" xr:uid="{00000000-0005-0000-0000-000061A80000}"/>
    <cellStyle name="Normal 4 2 4 3 5 2 2 4" xfId="42917" xr:uid="{00000000-0005-0000-0000-000062A80000}"/>
    <cellStyle name="Normal 4 2 4 3 5 2 3" xfId="11040" xr:uid="{00000000-0005-0000-0000-000063A80000}"/>
    <cellStyle name="Normal 4 2 4 3 5 2 3 2" xfId="27058" xr:uid="{00000000-0005-0000-0000-000064A80000}"/>
    <cellStyle name="Normal 4 2 4 3 5 2 3 2 2" xfId="58929" xr:uid="{00000000-0005-0000-0000-000065A80000}"/>
    <cellStyle name="Normal 4 2 4 3 5 2 3 3" xfId="42919" xr:uid="{00000000-0005-0000-0000-000066A80000}"/>
    <cellStyle name="Normal 4 2 4 3 5 2 4" xfId="19180" xr:uid="{00000000-0005-0000-0000-000067A80000}"/>
    <cellStyle name="Normal 4 2 4 3 5 2 4 2" xfId="51051" xr:uid="{00000000-0005-0000-0000-000068A80000}"/>
    <cellStyle name="Normal 4 2 4 3 5 2 5" xfId="42916" xr:uid="{00000000-0005-0000-0000-000069A80000}"/>
    <cellStyle name="Normal 4 2 4 3 5 3" xfId="11041" xr:uid="{00000000-0005-0000-0000-00006AA80000}"/>
    <cellStyle name="Normal 4 2 4 3 5 3 2" xfId="11042" xr:uid="{00000000-0005-0000-0000-00006BA80000}"/>
    <cellStyle name="Normal 4 2 4 3 5 3 2 2" xfId="30996" xr:uid="{00000000-0005-0000-0000-00006CA80000}"/>
    <cellStyle name="Normal 4 2 4 3 5 3 2 2 2" xfId="62867" xr:uid="{00000000-0005-0000-0000-00006DA80000}"/>
    <cellStyle name="Normal 4 2 4 3 5 3 2 3" xfId="42921" xr:uid="{00000000-0005-0000-0000-00006EA80000}"/>
    <cellStyle name="Normal 4 2 4 3 5 3 3" xfId="23118" xr:uid="{00000000-0005-0000-0000-00006FA80000}"/>
    <cellStyle name="Normal 4 2 4 3 5 3 3 2" xfId="54989" xr:uid="{00000000-0005-0000-0000-000070A80000}"/>
    <cellStyle name="Normal 4 2 4 3 5 3 4" xfId="42920" xr:uid="{00000000-0005-0000-0000-000071A80000}"/>
    <cellStyle name="Normal 4 2 4 3 5 4" xfId="11043" xr:uid="{00000000-0005-0000-0000-000072A80000}"/>
    <cellStyle name="Normal 4 2 4 3 5 4 2" xfId="27057" xr:uid="{00000000-0005-0000-0000-000073A80000}"/>
    <cellStyle name="Normal 4 2 4 3 5 4 2 2" xfId="58928" xr:uid="{00000000-0005-0000-0000-000074A80000}"/>
    <cellStyle name="Normal 4 2 4 3 5 4 3" xfId="42922" xr:uid="{00000000-0005-0000-0000-000075A80000}"/>
    <cellStyle name="Normal 4 2 4 3 5 5" xfId="19179" xr:uid="{00000000-0005-0000-0000-000076A80000}"/>
    <cellStyle name="Normal 4 2 4 3 5 5 2" xfId="51050" xr:uid="{00000000-0005-0000-0000-000077A80000}"/>
    <cellStyle name="Normal 4 2 4 3 5 6" xfId="42915" xr:uid="{00000000-0005-0000-0000-000078A80000}"/>
    <cellStyle name="Normal 4 2 4 3 6" xfId="11044" xr:uid="{00000000-0005-0000-0000-000079A80000}"/>
    <cellStyle name="Normal 4 2 4 3 6 2" xfId="11045" xr:uid="{00000000-0005-0000-0000-00007AA80000}"/>
    <cellStyle name="Normal 4 2 4 3 6 2 2" xfId="11046" xr:uid="{00000000-0005-0000-0000-00007BA80000}"/>
    <cellStyle name="Normal 4 2 4 3 6 2 2 2" xfId="30998" xr:uid="{00000000-0005-0000-0000-00007CA80000}"/>
    <cellStyle name="Normal 4 2 4 3 6 2 2 2 2" xfId="62869" xr:uid="{00000000-0005-0000-0000-00007DA80000}"/>
    <cellStyle name="Normal 4 2 4 3 6 2 2 3" xfId="42925" xr:uid="{00000000-0005-0000-0000-00007EA80000}"/>
    <cellStyle name="Normal 4 2 4 3 6 2 3" xfId="23120" xr:uid="{00000000-0005-0000-0000-00007FA80000}"/>
    <cellStyle name="Normal 4 2 4 3 6 2 3 2" xfId="54991" xr:uid="{00000000-0005-0000-0000-000080A80000}"/>
    <cellStyle name="Normal 4 2 4 3 6 2 4" xfId="42924" xr:uid="{00000000-0005-0000-0000-000081A80000}"/>
    <cellStyle name="Normal 4 2 4 3 6 3" xfId="11047" xr:uid="{00000000-0005-0000-0000-000082A80000}"/>
    <cellStyle name="Normal 4 2 4 3 6 3 2" xfId="27059" xr:uid="{00000000-0005-0000-0000-000083A80000}"/>
    <cellStyle name="Normal 4 2 4 3 6 3 2 2" xfId="58930" xr:uid="{00000000-0005-0000-0000-000084A80000}"/>
    <cellStyle name="Normal 4 2 4 3 6 3 3" xfId="42926" xr:uid="{00000000-0005-0000-0000-000085A80000}"/>
    <cellStyle name="Normal 4 2 4 3 6 4" xfId="19181" xr:uid="{00000000-0005-0000-0000-000086A80000}"/>
    <cellStyle name="Normal 4 2 4 3 6 4 2" xfId="51052" xr:uid="{00000000-0005-0000-0000-000087A80000}"/>
    <cellStyle name="Normal 4 2 4 3 6 5" xfId="42923" xr:uid="{00000000-0005-0000-0000-000088A80000}"/>
    <cellStyle name="Normal 4 2 4 3 7" xfId="11048" xr:uid="{00000000-0005-0000-0000-000089A80000}"/>
    <cellStyle name="Normal 4 2 4 3 7 2" xfId="11049" xr:uid="{00000000-0005-0000-0000-00008AA80000}"/>
    <cellStyle name="Normal 4 2 4 3 7 2 2" xfId="28376" xr:uid="{00000000-0005-0000-0000-00008BA80000}"/>
    <cellStyle name="Normal 4 2 4 3 7 2 2 2" xfId="60247" xr:uid="{00000000-0005-0000-0000-00008CA80000}"/>
    <cellStyle name="Normal 4 2 4 3 7 2 3" xfId="42928" xr:uid="{00000000-0005-0000-0000-00008DA80000}"/>
    <cellStyle name="Normal 4 2 4 3 7 3" xfId="20498" xr:uid="{00000000-0005-0000-0000-00008EA80000}"/>
    <cellStyle name="Normal 4 2 4 3 7 3 2" xfId="52369" xr:uid="{00000000-0005-0000-0000-00008FA80000}"/>
    <cellStyle name="Normal 4 2 4 3 7 4" xfId="42927" xr:uid="{00000000-0005-0000-0000-000090A80000}"/>
    <cellStyle name="Normal 4 2 4 3 8" xfId="11050" xr:uid="{00000000-0005-0000-0000-000091A80000}"/>
    <cellStyle name="Normal 4 2 4 3 8 2" xfId="24437" xr:uid="{00000000-0005-0000-0000-000092A80000}"/>
    <cellStyle name="Normal 4 2 4 3 8 2 2" xfId="56308" xr:uid="{00000000-0005-0000-0000-000093A80000}"/>
    <cellStyle name="Normal 4 2 4 3 8 3" xfId="42929" xr:uid="{00000000-0005-0000-0000-000094A80000}"/>
    <cellStyle name="Normal 4 2 4 3 9" xfId="16559" xr:uid="{00000000-0005-0000-0000-000095A80000}"/>
    <cellStyle name="Normal 4 2 4 3 9 2" xfId="48430" xr:uid="{00000000-0005-0000-0000-000096A80000}"/>
    <cellStyle name="Normal 4 2 4 4" xfId="11051" xr:uid="{00000000-0005-0000-0000-000097A80000}"/>
    <cellStyle name="Normal 4 2 4 4 2" xfId="11052" xr:uid="{00000000-0005-0000-0000-000098A80000}"/>
    <cellStyle name="Normal 4 2 4 4 2 2" xfId="11053" xr:uid="{00000000-0005-0000-0000-000099A80000}"/>
    <cellStyle name="Normal 4 2 4 4 2 2 2" xfId="11054" xr:uid="{00000000-0005-0000-0000-00009AA80000}"/>
    <cellStyle name="Normal 4 2 4 4 2 2 2 2" xfId="11055" xr:uid="{00000000-0005-0000-0000-00009BA80000}"/>
    <cellStyle name="Normal 4 2 4 4 2 2 2 2 2" xfId="11056" xr:uid="{00000000-0005-0000-0000-00009CA80000}"/>
    <cellStyle name="Normal 4 2 4 4 2 2 2 2 2 2" xfId="11057" xr:uid="{00000000-0005-0000-0000-00009DA80000}"/>
    <cellStyle name="Normal 4 2 4 4 2 2 2 2 2 2 2" xfId="31002" xr:uid="{00000000-0005-0000-0000-00009EA80000}"/>
    <cellStyle name="Normal 4 2 4 4 2 2 2 2 2 2 2 2" xfId="62873" xr:uid="{00000000-0005-0000-0000-00009FA80000}"/>
    <cellStyle name="Normal 4 2 4 4 2 2 2 2 2 2 3" xfId="42936" xr:uid="{00000000-0005-0000-0000-0000A0A80000}"/>
    <cellStyle name="Normal 4 2 4 4 2 2 2 2 2 3" xfId="23124" xr:uid="{00000000-0005-0000-0000-0000A1A80000}"/>
    <cellStyle name="Normal 4 2 4 4 2 2 2 2 2 3 2" xfId="54995" xr:uid="{00000000-0005-0000-0000-0000A2A80000}"/>
    <cellStyle name="Normal 4 2 4 4 2 2 2 2 2 4" xfId="42935" xr:uid="{00000000-0005-0000-0000-0000A3A80000}"/>
    <cellStyle name="Normal 4 2 4 4 2 2 2 2 3" xfId="11058" xr:uid="{00000000-0005-0000-0000-0000A4A80000}"/>
    <cellStyle name="Normal 4 2 4 4 2 2 2 2 3 2" xfId="27063" xr:uid="{00000000-0005-0000-0000-0000A5A80000}"/>
    <cellStyle name="Normal 4 2 4 4 2 2 2 2 3 2 2" xfId="58934" xr:uid="{00000000-0005-0000-0000-0000A6A80000}"/>
    <cellStyle name="Normal 4 2 4 4 2 2 2 2 3 3" xfId="42937" xr:uid="{00000000-0005-0000-0000-0000A7A80000}"/>
    <cellStyle name="Normal 4 2 4 4 2 2 2 2 4" xfId="19185" xr:uid="{00000000-0005-0000-0000-0000A8A80000}"/>
    <cellStyle name="Normal 4 2 4 4 2 2 2 2 4 2" xfId="51056" xr:uid="{00000000-0005-0000-0000-0000A9A80000}"/>
    <cellStyle name="Normal 4 2 4 4 2 2 2 2 5" xfId="42934" xr:uid="{00000000-0005-0000-0000-0000AAA80000}"/>
    <cellStyle name="Normal 4 2 4 4 2 2 2 3" xfId="11059" xr:uid="{00000000-0005-0000-0000-0000ABA80000}"/>
    <cellStyle name="Normal 4 2 4 4 2 2 2 3 2" xfId="11060" xr:uid="{00000000-0005-0000-0000-0000ACA80000}"/>
    <cellStyle name="Normal 4 2 4 4 2 2 2 3 2 2" xfId="31001" xr:uid="{00000000-0005-0000-0000-0000ADA80000}"/>
    <cellStyle name="Normal 4 2 4 4 2 2 2 3 2 2 2" xfId="62872" xr:uid="{00000000-0005-0000-0000-0000AEA80000}"/>
    <cellStyle name="Normal 4 2 4 4 2 2 2 3 2 3" xfId="42939" xr:uid="{00000000-0005-0000-0000-0000AFA80000}"/>
    <cellStyle name="Normal 4 2 4 4 2 2 2 3 3" xfId="23123" xr:uid="{00000000-0005-0000-0000-0000B0A80000}"/>
    <cellStyle name="Normal 4 2 4 4 2 2 2 3 3 2" xfId="54994" xr:uid="{00000000-0005-0000-0000-0000B1A80000}"/>
    <cellStyle name="Normal 4 2 4 4 2 2 2 3 4" xfId="42938" xr:uid="{00000000-0005-0000-0000-0000B2A80000}"/>
    <cellStyle name="Normal 4 2 4 4 2 2 2 4" xfId="11061" xr:uid="{00000000-0005-0000-0000-0000B3A80000}"/>
    <cellStyle name="Normal 4 2 4 4 2 2 2 4 2" xfId="27062" xr:uid="{00000000-0005-0000-0000-0000B4A80000}"/>
    <cellStyle name="Normal 4 2 4 4 2 2 2 4 2 2" xfId="58933" xr:uid="{00000000-0005-0000-0000-0000B5A80000}"/>
    <cellStyle name="Normal 4 2 4 4 2 2 2 4 3" xfId="42940" xr:uid="{00000000-0005-0000-0000-0000B6A80000}"/>
    <cellStyle name="Normal 4 2 4 4 2 2 2 5" xfId="19184" xr:uid="{00000000-0005-0000-0000-0000B7A80000}"/>
    <cellStyle name="Normal 4 2 4 4 2 2 2 5 2" xfId="51055" xr:uid="{00000000-0005-0000-0000-0000B8A80000}"/>
    <cellStyle name="Normal 4 2 4 4 2 2 2 6" xfId="42933" xr:uid="{00000000-0005-0000-0000-0000B9A80000}"/>
    <cellStyle name="Normal 4 2 4 4 2 2 3" xfId="11062" xr:uid="{00000000-0005-0000-0000-0000BAA80000}"/>
    <cellStyle name="Normal 4 2 4 4 2 2 3 2" xfId="11063" xr:uid="{00000000-0005-0000-0000-0000BBA80000}"/>
    <cellStyle name="Normal 4 2 4 4 2 2 3 2 2" xfId="11064" xr:uid="{00000000-0005-0000-0000-0000BCA80000}"/>
    <cellStyle name="Normal 4 2 4 4 2 2 3 2 2 2" xfId="31003" xr:uid="{00000000-0005-0000-0000-0000BDA80000}"/>
    <cellStyle name="Normal 4 2 4 4 2 2 3 2 2 2 2" xfId="62874" xr:uid="{00000000-0005-0000-0000-0000BEA80000}"/>
    <cellStyle name="Normal 4 2 4 4 2 2 3 2 2 3" xfId="42943" xr:uid="{00000000-0005-0000-0000-0000BFA80000}"/>
    <cellStyle name="Normal 4 2 4 4 2 2 3 2 3" xfId="23125" xr:uid="{00000000-0005-0000-0000-0000C0A80000}"/>
    <cellStyle name="Normal 4 2 4 4 2 2 3 2 3 2" xfId="54996" xr:uid="{00000000-0005-0000-0000-0000C1A80000}"/>
    <cellStyle name="Normal 4 2 4 4 2 2 3 2 4" xfId="42942" xr:uid="{00000000-0005-0000-0000-0000C2A80000}"/>
    <cellStyle name="Normal 4 2 4 4 2 2 3 3" xfId="11065" xr:uid="{00000000-0005-0000-0000-0000C3A80000}"/>
    <cellStyle name="Normal 4 2 4 4 2 2 3 3 2" xfId="27064" xr:uid="{00000000-0005-0000-0000-0000C4A80000}"/>
    <cellStyle name="Normal 4 2 4 4 2 2 3 3 2 2" xfId="58935" xr:uid="{00000000-0005-0000-0000-0000C5A80000}"/>
    <cellStyle name="Normal 4 2 4 4 2 2 3 3 3" xfId="42944" xr:uid="{00000000-0005-0000-0000-0000C6A80000}"/>
    <cellStyle name="Normal 4 2 4 4 2 2 3 4" xfId="19186" xr:uid="{00000000-0005-0000-0000-0000C7A80000}"/>
    <cellStyle name="Normal 4 2 4 4 2 2 3 4 2" xfId="51057" xr:uid="{00000000-0005-0000-0000-0000C8A80000}"/>
    <cellStyle name="Normal 4 2 4 4 2 2 3 5" xfId="42941" xr:uid="{00000000-0005-0000-0000-0000C9A80000}"/>
    <cellStyle name="Normal 4 2 4 4 2 2 4" xfId="11066" xr:uid="{00000000-0005-0000-0000-0000CAA80000}"/>
    <cellStyle name="Normal 4 2 4 4 2 2 4 2" xfId="11067" xr:uid="{00000000-0005-0000-0000-0000CBA80000}"/>
    <cellStyle name="Normal 4 2 4 4 2 2 4 2 2" xfId="31000" xr:uid="{00000000-0005-0000-0000-0000CCA80000}"/>
    <cellStyle name="Normal 4 2 4 4 2 2 4 2 2 2" xfId="62871" xr:uid="{00000000-0005-0000-0000-0000CDA80000}"/>
    <cellStyle name="Normal 4 2 4 4 2 2 4 2 3" xfId="42946" xr:uid="{00000000-0005-0000-0000-0000CEA80000}"/>
    <cellStyle name="Normal 4 2 4 4 2 2 4 3" xfId="23122" xr:uid="{00000000-0005-0000-0000-0000CFA80000}"/>
    <cellStyle name="Normal 4 2 4 4 2 2 4 3 2" xfId="54993" xr:uid="{00000000-0005-0000-0000-0000D0A80000}"/>
    <cellStyle name="Normal 4 2 4 4 2 2 4 4" xfId="42945" xr:uid="{00000000-0005-0000-0000-0000D1A80000}"/>
    <cellStyle name="Normal 4 2 4 4 2 2 5" xfId="11068" xr:uid="{00000000-0005-0000-0000-0000D2A80000}"/>
    <cellStyle name="Normal 4 2 4 4 2 2 5 2" xfId="27061" xr:uid="{00000000-0005-0000-0000-0000D3A80000}"/>
    <cellStyle name="Normal 4 2 4 4 2 2 5 2 2" xfId="58932" xr:uid="{00000000-0005-0000-0000-0000D4A80000}"/>
    <cellStyle name="Normal 4 2 4 4 2 2 5 3" xfId="42947" xr:uid="{00000000-0005-0000-0000-0000D5A80000}"/>
    <cellStyle name="Normal 4 2 4 4 2 2 6" xfId="19183" xr:uid="{00000000-0005-0000-0000-0000D6A80000}"/>
    <cellStyle name="Normal 4 2 4 4 2 2 6 2" xfId="51054" xr:uid="{00000000-0005-0000-0000-0000D7A80000}"/>
    <cellStyle name="Normal 4 2 4 4 2 2 7" xfId="42932" xr:uid="{00000000-0005-0000-0000-0000D8A80000}"/>
    <cellStyle name="Normal 4 2 4 4 2 3" xfId="11069" xr:uid="{00000000-0005-0000-0000-0000D9A80000}"/>
    <cellStyle name="Normal 4 2 4 4 2 3 2" xfId="11070" xr:uid="{00000000-0005-0000-0000-0000DAA80000}"/>
    <cellStyle name="Normal 4 2 4 4 2 3 2 2" xfId="11071" xr:uid="{00000000-0005-0000-0000-0000DBA80000}"/>
    <cellStyle name="Normal 4 2 4 4 2 3 2 2 2" xfId="11072" xr:uid="{00000000-0005-0000-0000-0000DCA80000}"/>
    <cellStyle name="Normal 4 2 4 4 2 3 2 2 2 2" xfId="31005" xr:uid="{00000000-0005-0000-0000-0000DDA80000}"/>
    <cellStyle name="Normal 4 2 4 4 2 3 2 2 2 2 2" xfId="62876" xr:uid="{00000000-0005-0000-0000-0000DEA80000}"/>
    <cellStyle name="Normal 4 2 4 4 2 3 2 2 2 3" xfId="42951" xr:uid="{00000000-0005-0000-0000-0000DFA80000}"/>
    <cellStyle name="Normal 4 2 4 4 2 3 2 2 3" xfId="23127" xr:uid="{00000000-0005-0000-0000-0000E0A80000}"/>
    <cellStyle name="Normal 4 2 4 4 2 3 2 2 3 2" xfId="54998" xr:uid="{00000000-0005-0000-0000-0000E1A80000}"/>
    <cellStyle name="Normal 4 2 4 4 2 3 2 2 4" xfId="42950" xr:uid="{00000000-0005-0000-0000-0000E2A80000}"/>
    <cellStyle name="Normal 4 2 4 4 2 3 2 3" xfId="11073" xr:uid="{00000000-0005-0000-0000-0000E3A80000}"/>
    <cellStyle name="Normal 4 2 4 4 2 3 2 3 2" xfId="27066" xr:uid="{00000000-0005-0000-0000-0000E4A80000}"/>
    <cellStyle name="Normal 4 2 4 4 2 3 2 3 2 2" xfId="58937" xr:uid="{00000000-0005-0000-0000-0000E5A80000}"/>
    <cellStyle name="Normal 4 2 4 4 2 3 2 3 3" xfId="42952" xr:uid="{00000000-0005-0000-0000-0000E6A80000}"/>
    <cellStyle name="Normal 4 2 4 4 2 3 2 4" xfId="19188" xr:uid="{00000000-0005-0000-0000-0000E7A80000}"/>
    <cellStyle name="Normal 4 2 4 4 2 3 2 4 2" xfId="51059" xr:uid="{00000000-0005-0000-0000-0000E8A80000}"/>
    <cellStyle name="Normal 4 2 4 4 2 3 2 5" xfId="42949" xr:uid="{00000000-0005-0000-0000-0000E9A80000}"/>
    <cellStyle name="Normal 4 2 4 4 2 3 3" xfId="11074" xr:uid="{00000000-0005-0000-0000-0000EAA80000}"/>
    <cellStyle name="Normal 4 2 4 4 2 3 3 2" xfId="11075" xr:uid="{00000000-0005-0000-0000-0000EBA80000}"/>
    <cellStyle name="Normal 4 2 4 4 2 3 3 2 2" xfId="31004" xr:uid="{00000000-0005-0000-0000-0000ECA80000}"/>
    <cellStyle name="Normal 4 2 4 4 2 3 3 2 2 2" xfId="62875" xr:uid="{00000000-0005-0000-0000-0000EDA80000}"/>
    <cellStyle name="Normal 4 2 4 4 2 3 3 2 3" xfId="42954" xr:uid="{00000000-0005-0000-0000-0000EEA80000}"/>
    <cellStyle name="Normal 4 2 4 4 2 3 3 3" xfId="23126" xr:uid="{00000000-0005-0000-0000-0000EFA80000}"/>
    <cellStyle name="Normal 4 2 4 4 2 3 3 3 2" xfId="54997" xr:uid="{00000000-0005-0000-0000-0000F0A80000}"/>
    <cellStyle name="Normal 4 2 4 4 2 3 3 4" xfId="42953" xr:uid="{00000000-0005-0000-0000-0000F1A80000}"/>
    <cellStyle name="Normal 4 2 4 4 2 3 4" xfId="11076" xr:uid="{00000000-0005-0000-0000-0000F2A80000}"/>
    <cellStyle name="Normal 4 2 4 4 2 3 4 2" xfId="27065" xr:uid="{00000000-0005-0000-0000-0000F3A80000}"/>
    <cellStyle name="Normal 4 2 4 4 2 3 4 2 2" xfId="58936" xr:uid="{00000000-0005-0000-0000-0000F4A80000}"/>
    <cellStyle name="Normal 4 2 4 4 2 3 4 3" xfId="42955" xr:uid="{00000000-0005-0000-0000-0000F5A80000}"/>
    <cellStyle name="Normal 4 2 4 4 2 3 5" xfId="19187" xr:uid="{00000000-0005-0000-0000-0000F6A80000}"/>
    <cellStyle name="Normal 4 2 4 4 2 3 5 2" xfId="51058" xr:uid="{00000000-0005-0000-0000-0000F7A80000}"/>
    <cellStyle name="Normal 4 2 4 4 2 3 6" xfId="42948" xr:uid="{00000000-0005-0000-0000-0000F8A80000}"/>
    <cellStyle name="Normal 4 2 4 4 2 4" xfId="11077" xr:uid="{00000000-0005-0000-0000-0000F9A80000}"/>
    <cellStyle name="Normal 4 2 4 4 2 4 2" xfId="11078" xr:uid="{00000000-0005-0000-0000-0000FAA80000}"/>
    <cellStyle name="Normal 4 2 4 4 2 4 2 2" xfId="11079" xr:uid="{00000000-0005-0000-0000-0000FBA80000}"/>
    <cellStyle name="Normal 4 2 4 4 2 4 2 2 2" xfId="31006" xr:uid="{00000000-0005-0000-0000-0000FCA80000}"/>
    <cellStyle name="Normal 4 2 4 4 2 4 2 2 2 2" xfId="62877" xr:uid="{00000000-0005-0000-0000-0000FDA80000}"/>
    <cellStyle name="Normal 4 2 4 4 2 4 2 2 3" xfId="42958" xr:uid="{00000000-0005-0000-0000-0000FEA80000}"/>
    <cellStyle name="Normal 4 2 4 4 2 4 2 3" xfId="23128" xr:uid="{00000000-0005-0000-0000-0000FFA80000}"/>
    <cellStyle name="Normal 4 2 4 4 2 4 2 3 2" xfId="54999" xr:uid="{00000000-0005-0000-0000-000000A90000}"/>
    <cellStyle name="Normal 4 2 4 4 2 4 2 4" xfId="42957" xr:uid="{00000000-0005-0000-0000-000001A90000}"/>
    <cellStyle name="Normal 4 2 4 4 2 4 3" xfId="11080" xr:uid="{00000000-0005-0000-0000-000002A90000}"/>
    <cellStyle name="Normal 4 2 4 4 2 4 3 2" xfId="27067" xr:uid="{00000000-0005-0000-0000-000003A90000}"/>
    <cellStyle name="Normal 4 2 4 4 2 4 3 2 2" xfId="58938" xr:uid="{00000000-0005-0000-0000-000004A90000}"/>
    <cellStyle name="Normal 4 2 4 4 2 4 3 3" xfId="42959" xr:uid="{00000000-0005-0000-0000-000005A90000}"/>
    <cellStyle name="Normal 4 2 4 4 2 4 4" xfId="19189" xr:uid="{00000000-0005-0000-0000-000006A90000}"/>
    <cellStyle name="Normal 4 2 4 4 2 4 4 2" xfId="51060" xr:uid="{00000000-0005-0000-0000-000007A90000}"/>
    <cellStyle name="Normal 4 2 4 4 2 4 5" xfId="42956" xr:uid="{00000000-0005-0000-0000-000008A90000}"/>
    <cellStyle name="Normal 4 2 4 4 2 5" xfId="11081" xr:uid="{00000000-0005-0000-0000-000009A90000}"/>
    <cellStyle name="Normal 4 2 4 4 2 5 2" xfId="11082" xr:uid="{00000000-0005-0000-0000-00000AA90000}"/>
    <cellStyle name="Normal 4 2 4 4 2 5 2 2" xfId="30999" xr:uid="{00000000-0005-0000-0000-00000BA90000}"/>
    <cellStyle name="Normal 4 2 4 4 2 5 2 2 2" xfId="62870" xr:uid="{00000000-0005-0000-0000-00000CA90000}"/>
    <cellStyle name="Normal 4 2 4 4 2 5 2 3" xfId="42961" xr:uid="{00000000-0005-0000-0000-00000DA90000}"/>
    <cellStyle name="Normal 4 2 4 4 2 5 3" xfId="23121" xr:uid="{00000000-0005-0000-0000-00000EA90000}"/>
    <cellStyle name="Normal 4 2 4 4 2 5 3 2" xfId="54992" xr:uid="{00000000-0005-0000-0000-00000FA90000}"/>
    <cellStyle name="Normal 4 2 4 4 2 5 4" xfId="42960" xr:uid="{00000000-0005-0000-0000-000010A90000}"/>
    <cellStyle name="Normal 4 2 4 4 2 6" xfId="11083" xr:uid="{00000000-0005-0000-0000-000011A90000}"/>
    <cellStyle name="Normal 4 2 4 4 2 6 2" xfId="27060" xr:uid="{00000000-0005-0000-0000-000012A90000}"/>
    <cellStyle name="Normal 4 2 4 4 2 6 2 2" xfId="58931" xr:uid="{00000000-0005-0000-0000-000013A90000}"/>
    <cellStyle name="Normal 4 2 4 4 2 6 3" xfId="42962" xr:uid="{00000000-0005-0000-0000-000014A90000}"/>
    <cellStyle name="Normal 4 2 4 4 2 7" xfId="19182" xr:uid="{00000000-0005-0000-0000-000015A90000}"/>
    <cellStyle name="Normal 4 2 4 4 2 7 2" xfId="51053" xr:uid="{00000000-0005-0000-0000-000016A90000}"/>
    <cellStyle name="Normal 4 2 4 4 2 8" xfId="42931" xr:uid="{00000000-0005-0000-0000-000017A90000}"/>
    <cellStyle name="Normal 4 2 4 4 3" xfId="11084" xr:uid="{00000000-0005-0000-0000-000018A90000}"/>
    <cellStyle name="Normal 4 2 4 4 3 2" xfId="11085" xr:uid="{00000000-0005-0000-0000-000019A90000}"/>
    <cellStyle name="Normal 4 2 4 4 3 2 2" xfId="11086" xr:uid="{00000000-0005-0000-0000-00001AA90000}"/>
    <cellStyle name="Normal 4 2 4 4 3 2 2 2" xfId="11087" xr:uid="{00000000-0005-0000-0000-00001BA90000}"/>
    <cellStyle name="Normal 4 2 4 4 3 2 2 2 2" xfId="11088" xr:uid="{00000000-0005-0000-0000-00001CA90000}"/>
    <cellStyle name="Normal 4 2 4 4 3 2 2 2 2 2" xfId="31009" xr:uid="{00000000-0005-0000-0000-00001DA90000}"/>
    <cellStyle name="Normal 4 2 4 4 3 2 2 2 2 2 2" xfId="62880" xr:uid="{00000000-0005-0000-0000-00001EA90000}"/>
    <cellStyle name="Normal 4 2 4 4 3 2 2 2 2 3" xfId="42967" xr:uid="{00000000-0005-0000-0000-00001FA90000}"/>
    <cellStyle name="Normal 4 2 4 4 3 2 2 2 3" xfId="23131" xr:uid="{00000000-0005-0000-0000-000020A90000}"/>
    <cellStyle name="Normal 4 2 4 4 3 2 2 2 3 2" xfId="55002" xr:uid="{00000000-0005-0000-0000-000021A90000}"/>
    <cellStyle name="Normal 4 2 4 4 3 2 2 2 4" xfId="42966" xr:uid="{00000000-0005-0000-0000-000022A90000}"/>
    <cellStyle name="Normal 4 2 4 4 3 2 2 3" xfId="11089" xr:uid="{00000000-0005-0000-0000-000023A90000}"/>
    <cellStyle name="Normal 4 2 4 4 3 2 2 3 2" xfId="27070" xr:uid="{00000000-0005-0000-0000-000024A90000}"/>
    <cellStyle name="Normal 4 2 4 4 3 2 2 3 2 2" xfId="58941" xr:uid="{00000000-0005-0000-0000-000025A90000}"/>
    <cellStyle name="Normal 4 2 4 4 3 2 2 3 3" xfId="42968" xr:uid="{00000000-0005-0000-0000-000026A90000}"/>
    <cellStyle name="Normal 4 2 4 4 3 2 2 4" xfId="19192" xr:uid="{00000000-0005-0000-0000-000027A90000}"/>
    <cellStyle name="Normal 4 2 4 4 3 2 2 4 2" xfId="51063" xr:uid="{00000000-0005-0000-0000-000028A90000}"/>
    <cellStyle name="Normal 4 2 4 4 3 2 2 5" xfId="42965" xr:uid="{00000000-0005-0000-0000-000029A90000}"/>
    <cellStyle name="Normal 4 2 4 4 3 2 3" xfId="11090" xr:uid="{00000000-0005-0000-0000-00002AA90000}"/>
    <cellStyle name="Normal 4 2 4 4 3 2 3 2" xfId="11091" xr:uid="{00000000-0005-0000-0000-00002BA90000}"/>
    <cellStyle name="Normal 4 2 4 4 3 2 3 2 2" xfId="31008" xr:uid="{00000000-0005-0000-0000-00002CA90000}"/>
    <cellStyle name="Normal 4 2 4 4 3 2 3 2 2 2" xfId="62879" xr:uid="{00000000-0005-0000-0000-00002DA90000}"/>
    <cellStyle name="Normal 4 2 4 4 3 2 3 2 3" xfId="42970" xr:uid="{00000000-0005-0000-0000-00002EA90000}"/>
    <cellStyle name="Normal 4 2 4 4 3 2 3 3" xfId="23130" xr:uid="{00000000-0005-0000-0000-00002FA90000}"/>
    <cellStyle name="Normal 4 2 4 4 3 2 3 3 2" xfId="55001" xr:uid="{00000000-0005-0000-0000-000030A90000}"/>
    <cellStyle name="Normal 4 2 4 4 3 2 3 4" xfId="42969" xr:uid="{00000000-0005-0000-0000-000031A90000}"/>
    <cellStyle name="Normal 4 2 4 4 3 2 4" xfId="11092" xr:uid="{00000000-0005-0000-0000-000032A90000}"/>
    <cellStyle name="Normal 4 2 4 4 3 2 4 2" xfId="27069" xr:uid="{00000000-0005-0000-0000-000033A90000}"/>
    <cellStyle name="Normal 4 2 4 4 3 2 4 2 2" xfId="58940" xr:uid="{00000000-0005-0000-0000-000034A90000}"/>
    <cellStyle name="Normal 4 2 4 4 3 2 4 3" xfId="42971" xr:uid="{00000000-0005-0000-0000-000035A90000}"/>
    <cellStyle name="Normal 4 2 4 4 3 2 5" xfId="19191" xr:uid="{00000000-0005-0000-0000-000036A90000}"/>
    <cellStyle name="Normal 4 2 4 4 3 2 5 2" xfId="51062" xr:uid="{00000000-0005-0000-0000-000037A90000}"/>
    <cellStyle name="Normal 4 2 4 4 3 2 6" xfId="42964" xr:uid="{00000000-0005-0000-0000-000038A90000}"/>
    <cellStyle name="Normal 4 2 4 4 3 3" xfId="11093" xr:uid="{00000000-0005-0000-0000-000039A90000}"/>
    <cellStyle name="Normal 4 2 4 4 3 3 2" xfId="11094" xr:uid="{00000000-0005-0000-0000-00003AA90000}"/>
    <cellStyle name="Normal 4 2 4 4 3 3 2 2" xfId="11095" xr:uid="{00000000-0005-0000-0000-00003BA90000}"/>
    <cellStyle name="Normal 4 2 4 4 3 3 2 2 2" xfId="31010" xr:uid="{00000000-0005-0000-0000-00003CA90000}"/>
    <cellStyle name="Normal 4 2 4 4 3 3 2 2 2 2" xfId="62881" xr:uid="{00000000-0005-0000-0000-00003DA90000}"/>
    <cellStyle name="Normal 4 2 4 4 3 3 2 2 3" xfId="42974" xr:uid="{00000000-0005-0000-0000-00003EA90000}"/>
    <cellStyle name="Normal 4 2 4 4 3 3 2 3" xfId="23132" xr:uid="{00000000-0005-0000-0000-00003FA90000}"/>
    <cellStyle name="Normal 4 2 4 4 3 3 2 3 2" xfId="55003" xr:uid="{00000000-0005-0000-0000-000040A90000}"/>
    <cellStyle name="Normal 4 2 4 4 3 3 2 4" xfId="42973" xr:uid="{00000000-0005-0000-0000-000041A90000}"/>
    <cellStyle name="Normal 4 2 4 4 3 3 3" xfId="11096" xr:uid="{00000000-0005-0000-0000-000042A90000}"/>
    <cellStyle name="Normal 4 2 4 4 3 3 3 2" xfId="27071" xr:uid="{00000000-0005-0000-0000-000043A90000}"/>
    <cellStyle name="Normal 4 2 4 4 3 3 3 2 2" xfId="58942" xr:uid="{00000000-0005-0000-0000-000044A90000}"/>
    <cellStyle name="Normal 4 2 4 4 3 3 3 3" xfId="42975" xr:uid="{00000000-0005-0000-0000-000045A90000}"/>
    <cellStyle name="Normal 4 2 4 4 3 3 4" xfId="19193" xr:uid="{00000000-0005-0000-0000-000046A90000}"/>
    <cellStyle name="Normal 4 2 4 4 3 3 4 2" xfId="51064" xr:uid="{00000000-0005-0000-0000-000047A90000}"/>
    <cellStyle name="Normal 4 2 4 4 3 3 5" xfId="42972" xr:uid="{00000000-0005-0000-0000-000048A90000}"/>
    <cellStyle name="Normal 4 2 4 4 3 4" xfId="11097" xr:uid="{00000000-0005-0000-0000-000049A90000}"/>
    <cellStyle name="Normal 4 2 4 4 3 4 2" xfId="11098" xr:uid="{00000000-0005-0000-0000-00004AA90000}"/>
    <cellStyle name="Normal 4 2 4 4 3 4 2 2" xfId="31007" xr:uid="{00000000-0005-0000-0000-00004BA90000}"/>
    <cellStyle name="Normal 4 2 4 4 3 4 2 2 2" xfId="62878" xr:uid="{00000000-0005-0000-0000-00004CA90000}"/>
    <cellStyle name="Normal 4 2 4 4 3 4 2 3" xfId="42977" xr:uid="{00000000-0005-0000-0000-00004DA90000}"/>
    <cellStyle name="Normal 4 2 4 4 3 4 3" xfId="23129" xr:uid="{00000000-0005-0000-0000-00004EA90000}"/>
    <cellStyle name="Normal 4 2 4 4 3 4 3 2" xfId="55000" xr:uid="{00000000-0005-0000-0000-00004FA90000}"/>
    <cellStyle name="Normal 4 2 4 4 3 4 4" xfId="42976" xr:uid="{00000000-0005-0000-0000-000050A90000}"/>
    <cellStyle name="Normal 4 2 4 4 3 5" xfId="11099" xr:uid="{00000000-0005-0000-0000-000051A90000}"/>
    <cellStyle name="Normal 4 2 4 4 3 5 2" xfId="27068" xr:uid="{00000000-0005-0000-0000-000052A90000}"/>
    <cellStyle name="Normal 4 2 4 4 3 5 2 2" xfId="58939" xr:uid="{00000000-0005-0000-0000-000053A90000}"/>
    <cellStyle name="Normal 4 2 4 4 3 5 3" xfId="42978" xr:uid="{00000000-0005-0000-0000-000054A90000}"/>
    <cellStyle name="Normal 4 2 4 4 3 6" xfId="19190" xr:uid="{00000000-0005-0000-0000-000055A90000}"/>
    <cellStyle name="Normal 4 2 4 4 3 6 2" xfId="51061" xr:uid="{00000000-0005-0000-0000-000056A90000}"/>
    <cellStyle name="Normal 4 2 4 4 3 7" xfId="42963" xr:uid="{00000000-0005-0000-0000-000057A90000}"/>
    <cellStyle name="Normal 4 2 4 4 4" xfId="11100" xr:uid="{00000000-0005-0000-0000-000058A90000}"/>
    <cellStyle name="Normal 4 2 4 4 4 2" xfId="11101" xr:uid="{00000000-0005-0000-0000-000059A90000}"/>
    <cellStyle name="Normal 4 2 4 4 4 2 2" xfId="11102" xr:uid="{00000000-0005-0000-0000-00005AA90000}"/>
    <cellStyle name="Normal 4 2 4 4 4 2 2 2" xfId="11103" xr:uid="{00000000-0005-0000-0000-00005BA90000}"/>
    <cellStyle name="Normal 4 2 4 4 4 2 2 2 2" xfId="31012" xr:uid="{00000000-0005-0000-0000-00005CA90000}"/>
    <cellStyle name="Normal 4 2 4 4 4 2 2 2 2 2" xfId="62883" xr:uid="{00000000-0005-0000-0000-00005DA90000}"/>
    <cellStyle name="Normal 4 2 4 4 4 2 2 2 3" xfId="42982" xr:uid="{00000000-0005-0000-0000-00005EA90000}"/>
    <cellStyle name="Normal 4 2 4 4 4 2 2 3" xfId="23134" xr:uid="{00000000-0005-0000-0000-00005FA90000}"/>
    <cellStyle name="Normal 4 2 4 4 4 2 2 3 2" xfId="55005" xr:uid="{00000000-0005-0000-0000-000060A90000}"/>
    <cellStyle name="Normal 4 2 4 4 4 2 2 4" xfId="42981" xr:uid="{00000000-0005-0000-0000-000061A90000}"/>
    <cellStyle name="Normal 4 2 4 4 4 2 3" xfId="11104" xr:uid="{00000000-0005-0000-0000-000062A90000}"/>
    <cellStyle name="Normal 4 2 4 4 4 2 3 2" xfId="27073" xr:uid="{00000000-0005-0000-0000-000063A90000}"/>
    <cellStyle name="Normal 4 2 4 4 4 2 3 2 2" xfId="58944" xr:uid="{00000000-0005-0000-0000-000064A90000}"/>
    <cellStyle name="Normal 4 2 4 4 4 2 3 3" xfId="42983" xr:uid="{00000000-0005-0000-0000-000065A90000}"/>
    <cellStyle name="Normal 4 2 4 4 4 2 4" xfId="19195" xr:uid="{00000000-0005-0000-0000-000066A90000}"/>
    <cellStyle name="Normal 4 2 4 4 4 2 4 2" xfId="51066" xr:uid="{00000000-0005-0000-0000-000067A90000}"/>
    <cellStyle name="Normal 4 2 4 4 4 2 5" xfId="42980" xr:uid="{00000000-0005-0000-0000-000068A90000}"/>
    <cellStyle name="Normal 4 2 4 4 4 3" xfId="11105" xr:uid="{00000000-0005-0000-0000-000069A90000}"/>
    <cellStyle name="Normal 4 2 4 4 4 3 2" xfId="11106" xr:uid="{00000000-0005-0000-0000-00006AA90000}"/>
    <cellStyle name="Normal 4 2 4 4 4 3 2 2" xfId="31011" xr:uid="{00000000-0005-0000-0000-00006BA90000}"/>
    <cellStyle name="Normal 4 2 4 4 4 3 2 2 2" xfId="62882" xr:uid="{00000000-0005-0000-0000-00006CA90000}"/>
    <cellStyle name="Normal 4 2 4 4 4 3 2 3" xfId="42985" xr:uid="{00000000-0005-0000-0000-00006DA90000}"/>
    <cellStyle name="Normal 4 2 4 4 4 3 3" xfId="23133" xr:uid="{00000000-0005-0000-0000-00006EA90000}"/>
    <cellStyle name="Normal 4 2 4 4 4 3 3 2" xfId="55004" xr:uid="{00000000-0005-0000-0000-00006FA90000}"/>
    <cellStyle name="Normal 4 2 4 4 4 3 4" xfId="42984" xr:uid="{00000000-0005-0000-0000-000070A90000}"/>
    <cellStyle name="Normal 4 2 4 4 4 4" xfId="11107" xr:uid="{00000000-0005-0000-0000-000071A90000}"/>
    <cellStyle name="Normal 4 2 4 4 4 4 2" xfId="27072" xr:uid="{00000000-0005-0000-0000-000072A90000}"/>
    <cellStyle name="Normal 4 2 4 4 4 4 2 2" xfId="58943" xr:uid="{00000000-0005-0000-0000-000073A90000}"/>
    <cellStyle name="Normal 4 2 4 4 4 4 3" xfId="42986" xr:uid="{00000000-0005-0000-0000-000074A90000}"/>
    <cellStyle name="Normal 4 2 4 4 4 5" xfId="19194" xr:uid="{00000000-0005-0000-0000-000075A90000}"/>
    <cellStyle name="Normal 4 2 4 4 4 5 2" xfId="51065" xr:uid="{00000000-0005-0000-0000-000076A90000}"/>
    <cellStyle name="Normal 4 2 4 4 4 6" xfId="42979" xr:uid="{00000000-0005-0000-0000-000077A90000}"/>
    <cellStyle name="Normal 4 2 4 4 5" xfId="11108" xr:uid="{00000000-0005-0000-0000-000078A90000}"/>
    <cellStyle name="Normal 4 2 4 4 5 2" xfId="11109" xr:uid="{00000000-0005-0000-0000-000079A90000}"/>
    <cellStyle name="Normal 4 2 4 4 5 2 2" xfId="11110" xr:uid="{00000000-0005-0000-0000-00007AA90000}"/>
    <cellStyle name="Normal 4 2 4 4 5 2 2 2" xfId="31013" xr:uid="{00000000-0005-0000-0000-00007BA90000}"/>
    <cellStyle name="Normal 4 2 4 4 5 2 2 2 2" xfId="62884" xr:uid="{00000000-0005-0000-0000-00007CA90000}"/>
    <cellStyle name="Normal 4 2 4 4 5 2 2 3" xfId="42989" xr:uid="{00000000-0005-0000-0000-00007DA90000}"/>
    <cellStyle name="Normal 4 2 4 4 5 2 3" xfId="23135" xr:uid="{00000000-0005-0000-0000-00007EA90000}"/>
    <cellStyle name="Normal 4 2 4 4 5 2 3 2" xfId="55006" xr:uid="{00000000-0005-0000-0000-00007FA90000}"/>
    <cellStyle name="Normal 4 2 4 4 5 2 4" xfId="42988" xr:uid="{00000000-0005-0000-0000-000080A90000}"/>
    <cellStyle name="Normal 4 2 4 4 5 3" xfId="11111" xr:uid="{00000000-0005-0000-0000-000081A90000}"/>
    <cellStyle name="Normal 4 2 4 4 5 3 2" xfId="27074" xr:uid="{00000000-0005-0000-0000-000082A90000}"/>
    <cellStyle name="Normal 4 2 4 4 5 3 2 2" xfId="58945" xr:uid="{00000000-0005-0000-0000-000083A90000}"/>
    <cellStyle name="Normal 4 2 4 4 5 3 3" xfId="42990" xr:uid="{00000000-0005-0000-0000-000084A90000}"/>
    <cellStyle name="Normal 4 2 4 4 5 4" xfId="19196" xr:uid="{00000000-0005-0000-0000-000085A90000}"/>
    <cellStyle name="Normal 4 2 4 4 5 4 2" xfId="51067" xr:uid="{00000000-0005-0000-0000-000086A90000}"/>
    <cellStyle name="Normal 4 2 4 4 5 5" xfId="42987" xr:uid="{00000000-0005-0000-0000-000087A90000}"/>
    <cellStyle name="Normal 4 2 4 4 6" xfId="11112" xr:uid="{00000000-0005-0000-0000-000088A90000}"/>
    <cellStyle name="Normal 4 2 4 4 6 2" xfId="11113" xr:uid="{00000000-0005-0000-0000-000089A90000}"/>
    <cellStyle name="Normal 4 2 4 4 6 2 2" xfId="28417" xr:uid="{00000000-0005-0000-0000-00008AA90000}"/>
    <cellStyle name="Normal 4 2 4 4 6 2 2 2" xfId="60288" xr:uid="{00000000-0005-0000-0000-00008BA90000}"/>
    <cellStyle name="Normal 4 2 4 4 6 2 3" xfId="42992" xr:uid="{00000000-0005-0000-0000-00008CA90000}"/>
    <cellStyle name="Normal 4 2 4 4 6 3" xfId="20539" xr:uid="{00000000-0005-0000-0000-00008DA90000}"/>
    <cellStyle name="Normal 4 2 4 4 6 3 2" xfId="52410" xr:uid="{00000000-0005-0000-0000-00008EA90000}"/>
    <cellStyle name="Normal 4 2 4 4 6 4" xfId="42991" xr:uid="{00000000-0005-0000-0000-00008FA90000}"/>
    <cellStyle name="Normal 4 2 4 4 7" xfId="11114" xr:uid="{00000000-0005-0000-0000-000090A90000}"/>
    <cellStyle name="Normal 4 2 4 4 7 2" xfId="24478" xr:uid="{00000000-0005-0000-0000-000091A90000}"/>
    <cellStyle name="Normal 4 2 4 4 7 2 2" xfId="56349" xr:uid="{00000000-0005-0000-0000-000092A90000}"/>
    <cellStyle name="Normal 4 2 4 4 7 3" xfId="42993" xr:uid="{00000000-0005-0000-0000-000093A90000}"/>
    <cellStyle name="Normal 4 2 4 4 8" xfId="16600" xr:uid="{00000000-0005-0000-0000-000094A90000}"/>
    <cellStyle name="Normal 4 2 4 4 8 2" xfId="48471" xr:uid="{00000000-0005-0000-0000-000095A90000}"/>
    <cellStyle name="Normal 4 2 4 4 9" xfId="42930" xr:uid="{00000000-0005-0000-0000-000096A90000}"/>
    <cellStyle name="Normal 4 2 4 5" xfId="11115" xr:uid="{00000000-0005-0000-0000-000097A90000}"/>
    <cellStyle name="Normal 4 2 4 5 2" xfId="11116" xr:uid="{00000000-0005-0000-0000-000098A90000}"/>
    <cellStyle name="Normal 4 2 4 5 2 2" xfId="11117" xr:uid="{00000000-0005-0000-0000-000099A90000}"/>
    <cellStyle name="Normal 4 2 4 5 2 2 2" xfId="11118" xr:uid="{00000000-0005-0000-0000-00009AA90000}"/>
    <cellStyle name="Normal 4 2 4 5 2 2 2 2" xfId="11119" xr:uid="{00000000-0005-0000-0000-00009BA90000}"/>
    <cellStyle name="Normal 4 2 4 5 2 2 2 2 2" xfId="11120" xr:uid="{00000000-0005-0000-0000-00009CA90000}"/>
    <cellStyle name="Normal 4 2 4 5 2 2 2 2 2 2" xfId="31016" xr:uid="{00000000-0005-0000-0000-00009DA90000}"/>
    <cellStyle name="Normal 4 2 4 5 2 2 2 2 2 2 2" xfId="62887" xr:uid="{00000000-0005-0000-0000-00009EA90000}"/>
    <cellStyle name="Normal 4 2 4 5 2 2 2 2 2 3" xfId="42999" xr:uid="{00000000-0005-0000-0000-00009FA90000}"/>
    <cellStyle name="Normal 4 2 4 5 2 2 2 2 3" xfId="23138" xr:uid="{00000000-0005-0000-0000-0000A0A90000}"/>
    <cellStyle name="Normal 4 2 4 5 2 2 2 2 3 2" xfId="55009" xr:uid="{00000000-0005-0000-0000-0000A1A90000}"/>
    <cellStyle name="Normal 4 2 4 5 2 2 2 2 4" xfId="42998" xr:uid="{00000000-0005-0000-0000-0000A2A90000}"/>
    <cellStyle name="Normal 4 2 4 5 2 2 2 3" xfId="11121" xr:uid="{00000000-0005-0000-0000-0000A3A90000}"/>
    <cellStyle name="Normal 4 2 4 5 2 2 2 3 2" xfId="27077" xr:uid="{00000000-0005-0000-0000-0000A4A90000}"/>
    <cellStyle name="Normal 4 2 4 5 2 2 2 3 2 2" xfId="58948" xr:uid="{00000000-0005-0000-0000-0000A5A90000}"/>
    <cellStyle name="Normal 4 2 4 5 2 2 2 3 3" xfId="43000" xr:uid="{00000000-0005-0000-0000-0000A6A90000}"/>
    <cellStyle name="Normal 4 2 4 5 2 2 2 4" xfId="19199" xr:uid="{00000000-0005-0000-0000-0000A7A90000}"/>
    <cellStyle name="Normal 4 2 4 5 2 2 2 4 2" xfId="51070" xr:uid="{00000000-0005-0000-0000-0000A8A90000}"/>
    <cellStyle name="Normal 4 2 4 5 2 2 2 5" xfId="42997" xr:uid="{00000000-0005-0000-0000-0000A9A90000}"/>
    <cellStyle name="Normal 4 2 4 5 2 2 3" xfId="11122" xr:uid="{00000000-0005-0000-0000-0000AAA90000}"/>
    <cellStyle name="Normal 4 2 4 5 2 2 3 2" xfId="11123" xr:uid="{00000000-0005-0000-0000-0000ABA90000}"/>
    <cellStyle name="Normal 4 2 4 5 2 2 3 2 2" xfId="31015" xr:uid="{00000000-0005-0000-0000-0000ACA90000}"/>
    <cellStyle name="Normal 4 2 4 5 2 2 3 2 2 2" xfId="62886" xr:uid="{00000000-0005-0000-0000-0000ADA90000}"/>
    <cellStyle name="Normal 4 2 4 5 2 2 3 2 3" xfId="43002" xr:uid="{00000000-0005-0000-0000-0000AEA90000}"/>
    <cellStyle name="Normal 4 2 4 5 2 2 3 3" xfId="23137" xr:uid="{00000000-0005-0000-0000-0000AFA90000}"/>
    <cellStyle name="Normal 4 2 4 5 2 2 3 3 2" xfId="55008" xr:uid="{00000000-0005-0000-0000-0000B0A90000}"/>
    <cellStyle name="Normal 4 2 4 5 2 2 3 4" xfId="43001" xr:uid="{00000000-0005-0000-0000-0000B1A90000}"/>
    <cellStyle name="Normal 4 2 4 5 2 2 4" xfId="11124" xr:uid="{00000000-0005-0000-0000-0000B2A90000}"/>
    <cellStyle name="Normal 4 2 4 5 2 2 4 2" xfId="27076" xr:uid="{00000000-0005-0000-0000-0000B3A90000}"/>
    <cellStyle name="Normal 4 2 4 5 2 2 4 2 2" xfId="58947" xr:uid="{00000000-0005-0000-0000-0000B4A90000}"/>
    <cellStyle name="Normal 4 2 4 5 2 2 4 3" xfId="43003" xr:uid="{00000000-0005-0000-0000-0000B5A90000}"/>
    <cellStyle name="Normal 4 2 4 5 2 2 5" xfId="19198" xr:uid="{00000000-0005-0000-0000-0000B6A90000}"/>
    <cellStyle name="Normal 4 2 4 5 2 2 5 2" xfId="51069" xr:uid="{00000000-0005-0000-0000-0000B7A90000}"/>
    <cellStyle name="Normal 4 2 4 5 2 2 6" xfId="42996" xr:uid="{00000000-0005-0000-0000-0000B8A90000}"/>
    <cellStyle name="Normal 4 2 4 5 2 3" xfId="11125" xr:uid="{00000000-0005-0000-0000-0000B9A90000}"/>
    <cellStyle name="Normal 4 2 4 5 2 3 2" xfId="11126" xr:uid="{00000000-0005-0000-0000-0000BAA90000}"/>
    <cellStyle name="Normal 4 2 4 5 2 3 2 2" xfId="11127" xr:uid="{00000000-0005-0000-0000-0000BBA90000}"/>
    <cellStyle name="Normal 4 2 4 5 2 3 2 2 2" xfId="31017" xr:uid="{00000000-0005-0000-0000-0000BCA90000}"/>
    <cellStyle name="Normal 4 2 4 5 2 3 2 2 2 2" xfId="62888" xr:uid="{00000000-0005-0000-0000-0000BDA90000}"/>
    <cellStyle name="Normal 4 2 4 5 2 3 2 2 3" xfId="43006" xr:uid="{00000000-0005-0000-0000-0000BEA90000}"/>
    <cellStyle name="Normal 4 2 4 5 2 3 2 3" xfId="23139" xr:uid="{00000000-0005-0000-0000-0000BFA90000}"/>
    <cellStyle name="Normal 4 2 4 5 2 3 2 3 2" xfId="55010" xr:uid="{00000000-0005-0000-0000-0000C0A90000}"/>
    <cellStyle name="Normal 4 2 4 5 2 3 2 4" xfId="43005" xr:uid="{00000000-0005-0000-0000-0000C1A90000}"/>
    <cellStyle name="Normal 4 2 4 5 2 3 3" xfId="11128" xr:uid="{00000000-0005-0000-0000-0000C2A90000}"/>
    <cellStyle name="Normal 4 2 4 5 2 3 3 2" xfId="27078" xr:uid="{00000000-0005-0000-0000-0000C3A90000}"/>
    <cellStyle name="Normal 4 2 4 5 2 3 3 2 2" xfId="58949" xr:uid="{00000000-0005-0000-0000-0000C4A90000}"/>
    <cellStyle name="Normal 4 2 4 5 2 3 3 3" xfId="43007" xr:uid="{00000000-0005-0000-0000-0000C5A90000}"/>
    <cellStyle name="Normal 4 2 4 5 2 3 4" xfId="19200" xr:uid="{00000000-0005-0000-0000-0000C6A90000}"/>
    <cellStyle name="Normal 4 2 4 5 2 3 4 2" xfId="51071" xr:uid="{00000000-0005-0000-0000-0000C7A90000}"/>
    <cellStyle name="Normal 4 2 4 5 2 3 5" xfId="43004" xr:uid="{00000000-0005-0000-0000-0000C8A90000}"/>
    <cellStyle name="Normal 4 2 4 5 2 4" xfId="11129" xr:uid="{00000000-0005-0000-0000-0000C9A90000}"/>
    <cellStyle name="Normal 4 2 4 5 2 4 2" xfId="11130" xr:uid="{00000000-0005-0000-0000-0000CAA90000}"/>
    <cellStyle name="Normal 4 2 4 5 2 4 2 2" xfId="31014" xr:uid="{00000000-0005-0000-0000-0000CBA90000}"/>
    <cellStyle name="Normal 4 2 4 5 2 4 2 2 2" xfId="62885" xr:uid="{00000000-0005-0000-0000-0000CCA90000}"/>
    <cellStyle name="Normal 4 2 4 5 2 4 2 3" xfId="43009" xr:uid="{00000000-0005-0000-0000-0000CDA90000}"/>
    <cellStyle name="Normal 4 2 4 5 2 4 3" xfId="23136" xr:uid="{00000000-0005-0000-0000-0000CEA90000}"/>
    <cellStyle name="Normal 4 2 4 5 2 4 3 2" xfId="55007" xr:uid="{00000000-0005-0000-0000-0000CFA90000}"/>
    <cellStyle name="Normal 4 2 4 5 2 4 4" xfId="43008" xr:uid="{00000000-0005-0000-0000-0000D0A90000}"/>
    <cellStyle name="Normal 4 2 4 5 2 5" xfId="11131" xr:uid="{00000000-0005-0000-0000-0000D1A90000}"/>
    <cellStyle name="Normal 4 2 4 5 2 5 2" xfId="27075" xr:uid="{00000000-0005-0000-0000-0000D2A90000}"/>
    <cellStyle name="Normal 4 2 4 5 2 5 2 2" xfId="58946" xr:uid="{00000000-0005-0000-0000-0000D3A90000}"/>
    <cellStyle name="Normal 4 2 4 5 2 5 3" xfId="43010" xr:uid="{00000000-0005-0000-0000-0000D4A90000}"/>
    <cellStyle name="Normal 4 2 4 5 2 6" xfId="19197" xr:uid="{00000000-0005-0000-0000-0000D5A90000}"/>
    <cellStyle name="Normal 4 2 4 5 2 6 2" xfId="51068" xr:uid="{00000000-0005-0000-0000-0000D6A90000}"/>
    <cellStyle name="Normal 4 2 4 5 2 7" xfId="42995" xr:uid="{00000000-0005-0000-0000-0000D7A90000}"/>
    <cellStyle name="Normal 4 2 4 5 3" xfId="11132" xr:uid="{00000000-0005-0000-0000-0000D8A90000}"/>
    <cellStyle name="Normal 4 2 4 5 3 2" xfId="11133" xr:uid="{00000000-0005-0000-0000-0000D9A90000}"/>
    <cellStyle name="Normal 4 2 4 5 3 2 2" xfId="11134" xr:uid="{00000000-0005-0000-0000-0000DAA90000}"/>
    <cellStyle name="Normal 4 2 4 5 3 2 2 2" xfId="11135" xr:uid="{00000000-0005-0000-0000-0000DBA90000}"/>
    <cellStyle name="Normal 4 2 4 5 3 2 2 2 2" xfId="31019" xr:uid="{00000000-0005-0000-0000-0000DCA90000}"/>
    <cellStyle name="Normal 4 2 4 5 3 2 2 2 2 2" xfId="62890" xr:uid="{00000000-0005-0000-0000-0000DDA90000}"/>
    <cellStyle name="Normal 4 2 4 5 3 2 2 2 3" xfId="43014" xr:uid="{00000000-0005-0000-0000-0000DEA90000}"/>
    <cellStyle name="Normal 4 2 4 5 3 2 2 3" xfId="23141" xr:uid="{00000000-0005-0000-0000-0000DFA90000}"/>
    <cellStyle name="Normal 4 2 4 5 3 2 2 3 2" xfId="55012" xr:uid="{00000000-0005-0000-0000-0000E0A90000}"/>
    <cellStyle name="Normal 4 2 4 5 3 2 2 4" xfId="43013" xr:uid="{00000000-0005-0000-0000-0000E1A90000}"/>
    <cellStyle name="Normal 4 2 4 5 3 2 3" xfId="11136" xr:uid="{00000000-0005-0000-0000-0000E2A90000}"/>
    <cellStyle name="Normal 4 2 4 5 3 2 3 2" xfId="27080" xr:uid="{00000000-0005-0000-0000-0000E3A90000}"/>
    <cellStyle name="Normal 4 2 4 5 3 2 3 2 2" xfId="58951" xr:uid="{00000000-0005-0000-0000-0000E4A90000}"/>
    <cellStyle name="Normal 4 2 4 5 3 2 3 3" xfId="43015" xr:uid="{00000000-0005-0000-0000-0000E5A90000}"/>
    <cellStyle name="Normal 4 2 4 5 3 2 4" xfId="19202" xr:uid="{00000000-0005-0000-0000-0000E6A90000}"/>
    <cellStyle name="Normal 4 2 4 5 3 2 4 2" xfId="51073" xr:uid="{00000000-0005-0000-0000-0000E7A90000}"/>
    <cellStyle name="Normal 4 2 4 5 3 2 5" xfId="43012" xr:uid="{00000000-0005-0000-0000-0000E8A90000}"/>
    <cellStyle name="Normal 4 2 4 5 3 3" xfId="11137" xr:uid="{00000000-0005-0000-0000-0000E9A90000}"/>
    <cellStyle name="Normal 4 2 4 5 3 3 2" xfId="11138" xr:uid="{00000000-0005-0000-0000-0000EAA90000}"/>
    <cellStyle name="Normal 4 2 4 5 3 3 2 2" xfId="31018" xr:uid="{00000000-0005-0000-0000-0000EBA90000}"/>
    <cellStyle name="Normal 4 2 4 5 3 3 2 2 2" xfId="62889" xr:uid="{00000000-0005-0000-0000-0000ECA90000}"/>
    <cellStyle name="Normal 4 2 4 5 3 3 2 3" xfId="43017" xr:uid="{00000000-0005-0000-0000-0000EDA90000}"/>
    <cellStyle name="Normal 4 2 4 5 3 3 3" xfId="23140" xr:uid="{00000000-0005-0000-0000-0000EEA90000}"/>
    <cellStyle name="Normal 4 2 4 5 3 3 3 2" xfId="55011" xr:uid="{00000000-0005-0000-0000-0000EFA90000}"/>
    <cellStyle name="Normal 4 2 4 5 3 3 4" xfId="43016" xr:uid="{00000000-0005-0000-0000-0000F0A90000}"/>
    <cellStyle name="Normal 4 2 4 5 3 4" xfId="11139" xr:uid="{00000000-0005-0000-0000-0000F1A90000}"/>
    <cellStyle name="Normal 4 2 4 5 3 4 2" xfId="27079" xr:uid="{00000000-0005-0000-0000-0000F2A90000}"/>
    <cellStyle name="Normal 4 2 4 5 3 4 2 2" xfId="58950" xr:uid="{00000000-0005-0000-0000-0000F3A90000}"/>
    <cellStyle name="Normal 4 2 4 5 3 4 3" xfId="43018" xr:uid="{00000000-0005-0000-0000-0000F4A90000}"/>
    <cellStyle name="Normal 4 2 4 5 3 5" xfId="19201" xr:uid="{00000000-0005-0000-0000-0000F5A90000}"/>
    <cellStyle name="Normal 4 2 4 5 3 5 2" xfId="51072" xr:uid="{00000000-0005-0000-0000-0000F6A90000}"/>
    <cellStyle name="Normal 4 2 4 5 3 6" xfId="43011" xr:uid="{00000000-0005-0000-0000-0000F7A90000}"/>
    <cellStyle name="Normal 4 2 4 5 4" xfId="11140" xr:uid="{00000000-0005-0000-0000-0000F8A90000}"/>
    <cellStyle name="Normal 4 2 4 5 4 2" xfId="11141" xr:uid="{00000000-0005-0000-0000-0000F9A90000}"/>
    <cellStyle name="Normal 4 2 4 5 4 2 2" xfId="11142" xr:uid="{00000000-0005-0000-0000-0000FAA90000}"/>
    <cellStyle name="Normal 4 2 4 5 4 2 2 2" xfId="31020" xr:uid="{00000000-0005-0000-0000-0000FBA90000}"/>
    <cellStyle name="Normal 4 2 4 5 4 2 2 2 2" xfId="62891" xr:uid="{00000000-0005-0000-0000-0000FCA90000}"/>
    <cellStyle name="Normal 4 2 4 5 4 2 2 3" xfId="43021" xr:uid="{00000000-0005-0000-0000-0000FDA90000}"/>
    <cellStyle name="Normal 4 2 4 5 4 2 3" xfId="23142" xr:uid="{00000000-0005-0000-0000-0000FEA90000}"/>
    <cellStyle name="Normal 4 2 4 5 4 2 3 2" xfId="55013" xr:uid="{00000000-0005-0000-0000-0000FFA90000}"/>
    <cellStyle name="Normal 4 2 4 5 4 2 4" xfId="43020" xr:uid="{00000000-0005-0000-0000-000000AA0000}"/>
    <cellStyle name="Normal 4 2 4 5 4 3" xfId="11143" xr:uid="{00000000-0005-0000-0000-000001AA0000}"/>
    <cellStyle name="Normal 4 2 4 5 4 3 2" xfId="27081" xr:uid="{00000000-0005-0000-0000-000002AA0000}"/>
    <cellStyle name="Normal 4 2 4 5 4 3 2 2" xfId="58952" xr:uid="{00000000-0005-0000-0000-000003AA0000}"/>
    <cellStyle name="Normal 4 2 4 5 4 3 3" xfId="43022" xr:uid="{00000000-0005-0000-0000-000004AA0000}"/>
    <cellStyle name="Normal 4 2 4 5 4 4" xfId="19203" xr:uid="{00000000-0005-0000-0000-000005AA0000}"/>
    <cellStyle name="Normal 4 2 4 5 4 4 2" xfId="51074" xr:uid="{00000000-0005-0000-0000-000006AA0000}"/>
    <cellStyle name="Normal 4 2 4 5 4 5" xfId="43019" xr:uid="{00000000-0005-0000-0000-000007AA0000}"/>
    <cellStyle name="Normal 4 2 4 5 5" xfId="11144" xr:uid="{00000000-0005-0000-0000-000008AA0000}"/>
    <cellStyle name="Normal 4 2 4 5 5 2" xfId="11145" xr:uid="{00000000-0005-0000-0000-000009AA0000}"/>
    <cellStyle name="Normal 4 2 4 5 5 2 2" xfId="28294" xr:uid="{00000000-0005-0000-0000-00000AAA0000}"/>
    <cellStyle name="Normal 4 2 4 5 5 2 2 2" xfId="60165" xr:uid="{00000000-0005-0000-0000-00000BAA0000}"/>
    <cellStyle name="Normal 4 2 4 5 5 2 3" xfId="43024" xr:uid="{00000000-0005-0000-0000-00000CAA0000}"/>
    <cellStyle name="Normal 4 2 4 5 5 3" xfId="20416" xr:uid="{00000000-0005-0000-0000-00000DAA0000}"/>
    <cellStyle name="Normal 4 2 4 5 5 3 2" xfId="52287" xr:uid="{00000000-0005-0000-0000-00000EAA0000}"/>
    <cellStyle name="Normal 4 2 4 5 5 4" xfId="43023" xr:uid="{00000000-0005-0000-0000-00000FAA0000}"/>
    <cellStyle name="Normal 4 2 4 5 6" xfId="11146" xr:uid="{00000000-0005-0000-0000-000010AA0000}"/>
    <cellStyle name="Normal 4 2 4 5 6 2" xfId="24355" xr:uid="{00000000-0005-0000-0000-000011AA0000}"/>
    <cellStyle name="Normal 4 2 4 5 6 2 2" xfId="56226" xr:uid="{00000000-0005-0000-0000-000012AA0000}"/>
    <cellStyle name="Normal 4 2 4 5 6 3" xfId="43025" xr:uid="{00000000-0005-0000-0000-000013AA0000}"/>
    <cellStyle name="Normal 4 2 4 5 7" xfId="16477" xr:uid="{00000000-0005-0000-0000-000014AA0000}"/>
    <cellStyle name="Normal 4 2 4 5 7 2" xfId="48348" xr:uid="{00000000-0005-0000-0000-000015AA0000}"/>
    <cellStyle name="Normal 4 2 4 5 8" xfId="42994" xr:uid="{00000000-0005-0000-0000-000016AA0000}"/>
    <cellStyle name="Normal 4 2 4 6" xfId="11147" xr:uid="{00000000-0005-0000-0000-000017AA0000}"/>
    <cellStyle name="Normal 4 2 4 6 2" xfId="11148" xr:uid="{00000000-0005-0000-0000-000018AA0000}"/>
    <cellStyle name="Normal 4 2 4 6 2 2" xfId="11149" xr:uid="{00000000-0005-0000-0000-000019AA0000}"/>
    <cellStyle name="Normal 4 2 4 6 2 2 2" xfId="11150" xr:uid="{00000000-0005-0000-0000-00001AAA0000}"/>
    <cellStyle name="Normal 4 2 4 6 2 2 2 2" xfId="11151" xr:uid="{00000000-0005-0000-0000-00001BAA0000}"/>
    <cellStyle name="Normal 4 2 4 6 2 2 2 2 2" xfId="31023" xr:uid="{00000000-0005-0000-0000-00001CAA0000}"/>
    <cellStyle name="Normal 4 2 4 6 2 2 2 2 2 2" xfId="62894" xr:uid="{00000000-0005-0000-0000-00001DAA0000}"/>
    <cellStyle name="Normal 4 2 4 6 2 2 2 2 3" xfId="43030" xr:uid="{00000000-0005-0000-0000-00001EAA0000}"/>
    <cellStyle name="Normal 4 2 4 6 2 2 2 3" xfId="23145" xr:uid="{00000000-0005-0000-0000-00001FAA0000}"/>
    <cellStyle name="Normal 4 2 4 6 2 2 2 3 2" xfId="55016" xr:uid="{00000000-0005-0000-0000-000020AA0000}"/>
    <cellStyle name="Normal 4 2 4 6 2 2 2 4" xfId="43029" xr:uid="{00000000-0005-0000-0000-000021AA0000}"/>
    <cellStyle name="Normal 4 2 4 6 2 2 3" xfId="11152" xr:uid="{00000000-0005-0000-0000-000022AA0000}"/>
    <cellStyle name="Normal 4 2 4 6 2 2 3 2" xfId="27084" xr:uid="{00000000-0005-0000-0000-000023AA0000}"/>
    <cellStyle name="Normal 4 2 4 6 2 2 3 2 2" xfId="58955" xr:uid="{00000000-0005-0000-0000-000024AA0000}"/>
    <cellStyle name="Normal 4 2 4 6 2 2 3 3" xfId="43031" xr:uid="{00000000-0005-0000-0000-000025AA0000}"/>
    <cellStyle name="Normal 4 2 4 6 2 2 4" xfId="19206" xr:uid="{00000000-0005-0000-0000-000026AA0000}"/>
    <cellStyle name="Normal 4 2 4 6 2 2 4 2" xfId="51077" xr:uid="{00000000-0005-0000-0000-000027AA0000}"/>
    <cellStyle name="Normal 4 2 4 6 2 2 5" xfId="43028" xr:uid="{00000000-0005-0000-0000-000028AA0000}"/>
    <cellStyle name="Normal 4 2 4 6 2 3" xfId="11153" xr:uid="{00000000-0005-0000-0000-000029AA0000}"/>
    <cellStyle name="Normal 4 2 4 6 2 3 2" xfId="11154" xr:uid="{00000000-0005-0000-0000-00002AAA0000}"/>
    <cellStyle name="Normal 4 2 4 6 2 3 2 2" xfId="31022" xr:uid="{00000000-0005-0000-0000-00002BAA0000}"/>
    <cellStyle name="Normal 4 2 4 6 2 3 2 2 2" xfId="62893" xr:uid="{00000000-0005-0000-0000-00002CAA0000}"/>
    <cellStyle name="Normal 4 2 4 6 2 3 2 3" xfId="43033" xr:uid="{00000000-0005-0000-0000-00002DAA0000}"/>
    <cellStyle name="Normal 4 2 4 6 2 3 3" xfId="23144" xr:uid="{00000000-0005-0000-0000-00002EAA0000}"/>
    <cellStyle name="Normal 4 2 4 6 2 3 3 2" xfId="55015" xr:uid="{00000000-0005-0000-0000-00002FAA0000}"/>
    <cellStyle name="Normal 4 2 4 6 2 3 4" xfId="43032" xr:uid="{00000000-0005-0000-0000-000030AA0000}"/>
    <cellStyle name="Normal 4 2 4 6 2 4" xfId="11155" xr:uid="{00000000-0005-0000-0000-000031AA0000}"/>
    <cellStyle name="Normal 4 2 4 6 2 4 2" xfId="27083" xr:uid="{00000000-0005-0000-0000-000032AA0000}"/>
    <cellStyle name="Normal 4 2 4 6 2 4 2 2" xfId="58954" xr:uid="{00000000-0005-0000-0000-000033AA0000}"/>
    <cellStyle name="Normal 4 2 4 6 2 4 3" xfId="43034" xr:uid="{00000000-0005-0000-0000-000034AA0000}"/>
    <cellStyle name="Normal 4 2 4 6 2 5" xfId="19205" xr:uid="{00000000-0005-0000-0000-000035AA0000}"/>
    <cellStyle name="Normal 4 2 4 6 2 5 2" xfId="51076" xr:uid="{00000000-0005-0000-0000-000036AA0000}"/>
    <cellStyle name="Normal 4 2 4 6 2 6" xfId="43027" xr:uid="{00000000-0005-0000-0000-000037AA0000}"/>
    <cellStyle name="Normal 4 2 4 6 3" xfId="11156" xr:uid="{00000000-0005-0000-0000-000038AA0000}"/>
    <cellStyle name="Normal 4 2 4 6 3 2" xfId="11157" xr:uid="{00000000-0005-0000-0000-000039AA0000}"/>
    <cellStyle name="Normal 4 2 4 6 3 2 2" xfId="11158" xr:uid="{00000000-0005-0000-0000-00003AAA0000}"/>
    <cellStyle name="Normal 4 2 4 6 3 2 2 2" xfId="31024" xr:uid="{00000000-0005-0000-0000-00003BAA0000}"/>
    <cellStyle name="Normal 4 2 4 6 3 2 2 2 2" xfId="62895" xr:uid="{00000000-0005-0000-0000-00003CAA0000}"/>
    <cellStyle name="Normal 4 2 4 6 3 2 2 3" xfId="43037" xr:uid="{00000000-0005-0000-0000-00003DAA0000}"/>
    <cellStyle name="Normal 4 2 4 6 3 2 3" xfId="23146" xr:uid="{00000000-0005-0000-0000-00003EAA0000}"/>
    <cellStyle name="Normal 4 2 4 6 3 2 3 2" xfId="55017" xr:uid="{00000000-0005-0000-0000-00003FAA0000}"/>
    <cellStyle name="Normal 4 2 4 6 3 2 4" xfId="43036" xr:uid="{00000000-0005-0000-0000-000040AA0000}"/>
    <cellStyle name="Normal 4 2 4 6 3 3" xfId="11159" xr:uid="{00000000-0005-0000-0000-000041AA0000}"/>
    <cellStyle name="Normal 4 2 4 6 3 3 2" xfId="27085" xr:uid="{00000000-0005-0000-0000-000042AA0000}"/>
    <cellStyle name="Normal 4 2 4 6 3 3 2 2" xfId="58956" xr:uid="{00000000-0005-0000-0000-000043AA0000}"/>
    <cellStyle name="Normal 4 2 4 6 3 3 3" xfId="43038" xr:uid="{00000000-0005-0000-0000-000044AA0000}"/>
    <cellStyle name="Normal 4 2 4 6 3 4" xfId="19207" xr:uid="{00000000-0005-0000-0000-000045AA0000}"/>
    <cellStyle name="Normal 4 2 4 6 3 4 2" xfId="51078" xr:uid="{00000000-0005-0000-0000-000046AA0000}"/>
    <cellStyle name="Normal 4 2 4 6 3 5" xfId="43035" xr:uid="{00000000-0005-0000-0000-000047AA0000}"/>
    <cellStyle name="Normal 4 2 4 6 4" xfId="11160" xr:uid="{00000000-0005-0000-0000-000048AA0000}"/>
    <cellStyle name="Normal 4 2 4 6 4 2" xfId="11161" xr:uid="{00000000-0005-0000-0000-000049AA0000}"/>
    <cellStyle name="Normal 4 2 4 6 4 2 2" xfId="31021" xr:uid="{00000000-0005-0000-0000-00004AAA0000}"/>
    <cellStyle name="Normal 4 2 4 6 4 2 2 2" xfId="62892" xr:uid="{00000000-0005-0000-0000-00004BAA0000}"/>
    <cellStyle name="Normal 4 2 4 6 4 2 3" xfId="43040" xr:uid="{00000000-0005-0000-0000-00004CAA0000}"/>
    <cellStyle name="Normal 4 2 4 6 4 3" xfId="23143" xr:uid="{00000000-0005-0000-0000-00004DAA0000}"/>
    <cellStyle name="Normal 4 2 4 6 4 3 2" xfId="55014" xr:uid="{00000000-0005-0000-0000-00004EAA0000}"/>
    <cellStyle name="Normal 4 2 4 6 4 4" xfId="43039" xr:uid="{00000000-0005-0000-0000-00004FAA0000}"/>
    <cellStyle name="Normal 4 2 4 6 5" xfId="11162" xr:uid="{00000000-0005-0000-0000-000050AA0000}"/>
    <cellStyle name="Normal 4 2 4 6 5 2" xfId="27082" xr:uid="{00000000-0005-0000-0000-000051AA0000}"/>
    <cellStyle name="Normal 4 2 4 6 5 2 2" xfId="58953" xr:uid="{00000000-0005-0000-0000-000052AA0000}"/>
    <cellStyle name="Normal 4 2 4 6 5 3" xfId="43041" xr:uid="{00000000-0005-0000-0000-000053AA0000}"/>
    <cellStyle name="Normal 4 2 4 6 6" xfId="19204" xr:uid="{00000000-0005-0000-0000-000054AA0000}"/>
    <cellStyle name="Normal 4 2 4 6 6 2" xfId="51075" xr:uid="{00000000-0005-0000-0000-000055AA0000}"/>
    <cellStyle name="Normal 4 2 4 6 7" xfId="43026" xr:uid="{00000000-0005-0000-0000-000056AA0000}"/>
    <cellStyle name="Normal 4 2 4 7" xfId="11163" xr:uid="{00000000-0005-0000-0000-000057AA0000}"/>
    <cellStyle name="Normal 4 2 4 7 2" xfId="11164" xr:uid="{00000000-0005-0000-0000-000058AA0000}"/>
    <cellStyle name="Normal 4 2 4 7 2 2" xfId="11165" xr:uid="{00000000-0005-0000-0000-000059AA0000}"/>
    <cellStyle name="Normal 4 2 4 7 2 2 2" xfId="11166" xr:uid="{00000000-0005-0000-0000-00005AAA0000}"/>
    <cellStyle name="Normal 4 2 4 7 2 2 2 2" xfId="31026" xr:uid="{00000000-0005-0000-0000-00005BAA0000}"/>
    <cellStyle name="Normal 4 2 4 7 2 2 2 2 2" xfId="62897" xr:uid="{00000000-0005-0000-0000-00005CAA0000}"/>
    <cellStyle name="Normal 4 2 4 7 2 2 2 3" xfId="43045" xr:uid="{00000000-0005-0000-0000-00005DAA0000}"/>
    <cellStyle name="Normal 4 2 4 7 2 2 3" xfId="23148" xr:uid="{00000000-0005-0000-0000-00005EAA0000}"/>
    <cellStyle name="Normal 4 2 4 7 2 2 3 2" xfId="55019" xr:uid="{00000000-0005-0000-0000-00005FAA0000}"/>
    <cellStyle name="Normal 4 2 4 7 2 2 4" xfId="43044" xr:uid="{00000000-0005-0000-0000-000060AA0000}"/>
    <cellStyle name="Normal 4 2 4 7 2 3" xfId="11167" xr:uid="{00000000-0005-0000-0000-000061AA0000}"/>
    <cellStyle name="Normal 4 2 4 7 2 3 2" xfId="27087" xr:uid="{00000000-0005-0000-0000-000062AA0000}"/>
    <cellStyle name="Normal 4 2 4 7 2 3 2 2" xfId="58958" xr:uid="{00000000-0005-0000-0000-000063AA0000}"/>
    <cellStyle name="Normal 4 2 4 7 2 3 3" xfId="43046" xr:uid="{00000000-0005-0000-0000-000064AA0000}"/>
    <cellStyle name="Normal 4 2 4 7 2 4" xfId="19209" xr:uid="{00000000-0005-0000-0000-000065AA0000}"/>
    <cellStyle name="Normal 4 2 4 7 2 4 2" xfId="51080" xr:uid="{00000000-0005-0000-0000-000066AA0000}"/>
    <cellStyle name="Normal 4 2 4 7 2 5" xfId="43043" xr:uid="{00000000-0005-0000-0000-000067AA0000}"/>
    <cellStyle name="Normal 4 2 4 7 3" xfId="11168" xr:uid="{00000000-0005-0000-0000-000068AA0000}"/>
    <cellStyle name="Normal 4 2 4 7 3 2" xfId="11169" xr:uid="{00000000-0005-0000-0000-000069AA0000}"/>
    <cellStyle name="Normal 4 2 4 7 3 2 2" xfId="31025" xr:uid="{00000000-0005-0000-0000-00006AAA0000}"/>
    <cellStyle name="Normal 4 2 4 7 3 2 2 2" xfId="62896" xr:uid="{00000000-0005-0000-0000-00006BAA0000}"/>
    <cellStyle name="Normal 4 2 4 7 3 2 3" xfId="43048" xr:uid="{00000000-0005-0000-0000-00006CAA0000}"/>
    <cellStyle name="Normal 4 2 4 7 3 3" xfId="23147" xr:uid="{00000000-0005-0000-0000-00006DAA0000}"/>
    <cellStyle name="Normal 4 2 4 7 3 3 2" xfId="55018" xr:uid="{00000000-0005-0000-0000-00006EAA0000}"/>
    <cellStyle name="Normal 4 2 4 7 3 4" xfId="43047" xr:uid="{00000000-0005-0000-0000-00006FAA0000}"/>
    <cellStyle name="Normal 4 2 4 7 4" xfId="11170" xr:uid="{00000000-0005-0000-0000-000070AA0000}"/>
    <cellStyle name="Normal 4 2 4 7 4 2" xfId="27086" xr:uid="{00000000-0005-0000-0000-000071AA0000}"/>
    <cellStyle name="Normal 4 2 4 7 4 2 2" xfId="58957" xr:uid="{00000000-0005-0000-0000-000072AA0000}"/>
    <cellStyle name="Normal 4 2 4 7 4 3" xfId="43049" xr:uid="{00000000-0005-0000-0000-000073AA0000}"/>
    <cellStyle name="Normal 4 2 4 7 5" xfId="19208" xr:uid="{00000000-0005-0000-0000-000074AA0000}"/>
    <cellStyle name="Normal 4 2 4 7 5 2" xfId="51079" xr:uid="{00000000-0005-0000-0000-000075AA0000}"/>
    <cellStyle name="Normal 4 2 4 7 6" xfId="43042" xr:uid="{00000000-0005-0000-0000-000076AA0000}"/>
    <cellStyle name="Normal 4 2 4 8" xfId="11171" xr:uid="{00000000-0005-0000-0000-000077AA0000}"/>
    <cellStyle name="Normal 4 2 4 8 2" xfId="11172" xr:uid="{00000000-0005-0000-0000-000078AA0000}"/>
    <cellStyle name="Normal 4 2 4 8 2 2" xfId="11173" xr:uid="{00000000-0005-0000-0000-000079AA0000}"/>
    <cellStyle name="Normal 4 2 4 8 2 2 2" xfId="31027" xr:uid="{00000000-0005-0000-0000-00007AAA0000}"/>
    <cellStyle name="Normal 4 2 4 8 2 2 2 2" xfId="62898" xr:uid="{00000000-0005-0000-0000-00007BAA0000}"/>
    <cellStyle name="Normal 4 2 4 8 2 2 3" xfId="43052" xr:uid="{00000000-0005-0000-0000-00007CAA0000}"/>
    <cellStyle name="Normal 4 2 4 8 2 3" xfId="23149" xr:uid="{00000000-0005-0000-0000-00007DAA0000}"/>
    <cellStyle name="Normal 4 2 4 8 2 3 2" xfId="55020" xr:uid="{00000000-0005-0000-0000-00007EAA0000}"/>
    <cellStyle name="Normal 4 2 4 8 2 4" xfId="43051" xr:uid="{00000000-0005-0000-0000-00007FAA0000}"/>
    <cellStyle name="Normal 4 2 4 8 3" xfId="11174" xr:uid="{00000000-0005-0000-0000-000080AA0000}"/>
    <cellStyle name="Normal 4 2 4 8 3 2" xfId="27088" xr:uid="{00000000-0005-0000-0000-000081AA0000}"/>
    <cellStyle name="Normal 4 2 4 8 3 2 2" xfId="58959" xr:uid="{00000000-0005-0000-0000-000082AA0000}"/>
    <cellStyle name="Normal 4 2 4 8 3 3" xfId="43053" xr:uid="{00000000-0005-0000-0000-000083AA0000}"/>
    <cellStyle name="Normal 4 2 4 8 4" xfId="19210" xr:uid="{00000000-0005-0000-0000-000084AA0000}"/>
    <cellStyle name="Normal 4 2 4 8 4 2" xfId="51081" xr:uid="{00000000-0005-0000-0000-000085AA0000}"/>
    <cellStyle name="Normal 4 2 4 8 5" xfId="43050" xr:uid="{00000000-0005-0000-0000-000086AA0000}"/>
    <cellStyle name="Normal 4 2 4 9" xfId="11175" xr:uid="{00000000-0005-0000-0000-000087AA0000}"/>
    <cellStyle name="Normal 4 2 4 9 2" xfId="11176" xr:uid="{00000000-0005-0000-0000-000088AA0000}"/>
    <cellStyle name="Normal 4 2 4 9 2 2" xfId="28253" xr:uid="{00000000-0005-0000-0000-000089AA0000}"/>
    <cellStyle name="Normal 4 2 4 9 2 2 2" xfId="60124" xr:uid="{00000000-0005-0000-0000-00008AAA0000}"/>
    <cellStyle name="Normal 4 2 4 9 2 3" xfId="43055" xr:uid="{00000000-0005-0000-0000-00008BAA0000}"/>
    <cellStyle name="Normal 4 2 4 9 3" xfId="20375" xr:uid="{00000000-0005-0000-0000-00008CAA0000}"/>
    <cellStyle name="Normal 4 2 4 9 3 2" xfId="52246" xr:uid="{00000000-0005-0000-0000-00008DAA0000}"/>
    <cellStyle name="Normal 4 2 4 9 4" xfId="43054" xr:uid="{00000000-0005-0000-0000-00008EAA0000}"/>
    <cellStyle name="Normal 4 2 5" xfId="11177" xr:uid="{00000000-0005-0000-0000-00008FAA0000}"/>
    <cellStyle name="Normal 4 2 5 10" xfId="11178" xr:uid="{00000000-0005-0000-0000-000090AA0000}"/>
    <cellStyle name="Normal 4 2 5 10 2" xfId="24339" xr:uid="{00000000-0005-0000-0000-000091AA0000}"/>
    <cellStyle name="Normal 4 2 5 10 2 2" xfId="56210" xr:uid="{00000000-0005-0000-0000-000092AA0000}"/>
    <cellStyle name="Normal 4 2 5 10 3" xfId="43057" xr:uid="{00000000-0005-0000-0000-000093AA0000}"/>
    <cellStyle name="Normal 4 2 5 11" xfId="16461" xr:uid="{00000000-0005-0000-0000-000094AA0000}"/>
    <cellStyle name="Normal 4 2 5 11 2" xfId="48332" xr:uid="{00000000-0005-0000-0000-000095AA0000}"/>
    <cellStyle name="Normal 4 2 5 12" xfId="43056" xr:uid="{00000000-0005-0000-0000-000096AA0000}"/>
    <cellStyle name="Normal 4 2 5 2" xfId="11179" xr:uid="{00000000-0005-0000-0000-000097AA0000}"/>
    <cellStyle name="Normal 4 2 5 2 10" xfId="43058" xr:uid="{00000000-0005-0000-0000-000098AA0000}"/>
    <cellStyle name="Normal 4 2 5 2 2" xfId="11180" xr:uid="{00000000-0005-0000-0000-000099AA0000}"/>
    <cellStyle name="Normal 4 2 5 2 2 2" xfId="11181" xr:uid="{00000000-0005-0000-0000-00009AAA0000}"/>
    <cellStyle name="Normal 4 2 5 2 2 2 2" xfId="11182" xr:uid="{00000000-0005-0000-0000-00009BAA0000}"/>
    <cellStyle name="Normal 4 2 5 2 2 2 2 2" xfId="11183" xr:uid="{00000000-0005-0000-0000-00009CAA0000}"/>
    <cellStyle name="Normal 4 2 5 2 2 2 2 2 2" xfId="11184" xr:uid="{00000000-0005-0000-0000-00009DAA0000}"/>
    <cellStyle name="Normal 4 2 5 2 2 2 2 2 2 2" xfId="11185" xr:uid="{00000000-0005-0000-0000-00009EAA0000}"/>
    <cellStyle name="Normal 4 2 5 2 2 2 2 2 2 2 2" xfId="11186" xr:uid="{00000000-0005-0000-0000-00009FAA0000}"/>
    <cellStyle name="Normal 4 2 5 2 2 2 2 2 2 2 2 2" xfId="31031" xr:uid="{00000000-0005-0000-0000-0000A0AA0000}"/>
    <cellStyle name="Normal 4 2 5 2 2 2 2 2 2 2 2 2 2" xfId="62902" xr:uid="{00000000-0005-0000-0000-0000A1AA0000}"/>
    <cellStyle name="Normal 4 2 5 2 2 2 2 2 2 2 2 3" xfId="43065" xr:uid="{00000000-0005-0000-0000-0000A2AA0000}"/>
    <cellStyle name="Normal 4 2 5 2 2 2 2 2 2 2 3" xfId="23153" xr:uid="{00000000-0005-0000-0000-0000A3AA0000}"/>
    <cellStyle name="Normal 4 2 5 2 2 2 2 2 2 2 3 2" xfId="55024" xr:uid="{00000000-0005-0000-0000-0000A4AA0000}"/>
    <cellStyle name="Normal 4 2 5 2 2 2 2 2 2 2 4" xfId="43064" xr:uid="{00000000-0005-0000-0000-0000A5AA0000}"/>
    <cellStyle name="Normal 4 2 5 2 2 2 2 2 2 3" xfId="11187" xr:uid="{00000000-0005-0000-0000-0000A6AA0000}"/>
    <cellStyle name="Normal 4 2 5 2 2 2 2 2 2 3 2" xfId="27092" xr:uid="{00000000-0005-0000-0000-0000A7AA0000}"/>
    <cellStyle name="Normal 4 2 5 2 2 2 2 2 2 3 2 2" xfId="58963" xr:uid="{00000000-0005-0000-0000-0000A8AA0000}"/>
    <cellStyle name="Normal 4 2 5 2 2 2 2 2 2 3 3" xfId="43066" xr:uid="{00000000-0005-0000-0000-0000A9AA0000}"/>
    <cellStyle name="Normal 4 2 5 2 2 2 2 2 2 4" xfId="19214" xr:uid="{00000000-0005-0000-0000-0000AAAA0000}"/>
    <cellStyle name="Normal 4 2 5 2 2 2 2 2 2 4 2" xfId="51085" xr:uid="{00000000-0005-0000-0000-0000ABAA0000}"/>
    <cellStyle name="Normal 4 2 5 2 2 2 2 2 2 5" xfId="43063" xr:uid="{00000000-0005-0000-0000-0000ACAA0000}"/>
    <cellStyle name="Normal 4 2 5 2 2 2 2 2 3" xfId="11188" xr:uid="{00000000-0005-0000-0000-0000ADAA0000}"/>
    <cellStyle name="Normal 4 2 5 2 2 2 2 2 3 2" xfId="11189" xr:uid="{00000000-0005-0000-0000-0000AEAA0000}"/>
    <cellStyle name="Normal 4 2 5 2 2 2 2 2 3 2 2" xfId="31030" xr:uid="{00000000-0005-0000-0000-0000AFAA0000}"/>
    <cellStyle name="Normal 4 2 5 2 2 2 2 2 3 2 2 2" xfId="62901" xr:uid="{00000000-0005-0000-0000-0000B0AA0000}"/>
    <cellStyle name="Normal 4 2 5 2 2 2 2 2 3 2 3" xfId="43068" xr:uid="{00000000-0005-0000-0000-0000B1AA0000}"/>
    <cellStyle name="Normal 4 2 5 2 2 2 2 2 3 3" xfId="23152" xr:uid="{00000000-0005-0000-0000-0000B2AA0000}"/>
    <cellStyle name="Normal 4 2 5 2 2 2 2 2 3 3 2" xfId="55023" xr:uid="{00000000-0005-0000-0000-0000B3AA0000}"/>
    <cellStyle name="Normal 4 2 5 2 2 2 2 2 3 4" xfId="43067" xr:uid="{00000000-0005-0000-0000-0000B4AA0000}"/>
    <cellStyle name="Normal 4 2 5 2 2 2 2 2 4" xfId="11190" xr:uid="{00000000-0005-0000-0000-0000B5AA0000}"/>
    <cellStyle name="Normal 4 2 5 2 2 2 2 2 4 2" xfId="27091" xr:uid="{00000000-0005-0000-0000-0000B6AA0000}"/>
    <cellStyle name="Normal 4 2 5 2 2 2 2 2 4 2 2" xfId="58962" xr:uid="{00000000-0005-0000-0000-0000B7AA0000}"/>
    <cellStyle name="Normal 4 2 5 2 2 2 2 2 4 3" xfId="43069" xr:uid="{00000000-0005-0000-0000-0000B8AA0000}"/>
    <cellStyle name="Normal 4 2 5 2 2 2 2 2 5" xfId="19213" xr:uid="{00000000-0005-0000-0000-0000B9AA0000}"/>
    <cellStyle name="Normal 4 2 5 2 2 2 2 2 5 2" xfId="51084" xr:uid="{00000000-0005-0000-0000-0000BAAA0000}"/>
    <cellStyle name="Normal 4 2 5 2 2 2 2 2 6" xfId="43062" xr:uid="{00000000-0005-0000-0000-0000BBAA0000}"/>
    <cellStyle name="Normal 4 2 5 2 2 2 2 3" xfId="11191" xr:uid="{00000000-0005-0000-0000-0000BCAA0000}"/>
    <cellStyle name="Normal 4 2 5 2 2 2 2 3 2" xfId="11192" xr:uid="{00000000-0005-0000-0000-0000BDAA0000}"/>
    <cellStyle name="Normal 4 2 5 2 2 2 2 3 2 2" xfId="11193" xr:uid="{00000000-0005-0000-0000-0000BEAA0000}"/>
    <cellStyle name="Normal 4 2 5 2 2 2 2 3 2 2 2" xfId="31032" xr:uid="{00000000-0005-0000-0000-0000BFAA0000}"/>
    <cellStyle name="Normal 4 2 5 2 2 2 2 3 2 2 2 2" xfId="62903" xr:uid="{00000000-0005-0000-0000-0000C0AA0000}"/>
    <cellStyle name="Normal 4 2 5 2 2 2 2 3 2 2 3" xfId="43072" xr:uid="{00000000-0005-0000-0000-0000C1AA0000}"/>
    <cellStyle name="Normal 4 2 5 2 2 2 2 3 2 3" xfId="23154" xr:uid="{00000000-0005-0000-0000-0000C2AA0000}"/>
    <cellStyle name="Normal 4 2 5 2 2 2 2 3 2 3 2" xfId="55025" xr:uid="{00000000-0005-0000-0000-0000C3AA0000}"/>
    <cellStyle name="Normal 4 2 5 2 2 2 2 3 2 4" xfId="43071" xr:uid="{00000000-0005-0000-0000-0000C4AA0000}"/>
    <cellStyle name="Normal 4 2 5 2 2 2 2 3 3" xfId="11194" xr:uid="{00000000-0005-0000-0000-0000C5AA0000}"/>
    <cellStyle name="Normal 4 2 5 2 2 2 2 3 3 2" xfId="27093" xr:uid="{00000000-0005-0000-0000-0000C6AA0000}"/>
    <cellStyle name="Normal 4 2 5 2 2 2 2 3 3 2 2" xfId="58964" xr:uid="{00000000-0005-0000-0000-0000C7AA0000}"/>
    <cellStyle name="Normal 4 2 5 2 2 2 2 3 3 3" xfId="43073" xr:uid="{00000000-0005-0000-0000-0000C8AA0000}"/>
    <cellStyle name="Normal 4 2 5 2 2 2 2 3 4" xfId="19215" xr:uid="{00000000-0005-0000-0000-0000C9AA0000}"/>
    <cellStyle name="Normal 4 2 5 2 2 2 2 3 4 2" xfId="51086" xr:uid="{00000000-0005-0000-0000-0000CAAA0000}"/>
    <cellStyle name="Normal 4 2 5 2 2 2 2 3 5" xfId="43070" xr:uid="{00000000-0005-0000-0000-0000CBAA0000}"/>
    <cellStyle name="Normal 4 2 5 2 2 2 2 4" xfId="11195" xr:uid="{00000000-0005-0000-0000-0000CCAA0000}"/>
    <cellStyle name="Normal 4 2 5 2 2 2 2 4 2" xfId="11196" xr:uid="{00000000-0005-0000-0000-0000CDAA0000}"/>
    <cellStyle name="Normal 4 2 5 2 2 2 2 4 2 2" xfId="31029" xr:uid="{00000000-0005-0000-0000-0000CEAA0000}"/>
    <cellStyle name="Normal 4 2 5 2 2 2 2 4 2 2 2" xfId="62900" xr:uid="{00000000-0005-0000-0000-0000CFAA0000}"/>
    <cellStyle name="Normal 4 2 5 2 2 2 2 4 2 3" xfId="43075" xr:uid="{00000000-0005-0000-0000-0000D0AA0000}"/>
    <cellStyle name="Normal 4 2 5 2 2 2 2 4 3" xfId="23151" xr:uid="{00000000-0005-0000-0000-0000D1AA0000}"/>
    <cellStyle name="Normal 4 2 5 2 2 2 2 4 3 2" xfId="55022" xr:uid="{00000000-0005-0000-0000-0000D2AA0000}"/>
    <cellStyle name="Normal 4 2 5 2 2 2 2 4 4" xfId="43074" xr:uid="{00000000-0005-0000-0000-0000D3AA0000}"/>
    <cellStyle name="Normal 4 2 5 2 2 2 2 5" xfId="11197" xr:uid="{00000000-0005-0000-0000-0000D4AA0000}"/>
    <cellStyle name="Normal 4 2 5 2 2 2 2 5 2" xfId="27090" xr:uid="{00000000-0005-0000-0000-0000D5AA0000}"/>
    <cellStyle name="Normal 4 2 5 2 2 2 2 5 2 2" xfId="58961" xr:uid="{00000000-0005-0000-0000-0000D6AA0000}"/>
    <cellStyle name="Normal 4 2 5 2 2 2 2 5 3" xfId="43076" xr:uid="{00000000-0005-0000-0000-0000D7AA0000}"/>
    <cellStyle name="Normal 4 2 5 2 2 2 2 6" xfId="19212" xr:uid="{00000000-0005-0000-0000-0000D8AA0000}"/>
    <cellStyle name="Normal 4 2 5 2 2 2 2 6 2" xfId="51083" xr:uid="{00000000-0005-0000-0000-0000D9AA0000}"/>
    <cellStyle name="Normal 4 2 5 2 2 2 2 7" xfId="43061" xr:uid="{00000000-0005-0000-0000-0000DAAA0000}"/>
    <cellStyle name="Normal 4 2 5 2 2 2 3" xfId="11198" xr:uid="{00000000-0005-0000-0000-0000DBAA0000}"/>
    <cellStyle name="Normal 4 2 5 2 2 2 3 2" xfId="11199" xr:uid="{00000000-0005-0000-0000-0000DCAA0000}"/>
    <cellStyle name="Normal 4 2 5 2 2 2 3 2 2" xfId="11200" xr:uid="{00000000-0005-0000-0000-0000DDAA0000}"/>
    <cellStyle name="Normal 4 2 5 2 2 2 3 2 2 2" xfId="11201" xr:uid="{00000000-0005-0000-0000-0000DEAA0000}"/>
    <cellStyle name="Normal 4 2 5 2 2 2 3 2 2 2 2" xfId="31034" xr:uid="{00000000-0005-0000-0000-0000DFAA0000}"/>
    <cellStyle name="Normal 4 2 5 2 2 2 3 2 2 2 2 2" xfId="62905" xr:uid="{00000000-0005-0000-0000-0000E0AA0000}"/>
    <cellStyle name="Normal 4 2 5 2 2 2 3 2 2 2 3" xfId="43080" xr:uid="{00000000-0005-0000-0000-0000E1AA0000}"/>
    <cellStyle name="Normal 4 2 5 2 2 2 3 2 2 3" xfId="23156" xr:uid="{00000000-0005-0000-0000-0000E2AA0000}"/>
    <cellStyle name="Normal 4 2 5 2 2 2 3 2 2 3 2" xfId="55027" xr:uid="{00000000-0005-0000-0000-0000E3AA0000}"/>
    <cellStyle name="Normal 4 2 5 2 2 2 3 2 2 4" xfId="43079" xr:uid="{00000000-0005-0000-0000-0000E4AA0000}"/>
    <cellStyle name="Normal 4 2 5 2 2 2 3 2 3" xfId="11202" xr:uid="{00000000-0005-0000-0000-0000E5AA0000}"/>
    <cellStyle name="Normal 4 2 5 2 2 2 3 2 3 2" xfId="27095" xr:uid="{00000000-0005-0000-0000-0000E6AA0000}"/>
    <cellStyle name="Normal 4 2 5 2 2 2 3 2 3 2 2" xfId="58966" xr:uid="{00000000-0005-0000-0000-0000E7AA0000}"/>
    <cellStyle name="Normal 4 2 5 2 2 2 3 2 3 3" xfId="43081" xr:uid="{00000000-0005-0000-0000-0000E8AA0000}"/>
    <cellStyle name="Normal 4 2 5 2 2 2 3 2 4" xfId="19217" xr:uid="{00000000-0005-0000-0000-0000E9AA0000}"/>
    <cellStyle name="Normal 4 2 5 2 2 2 3 2 4 2" xfId="51088" xr:uid="{00000000-0005-0000-0000-0000EAAA0000}"/>
    <cellStyle name="Normal 4 2 5 2 2 2 3 2 5" xfId="43078" xr:uid="{00000000-0005-0000-0000-0000EBAA0000}"/>
    <cellStyle name="Normal 4 2 5 2 2 2 3 3" xfId="11203" xr:uid="{00000000-0005-0000-0000-0000ECAA0000}"/>
    <cellStyle name="Normal 4 2 5 2 2 2 3 3 2" xfId="11204" xr:uid="{00000000-0005-0000-0000-0000EDAA0000}"/>
    <cellStyle name="Normal 4 2 5 2 2 2 3 3 2 2" xfId="31033" xr:uid="{00000000-0005-0000-0000-0000EEAA0000}"/>
    <cellStyle name="Normal 4 2 5 2 2 2 3 3 2 2 2" xfId="62904" xr:uid="{00000000-0005-0000-0000-0000EFAA0000}"/>
    <cellStyle name="Normal 4 2 5 2 2 2 3 3 2 3" xfId="43083" xr:uid="{00000000-0005-0000-0000-0000F0AA0000}"/>
    <cellStyle name="Normal 4 2 5 2 2 2 3 3 3" xfId="23155" xr:uid="{00000000-0005-0000-0000-0000F1AA0000}"/>
    <cellStyle name="Normal 4 2 5 2 2 2 3 3 3 2" xfId="55026" xr:uid="{00000000-0005-0000-0000-0000F2AA0000}"/>
    <cellStyle name="Normal 4 2 5 2 2 2 3 3 4" xfId="43082" xr:uid="{00000000-0005-0000-0000-0000F3AA0000}"/>
    <cellStyle name="Normal 4 2 5 2 2 2 3 4" xfId="11205" xr:uid="{00000000-0005-0000-0000-0000F4AA0000}"/>
    <cellStyle name="Normal 4 2 5 2 2 2 3 4 2" xfId="27094" xr:uid="{00000000-0005-0000-0000-0000F5AA0000}"/>
    <cellStyle name="Normal 4 2 5 2 2 2 3 4 2 2" xfId="58965" xr:uid="{00000000-0005-0000-0000-0000F6AA0000}"/>
    <cellStyle name="Normal 4 2 5 2 2 2 3 4 3" xfId="43084" xr:uid="{00000000-0005-0000-0000-0000F7AA0000}"/>
    <cellStyle name="Normal 4 2 5 2 2 2 3 5" xfId="19216" xr:uid="{00000000-0005-0000-0000-0000F8AA0000}"/>
    <cellStyle name="Normal 4 2 5 2 2 2 3 5 2" xfId="51087" xr:uid="{00000000-0005-0000-0000-0000F9AA0000}"/>
    <cellStyle name="Normal 4 2 5 2 2 2 3 6" xfId="43077" xr:uid="{00000000-0005-0000-0000-0000FAAA0000}"/>
    <cellStyle name="Normal 4 2 5 2 2 2 4" xfId="11206" xr:uid="{00000000-0005-0000-0000-0000FBAA0000}"/>
    <cellStyle name="Normal 4 2 5 2 2 2 4 2" xfId="11207" xr:uid="{00000000-0005-0000-0000-0000FCAA0000}"/>
    <cellStyle name="Normal 4 2 5 2 2 2 4 2 2" xfId="11208" xr:uid="{00000000-0005-0000-0000-0000FDAA0000}"/>
    <cellStyle name="Normal 4 2 5 2 2 2 4 2 2 2" xfId="31035" xr:uid="{00000000-0005-0000-0000-0000FEAA0000}"/>
    <cellStyle name="Normal 4 2 5 2 2 2 4 2 2 2 2" xfId="62906" xr:uid="{00000000-0005-0000-0000-0000FFAA0000}"/>
    <cellStyle name="Normal 4 2 5 2 2 2 4 2 2 3" xfId="43087" xr:uid="{00000000-0005-0000-0000-000000AB0000}"/>
    <cellStyle name="Normal 4 2 5 2 2 2 4 2 3" xfId="23157" xr:uid="{00000000-0005-0000-0000-000001AB0000}"/>
    <cellStyle name="Normal 4 2 5 2 2 2 4 2 3 2" xfId="55028" xr:uid="{00000000-0005-0000-0000-000002AB0000}"/>
    <cellStyle name="Normal 4 2 5 2 2 2 4 2 4" xfId="43086" xr:uid="{00000000-0005-0000-0000-000003AB0000}"/>
    <cellStyle name="Normal 4 2 5 2 2 2 4 3" xfId="11209" xr:uid="{00000000-0005-0000-0000-000004AB0000}"/>
    <cellStyle name="Normal 4 2 5 2 2 2 4 3 2" xfId="27096" xr:uid="{00000000-0005-0000-0000-000005AB0000}"/>
    <cellStyle name="Normal 4 2 5 2 2 2 4 3 2 2" xfId="58967" xr:uid="{00000000-0005-0000-0000-000006AB0000}"/>
    <cellStyle name="Normal 4 2 5 2 2 2 4 3 3" xfId="43088" xr:uid="{00000000-0005-0000-0000-000007AB0000}"/>
    <cellStyle name="Normal 4 2 5 2 2 2 4 4" xfId="19218" xr:uid="{00000000-0005-0000-0000-000008AB0000}"/>
    <cellStyle name="Normal 4 2 5 2 2 2 4 4 2" xfId="51089" xr:uid="{00000000-0005-0000-0000-000009AB0000}"/>
    <cellStyle name="Normal 4 2 5 2 2 2 4 5" xfId="43085" xr:uid="{00000000-0005-0000-0000-00000AAB0000}"/>
    <cellStyle name="Normal 4 2 5 2 2 2 5" xfId="11210" xr:uid="{00000000-0005-0000-0000-00000BAB0000}"/>
    <cellStyle name="Normal 4 2 5 2 2 2 5 2" xfId="11211" xr:uid="{00000000-0005-0000-0000-00000CAB0000}"/>
    <cellStyle name="Normal 4 2 5 2 2 2 5 2 2" xfId="31028" xr:uid="{00000000-0005-0000-0000-00000DAB0000}"/>
    <cellStyle name="Normal 4 2 5 2 2 2 5 2 2 2" xfId="62899" xr:uid="{00000000-0005-0000-0000-00000EAB0000}"/>
    <cellStyle name="Normal 4 2 5 2 2 2 5 2 3" xfId="43090" xr:uid="{00000000-0005-0000-0000-00000FAB0000}"/>
    <cellStyle name="Normal 4 2 5 2 2 2 5 3" xfId="23150" xr:uid="{00000000-0005-0000-0000-000010AB0000}"/>
    <cellStyle name="Normal 4 2 5 2 2 2 5 3 2" xfId="55021" xr:uid="{00000000-0005-0000-0000-000011AB0000}"/>
    <cellStyle name="Normal 4 2 5 2 2 2 5 4" xfId="43089" xr:uid="{00000000-0005-0000-0000-000012AB0000}"/>
    <cellStyle name="Normal 4 2 5 2 2 2 6" xfId="11212" xr:uid="{00000000-0005-0000-0000-000013AB0000}"/>
    <cellStyle name="Normal 4 2 5 2 2 2 6 2" xfId="27089" xr:uid="{00000000-0005-0000-0000-000014AB0000}"/>
    <cellStyle name="Normal 4 2 5 2 2 2 6 2 2" xfId="58960" xr:uid="{00000000-0005-0000-0000-000015AB0000}"/>
    <cellStyle name="Normal 4 2 5 2 2 2 6 3" xfId="43091" xr:uid="{00000000-0005-0000-0000-000016AB0000}"/>
    <cellStyle name="Normal 4 2 5 2 2 2 7" xfId="19211" xr:uid="{00000000-0005-0000-0000-000017AB0000}"/>
    <cellStyle name="Normal 4 2 5 2 2 2 7 2" xfId="51082" xr:uid="{00000000-0005-0000-0000-000018AB0000}"/>
    <cellStyle name="Normal 4 2 5 2 2 2 8" xfId="43060" xr:uid="{00000000-0005-0000-0000-000019AB0000}"/>
    <cellStyle name="Normal 4 2 5 2 2 3" xfId="11213" xr:uid="{00000000-0005-0000-0000-00001AAB0000}"/>
    <cellStyle name="Normal 4 2 5 2 2 3 2" xfId="11214" xr:uid="{00000000-0005-0000-0000-00001BAB0000}"/>
    <cellStyle name="Normal 4 2 5 2 2 3 2 2" xfId="11215" xr:uid="{00000000-0005-0000-0000-00001CAB0000}"/>
    <cellStyle name="Normal 4 2 5 2 2 3 2 2 2" xfId="11216" xr:uid="{00000000-0005-0000-0000-00001DAB0000}"/>
    <cellStyle name="Normal 4 2 5 2 2 3 2 2 2 2" xfId="11217" xr:uid="{00000000-0005-0000-0000-00001EAB0000}"/>
    <cellStyle name="Normal 4 2 5 2 2 3 2 2 2 2 2" xfId="31038" xr:uid="{00000000-0005-0000-0000-00001FAB0000}"/>
    <cellStyle name="Normal 4 2 5 2 2 3 2 2 2 2 2 2" xfId="62909" xr:uid="{00000000-0005-0000-0000-000020AB0000}"/>
    <cellStyle name="Normal 4 2 5 2 2 3 2 2 2 2 3" xfId="43096" xr:uid="{00000000-0005-0000-0000-000021AB0000}"/>
    <cellStyle name="Normal 4 2 5 2 2 3 2 2 2 3" xfId="23160" xr:uid="{00000000-0005-0000-0000-000022AB0000}"/>
    <cellStyle name="Normal 4 2 5 2 2 3 2 2 2 3 2" xfId="55031" xr:uid="{00000000-0005-0000-0000-000023AB0000}"/>
    <cellStyle name="Normal 4 2 5 2 2 3 2 2 2 4" xfId="43095" xr:uid="{00000000-0005-0000-0000-000024AB0000}"/>
    <cellStyle name="Normal 4 2 5 2 2 3 2 2 3" xfId="11218" xr:uid="{00000000-0005-0000-0000-000025AB0000}"/>
    <cellStyle name="Normal 4 2 5 2 2 3 2 2 3 2" xfId="27099" xr:uid="{00000000-0005-0000-0000-000026AB0000}"/>
    <cellStyle name="Normal 4 2 5 2 2 3 2 2 3 2 2" xfId="58970" xr:uid="{00000000-0005-0000-0000-000027AB0000}"/>
    <cellStyle name="Normal 4 2 5 2 2 3 2 2 3 3" xfId="43097" xr:uid="{00000000-0005-0000-0000-000028AB0000}"/>
    <cellStyle name="Normal 4 2 5 2 2 3 2 2 4" xfId="19221" xr:uid="{00000000-0005-0000-0000-000029AB0000}"/>
    <cellStyle name="Normal 4 2 5 2 2 3 2 2 4 2" xfId="51092" xr:uid="{00000000-0005-0000-0000-00002AAB0000}"/>
    <cellStyle name="Normal 4 2 5 2 2 3 2 2 5" xfId="43094" xr:uid="{00000000-0005-0000-0000-00002BAB0000}"/>
    <cellStyle name="Normal 4 2 5 2 2 3 2 3" xfId="11219" xr:uid="{00000000-0005-0000-0000-00002CAB0000}"/>
    <cellStyle name="Normal 4 2 5 2 2 3 2 3 2" xfId="11220" xr:uid="{00000000-0005-0000-0000-00002DAB0000}"/>
    <cellStyle name="Normal 4 2 5 2 2 3 2 3 2 2" xfId="31037" xr:uid="{00000000-0005-0000-0000-00002EAB0000}"/>
    <cellStyle name="Normal 4 2 5 2 2 3 2 3 2 2 2" xfId="62908" xr:uid="{00000000-0005-0000-0000-00002FAB0000}"/>
    <cellStyle name="Normal 4 2 5 2 2 3 2 3 2 3" xfId="43099" xr:uid="{00000000-0005-0000-0000-000030AB0000}"/>
    <cellStyle name="Normal 4 2 5 2 2 3 2 3 3" xfId="23159" xr:uid="{00000000-0005-0000-0000-000031AB0000}"/>
    <cellStyle name="Normal 4 2 5 2 2 3 2 3 3 2" xfId="55030" xr:uid="{00000000-0005-0000-0000-000032AB0000}"/>
    <cellStyle name="Normal 4 2 5 2 2 3 2 3 4" xfId="43098" xr:uid="{00000000-0005-0000-0000-000033AB0000}"/>
    <cellStyle name="Normal 4 2 5 2 2 3 2 4" xfId="11221" xr:uid="{00000000-0005-0000-0000-000034AB0000}"/>
    <cellStyle name="Normal 4 2 5 2 2 3 2 4 2" xfId="27098" xr:uid="{00000000-0005-0000-0000-000035AB0000}"/>
    <cellStyle name="Normal 4 2 5 2 2 3 2 4 2 2" xfId="58969" xr:uid="{00000000-0005-0000-0000-000036AB0000}"/>
    <cellStyle name="Normal 4 2 5 2 2 3 2 4 3" xfId="43100" xr:uid="{00000000-0005-0000-0000-000037AB0000}"/>
    <cellStyle name="Normal 4 2 5 2 2 3 2 5" xfId="19220" xr:uid="{00000000-0005-0000-0000-000038AB0000}"/>
    <cellStyle name="Normal 4 2 5 2 2 3 2 5 2" xfId="51091" xr:uid="{00000000-0005-0000-0000-000039AB0000}"/>
    <cellStyle name="Normal 4 2 5 2 2 3 2 6" xfId="43093" xr:uid="{00000000-0005-0000-0000-00003AAB0000}"/>
    <cellStyle name="Normal 4 2 5 2 2 3 3" xfId="11222" xr:uid="{00000000-0005-0000-0000-00003BAB0000}"/>
    <cellStyle name="Normal 4 2 5 2 2 3 3 2" xfId="11223" xr:uid="{00000000-0005-0000-0000-00003CAB0000}"/>
    <cellStyle name="Normal 4 2 5 2 2 3 3 2 2" xfId="11224" xr:uid="{00000000-0005-0000-0000-00003DAB0000}"/>
    <cellStyle name="Normal 4 2 5 2 2 3 3 2 2 2" xfId="31039" xr:uid="{00000000-0005-0000-0000-00003EAB0000}"/>
    <cellStyle name="Normal 4 2 5 2 2 3 3 2 2 2 2" xfId="62910" xr:uid="{00000000-0005-0000-0000-00003FAB0000}"/>
    <cellStyle name="Normal 4 2 5 2 2 3 3 2 2 3" xfId="43103" xr:uid="{00000000-0005-0000-0000-000040AB0000}"/>
    <cellStyle name="Normal 4 2 5 2 2 3 3 2 3" xfId="23161" xr:uid="{00000000-0005-0000-0000-000041AB0000}"/>
    <cellStyle name="Normal 4 2 5 2 2 3 3 2 3 2" xfId="55032" xr:uid="{00000000-0005-0000-0000-000042AB0000}"/>
    <cellStyle name="Normal 4 2 5 2 2 3 3 2 4" xfId="43102" xr:uid="{00000000-0005-0000-0000-000043AB0000}"/>
    <cellStyle name="Normal 4 2 5 2 2 3 3 3" xfId="11225" xr:uid="{00000000-0005-0000-0000-000044AB0000}"/>
    <cellStyle name="Normal 4 2 5 2 2 3 3 3 2" xfId="27100" xr:uid="{00000000-0005-0000-0000-000045AB0000}"/>
    <cellStyle name="Normal 4 2 5 2 2 3 3 3 2 2" xfId="58971" xr:uid="{00000000-0005-0000-0000-000046AB0000}"/>
    <cellStyle name="Normal 4 2 5 2 2 3 3 3 3" xfId="43104" xr:uid="{00000000-0005-0000-0000-000047AB0000}"/>
    <cellStyle name="Normal 4 2 5 2 2 3 3 4" xfId="19222" xr:uid="{00000000-0005-0000-0000-000048AB0000}"/>
    <cellStyle name="Normal 4 2 5 2 2 3 3 4 2" xfId="51093" xr:uid="{00000000-0005-0000-0000-000049AB0000}"/>
    <cellStyle name="Normal 4 2 5 2 2 3 3 5" xfId="43101" xr:uid="{00000000-0005-0000-0000-00004AAB0000}"/>
    <cellStyle name="Normal 4 2 5 2 2 3 4" xfId="11226" xr:uid="{00000000-0005-0000-0000-00004BAB0000}"/>
    <cellStyle name="Normal 4 2 5 2 2 3 4 2" xfId="11227" xr:uid="{00000000-0005-0000-0000-00004CAB0000}"/>
    <cellStyle name="Normal 4 2 5 2 2 3 4 2 2" xfId="31036" xr:uid="{00000000-0005-0000-0000-00004DAB0000}"/>
    <cellStyle name="Normal 4 2 5 2 2 3 4 2 2 2" xfId="62907" xr:uid="{00000000-0005-0000-0000-00004EAB0000}"/>
    <cellStyle name="Normal 4 2 5 2 2 3 4 2 3" xfId="43106" xr:uid="{00000000-0005-0000-0000-00004FAB0000}"/>
    <cellStyle name="Normal 4 2 5 2 2 3 4 3" xfId="23158" xr:uid="{00000000-0005-0000-0000-000050AB0000}"/>
    <cellStyle name="Normal 4 2 5 2 2 3 4 3 2" xfId="55029" xr:uid="{00000000-0005-0000-0000-000051AB0000}"/>
    <cellStyle name="Normal 4 2 5 2 2 3 4 4" xfId="43105" xr:uid="{00000000-0005-0000-0000-000052AB0000}"/>
    <cellStyle name="Normal 4 2 5 2 2 3 5" xfId="11228" xr:uid="{00000000-0005-0000-0000-000053AB0000}"/>
    <cellStyle name="Normal 4 2 5 2 2 3 5 2" xfId="27097" xr:uid="{00000000-0005-0000-0000-000054AB0000}"/>
    <cellStyle name="Normal 4 2 5 2 2 3 5 2 2" xfId="58968" xr:uid="{00000000-0005-0000-0000-000055AB0000}"/>
    <cellStyle name="Normal 4 2 5 2 2 3 5 3" xfId="43107" xr:uid="{00000000-0005-0000-0000-000056AB0000}"/>
    <cellStyle name="Normal 4 2 5 2 2 3 6" xfId="19219" xr:uid="{00000000-0005-0000-0000-000057AB0000}"/>
    <cellStyle name="Normal 4 2 5 2 2 3 6 2" xfId="51090" xr:uid="{00000000-0005-0000-0000-000058AB0000}"/>
    <cellStyle name="Normal 4 2 5 2 2 3 7" xfId="43092" xr:uid="{00000000-0005-0000-0000-000059AB0000}"/>
    <cellStyle name="Normal 4 2 5 2 2 4" xfId="11229" xr:uid="{00000000-0005-0000-0000-00005AAB0000}"/>
    <cellStyle name="Normal 4 2 5 2 2 4 2" xfId="11230" xr:uid="{00000000-0005-0000-0000-00005BAB0000}"/>
    <cellStyle name="Normal 4 2 5 2 2 4 2 2" xfId="11231" xr:uid="{00000000-0005-0000-0000-00005CAB0000}"/>
    <cellStyle name="Normal 4 2 5 2 2 4 2 2 2" xfId="11232" xr:uid="{00000000-0005-0000-0000-00005DAB0000}"/>
    <cellStyle name="Normal 4 2 5 2 2 4 2 2 2 2" xfId="31041" xr:uid="{00000000-0005-0000-0000-00005EAB0000}"/>
    <cellStyle name="Normal 4 2 5 2 2 4 2 2 2 2 2" xfId="62912" xr:uid="{00000000-0005-0000-0000-00005FAB0000}"/>
    <cellStyle name="Normal 4 2 5 2 2 4 2 2 2 3" xfId="43111" xr:uid="{00000000-0005-0000-0000-000060AB0000}"/>
    <cellStyle name="Normal 4 2 5 2 2 4 2 2 3" xfId="23163" xr:uid="{00000000-0005-0000-0000-000061AB0000}"/>
    <cellStyle name="Normal 4 2 5 2 2 4 2 2 3 2" xfId="55034" xr:uid="{00000000-0005-0000-0000-000062AB0000}"/>
    <cellStyle name="Normal 4 2 5 2 2 4 2 2 4" xfId="43110" xr:uid="{00000000-0005-0000-0000-000063AB0000}"/>
    <cellStyle name="Normal 4 2 5 2 2 4 2 3" xfId="11233" xr:uid="{00000000-0005-0000-0000-000064AB0000}"/>
    <cellStyle name="Normal 4 2 5 2 2 4 2 3 2" xfId="27102" xr:uid="{00000000-0005-0000-0000-000065AB0000}"/>
    <cellStyle name="Normal 4 2 5 2 2 4 2 3 2 2" xfId="58973" xr:uid="{00000000-0005-0000-0000-000066AB0000}"/>
    <cellStyle name="Normal 4 2 5 2 2 4 2 3 3" xfId="43112" xr:uid="{00000000-0005-0000-0000-000067AB0000}"/>
    <cellStyle name="Normal 4 2 5 2 2 4 2 4" xfId="19224" xr:uid="{00000000-0005-0000-0000-000068AB0000}"/>
    <cellStyle name="Normal 4 2 5 2 2 4 2 4 2" xfId="51095" xr:uid="{00000000-0005-0000-0000-000069AB0000}"/>
    <cellStyle name="Normal 4 2 5 2 2 4 2 5" xfId="43109" xr:uid="{00000000-0005-0000-0000-00006AAB0000}"/>
    <cellStyle name="Normal 4 2 5 2 2 4 3" xfId="11234" xr:uid="{00000000-0005-0000-0000-00006BAB0000}"/>
    <cellStyle name="Normal 4 2 5 2 2 4 3 2" xfId="11235" xr:uid="{00000000-0005-0000-0000-00006CAB0000}"/>
    <cellStyle name="Normal 4 2 5 2 2 4 3 2 2" xfId="31040" xr:uid="{00000000-0005-0000-0000-00006DAB0000}"/>
    <cellStyle name="Normal 4 2 5 2 2 4 3 2 2 2" xfId="62911" xr:uid="{00000000-0005-0000-0000-00006EAB0000}"/>
    <cellStyle name="Normal 4 2 5 2 2 4 3 2 3" xfId="43114" xr:uid="{00000000-0005-0000-0000-00006FAB0000}"/>
    <cellStyle name="Normal 4 2 5 2 2 4 3 3" xfId="23162" xr:uid="{00000000-0005-0000-0000-000070AB0000}"/>
    <cellStyle name="Normal 4 2 5 2 2 4 3 3 2" xfId="55033" xr:uid="{00000000-0005-0000-0000-000071AB0000}"/>
    <cellStyle name="Normal 4 2 5 2 2 4 3 4" xfId="43113" xr:uid="{00000000-0005-0000-0000-000072AB0000}"/>
    <cellStyle name="Normal 4 2 5 2 2 4 4" xfId="11236" xr:uid="{00000000-0005-0000-0000-000073AB0000}"/>
    <cellStyle name="Normal 4 2 5 2 2 4 4 2" xfId="27101" xr:uid="{00000000-0005-0000-0000-000074AB0000}"/>
    <cellStyle name="Normal 4 2 5 2 2 4 4 2 2" xfId="58972" xr:uid="{00000000-0005-0000-0000-000075AB0000}"/>
    <cellStyle name="Normal 4 2 5 2 2 4 4 3" xfId="43115" xr:uid="{00000000-0005-0000-0000-000076AB0000}"/>
    <cellStyle name="Normal 4 2 5 2 2 4 5" xfId="19223" xr:uid="{00000000-0005-0000-0000-000077AB0000}"/>
    <cellStyle name="Normal 4 2 5 2 2 4 5 2" xfId="51094" xr:uid="{00000000-0005-0000-0000-000078AB0000}"/>
    <cellStyle name="Normal 4 2 5 2 2 4 6" xfId="43108" xr:uid="{00000000-0005-0000-0000-000079AB0000}"/>
    <cellStyle name="Normal 4 2 5 2 2 5" xfId="11237" xr:uid="{00000000-0005-0000-0000-00007AAB0000}"/>
    <cellStyle name="Normal 4 2 5 2 2 5 2" xfId="11238" xr:uid="{00000000-0005-0000-0000-00007BAB0000}"/>
    <cellStyle name="Normal 4 2 5 2 2 5 2 2" xfId="11239" xr:uid="{00000000-0005-0000-0000-00007CAB0000}"/>
    <cellStyle name="Normal 4 2 5 2 2 5 2 2 2" xfId="31042" xr:uid="{00000000-0005-0000-0000-00007DAB0000}"/>
    <cellStyle name="Normal 4 2 5 2 2 5 2 2 2 2" xfId="62913" xr:uid="{00000000-0005-0000-0000-00007EAB0000}"/>
    <cellStyle name="Normal 4 2 5 2 2 5 2 2 3" xfId="43118" xr:uid="{00000000-0005-0000-0000-00007FAB0000}"/>
    <cellStyle name="Normal 4 2 5 2 2 5 2 3" xfId="23164" xr:uid="{00000000-0005-0000-0000-000080AB0000}"/>
    <cellStyle name="Normal 4 2 5 2 2 5 2 3 2" xfId="55035" xr:uid="{00000000-0005-0000-0000-000081AB0000}"/>
    <cellStyle name="Normal 4 2 5 2 2 5 2 4" xfId="43117" xr:uid="{00000000-0005-0000-0000-000082AB0000}"/>
    <cellStyle name="Normal 4 2 5 2 2 5 3" xfId="11240" xr:uid="{00000000-0005-0000-0000-000083AB0000}"/>
    <cellStyle name="Normal 4 2 5 2 2 5 3 2" xfId="27103" xr:uid="{00000000-0005-0000-0000-000084AB0000}"/>
    <cellStyle name="Normal 4 2 5 2 2 5 3 2 2" xfId="58974" xr:uid="{00000000-0005-0000-0000-000085AB0000}"/>
    <cellStyle name="Normal 4 2 5 2 2 5 3 3" xfId="43119" xr:uid="{00000000-0005-0000-0000-000086AB0000}"/>
    <cellStyle name="Normal 4 2 5 2 2 5 4" xfId="19225" xr:uid="{00000000-0005-0000-0000-000087AB0000}"/>
    <cellStyle name="Normal 4 2 5 2 2 5 4 2" xfId="51096" xr:uid="{00000000-0005-0000-0000-000088AB0000}"/>
    <cellStyle name="Normal 4 2 5 2 2 5 5" xfId="43116" xr:uid="{00000000-0005-0000-0000-000089AB0000}"/>
    <cellStyle name="Normal 4 2 5 2 2 6" xfId="11241" xr:uid="{00000000-0005-0000-0000-00008AAB0000}"/>
    <cellStyle name="Normal 4 2 5 2 2 6 2" xfId="11242" xr:uid="{00000000-0005-0000-0000-00008BAB0000}"/>
    <cellStyle name="Normal 4 2 5 2 2 6 2 2" xfId="28442" xr:uid="{00000000-0005-0000-0000-00008CAB0000}"/>
    <cellStyle name="Normal 4 2 5 2 2 6 2 2 2" xfId="60313" xr:uid="{00000000-0005-0000-0000-00008DAB0000}"/>
    <cellStyle name="Normal 4 2 5 2 2 6 2 3" xfId="43121" xr:uid="{00000000-0005-0000-0000-00008EAB0000}"/>
    <cellStyle name="Normal 4 2 5 2 2 6 3" xfId="20564" xr:uid="{00000000-0005-0000-0000-00008FAB0000}"/>
    <cellStyle name="Normal 4 2 5 2 2 6 3 2" xfId="52435" xr:uid="{00000000-0005-0000-0000-000090AB0000}"/>
    <cellStyle name="Normal 4 2 5 2 2 6 4" xfId="43120" xr:uid="{00000000-0005-0000-0000-000091AB0000}"/>
    <cellStyle name="Normal 4 2 5 2 2 7" xfId="11243" xr:uid="{00000000-0005-0000-0000-000092AB0000}"/>
    <cellStyle name="Normal 4 2 5 2 2 7 2" xfId="24503" xr:uid="{00000000-0005-0000-0000-000093AB0000}"/>
    <cellStyle name="Normal 4 2 5 2 2 7 2 2" xfId="56374" xr:uid="{00000000-0005-0000-0000-000094AB0000}"/>
    <cellStyle name="Normal 4 2 5 2 2 7 3" xfId="43122" xr:uid="{00000000-0005-0000-0000-000095AB0000}"/>
    <cellStyle name="Normal 4 2 5 2 2 8" xfId="16625" xr:uid="{00000000-0005-0000-0000-000096AB0000}"/>
    <cellStyle name="Normal 4 2 5 2 2 8 2" xfId="48496" xr:uid="{00000000-0005-0000-0000-000097AB0000}"/>
    <cellStyle name="Normal 4 2 5 2 2 9" xfId="43059" xr:uid="{00000000-0005-0000-0000-000098AB0000}"/>
    <cellStyle name="Normal 4 2 5 2 3" xfId="11244" xr:uid="{00000000-0005-0000-0000-000099AB0000}"/>
    <cellStyle name="Normal 4 2 5 2 3 2" xfId="11245" xr:uid="{00000000-0005-0000-0000-00009AAB0000}"/>
    <cellStyle name="Normal 4 2 5 2 3 2 2" xfId="11246" xr:uid="{00000000-0005-0000-0000-00009BAB0000}"/>
    <cellStyle name="Normal 4 2 5 2 3 2 2 2" xfId="11247" xr:uid="{00000000-0005-0000-0000-00009CAB0000}"/>
    <cellStyle name="Normal 4 2 5 2 3 2 2 2 2" xfId="11248" xr:uid="{00000000-0005-0000-0000-00009DAB0000}"/>
    <cellStyle name="Normal 4 2 5 2 3 2 2 2 2 2" xfId="11249" xr:uid="{00000000-0005-0000-0000-00009EAB0000}"/>
    <cellStyle name="Normal 4 2 5 2 3 2 2 2 2 2 2" xfId="31046" xr:uid="{00000000-0005-0000-0000-00009FAB0000}"/>
    <cellStyle name="Normal 4 2 5 2 3 2 2 2 2 2 2 2" xfId="62917" xr:uid="{00000000-0005-0000-0000-0000A0AB0000}"/>
    <cellStyle name="Normal 4 2 5 2 3 2 2 2 2 2 3" xfId="43128" xr:uid="{00000000-0005-0000-0000-0000A1AB0000}"/>
    <cellStyle name="Normal 4 2 5 2 3 2 2 2 2 3" xfId="23168" xr:uid="{00000000-0005-0000-0000-0000A2AB0000}"/>
    <cellStyle name="Normal 4 2 5 2 3 2 2 2 2 3 2" xfId="55039" xr:uid="{00000000-0005-0000-0000-0000A3AB0000}"/>
    <cellStyle name="Normal 4 2 5 2 3 2 2 2 2 4" xfId="43127" xr:uid="{00000000-0005-0000-0000-0000A4AB0000}"/>
    <cellStyle name="Normal 4 2 5 2 3 2 2 2 3" xfId="11250" xr:uid="{00000000-0005-0000-0000-0000A5AB0000}"/>
    <cellStyle name="Normal 4 2 5 2 3 2 2 2 3 2" xfId="27107" xr:uid="{00000000-0005-0000-0000-0000A6AB0000}"/>
    <cellStyle name="Normal 4 2 5 2 3 2 2 2 3 2 2" xfId="58978" xr:uid="{00000000-0005-0000-0000-0000A7AB0000}"/>
    <cellStyle name="Normal 4 2 5 2 3 2 2 2 3 3" xfId="43129" xr:uid="{00000000-0005-0000-0000-0000A8AB0000}"/>
    <cellStyle name="Normal 4 2 5 2 3 2 2 2 4" xfId="19229" xr:uid="{00000000-0005-0000-0000-0000A9AB0000}"/>
    <cellStyle name="Normal 4 2 5 2 3 2 2 2 4 2" xfId="51100" xr:uid="{00000000-0005-0000-0000-0000AAAB0000}"/>
    <cellStyle name="Normal 4 2 5 2 3 2 2 2 5" xfId="43126" xr:uid="{00000000-0005-0000-0000-0000ABAB0000}"/>
    <cellStyle name="Normal 4 2 5 2 3 2 2 3" xfId="11251" xr:uid="{00000000-0005-0000-0000-0000ACAB0000}"/>
    <cellStyle name="Normal 4 2 5 2 3 2 2 3 2" xfId="11252" xr:uid="{00000000-0005-0000-0000-0000ADAB0000}"/>
    <cellStyle name="Normal 4 2 5 2 3 2 2 3 2 2" xfId="31045" xr:uid="{00000000-0005-0000-0000-0000AEAB0000}"/>
    <cellStyle name="Normal 4 2 5 2 3 2 2 3 2 2 2" xfId="62916" xr:uid="{00000000-0005-0000-0000-0000AFAB0000}"/>
    <cellStyle name="Normal 4 2 5 2 3 2 2 3 2 3" xfId="43131" xr:uid="{00000000-0005-0000-0000-0000B0AB0000}"/>
    <cellStyle name="Normal 4 2 5 2 3 2 2 3 3" xfId="23167" xr:uid="{00000000-0005-0000-0000-0000B1AB0000}"/>
    <cellStyle name="Normal 4 2 5 2 3 2 2 3 3 2" xfId="55038" xr:uid="{00000000-0005-0000-0000-0000B2AB0000}"/>
    <cellStyle name="Normal 4 2 5 2 3 2 2 3 4" xfId="43130" xr:uid="{00000000-0005-0000-0000-0000B3AB0000}"/>
    <cellStyle name="Normal 4 2 5 2 3 2 2 4" xfId="11253" xr:uid="{00000000-0005-0000-0000-0000B4AB0000}"/>
    <cellStyle name="Normal 4 2 5 2 3 2 2 4 2" xfId="27106" xr:uid="{00000000-0005-0000-0000-0000B5AB0000}"/>
    <cellStyle name="Normal 4 2 5 2 3 2 2 4 2 2" xfId="58977" xr:uid="{00000000-0005-0000-0000-0000B6AB0000}"/>
    <cellStyle name="Normal 4 2 5 2 3 2 2 4 3" xfId="43132" xr:uid="{00000000-0005-0000-0000-0000B7AB0000}"/>
    <cellStyle name="Normal 4 2 5 2 3 2 2 5" xfId="19228" xr:uid="{00000000-0005-0000-0000-0000B8AB0000}"/>
    <cellStyle name="Normal 4 2 5 2 3 2 2 5 2" xfId="51099" xr:uid="{00000000-0005-0000-0000-0000B9AB0000}"/>
    <cellStyle name="Normal 4 2 5 2 3 2 2 6" xfId="43125" xr:uid="{00000000-0005-0000-0000-0000BAAB0000}"/>
    <cellStyle name="Normal 4 2 5 2 3 2 3" xfId="11254" xr:uid="{00000000-0005-0000-0000-0000BBAB0000}"/>
    <cellStyle name="Normal 4 2 5 2 3 2 3 2" xfId="11255" xr:uid="{00000000-0005-0000-0000-0000BCAB0000}"/>
    <cellStyle name="Normal 4 2 5 2 3 2 3 2 2" xfId="11256" xr:uid="{00000000-0005-0000-0000-0000BDAB0000}"/>
    <cellStyle name="Normal 4 2 5 2 3 2 3 2 2 2" xfId="31047" xr:uid="{00000000-0005-0000-0000-0000BEAB0000}"/>
    <cellStyle name="Normal 4 2 5 2 3 2 3 2 2 2 2" xfId="62918" xr:uid="{00000000-0005-0000-0000-0000BFAB0000}"/>
    <cellStyle name="Normal 4 2 5 2 3 2 3 2 2 3" xfId="43135" xr:uid="{00000000-0005-0000-0000-0000C0AB0000}"/>
    <cellStyle name="Normal 4 2 5 2 3 2 3 2 3" xfId="23169" xr:uid="{00000000-0005-0000-0000-0000C1AB0000}"/>
    <cellStyle name="Normal 4 2 5 2 3 2 3 2 3 2" xfId="55040" xr:uid="{00000000-0005-0000-0000-0000C2AB0000}"/>
    <cellStyle name="Normal 4 2 5 2 3 2 3 2 4" xfId="43134" xr:uid="{00000000-0005-0000-0000-0000C3AB0000}"/>
    <cellStyle name="Normal 4 2 5 2 3 2 3 3" xfId="11257" xr:uid="{00000000-0005-0000-0000-0000C4AB0000}"/>
    <cellStyle name="Normal 4 2 5 2 3 2 3 3 2" xfId="27108" xr:uid="{00000000-0005-0000-0000-0000C5AB0000}"/>
    <cellStyle name="Normal 4 2 5 2 3 2 3 3 2 2" xfId="58979" xr:uid="{00000000-0005-0000-0000-0000C6AB0000}"/>
    <cellStyle name="Normal 4 2 5 2 3 2 3 3 3" xfId="43136" xr:uid="{00000000-0005-0000-0000-0000C7AB0000}"/>
    <cellStyle name="Normal 4 2 5 2 3 2 3 4" xfId="19230" xr:uid="{00000000-0005-0000-0000-0000C8AB0000}"/>
    <cellStyle name="Normal 4 2 5 2 3 2 3 4 2" xfId="51101" xr:uid="{00000000-0005-0000-0000-0000C9AB0000}"/>
    <cellStyle name="Normal 4 2 5 2 3 2 3 5" xfId="43133" xr:uid="{00000000-0005-0000-0000-0000CAAB0000}"/>
    <cellStyle name="Normal 4 2 5 2 3 2 4" xfId="11258" xr:uid="{00000000-0005-0000-0000-0000CBAB0000}"/>
    <cellStyle name="Normal 4 2 5 2 3 2 4 2" xfId="11259" xr:uid="{00000000-0005-0000-0000-0000CCAB0000}"/>
    <cellStyle name="Normal 4 2 5 2 3 2 4 2 2" xfId="31044" xr:uid="{00000000-0005-0000-0000-0000CDAB0000}"/>
    <cellStyle name="Normal 4 2 5 2 3 2 4 2 2 2" xfId="62915" xr:uid="{00000000-0005-0000-0000-0000CEAB0000}"/>
    <cellStyle name="Normal 4 2 5 2 3 2 4 2 3" xfId="43138" xr:uid="{00000000-0005-0000-0000-0000CFAB0000}"/>
    <cellStyle name="Normal 4 2 5 2 3 2 4 3" xfId="23166" xr:uid="{00000000-0005-0000-0000-0000D0AB0000}"/>
    <cellStyle name="Normal 4 2 5 2 3 2 4 3 2" xfId="55037" xr:uid="{00000000-0005-0000-0000-0000D1AB0000}"/>
    <cellStyle name="Normal 4 2 5 2 3 2 4 4" xfId="43137" xr:uid="{00000000-0005-0000-0000-0000D2AB0000}"/>
    <cellStyle name="Normal 4 2 5 2 3 2 5" xfId="11260" xr:uid="{00000000-0005-0000-0000-0000D3AB0000}"/>
    <cellStyle name="Normal 4 2 5 2 3 2 5 2" xfId="27105" xr:uid="{00000000-0005-0000-0000-0000D4AB0000}"/>
    <cellStyle name="Normal 4 2 5 2 3 2 5 2 2" xfId="58976" xr:uid="{00000000-0005-0000-0000-0000D5AB0000}"/>
    <cellStyle name="Normal 4 2 5 2 3 2 5 3" xfId="43139" xr:uid="{00000000-0005-0000-0000-0000D6AB0000}"/>
    <cellStyle name="Normal 4 2 5 2 3 2 6" xfId="19227" xr:uid="{00000000-0005-0000-0000-0000D7AB0000}"/>
    <cellStyle name="Normal 4 2 5 2 3 2 6 2" xfId="51098" xr:uid="{00000000-0005-0000-0000-0000D8AB0000}"/>
    <cellStyle name="Normal 4 2 5 2 3 2 7" xfId="43124" xr:uid="{00000000-0005-0000-0000-0000D9AB0000}"/>
    <cellStyle name="Normal 4 2 5 2 3 3" xfId="11261" xr:uid="{00000000-0005-0000-0000-0000DAAB0000}"/>
    <cellStyle name="Normal 4 2 5 2 3 3 2" xfId="11262" xr:uid="{00000000-0005-0000-0000-0000DBAB0000}"/>
    <cellStyle name="Normal 4 2 5 2 3 3 2 2" xfId="11263" xr:uid="{00000000-0005-0000-0000-0000DCAB0000}"/>
    <cellStyle name="Normal 4 2 5 2 3 3 2 2 2" xfId="11264" xr:uid="{00000000-0005-0000-0000-0000DDAB0000}"/>
    <cellStyle name="Normal 4 2 5 2 3 3 2 2 2 2" xfId="31049" xr:uid="{00000000-0005-0000-0000-0000DEAB0000}"/>
    <cellStyle name="Normal 4 2 5 2 3 3 2 2 2 2 2" xfId="62920" xr:uid="{00000000-0005-0000-0000-0000DFAB0000}"/>
    <cellStyle name="Normal 4 2 5 2 3 3 2 2 2 3" xfId="43143" xr:uid="{00000000-0005-0000-0000-0000E0AB0000}"/>
    <cellStyle name="Normal 4 2 5 2 3 3 2 2 3" xfId="23171" xr:uid="{00000000-0005-0000-0000-0000E1AB0000}"/>
    <cellStyle name="Normal 4 2 5 2 3 3 2 2 3 2" xfId="55042" xr:uid="{00000000-0005-0000-0000-0000E2AB0000}"/>
    <cellStyle name="Normal 4 2 5 2 3 3 2 2 4" xfId="43142" xr:uid="{00000000-0005-0000-0000-0000E3AB0000}"/>
    <cellStyle name="Normal 4 2 5 2 3 3 2 3" xfId="11265" xr:uid="{00000000-0005-0000-0000-0000E4AB0000}"/>
    <cellStyle name="Normal 4 2 5 2 3 3 2 3 2" xfId="27110" xr:uid="{00000000-0005-0000-0000-0000E5AB0000}"/>
    <cellStyle name="Normal 4 2 5 2 3 3 2 3 2 2" xfId="58981" xr:uid="{00000000-0005-0000-0000-0000E6AB0000}"/>
    <cellStyle name="Normal 4 2 5 2 3 3 2 3 3" xfId="43144" xr:uid="{00000000-0005-0000-0000-0000E7AB0000}"/>
    <cellStyle name="Normal 4 2 5 2 3 3 2 4" xfId="19232" xr:uid="{00000000-0005-0000-0000-0000E8AB0000}"/>
    <cellStyle name="Normal 4 2 5 2 3 3 2 4 2" xfId="51103" xr:uid="{00000000-0005-0000-0000-0000E9AB0000}"/>
    <cellStyle name="Normal 4 2 5 2 3 3 2 5" xfId="43141" xr:uid="{00000000-0005-0000-0000-0000EAAB0000}"/>
    <cellStyle name="Normal 4 2 5 2 3 3 3" xfId="11266" xr:uid="{00000000-0005-0000-0000-0000EBAB0000}"/>
    <cellStyle name="Normal 4 2 5 2 3 3 3 2" xfId="11267" xr:uid="{00000000-0005-0000-0000-0000ECAB0000}"/>
    <cellStyle name="Normal 4 2 5 2 3 3 3 2 2" xfId="31048" xr:uid="{00000000-0005-0000-0000-0000EDAB0000}"/>
    <cellStyle name="Normal 4 2 5 2 3 3 3 2 2 2" xfId="62919" xr:uid="{00000000-0005-0000-0000-0000EEAB0000}"/>
    <cellStyle name="Normal 4 2 5 2 3 3 3 2 3" xfId="43146" xr:uid="{00000000-0005-0000-0000-0000EFAB0000}"/>
    <cellStyle name="Normal 4 2 5 2 3 3 3 3" xfId="23170" xr:uid="{00000000-0005-0000-0000-0000F0AB0000}"/>
    <cellStyle name="Normal 4 2 5 2 3 3 3 3 2" xfId="55041" xr:uid="{00000000-0005-0000-0000-0000F1AB0000}"/>
    <cellStyle name="Normal 4 2 5 2 3 3 3 4" xfId="43145" xr:uid="{00000000-0005-0000-0000-0000F2AB0000}"/>
    <cellStyle name="Normal 4 2 5 2 3 3 4" xfId="11268" xr:uid="{00000000-0005-0000-0000-0000F3AB0000}"/>
    <cellStyle name="Normal 4 2 5 2 3 3 4 2" xfId="27109" xr:uid="{00000000-0005-0000-0000-0000F4AB0000}"/>
    <cellStyle name="Normal 4 2 5 2 3 3 4 2 2" xfId="58980" xr:uid="{00000000-0005-0000-0000-0000F5AB0000}"/>
    <cellStyle name="Normal 4 2 5 2 3 3 4 3" xfId="43147" xr:uid="{00000000-0005-0000-0000-0000F6AB0000}"/>
    <cellStyle name="Normal 4 2 5 2 3 3 5" xfId="19231" xr:uid="{00000000-0005-0000-0000-0000F7AB0000}"/>
    <cellStyle name="Normal 4 2 5 2 3 3 5 2" xfId="51102" xr:uid="{00000000-0005-0000-0000-0000F8AB0000}"/>
    <cellStyle name="Normal 4 2 5 2 3 3 6" xfId="43140" xr:uid="{00000000-0005-0000-0000-0000F9AB0000}"/>
    <cellStyle name="Normal 4 2 5 2 3 4" xfId="11269" xr:uid="{00000000-0005-0000-0000-0000FAAB0000}"/>
    <cellStyle name="Normal 4 2 5 2 3 4 2" xfId="11270" xr:uid="{00000000-0005-0000-0000-0000FBAB0000}"/>
    <cellStyle name="Normal 4 2 5 2 3 4 2 2" xfId="11271" xr:uid="{00000000-0005-0000-0000-0000FCAB0000}"/>
    <cellStyle name="Normal 4 2 5 2 3 4 2 2 2" xfId="31050" xr:uid="{00000000-0005-0000-0000-0000FDAB0000}"/>
    <cellStyle name="Normal 4 2 5 2 3 4 2 2 2 2" xfId="62921" xr:uid="{00000000-0005-0000-0000-0000FEAB0000}"/>
    <cellStyle name="Normal 4 2 5 2 3 4 2 2 3" xfId="43150" xr:uid="{00000000-0005-0000-0000-0000FFAB0000}"/>
    <cellStyle name="Normal 4 2 5 2 3 4 2 3" xfId="23172" xr:uid="{00000000-0005-0000-0000-000000AC0000}"/>
    <cellStyle name="Normal 4 2 5 2 3 4 2 3 2" xfId="55043" xr:uid="{00000000-0005-0000-0000-000001AC0000}"/>
    <cellStyle name="Normal 4 2 5 2 3 4 2 4" xfId="43149" xr:uid="{00000000-0005-0000-0000-000002AC0000}"/>
    <cellStyle name="Normal 4 2 5 2 3 4 3" xfId="11272" xr:uid="{00000000-0005-0000-0000-000003AC0000}"/>
    <cellStyle name="Normal 4 2 5 2 3 4 3 2" xfId="27111" xr:uid="{00000000-0005-0000-0000-000004AC0000}"/>
    <cellStyle name="Normal 4 2 5 2 3 4 3 2 2" xfId="58982" xr:uid="{00000000-0005-0000-0000-000005AC0000}"/>
    <cellStyle name="Normal 4 2 5 2 3 4 3 3" xfId="43151" xr:uid="{00000000-0005-0000-0000-000006AC0000}"/>
    <cellStyle name="Normal 4 2 5 2 3 4 4" xfId="19233" xr:uid="{00000000-0005-0000-0000-000007AC0000}"/>
    <cellStyle name="Normal 4 2 5 2 3 4 4 2" xfId="51104" xr:uid="{00000000-0005-0000-0000-000008AC0000}"/>
    <cellStyle name="Normal 4 2 5 2 3 4 5" xfId="43148" xr:uid="{00000000-0005-0000-0000-000009AC0000}"/>
    <cellStyle name="Normal 4 2 5 2 3 5" xfId="11273" xr:uid="{00000000-0005-0000-0000-00000AAC0000}"/>
    <cellStyle name="Normal 4 2 5 2 3 5 2" xfId="11274" xr:uid="{00000000-0005-0000-0000-00000BAC0000}"/>
    <cellStyle name="Normal 4 2 5 2 3 5 2 2" xfId="31043" xr:uid="{00000000-0005-0000-0000-00000CAC0000}"/>
    <cellStyle name="Normal 4 2 5 2 3 5 2 2 2" xfId="62914" xr:uid="{00000000-0005-0000-0000-00000DAC0000}"/>
    <cellStyle name="Normal 4 2 5 2 3 5 2 3" xfId="43153" xr:uid="{00000000-0005-0000-0000-00000EAC0000}"/>
    <cellStyle name="Normal 4 2 5 2 3 5 3" xfId="23165" xr:uid="{00000000-0005-0000-0000-00000FAC0000}"/>
    <cellStyle name="Normal 4 2 5 2 3 5 3 2" xfId="55036" xr:uid="{00000000-0005-0000-0000-000010AC0000}"/>
    <cellStyle name="Normal 4 2 5 2 3 5 4" xfId="43152" xr:uid="{00000000-0005-0000-0000-000011AC0000}"/>
    <cellStyle name="Normal 4 2 5 2 3 6" xfId="11275" xr:uid="{00000000-0005-0000-0000-000012AC0000}"/>
    <cellStyle name="Normal 4 2 5 2 3 6 2" xfId="27104" xr:uid="{00000000-0005-0000-0000-000013AC0000}"/>
    <cellStyle name="Normal 4 2 5 2 3 6 2 2" xfId="58975" xr:uid="{00000000-0005-0000-0000-000014AC0000}"/>
    <cellStyle name="Normal 4 2 5 2 3 6 3" xfId="43154" xr:uid="{00000000-0005-0000-0000-000015AC0000}"/>
    <cellStyle name="Normal 4 2 5 2 3 7" xfId="19226" xr:uid="{00000000-0005-0000-0000-000016AC0000}"/>
    <cellStyle name="Normal 4 2 5 2 3 7 2" xfId="51097" xr:uid="{00000000-0005-0000-0000-000017AC0000}"/>
    <cellStyle name="Normal 4 2 5 2 3 8" xfId="43123" xr:uid="{00000000-0005-0000-0000-000018AC0000}"/>
    <cellStyle name="Normal 4 2 5 2 4" xfId="11276" xr:uid="{00000000-0005-0000-0000-000019AC0000}"/>
    <cellStyle name="Normal 4 2 5 2 4 2" xfId="11277" xr:uid="{00000000-0005-0000-0000-00001AAC0000}"/>
    <cellStyle name="Normal 4 2 5 2 4 2 2" xfId="11278" xr:uid="{00000000-0005-0000-0000-00001BAC0000}"/>
    <cellStyle name="Normal 4 2 5 2 4 2 2 2" xfId="11279" xr:uid="{00000000-0005-0000-0000-00001CAC0000}"/>
    <cellStyle name="Normal 4 2 5 2 4 2 2 2 2" xfId="11280" xr:uid="{00000000-0005-0000-0000-00001DAC0000}"/>
    <cellStyle name="Normal 4 2 5 2 4 2 2 2 2 2" xfId="31053" xr:uid="{00000000-0005-0000-0000-00001EAC0000}"/>
    <cellStyle name="Normal 4 2 5 2 4 2 2 2 2 2 2" xfId="62924" xr:uid="{00000000-0005-0000-0000-00001FAC0000}"/>
    <cellStyle name="Normal 4 2 5 2 4 2 2 2 2 3" xfId="43159" xr:uid="{00000000-0005-0000-0000-000020AC0000}"/>
    <cellStyle name="Normal 4 2 5 2 4 2 2 2 3" xfId="23175" xr:uid="{00000000-0005-0000-0000-000021AC0000}"/>
    <cellStyle name="Normal 4 2 5 2 4 2 2 2 3 2" xfId="55046" xr:uid="{00000000-0005-0000-0000-000022AC0000}"/>
    <cellStyle name="Normal 4 2 5 2 4 2 2 2 4" xfId="43158" xr:uid="{00000000-0005-0000-0000-000023AC0000}"/>
    <cellStyle name="Normal 4 2 5 2 4 2 2 3" xfId="11281" xr:uid="{00000000-0005-0000-0000-000024AC0000}"/>
    <cellStyle name="Normal 4 2 5 2 4 2 2 3 2" xfId="27114" xr:uid="{00000000-0005-0000-0000-000025AC0000}"/>
    <cellStyle name="Normal 4 2 5 2 4 2 2 3 2 2" xfId="58985" xr:uid="{00000000-0005-0000-0000-000026AC0000}"/>
    <cellStyle name="Normal 4 2 5 2 4 2 2 3 3" xfId="43160" xr:uid="{00000000-0005-0000-0000-000027AC0000}"/>
    <cellStyle name="Normal 4 2 5 2 4 2 2 4" xfId="19236" xr:uid="{00000000-0005-0000-0000-000028AC0000}"/>
    <cellStyle name="Normal 4 2 5 2 4 2 2 4 2" xfId="51107" xr:uid="{00000000-0005-0000-0000-000029AC0000}"/>
    <cellStyle name="Normal 4 2 5 2 4 2 2 5" xfId="43157" xr:uid="{00000000-0005-0000-0000-00002AAC0000}"/>
    <cellStyle name="Normal 4 2 5 2 4 2 3" xfId="11282" xr:uid="{00000000-0005-0000-0000-00002BAC0000}"/>
    <cellStyle name="Normal 4 2 5 2 4 2 3 2" xfId="11283" xr:uid="{00000000-0005-0000-0000-00002CAC0000}"/>
    <cellStyle name="Normal 4 2 5 2 4 2 3 2 2" xfId="31052" xr:uid="{00000000-0005-0000-0000-00002DAC0000}"/>
    <cellStyle name="Normal 4 2 5 2 4 2 3 2 2 2" xfId="62923" xr:uid="{00000000-0005-0000-0000-00002EAC0000}"/>
    <cellStyle name="Normal 4 2 5 2 4 2 3 2 3" xfId="43162" xr:uid="{00000000-0005-0000-0000-00002FAC0000}"/>
    <cellStyle name="Normal 4 2 5 2 4 2 3 3" xfId="23174" xr:uid="{00000000-0005-0000-0000-000030AC0000}"/>
    <cellStyle name="Normal 4 2 5 2 4 2 3 3 2" xfId="55045" xr:uid="{00000000-0005-0000-0000-000031AC0000}"/>
    <cellStyle name="Normal 4 2 5 2 4 2 3 4" xfId="43161" xr:uid="{00000000-0005-0000-0000-000032AC0000}"/>
    <cellStyle name="Normal 4 2 5 2 4 2 4" xfId="11284" xr:uid="{00000000-0005-0000-0000-000033AC0000}"/>
    <cellStyle name="Normal 4 2 5 2 4 2 4 2" xfId="27113" xr:uid="{00000000-0005-0000-0000-000034AC0000}"/>
    <cellStyle name="Normal 4 2 5 2 4 2 4 2 2" xfId="58984" xr:uid="{00000000-0005-0000-0000-000035AC0000}"/>
    <cellStyle name="Normal 4 2 5 2 4 2 4 3" xfId="43163" xr:uid="{00000000-0005-0000-0000-000036AC0000}"/>
    <cellStyle name="Normal 4 2 5 2 4 2 5" xfId="19235" xr:uid="{00000000-0005-0000-0000-000037AC0000}"/>
    <cellStyle name="Normal 4 2 5 2 4 2 5 2" xfId="51106" xr:uid="{00000000-0005-0000-0000-000038AC0000}"/>
    <cellStyle name="Normal 4 2 5 2 4 2 6" xfId="43156" xr:uid="{00000000-0005-0000-0000-000039AC0000}"/>
    <cellStyle name="Normal 4 2 5 2 4 3" xfId="11285" xr:uid="{00000000-0005-0000-0000-00003AAC0000}"/>
    <cellStyle name="Normal 4 2 5 2 4 3 2" xfId="11286" xr:uid="{00000000-0005-0000-0000-00003BAC0000}"/>
    <cellStyle name="Normal 4 2 5 2 4 3 2 2" xfId="11287" xr:uid="{00000000-0005-0000-0000-00003CAC0000}"/>
    <cellStyle name="Normal 4 2 5 2 4 3 2 2 2" xfId="31054" xr:uid="{00000000-0005-0000-0000-00003DAC0000}"/>
    <cellStyle name="Normal 4 2 5 2 4 3 2 2 2 2" xfId="62925" xr:uid="{00000000-0005-0000-0000-00003EAC0000}"/>
    <cellStyle name="Normal 4 2 5 2 4 3 2 2 3" xfId="43166" xr:uid="{00000000-0005-0000-0000-00003FAC0000}"/>
    <cellStyle name="Normal 4 2 5 2 4 3 2 3" xfId="23176" xr:uid="{00000000-0005-0000-0000-000040AC0000}"/>
    <cellStyle name="Normal 4 2 5 2 4 3 2 3 2" xfId="55047" xr:uid="{00000000-0005-0000-0000-000041AC0000}"/>
    <cellStyle name="Normal 4 2 5 2 4 3 2 4" xfId="43165" xr:uid="{00000000-0005-0000-0000-000042AC0000}"/>
    <cellStyle name="Normal 4 2 5 2 4 3 3" xfId="11288" xr:uid="{00000000-0005-0000-0000-000043AC0000}"/>
    <cellStyle name="Normal 4 2 5 2 4 3 3 2" xfId="27115" xr:uid="{00000000-0005-0000-0000-000044AC0000}"/>
    <cellStyle name="Normal 4 2 5 2 4 3 3 2 2" xfId="58986" xr:uid="{00000000-0005-0000-0000-000045AC0000}"/>
    <cellStyle name="Normal 4 2 5 2 4 3 3 3" xfId="43167" xr:uid="{00000000-0005-0000-0000-000046AC0000}"/>
    <cellStyle name="Normal 4 2 5 2 4 3 4" xfId="19237" xr:uid="{00000000-0005-0000-0000-000047AC0000}"/>
    <cellStyle name="Normal 4 2 5 2 4 3 4 2" xfId="51108" xr:uid="{00000000-0005-0000-0000-000048AC0000}"/>
    <cellStyle name="Normal 4 2 5 2 4 3 5" xfId="43164" xr:uid="{00000000-0005-0000-0000-000049AC0000}"/>
    <cellStyle name="Normal 4 2 5 2 4 4" xfId="11289" xr:uid="{00000000-0005-0000-0000-00004AAC0000}"/>
    <cellStyle name="Normal 4 2 5 2 4 4 2" xfId="11290" xr:uid="{00000000-0005-0000-0000-00004BAC0000}"/>
    <cellStyle name="Normal 4 2 5 2 4 4 2 2" xfId="31051" xr:uid="{00000000-0005-0000-0000-00004CAC0000}"/>
    <cellStyle name="Normal 4 2 5 2 4 4 2 2 2" xfId="62922" xr:uid="{00000000-0005-0000-0000-00004DAC0000}"/>
    <cellStyle name="Normal 4 2 5 2 4 4 2 3" xfId="43169" xr:uid="{00000000-0005-0000-0000-00004EAC0000}"/>
    <cellStyle name="Normal 4 2 5 2 4 4 3" xfId="23173" xr:uid="{00000000-0005-0000-0000-00004FAC0000}"/>
    <cellStyle name="Normal 4 2 5 2 4 4 3 2" xfId="55044" xr:uid="{00000000-0005-0000-0000-000050AC0000}"/>
    <cellStyle name="Normal 4 2 5 2 4 4 4" xfId="43168" xr:uid="{00000000-0005-0000-0000-000051AC0000}"/>
    <cellStyle name="Normal 4 2 5 2 4 5" xfId="11291" xr:uid="{00000000-0005-0000-0000-000052AC0000}"/>
    <cellStyle name="Normal 4 2 5 2 4 5 2" xfId="27112" xr:uid="{00000000-0005-0000-0000-000053AC0000}"/>
    <cellStyle name="Normal 4 2 5 2 4 5 2 2" xfId="58983" xr:uid="{00000000-0005-0000-0000-000054AC0000}"/>
    <cellStyle name="Normal 4 2 5 2 4 5 3" xfId="43170" xr:uid="{00000000-0005-0000-0000-000055AC0000}"/>
    <cellStyle name="Normal 4 2 5 2 4 6" xfId="19234" xr:uid="{00000000-0005-0000-0000-000056AC0000}"/>
    <cellStyle name="Normal 4 2 5 2 4 6 2" xfId="51105" xr:uid="{00000000-0005-0000-0000-000057AC0000}"/>
    <cellStyle name="Normal 4 2 5 2 4 7" xfId="43155" xr:uid="{00000000-0005-0000-0000-000058AC0000}"/>
    <cellStyle name="Normal 4 2 5 2 5" xfId="11292" xr:uid="{00000000-0005-0000-0000-000059AC0000}"/>
    <cellStyle name="Normal 4 2 5 2 5 2" xfId="11293" xr:uid="{00000000-0005-0000-0000-00005AAC0000}"/>
    <cellStyle name="Normal 4 2 5 2 5 2 2" xfId="11294" xr:uid="{00000000-0005-0000-0000-00005BAC0000}"/>
    <cellStyle name="Normal 4 2 5 2 5 2 2 2" xfId="11295" xr:uid="{00000000-0005-0000-0000-00005CAC0000}"/>
    <cellStyle name="Normal 4 2 5 2 5 2 2 2 2" xfId="31056" xr:uid="{00000000-0005-0000-0000-00005DAC0000}"/>
    <cellStyle name="Normal 4 2 5 2 5 2 2 2 2 2" xfId="62927" xr:uid="{00000000-0005-0000-0000-00005EAC0000}"/>
    <cellStyle name="Normal 4 2 5 2 5 2 2 2 3" xfId="43174" xr:uid="{00000000-0005-0000-0000-00005FAC0000}"/>
    <cellStyle name="Normal 4 2 5 2 5 2 2 3" xfId="23178" xr:uid="{00000000-0005-0000-0000-000060AC0000}"/>
    <cellStyle name="Normal 4 2 5 2 5 2 2 3 2" xfId="55049" xr:uid="{00000000-0005-0000-0000-000061AC0000}"/>
    <cellStyle name="Normal 4 2 5 2 5 2 2 4" xfId="43173" xr:uid="{00000000-0005-0000-0000-000062AC0000}"/>
    <cellStyle name="Normal 4 2 5 2 5 2 3" xfId="11296" xr:uid="{00000000-0005-0000-0000-000063AC0000}"/>
    <cellStyle name="Normal 4 2 5 2 5 2 3 2" xfId="27117" xr:uid="{00000000-0005-0000-0000-000064AC0000}"/>
    <cellStyle name="Normal 4 2 5 2 5 2 3 2 2" xfId="58988" xr:uid="{00000000-0005-0000-0000-000065AC0000}"/>
    <cellStyle name="Normal 4 2 5 2 5 2 3 3" xfId="43175" xr:uid="{00000000-0005-0000-0000-000066AC0000}"/>
    <cellStyle name="Normal 4 2 5 2 5 2 4" xfId="19239" xr:uid="{00000000-0005-0000-0000-000067AC0000}"/>
    <cellStyle name="Normal 4 2 5 2 5 2 4 2" xfId="51110" xr:uid="{00000000-0005-0000-0000-000068AC0000}"/>
    <cellStyle name="Normal 4 2 5 2 5 2 5" xfId="43172" xr:uid="{00000000-0005-0000-0000-000069AC0000}"/>
    <cellStyle name="Normal 4 2 5 2 5 3" xfId="11297" xr:uid="{00000000-0005-0000-0000-00006AAC0000}"/>
    <cellStyle name="Normal 4 2 5 2 5 3 2" xfId="11298" xr:uid="{00000000-0005-0000-0000-00006BAC0000}"/>
    <cellStyle name="Normal 4 2 5 2 5 3 2 2" xfId="31055" xr:uid="{00000000-0005-0000-0000-00006CAC0000}"/>
    <cellStyle name="Normal 4 2 5 2 5 3 2 2 2" xfId="62926" xr:uid="{00000000-0005-0000-0000-00006DAC0000}"/>
    <cellStyle name="Normal 4 2 5 2 5 3 2 3" xfId="43177" xr:uid="{00000000-0005-0000-0000-00006EAC0000}"/>
    <cellStyle name="Normal 4 2 5 2 5 3 3" xfId="23177" xr:uid="{00000000-0005-0000-0000-00006FAC0000}"/>
    <cellStyle name="Normal 4 2 5 2 5 3 3 2" xfId="55048" xr:uid="{00000000-0005-0000-0000-000070AC0000}"/>
    <cellStyle name="Normal 4 2 5 2 5 3 4" xfId="43176" xr:uid="{00000000-0005-0000-0000-000071AC0000}"/>
    <cellStyle name="Normal 4 2 5 2 5 4" xfId="11299" xr:uid="{00000000-0005-0000-0000-000072AC0000}"/>
    <cellStyle name="Normal 4 2 5 2 5 4 2" xfId="27116" xr:uid="{00000000-0005-0000-0000-000073AC0000}"/>
    <cellStyle name="Normal 4 2 5 2 5 4 2 2" xfId="58987" xr:uid="{00000000-0005-0000-0000-000074AC0000}"/>
    <cellStyle name="Normal 4 2 5 2 5 4 3" xfId="43178" xr:uid="{00000000-0005-0000-0000-000075AC0000}"/>
    <cellStyle name="Normal 4 2 5 2 5 5" xfId="19238" xr:uid="{00000000-0005-0000-0000-000076AC0000}"/>
    <cellStyle name="Normal 4 2 5 2 5 5 2" xfId="51109" xr:uid="{00000000-0005-0000-0000-000077AC0000}"/>
    <cellStyle name="Normal 4 2 5 2 5 6" xfId="43171" xr:uid="{00000000-0005-0000-0000-000078AC0000}"/>
    <cellStyle name="Normal 4 2 5 2 6" xfId="11300" xr:uid="{00000000-0005-0000-0000-000079AC0000}"/>
    <cellStyle name="Normal 4 2 5 2 6 2" xfId="11301" xr:uid="{00000000-0005-0000-0000-00007AAC0000}"/>
    <cellStyle name="Normal 4 2 5 2 6 2 2" xfId="11302" xr:uid="{00000000-0005-0000-0000-00007BAC0000}"/>
    <cellStyle name="Normal 4 2 5 2 6 2 2 2" xfId="31057" xr:uid="{00000000-0005-0000-0000-00007CAC0000}"/>
    <cellStyle name="Normal 4 2 5 2 6 2 2 2 2" xfId="62928" xr:uid="{00000000-0005-0000-0000-00007DAC0000}"/>
    <cellStyle name="Normal 4 2 5 2 6 2 2 3" xfId="43181" xr:uid="{00000000-0005-0000-0000-00007EAC0000}"/>
    <cellStyle name="Normal 4 2 5 2 6 2 3" xfId="23179" xr:uid="{00000000-0005-0000-0000-00007FAC0000}"/>
    <cellStyle name="Normal 4 2 5 2 6 2 3 2" xfId="55050" xr:uid="{00000000-0005-0000-0000-000080AC0000}"/>
    <cellStyle name="Normal 4 2 5 2 6 2 4" xfId="43180" xr:uid="{00000000-0005-0000-0000-000081AC0000}"/>
    <cellStyle name="Normal 4 2 5 2 6 3" xfId="11303" xr:uid="{00000000-0005-0000-0000-000082AC0000}"/>
    <cellStyle name="Normal 4 2 5 2 6 3 2" xfId="27118" xr:uid="{00000000-0005-0000-0000-000083AC0000}"/>
    <cellStyle name="Normal 4 2 5 2 6 3 2 2" xfId="58989" xr:uid="{00000000-0005-0000-0000-000084AC0000}"/>
    <cellStyle name="Normal 4 2 5 2 6 3 3" xfId="43182" xr:uid="{00000000-0005-0000-0000-000085AC0000}"/>
    <cellStyle name="Normal 4 2 5 2 6 4" xfId="19240" xr:uid="{00000000-0005-0000-0000-000086AC0000}"/>
    <cellStyle name="Normal 4 2 5 2 6 4 2" xfId="51111" xr:uid="{00000000-0005-0000-0000-000087AC0000}"/>
    <cellStyle name="Normal 4 2 5 2 6 5" xfId="43179" xr:uid="{00000000-0005-0000-0000-000088AC0000}"/>
    <cellStyle name="Normal 4 2 5 2 7" xfId="11304" xr:uid="{00000000-0005-0000-0000-000089AC0000}"/>
    <cellStyle name="Normal 4 2 5 2 7 2" xfId="11305" xr:uid="{00000000-0005-0000-0000-00008AAC0000}"/>
    <cellStyle name="Normal 4 2 5 2 7 2 2" xfId="28319" xr:uid="{00000000-0005-0000-0000-00008BAC0000}"/>
    <cellStyle name="Normal 4 2 5 2 7 2 2 2" xfId="60190" xr:uid="{00000000-0005-0000-0000-00008CAC0000}"/>
    <cellStyle name="Normal 4 2 5 2 7 2 3" xfId="43184" xr:uid="{00000000-0005-0000-0000-00008DAC0000}"/>
    <cellStyle name="Normal 4 2 5 2 7 3" xfId="20441" xr:uid="{00000000-0005-0000-0000-00008EAC0000}"/>
    <cellStyle name="Normal 4 2 5 2 7 3 2" xfId="52312" xr:uid="{00000000-0005-0000-0000-00008FAC0000}"/>
    <cellStyle name="Normal 4 2 5 2 7 4" xfId="43183" xr:uid="{00000000-0005-0000-0000-000090AC0000}"/>
    <cellStyle name="Normal 4 2 5 2 8" xfId="11306" xr:uid="{00000000-0005-0000-0000-000091AC0000}"/>
    <cellStyle name="Normal 4 2 5 2 8 2" xfId="24380" xr:uid="{00000000-0005-0000-0000-000092AC0000}"/>
    <cellStyle name="Normal 4 2 5 2 8 2 2" xfId="56251" xr:uid="{00000000-0005-0000-0000-000093AC0000}"/>
    <cellStyle name="Normal 4 2 5 2 8 3" xfId="43185" xr:uid="{00000000-0005-0000-0000-000094AC0000}"/>
    <cellStyle name="Normal 4 2 5 2 9" xfId="16502" xr:uid="{00000000-0005-0000-0000-000095AC0000}"/>
    <cellStyle name="Normal 4 2 5 2 9 2" xfId="48373" xr:uid="{00000000-0005-0000-0000-000096AC0000}"/>
    <cellStyle name="Normal 4 2 5 3" xfId="11307" xr:uid="{00000000-0005-0000-0000-000097AC0000}"/>
    <cellStyle name="Normal 4 2 5 3 10" xfId="43186" xr:uid="{00000000-0005-0000-0000-000098AC0000}"/>
    <cellStyle name="Normal 4 2 5 3 2" xfId="11308" xr:uid="{00000000-0005-0000-0000-000099AC0000}"/>
    <cellStyle name="Normal 4 2 5 3 2 2" xfId="11309" xr:uid="{00000000-0005-0000-0000-00009AAC0000}"/>
    <cellStyle name="Normal 4 2 5 3 2 2 2" xfId="11310" xr:uid="{00000000-0005-0000-0000-00009BAC0000}"/>
    <cellStyle name="Normal 4 2 5 3 2 2 2 2" xfId="11311" xr:uid="{00000000-0005-0000-0000-00009CAC0000}"/>
    <cellStyle name="Normal 4 2 5 3 2 2 2 2 2" xfId="11312" xr:uid="{00000000-0005-0000-0000-00009DAC0000}"/>
    <cellStyle name="Normal 4 2 5 3 2 2 2 2 2 2" xfId="11313" xr:uid="{00000000-0005-0000-0000-00009EAC0000}"/>
    <cellStyle name="Normal 4 2 5 3 2 2 2 2 2 2 2" xfId="11314" xr:uid="{00000000-0005-0000-0000-00009FAC0000}"/>
    <cellStyle name="Normal 4 2 5 3 2 2 2 2 2 2 2 2" xfId="31061" xr:uid="{00000000-0005-0000-0000-0000A0AC0000}"/>
    <cellStyle name="Normal 4 2 5 3 2 2 2 2 2 2 2 2 2" xfId="62932" xr:uid="{00000000-0005-0000-0000-0000A1AC0000}"/>
    <cellStyle name="Normal 4 2 5 3 2 2 2 2 2 2 2 3" xfId="43193" xr:uid="{00000000-0005-0000-0000-0000A2AC0000}"/>
    <cellStyle name="Normal 4 2 5 3 2 2 2 2 2 2 3" xfId="23183" xr:uid="{00000000-0005-0000-0000-0000A3AC0000}"/>
    <cellStyle name="Normal 4 2 5 3 2 2 2 2 2 2 3 2" xfId="55054" xr:uid="{00000000-0005-0000-0000-0000A4AC0000}"/>
    <cellStyle name="Normal 4 2 5 3 2 2 2 2 2 2 4" xfId="43192" xr:uid="{00000000-0005-0000-0000-0000A5AC0000}"/>
    <cellStyle name="Normal 4 2 5 3 2 2 2 2 2 3" xfId="11315" xr:uid="{00000000-0005-0000-0000-0000A6AC0000}"/>
    <cellStyle name="Normal 4 2 5 3 2 2 2 2 2 3 2" xfId="27122" xr:uid="{00000000-0005-0000-0000-0000A7AC0000}"/>
    <cellStyle name="Normal 4 2 5 3 2 2 2 2 2 3 2 2" xfId="58993" xr:uid="{00000000-0005-0000-0000-0000A8AC0000}"/>
    <cellStyle name="Normal 4 2 5 3 2 2 2 2 2 3 3" xfId="43194" xr:uid="{00000000-0005-0000-0000-0000A9AC0000}"/>
    <cellStyle name="Normal 4 2 5 3 2 2 2 2 2 4" xfId="19244" xr:uid="{00000000-0005-0000-0000-0000AAAC0000}"/>
    <cellStyle name="Normal 4 2 5 3 2 2 2 2 2 4 2" xfId="51115" xr:uid="{00000000-0005-0000-0000-0000ABAC0000}"/>
    <cellStyle name="Normal 4 2 5 3 2 2 2 2 2 5" xfId="43191" xr:uid="{00000000-0005-0000-0000-0000ACAC0000}"/>
    <cellStyle name="Normal 4 2 5 3 2 2 2 2 3" xfId="11316" xr:uid="{00000000-0005-0000-0000-0000ADAC0000}"/>
    <cellStyle name="Normal 4 2 5 3 2 2 2 2 3 2" xfId="11317" xr:uid="{00000000-0005-0000-0000-0000AEAC0000}"/>
    <cellStyle name="Normal 4 2 5 3 2 2 2 2 3 2 2" xfId="31060" xr:uid="{00000000-0005-0000-0000-0000AFAC0000}"/>
    <cellStyle name="Normal 4 2 5 3 2 2 2 2 3 2 2 2" xfId="62931" xr:uid="{00000000-0005-0000-0000-0000B0AC0000}"/>
    <cellStyle name="Normal 4 2 5 3 2 2 2 2 3 2 3" xfId="43196" xr:uid="{00000000-0005-0000-0000-0000B1AC0000}"/>
    <cellStyle name="Normal 4 2 5 3 2 2 2 2 3 3" xfId="23182" xr:uid="{00000000-0005-0000-0000-0000B2AC0000}"/>
    <cellStyle name="Normal 4 2 5 3 2 2 2 2 3 3 2" xfId="55053" xr:uid="{00000000-0005-0000-0000-0000B3AC0000}"/>
    <cellStyle name="Normal 4 2 5 3 2 2 2 2 3 4" xfId="43195" xr:uid="{00000000-0005-0000-0000-0000B4AC0000}"/>
    <cellStyle name="Normal 4 2 5 3 2 2 2 2 4" xfId="11318" xr:uid="{00000000-0005-0000-0000-0000B5AC0000}"/>
    <cellStyle name="Normal 4 2 5 3 2 2 2 2 4 2" xfId="27121" xr:uid="{00000000-0005-0000-0000-0000B6AC0000}"/>
    <cellStyle name="Normal 4 2 5 3 2 2 2 2 4 2 2" xfId="58992" xr:uid="{00000000-0005-0000-0000-0000B7AC0000}"/>
    <cellStyle name="Normal 4 2 5 3 2 2 2 2 4 3" xfId="43197" xr:uid="{00000000-0005-0000-0000-0000B8AC0000}"/>
    <cellStyle name="Normal 4 2 5 3 2 2 2 2 5" xfId="19243" xr:uid="{00000000-0005-0000-0000-0000B9AC0000}"/>
    <cellStyle name="Normal 4 2 5 3 2 2 2 2 5 2" xfId="51114" xr:uid="{00000000-0005-0000-0000-0000BAAC0000}"/>
    <cellStyle name="Normal 4 2 5 3 2 2 2 2 6" xfId="43190" xr:uid="{00000000-0005-0000-0000-0000BBAC0000}"/>
    <cellStyle name="Normal 4 2 5 3 2 2 2 3" xfId="11319" xr:uid="{00000000-0005-0000-0000-0000BCAC0000}"/>
    <cellStyle name="Normal 4 2 5 3 2 2 2 3 2" xfId="11320" xr:uid="{00000000-0005-0000-0000-0000BDAC0000}"/>
    <cellStyle name="Normal 4 2 5 3 2 2 2 3 2 2" xfId="11321" xr:uid="{00000000-0005-0000-0000-0000BEAC0000}"/>
    <cellStyle name="Normal 4 2 5 3 2 2 2 3 2 2 2" xfId="31062" xr:uid="{00000000-0005-0000-0000-0000BFAC0000}"/>
    <cellStyle name="Normal 4 2 5 3 2 2 2 3 2 2 2 2" xfId="62933" xr:uid="{00000000-0005-0000-0000-0000C0AC0000}"/>
    <cellStyle name="Normal 4 2 5 3 2 2 2 3 2 2 3" xfId="43200" xr:uid="{00000000-0005-0000-0000-0000C1AC0000}"/>
    <cellStyle name="Normal 4 2 5 3 2 2 2 3 2 3" xfId="23184" xr:uid="{00000000-0005-0000-0000-0000C2AC0000}"/>
    <cellStyle name="Normal 4 2 5 3 2 2 2 3 2 3 2" xfId="55055" xr:uid="{00000000-0005-0000-0000-0000C3AC0000}"/>
    <cellStyle name="Normal 4 2 5 3 2 2 2 3 2 4" xfId="43199" xr:uid="{00000000-0005-0000-0000-0000C4AC0000}"/>
    <cellStyle name="Normal 4 2 5 3 2 2 2 3 3" xfId="11322" xr:uid="{00000000-0005-0000-0000-0000C5AC0000}"/>
    <cellStyle name="Normal 4 2 5 3 2 2 2 3 3 2" xfId="27123" xr:uid="{00000000-0005-0000-0000-0000C6AC0000}"/>
    <cellStyle name="Normal 4 2 5 3 2 2 2 3 3 2 2" xfId="58994" xr:uid="{00000000-0005-0000-0000-0000C7AC0000}"/>
    <cellStyle name="Normal 4 2 5 3 2 2 2 3 3 3" xfId="43201" xr:uid="{00000000-0005-0000-0000-0000C8AC0000}"/>
    <cellStyle name="Normal 4 2 5 3 2 2 2 3 4" xfId="19245" xr:uid="{00000000-0005-0000-0000-0000C9AC0000}"/>
    <cellStyle name="Normal 4 2 5 3 2 2 2 3 4 2" xfId="51116" xr:uid="{00000000-0005-0000-0000-0000CAAC0000}"/>
    <cellStyle name="Normal 4 2 5 3 2 2 2 3 5" xfId="43198" xr:uid="{00000000-0005-0000-0000-0000CBAC0000}"/>
    <cellStyle name="Normal 4 2 5 3 2 2 2 4" xfId="11323" xr:uid="{00000000-0005-0000-0000-0000CCAC0000}"/>
    <cellStyle name="Normal 4 2 5 3 2 2 2 4 2" xfId="11324" xr:uid="{00000000-0005-0000-0000-0000CDAC0000}"/>
    <cellStyle name="Normal 4 2 5 3 2 2 2 4 2 2" xfId="31059" xr:uid="{00000000-0005-0000-0000-0000CEAC0000}"/>
    <cellStyle name="Normal 4 2 5 3 2 2 2 4 2 2 2" xfId="62930" xr:uid="{00000000-0005-0000-0000-0000CFAC0000}"/>
    <cellStyle name="Normal 4 2 5 3 2 2 2 4 2 3" xfId="43203" xr:uid="{00000000-0005-0000-0000-0000D0AC0000}"/>
    <cellStyle name="Normal 4 2 5 3 2 2 2 4 3" xfId="23181" xr:uid="{00000000-0005-0000-0000-0000D1AC0000}"/>
    <cellStyle name="Normal 4 2 5 3 2 2 2 4 3 2" xfId="55052" xr:uid="{00000000-0005-0000-0000-0000D2AC0000}"/>
    <cellStyle name="Normal 4 2 5 3 2 2 2 4 4" xfId="43202" xr:uid="{00000000-0005-0000-0000-0000D3AC0000}"/>
    <cellStyle name="Normal 4 2 5 3 2 2 2 5" xfId="11325" xr:uid="{00000000-0005-0000-0000-0000D4AC0000}"/>
    <cellStyle name="Normal 4 2 5 3 2 2 2 5 2" xfId="27120" xr:uid="{00000000-0005-0000-0000-0000D5AC0000}"/>
    <cellStyle name="Normal 4 2 5 3 2 2 2 5 2 2" xfId="58991" xr:uid="{00000000-0005-0000-0000-0000D6AC0000}"/>
    <cellStyle name="Normal 4 2 5 3 2 2 2 5 3" xfId="43204" xr:uid="{00000000-0005-0000-0000-0000D7AC0000}"/>
    <cellStyle name="Normal 4 2 5 3 2 2 2 6" xfId="19242" xr:uid="{00000000-0005-0000-0000-0000D8AC0000}"/>
    <cellStyle name="Normal 4 2 5 3 2 2 2 6 2" xfId="51113" xr:uid="{00000000-0005-0000-0000-0000D9AC0000}"/>
    <cellStyle name="Normal 4 2 5 3 2 2 2 7" xfId="43189" xr:uid="{00000000-0005-0000-0000-0000DAAC0000}"/>
    <cellStyle name="Normal 4 2 5 3 2 2 3" xfId="11326" xr:uid="{00000000-0005-0000-0000-0000DBAC0000}"/>
    <cellStyle name="Normal 4 2 5 3 2 2 3 2" xfId="11327" xr:uid="{00000000-0005-0000-0000-0000DCAC0000}"/>
    <cellStyle name="Normal 4 2 5 3 2 2 3 2 2" xfId="11328" xr:uid="{00000000-0005-0000-0000-0000DDAC0000}"/>
    <cellStyle name="Normal 4 2 5 3 2 2 3 2 2 2" xfId="11329" xr:uid="{00000000-0005-0000-0000-0000DEAC0000}"/>
    <cellStyle name="Normal 4 2 5 3 2 2 3 2 2 2 2" xfId="31064" xr:uid="{00000000-0005-0000-0000-0000DFAC0000}"/>
    <cellStyle name="Normal 4 2 5 3 2 2 3 2 2 2 2 2" xfId="62935" xr:uid="{00000000-0005-0000-0000-0000E0AC0000}"/>
    <cellStyle name="Normal 4 2 5 3 2 2 3 2 2 2 3" xfId="43208" xr:uid="{00000000-0005-0000-0000-0000E1AC0000}"/>
    <cellStyle name="Normal 4 2 5 3 2 2 3 2 2 3" xfId="23186" xr:uid="{00000000-0005-0000-0000-0000E2AC0000}"/>
    <cellStyle name="Normal 4 2 5 3 2 2 3 2 2 3 2" xfId="55057" xr:uid="{00000000-0005-0000-0000-0000E3AC0000}"/>
    <cellStyle name="Normal 4 2 5 3 2 2 3 2 2 4" xfId="43207" xr:uid="{00000000-0005-0000-0000-0000E4AC0000}"/>
    <cellStyle name="Normal 4 2 5 3 2 2 3 2 3" xfId="11330" xr:uid="{00000000-0005-0000-0000-0000E5AC0000}"/>
    <cellStyle name="Normal 4 2 5 3 2 2 3 2 3 2" xfId="27125" xr:uid="{00000000-0005-0000-0000-0000E6AC0000}"/>
    <cellStyle name="Normal 4 2 5 3 2 2 3 2 3 2 2" xfId="58996" xr:uid="{00000000-0005-0000-0000-0000E7AC0000}"/>
    <cellStyle name="Normal 4 2 5 3 2 2 3 2 3 3" xfId="43209" xr:uid="{00000000-0005-0000-0000-0000E8AC0000}"/>
    <cellStyle name="Normal 4 2 5 3 2 2 3 2 4" xfId="19247" xr:uid="{00000000-0005-0000-0000-0000E9AC0000}"/>
    <cellStyle name="Normal 4 2 5 3 2 2 3 2 4 2" xfId="51118" xr:uid="{00000000-0005-0000-0000-0000EAAC0000}"/>
    <cellStyle name="Normal 4 2 5 3 2 2 3 2 5" xfId="43206" xr:uid="{00000000-0005-0000-0000-0000EBAC0000}"/>
    <cellStyle name="Normal 4 2 5 3 2 2 3 3" xfId="11331" xr:uid="{00000000-0005-0000-0000-0000ECAC0000}"/>
    <cellStyle name="Normal 4 2 5 3 2 2 3 3 2" xfId="11332" xr:uid="{00000000-0005-0000-0000-0000EDAC0000}"/>
    <cellStyle name="Normal 4 2 5 3 2 2 3 3 2 2" xfId="31063" xr:uid="{00000000-0005-0000-0000-0000EEAC0000}"/>
    <cellStyle name="Normal 4 2 5 3 2 2 3 3 2 2 2" xfId="62934" xr:uid="{00000000-0005-0000-0000-0000EFAC0000}"/>
    <cellStyle name="Normal 4 2 5 3 2 2 3 3 2 3" xfId="43211" xr:uid="{00000000-0005-0000-0000-0000F0AC0000}"/>
    <cellStyle name="Normal 4 2 5 3 2 2 3 3 3" xfId="23185" xr:uid="{00000000-0005-0000-0000-0000F1AC0000}"/>
    <cellStyle name="Normal 4 2 5 3 2 2 3 3 3 2" xfId="55056" xr:uid="{00000000-0005-0000-0000-0000F2AC0000}"/>
    <cellStyle name="Normal 4 2 5 3 2 2 3 3 4" xfId="43210" xr:uid="{00000000-0005-0000-0000-0000F3AC0000}"/>
    <cellStyle name="Normal 4 2 5 3 2 2 3 4" xfId="11333" xr:uid="{00000000-0005-0000-0000-0000F4AC0000}"/>
    <cellStyle name="Normal 4 2 5 3 2 2 3 4 2" xfId="27124" xr:uid="{00000000-0005-0000-0000-0000F5AC0000}"/>
    <cellStyle name="Normal 4 2 5 3 2 2 3 4 2 2" xfId="58995" xr:uid="{00000000-0005-0000-0000-0000F6AC0000}"/>
    <cellStyle name="Normal 4 2 5 3 2 2 3 4 3" xfId="43212" xr:uid="{00000000-0005-0000-0000-0000F7AC0000}"/>
    <cellStyle name="Normal 4 2 5 3 2 2 3 5" xfId="19246" xr:uid="{00000000-0005-0000-0000-0000F8AC0000}"/>
    <cellStyle name="Normal 4 2 5 3 2 2 3 5 2" xfId="51117" xr:uid="{00000000-0005-0000-0000-0000F9AC0000}"/>
    <cellStyle name="Normal 4 2 5 3 2 2 3 6" xfId="43205" xr:uid="{00000000-0005-0000-0000-0000FAAC0000}"/>
    <cellStyle name="Normal 4 2 5 3 2 2 4" xfId="11334" xr:uid="{00000000-0005-0000-0000-0000FBAC0000}"/>
    <cellStyle name="Normal 4 2 5 3 2 2 4 2" xfId="11335" xr:uid="{00000000-0005-0000-0000-0000FCAC0000}"/>
    <cellStyle name="Normal 4 2 5 3 2 2 4 2 2" xfId="11336" xr:uid="{00000000-0005-0000-0000-0000FDAC0000}"/>
    <cellStyle name="Normal 4 2 5 3 2 2 4 2 2 2" xfId="31065" xr:uid="{00000000-0005-0000-0000-0000FEAC0000}"/>
    <cellStyle name="Normal 4 2 5 3 2 2 4 2 2 2 2" xfId="62936" xr:uid="{00000000-0005-0000-0000-0000FFAC0000}"/>
    <cellStyle name="Normal 4 2 5 3 2 2 4 2 2 3" xfId="43215" xr:uid="{00000000-0005-0000-0000-000000AD0000}"/>
    <cellStyle name="Normal 4 2 5 3 2 2 4 2 3" xfId="23187" xr:uid="{00000000-0005-0000-0000-000001AD0000}"/>
    <cellStyle name="Normal 4 2 5 3 2 2 4 2 3 2" xfId="55058" xr:uid="{00000000-0005-0000-0000-000002AD0000}"/>
    <cellStyle name="Normal 4 2 5 3 2 2 4 2 4" xfId="43214" xr:uid="{00000000-0005-0000-0000-000003AD0000}"/>
    <cellStyle name="Normal 4 2 5 3 2 2 4 3" xfId="11337" xr:uid="{00000000-0005-0000-0000-000004AD0000}"/>
    <cellStyle name="Normal 4 2 5 3 2 2 4 3 2" xfId="27126" xr:uid="{00000000-0005-0000-0000-000005AD0000}"/>
    <cellStyle name="Normal 4 2 5 3 2 2 4 3 2 2" xfId="58997" xr:uid="{00000000-0005-0000-0000-000006AD0000}"/>
    <cellStyle name="Normal 4 2 5 3 2 2 4 3 3" xfId="43216" xr:uid="{00000000-0005-0000-0000-000007AD0000}"/>
    <cellStyle name="Normal 4 2 5 3 2 2 4 4" xfId="19248" xr:uid="{00000000-0005-0000-0000-000008AD0000}"/>
    <cellStyle name="Normal 4 2 5 3 2 2 4 4 2" xfId="51119" xr:uid="{00000000-0005-0000-0000-000009AD0000}"/>
    <cellStyle name="Normal 4 2 5 3 2 2 4 5" xfId="43213" xr:uid="{00000000-0005-0000-0000-00000AAD0000}"/>
    <cellStyle name="Normal 4 2 5 3 2 2 5" xfId="11338" xr:uid="{00000000-0005-0000-0000-00000BAD0000}"/>
    <cellStyle name="Normal 4 2 5 3 2 2 5 2" xfId="11339" xr:uid="{00000000-0005-0000-0000-00000CAD0000}"/>
    <cellStyle name="Normal 4 2 5 3 2 2 5 2 2" xfId="31058" xr:uid="{00000000-0005-0000-0000-00000DAD0000}"/>
    <cellStyle name="Normal 4 2 5 3 2 2 5 2 2 2" xfId="62929" xr:uid="{00000000-0005-0000-0000-00000EAD0000}"/>
    <cellStyle name="Normal 4 2 5 3 2 2 5 2 3" xfId="43218" xr:uid="{00000000-0005-0000-0000-00000FAD0000}"/>
    <cellStyle name="Normal 4 2 5 3 2 2 5 3" xfId="23180" xr:uid="{00000000-0005-0000-0000-000010AD0000}"/>
    <cellStyle name="Normal 4 2 5 3 2 2 5 3 2" xfId="55051" xr:uid="{00000000-0005-0000-0000-000011AD0000}"/>
    <cellStyle name="Normal 4 2 5 3 2 2 5 4" xfId="43217" xr:uid="{00000000-0005-0000-0000-000012AD0000}"/>
    <cellStyle name="Normal 4 2 5 3 2 2 6" xfId="11340" xr:uid="{00000000-0005-0000-0000-000013AD0000}"/>
    <cellStyle name="Normal 4 2 5 3 2 2 6 2" xfId="27119" xr:uid="{00000000-0005-0000-0000-000014AD0000}"/>
    <cellStyle name="Normal 4 2 5 3 2 2 6 2 2" xfId="58990" xr:uid="{00000000-0005-0000-0000-000015AD0000}"/>
    <cellStyle name="Normal 4 2 5 3 2 2 6 3" xfId="43219" xr:uid="{00000000-0005-0000-0000-000016AD0000}"/>
    <cellStyle name="Normal 4 2 5 3 2 2 7" xfId="19241" xr:uid="{00000000-0005-0000-0000-000017AD0000}"/>
    <cellStyle name="Normal 4 2 5 3 2 2 7 2" xfId="51112" xr:uid="{00000000-0005-0000-0000-000018AD0000}"/>
    <cellStyle name="Normal 4 2 5 3 2 2 8" xfId="43188" xr:uid="{00000000-0005-0000-0000-000019AD0000}"/>
    <cellStyle name="Normal 4 2 5 3 2 3" xfId="11341" xr:uid="{00000000-0005-0000-0000-00001AAD0000}"/>
    <cellStyle name="Normal 4 2 5 3 2 3 2" xfId="11342" xr:uid="{00000000-0005-0000-0000-00001BAD0000}"/>
    <cellStyle name="Normal 4 2 5 3 2 3 2 2" xfId="11343" xr:uid="{00000000-0005-0000-0000-00001CAD0000}"/>
    <cellStyle name="Normal 4 2 5 3 2 3 2 2 2" xfId="11344" xr:uid="{00000000-0005-0000-0000-00001DAD0000}"/>
    <cellStyle name="Normal 4 2 5 3 2 3 2 2 2 2" xfId="11345" xr:uid="{00000000-0005-0000-0000-00001EAD0000}"/>
    <cellStyle name="Normal 4 2 5 3 2 3 2 2 2 2 2" xfId="31068" xr:uid="{00000000-0005-0000-0000-00001FAD0000}"/>
    <cellStyle name="Normal 4 2 5 3 2 3 2 2 2 2 2 2" xfId="62939" xr:uid="{00000000-0005-0000-0000-000020AD0000}"/>
    <cellStyle name="Normal 4 2 5 3 2 3 2 2 2 2 3" xfId="43224" xr:uid="{00000000-0005-0000-0000-000021AD0000}"/>
    <cellStyle name="Normal 4 2 5 3 2 3 2 2 2 3" xfId="23190" xr:uid="{00000000-0005-0000-0000-000022AD0000}"/>
    <cellStyle name="Normal 4 2 5 3 2 3 2 2 2 3 2" xfId="55061" xr:uid="{00000000-0005-0000-0000-000023AD0000}"/>
    <cellStyle name="Normal 4 2 5 3 2 3 2 2 2 4" xfId="43223" xr:uid="{00000000-0005-0000-0000-000024AD0000}"/>
    <cellStyle name="Normal 4 2 5 3 2 3 2 2 3" xfId="11346" xr:uid="{00000000-0005-0000-0000-000025AD0000}"/>
    <cellStyle name="Normal 4 2 5 3 2 3 2 2 3 2" xfId="27129" xr:uid="{00000000-0005-0000-0000-000026AD0000}"/>
    <cellStyle name="Normal 4 2 5 3 2 3 2 2 3 2 2" xfId="59000" xr:uid="{00000000-0005-0000-0000-000027AD0000}"/>
    <cellStyle name="Normal 4 2 5 3 2 3 2 2 3 3" xfId="43225" xr:uid="{00000000-0005-0000-0000-000028AD0000}"/>
    <cellStyle name="Normal 4 2 5 3 2 3 2 2 4" xfId="19251" xr:uid="{00000000-0005-0000-0000-000029AD0000}"/>
    <cellStyle name="Normal 4 2 5 3 2 3 2 2 4 2" xfId="51122" xr:uid="{00000000-0005-0000-0000-00002AAD0000}"/>
    <cellStyle name="Normal 4 2 5 3 2 3 2 2 5" xfId="43222" xr:uid="{00000000-0005-0000-0000-00002BAD0000}"/>
    <cellStyle name="Normal 4 2 5 3 2 3 2 3" xfId="11347" xr:uid="{00000000-0005-0000-0000-00002CAD0000}"/>
    <cellStyle name="Normal 4 2 5 3 2 3 2 3 2" xfId="11348" xr:uid="{00000000-0005-0000-0000-00002DAD0000}"/>
    <cellStyle name="Normal 4 2 5 3 2 3 2 3 2 2" xfId="31067" xr:uid="{00000000-0005-0000-0000-00002EAD0000}"/>
    <cellStyle name="Normal 4 2 5 3 2 3 2 3 2 2 2" xfId="62938" xr:uid="{00000000-0005-0000-0000-00002FAD0000}"/>
    <cellStyle name="Normal 4 2 5 3 2 3 2 3 2 3" xfId="43227" xr:uid="{00000000-0005-0000-0000-000030AD0000}"/>
    <cellStyle name="Normal 4 2 5 3 2 3 2 3 3" xfId="23189" xr:uid="{00000000-0005-0000-0000-000031AD0000}"/>
    <cellStyle name="Normal 4 2 5 3 2 3 2 3 3 2" xfId="55060" xr:uid="{00000000-0005-0000-0000-000032AD0000}"/>
    <cellStyle name="Normal 4 2 5 3 2 3 2 3 4" xfId="43226" xr:uid="{00000000-0005-0000-0000-000033AD0000}"/>
    <cellStyle name="Normal 4 2 5 3 2 3 2 4" xfId="11349" xr:uid="{00000000-0005-0000-0000-000034AD0000}"/>
    <cellStyle name="Normal 4 2 5 3 2 3 2 4 2" xfId="27128" xr:uid="{00000000-0005-0000-0000-000035AD0000}"/>
    <cellStyle name="Normal 4 2 5 3 2 3 2 4 2 2" xfId="58999" xr:uid="{00000000-0005-0000-0000-000036AD0000}"/>
    <cellStyle name="Normal 4 2 5 3 2 3 2 4 3" xfId="43228" xr:uid="{00000000-0005-0000-0000-000037AD0000}"/>
    <cellStyle name="Normal 4 2 5 3 2 3 2 5" xfId="19250" xr:uid="{00000000-0005-0000-0000-000038AD0000}"/>
    <cellStyle name="Normal 4 2 5 3 2 3 2 5 2" xfId="51121" xr:uid="{00000000-0005-0000-0000-000039AD0000}"/>
    <cellStyle name="Normal 4 2 5 3 2 3 2 6" xfId="43221" xr:uid="{00000000-0005-0000-0000-00003AAD0000}"/>
    <cellStyle name="Normal 4 2 5 3 2 3 3" xfId="11350" xr:uid="{00000000-0005-0000-0000-00003BAD0000}"/>
    <cellStyle name="Normal 4 2 5 3 2 3 3 2" xfId="11351" xr:uid="{00000000-0005-0000-0000-00003CAD0000}"/>
    <cellStyle name="Normal 4 2 5 3 2 3 3 2 2" xfId="11352" xr:uid="{00000000-0005-0000-0000-00003DAD0000}"/>
    <cellStyle name="Normal 4 2 5 3 2 3 3 2 2 2" xfId="31069" xr:uid="{00000000-0005-0000-0000-00003EAD0000}"/>
    <cellStyle name="Normal 4 2 5 3 2 3 3 2 2 2 2" xfId="62940" xr:uid="{00000000-0005-0000-0000-00003FAD0000}"/>
    <cellStyle name="Normal 4 2 5 3 2 3 3 2 2 3" xfId="43231" xr:uid="{00000000-0005-0000-0000-000040AD0000}"/>
    <cellStyle name="Normal 4 2 5 3 2 3 3 2 3" xfId="23191" xr:uid="{00000000-0005-0000-0000-000041AD0000}"/>
    <cellStyle name="Normal 4 2 5 3 2 3 3 2 3 2" xfId="55062" xr:uid="{00000000-0005-0000-0000-000042AD0000}"/>
    <cellStyle name="Normal 4 2 5 3 2 3 3 2 4" xfId="43230" xr:uid="{00000000-0005-0000-0000-000043AD0000}"/>
    <cellStyle name="Normal 4 2 5 3 2 3 3 3" xfId="11353" xr:uid="{00000000-0005-0000-0000-000044AD0000}"/>
    <cellStyle name="Normal 4 2 5 3 2 3 3 3 2" xfId="27130" xr:uid="{00000000-0005-0000-0000-000045AD0000}"/>
    <cellStyle name="Normal 4 2 5 3 2 3 3 3 2 2" xfId="59001" xr:uid="{00000000-0005-0000-0000-000046AD0000}"/>
    <cellStyle name="Normal 4 2 5 3 2 3 3 3 3" xfId="43232" xr:uid="{00000000-0005-0000-0000-000047AD0000}"/>
    <cellStyle name="Normal 4 2 5 3 2 3 3 4" xfId="19252" xr:uid="{00000000-0005-0000-0000-000048AD0000}"/>
    <cellStyle name="Normal 4 2 5 3 2 3 3 4 2" xfId="51123" xr:uid="{00000000-0005-0000-0000-000049AD0000}"/>
    <cellStyle name="Normal 4 2 5 3 2 3 3 5" xfId="43229" xr:uid="{00000000-0005-0000-0000-00004AAD0000}"/>
    <cellStyle name="Normal 4 2 5 3 2 3 4" xfId="11354" xr:uid="{00000000-0005-0000-0000-00004BAD0000}"/>
    <cellStyle name="Normal 4 2 5 3 2 3 4 2" xfId="11355" xr:uid="{00000000-0005-0000-0000-00004CAD0000}"/>
    <cellStyle name="Normal 4 2 5 3 2 3 4 2 2" xfId="31066" xr:uid="{00000000-0005-0000-0000-00004DAD0000}"/>
    <cellStyle name="Normal 4 2 5 3 2 3 4 2 2 2" xfId="62937" xr:uid="{00000000-0005-0000-0000-00004EAD0000}"/>
    <cellStyle name="Normal 4 2 5 3 2 3 4 2 3" xfId="43234" xr:uid="{00000000-0005-0000-0000-00004FAD0000}"/>
    <cellStyle name="Normal 4 2 5 3 2 3 4 3" xfId="23188" xr:uid="{00000000-0005-0000-0000-000050AD0000}"/>
    <cellStyle name="Normal 4 2 5 3 2 3 4 3 2" xfId="55059" xr:uid="{00000000-0005-0000-0000-000051AD0000}"/>
    <cellStyle name="Normal 4 2 5 3 2 3 4 4" xfId="43233" xr:uid="{00000000-0005-0000-0000-000052AD0000}"/>
    <cellStyle name="Normal 4 2 5 3 2 3 5" xfId="11356" xr:uid="{00000000-0005-0000-0000-000053AD0000}"/>
    <cellStyle name="Normal 4 2 5 3 2 3 5 2" xfId="27127" xr:uid="{00000000-0005-0000-0000-000054AD0000}"/>
    <cellStyle name="Normal 4 2 5 3 2 3 5 2 2" xfId="58998" xr:uid="{00000000-0005-0000-0000-000055AD0000}"/>
    <cellStyle name="Normal 4 2 5 3 2 3 5 3" xfId="43235" xr:uid="{00000000-0005-0000-0000-000056AD0000}"/>
    <cellStyle name="Normal 4 2 5 3 2 3 6" xfId="19249" xr:uid="{00000000-0005-0000-0000-000057AD0000}"/>
    <cellStyle name="Normal 4 2 5 3 2 3 6 2" xfId="51120" xr:uid="{00000000-0005-0000-0000-000058AD0000}"/>
    <cellStyle name="Normal 4 2 5 3 2 3 7" xfId="43220" xr:uid="{00000000-0005-0000-0000-000059AD0000}"/>
    <cellStyle name="Normal 4 2 5 3 2 4" xfId="11357" xr:uid="{00000000-0005-0000-0000-00005AAD0000}"/>
    <cellStyle name="Normal 4 2 5 3 2 4 2" xfId="11358" xr:uid="{00000000-0005-0000-0000-00005BAD0000}"/>
    <cellStyle name="Normal 4 2 5 3 2 4 2 2" xfId="11359" xr:uid="{00000000-0005-0000-0000-00005CAD0000}"/>
    <cellStyle name="Normal 4 2 5 3 2 4 2 2 2" xfId="11360" xr:uid="{00000000-0005-0000-0000-00005DAD0000}"/>
    <cellStyle name="Normal 4 2 5 3 2 4 2 2 2 2" xfId="31071" xr:uid="{00000000-0005-0000-0000-00005EAD0000}"/>
    <cellStyle name="Normal 4 2 5 3 2 4 2 2 2 2 2" xfId="62942" xr:uid="{00000000-0005-0000-0000-00005FAD0000}"/>
    <cellStyle name="Normal 4 2 5 3 2 4 2 2 2 3" xfId="43239" xr:uid="{00000000-0005-0000-0000-000060AD0000}"/>
    <cellStyle name="Normal 4 2 5 3 2 4 2 2 3" xfId="23193" xr:uid="{00000000-0005-0000-0000-000061AD0000}"/>
    <cellStyle name="Normal 4 2 5 3 2 4 2 2 3 2" xfId="55064" xr:uid="{00000000-0005-0000-0000-000062AD0000}"/>
    <cellStyle name="Normal 4 2 5 3 2 4 2 2 4" xfId="43238" xr:uid="{00000000-0005-0000-0000-000063AD0000}"/>
    <cellStyle name="Normal 4 2 5 3 2 4 2 3" xfId="11361" xr:uid="{00000000-0005-0000-0000-000064AD0000}"/>
    <cellStyle name="Normal 4 2 5 3 2 4 2 3 2" xfId="27132" xr:uid="{00000000-0005-0000-0000-000065AD0000}"/>
    <cellStyle name="Normal 4 2 5 3 2 4 2 3 2 2" xfId="59003" xr:uid="{00000000-0005-0000-0000-000066AD0000}"/>
    <cellStyle name="Normal 4 2 5 3 2 4 2 3 3" xfId="43240" xr:uid="{00000000-0005-0000-0000-000067AD0000}"/>
    <cellStyle name="Normal 4 2 5 3 2 4 2 4" xfId="19254" xr:uid="{00000000-0005-0000-0000-000068AD0000}"/>
    <cellStyle name="Normal 4 2 5 3 2 4 2 4 2" xfId="51125" xr:uid="{00000000-0005-0000-0000-000069AD0000}"/>
    <cellStyle name="Normal 4 2 5 3 2 4 2 5" xfId="43237" xr:uid="{00000000-0005-0000-0000-00006AAD0000}"/>
    <cellStyle name="Normal 4 2 5 3 2 4 3" xfId="11362" xr:uid="{00000000-0005-0000-0000-00006BAD0000}"/>
    <cellStyle name="Normal 4 2 5 3 2 4 3 2" xfId="11363" xr:uid="{00000000-0005-0000-0000-00006CAD0000}"/>
    <cellStyle name="Normal 4 2 5 3 2 4 3 2 2" xfId="31070" xr:uid="{00000000-0005-0000-0000-00006DAD0000}"/>
    <cellStyle name="Normal 4 2 5 3 2 4 3 2 2 2" xfId="62941" xr:uid="{00000000-0005-0000-0000-00006EAD0000}"/>
    <cellStyle name="Normal 4 2 5 3 2 4 3 2 3" xfId="43242" xr:uid="{00000000-0005-0000-0000-00006FAD0000}"/>
    <cellStyle name="Normal 4 2 5 3 2 4 3 3" xfId="23192" xr:uid="{00000000-0005-0000-0000-000070AD0000}"/>
    <cellStyle name="Normal 4 2 5 3 2 4 3 3 2" xfId="55063" xr:uid="{00000000-0005-0000-0000-000071AD0000}"/>
    <cellStyle name="Normal 4 2 5 3 2 4 3 4" xfId="43241" xr:uid="{00000000-0005-0000-0000-000072AD0000}"/>
    <cellStyle name="Normal 4 2 5 3 2 4 4" xfId="11364" xr:uid="{00000000-0005-0000-0000-000073AD0000}"/>
    <cellStyle name="Normal 4 2 5 3 2 4 4 2" xfId="27131" xr:uid="{00000000-0005-0000-0000-000074AD0000}"/>
    <cellStyle name="Normal 4 2 5 3 2 4 4 2 2" xfId="59002" xr:uid="{00000000-0005-0000-0000-000075AD0000}"/>
    <cellStyle name="Normal 4 2 5 3 2 4 4 3" xfId="43243" xr:uid="{00000000-0005-0000-0000-000076AD0000}"/>
    <cellStyle name="Normal 4 2 5 3 2 4 5" xfId="19253" xr:uid="{00000000-0005-0000-0000-000077AD0000}"/>
    <cellStyle name="Normal 4 2 5 3 2 4 5 2" xfId="51124" xr:uid="{00000000-0005-0000-0000-000078AD0000}"/>
    <cellStyle name="Normal 4 2 5 3 2 4 6" xfId="43236" xr:uid="{00000000-0005-0000-0000-000079AD0000}"/>
    <cellStyle name="Normal 4 2 5 3 2 5" xfId="11365" xr:uid="{00000000-0005-0000-0000-00007AAD0000}"/>
    <cellStyle name="Normal 4 2 5 3 2 5 2" xfId="11366" xr:uid="{00000000-0005-0000-0000-00007BAD0000}"/>
    <cellStyle name="Normal 4 2 5 3 2 5 2 2" xfId="11367" xr:uid="{00000000-0005-0000-0000-00007CAD0000}"/>
    <cellStyle name="Normal 4 2 5 3 2 5 2 2 2" xfId="31072" xr:uid="{00000000-0005-0000-0000-00007DAD0000}"/>
    <cellStyle name="Normal 4 2 5 3 2 5 2 2 2 2" xfId="62943" xr:uid="{00000000-0005-0000-0000-00007EAD0000}"/>
    <cellStyle name="Normal 4 2 5 3 2 5 2 2 3" xfId="43246" xr:uid="{00000000-0005-0000-0000-00007FAD0000}"/>
    <cellStyle name="Normal 4 2 5 3 2 5 2 3" xfId="23194" xr:uid="{00000000-0005-0000-0000-000080AD0000}"/>
    <cellStyle name="Normal 4 2 5 3 2 5 2 3 2" xfId="55065" xr:uid="{00000000-0005-0000-0000-000081AD0000}"/>
    <cellStyle name="Normal 4 2 5 3 2 5 2 4" xfId="43245" xr:uid="{00000000-0005-0000-0000-000082AD0000}"/>
    <cellStyle name="Normal 4 2 5 3 2 5 3" xfId="11368" xr:uid="{00000000-0005-0000-0000-000083AD0000}"/>
    <cellStyle name="Normal 4 2 5 3 2 5 3 2" xfId="27133" xr:uid="{00000000-0005-0000-0000-000084AD0000}"/>
    <cellStyle name="Normal 4 2 5 3 2 5 3 2 2" xfId="59004" xr:uid="{00000000-0005-0000-0000-000085AD0000}"/>
    <cellStyle name="Normal 4 2 5 3 2 5 3 3" xfId="43247" xr:uid="{00000000-0005-0000-0000-000086AD0000}"/>
    <cellStyle name="Normal 4 2 5 3 2 5 4" xfId="19255" xr:uid="{00000000-0005-0000-0000-000087AD0000}"/>
    <cellStyle name="Normal 4 2 5 3 2 5 4 2" xfId="51126" xr:uid="{00000000-0005-0000-0000-000088AD0000}"/>
    <cellStyle name="Normal 4 2 5 3 2 5 5" xfId="43244" xr:uid="{00000000-0005-0000-0000-000089AD0000}"/>
    <cellStyle name="Normal 4 2 5 3 2 6" xfId="11369" xr:uid="{00000000-0005-0000-0000-00008AAD0000}"/>
    <cellStyle name="Normal 4 2 5 3 2 6 2" xfId="11370" xr:uid="{00000000-0005-0000-0000-00008BAD0000}"/>
    <cellStyle name="Normal 4 2 5 3 2 6 2 2" xfId="28483" xr:uid="{00000000-0005-0000-0000-00008CAD0000}"/>
    <cellStyle name="Normal 4 2 5 3 2 6 2 2 2" xfId="60354" xr:uid="{00000000-0005-0000-0000-00008DAD0000}"/>
    <cellStyle name="Normal 4 2 5 3 2 6 2 3" xfId="43249" xr:uid="{00000000-0005-0000-0000-00008EAD0000}"/>
    <cellStyle name="Normal 4 2 5 3 2 6 3" xfId="20605" xr:uid="{00000000-0005-0000-0000-00008FAD0000}"/>
    <cellStyle name="Normal 4 2 5 3 2 6 3 2" xfId="52476" xr:uid="{00000000-0005-0000-0000-000090AD0000}"/>
    <cellStyle name="Normal 4 2 5 3 2 6 4" xfId="43248" xr:uid="{00000000-0005-0000-0000-000091AD0000}"/>
    <cellStyle name="Normal 4 2 5 3 2 7" xfId="11371" xr:uid="{00000000-0005-0000-0000-000092AD0000}"/>
    <cellStyle name="Normal 4 2 5 3 2 7 2" xfId="24544" xr:uid="{00000000-0005-0000-0000-000093AD0000}"/>
    <cellStyle name="Normal 4 2 5 3 2 7 2 2" xfId="56415" xr:uid="{00000000-0005-0000-0000-000094AD0000}"/>
    <cellStyle name="Normal 4 2 5 3 2 7 3" xfId="43250" xr:uid="{00000000-0005-0000-0000-000095AD0000}"/>
    <cellStyle name="Normal 4 2 5 3 2 8" xfId="16666" xr:uid="{00000000-0005-0000-0000-000096AD0000}"/>
    <cellStyle name="Normal 4 2 5 3 2 8 2" xfId="48537" xr:uid="{00000000-0005-0000-0000-000097AD0000}"/>
    <cellStyle name="Normal 4 2 5 3 2 9" xfId="43187" xr:uid="{00000000-0005-0000-0000-000098AD0000}"/>
    <cellStyle name="Normal 4 2 5 3 3" xfId="11372" xr:uid="{00000000-0005-0000-0000-000099AD0000}"/>
    <cellStyle name="Normal 4 2 5 3 3 2" xfId="11373" xr:uid="{00000000-0005-0000-0000-00009AAD0000}"/>
    <cellStyle name="Normal 4 2 5 3 3 2 2" xfId="11374" xr:uid="{00000000-0005-0000-0000-00009BAD0000}"/>
    <cellStyle name="Normal 4 2 5 3 3 2 2 2" xfId="11375" xr:uid="{00000000-0005-0000-0000-00009CAD0000}"/>
    <cellStyle name="Normal 4 2 5 3 3 2 2 2 2" xfId="11376" xr:uid="{00000000-0005-0000-0000-00009DAD0000}"/>
    <cellStyle name="Normal 4 2 5 3 3 2 2 2 2 2" xfId="11377" xr:uid="{00000000-0005-0000-0000-00009EAD0000}"/>
    <cellStyle name="Normal 4 2 5 3 3 2 2 2 2 2 2" xfId="31076" xr:uid="{00000000-0005-0000-0000-00009FAD0000}"/>
    <cellStyle name="Normal 4 2 5 3 3 2 2 2 2 2 2 2" xfId="62947" xr:uid="{00000000-0005-0000-0000-0000A0AD0000}"/>
    <cellStyle name="Normal 4 2 5 3 3 2 2 2 2 2 3" xfId="43256" xr:uid="{00000000-0005-0000-0000-0000A1AD0000}"/>
    <cellStyle name="Normal 4 2 5 3 3 2 2 2 2 3" xfId="23198" xr:uid="{00000000-0005-0000-0000-0000A2AD0000}"/>
    <cellStyle name="Normal 4 2 5 3 3 2 2 2 2 3 2" xfId="55069" xr:uid="{00000000-0005-0000-0000-0000A3AD0000}"/>
    <cellStyle name="Normal 4 2 5 3 3 2 2 2 2 4" xfId="43255" xr:uid="{00000000-0005-0000-0000-0000A4AD0000}"/>
    <cellStyle name="Normal 4 2 5 3 3 2 2 2 3" xfId="11378" xr:uid="{00000000-0005-0000-0000-0000A5AD0000}"/>
    <cellStyle name="Normal 4 2 5 3 3 2 2 2 3 2" xfId="27137" xr:uid="{00000000-0005-0000-0000-0000A6AD0000}"/>
    <cellStyle name="Normal 4 2 5 3 3 2 2 2 3 2 2" xfId="59008" xr:uid="{00000000-0005-0000-0000-0000A7AD0000}"/>
    <cellStyle name="Normal 4 2 5 3 3 2 2 2 3 3" xfId="43257" xr:uid="{00000000-0005-0000-0000-0000A8AD0000}"/>
    <cellStyle name="Normal 4 2 5 3 3 2 2 2 4" xfId="19259" xr:uid="{00000000-0005-0000-0000-0000A9AD0000}"/>
    <cellStyle name="Normal 4 2 5 3 3 2 2 2 4 2" xfId="51130" xr:uid="{00000000-0005-0000-0000-0000AAAD0000}"/>
    <cellStyle name="Normal 4 2 5 3 3 2 2 2 5" xfId="43254" xr:uid="{00000000-0005-0000-0000-0000ABAD0000}"/>
    <cellStyle name="Normal 4 2 5 3 3 2 2 3" xfId="11379" xr:uid="{00000000-0005-0000-0000-0000ACAD0000}"/>
    <cellStyle name="Normal 4 2 5 3 3 2 2 3 2" xfId="11380" xr:uid="{00000000-0005-0000-0000-0000ADAD0000}"/>
    <cellStyle name="Normal 4 2 5 3 3 2 2 3 2 2" xfId="31075" xr:uid="{00000000-0005-0000-0000-0000AEAD0000}"/>
    <cellStyle name="Normal 4 2 5 3 3 2 2 3 2 2 2" xfId="62946" xr:uid="{00000000-0005-0000-0000-0000AFAD0000}"/>
    <cellStyle name="Normal 4 2 5 3 3 2 2 3 2 3" xfId="43259" xr:uid="{00000000-0005-0000-0000-0000B0AD0000}"/>
    <cellStyle name="Normal 4 2 5 3 3 2 2 3 3" xfId="23197" xr:uid="{00000000-0005-0000-0000-0000B1AD0000}"/>
    <cellStyle name="Normal 4 2 5 3 3 2 2 3 3 2" xfId="55068" xr:uid="{00000000-0005-0000-0000-0000B2AD0000}"/>
    <cellStyle name="Normal 4 2 5 3 3 2 2 3 4" xfId="43258" xr:uid="{00000000-0005-0000-0000-0000B3AD0000}"/>
    <cellStyle name="Normal 4 2 5 3 3 2 2 4" xfId="11381" xr:uid="{00000000-0005-0000-0000-0000B4AD0000}"/>
    <cellStyle name="Normal 4 2 5 3 3 2 2 4 2" xfId="27136" xr:uid="{00000000-0005-0000-0000-0000B5AD0000}"/>
    <cellStyle name="Normal 4 2 5 3 3 2 2 4 2 2" xfId="59007" xr:uid="{00000000-0005-0000-0000-0000B6AD0000}"/>
    <cellStyle name="Normal 4 2 5 3 3 2 2 4 3" xfId="43260" xr:uid="{00000000-0005-0000-0000-0000B7AD0000}"/>
    <cellStyle name="Normal 4 2 5 3 3 2 2 5" xfId="19258" xr:uid="{00000000-0005-0000-0000-0000B8AD0000}"/>
    <cellStyle name="Normal 4 2 5 3 3 2 2 5 2" xfId="51129" xr:uid="{00000000-0005-0000-0000-0000B9AD0000}"/>
    <cellStyle name="Normal 4 2 5 3 3 2 2 6" xfId="43253" xr:uid="{00000000-0005-0000-0000-0000BAAD0000}"/>
    <cellStyle name="Normal 4 2 5 3 3 2 3" xfId="11382" xr:uid="{00000000-0005-0000-0000-0000BBAD0000}"/>
    <cellStyle name="Normal 4 2 5 3 3 2 3 2" xfId="11383" xr:uid="{00000000-0005-0000-0000-0000BCAD0000}"/>
    <cellStyle name="Normal 4 2 5 3 3 2 3 2 2" xfId="11384" xr:uid="{00000000-0005-0000-0000-0000BDAD0000}"/>
    <cellStyle name="Normal 4 2 5 3 3 2 3 2 2 2" xfId="31077" xr:uid="{00000000-0005-0000-0000-0000BEAD0000}"/>
    <cellStyle name="Normal 4 2 5 3 3 2 3 2 2 2 2" xfId="62948" xr:uid="{00000000-0005-0000-0000-0000BFAD0000}"/>
    <cellStyle name="Normal 4 2 5 3 3 2 3 2 2 3" xfId="43263" xr:uid="{00000000-0005-0000-0000-0000C0AD0000}"/>
    <cellStyle name="Normal 4 2 5 3 3 2 3 2 3" xfId="23199" xr:uid="{00000000-0005-0000-0000-0000C1AD0000}"/>
    <cellStyle name="Normal 4 2 5 3 3 2 3 2 3 2" xfId="55070" xr:uid="{00000000-0005-0000-0000-0000C2AD0000}"/>
    <cellStyle name="Normal 4 2 5 3 3 2 3 2 4" xfId="43262" xr:uid="{00000000-0005-0000-0000-0000C3AD0000}"/>
    <cellStyle name="Normal 4 2 5 3 3 2 3 3" xfId="11385" xr:uid="{00000000-0005-0000-0000-0000C4AD0000}"/>
    <cellStyle name="Normal 4 2 5 3 3 2 3 3 2" xfId="27138" xr:uid="{00000000-0005-0000-0000-0000C5AD0000}"/>
    <cellStyle name="Normal 4 2 5 3 3 2 3 3 2 2" xfId="59009" xr:uid="{00000000-0005-0000-0000-0000C6AD0000}"/>
    <cellStyle name="Normal 4 2 5 3 3 2 3 3 3" xfId="43264" xr:uid="{00000000-0005-0000-0000-0000C7AD0000}"/>
    <cellStyle name="Normal 4 2 5 3 3 2 3 4" xfId="19260" xr:uid="{00000000-0005-0000-0000-0000C8AD0000}"/>
    <cellStyle name="Normal 4 2 5 3 3 2 3 4 2" xfId="51131" xr:uid="{00000000-0005-0000-0000-0000C9AD0000}"/>
    <cellStyle name="Normal 4 2 5 3 3 2 3 5" xfId="43261" xr:uid="{00000000-0005-0000-0000-0000CAAD0000}"/>
    <cellStyle name="Normal 4 2 5 3 3 2 4" xfId="11386" xr:uid="{00000000-0005-0000-0000-0000CBAD0000}"/>
    <cellStyle name="Normal 4 2 5 3 3 2 4 2" xfId="11387" xr:uid="{00000000-0005-0000-0000-0000CCAD0000}"/>
    <cellStyle name="Normal 4 2 5 3 3 2 4 2 2" xfId="31074" xr:uid="{00000000-0005-0000-0000-0000CDAD0000}"/>
    <cellStyle name="Normal 4 2 5 3 3 2 4 2 2 2" xfId="62945" xr:uid="{00000000-0005-0000-0000-0000CEAD0000}"/>
    <cellStyle name="Normal 4 2 5 3 3 2 4 2 3" xfId="43266" xr:uid="{00000000-0005-0000-0000-0000CFAD0000}"/>
    <cellStyle name="Normal 4 2 5 3 3 2 4 3" xfId="23196" xr:uid="{00000000-0005-0000-0000-0000D0AD0000}"/>
    <cellStyle name="Normal 4 2 5 3 3 2 4 3 2" xfId="55067" xr:uid="{00000000-0005-0000-0000-0000D1AD0000}"/>
    <cellStyle name="Normal 4 2 5 3 3 2 4 4" xfId="43265" xr:uid="{00000000-0005-0000-0000-0000D2AD0000}"/>
    <cellStyle name="Normal 4 2 5 3 3 2 5" xfId="11388" xr:uid="{00000000-0005-0000-0000-0000D3AD0000}"/>
    <cellStyle name="Normal 4 2 5 3 3 2 5 2" xfId="27135" xr:uid="{00000000-0005-0000-0000-0000D4AD0000}"/>
    <cellStyle name="Normal 4 2 5 3 3 2 5 2 2" xfId="59006" xr:uid="{00000000-0005-0000-0000-0000D5AD0000}"/>
    <cellStyle name="Normal 4 2 5 3 3 2 5 3" xfId="43267" xr:uid="{00000000-0005-0000-0000-0000D6AD0000}"/>
    <cellStyle name="Normal 4 2 5 3 3 2 6" xfId="19257" xr:uid="{00000000-0005-0000-0000-0000D7AD0000}"/>
    <cellStyle name="Normal 4 2 5 3 3 2 6 2" xfId="51128" xr:uid="{00000000-0005-0000-0000-0000D8AD0000}"/>
    <cellStyle name="Normal 4 2 5 3 3 2 7" xfId="43252" xr:uid="{00000000-0005-0000-0000-0000D9AD0000}"/>
    <cellStyle name="Normal 4 2 5 3 3 3" xfId="11389" xr:uid="{00000000-0005-0000-0000-0000DAAD0000}"/>
    <cellStyle name="Normal 4 2 5 3 3 3 2" xfId="11390" xr:uid="{00000000-0005-0000-0000-0000DBAD0000}"/>
    <cellStyle name="Normal 4 2 5 3 3 3 2 2" xfId="11391" xr:uid="{00000000-0005-0000-0000-0000DCAD0000}"/>
    <cellStyle name="Normal 4 2 5 3 3 3 2 2 2" xfId="11392" xr:uid="{00000000-0005-0000-0000-0000DDAD0000}"/>
    <cellStyle name="Normal 4 2 5 3 3 3 2 2 2 2" xfId="31079" xr:uid="{00000000-0005-0000-0000-0000DEAD0000}"/>
    <cellStyle name="Normal 4 2 5 3 3 3 2 2 2 2 2" xfId="62950" xr:uid="{00000000-0005-0000-0000-0000DFAD0000}"/>
    <cellStyle name="Normal 4 2 5 3 3 3 2 2 2 3" xfId="43271" xr:uid="{00000000-0005-0000-0000-0000E0AD0000}"/>
    <cellStyle name="Normal 4 2 5 3 3 3 2 2 3" xfId="23201" xr:uid="{00000000-0005-0000-0000-0000E1AD0000}"/>
    <cellStyle name="Normal 4 2 5 3 3 3 2 2 3 2" xfId="55072" xr:uid="{00000000-0005-0000-0000-0000E2AD0000}"/>
    <cellStyle name="Normal 4 2 5 3 3 3 2 2 4" xfId="43270" xr:uid="{00000000-0005-0000-0000-0000E3AD0000}"/>
    <cellStyle name="Normal 4 2 5 3 3 3 2 3" xfId="11393" xr:uid="{00000000-0005-0000-0000-0000E4AD0000}"/>
    <cellStyle name="Normal 4 2 5 3 3 3 2 3 2" xfId="27140" xr:uid="{00000000-0005-0000-0000-0000E5AD0000}"/>
    <cellStyle name="Normal 4 2 5 3 3 3 2 3 2 2" xfId="59011" xr:uid="{00000000-0005-0000-0000-0000E6AD0000}"/>
    <cellStyle name="Normal 4 2 5 3 3 3 2 3 3" xfId="43272" xr:uid="{00000000-0005-0000-0000-0000E7AD0000}"/>
    <cellStyle name="Normal 4 2 5 3 3 3 2 4" xfId="19262" xr:uid="{00000000-0005-0000-0000-0000E8AD0000}"/>
    <cellStyle name="Normal 4 2 5 3 3 3 2 4 2" xfId="51133" xr:uid="{00000000-0005-0000-0000-0000E9AD0000}"/>
    <cellStyle name="Normal 4 2 5 3 3 3 2 5" xfId="43269" xr:uid="{00000000-0005-0000-0000-0000EAAD0000}"/>
    <cellStyle name="Normal 4 2 5 3 3 3 3" xfId="11394" xr:uid="{00000000-0005-0000-0000-0000EBAD0000}"/>
    <cellStyle name="Normal 4 2 5 3 3 3 3 2" xfId="11395" xr:uid="{00000000-0005-0000-0000-0000ECAD0000}"/>
    <cellStyle name="Normal 4 2 5 3 3 3 3 2 2" xfId="31078" xr:uid="{00000000-0005-0000-0000-0000EDAD0000}"/>
    <cellStyle name="Normal 4 2 5 3 3 3 3 2 2 2" xfId="62949" xr:uid="{00000000-0005-0000-0000-0000EEAD0000}"/>
    <cellStyle name="Normal 4 2 5 3 3 3 3 2 3" xfId="43274" xr:uid="{00000000-0005-0000-0000-0000EFAD0000}"/>
    <cellStyle name="Normal 4 2 5 3 3 3 3 3" xfId="23200" xr:uid="{00000000-0005-0000-0000-0000F0AD0000}"/>
    <cellStyle name="Normal 4 2 5 3 3 3 3 3 2" xfId="55071" xr:uid="{00000000-0005-0000-0000-0000F1AD0000}"/>
    <cellStyle name="Normal 4 2 5 3 3 3 3 4" xfId="43273" xr:uid="{00000000-0005-0000-0000-0000F2AD0000}"/>
    <cellStyle name="Normal 4 2 5 3 3 3 4" xfId="11396" xr:uid="{00000000-0005-0000-0000-0000F3AD0000}"/>
    <cellStyle name="Normal 4 2 5 3 3 3 4 2" xfId="27139" xr:uid="{00000000-0005-0000-0000-0000F4AD0000}"/>
    <cellStyle name="Normal 4 2 5 3 3 3 4 2 2" xfId="59010" xr:uid="{00000000-0005-0000-0000-0000F5AD0000}"/>
    <cellStyle name="Normal 4 2 5 3 3 3 4 3" xfId="43275" xr:uid="{00000000-0005-0000-0000-0000F6AD0000}"/>
    <cellStyle name="Normal 4 2 5 3 3 3 5" xfId="19261" xr:uid="{00000000-0005-0000-0000-0000F7AD0000}"/>
    <cellStyle name="Normal 4 2 5 3 3 3 5 2" xfId="51132" xr:uid="{00000000-0005-0000-0000-0000F8AD0000}"/>
    <cellStyle name="Normal 4 2 5 3 3 3 6" xfId="43268" xr:uid="{00000000-0005-0000-0000-0000F9AD0000}"/>
    <cellStyle name="Normal 4 2 5 3 3 4" xfId="11397" xr:uid="{00000000-0005-0000-0000-0000FAAD0000}"/>
    <cellStyle name="Normal 4 2 5 3 3 4 2" xfId="11398" xr:uid="{00000000-0005-0000-0000-0000FBAD0000}"/>
    <cellStyle name="Normal 4 2 5 3 3 4 2 2" xfId="11399" xr:uid="{00000000-0005-0000-0000-0000FCAD0000}"/>
    <cellStyle name="Normal 4 2 5 3 3 4 2 2 2" xfId="31080" xr:uid="{00000000-0005-0000-0000-0000FDAD0000}"/>
    <cellStyle name="Normal 4 2 5 3 3 4 2 2 2 2" xfId="62951" xr:uid="{00000000-0005-0000-0000-0000FEAD0000}"/>
    <cellStyle name="Normal 4 2 5 3 3 4 2 2 3" xfId="43278" xr:uid="{00000000-0005-0000-0000-0000FFAD0000}"/>
    <cellStyle name="Normal 4 2 5 3 3 4 2 3" xfId="23202" xr:uid="{00000000-0005-0000-0000-000000AE0000}"/>
    <cellStyle name="Normal 4 2 5 3 3 4 2 3 2" xfId="55073" xr:uid="{00000000-0005-0000-0000-000001AE0000}"/>
    <cellStyle name="Normal 4 2 5 3 3 4 2 4" xfId="43277" xr:uid="{00000000-0005-0000-0000-000002AE0000}"/>
    <cellStyle name="Normal 4 2 5 3 3 4 3" xfId="11400" xr:uid="{00000000-0005-0000-0000-000003AE0000}"/>
    <cellStyle name="Normal 4 2 5 3 3 4 3 2" xfId="27141" xr:uid="{00000000-0005-0000-0000-000004AE0000}"/>
    <cellStyle name="Normal 4 2 5 3 3 4 3 2 2" xfId="59012" xr:uid="{00000000-0005-0000-0000-000005AE0000}"/>
    <cellStyle name="Normal 4 2 5 3 3 4 3 3" xfId="43279" xr:uid="{00000000-0005-0000-0000-000006AE0000}"/>
    <cellStyle name="Normal 4 2 5 3 3 4 4" xfId="19263" xr:uid="{00000000-0005-0000-0000-000007AE0000}"/>
    <cellStyle name="Normal 4 2 5 3 3 4 4 2" xfId="51134" xr:uid="{00000000-0005-0000-0000-000008AE0000}"/>
    <cellStyle name="Normal 4 2 5 3 3 4 5" xfId="43276" xr:uid="{00000000-0005-0000-0000-000009AE0000}"/>
    <cellStyle name="Normal 4 2 5 3 3 5" xfId="11401" xr:uid="{00000000-0005-0000-0000-00000AAE0000}"/>
    <cellStyle name="Normal 4 2 5 3 3 5 2" xfId="11402" xr:uid="{00000000-0005-0000-0000-00000BAE0000}"/>
    <cellStyle name="Normal 4 2 5 3 3 5 2 2" xfId="31073" xr:uid="{00000000-0005-0000-0000-00000CAE0000}"/>
    <cellStyle name="Normal 4 2 5 3 3 5 2 2 2" xfId="62944" xr:uid="{00000000-0005-0000-0000-00000DAE0000}"/>
    <cellStyle name="Normal 4 2 5 3 3 5 2 3" xfId="43281" xr:uid="{00000000-0005-0000-0000-00000EAE0000}"/>
    <cellStyle name="Normal 4 2 5 3 3 5 3" xfId="23195" xr:uid="{00000000-0005-0000-0000-00000FAE0000}"/>
    <cellStyle name="Normal 4 2 5 3 3 5 3 2" xfId="55066" xr:uid="{00000000-0005-0000-0000-000010AE0000}"/>
    <cellStyle name="Normal 4 2 5 3 3 5 4" xfId="43280" xr:uid="{00000000-0005-0000-0000-000011AE0000}"/>
    <cellStyle name="Normal 4 2 5 3 3 6" xfId="11403" xr:uid="{00000000-0005-0000-0000-000012AE0000}"/>
    <cellStyle name="Normal 4 2 5 3 3 6 2" xfId="27134" xr:uid="{00000000-0005-0000-0000-000013AE0000}"/>
    <cellStyle name="Normal 4 2 5 3 3 6 2 2" xfId="59005" xr:uid="{00000000-0005-0000-0000-000014AE0000}"/>
    <cellStyle name="Normal 4 2 5 3 3 6 3" xfId="43282" xr:uid="{00000000-0005-0000-0000-000015AE0000}"/>
    <cellStyle name="Normal 4 2 5 3 3 7" xfId="19256" xr:uid="{00000000-0005-0000-0000-000016AE0000}"/>
    <cellStyle name="Normal 4 2 5 3 3 7 2" xfId="51127" xr:uid="{00000000-0005-0000-0000-000017AE0000}"/>
    <cellStyle name="Normal 4 2 5 3 3 8" xfId="43251" xr:uid="{00000000-0005-0000-0000-000018AE0000}"/>
    <cellStyle name="Normal 4 2 5 3 4" xfId="11404" xr:uid="{00000000-0005-0000-0000-000019AE0000}"/>
    <cellStyle name="Normal 4 2 5 3 4 2" xfId="11405" xr:uid="{00000000-0005-0000-0000-00001AAE0000}"/>
    <cellStyle name="Normal 4 2 5 3 4 2 2" xfId="11406" xr:uid="{00000000-0005-0000-0000-00001BAE0000}"/>
    <cellStyle name="Normal 4 2 5 3 4 2 2 2" xfId="11407" xr:uid="{00000000-0005-0000-0000-00001CAE0000}"/>
    <cellStyle name="Normal 4 2 5 3 4 2 2 2 2" xfId="11408" xr:uid="{00000000-0005-0000-0000-00001DAE0000}"/>
    <cellStyle name="Normal 4 2 5 3 4 2 2 2 2 2" xfId="31083" xr:uid="{00000000-0005-0000-0000-00001EAE0000}"/>
    <cellStyle name="Normal 4 2 5 3 4 2 2 2 2 2 2" xfId="62954" xr:uid="{00000000-0005-0000-0000-00001FAE0000}"/>
    <cellStyle name="Normal 4 2 5 3 4 2 2 2 2 3" xfId="43287" xr:uid="{00000000-0005-0000-0000-000020AE0000}"/>
    <cellStyle name="Normal 4 2 5 3 4 2 2 2 3" xfId="23205" xr:uid="{00000000-0005-0000-0000-000021AE0000}"/>
    <cellStyle name="Normal 4 2 5 3 4 2 2 2 3 2" xfId="55076" xr:uid="{00000000-0005-0000-0000-000022AE0000}"/>
    <cellStyle name="Normal 4 2 5 3 4 2 2 2 4" xfId="43286" xr:uid="{00000000-0005-0000-0000-000023AE0000}"/>
    <cellStyle name="Normal 4 2 5 3 4 2 2 3" xfId="11409" xr:uid="{00000000-0005-0000-0000-000024AE0000}"/>
    <cellStyle name="Normal 4 2 5 3 4 2 2 3 2" xfId="27144" xr:uid="{00000000-0005-0000-0000-000025AE0000}"/>
    <cellStyle name="Normal 4 2 5 3 4 2 2 3 2 2" xfId="59015" xr:uid="{00000000-0005-0000-0000-000026AE0000}"/>
    <cellStyle name="Normal 4 2 5 3 4 2 2 3 3" xfId="43288" xr:uid="{00000000-0005-0000-0000-000027AE0000}"/>
    <cellStyle name="Normal 4 2 5 3 4 2 2 4" xfId="19266" xr:uid="{00000000-0005-0000-0000-000028AE0000}"/>
    <cellStyle name="Normal 4 2 5 3 4 2 2 4 2" xfId="51137" xr:uid="{00000000-0005-0000-0000-000029AE0000}"/>
    <cellStyle name="Normal 4 2 5 3 4 2 2 5" xfId="43285" xr:uid="{00000000-0005-0000-0000-00002AAE0000}"/>
    <cellStyle name="Normal 4 2 5 3 4 2 3" xfId="11410" xr:uid="{00000000-0005-0000-0000-00002BAE0000}"/>
    <cellStyle name="Normal 4 2 5 3 4 2 3 2" xfId="11411" xr:uid="{00000000-0005-0000-0000-00002CAE0000}"/>
    <cellStyle name="Normal 4 2 5 3 4 2 3 2 2" xfId="31082" xr:uid="{00000000-0005-0000-0000-00002DAE0000}"/>
    <cellStyle name="Normal 4 2 5 3 4 2 3 2 2 2" xfId="62953" xr:uid="{00000000-0005-0000-0000-00002EAE0000}"/>
    <cellStyle name="Normal 4 2 5 3 4 2 3 2 3" xfId="43290" xr:uid="{00000000-0005-0000-0000-00002FAE0000}"/>
    <cellStyle name="Normal 4 2 5 3 4 2 3 3" xfId="23204" xr:uid="{00000000-0005-0000-0000-000030AE0000}"/>
    <cellStyle name="Normal 4 2 5 3 4 2 3 3 2" xfId="55075" xr:uid="{00000000-0005-0000-0000-000031AE0000}"/>
    <cellStyle name="Normal 4 2 5 3 4 2 3 4" xfId="43289" xr:uid="{00000000-0005-0000-0000-000032AE0000}"/>
    <cellStyle name="Normal 4 2 5 3 4 2 4" xfId="11412" xr:uid="{00000000-0005-0000-0000-000033AE0000}"/>
    <cellStyle name="Normal 4 2 5 3 4 2 4 2" xfId="27143" xr:uid="{00000000-0005-0000-0000-000034AE0000}"/>
    <cellStyle name="Normal 4 2 5 3 4 2 4 2 2" xfId="59014" xr:uid="{00000000-0005-0000-0000-000035AE0000}"/>
    <cellStyle name="Normal 4 2 5 3 4 2 4 3" xfId="43291" xr:uid="{00000000-0005-0000-0000-000036AE0000}"/>
    <cellStyle name="Normal 4 2 5 3 4 2 5" xfId="19265" xr:uid="{00000000-0005-0000-0000-000037AE0000}"/>
    <cellStyle name="Normal 4 2 5 3 4 2 5 2" xfId="51136" xr:uid="{00000000-0005-0000-0000-000038AE0000}"/>
    <cellStyle name="Normal 4 2 5 3 4 2 6" xfId="43284" xr:uid="{00000000-0005-0000-0000-000039AE0000}"/>
    <cellStyle name="Normal 4 2 5 3 4 3" xfId="11413" xr:uid="{00000000-0005-0000-0000-00003AAE0000}"/>
    <cellStyle name="Normal 4 2 5 3 4 3 2" xfId="11414" xr:uid="{00000000-0005-0000-0000-00003BAE0000}"/>
    <cellStyle name="Normal 4 2 5 3 4 3 2 2" xfId="11415" xr:uid="{00000000-0005-0000-0000-00003CAE0000}"/>
    <cellStyle name="Normal 4 2 5 3 4 3 2 2 2" xfId="31084" xr:uid="{00000000-0005-0000-0000-00003DAE0000}"/>
    <cellStyle name="Normal 4 2 5 3 4 3 2 2 2 2" xfId="62955" xr:uid="{00000000-0005-0000-0000-00003EAE0000}"/>
    <cellStyle name="Normal 4 2 5 3 4 3 2 2 3" xfId="43294" xr:uid="{00000000-0005-0000-0000-00003FAE0000}"/>
    <cellStyle name="Normal 4 2 5 3 4 3 2 3" xfId="23206" xr:uid="{00000000-0005-0000-0000-000040AE0000}"/>
    <cellStyle name="Normal 4 2 5 3 4 3 2 3 2" xfId="55077" xr:uid="{00000000-0005-0000-0000-000041AE0000}"/>
    <cellStyle name="Normal 4 2 5 3 4 3 2 4" xfId="43293" xr:uid="{00000000-0005-0000-0000-000042AE0000}"/>
    <cellStyle name="Normal 4 2 5 3 4 3 3" xfId="11416" xr:uid="{00000000-0005-0000-0000-000043AE0000}"/>
    <cellStyle name="Normal 4 2 5 3 4 3 3 2" xfId="27145" xr:uid="{00000000-0005-0000-0000-000044AE0000}"/>
    <cellStyle name="Normal 4 2 5 3 4 3 3 2 2" xfId="59016" xr:uid="{00000000-0005-0000-0000-000045AE0000}"/>
    <cellStyle name="Normal 4 2 5 3 4 3 3 3" xfId="43295" xr:uid="{00000000-0005-0000-0000-000046AE0000}"/>
    <cellStyle name="Normal 4 2 5 3 4 3 4" xfId="19267" xr:uid="{00000000-0005-0000-0000-000047AE0000}"/>
    <cellStyle name="Normal 4 2 5 3 4 3 4 2" xfId="51138" xr:uid="{00000000-0005-0000-0000-000048AE0000}"/>
    <cellStyle name="Normal 4 2 5 3 4 3 5" xfId="43292" xr:uid="{00000000-0005-0000-0000-000049AE0000}"/>
    <cellStyle name="Normal 4 2 5 3 4 4" xfId="11417" xr:uid="{00000000-0005-0000-0000-00004AAE0000}"/>
    <cellStyle name="Normal 4 2 5 3 4 4 2" xfId="11418" xr:uid="{00000000-0005-0000-0000-00004BAE0000}"/>
    <cellStyle name="Normal 4 2 5 3 4 4 2 2" xfId="31081" xr:uid="{00000000-0005-0000-0000-00004CAE0000}"/>
    <cellStyle name="Normal 4 2 5 3 4 4 2 2 2" xfId="62952" xr:uid="{00000000-0005-0000-0000-00004DAE0000}"/>
    <cellStyle name="Normal 4 2 5 3 4 4 2 3" xfId="43297" xr:uid="{00000000-0005-0000-0000-00004EAE0000}"/>
    <cellStyle name="Normal 4 2 5 3 4 4 3" xfId="23203" xr:uid="{00000000-0005-0000-0000-00004FAE0000}"/>
    <cellStyle name="Normal 4 2 5 3 4 4 3 2" xfId="55074" xr:uid="{00000000-0005-0000-0000-000050AE0000}"/>
    <cellStyle name="Normal 4 2 5 3 4 4 4" xfId="43296" xr:uid="{00000000-0005-0000-0000-000051AE0000}"/>
    <cellStyle name="Normal 4 2 5 3 4 5" xfId="11419" xr:uid="{00000000-0005-0000-0000-000052AE0000}"/>
    <cellStyle name="Normal 4 2 5 3 4 5 2" xfId="27142" xr:uid="{00000000-0005-0000-0000-000053AE0000}"/>
    <cellStyle name="Normal 4 2 5 3 4 5 2 2" xfId="59013" xr:uid="{00000000-0005-0000-0000-000054AE0000}"/>
    <cellStyle name="Normal 4 2 5 3 4 5 3" xfId="43298" xr:uid="{00000000-0005-0000-0000-000055AE0000}"/>
    <cellStyle name="Normal 4 2 5 3 4 6" xfId="19264" xr:uid="{00000000-0005-0000-0000-000056AE0000}"/>
    <cellStyle name="Normal 4 2 5 3 4 6 2" xfId="51135" xr:uid="{00000000-0005-0000-0000-000057AE0000}"/>
    <cellStyle name="Normal 4 2 5 3 4 7" xfId="43283" xr:uid="{00000000-0005-0000-0000-000058AE0000}"/>
    <cellStyle name="Normal 4 2 5 3 5" xfId="11420" xr:uid="{00000000-0005-0000-0000-000059AE0000}"/>
    <cellStyle name="Normal 4 2 5 3 5 2" xfId="11421" xr:uid="{00000000-0005-0000-0000-00005AAE0000}"/>
    <cellStyle name="Normal 4 2 5 3 5 2 2" xfId="11422" xr:uid="{00000000-0005-0000-0000-00005BAE0000}"/>
    <cellStyle name="Normal 4 2 5 3 5 2 2 2" xfId="11423" xr:uid="{00000000-0005-0000-0000-00005CAE0000}"/>
    <cellStyle name="Normal 4 2 5 3 5 2 2 2 2" xfId="31086" xr:uid="{00000000-0005-0000-0000-00005DAE0000}"/>
    <cellStyle name="Normal 4 2 5 3 5 2 2 2 2 2" xfId="62957" xr:uid="{00000000-0005-0000-0000-00005EAE0000}"/>
    <cellStyle name="Normal 4 2 5 3 5 2 2 2 3" xfId="43302" xr:uid="{00000000-0005-0000-0000-00005FAE0000}"/>
    <cellStyle name="Normal 4 2 5 3 5 2 2 3" xfId="23208" xr:uid="{00000000-0005-0000-0000-000060AE0000}"/>
    <cellStyle name="Normal 4 2 5 3 5 2 2 3 2" xfId="55079" xr:uid="{00000000-0005-0000-0000-000061AE0000}"/>
    <cellStyle name="Normal 4 2 5 3 5 2 2 4" xfId="43301" xr:uid="{00000000-0005-0000-0000-000062AE0000}"/>
    <cellStyle name="Normal 4 2 5 3 5 2 3" xfId="11424" xr:uid="{00000000-0005-0000-0000-000063AE0000}"/>
    <cellStyle name="Normal 4 2 5 3 5 2 3 2" xfId="27147" xr:uid="{00000000-0005-0000-0000-000064AE0000}"/>
    <cellStyle name="Normal 4 2 5 3 5 2 3 2 2" xfId="59018" xr:uid="{00000000-0005-0000-0000-000065AE0000}"/>
    <cellStyle name="Normal 4 2 5 3 5 2 3 3" xfId="43303" xr:uid="{00000000-0005-0000-0000-000066AE0000}"/>
    <cellStyle name="Normal 4 2 5 3 5 2 4" xfId="19269" xr:uid="{00000000-0005-0000-0000-000067AE0000}"/>
    <cellStyle name="Normal 4 2 5 3 5 2 4 2" xfId="51140" xr:uid="{00000000-0005-0000-0000-000068AE0000}"/>
    <cellStyle name="Normal 4 2 5 3 5 2 5" xfId="43300" xr:uid="{00000000-0005-0000-0000-000069AE0000}"/>
    <cellStyle name="Normal 4 2 5 3 5 3" xfId="11425" xr:uid="{00000000-0005-0000-0000-00006AAE0000}"/>
    <cellStyle name="Normal 4 2 5 3 5 3 2" xfId="11426" xr:uid="{00000000-0005-0000-0000-00006BAE0000}"/>
    <cellStyle name="Normal 4 2 5 3 5 3 2 2" xfId="31085" xr:uid="{00000000-0005-0000-0000-00006CAE0000}"/>
    <cellStyle name="Normal 4 2 5 3 5 3 2 2 2" xfId="62956" xr:uid="{00000000-0005-0000-0000-00006DAE0000}"/>
    <cellStyle name="Normal 4 2 5 3 5 3 2 3" xfId="43305" xr:uid="{00000000-0005-0000-0000-00006EAE0000}"/>
    <cellStyle name="Normal 4 2 5 3 5 3 3" xfId="23207" xr:uid="{00000000-0005-0000-0000-00006FAE0000}"/>
    <cellStyle name="Normal 4 2 5 3 5 3 3 2" xfId="55078" xr:uid="{00000000-0005-0000-0000-000070AE0000}"/>
    <cellStyle name="Normal 4 2 5 3 5 3 4" xfId="43304" xr:uid="{00000000-0005-0000-0000-000071AE0000}"/>
    <cellStyle name="Normal 4 2 5 3 5 4" xfId="11427" xr:uid="{00000000-0005-0000-0000-000072AE0000}"/>
    <cellStyle name="Normal 4 2 5 3 5 4 2" xfId="27146" xr:uid="{00000000-0005-0000-0000-000073AE0000}"/>
    <cellStyle name="Normal 4 2 5 3 5 4 2 2" xfId="59017" xr:uid="{00000000-0005-0000-0000-000074AE0000}"/>
    <cellStyle name="Normal 4 2 5 3 5 4 3" xfId="43306" xr:uid="{00000000-0005-0000-0000-000075AE0000}"/>
    <cellStyle name="Normal 4 2 5 3 5 5" xfId="19268" xr:uid="{00000000-0005-0000-0000-000076AE0000}"/>
    <cellStyle name="Normal 4 2 5 3 5 5 2" xfId="51139" xr:uid="{00000000-0005-0000-0000-000077AE0000}"/>
    <cellStyle name="Normal 4 2 5 3 5 6" xfId="43299" xr:uid="{00000000-0005-0000-0000-000078AE0000}"/>
    <cellStyle name="Normal 4 2 5 3 6" xfId="11428" xr:uid="{00000000-0005-0000-0000-000079AE0000}"/>
    <cellStyle name="Normal 4 2 5 3 6 2" xfId="11429" xr:uid="{00000000-0005-0000-0000-00007AAE0000}"/>
    <cellStyle name="Normal 4 2 5 3 6 2 2" xfId="11430" xr:uid="{00000000-0005-0000-0000-00007BAE0000}"/>
    <cellStyle name="Normal 4 2 5 3 6 2 2 2" xfId="31087" xr:uid="{00000000-0005-0000-0000-00007CAE0000}"/>
    <cellStyle name="Normal 4 2 5 3 6 2 2 2 2" xfId="62958" xr:uid="{00000000-0005-0000-0000-00007DAE0000}"/>
    <cellStyle name="Normal 4 2 5 3 6 2 2 3" xfId="43309" xr:uid="{00000000-0005-0000-0000-00007EAE0000}"/>
    <cellStyle name="Normal 4 2 5 3 6 2 3" xfId="23209" xr:uid="{00000000-0005-0000-0000-00007FAE0000}"/>
    <cellStyle name="Normal 4 2 5 3 6 2 3 2" xfId="55080" xr:uid="{00000000-0005-0000-0000-000080AE0000}"/>
    <cellStyle name="Normal 4 2 5 3 6 2 4" xfId="43308" xr:uid="{00000000-0005-0000-0000-000081AE0000}"/>
    <cellStyle name="Normal 4 2 5 3 6 3" xfId="11431" xr:uid="{00000000-0005-0000-0000-000082AE0000}"/>
    <cellStyle name="Normal 4 2 5 3 6 3 2" xfId="27148" xr:uid="{00000000-0005-0000-0000-000083AE0000}"/>
    <cellStyle name="Normal 4 2 5 3 6 3 2 2" xfId="59019" xr:uid="{00000000-0005-0000-0000-000084AE0000}"/>
    <cellStyle name="Normal 4 2 5 3 6 3 3" xfId="43310" xr:uid="{00000000-0005-0000-0000-000085AE0000}"/>
    <cellStyle name="Normal 4 2 5 3 6 4" xfId="19270" xr:uid="{00000000-0005-0000-0000-000086AE0000}"/>
    <cellStyle name="Normal 4 2 5 3 6 4 2" xfId="51141" xr:uid="{00000000-0005-0000-0000-000087AE0000}"/>
    <cellStyle name="Normal 4 2 5 3 6 5" xfId="43307" xr:uid="{00000000-0005-0000-0000-000088AE0000}"/>
    <cellStyle name="Normal 4 2 5 3 7" xfId="11432" xr:uid="{00000000-0005-0000-0000-000089AE0000}"/>
    <cellStyle name="Normal 4 2 5 3 7 2" xfId="11433" xr:uid="{00000000-0005-0000-0000-00008AAE0000}"/>
    <cellStyle name="Normal 4 2 5 3 7 2 2" xfId="28360" xr:uid="{00000000-0005-0000-0000-00008BAE0000}"/>
    <cellStyle name="Normal 4 2 5 3 7 2 2 2" xfId="60231" xr:uid="{00000000-0005-0000-0000-00008CAE0000}"/>
    <cellStyle name="Normal 4 2 5 3 7 2 3" xfId="43312" xr:uid="{00000000-0005-0000-0000-00008DAE0000}"/>
    <cellStyle name="Normal 4 2 5 3 7 3" xfId="20482" xr:uid="{00000000-0005-0000-0000-00008EAE0000}"/>
    <cellStyle name="Normal 4 2 5 3 7 3 2" xfId="52353" xr:uid="{00000000-0005-0000-0000-00008FAE0000}"/>
    <cellStyle name="Normal 4 2 5 3 7 4" xfId="43311" xr:uid="{00000000-0005-0000-0000-000090AE0000}"/>
    <cellStyle name="Normal 4 2 5 3 8" xfId="11434" xr:uid="{00000000-0005-0000-0000-000091AE0000}"/>
    <cellStyle name="Normal 4 2 5 3 8 2" xfId="24421" xr:uid="{00000000-0005-0000-0000-000092AE0000}"/>
    <cellStyle name="Normal 4 2 5 3 8 2 2" xfId="56292" xr:uid="{00000000-0005-0000-0000-000093AE0000}"/>
    <cellStyle name="Normal 4 2 5 3 8 3" xfId="43313" xr:uid="{00000000-0005-0000-0000-000094AE0000}"/>
    <cellStyle name="Normal 4 2 5 3 9" xfId="16543" xr:uid="{00000000-0005-0000-0000-000095AE0000}"/>
    <cellStyle name="Normal 4 2 5 3 9 2" xfId="48414" xr:uid="{00000000-0005-0000-0000-000096AE0000}"/>
    <cellStyle name="Normal 4 2 5 4" xfId="11435" xr:uid="{00000000-0005-0000-0000-000097AE0000}"/>
    <cellStyle name="Normal 4 2 5 4 2" xfId="11436" xr:uid="{00000000-0005-0000-0000-000098AE0000}"/>
    <cellStyle name="Normal 4 2 5 4 2 2" xfId="11437" xr:uid="{00000000-0005-0000-0000-000099AE0000}"/>
    <cellStyle name="Normal 4 2 5 4 2 2 2" xfId="11438" xr:uid="{00000000-0005-0000-0000-00009AAE0000}"/>
    <cellStyle name="Normal 4 2 5 4 2 2 2 2" xfId="11439" xr:uid="{00000000-0005-0000-0000-00009BAE0000}"/>
    <cellStyle name="Normal 4 2 5 4 2 2 2 2 2" xfId="11440" xr:uid="{00000000-0005-0000-0000-00009CAE0000}"/>
    <cellStyle name="Normal 4 2 5 4 2 2 2 2 2 2" xfId="11441" xr:uid="{00000000-0005-0000-0000-00009DAE0000}"/>
    <cellStyle name="Normal 4 2 5 4 2 2 2 2 2 2 2" xfId="31091" xr:uid="{00000000-0005-0000-0000-00009EAE0000}"/>
    <cellStyle name="Normal 4 2 5 4 2 2 2 2 2 2 2 2" xfId="62962" xr:uid="{00000000-0005-0000-0000-00009FAE0000}"/>
    <cellStyle name="Normal 4 2 5 4 2 2 2 2 2 2 3" xfId="43320" xr:uid="{00000000-0005-0000-0000-0000A0AE0000}"/>
    <cellStyle name="Normal 4 2 5 4 2 2 2 2 2 3" xfId="23213" xr:uid="{00000000-0005-0000-0000-0000A1AE0000}"/>
    <cellStyle name="Normal 4 2 5 4 2 2 2 2 2 3 2" xfId="55084" xr:uid="{00000000-0005-0000-0000-0000A2AE0000}"/>
    <cellStyle name="Normal 4 2 5 4 2 2 2 2 2 4" xfId="43319" xr:uid="{00000000-0005-0000-0000-0000A3AE0000}"/>
    <cellStyle name="Normal 4 2 5 4 2 2 2 2 3" xfId="11442" xr:uid="{00000000-0005-0000-0000-0000A4AE0000}"/>
    <cellStyle name="Normal 4 2 5 4 2 2 2 2 3 2" xfId="27152" xr:uid="{00000000-0005-0000-0000-0000A5AE0000}"/>
    <cellStyle name="Normal 4 2 5 4 2 2 2 2 3 2 2" xfId="59023" xr:uid="{00000000-0005-0000-0000-0000A6AE0000}"/>
    <cellStyle name="Normal 4 2 5 4 2 2 2 2 3 3" xfId="43321" xr:uid="{00000000-0005-0000-0000-0000A7AE0000}"/>
    <cellStyle name="Normal 4 2 5 4 2 2 2 2 4" xfId="19274" xr:uid="{00000000-0005-0000-0000-0000A8AE0000}"/>
    <cellStyle name="Normal 4 2 5 4 2 2 2 2 4 2" xfId="51145" xr:uid="{00000000-0005-0000-0000-0000A9AE0000}"/>
    <cellStyle name="Normal 4 2 5 4 2 2 2 2 5" xfId="43318" xr:uid="{00000000-0005-0000-0000-0000AAAE0000}"/>
    <cellStyle name="Normal 4 2 5 4 2 2 2 3" xfId="11443" xr:uid="{00000000-0005-0000-0000-0000ABAE0000}"/>
    <cellStyle name="Normal 4 2 5 4 2 2 2 3 2" xfId="11444" xr:uid="{00000000-0005-0000-0000-0000ACAE0000}"/>
    <cellStyle name="Normal 4 2 5 4 2 2 2 3 2 2" xfId="31090" xr:uid="{00000000-0005-0000-0000-0000ADAE0000}"/>
    <cellStyle name="Normal 4 2 5 4 2 2 2 3 2 2 2" xfId="62961" xr:uid="{00000000-0005-0000-0000-0000AEAE0000}"/>
    <cellStyle name="Normal 4 2 5 4 2 2 2 3 2 3" xfId="43323" xr:uid="{00000000-0005-0000-0000-0000AFAE0000}"/>
    <cellStyle name="Normal 4 2 5 4 2 2 2 3 3" xfId="23212" xr:uid="{00000000-0005-0000-0000-0000B0AE0000}"/>
    <cellStyle name="Normal 4 2 5 4 2 2 2 3 3 2" xfId="55083" xr:uid="{00000000-0005-0000-0000-0000B1AE0000}"/>
    <cellStyle name="Normal 4 2 5 4 2 2 2 3 4" xfId="43322" xr:uid="{00000000-0005-0000-0000-0000B2AE0000}"/>
    <cellStyle name="Normal 4 2 5 4 2 2 2 4" xfId="11445" xr:uid="{00000000-0005-0000-0000-0000B3AE0000}"/>
    <cellStyle name="Normal 4 2 5 4 2 2 2 4 2" xfId="27151" xr:uid="{00000000-0005-0000-0000-0000B4AE0000}"/>
    <cellStyle name="Normal 4 2 5 4 2 2 2 4 2 2" xfId="59022" xr:uid="{00000000-0005-0000-0000-0000B5AE0000}"/>
    <cellStyle name="Normal 4 2 5 4 2 2 2 4 3" xfId="43324" xr:uid="{00000000-0005-0000-0000-0000B6AE0000}"/>
    <cellStyle name="Normal 4 2 5 4 2 2 2 5" xfId="19273" xr:uid="{00000000-0005-0000-0000-0000B7AE0000}"/>
    <cellStyle name="Normal 4 2 5 4 2 2 2 5 2" xfId="51144" xr:uid="{00000000-0005-0000-0000-0000B8AE0000}"/>
    <cellStyle name="Normal 4 2 5 4 2 2 2 6" xfId="43317" xr:uid="{00000000-0005-0000-0000-0000B9AE0000}"/>
    <cellStyle name="Normal 4 2 5 4 2 2 3" xfId="11446" xr:uid="{00000000-0005-0000-0000-0000BAAE0000}"/>
    <cellStyle name="Normal 4 2 5 4 2 2 3 2" xfId="11447" xr:uid="{00000000-0005-0000-0000-0000BBAE0000}"/>
    <cellStyle name="Normal 4 2 5 4 2 2 3 2 2" xfId="11448" xr:uid="{00000000-0005-0000-0000-0000BCAE0000}"/>
    <cellStyle name="Normal 4 2 5 4 2 2 3 2 2 2" xfId="31092" xr:uid="{00000000-0005-0000-0000-0000BDAE0000}"/>
    <cellStyle name="Normal 4 2 5 4 2 2 3 2 2 2 2" xfId="62963" xr:uid="{00000000-0005-0000-0000-0000BEAE0000}"/>
    <cellStyle name="Normal 4 2 5 4 2 2 3 2 2 3" xfId="43327" xr:uid="{00000000-0005-0000-0000-0000BFAE0000}"/>
    <cellStyle name="Normal 4 2 5 4 2 2 3 2 3" xfId="23214" xr:uid="{00000000-0005-0000-0000-0000C0AE0000}"/>
    <cellStyle name="Normal 4 2 5 4 2 2 3 2 3 2" xfId="55085" xr:uid="{00000000-0005-0000-0000-0000C1AE0000}"/>
    <cellStyle name="Normal 4 2 5 4 2 2 3 2 4" xfId="43326" xr:uid="{00000000-0005-0000-0000-0000C2AE0000}"/>
    <cellStyle name="Normal 4 2 5 4 2 2 3 3" xfId="11449" xr:uid="{00000000-0005-0000-0000-0000C3AE0000}"/>
    <cellStyle name="Normal 4 2 5 4 2 2 3 3 2" xfId="27153" xr:uid="{00000000-0005-0000-0000-0000C4AE0000}"/>
    <cellStyle name="Normal 4 2 5 4 2 2 3 3 2 2" xfId="59024" xr:uid="{00000000-0005-0000-0000-0000C5AE0000}"/>
    <cellStyle name="Normal 4 2 5 4 2 2 3 3 3" xfId="43328" xr:uid="{00000000-0005-0000-0000-0000C6AE0000}"/>
    <cellStyle name="Normal 4 2 5 4 2 2 3 4" xfId="19275" xr:uid="{00000000-0005-0000-0000-0000C7AE0000}"/>
    <cellStyle name="Normal 4 2 5 4 2 2 3 4 2" xfId="51146" xr:uid="{00000000-0005-0000-0000-0000C8AE0000}"/>
    <cellStyle name="Normal 4 2 5 4 2 2 3 5" xfId="43325" xr:uid="{00000000-0005-0000-0000-0000C9AE0000}"/>
    <cellStyle name="Normal 4 2 5 4 2 2 4" xfId="11450" xr:uid="{00000000-0005-0000-0000-0000CAAE0000}"/>
    <cellStyle name="Normal 4 2 5 4 2 2 4 2" xfId="11451" xr:uid="{00000000-0005-0000-0000-0000CBAE0000}"/>
    <cellStyle name="Normal 4 2 5 4 2 2 4 2 2" xfId="31089" xr:uid="{00000000-0005-0000-0000-0000CCAE0000}"/>
    <cellStyle name="Normal 4 2 5 4 2 2 4 2 2 2" xfId="62960" xr:uid="{00000000-0005-0000-0000-0000CDAE0000}"/>
    <cellStyle name="Normal 4 2 5 4 2 2 4 2 3" xfId="43330" xr:uid="{00000000-0005-0000-0000-0000CEAE0000}"/>
    <cellStyle name="Normal 4 2 5 4 2 2 4 3" xfId="23211" xr:uid="{00000000-0005-0000-0000-0000CFAE0000}"/>
    <cellStyle name="Normal 4 2 5 4 2 2 4 3 2" xfId="55082" xr:uid="{00000000-0005-0000-0000-0000D0AE0000}"/>
    <cellStyle name="Normal 4 2 5 4 2 2 4 4" xfId="43329" xr:uid="{00000000-0005-0000-0000-0000D1AE0000}"/>
    <cellStyle name="Normal 4 2 5 4 2 2 5" xfId="11452" xr:uid="{00000000-0005-0000-0000-0000D2AE0000}"/>
    <cellStyle name="Normal 4 2 5 4 2 2 5 2" xfId="27150" xr:uid="{00000000-0005-0000-0000-0000D3AE0000}"/>
    <cellStyle name="Normal 4 2 5 4 2 2 5 2 2" xfId="59021" xr:uid="{00000000-0005-0000-0000-0000D4AE0000}"/>
    <cellStyle name="Normal 4 2 5 4 2 2 5 3" xfId="43331" xr:uid="{00000000-0005-0000-0000-0000D5AE0000}"/>
    <cellStyle name="Normal 4 2 5 4 2 2 6" xfId="19272" xr:uid="{00000000-0005-0000-0000-0000D6AE0000}"/>
    <cellStyle name="Normal 4 2 5 4 2 2 6 2" xfId="51143" xr:uid="{00000000-0005-0000-0000-0000D7AE0000}"/>
    <cellStyle name="Normal 4 2 5 4 2 2 7" xfId="43316" xr:uid="{00000000-0005-0000-0000-0000D8AE0000}"/>
    <cellStyle name="Normal 4 2 5 4 2 3" xfId="11453" xr:uid="{00000000-0005-0000-0000-0000D9AE0000}"/>
    <cellStyle name="Normal 4 2 5 4 2 3 2" xfId="11454" xr:uid="{00000000-0005-0000-0000-0000DAAE0000}"/>
    <cellStyle name="Normal 4 2 5 4 2 3 2 2" xfId="11455" xr:uid="{00000000-0005-0000-0000-0000DBAE0000}"/>
    <cellStyle name="Normal 4 2 5 4 2 3 2 2 2" xfId="11456" xr:uid="{00000000-0005-0000-0000-0000DCAE0000}"/>
    <cellStyle name="Normal 4 2 5 4 2 3 2 2 2 2" xfId="31094" xr:uid="{00000000-0005-0000-0000-0000DDAE0000}"/>
    <cellStyle name="Normal 4 2 5 4 2 3 2 2 2 2 2" xfId="62965" xr:uid="{00000000-0005-0000-0000-0000DEAE0000}"/>
    <cellStyle name="Normal 4 2 5 4 2 3 2 2 2 3" xfId="43335" xr:uid="{00000000-0005-0000-0000-0000DFAE0000}"/>
    <cellStyle name="Normal 4 2 5 4 2 3 2 2 3" xfId="23216" xr:uid="{00000000-0005-0000-0000-0000E0AE0000}"/>
    <cellStyle name="Normal 4 2 5 4 2 3 2 2 3 2" xfId="55087" xr:uid="{00000000-0005-0000-0000-0000E1AE0000}"/>
    <cellStyle name="Normal 4 2 5 4 2 3 2 2 4" xfId="43334" xr:uid="{00000000-0005-0000-0000-0000E2AE0000}"/>
    <cellStyle name="Normal 4 2 5 4 2 3 2 3" xfId="11457" xr:uid="{00000000-0005-0000-0000-0000E3AE0000}"/>
    <cellStyle name="Normal 4 2 5 4 2 3 2 3 2" xfId="27155" xr:uid="{00000000-0005-0000-0000-0000E4AE0000}"/>
    <cellStyle name="Normal 4 2 5 4 2 3 2 3 2 2" xfId="59026" xr:uid="{00000000-0005-0000-0000-0000E5AE0000}"/>
    <cellStyle name="Normal 4 2 5 4 2 3 2 3 3" xfId="43336" xr:uid="{00000000-0005-0000-0000-0000E6AE0000}"/>
    <cellStyle name="Normal 4 2 5 4 2 3 2 4" xfId="19277" xr:uid="{00000000-0005-0000-0000-0000E7AE0000}"/>
    <cellStyle name="Normal 4 2 5 4 2 3 2 4 2" xfId="51148" xr:uid="{00000000-0005-0000-0000-0000E8AE0000}"/>
    <cellStyle name="Normal 4 2 5 4 2 3 2 5" xfId="43333" xr:uid="{00000000-0005-0000-0000-0000E9AE0000}"/>
    <cellStyle name="Normal 4 2 5 4 2 3 3" xfId="11458" xr:uid="{00000000-0005-0000-0000-0000EAAE0000}"/>
    <cellStyle name="Normal 4 2 5 4 2 3 3 2" xfId="11459" xr:uid="{00000000-0005-0000-0000-0000EBAE0000}"/>
    <cellStyle name="Normal 4 2 5 4 2 3 3 2 2" xfId="31093" xr:uid="{00000000-0005-0000-0000-0000ECAE0000}"/>
    <cellStyle name="Normal 4 2 5 4 2 3 3 2 2 2" xfId="62964" xr:uid="{00000000-0005-0000-0000-0000EDAE0000}"/>
    <cellStyle name="Normal 4 2 5 4 2 3 3 2 3" xfId="43338" xr:uid="{00000000-0005-0000-0000-0000EEAE0000}"/>
    <cellStyle name="Normal 4 2 5 4 2 3 3 3" xfId="23215" xr:uid="{00000000-0005-0000-0000-0000EFAE0000}"/>
    <cellStyle name="Normal 4 2 5 4 2 3 3 3 2" xfId="55086" xr:uid="{00000000-0005-0000-0000-0000F0AE0000}"/>
    <cellStyle name="Normal 4 2 5 4 2 3 3 4" xfId="43337" xr:uid="{00000000-0005-0000-0000-0000F1AE0000}"/>
    <cellStyle name="Normal 4 2 5 4 2 3 4" xfId="11460" xr:uid="{00000000-0005-0000-0000-0000F2AE0000}"/>
    <cellStyle name="Normal 4 2 5 4 2 3 4 2" xfId="27154" xr:uid="{00000000-0005-0000-0000-0000F3AE0000}"/>
    <cellStyle name="Normal 4 2 5 4 2 3 4 2 2" xfId="59025" xr:uid="{00000000-0005-0000-0000-0000F4AE0000}"/>
    <cellStyle name="Normal 4 2 5 4 2 3 4 3" xfId="43339" xr:uid="{00000000-0005-0000-0000-0000F5AE0000}"/>
    <cellStyle name="Normal 4 2 5 4 2 3 5" xfId="19276" xr:uid="{00000000-0005-0000-0000-0000F6AE0000}"/>
    <cellStyle name="Normal 4 2 5 4 2 3 5 2" xfId="51147" xr:uid="{00000000-0005-0000-0000-0000F7AE0000}"/>
    <cellStyle name="Normal 4 2 5 4 2 3 6" xfId="43332" xr:uid="{00000000-0005-0000-0000-0000F8AE0000}"/>
    <cellStyle name="Normal 4 2 5 4 2 4" xfId="11461" xr:uid="{00000000-0005-0000-0000-0000F9AE0000}"/>
    <cellStyle name="Normal 4 2 5 4 2 4 2" xfId="11462" xr:uid="{00000000-0005-0000-0000-0000FAAE0000}"/>
    <cellStyle name="Normal 4 2 5 4 2 4 2 2" xfId="11463" xr:uid="{00000000-0005-0000-0000-0000FBAE0000}"/>
    <cellStyle name="Normal 4 2 5 4 2 4 2 2 2" xfId="31095" xr:uid="{00000000-0005-0000-0000-0000FCAE0000}"/>
    <cellStyle name="Normal 4 2 5 4 2 4 2 2 2 2" xfId="62966" xr:uid="{00000000-0005-0000-0000-0000FDAE0000}"/>
    <cellStyle name="Normal 4 2 5 4 2 4 2 2 3" xfId="43342" xr:uid="{00000000-0005-0000-0000-0000FEAE0000}"/>
    <cellStyle name="Normal 4 2 5 4 2 4 2 3" xfId="23217" xr:uid="{00000000-0005-0000-0000-0000FFAE0000}"/>
    <cellStyle name="Normal 4 2 5 4 2 4 2 3 2" xfId="55088" xr:uid="{00000000-0005-0000-0000-000000AF0000}"/>
    <cellStyle name="Normal 4 2 5 4 2 4 2 4" xfId="43341" xr:uid="{00000000-0005-0000-0000-000001AF0000}"/>
    <cellStyle name="Normal 4 2 5 4 2 4 3" xfId="11464" xr:uid="{00000000-0005-0000-0000-000002AF0000}"/>
    <cellStyle name="Normal 4 2 5 4 2 4 3 2" xfId="27156" xr:uid="{00000000-0005-0000-0000-000003AF0000}"/>
    <cellStyle name="Normal 4 2 5 4 2 4 3 2 2" xfId="59027" xr:uid="{00000000-0005-0000-0000-000004AF0000}"/>
    <cellStyle name="Normal 4 2 5 4 2 4 3 3" xfId="43343" xr:uid="{00000000-0005-0000-0000-000005AF0000}"/>
    <cellStyle name="Normal 4 2 5 4 2 4 4" xfId="19278" xr:uid="{00000000-0005-0000-0000-000006AF0000}"/>
    <cellStyle name="Normal 4 2 5 4 2 4 4 2" xfId="51149" xr:uid="{00000000-0005-0000-0000-000007AF0000}"/>
    <cellStyle name="Normal 4 2 5 4 2 4 5" xfId="43340" xr:uid="{00000000-0005-0000-0000-000008AF0000}"/>
    <cellStyle name="Normal 4 2 5 4 2 5" xfId="11465" xr:uid="{00000000-0005-0000-0000-000009AF0000}"/>
    <cellStyle name="Normal 4 2 5 4 2 5 2" xfId="11466" xr:uid="{00000000-0005-0000-0000-00000AAF0000}"/>
    <cellStyle name="Normal 4 2 5 4 2 5 2 2" xfId="31088" xr:uid="{00000000-0005-0000-0000-00000BAF0000}"/>
    <cellStyle name="Normal 4 2 5 4 2 5 2 2 2" xfId="62959" xr:uid="{00000000-0005-0000-0000-00000CAF0000}"/>
    <cellStyle name="Normal 4 2 5 4 2 5 2 3" xfId="43345" xr:uid="{00000000-0005-0000-0000-00000DAF0000}"/>
    <cellStyle name="Normal 4 2 5 4 2 5 3" xfId="23210" xr:uid="{00000000-0005-0000-0000-00000EAF0000}"/>
    <cellStyle name="Normal 4 2 5 4 2 5 3 2" xfId="55081" xr:uid="{00000000-0005-0000-0000-00000FAF0000}"/>
    <cellStyle name="Normal 4 2 5 4 2 5 4" xfId="43344" xr:uid="{00000000-0005-0000-0000-000010AF0000}"/>
    <cellStyle name="Normal 4 2 5 4 2 6" xfId="11467" xr:uid="{00000000-0005-0000-0000-000011AF0000}"/>
    <cellStyle name="Normal 4 2 5 4 2 6 2" xfId="27149" xr:uid="{00000000-0005-0000-0000-000012AF0000}"/>
    <cellStyle name="Normal 4 2 5 4 2 6 2 2" xfId="59020" xr:uid="{00000000-0005-0000-0000-000013AF0000}"/>
    <cellStyle name="Normal 4 2 5 4 2 6 3" xfId="43346" xr:uid="{00000000-0005-0000-0000-000014AF0000}"/>
    <cellStyle name="Normal 4 2 5 4 2 7" xfId="19271" xr:uid="{00000000-0005-0000-0000-000015AF0000}"/>
    <cellStyle name="Normal 4 2 5 4 2 7 2" xfId="51142" xr:uid="{00000000-0005-0000-0000-000016AF0000}"/>
    <cellStyle name="Normal 4 2 5 4 2 8" xfId="43315" xr:uid="{00000000-0005-0000-0000-000017AF0000}"/>
    <cellStyle name="Normal 4 2 5 4 3" xfId="11468" xr:uid="{00000000-0005-0000-0000-000018AF0000}"/>
    <cellStyle name="Normal 4 2 5 4 3 2" xfId="11469" xr:uid="{00000000-0005-0000-0000-000019AF0000}"/>
    <cellStyle name="Normal 4 2 5 4 3 2 2" xfId="11470" xr:uid="{00000000-0005-0000-0000-00001AAF0000}"/>
    <cellStyle name="Normal 4 2 5 4 3 2 2 2" xfId="11471" xr:uid="{00000000-0005-0000-0000-00001BAF0000}"/>
    <cellStyle name="Normal 4 2 5 4 3 2 2 2 2" xfId="11472" xr:uid="{00000000-0005-0000-0000-00001CAF0000}"/>
    <cellStyle name="Normal 4 2 5 4 3 2 2 2 2 2" xfId="31098" xr:uid="{00000000-0005-0000-0000-00001DAF0000}"/>
    <cellStyle name="Normal 4 2 5 4 3 2 2 2 2 2 2" xfId="62969" xr:uid="{00000000-0005-0000-0000-00001EAF0000}"/>
    <cellStyle name="Normal 4 2 5 4 3 2 2 2 2 3" xfId="43351" xr:uid="{00000000-0005-0000-0000-00001FAF0000}"/>
    <cellStyle name="Normal 4 2 5 4 3 2 2 2 3" xfId="23220" xr:uid="{00000000-0005-0000-0000-000020AF0000}"/>
    <cellStyle name="Normal 4 2 5 4 3 2 2 2 3 2" xfId="55091" xr:uid="{00000000-0005-0000-0000-000021AF0000}"/>
    <cellStyle name="Normal 4 2 5 4 3 2 2 2 4" xfId="43350" xr:uid="{00000000-0005-0000-0000-000022AF0000}"/>
    <cellStyle name="Normal 4 2 5 4 3 2 2 3" xfId="11473" xr:uid="{00000000-0005-0000-0000-000023AF0000}"/>
    <cellStyle name="Normal 4 2 5 4 3 2 2 3 2" xfId="27159" xr:uid="{00000000-0005-0000-0000-000024AF0000}"/>
    <cellStyle name="Normal 4 2 5 4 3 2 2 3 2 2" xfId="59030" xr:uid="{00000000-0005-0000-0000-000025AF0000}"/>
    <cellStyle name="Normal 4 2 5 4 3 2 2 3 3" xfId="43352" xr:uid="{00000000-0005-0000-0000-000026AF0000}"/>
    <cellStyle name="Normal 4 2 5 4 3 2 2 4" xfId="19281" xr:uid="{00000000-0005-0000-0000-000027AF0000}"/>
    <cellStyle name="Normal 4 2 5 4 3 2 2 4 2" xfId="51152" xr:uid="{00000000-0005-0000-0000-000028AF0000}"/>
    <cellStyle name="Normal 4 2 5 4 3 2 2 5" xfId="43349" xr:uid="{00000000-0005-0000-0000-000029AF0000}"/>
    <cellStyle name="Normal 4 2 5 4 3 2 3" xfId="11474" xr:uid="{00000000-0005-0000-0000-00002AAF0000}"/>
    <cellStyle name="Normal 4 2 5 4 3 2 3 2" xfId="11475" xr:uid="{00000000-0005-0000-0000-00002BAF0000}"/>
    <cellStyle name="Normal 4 2 5 4 3 2 3 2 2" xfId="31097" xr:uid="{00000000-0005-0000-0000-00002CAF0000}"/>
    <cellStyle name="Normal 4 2 5 4 3 2 3 2 2 2" xfId="62968" xr:uid="{00000000-0005-0000-0000-00002DAF0000}"/>
    <cellStyle name="Normal 4 2 5 4 3 2 3 2 3" xfId="43354" xr:uid="{00000000-0005-0000-0000-00002EAF0000}"/>
    <cellStyle name="Normal 4 2 5 4 3 2 3 3" xfId="23219" xr:uid="{00000000-0005-0000-0000-00002FAF0000}"/>
    <cellStyle name="Normal 4 2 5 4 3 2 3 3 2" xfId="55090" xr:uid="{00000000-0005-0000-0000-000030AF0000}"/>
    <cellStyle name="Normal 4 2 5 4 3 2 3 4" xfId="43353" xr:uid="{00000000-0005-0000-0000-000031AF0000}"/>
    <cellStyle name="Normal 4 2 5 4 3 2 4" xfId="11476" xr:uid="{00000000-0005-0000-0000-000032AF0000}"/>
    <cellStyle name="Normal 4 2 5 4 3 2 4 2" xfId="27158" xr:uid="{00000000-0005-0000-0000-000033AF0000}"/>
    <cellStyle name="Normal 4 2 5 4 3 2 4 2 2" xfId="59029" xr:uid="{00000000-0005-0000-0000-000034AF0000}"/>
    <cellStyle name="Normal 4 2 5 4 3 2 4 3" xfId="43355" xr:uid="{00000000-0005-0000-0000-000035AF0000}"/>
    <cellStyle name="Normal 4 2 5 4 3 2 5" xfId="19280" xr:uid="{00000000-0005-0000-0000-000036AF0000}"/>
    <cellStyle name="Normal 4 2 5 4 3 2 5 2" xfId="51151" xr:uid="{00000000-0005-0000-0000-000037AF0000}"/>
    <cellStyle name="Normal 4 2 5 4 3 2 6" xfId="43348" xr:uid="{00000000-0005-0000-0000-000038AF0000}"/>
    <cellStyle name="Normal 4 2 5 4 3 3" xfId="11477" xr:uid="{00000000-0005-0000-0000-000039AF0000}"/>
    <cellStyle name="Normal 4 2 5 4 3 3 2" xfId="11478" xr:uid="{00000000-0005-0000-0000-00003AAF0000}"/>
    <cellStyle name="Normal 4 2 5 4 3 3 2 2" xfId="11479" xr:uid="{00000000-0005-0000-0000-00003BAF0000}"/>
    <cellStyle name="Normal 4 2 5 4 3 3 2 2 2" xfId="31099" xr:uid="{00000000-0005-0000-0000-00003CAF0000}"/>
    <cellStyle name="Normal 4 2 5 4 3 3 2 2 2 2" xfId="62970" xr:uid="{00000000-0005-0000-0000-00003DAF0000}"/>
    <cellStyle name="Normal 4 2 5 4 3 3 2 2 3" xfId="43358" xr:uid="{00000000-0005-0000-0000-00003EAF0000}"/>
    <cellStyle name="Normal 4 2 5 4 3 3 2 3" xfId="23221" xr:uid="{00000000-0005-0000-0000-00003FAF0000}"/>
    <cellStyle name="Normal 4 2 5 4 3 3 2 3 2" xfId="55092" xr:uid="{00000000-0005-0000-0000-000040AF0000}"/>
    <cellStyle name="Normal 4 2 5 4 3 3 2 4" xfId="43357" xr:uid="{00000000-0005-0000-0000-000041AF0000}"/>
    <cellStyle name="Normal 4 2 5 4 3 3 3" xfId="11480" xr:uid="{00000000-0005-0000-0000-000042AF0000}"/>
    <cellStyle name="Normal 4 2 5 4 3 3 3 2" xfId="27160" xr:uid="{00000000-0005-0000-0000-000043AF0000}"/>
    <cellStyle name="Normal 4 2 5 4 3 3 3 2 2" xfId="59031" xr:uid="{00000000-0005-0000-0000-000044AF0000}"/>
    <cellStyle name="Normal 4 2 5 4 3 3 3 3" xfId="43359" xr:uid="{00000000-0005-0000-0000-000045AF0000}"/>
    <cellStyle name="Normal 4 2 5 4 3 3 4" xfId="19282" xr:uid="{00000000-0005-0000-0000-000046AF0000}"/>
    <cellStyle name="Normal 4 2 5 4 3 3 4 2" xfId="51153" xr:uid="{00000000-0005-0000-0000-000047AF0000}"/>
    <cellStyle name="Normal 4 2 5 4 3 3 5" xfId="43356" xr:uid="{00000000-0005-0000-0000-000048AF0000}"/>
    <cellStyle name="Normal 4 2 5 4 3 4" xfId="11481" xr:uid="{00000000-0005-0000-0000-000049AF0000}"/>
    <cellStyle name="Normal 4 2 5 4 3 4 2" xfId="11482" xr:uid="{00000000-0005-0000-0000-00004AAF0000}"/>
    <cellStyle name="Normal 4 2 5 4 3 4 2 2" xfId="31096" xr:uid="{00000000-0005-0000-0000-00004BAF0000}"/>
    <cellStyle name="Normal 4 2 5 4 3 4 2 2 2" xfId="62967" xr:uid="{00000000-0005-0000-0000-00004CAF0000}"/>
    <cellStyle name="Normal 4 2 5 4 3 4 2 3" xfId="43361" xr:uid="{00000000-0005-0000-0000-00004DAF0000}"/>
    <cellStyle name="Normal 4 2 5 4 3 4 3" xfId="23218" xr:uid="{00000000-0005-0000-0000-00004EAF0000}"/>
    <cellStyle name="Normal 4 2 5 4 3 4 3 2" xfId="55089" xr:uid="{00000000-0005-0000-0000-00004FAF0000}"/>
    <cellStyle name="Normal 4 2 5 4 3 4 4" xfId="43360" xr:uid="{00000000-0005-0000-0000-000050AF0000}"/>
    <cellStyle name="Normal 4 2 5 4 3 5" xfId="11483" xr:uid="{00000000-0005-0000-0000-000051AF0000}"/>
    <cellStyle name="Normal 4 2 5 4 3 5 2" xfId="27157" xr:uid="{00000000-0005-0000-0000-000052AF0000}"/>
    <cellStyle name="Normal 4 2 5 4 3 5 2 2" xfId="59028" xr:uid="{00000000-0005-0000-0000-000053AF0000}"/>
    <cellStyle name="Normal 4 2 5 4 3 5 3" xfId="43362" xr:uid="{00000000-0005-0000-0000-000054AF0000}"/>
    <cellStyle name="Normal 4 2 5 4 3 6" xfId="19279" xr:uid="{00000000-0005-0000-0000-000055AF0000}"/>
    <cellStyle name="Normal 4 2 5 4 3 6 2" xfId="51150" xr:uid="{00000000-0005-0000-0000-000056AF0000}"/>
    <cellStyle name="Normal 4 2 5 4 3 7" xfId="43347" xr:uid="{00000000-0005-0000-0000-000057AF0000}"/>
    <cellStyle name="Normal 4 2 5 4 4" xfId="11484" xr:uid="{00000000-0005-0000-0000-000058AF0000}"/>
    <cellStyle name="Normal 4 2 5 4 4 2" xfId="11485" xr:uid="{00000000-0005-0000-0000-000059AF0000}"/>
    <cellStyle name="Normal 4 2 5 4 4 2 2" xfId="11486" xr:uid="{00000000-0005-0000-0000-00005AAF0000}"/>
    <cellStyle name="Normal 4 2 5 4 4 2 2 2" xfId="11487" xr:uid="{00000000-0005-0000-0000-00005BAF0000}"/>
    <cellStyle name="Normal 4 2 5 4 4 2 2 2 2" xfId="31101" xr:uid="{00000000-0005-0000-0000-00005CAF0000}"/>
    <cellStyle name="Normal 4 2 5 4 4 2 2 2 2 2" xfId="62972" xr:uid="{00000000-0005-0000-0000-00005DAF0000}"/>
    <cellStyle name="Normal 4 2 5 4 4 2 2 2 3" xfId="43366" xr:uid="{00000000-0005-0000-0000-00005EAF0000}"/>
    <cellStyle name="Normal 4 2 5 4 4 2 2 3" xfId="23223" xr:uid="{00000000-0005-0000-0000-00005FAF0000}"/>
    <cellStyle name="Normal 4 2 5 4 4 2 2 3 2" xfId="55094" xr:uid="{00000000-0005-0000-0000-000060AF0000}"/>
    <cellStyle name="Normal 4 2 5 4 4 2 2 4" xfId="43365" xr:uid="{00000000-0005-0000-0000-000061AF0000}"/>
    <cellStyle name="Normal 4 2 5 4 4 2 3" xfId="11488" xr:uid="{00000000-0005-0000-0000-000062AF0000}"/>
    <cellStyle name="Normal 4 2 5 4 4 2 3 2" xfId="27162" xr:uid="{00000000-0005-0000-0000-000063AF0000}"/>
    <cellStyle name="Normal 4 2 5 4 4 2 3 2 2" xfId="59033" xr:uid="{00000000-0005-0000-0000-000064AF0000}"/>
    <cellStyle name="Normal 4 2 5 4 4 2 3 3" xfId="43367" xr:uid="{00000000-0005-0000-0000-000065AF0000}"/>
    <cellStyle name="Normal 4 2 5 4 4 2 4" xfId="19284" xr:uid="{00000000-0005-0000-0000-000066AF0000}"/>
    <cellStyle name="Normal 4 2 5 4 4 2 4 2" xfId="51155" xr:uid="{00000000-0005-0000-0000-000067AF0000}"/>
    <cellStyle name="Normal 4 2 5 4 4 2 5" xfId="43364" xr:uid="{00000000-0005-0000-0000-000068AF0000}"/>
    <cellStyle name="Normal 4 2 5 4 4 3" xfId="11489" xr:uid="{00000000-0005-0000-0000-000069AF0000}"/>
    <cellStyle name="Normal 4 2 5 4 4 3 2" xfId="11490" xr:uid="{00000000-0005-0000-0000-00006AAF0000}"/>
    <cellStyle name="Normal 4 2 5 4 4 3 2 2" xfId="31100" xr:uid="{00000000-0005-0000-0000-00006BAF0000}"/>
    <cellStyle name="Normal 4 2 5 4 4 3 2 2 2" xfId="62971" xr:uid="{00000000-0005-0000-0000-00006CAF0000}"/>
    <cellStyle name="Normal 4 2 5 4 4 3 2 3" xfId="43369" xr:uid="{00000000-0005-0000-0000-00006DAF0000}"/>
    <cellStyle name="Normal 4 2 5 4 4 3 3" xfId="23222" xr:uid="{00000000-0005-0000-0000-00006EAF0000}"/>
    <cellStyle name="Normal 4 2 5 4 4 3 3 2" xfId="55093" xr:uid="{00000000-0005-0000-0000-00006FAF0000}"/>
    <cellStyle name="Normal 4 2 5 4 4 3 4" xfId="43368" xr:uid="{00000000-0005-0000-0000-000070AF0000}"/>
    <cellStyle name="Normal 4 2 5 4 4 4" xfId="11491" xr:uid="{00000000-0005-0000-0000-000071AF0000}"/>
    <cellStyle name="Normal 4 2 5 4 4 4 2" xfId="27161" xr:uid="{00000000-0005-0000-0000-000072AF0000}"/>
    <cellStyle name="Normal 4 2 5 4 4 4 2 2" xfId="59032" xr:uid="{00000000-0005-0000-0000-000073AF0000}"/>
    <cellStyle name="Normal 4 2 5 4 4 4 3" xfId="43370" xr:uid="{00000000-0005-0000-0000-000074AF0000}"/>
    <cellStyle name="Normal 4 2 5 4 4 5" xfId="19283" xr:uid="{00000000-0005-0000-0000-000075AF0000}"/>
    <cellStyle name="Normal 4 2 5 4 4 5 2" xfId="51154" xr:uid="{00000000-0005-0000-0000-000076AF0000}"/>
    <cellStyle name="Normal 4 2 5 4 4 6" xfId="43363" xr:uid="{00000000-0005-0000-0000-000077AF0000}"/>
    <cellStyle name="Normal 4 2 5 4 5" xfId="11492" xr:uid="{00000000-0005-0000-0000-000078AF0000}"/>
    <cellStyle name="Normal 4 2 5 4 5 2" xfId="11493" xr:uid="{00000000-0005-0000-0000-000079AF0000}"/>
    <cellStyle name="Normal 4 2 5 4 5 2 2" xfId="11494" xr:uid="{00000000-0005-0000-0000-00007AAF0000}"/>
    <cellStyle name="Normal 4 2 5 4 5 2 2 2" xfId="31102" xr:uid="{00000000-0005-0000-0000-00007BAF0000}"/>
    <cellStyle name="Normal 4 2 5 4 5 2 2 2 2" xfId="62973" xr:uid="{00000000-0005-0000-0000-00007CAF0000}"/>
    <cellStyle name="Normal 4 2 5 4 5 2 2 3" xfId="43373" xr:uid="{00000000-0005-0000-0000-00007DAF0000}"/>
    <cellStyle name="Normal 4 2 5 4 5 2 3" xfId="23224" xr:uid="{00000000-0005-0000-0000-00007EAF0000}"/>
    <cellStyle name="Normal 4 2 5 4 5 2 3 2" xfId="55095" xr:uid="{00000000-0005-0000-0000-00007FAF0000}"/>
    <cellStyle name="Normal 4 2 5 4 5 2 4" xfId="43372" xr:uid="{00000000-0005-0000-0000-000080AF0000}"/>
    <cellStyle name="Normal 4 2 5 4 5 3" xfId="11495" xr:uid="{00000000-0005-0000-0000-000081AF0000}"/>
    <cellStyle name="Normal 4 2 5 4 5 3 2" xfId="27163" xr:uid="{00000000-0005-0000-0000-000082AF0000}"/>
    <cellStyle name="Normal 4 2 5 4 5 3 2 2" xfId="59034" xr:uid="{00000000-0005-0000-0000-000083AF0000}"/>
    <cellStyle name="Normal 4 2 5 4 5 3 3" xfId="43374" xr:uid="{00000000-0005-0000-0000-000084AF0000}"/>
    <cellStyle name="Normal 4 2 5 4 5 4" xfId="19285" xr:uid="{00000000-0005-0000-0000-000085AF0000}"/>
    <cellStyle name="Normal 4 2 5 4 5 4 2" xfId="51156" xr:uid="{00000000-0005-0000-0000-000086AF0000}"/>
    <cellStyle name="Normal 4 2 5 4 5 5" xfId="43371" xr:uid="{00000000-0005-0000-0000-000087AF0000}"/>
    <cellStyle name="Normal 4 2 5 4 6" xfId="11496" xr:uid="{00000000-0005-0000-0000-000088AF0000}"/>
    <cellStyle name="Normal 4 2 5 4 6 2" xfId="11497" xr:uid="{00000000-0005-0000-0000-000089AF0000}"/>
    <cellStyle name="Normal 4 2 5 4 6 2 2" xfId="28401" xr:uid="{00000000-0005-0000-0000-00008AAF0000}"/>
    <cellStyle name="Normal 4 2 5 4 6 2 2 2" xfId="60272" xr:uid="{00000000-0005-0000-0000-00008BAF0000}"/>
    <cellStyle name="Normal 4 2 5 4 6 2 3" xfId="43376" xr:uid="{00000000-0005-0000-0000-00008CAF0000}"/>
    <cellStyle name="Normal 4 2 5 4 6 3" xfId="20523" xr:uid="{00000000-0005-0000-0000-00008DAF0000}"/>
    <cellStyle name="Normal 4 2 5 4 6 3 2" xfId="52394" xr:uid="{00000000-0005-0000-0000-00008EAF0000}"/>
    <cellStyle name="Normal 4 2 5 4 6 4" xfId="43375" xr:uid="{00000000-0005-0000-0000-00008FAF0000}"/>
    <cellStyle name="Normal 4 2 5 4 7" xfId="11498" xr:uid="{00000000-0005-0000-0000-000090AF0000}"/>
    <cellStyle name="Normal 4 2 5 4 7 2" xfId="24462" xr:uid="{00000000-0005-0000-0000-000091AF0000}"/>
    <cellStyle name="Normal 4 2 5 4 7 2 2" xfId="56333" xr:uid="{00000000-0005-0000-0000-000092AF0000}"/>
    <cellStyle name="Normal 4 2 5 4 7 3" xfId="43377" xr:uid="{00000000-0005-0000-0000-000093AF0000}"/>
    <cellStyle name="Normal 4 2 5 4 8" xfId="16584" xr:uid="{00000000-0005-0000-0000-000094AF0000}"/>
    <cellStyle name="Normal 4 2 5 4 8 2" xfId="48455" xr:uid="{00000000-0005-0000-0000-000095AF0000}"/>
    <cellStyle name="Normal 4 2 5 4 9" xfId="43314" xr:uid="{00000000-0005-0000-0000-000096AF0000}"/>
    <cellStyle name="Normal 4 2 5 5" xfId="11499" xr:uid="{00000000-0005-0000-0000-000097AF0000}"/>
    <cellStyle name="Normal 4 2 5 5 2" xfId="11500" xr:uid="{00000000-0005-0000-0000-000098AF0000}"/>
    <cellStyle name="Normal 4 2 5 5 2 2" xfId="11501" xr:uid="{00000000-0005-0000-0000-000099AF0000}"/>
    <cellStyle name="Normal 4 2 5 5 2 2 2" xfId="11502" xr:uid="{00000000-0005-0000-0000-00009AAF0000}"/>
    <cellStyle name="Normal 4 2 5 5 2 2 2 2" xfId="11503" xr:uid="{00000000-0005-0000-0000-00009BAF0000}"/>
    <cellStyle name="Normal 4 2 5 5 2 2 2 2 2" xfId="11504" xr:uid="{00000000-0005-0000-0000-00009CAF0000}"/>
    <cellStyle name="Normal 4 2 5 5 2 2 2 2 2 2" xfId="31106" xr:uid="{00000000-0005-0000-0000-00009DAF0000}"/>
    <cellStyle name="Normal 4 2 5 5 2 2 2 2 2 2 2" xfId="62977" xr:uid="{00000000-0005-0000-0000-00009EAF0000}"/>
    <cellStyle name="Normal 4 2 5 5 2 2 2 2 2 3" xfId="43383" xr:uid="{00000000-0005-0000-0000-00009FAF0000}"/>
    <cellStyle name="Normal 4 2 5 5 2 2 2 2 3" xfId="23228" xr:uid="{00000000-0005-0000-0000-0000A0AF0000}"/>
    <cellStyle name="Normal 4 2 5 5 2 2 2 2 3 2" xfId="55099" xr:uid="{00000000-0005-0000-0000-0000A1AF0000}"/>
    <cellStyle name="Normal 4 2 5 5 2 2 2 2 4" xfId="43382" xr:uid="{00000000-0005-0000-0000-0000A2AF0000}"/>
    <cellStyle name="Normal 4 2 5 5 2 2 2 3" xfId="11505" xr:uid="{00000000-0005-0000-0000-0000A3AF0000}"/>
    <cellStyle name="Normal 4 2 5 5 2 2 2 3 2" xfId="27167" xr:uid="{00000000-0005-0000-0000-0000A4AF0000}"/>
    <cellStyle name="Normal 4 2 5 5 2 2 2 3 2 2" xfId="59038" xr:uid="{00000000-0005-0000-0000-0000A5AF0000}"/>
    <cellStyle name="Normal 4 2 5 5 2 2 2 3 3" xfId="43384" xr:uid="{00000000-0005-0000-0000-0000A6AF0000}"/>
    <cellStyle name="Normal 4 2 5 5 2 2 2 4" xfId="19289" xr:uid="{00000000-0005-0000-0000-0000A7AF0000}"/>
    <cellStyle name="Normal 4 2 5 5 2 2 2 4 2" xfId="51160" xr:uid="{00000000-0005-0000-0000-0000A8AF0000}"/>
    <cellStyle name="Normal 4 2 5 5 2 2 2 5" xfId="43381" xr:uid="{00000000-0005-0000-0000-0000A9AF0000}"/>
    <cellStyle name="Normal 4 2 5 5 2 2 3" xfId="11506" xr:uid="{00000000-0005-0000-0000-0000AAAF0000}"/>
    <cellStyle name="Normal 4 2 5 5 2 2 3 2" xfId="11507" xr:uid="{00000000-0005-0000-0000-0000ABAF0000}"/>
    <cellStyle name="Normal 4 2 5 5 2 2 3 2 2" xfId="31105" xr:uid="{00000000-0005-0000-0000-0000ACAF0000}"/>
    <cellStyle name="Normal 4 2 5 5 2 2 3 2 2 2" xfId="62976" xr:uid="{00000000-0005-0000-0000-0000ADAF0000}"/>
    <cellStyle name="Normal 4 2 5 5 2 2 3 2 3" xfId="43386" xr:uid="{00000000-0005-0000-0000-0000AEAF0000}"/>
    <cellStyle name="Normal 4 2 5 5 2 2 3 3" xfId="23227" xr:uid="{00000000-0005-0000-0000-0000AFAF0000}"/>
    <cellStyle name="Normal 4 2 5 5 2 2 3 3 2" xfId="55098" xr:uid="{00000000-0005-0000-0000-0000B0AF0000}"/>
    <cellStyle name="Normal 4 2 5 5 2 2 3 4" xfId="43385" xr:uid="{00000000-0005-0000-0000-0000B1AF0000}"/>
    <cellStyle name="Normal 4 2 5 5 2 2 4" xfId="11508" xr:uid="{00000000-0005-0000-0000-0000B2AF0000}"/>
    <cellStyle name="Normal 4 2 5 5 2 2 4 2" xfId="27166" xr:uid="{00000000-0005-0000-0000-0000B3AF0000}"/>
    <cellStyle name="Normal 4 2 5 5 2 2 4 2 2" xfId="59037" xr:uid="{00000000-0005-0000-0000-0000B4AF0000}"/>
    <cellStyle name="Normal 4 2 5 5 2 2 4 3" xfId="43387" xr:uid="{00000000-0005-0000-0000-0000B5AF0000}"/>
    <cellStyle name="Normal 4 2 5 5 2 2 5" xfId="19288" xr:uid="{00000000-0005-0000-0000-0000B6AF0000}"/>
    <cellStyle name="Normal 4 2 5 5 2 2 5 2" xfId="51159" xr:uid="{00000000-0005-0000-0000-0000B7AF0000}"/>
    <cellStyle name="Normal 4 2 5 5 2 2 6" xfId="43380" xr:uid="{00000000-0005-0000-0000-0000B8AF0000}"/>
    <cellStyle name="Normal 4 2 5 5 2 3" xfId="11509" xr:uid="{00000000-0005-0000-0000-0000B9AF0000}"/>
    <cellStyle name="Normal 4 2 5 5 2 3 2" xfId="11510" xr:uid="{00000000-0005-0000-0000-0000BAAF0000}"/>
    <cellStyle name="Normal 4 2 5 5 2 3 2 2" xfId="11511" xr:uid="{00000000-0005-0000-0000-0000BBAF0000}"/>
    <cellStyle name="Normal 4 2 5 5 2 3 2 2 2" xfId="31107" xr:uid="{00000000-0005-0000-0000-0000BCAF0000}"/>
    <cellStyle name="Normal 4 2 5 5 2 3 2 2 2 2" xfId="62978" xr:uid="{00000000-0005-0000-0000-0000BDAF0000}"/>
    <cellStyle name="Normal 4 2 5 5 2 3 2 2 3" xfId="43390" xr:uid="{00000000-0005-0000-0000-0000BEAF0000}"/>
    <cellStyle name="Normal 4 2 5 5 2 3 2 3" xfId="23229" xr:uid="{00000000-0005-0000-0000-0000BFAF0000}"/>
    <cellStyle name="Normal 4 2 5 5 2 3 2 3 2" xfId="55100" xr:uid="{00000000-0005-0000-0000-0000C0AF0000}"/>
    <cellStyle name="Normal 4 2 5 5 2 3 2 4" xfId="43389" xr:uid="{00000000-0005-0000-0000-0000C1AF0000}"/>
    <cellStyle name="Normal 4 2 5 5 2 3 3" xfId="11512" xr:uid="{00000000-0005-0000-0000-0000C2AF0000}"/>
    <cellStyle name="Normal 4 2 5 5 2 3 3 2" xfId="27168" xr:uid="{00000000-0005-0000-0000-0000C3AF0000}"/>
    <cellStyle name="Normal 4 2 5 5 2 3 3 2 2" xfId="59039" xr:uid="{00000000-0005-0000-0000-0000C4AF0000}"/>
    <cellStyle name="Normal 4 2 5 5 2 3 3 3" xfId="43391" xr:uid="{00000000-0005-0000-0000-0000C5AF0000}"/>
    <cellStyle name="Normal 4 2 5 5 2 3 4" xfId="19290" xr:uid="{00000000-0005-0000-0000-0000C6AF0000}"/>
    <cellStyle name="Normal 4 2 5 5 2 3 4 2" xfId="51161" xr:uid="{00000000-0005-0000-0000-0000C7AF0000}"/>
    <cellStyle name="Normal 4 2 5 5 2 3 5" xfId="43388" xr:uid="{00000000-0005-0000-0000-0000C8AF0000}"/>
    <cellStyle name="Normal 4 2 5 5 2 4" xfId="11513" xr:uid="{00000000-0005-0000-0000-0000C9AF0000}"/>
    <cellStyle name="Normal 4 2 5 5 2 4 2" xfId="11514" xr:uid="{00000000-0005-0000-0000-0000CAAF0000}"/>
    <cellStyle name="Normal 4 2 5 5 2 4 2 2" xfId="31104" xr:uid="{00000000-0005-0000-0000-0000CBAF0000}"/>
    <cellStyle name="Normal 4 2 5 5 2 4 2 2 2" xfId="62975" xr:uid="{00000000-0005-0000-0000-0000CCAF0000}"/>
    <cellStyle name="Normal 4 2 5 5 2 4 2 3" xfId="43393" xr:uid="{00000000-0005-0000-0000-0000CDAF0000}"/>
    <cellStyle name="Normal 4 2 5 5 2 4 3" xfId="23226" xr:uid="{00000000-0005-0000-0000-0000CEAF0000}"/>
    <cellStyle name="Normal 4 2 5 5 2 4 3 2" xfId="55097" xr:uid="{00000000-0005-0000-0000-0000CFAF0000}"/>
    <cellStyle name="Normal 4 2 5 5 2 4 4" xfId="43392" xr:uid="{00000000-0005-0000-0000-0000D0AF0000}"/>
    <cellStyle name="Normal 4 2 5 5 2 5" xfId="11515" xr:uid="{00000000-0005-0000-0000-0000D1AF0000}"/>
    <cellStyle name="Normal 4 2 5 5 2 5 2" xfId="27165" xr:uid="{00000000-0005-0000-0000-0000D2AF0000}"/>
    <cellStyle name="Normal 4 2 5 5 2 5 2 2" xfId="59036" xr:uid="{00000000-0005-0000-0000-0000D3AF0000}"/>
    <cellStyle name="Normal 4 2 5 5 2 5 3" xfId="43394" xr:uid="{00000000-0005-0000-0000-0000D4AF0000}"/>
    <cellStyle name="Normal 4 2 5 5 2 6" xfId="19287" xr:uid="{00000000-0005-0000-0000-0000D5AF0000}"/>
    <cellStyle name="Normal 4 2 5 5 2 6 2" xfId="51158" xr:uid="{00000000-0005-0000-0000-0000D6AF0000}"/>
    <cellStyle name="Normal 4 2 5 5 2 7" xfId="43379" xr:uid="{00000000-0005-0000-0000-0000D7AF0000}"/>
    <cellStyle name="Normal 4 2 5 5 3" xfId="11516" xr:uid="{00000000-0005-0000-0000-0000D8AF0000}"/>
    <cellStyle name="Normal 4 2 5 5 3 2" xfId="11517" xr:uid="{00000000-0005-0000-0000-0000D9AF0000}"/>
    <cellStyle name="Normal 4 2 5 5 3 2 2" xfId="11518" xr:uid="{00000000-0005-0000-0000-0000DAAF0000}"/>
    <cellStyle name="Normal 4 2 5 5 3 2 2 2" xfId="11519" xr:uid="{00000000-0005-0000-0000-0000DBAF0000}"/>
    <cellStyle name="Normal 4 2 5 5 3 2 2 2 2" xfId="31109" xr:uid="{00000000-0005-0000-0000-0000DCAF0000}"/>
    <cellStyle name="Normal 4 2 5 5 3 2 2 2 2 2" xfId="62980" xr:uid="{00000000-0005-0000-0000-0000DDAF0000}"/>
    <cellStyle name="Normal 4 2 5 5 3 2 2 2 3" xfId="43398" xr:uid="{00000000-0005-0000-0000-0000DEAF0000}"/>
    <cellStyle name="Normal 4 2 5 5 3 2 2 3" xfId="23231" xr:uid="{00000000-0005-0000-0000-0000DFAF0000}"/>
    <cellStyle name="Normal 4 2 5 5 3 2 2 3 2" xfId="55102" xr:uid="{00000000-0005-0000-0000-0000E0AF0000}"/>
    <cellStyle name="Normal 4 2 5 5 3 2 2 4" xfId="43397" xr:uid="{00000000-0005-0000-0000-0000E1AF0000}"/>
    <cellStyle name="Normal 4 2 5 5 3 2 3" xfId="11520" xr:uid="{00000000-0005-0000-0000-0000E2AF0000}"/>
    <cellStyle name="Normal 4 2 5 5 3 2 3 2" xfId="27170" xr:uid="{00000000-0005-0000-0000-0000E3AF0000}"/>
    <cellStyle name="Normal 4 2 5 5 3 2 3 2 2" xfId="59041" xr:uid="{00000000-0005-0000-0000-0000E4AF0000}"/>
    <cellStyle name="Normal 4 2 5 5 3 2 3 3" xfId="43399" xr:uid="{00000000-0005-0000-0000-0000E5AF0000}"/>
    <cellStyle name="Normal 4 2 5 5 3 2 4" xfId="19292" xr:uid="{00000000-0005-0000-0000-0000E6AF0000}"/>
    <cellStyle name="Normal 4 2 5 5 3 2 4 2" xfId="51163" xr:uid="{00000000-0005-0000-0000-0000E7AF0000}"/>
    <cellStyle name="Normal 4 2 5 5 3 2 5" xfId="43396" xr:uid="{00000000-0005-0000-0000-0000E8AF0000}"/>
    <cellStyle name="Normal 4 2 5 5 3 3" xfId="11521" xr:uid="{00000000-0005-0000-0000-0000E9AF0000}"/>
    <cellStyle name="Normal 4 2 5 5 3 3 2" xfId="11522" xr:uid="{00000000-0005-0000-0000-0000EAAF0000}"/>
    <cellStyle name="Normal 4 2 5 5 3 3 2 2" xfId="31108" xr:uid="{00000000-0005-0000-0000-0000EBAF0000}"/>
    <cellStyle name="Normal 4 2 5 5 3 3 2 2 2" xfId="62979" xr:uid="{00000000-0005-0000-0000-0000ECAF0000}"/>
    <cellStyle name="Normal 4 2 5 5 3 3 2 3" xfId="43401" xr:uid="{00000000-0005-0000-0000-0000EDAF0000}"/>
    <cellStyle name="Normal 4 2 5 5 3 3 3" xfId="23230" xr:uid="{00000000-0005-0000-0000-0000EEAF0000}"/>
    <cellStyle name="Normal 4 2 5 5 3 3 3 2" xfId="55101" xr:uid="{00000000-0005-0000-0000-0000EFAF0000}"/>
    <cellStyle name="Normal 4 2 5 5 3 3 4" xfId="43400" xr:uid="{00000000-0005-0000-0000-0000F0AF0000}"/>
    <cellStyle name="Normal 4 2 5 5 3 4" xfId="11523" xr:uid="{00000000-0005-0000-0000-0000F1AF0000}"/>
    <cellStyle name="Normal 4 2 5 5 3 4 2" xfId="27169" xr:uid="{00000000-0005-0000-0000-0000F2AF0000}"/>
    <cellStyle name="Normal 4 2 5 5 3 4 2 2" xfId="59040" xr:uid="{00000000-0005-0000-0000-0000F3AF0000}"/>
    <cellStyle name="Normal 4 2 5 5 3 4 3" xfId="43402" xr:uid="{00000000-0005-0000-0000-0000F4AF0000}"/>
    <cellStyle name="Normal 4 2 5 5 3 5" xfId="19291" xr:uid="{00000000-0005-0000-0000-0000F5AF0000}"/>
    <cellStyle name="Normal 4 2 5 5 3 5 2" xfId="51162" xr:uid="{00000000-0005-0000-0000-0000F6AF0000}"/>
    <cellStyle name="Normal 4 2 5 5 3 6" xfId="43395" xr:uid="{00000000-0005-0000-0000-0000F7AF0000}"/>
    <cellStyle name="Normal 4 2 5 5 4" xfId="11524" xr:uid="{00000000-0005-0000-0000-0000F8AF0000}"/>
    <cellStyle name="Normal 4 2 5 5 4 2" xfId="11525" xr:uid="{00000000-0005-0000-0000-0000F9AF0000}"/>
    <cellStyle name="Normal 4 2 5 5 4 2 2" xfId="11526" xr:uid="{00000000-0005-0000-0000-0000FAAF0000}"/>
    <cellStyle name="Normal 4 2 5 5 4 2 2 2" xfId="31110" xr:uid="{00000000-0005-0000-0000-0000FBAF0000}"/>
    <cellStyle name="Normal 4 2 5 5 4 2 2 2 2" xfId="62981" xr:uid="{00000000-0005-0000-0000-0000FCAF0000}"/>
    <cellStyle name="Normal 4 2 5 5 4 2 2 3" xfId="43405" xr:uid="{00000000-0005-0000-0000-0000FDAF0000}"/>
    <cellStyle name="Normal 4 2 5 5 4 2 3" xfId="23232" xr:uid="{00000000-0005-0000-0000-0000FEAF0000}"/>
    <cellStyle name="Normal 4 2 5 5 4 2 3 2" xfId="55103" xr:uid="{00000000-0005-0000-0000-0000FFAF0000}"/>
    <cellStyle name="Normal 4 2 5 5 4 2 4" xfId="43404" xr:uid="{00000000-0005-0000-0000-000000B00000}"/>
    <cellStyle name="Normal 4 2 5 5 4 3" xfId="11527" xr:uid="{00000000-0005-0000-0000-000001B00000}"/>
    <cellStyle name="Normal 4 2 5 5 4 3 2" xfId="27171" xr:uid="{00000000-0005-0000-0000-000002B00000}"/>
    <cellStyle name="Normal 4 2 5 5 4 3 2 2" xfId="59042" xr:uid="{00000000-0005-0000-0000-000003B00000}"/>
    <cellStyle name="Normal 4 2 5 5 4 3 3" xfId="43406" xr:uid="{00000000-0005-0000-0000-000004B00000}"/>
    <cellStyle name="Normal 4 2 5 5 4 4" xfId="19293" xr:uid="{00000000-0005-0000-0000-000005B00000}"/>
    <cellStyle name="Normal 4 2 5 5 4 4 2" xfId="51164" xr:uid="{00000000-0005-0000-0000-000006B00000}"/>
    <cellStyle name="Normal 4 2 5 5 4 5" xfId="43403" xr:uid="{00000000-0005-0000-0000-000007B00000}"/>
    <cellStyle name="Normal 4 2 5 5 5" xfId="11528" xr:uid="{00000000-0005-0000-0000-000008B00000}"/>
    <cellStyle name="Normal 4 2 5 5 5 2" xfId="11529" xr:uid="{00000000-0005-0000-0000-000009B00000}"/>
    <cellStyle name="Normal 4 2 5 5 5 2 2" xfId="31103" xr:uid="{00000000-0005-0000-0000-00000AB00000}"/>
    <cellStyle name="Normal 4 2 5 5 5 2 2 2" xfId="62974" xr:uid="{00000000-0005-0000-0000-00000BB00000}"/>
    <cellStyle name="Normal 4 2 5 5 5 2 3" xfId="43408" xr:uid="{00000000-0005-0000-0000-00000CB00000}"/>
    <cellStyle name="Normal 4 2 5 5 5 3" xfId="23225" xr:uid="{00000000-0005-0000-0000-00000DB00000}"/>
    <cellStyle name="Normal 4 2 5 5 5 3 2" xfId="55096" xr:uid="{00000000-0005-0000-0000-00000EB00000}"/>
    <cellStyle name="Normal 4 2 5 5 5 4" xfId="43407" xr:uid="{00000000-0005-0000-0000-00000FB00000}"/>
    <cellStyle name="Normal 4 2 5 5 6" xfId="11530" xr:uid="{00000000-0005-0000-0000-000010B00000}"/>
    <cellStyle name="Normal 4 2 5 5 6 2" xfId="27164" xr:uid="{00000000-0005-0000-0000-000011B00000}"/>
    <cellStyle name="Normal 4 2 5 5 6 2 2" xfId="59035" xr:uid="{00000000-0005-0000-0000-000012B00000}"/>
    <cellStyle name="Normal 4 2 5 5 6 3" xfId="43409" xr:uid="{00000000-0005-0000-0000-000013B00000}"/>
    <cellStyle name="Normal 4 2 5 5 7" xfId="19286" xr:uid="{00000000-0005-0000-0000-000014B00000}"/>
    <cellStyle name="Normal 4 2 5 5 7 2" xfId="51157" xr:uid="{00000000-0005-0000-0000-000015B00000}"/>
    <cellStyle name="Normal 4 2 5 5 8" xfId="43378" xr:uid="{00000000-0005-0000-0000-000016B00000}"/>
    <cellStyle name="Normal 4 2 5 6" xfId="11531" xr:uid="{00000000-0005-0000-0000-000017B00000}"/>
    <cellStyle name="Normal 4 2 5 6 2" xfId="11532" xr:uid="{00000000-0005-0000-0000-000018B00000}"/>
    <cellStyle name="Normal 4 2 5 6 2 2" xfId="11533" xr:uid="{00000000-0005-0000-0000-000019B00000}"/>
    <cellStyle name="Normal 4 2 5 6 2 2 2" xfId="11534" xr:uid="{00000000-0005-0000-0000-00001AB00000}"/>
    <cellStyle name="Normal 4 2 5 6 2 2 2 2" xfId="11535" xr:uid="{00000000-0005-0000-0000-00001BB00000}"/>
    <cellStyle name="Normal 4 2 5 6 2 2 2 2 2" xfId="31113" xr:uid="{00000000-0005-0000-0000-00001CB00000}"/>
    <cellStyle name="Normal 4 2 5 6 2 2 2 2 2 2" xfId="62984" xr:uid="{00000000-0005-0000-0000-00001DB00000}"/>
    <cellStyle name="Normal 4 2 5 6 2 2 2 2 3" xfId="43414" xr:uid="{00000000-0005-0000-0000-00001EB00000}"/>
    <cellStyle name="Normal 4 2 5 6 2 2 2 3" xfId="23235" xr:uid="{00000000-0005-0000-0000-00001FB00000}"/>
    <cellStyle name="Normal 4 2 5 6 2 2 2 3 2" xfId="55106" xr:uid="{00000000-0005-0000-0000-000020B00000}"/>
    <cellStyle name="Normal 4 2 5 6 2 2 2 4" xfId="43413" xr:uid="{00000000-0005-0000-0000-000021B00000}"/>
    <cellStyle name="Normal 4 2 5 6 2 2 3" xfId="11536" xr:uid="{00000000-0005-0000-0000-000022B00000}"/>
    <cellStyle name="Normal 4 2 5 6 2 2 3 2" xfId="27174" xr:uid="{00000000-0005-0000-0000-000023B00000}"/>
    <cellStyle name="Normal 4 2 5 6 2 2 3 2 2" xfId="59045" xr:uid="{00000000-0005-0000-0000-000024B00000}"/>
    <cellStyle name="Normal 4 2 5 6 2 2 3 3" xfId="43415" xr:uid="{00000000-0005-0000-0000-000025B00000}"/>
    <cellStyle name="Normal 4 2 5 6 2 2 4" xfId="19296" xr:uid="{00000000-0005-0000-0000-000026B00000}"/>
    <cellStyle name="Normal 4 2 5 6 2 2 4 2" xfId="51167" xr:uid="{00000000-0005-0000-0000-000027B00000}"/>
    <cellStyle name="Normal 4 2 5 6 2 2 5" xfId="43412" xr:uid="{00000000-0005-0000-0000-000028B00000}"/>
    <cellStyle name="Normal 4 2 5 6 2 3" xfId="11537" xr:uid="{00000000-0005-0000-0000-000029B00000}"/>
    <cellStyle name="Normal 4 2 5 6 2 3 2" xfId="11538" xr:uid="{00000000-0005-0000-0000-00002AB00000}"/>
    <cellStyle name="Normal 4 2 5 6 2 3 2 2" xfId="31112" xr:uid="{00000000-0005-0000-0000-00002BB00000}"/>
    <cellStyle name="Normal 4 2 5 6 2 3 2 2 2" xfId="62983" xr:uid="{00000000-0005-0000-0000-00002CB00000}"/>
    <cellStyle name="Normal 4 2 5 6 2 3 2 3" xfId="43417" xr:uid="{00000000-0005-0000-0000-00002DB00000}"/>
    <cellStyle name="Normal 4 2 5 6 2 3 3" xfId="23234" xr:uid="{00000000-0005-0000-0000-00002EB00000}"/>
    <cellStyle name="Normal 4 2 5 6 2 3 3 2" xfId="55105" xr:uid="{00000000-0005-0000-0000-00002FB00000}"/>
    <cellStyle name="Normal 4 2 5 6 2 3 4" xfId="43416" xr:uid="{00000000-0005-0000-0000-000030B00000}"/>
    <cellStyle name="Normal 4 2 5 6 2 4" xfId="11539" xr:uid="{00000000-0005-0000-0000-000031B00000}"/>
    <cellStyle name="Normal 4 2 5 6 2 4 2" xfId="27173" xr:uid="{00000000-0005-0000-0000-000032B00000}"/>
    <cellStyle name="Normal 4 2 5 6 2 4 2 2" xfId="59044" xr:uid="{00000000-0005-0000-0000-000033B00000}"/>
    <cellStyle name="Normal 4 2 5 6 2 4 3" xfId="43418" xr:uid="{00000000-0005-0000-0000-000034B00000}"/>
    <cellStyle name="Normal 4 2 5 6 2 5" xfId="19295" xr:uid="{00000000-0005-0000-0000-000035B00000}"/>
    <cellStyle name="Normal 4 2 5 6 2 5 2" xfId="51166" xr:uid="{00000000-0005-0000-0000-000036B00000}"/>
    <cellStyle name="Normal 4 2 5 6 2 6" xfId="43411" xr:uid="{00000000-0005-0000-0000-000037B00000}"/>
    <cellStyle name="Normal 4 2 5 6 3" xfId="11540" xr:uid="{00000000-0005-0000-0000-000038B00000}"/>
    <cellStyle name="Normal 4 2 5 6 3 2" xfId="11541" xr:uid="{00000000-0005-0000-0000-000039B00000}"/>
    <cellStyle name="Normal 4 2 5 6 3 2 2" xfId="11542" xr:uid="{00000000-0005-0000-0000-00003AB00000}"/>
    <cellStyle name="Normal 4 2 5 6 3 2 2 2" xfId="31114" xr:uid="{00000000-0005-0000-0000-00003BB00000}"/>
    <cellStyle name="Normal 4 2 5 6 3 2 2 2 2" xfId="62985" xr:uid="{00000000-0005-0000-0000-00003CB00000}"/>
    <cellStyle name="Normal 4 2 5 6 3 2 2 3" xfId="43421" xr:uid="{00000000-0005-0000-0000-00003DB00000}"/>
    <cellStyle name="Normal 4 2 5 6 3 2 3" xfId="23236" xr:uid="{00000000-0005-0000-0000-00003EB00000}"/>
    <cellStyle name="Normal 4 2 5 6 3 2 3 2" xfId="55107" xr:uid="{00000000-0005-0000-0000-00003FB00000}"/>
    <cellStyle name="Normal 4 2 5 6 3 2 4" xfId="43420" xr:uid="{00000000-0005-0000-0000-000040B00000}"/>
    <cellStyle name="Normal 4 2 5 6 3 3" xfId="11543" xr:uid="{00000000-0005-0000-0000-000041B00000}"/>
    <cellStyle name="Normal 4 2 5 6 3 3 2" xfId="27175" xr:uid="{00000000-0005-0000-0000-000042B00000}"/>
    <cellStyle name="Normal 4 2 5 6 3 3 2 2" xfId="59046" xr:uid="{00000000-0005-0000-0000-000043B00000}"/>
    <cellStyle name="Normal 4 2 5 6 3 3 3" xfId="43422" xr:uid="{00000000-0005-0000-0000-000044B00000}"/>
    <cellStyle name="Normal 4 2 5 6 3 4" xfId="19297" xr:uid="{00000000-0005-0000-0000-000045B00000}"/>
    <cellStyle name="Normal 4 2 5 6 3 4 2" xfId="51168" xr:uid="{00000000-0005-0000-0000-000046B00000}"/>
    <cellStyle name="Normal 4 2 5 6 3 5" xfId="43419" xr:uid="{00000000-0005-0000-0000-000047B00000}"/>
    <cellStyle name="Normal 4 2 5 6 4" xfId="11544" xr:uid="{00000000-0005-0000-0000-000048B00000}"/>
    <cellStyle name="Normal 4 2 5 6 4 2" xfId="11545" xr:uid="{00000000-0005-0000-0000-000049B00000}"/>
    <cellStyle name="Normal 4 2 5 6 4 2 2" xfId="31111" xr:uid="{00000000-0005-0000-0000-00004AB00000}"/>
    <cellStyle name="Normal 4 2 5 6 4 2 2 2" xfId="62982" xr:uid="{00000000-0005-0000-0000-00004BB00000}"/>
    <cellStyle name="Normal 4 2 5 6 4 2 3" xfId="43424" xr:uid="{00000000-0005-0000-0000-00004CB00000}"/>
    <cellStyle name="Normal 4 2 5 6 4 3" xfId="23233" xr:uid="{00000000-0005-0000-0000-00004DB00000}"/>
    <cellStyle name="Normal 4 2 5 6 4 3 2" xfId="55104" xr:uid="{00000000-0005-0000-0000-00004EB00000}"/>
    <cellStyle name="Normal 4 2 5 6 4 4" xfId="43423" xr:uid="{00000000-0005-0000-0000-00004FB00000}"/>
    <cellStyle name="Normal 4 2 5 6 5" xfId="11546" xr:uid="{00000000-0005-0000-0000-000050B00000}"/>
    <cellStyle name="Normal 4 2 5 6 5 2" xfId="27172" xr:uid="{00000000-0005-0000-0000-000051B00000}"/>
    <cellStyle name="Normal 4 2 5 6 5 2 2" xfId="59043" xr:uid="{00000000-0005-0000-0000-000052B00000}"/>
    <cellStyle name="Normal 4 2 5 6 5 3" xfId="43425" xr:uid="{00000000-0005-0000-0000-000053B00000}"/>
    <cellStyle name="Normal 4 2 5 6 6" xfId="19294" xr:uid="{00000000-0005-0000-0000-000054B00000}"/>
    <cellStyle name="Normal 4 2 5 6 6 2" xfId="51165" xr:uid="{00000000-0005-0000-0000-000055B00000}"/>
    <cellStyle name="Normal 4 2 5 6 7" xfId="43410" xr:uid="{00000000-0005-0000-0000-000056B00000}"/>
    <cellStyle name="Normal 4 2 5 7" xfId="11547" xr:uid="{00000000-0005-0000-0000-000057B00000}"/>
    <cellStyle name="Normal 4 2 5 7 2" xfId="11548" xr:uid="{00000000-0005-0000-0000-000058B00000}"/>
    <cellStyle name="Normal 4 2 5 7 2 2" xfId="11549" xr:uid="{00000000-0005-0000-0000-000059B00000}"/>
    <cellStyle name="Normal 4 2 5 7 2 2 2" xfId="11550" xr:uid="{00000000-0005-0000-0000-00005AB00000}"/>
    <cellStyle name="Normal 4 2 5 7 2 2 2 2" xfId="31116" xr:uid="{00000000-0005-0000-0000-00005BB00000}"/>
    <cellStyle name="Normal 4 2 5 7 2 2 2 2 2" xfId="62987" xr:uid="{00000000-0005-0000-0000-00005CB00000}"/>
    <cellStyle name="Normal 4 2 5 7 2 2 2 3" xfId="43429" xr:uid="{00000000-0005-0000-0000-00005DB00000}"/>
    <cellStyle name="Normal 4 2 5 7 2 2 3" xfId="23238" xr:uid="{00000000-0005-0000-0000-00005EB00000}"/>
    <cellStyle name="Normal 4 2 5 7 2 2 3 2" xfId="55109" xr:uid="{00000000-0005-0000-0000-00005FB00000}"/>
    <cellStyle name="Normal 4 2 5 7 2 2 4" xfId="43428" xr:uid="{00000000-0005-0000-0000-000060B00000}"/>
    <cellStyle name="Normal 4 2 5 7 2 3" xfId="11551" xr:uid="{00000000-0005-0000-0000-000061B00000}"/>
    <cellStyle name="Normal 4 2 5 7 2 3 2" xfId="27177" xr:uid="{00000000-0005-0000-0000-000062B00000}"/>
    <cellStyle name="Normal 4 2 5 7 2 3 2 2" xfId="59048" xr:uid="{00000000-0005-0000-0000-000063B00000}"/>
    <cellStyle name="Normal 4 2 5 7 2 3 3" xfId="43430" xr:uid="{00000000-0005-0000-0000-000064B00000}"/>
    <cellStyle name="Normal 4 2 5 7 2 4" xfId="19299" xr:uid="{00000000-0005-0000-0000-000065B00000}"/>
    <cellStyle name="Normal 4 2 5 7 2 4 2" xfId="51170" xr:uid="{00000000-0005-0000-0000-000066B00000}"/>
    <cellStyle name="Normal 4 2 5 7 2 5" xfId="43427" xr:uid="{00000000-0005-0000-0000-000067B00000}"/>
    <cellStyle name="Normal 4 2 5 7 3" xfId="11552" xr:uid="{00000000-0005-0000-0000-000068B00000}"/>
    <cellStyle name="Normal 4 2 5 7 3 2" xfId="11553" xr:uid="{00000000-0005-0000-0000-000069B00000}"/>
    <cellStyle name="Normal 4 2 5 7 3 2 2" xfId="31115" xr:uid="{00000000-0005-0000-0000-00006AB00000}"/>
    <cellStyle name="Normal 4 2 5 7 3 2 2 2" xfId="62986" xr:uid="{00000000-0005-0000-0000-00006BB00000}"/>
    <cellStyle name="Normal 4 2 5 7 3 2 3" xfId="43432" xr:uid="{00000000-0005-0000-0000-00006CB00000}"/>
    <cellStyle name="Normal 4 2 5 7 3 3" xfId="23237" xr:uid="{00000000-0005-0000-0000-00006DB00000}"/>
    <cellStyle name="Normal 4 2 5 7 3 3 2" xfId="55108" xr:uid="{00000000-0005-0000-0000-00006EB00000}"/>
    <cellStyle name="Normal 4 2 5 7 3 4" xfId="43431" xr:uid="{00000000-0005-0000-0000-00006FB00000}"/>
    <cellStyle name="Normal 4 2 5 7 4" xfId="11554" xr:uid="{00000000-0005-0000-0000-000070B00000}"/>
    <cellStyle name="Normal 4 2 5 7 4 2" xfId="27176" xr:uid="{00000000-0005-0000-0000-000071B00000}"/>
    <cellStyle name="Normal 4 2 5 7 4 2 2" xfId="59047" xr:uid="{00000000-0005-0000-0000-000072B00000}"/>
    <cellStyle name="Normal 4 2 5 7 4 3" xfId="43433" xr:uid="{00000000-0005-0000-0000-000073B00000}"/>
    <cellStyle name="Normal 4 2 5 7 5" xfId="19298" xr:uid="{00000000-0005-0000-0000-000074B00000}"/>
    <cellStyle name="Normal 4 2 5 7 5 2" xfId="51169" xr:uid="{00000000-0005-0000-0000-000075B00000}"/>
    <cellStyle name="Normal 4 2 5 7 6" xfId="43426" xr:uid="{00000000-0005-0000-0000-000076B00000}"/>
    <cellStyle name="Normal 4 2 5 8" xfId="11555" xr:uid="{00000000-0005-0000-0000-000077B00000}"/>
    <cellStyle name="Normal 4 2 5 8 2" xfId="11556" xr:uid="{00000000-0005-0000-0000-000078B00000}"/>
    <cellStyle name="Normal 4 2 5 8 2 2" xfId="11557" xr:uid="{00000000-0005-0000-0000-000079B00000}"/>
    <cellStyle name="Normal 4 2 5 8 2 2 2" xfId="31117" xr:uid="{00000000-0005-0000-0000-00007AB00000}"/>
    <cellStyle name="Normal 4 2 5 8 2 2 2 2" xfId="62988" xr:uid="{00000000-0005-0000-0000-00007BB00000}"/>
    <cellStyle name="Normal 4 2 5 8 2 2 3" xfId="43436" xr:uid="{00000000-0005-0000-0000-00007CB00000}"/>
    <cellStyle name="Normal 4 2 5 8 2 3" xfId="23239" xr:uid="{00000000-0005-0000-0000-00007DB00000}"/>
    <cellStyle name="Normal 4 2 5 8 2 3 2" xfId="55110" xr:uid="{00000000-0005-0000-0000-00007EB00000}"/>
    <cellStyle name="Normal 4 2 5 8 2 4" xfId="43435" xr:uid="{00000000-0005-0000-0000-00007FB00000}"/>
    <cellStyle name="Normal 4 2 5 8 3" xfId="11558" xr:uid="{00000000-0005-0000-0000-000080B00000}"/>
    <cellStyle name="Normal 4 2 5 8 3 2" xfId="27178" xr:uid="{00000000-0005-0000-0000-000081B00000}"/>
    <cellStyle name="Normal 4 2 5 8 3 2 2" xfId="59049" xr:uid="{00000000-0005-0000-0000-000082B00000}"/>
    <cellStyle name="Normal 4 2 5 8 3 3" xfId="43437" xr:uid="{00000000-0005-0000-0000-000083B00000}"/>
    <cellStyle name="Normal 4 2 5 8 4" xfId="19300" xr:uid="{00000000-0005-0000-0000-000084B00000}"/>
    <cellStyle name="Normal 4 2 5 8 4 2" xfId="51171" xr:uid="{00000000-0005-0000-0000-000085B00000}"/>
    <cellStyle name="Normal 4 2 5 8 5" xfId="43434" xr:uid="{00000000-0005-0000-0000-000086B00000}"/>
    <cellStyle name="Normal 4 2 5 9" xfId="11559" xr:uid="{00000000-0005-0000-0000-000087B00000}"/>
    <cellStyle name="Normal 4 2 5 9 2" xfId="11560" xr:uid="{00000000-0005-0000-0000-000088B00000}"/>
    <cellStyle name="Normal 4 2 5 9 2 2" xfId="28278" xr:uid="{00000000-0005-0000-0000-000089B00000}"/>
    <cellStyle name="Normal 4 2 5 9 2 2 2" xfId="60149" xr:uid="{00000000-0005-0000-0000-00008AB00000}"/>
    <cellStyle name="Normal 4 2 5 9 2 3" xfId="43439" xr:uid="{00000000-0005-0000-0000-00008BB00000}"/>
    <cellStyle name="Normal 4 2 5 9 3" xfId="20400" xr:uid="{00000000-0005-0000-0000-00008CB00000}"/>
    <cellStyle name="Normal 4 2 5 9 3 2" xfId="52271" xr:uid="{00000000-0005-0000-0000-00008DB00000}"/>
    <cellStyle name="Normal 4 2 5 9 4" xfId="43438" xr:uid="{00000000-0005-0000-0000-00008EB00000}"/>
    <cellStyle name="Normal 4 2 6" xfId="11561" xr:uid="{00000000-0005-0000-0000-00008FB00000}"/>
    <cellStyle name="Normal 4 2 6 10" xfId="43440" xr:uid="{00000000-0005-0000-0000-000090B00000}"/>
    <cellStyle name="Normal 4 2 6 2" xfId="11562" xr:uid="{00000000-0005-0000-0000-000091B00000}"/>
    <cellStyle name="Normal 4 2 6 2 2" xfId="11563" xr:uid="{00000000-0005-0000-0000-000092B00000}"/>
    <cellStyle name="Normal 4 2 6 2 2 2" xfId="11564" xr:uid="{00000000-0005-0000-0000-000093B00000}"/>
    <cellStyle name="Normal 4 2 6 2 2 2 2" xfId="11565" xr:uid="{00000000-0005-0000-0000-000094B00000}"/>
    <cellStyle name="Normal 4 2 6 2 2 2 2 2" xfId="11566" xr:uid="{00000000-0005-0000-0000-000095B00000}"/>
    <cellStyle name="Normal 4 2 6 2 2 2 2 2 2" xfId="11567" xr:uid="{00000000-0005-0000-0000-000096B00000}"/>
    <cellStyle name="Normal 4 2 6 2 2 2 2 2 2 2" xfId="11568" xr:uid="{00000000-0005-0000-0000-000097B00000}"/>
    <cellStyle name="Normal 4 2 6 2 2 2 2 2 2 2 2" xfId="31121" xr:uid="{00000000-0005-0000-0000-000098B00000}"/>
    <cellStyle name="Normal 4 2 6 2 2 2 2 2 2 2 2 2" xfId="62992" xr:uid="{00000000-0005-0000-0000-000099B00000}"/>
    <cellStyle name="Normal 4 2 6 2 2 2 2 2 2 2 3" xfId="43447" xr:uid="{00000000-0005-0000-0000-00009AB00000}"/>
    <cellStyle name="Normal 4 2 6 2 2 2 2 2 2 3" xfId="23243" xr:uid="{00000000-0005-0000-0000-00009BB00000}"/>
    <cellStyle name="Normal 4 2 6 2 2 2 2 2 2 3 2" xfId="55114" xr:uid="{00000000-0005-0000-0000-00009CB00000}"/>
    <cellStyle name="Normal 4 2 6 2 2 2 2 2 2 4" xfId="43446" xr:uid="{00000000-0005-0000-0000-00009DB00000}"/>
    <cellStyle name="Normal 4 2 6 2 2 2 2 2 3" xfId="11569" xr:uid="{00000000-0005-0000-0000-00009EB00000}"/>
    <cellStyle name="Normal 4 2 6 2 2 2 2 2 3 2" xfId="27182" xr:uid="{00000000-0005-0000-0000-00009FB00000}"/>
    <cellStyle name="Normal 4 2 6 2 2 2 2 2 3 2 2" xfId="59053" xr:uid="{00000000-0005-0000-0000-0000A0B00000}"/>
    <cellStyle name="Normal 4 2 6 2 2 2 2 2 3 3" xfId="43448" xr:uid="{00000000-0005-0000-0000-0000A1B00000}"/>
    <cellStyle name="Normal 4 2 6 2 2 2 2 2 4" xfId="19304" xr:uid="{00000000-0005-0000-0000-0000A2B00000}"/>
    <cellStyle name="Normal 4 2 6 2 2 2 2 2 4 2" xfId="51175" xr:uid="{00000000-0005-0000-0000-0000A3B00000}"/>
    <cellStyle name="Normal 4 2 6 2 2 2 2 2 5" xfId="43445" xr:uid="{00000000-0005-0000-0000-0000A4B00000}"/>
    <cellStyle name="Normal 4 2 6 2 2 2 2 3" xfId="11570" xr:uid="{00000000-0005-0000-0000-0000A5B00000}"/>
    <cellStyle name="Normal 4 2 6 2 2 2 2 3 2" xfId="11571" xr:uid="{00000000-0005-0000-0000-0000A6B00000}"/>
    <cellStyle name="Normal 4 2 6 2 2 2 2 3 2 2" xfId="31120" xr:uid="{00000000-0005-0000-0000-0000A7B00000}"/>
    <cellStyle name="Normal 4 2 6 2 2 2 2 3 2 2 2" xfId="62991" xr:uid="{00000000-0005-0000-0000-0000A8B00000}"/>
    <cellStyle name="Normal 4 2 6 2 2 2 2 3 2 3" xfId="43450" xr:uid="{00000000-0005-0000-0000-0000A9B00000}"/>
    <cellStyle name="Normal 4 2 6 2 2 2 2 3 3" xfId="23242" xr:uid="{00000000-0005-0000-0000-0000AAB00000}"/>
    <cellStyle name="Normal 4 2 6 2 2 2 2 3 3 2" xfId="55113" xr:uid="{00000000-0005-0000-0000-0000ABB00000}"/>
    <cellStyle name="Normal 4 2 6 2 2 2 2 3 4" xfId="43449" xr:uid="{00000000-0005-0000-0000-0000ACB00000}"/>
    <cellStyle name="Normal 4 2 6 2 2 2 2 4" xfId="11572" xr:uid="{00000000-0005-0000-0000-0000ADB00000}"/>
    <cellStyle name="Normal 4 2 6 2 2 2 2 4 2" xfId="27181" xr:uid="{00000000-0005-0000-0000-0000AEB00000}"/>
    <cellStyle name="Normal 4 2 6 2 2 2 2 4 2 2" xfId="59052" xr:uid="{00000000-0005-0000-0000-0000AFB00000}"/>
    <cellStyle name="Normal 4 2 6 2 2 2 2 4 3" xfId="43451" xr:uid="{00000000-0005-0000-0000-0000B0B00000}"/>
    <cellStyle name="Normal 4 2 6 2 2 2 2 5" xfId="19303" xr:uid="{00000000-0005-0000-0000-0000B1B00000}"/>
    <cellStyle name="Normal 4 2 6 2 2 2 2 5 2" xfId="51174" xr:uid="{00000000-0005-0000-0000-0000B2B00000}"/>
    <cellStyle name="Normal 4 2 6 2 2 2 2 6" xfId="43444" xr:uid="{00000000-0005-0000-0000-0000B3B00000}"/>
    <cellStyle name="Normal 4 2 6 2 2 2 3" xfId="11573" xr:uid="{00000000-0005-0000-0000-0000B4B00000}"/>
    <cellStyle name="Normal 4 2 6 2 2 2 3 2" xfId="11574" xr:uid="{00000000-0005-0000-0000-0000B5B00000}"/>
    <cellStyle name="Normal 4 2 6 2 2 2 3 2 2" xfId="11575" xr:uid="{00000000-0005-0000-0000-0000B6B00000}"/>
    <cellStyle name="Normal 4 2 6 2 2 2 3 2 2 2" xfId="31122" xr:uid="{00000000-0005-0000-0000-0000B7B00000}"/>
    <cellStyle name="Normal 4 2 6 2 2 2 3 2 2 2 2" xfId="62993" xr:uid="{00000000-0005-0000-0000-0000B8B00000}"/>
    <cellStyle name="Normal 4 2 6 2 2 2 3 2 2 3" xfId="43454" xr:uid="{00000000-0005-0000-0000-0000B9B00000}"/>
    <cellStyle name="Normal 4 2 6 2 2 2 3 2 3" xfId="23244" xr:uid="{00000000-0005-0000-0000-0000BAB00000}"/>
    <cellStyle name="Normal 4 2 6 2 2 2 3 2 3 2" xfId="55115" xr:uid="{00000000-0005-0000-0000-0000BBB00000}"/>
    <cellStyle name="Normal 4 2 6 2 2 2 3 2 4" xfId="43453" xr:uid="{00000000-0005-0000-0000-0000BCB00000}"/>
    <cellStyle name="Normal 4 2 6 2 2 2 3 3" xfId="11576" xr:uid="{00000000-0005-0000-0000-0000BDB00000}"/>
    <cellStyle name="Normal 4 2 6 2 2 2 3 3 2" xfId="27183" xr:uid="{00000000-0005-0000-0000-0000BEB00000}"/>
    <cellStyle name="Normal 4 2 6 2 2 2 3 3 2 2" xfId="59054" xr:uid="{00000000-0005-0000-0000-0000BFB00000}"/>
    <cellStyle name="Normal 4 2 6 2 2 2 3 3 3" xfId="43455" xr:uid="{00000000-0005-0000-0000-0000C0B00000}"/>
    <cellStyle name="Normal 4 2 6 2 2 2 3 4" xfId="19305" xr:uid="{00000000-0005-0000-0000-0000C1B00000}"/>
    <cellStyle name="Normal 4 2 6 2 2 2 3 4 2" xfId="51176" xr:uid="{00000000-0005-0000-0000-0000C2B00000}"/>
    <cellStyle name="Normal 4 2 6 2 2 2 3 5" xfId="43452" xr:uid="{00000000-0005-0000-0000-0000C3B00000}"/>
    <cellStyle name="Normal 4 2 6 2 2 2 4" xfId="11577" xr:uid="{00000000-0005-0000-0000-0000C4B00000}"/>
    <cellStyle name="Normal 4 2 6 2 2 2 4 2" xfId="11578" xr:uid="{00000000-0005-0000-0000-0000C5B00000}"/>
    <cellStyle name="Normal 4 2 6 2 2 2 4 2 2" xfId="31119" xr:uid="{00000000-0005-0000-0000-0000C6B00000}"/>
    <cellStyle name="Normal 4 2 6 2 2 2 4 2 2 2" xfId="62990" xr:uid="{00000000-0005-0000-0000-0000C7B00000}"/>
    <cellStyle name="Normal 4 2 6 2 2 2 4 2 3" xfId="43457" xr:uid="{00000000-0005-0000-0000-0000C8B00000}"/>
    <cellStyle name="Normal 4 2 6 2 2 2 4 3" xfId="23241" xr:uid="{00000000-0005-0000-0000-0000C9B00000}"/>
    <cellStyle name="Normal 4 2 6 2 2 2 4 3 2" xfId="55112" xr:uid="{00000000-0005-0000-0000-0000CAB00000}"/>
    <cellStyle name="Normal 4 2 6 2 2 2 4 4" xfId="43456" xr:uid="{00000000-0005-0000-0000-0000CBB00000}"/>
    <cellStyle name="Normal 4 2 6 2 2 2 5" xfId="11579" xr:uid="{00000000-0005-0000-0000-0000CCB00000}"/>
    <cellStyle name="Normal 4 2 6 2 2 2 5 2" xfId="27180" xr:uid="{00000000-0005-0000-0000-0000CDB00000}"/>
    <cellStyle name="Normal 4 2 6 2 2 2 5 2 2" xfId="59051" xr:uid="{00000000-0005-0000-0000-0000CEB00000}"/>
    <cellStyle name="Normal 4 2 6 2 2 2 5 3" xfId="43458" xr:uid="{00000000-0005-0000-0000-0000CFB00000}"/>
    <cellStyle name="Normal 4 2 6 2 2 2 6" xfId="19302" xr:uid="{00000000-0005-0000-0000-0000D0B00000}"/>
    <cellStyle name="Normal 4 2 6 2 2 2 6 2" xfId="51173" xr:uid="{00000000-0005-0000-0000-0000D1B00000}"/>
    <cellStyle name="Normal 4 2 6 2 2 2 7" xfId="43443" xr:uid="{00000000-0005-0000-0000-0000D2B00000}"/>
    <cellStyle name="Normal 4 2 6 2 2 3" xfId="11580" xr:uid="{00000000-0005-0000-0000-0000D3B00000}"/>
    <cellStyle name="Normal 4 2 6 2 2 3 2" xfId="11581" xr:uid="{00000000-0005-0000-0000-0000D4B00000}"/>
    <cellStyle name="Normal 4 2 6 2 2 3 2 2" xfId="11582" xr:uid="{00000000-0005-0000-0000-0000D5B00000}"/>
    <cellStyle name="Normal 4 2 6 2 2 3 2 2 2" xfId="11583" xr:uid="{00000000-0005-0000-0000-0000D6B00000}"/>
    <cellStyle name="Normal 4 2 6 2 2 3 2 2 2 2" xfId="31124" xr:uid="{00000000-0005-0000-0000-0000D7B00000}"/>
    <cellStyle name="Normal 4 2 6 2 2 3 2 2 2 2 2" xfId="62995" xr:uid="{00000000-0005-0000-0000-0000D8B00000}"/>
    <cellStyle name="Normal 4 2 6 2 2 3 2 2 2 3" xfId="43462" xr:uid="{00000000-0005-0000-0000-0000D9B00000}"/>
    <cellStyle name="Normal 4 2 6 2 2 3 2 2 3" xfId="23246" xr:uid="{00000000-0005-0000-0000-0000DAB00000}"/>
    <cellStyle name="Normal 4 2 6 2 2 3 2 2 3 2" xfId="55117" xr:uid="{00000000-0005-0000-0000-0000DBB00000}"/>
    <cellStyle name="Normal 4 2 6 2 2 3 2 2 4" xfId="43461" xr:uid="{00000000-0005-0000-0000-0000DCB00000}"/>
    <cellStyle name="Normal 4 2 6 2 2 3 2 3" xfId="11584" xr:uid="{00000000-0005-0000-0000-0000DDB00000}"/>
    <cellStyle name="Normal 4 2 6 2 2 3 2 3 2" xfId="27185" xr:uid="{00000000-0005-0000-0000-0000DEB00000}"/>
    <cellStyle name="Normal 4 2 6 2 2 3 2 3 2 2" xfId="59056" xr:uid="{00000000-0005-0000-0000-0000DFB00000}"/>
    <cellStyle name="Normal 4 2 6 2 2 3 2 3 3" xfId="43463" xr:uid="{00000000-0005-0000-0000-0000E0B00000}"/>
    <cellStyle name="Normal 4 2 6 2 2 3 2 4" xfId="19307" xr:uid="{00000000-0005-0000-0000-0000E1B00000}"/>
    <cellStyle name="Normal 4 2 6 2 2 3 2 4 2" xfId="51178" xr:uid="{00000000-0005-0000-0000-0000E2B00000}"/>
    <cellStyle name="Normal 4 2 6 2 2 3 2 5" xfId="43460" xr:uid="{00000000-0005-0000-0000-0000E3B00000}"/>
    <cellStyle name="Normal 4 2 6 2 2 3 3" xfId="11585" xr:uid="{00000000-0005-0000-0000-0000E4B00000}"/>
    <cellStyle name="Normal 4 2 6 2 2 3 3 2" xfId="11586" xr:uid="{00000000-0005-0000-0000-0000E5B00000}"/>
    <cellStyle name="Normal 4 2 6 2 2 3 3 2 2" xfId="31123" xr:uid="{00000000-0005-0000-0000-0000E6B00000}"/>
    <cellStyle name="Normal 4 2 6 2 2 3 3 2 2 2" xfId="62994" xr:uid="{00000000-0005-0000-0000-0000E7B00000}"/>
    <cellStyle name="Normal 4 2 6 2 2 3 3 2 3" xfId="43465" xr:uid="{00000000-0005-0000-0000-0000E8B00000}"/>
    <cellStyle name="Normal 4 2 6 2 2 3 3 3" xfId="23245" xr:uid="{00000000-0005-0000-0000-0000E9B00000}"/>
    <cellStyle name="Normal 4 2 6 2 2 3 3 3 2" xfId="55116" xr:uid="{00000000-0005-0000-0000-0000EAB00000}"/>
    <cellStyle name="Normal 4 2 6 2 2 3 3 4" xfId="43464" xr:uid="{00000000-0005-0000-0000-0000EBB00000}"/>
    <cellStyle name="Normal 4 2 6 2 2 3 4" xfId="11587" xr:uid="{00000000-0005-0000-0000-0000ECB00000}"/>
    <cellStyle name="Normal 4 2 6 2 2 3 4 2" xfId="27184" xr:uid="{00000000-0005-0000-0000-0000EDB00000}"/>
    <cellStyle name="Normal 4 2 6 2 2 3 4 2 2" xfId="59055" xr:uid="{00000000-0005-0000-0000-0000EEB00000}"/>
    <cellStyle name="Normal 4 2 6 2 2 3 4 3" xfId="43466" xr:uid="{00000000-0005-0000-0000-0000EFB00000}"/>
    <cellStyle name="Normal 4 2 6 2 2 3 5" xfId="19306" xr:uid="{00000000-0005-0000-0000-0000F0B00000}"/>
    <cellStyle name="Normal 4 2 6 2 2 3 5 2" xfId="51177" xr:uid="{00000000-0005-0000-0000-0000F1B00000}"/>
    <cellStyle name="Normal 4 2 6 2 2 3 6" xfId="43459" xr:uid="{00000000-0005-0000-0000-0000F2B00000}"/>
    <cellStyle name="Normal 4 2 6 2 2 4" xfId="11588" xr:uid="{00000000-0005-0000-0000-0000F3B00000}"/>
    <cellStyle name="Normal 4 2 6 2 2 4 2" xfId="11589" xr:uid="{00000000-0005-0000-0000-0000F4B00000}"/>
    <cellStyle name="Normal 4 2 6 2 2 4 2 2" xfId="11590" xr:uid="{00000000-0005-0000-0000-0000F5B00000}"/>
    <cellStyle name="Normal 4 2 6 2 2 4 2 2 2" xfId="31125" xr:uid="{00000000-0005-0000-0000-0000F6B00000}"/>
    <cellStyle name="Normal 4 2 6 2 2 4 2 2 2 2" xfId="62996" xr:uid="{00000000-0005-0000-0000-0000F7B00000}"/>
    <cellStyle name="Normal 4 2 6 2 2 4 2 2 3" xfId="43469" xr:uid="{00000000-0005-0000-0000-0000F8B00000}"/>
    <cellStyle name="Normal 4 2 6 2 2 4 2 3" xfId="23247" xr:uid="{00000000-0005-0000-0000-0000F9B00000}"/>
    <cellStyle name="Normal 4 2 6 2 2 4 2 3 2" xfId="55118" xr:uid="{00000000-0005-0000-0000-0000FAB00000}"/>
    <cellStyle name="Normal 4 2 6 2 2 4 2 4" xfId="43468" xr:uid="{00000000-0005-0000-0000-0000FBB00000}"/>
    <cellStyle name="Normal 4 2 6 2 2 4 3" xfId="11591" xr:uid="{00000000-0005-0000-0000-0000FCB00000}"/>
    <cellStyle name="Normal 4 2 6 2 2 4 3 2" xfId="27186" xr:uid="{00000000-0005-0000-0000-0000FDB00000}"/>
    <cellStyle name="Normal 4 2 6 2 2 4 3 2 2" xfId="59057" xr:uid="{00000000-0005-0000-0000-0000FEB00000}"/>
    <cellStyle name="Normal 4 2 6 2 2 4 3 3" xfId="43470" xr:uid="{00000000-0005-0000-0000-0000FFB00000}"/>
    <cellStyle name="Normal 4 2 6 2 2 4 4" xfId="19308" xr:uid="{00000000-0005-0000-0000-000000B10000}"/>
    <cellStyle name="Normal 4 2 6 2 2 4 4 2" xfId="51179" xr:uid="{00000000-0005-0000-0000-000001B10000}"/>
    <cellStyle name="Normal 4 2 6 2 2 4 5" xfId="43467" xr:uid="{00000000-0005-0000-0000-000002B10000}"/>
    <cellStyle name="Normal 4 2 6 2 2 5" xfId="11592" xr:uid="{00000000-0005-0000-0000-000003B10000}"/>
    <cellStyle name="Normal 4 2 6 2 2 5 2" xfId="11593" xr:uid="{00000000-0005-0000-0000-000004B10000}"/>
    <cellStyle name="Normal 4 2 6 2 2 5 2 2" xfId="31118" xr:uid="{00000000-0005-0000-0000-000005B10000}"/>
    <cellStyle name="Normal 4 2 6 2 2 5 2 2 2" xfId="62989" xr:uid="{00000000-0005-0000-0000-000006B10000}"/>
    <cellStyle name="Normal 4 2 6 2 2 5 2 3" xfId="43472" xr:uid="{00000000-0005-0000-0000-000007B10000}"/>
    <cellStyle name="Normal 4 2 6 2 2 5 3" xfId="23240" xr:uid="{00000000-0005-0000-0000-000008B10000}"/>
    <cellStyle name="Normal 4 2 6 2 2 5 3 2" xfId="55111" xr:uid="{00000000-0005-0000-0000-000009B10000}"/>
    <cellStyle name="Normal 4 2 6 2 2 5 4" xfId="43471" xr:uid="{00000000-0005-0000-0000-00000AB10000}"/>
    <cellStyle name="Normal 4 2 6 2 2 6" xfId="11594" xr:uid="{00000000-0005-0000-0000-00000BB10000}"/>
    <cellStyle name="Normal 4 2 6 2 2 6 2" xfId="27179" xr:uid="{00000000-0005-0000-0000-00000CB10000}"/>
    <cellStyle name="Normal 4 2 6 2 2 6 2 2" xfId="59050" xr:uid="{00000000-0005-0000-0000-00000DB10000}"/>
    <cellStyle name="Normal 4 2 6 2 2 6 3" xfId="43473" xr:uid="{00000000-0005-0000-0000-00000EB10000}"/>
    <cellStyle name="Normal 4 2 6 2 2 7" xfId="19301" xr:uid="{00000000-0005-0000-0000-00000FB10000}"/>
    <cellStyle name="Normal 4 2 6 2 2 7 2" xfId="51172" xr:uid="{00000000-0005-0000-0000-000010B10000}"/>
    <cellStyle name="Normal 4 2 6 2 2 8" xfId="43442" xr:uid="{00000000-0005-0000-0000-000011B10000}"/>
    <cellStyle name="Normal 4 2 6 2 3" xfId="11595" xr:uid="{00000000-0005-0000-0000-000012B10000}"/>
    <cellStyle name="Normal 4 2 6 2 3 2" xfId="11596" xr:uid="{00000000-0005-0000-0000-000013B10000}"/>
    <cellStyle name="Normal 4 2 6 2 3 2 2" xfId="11597" xr:uid="{00000000-0005-0000-0000-000014B10000}"/>
    <cellStyle name="Normal 4 2 6 2 3 2 2 2" xfId="11598" xr:uid="{00000000-0005-0000-0000-000015B10000}"/>
    <cellStyle name="Normal 4 2 6 2 3 2 2 2 2" xfId="11599" xr:uid="{00000000-0005-0000-0000-000016B10000}"/>
    <cellStyle name="Normal 4 2 6 2 3 2 2 2 2 2" xfId="31128" xr:uid="{00000000-0005-0000-0000-000017B10000}"/>
    <cellStyle name="Normal 4 2 6 2 3 2 2 2 2 2 2" xfId="62999" xr:uid="{00000000-0005-0000-0000-000018B10000}"/>
    <cellStyle name="Normal 4 2 6 2 3 2 2 2 2 3" xfId="43478" xr:uid="{00000000-0005-0000-0000-000019B10000}"/>
    <cellStyle name="Normal 4 2 6 2 3 2 2 2 3" xfId="23250" xr:uid="{00000000-0005-0000-0000-00001AB10000}"/>
    <cellStyle name="Normal 4 2 6 2 3 2 2 2 3 2" xfId="55121" xr:uid="{00000000-0005-0000-0000-00001BB10000}"/>
    <cellStyle name="Normal 4 2 6 2 3 2 2 2 4" xfId="43477" xr:uid="{00000000-0005-0000-0000-00001CB10000}"/>
    <cellStyle name="Normal 4 2 6 2 3 2 2 3" xfId="11600" xr:uid="{00000000-0005-0000-0000-00001DB10000}"/>
    <cellStyle name="Normal 4 2 6 2 3 2 2 3 2" xfId="27189" xr:uid="{00000000-0005-0000-0000-00001EB10000}"/>
    <cellStyle name="Normal 4 2 6 2 3 2 2 3 2 2" xfId="59060" xr:uid="{00000000-0005-0000-0000-00001FB10000}"/>
    <cellStyle name="Normal 4 2 6 2 3 2 2 3 3" xfId="43479" xr:uid="{00000000-0005-0000-0000-000020B10000}"/>
    <cellStyle name="Normal 4 2 6 2 3 2 2 4" xfId="19311" xr:uid="{00000000-0005-0000-0000-000021B10000}"/>
    <cellStyle name="Normal 4 2 6 2 3 2 2 4 2" xfId="51182" xr:uid="{00000000-0005-0000-0000-000022B10000}"/>
    <cellStyle name="Normal 4 2 6 2 3 2 2 5" xfId="43476" xr:uid="{00000000-0005-0000-0000-000023B10000}"/>
    <cellStyle name="Normal 4 2 6 2 3 2 3" xfId="11601" xr:uid="{00000000-0005-0000-0000-000024B10000}"/>
    <cellStyle name="Normal 4 2 6 2 3 2 3 2" xfId="11602" xr:uid="{00000000-0005-0000-0000-000025B10000}"/>
    <cellStyle name="Normal 4 2 6 2 3 2 3 2 2" xfId="31127" xr:uid="{00000000-0005-0000-0000-000026B10000}"/>
    <cellStyle name="Normal 4 2 6 2 3 2 3 2 2 2" xfId="62998" xr:uid="{00000000-0005-0000-0000-000027B10000}"/>
    <cellStyle name="Normal 4 2 6 2 3 2 3 2 3" xfId="43481" xr:uid="{00000000-0005-0000-0000-000028B10000}"/>
    <cellStyle name="Normal 4 2 6 2 3 2 3 3" xfId="23249" xr:uid="{00000000-0005-0000-0000-000029B10000}"/>
    <cellStyle name="Normal 4 2 6 2 3 2 3 3 2" xfId="55120" xr:uid="{00000000-0005-0000-0000-00002AB10000}"/>
    <cellStyle name="Normal 4 2 6 2 3 2 3 4" xfId="43480" xr:uid="{00000000-0005-0000-0000-00002BB10000}"/>
    <cellStyle name="Normal 4 2 6 2 3 2 4" xfId="11603" xr:uid="{00000000-0005-0000-0000-00002CB10000}"/>
    <cellStyle name="Normal 4 2 6 2 3 2 4 2" xfId="27188" xr:uid="{00000000-0005-0000-0000-00002DB10000}"/>
    <cellStyle name="Normal 4 2 6 2 3 2 4 2 2" xfId="59059" xr:uid="{00000000-0005-0000-0000-00002EB10000}"/>
    <cellStyle name="Normal 4 2 6 2 3 2 4 3" xfId="43482" xr:uid="{00000000-0005-0000-0000-00002FB10000}"/>
    <cellStyle name="Normal 4 2 6 2 3 2 5" xfId="19310" xr:uid="{00000000-0005-0000-0000-000030B10000}"/>
    <cellStyle name="Normal 4 2 6 2 3 2 5 2" xfId="51181" xr:uid="{00000000-0005-0000-0000-000031B10000}"/>
    <cellStyle name="Normal 4 2 6 2 3 2 6" xfId="43475" xr:uid="{00000000-0005-0000-0000-000032B10000}"/>
    <cellStyle name="Normal 4 2 6 2 3 3" xfId="11604" xr:uid="{00000000-0005-0000-0000-000033B10000}"/>
    <cellStyle name="Normal 4 2 6 2 3 3 2" xfId="11605" xr:uid="{00000000-0005-0000-0000-000034B10000}"/>
    <cellStyle name="Normal 4 2 6 2 3 3 2 2" xfId="11606" xr:uid="{00000000-0005-0000-0000-000035B10000}"/>
    <cellStyle name="Normal 4 2 6 2 3 3 2 2 2" xfId="31129" xr:uid="{00000000-0005-0000-0000-000036B10000}"/>
    <cellStyle name="Normal 4 2 6 2 3 3 2 2 2 2" xfId="63000" xr:uid="{00000000-0005-0000-0000-000037B10000}"/>
    <cellStyle name="Normal 4 2 6 2 3 3 2 2 3" xfId="43485" xr:uid="{00000000-0005-0000-0000-000038B10000}"/>
    <cellStyle name="Normal 4 2 6 2 3 3 2 3" xfId="23251" xr:uid="{00000000-0005-0000-0000-000039B10000}"/>
    <cellStyle name="Normal 4 2 6 2 3 3 2 3 2" xfId="55122" xr:uid="{00000000-0005-0000-0000-00003AB10000}"/>
    <cellStyle name="Normal 4 2 6 2 3 3 2 4" xfId="43484" xr:uid="{00000000-0005-0000-0000-00003BB10000}"/>
    <cellStyle name="Normal 4 2 6 2 3 3 3" xfId="11607" xr:uid="{00000000-0005-0000-0000-00003CB10000}"/>
    <cellStyle name="Normal 4 2 6 2 3 3 3 2" xfId="27190" xr:uid="{00000000-0005-0000-0000-00003DB10000}"/>
    <cellStyle name="Normal 4 2 6 2 3 3 3 2 2" xfId="59061" xr:uid="{00000000-0005-0000-0000-00003EB10000}"/>
    <cellStyle name="Normal 4 2 6 2 3 3 3 3" xfId="43486" xr:uid="{00000000-0005-0000-0000-00003FB10000}"/>
    <cellStyle name="Normal 4 2 6 2 3 3 4" xfId="19312" xr:uid="{00000000-0005-0000-0000-000040B10000}"/>
    <cellStyle name="Normal 4 2 6 2 3 3 4 2" xfId="51183" xr:uid="{00000000-0005-0000-0000-000041B10000}"/>
    <cellStyle name="Normal 4 2 6 2 3 3 5" xfId="43483" xr:uid="{00000000-0005-0000-0000-000042B10000}"/>
    <cellStyle name="Normal 4 2 6 2 3 4" xfId="11608" xr:uid="{00000000-0005-0000-0000-000043B10000}"/>
    <cellStyle name="Normal 4 2 6 2 3 4 2" xfId="11609" xr:uid="{00000000-0005-0000-0000-000044B10000}"/>
    <cellStyle name="Normal 4 2 6 2 3 4 2 2" xfId="31126" xr:uid="{00000000-0005-0000-0000-000045B10000}"/>
    <cellStyle name="Normal 4 2 6 2 3 4 2 2 2" xfId="62997" xr:uid="{00000000-0005-0000-0000-000046B10000}"/>
    <cellStyle name="Normal 4 2 6 2 3 4 2 3" xfId="43488" xr:uid="{00000000-0005-0000-0000-000047B10000}"/>
    <cellStyle name="Normal 4 2 6 2 3 4 3" xfId="23248" xr:uid="{00000000-0005-0000-0000-000048B10000}"/>
    <cellStyle name="Normal 4 2 6 2 3 4 3 2" xfId="55119" xr:uid="{00000000-0005-0000-0000-000049B10000}"/>
    <cellStyle name="Normal 4 2 6 2 3 4 4" xfId="43487" xr:uid="{00000000-0005-0000-0000-00004AB10000}"/>
    <cellStyle name="Normal 4 2 6 2 3 5" xfId="11610" xr:uid="{00000000-0005-0000-0000-00004BB10000}"/>
    <cellStyle name="Normal 4 2 6 2 3 5 2" xfId="27187" xr:uid="{00000000-0005-0000-0000-00004CB10000}"/>
    <cellStyle name="Normal 4 2 6 2 3 5 2 2" xfId="59058" xr:uid="{00000000-0005-0000-0000-00004DB10000}"/>
    <cellStyle name="Normal 4 2 6 2 3 5 3" xfId="43489" xr:uid="{00000000-0005-0000-0000-00004EB10000}"/>
    <cellStyle name="Normal 4 2 6 2 3 6" xfId="19309" xr:uid="{00000000-0005-0000-0000-00004FB10000}"/>
    <cellStyle name="Normal 4 2 6 2 3 6 2" xfId="51180" xr:uid="{00000000-0005-0000-0000-000050B10000}"/>
    <cellStyle name="Normal 4 2 6 2 3 7" xfId="43474" xr:uid="{00000000-0005-0000-0000-000051B10000}"/>
    <cellStyle name="Normal 4 2 6 2 4" xfId="11611" xr:uid="{00000000-0005-0000-0000-000052B10000}"/>
    <cellStyle name="Normal 4 2 6 2 4 2" xfId="11612" xr:uid="{00000000-0005-0000-0000-000053B10000}"/>
    <cellStyle name="Normal 4 2 6 2 4 2 2" xfId="11613" xr:uid="{00000000-0005-0000-0000-000054B10000}"/>
    <cellStyle name="Normal 4 2 6 2 4 2 2 2" xfId="11614" xr:uid="{00000000-0005-0000-0000-000055B10000}"/>
    <cellStyle name="Normal 4 2 6 2 4 2 2 2 2" xfId="31131" xr:uid="{00000000-0005-0000-0000-000056B10000}"/>
    <cellStyle name="Normal 4 2 6 2 4 2 2 2 2 2" xfId="63002" xr:uid="{00000000-0005-0000-0000-000057B10000}"/>
    <cellStyle name="Normal 4 2 6 2 4 2 2 2 3" xfId="43493" xr:uid="{00000000-0005-0000-0000-000058B10000}"/>
    <cellStyle name="Normal 4 2 6 2 4 2 2 3" xfId="23253" xr:uid="{00000000-0005-0000-0000-000059B10000}"/>
    <cellStyle name="Normal 4 2 6 2 4 2 2 3 2" xfId="55124" xr:uid="{00000000-0005-0000-0000-00005AB10000}"/>
    <cellStyle name="Normal 4 2 6 2 4 2 2 4" xfId="43492" xr:uid="{00000000-0005-0000-0000-00005BB10000}"/>
    <cellStyle name="Normal 4 2 6 2 4 2 3" xfId="11615" xr:uid="{00000000-0005-0000-0000-00005CB10000}"/>
    <cellStyle name="Normal 4 2 6 2 4 2 3 2" xfId="27192" xr:uid="{00000000-0005-0000-0000-00005DB10000}"/>
    <cellStyle name="Normal 4 2 6 2 4 2 3 2 2" xfId="59063" xr:uid="{00000000-0005-0000-0000-00005EB10000}"/>
    <cellStyle name="Normal 4 2 6 2 4 2 3 3" xfId="43494" xr:uid="{00000000-0005-0000-0000-00005FB10000}"/>
    <cellStyle name="Normal 4 2 6 2 4 2 4" xfId="19314" xr:uid="{00000000-0005-0000-0000-000060B10000}"/>
    <cellStyle name="Normal 4 2 6 2 4 2 4 2" xfId="51185" xr:uid="{00000000-0005-0000-0000-000061B10000}"/>
    <cellStyle name="Normal 4 2 6 2 4 2 5" xfId="43491" xr:uid="{00000000-0005-0000-0000-000062B10000}"/>
    <cellStyle name="Normal 4 2 6 2 4 3" xfId="11616" xr:uid="{00000000-0005-0000-0000-000063B10000}"/>
    <cellStyle name="Normal 4 2 6 2 4 3 2" xfId="11617" xr:uid="{00000000-0005-0000-0000-000064B10000}"/>
    <cellStyle name="Normal 4 2 6 2 4 3 2 2" xfId="31130" xr:uid="{00000000-0005-0000-0000-000065B10000}"/>
    <cellStyle name="Normal 4 2 6 2 4 3 2 2 2" xfId="63001" xr:uid="{00000000-0005-0000-0000-000066B10000}"/>
    <cellStyle name="Normal 4 2 6 2 4 3 2 3" xfId="43496" xr:uid="{00000000-0005-0000-0000-000067B10000}"/>
    <cellStyle name="Normal 4 2 6 2 4 3 3" xfId="23252" xr:uid="{00000000-0005-0000-0000-000068B10000}"/>
    <cellStyle name="Normal 4 2 6 2 4 3 3 2" xfId="55123" xr:uid="{00000000-0005-0000-0000-000069B10000}"/>
    <cellStyle name="Normal 4 2 6 2 4 3 4" xfId="43495" xr:uid="{00000000-0005-0000-0000-00006AB10000}"/>
    <cellStyle name="Normal 4 2 6 2 4 4" xfId="11618" xr:uid="{00000000-0005-0000-0000-00006BB10000}"/>
    <cellStyle name="Normal 4 2 6 2 4 4 2" xfId="27191" xr:uid="{00000000-0005-0000-0000-00006CB10000}"/>
    <cellStyle name="Normal 4 2 6 2 4 4 2 2" xfId="59062" xr:uid="{00000000-0005-0000-0000-00006DB10000}"/>
    <cellStyle name="Normal 4 2 6 2 4 4 3" xfId="43497" xr:uid="{00000000-0005-0000-0000-00006EB10000}"/>
    <cellStyle name="Normal 4 2 6 2 4 5" xfId="19313" xr:uid="{00000000-0005-0000-0000-00006FB10000}"/>
    <cellStyle name="Normal 4 2 6 2 4 5 2" xfId="51184" xr:uid="{00000000-0005-0000-0000-000070B10000}"/>
    <cellStyle name="Normal 4 2 6 2 4 6" xfId="43490" xr:uid="{00000000-0005-0000-0000-000071B10000}"/>
    <cellStyle name="Normal 4 2 6 2 5" xfId="11619" xr:uid="{00000000-0005-0000-0000-000072B10000}"/>
    <cellStyle name="Normal 4 2 6 2 5 2" xfId="11620" xr:uid="{00000000-0005-0000-0000-000073B10000}"/>
    <cellStyle name="Normal 4 2 6 2 5 2 2" xfId="11621" xr:uid="{00000000-0005-0000-0000-000074B10000}"/>
    <cellStyle name="Normal 4 2 6 2 5 2 2 2" xfId="31132" xr:uid="{00000000-0005-0000-0000-000075B10000}"/>
    <cellStyle name="Normal 4 2 6 2 5 2 2 2 2" xfId="63003" xr:uid="{00000000-0005-0000-0000-000076B10000}"/>
    <cellStyle name="Normal 4 2 6 2 5 2 2 3" xfId="43500" xr:uid="{00000000-0005-0000-0000-000077B10000}"/>
    <cellStyle name="Normal 4 2 6 2 5 2 3" xfId="23254" xr:uid="{00000000-0005-0000-0000-000078B10000}"/>
    <cellStyle name="Normal 4 2 6 2 5 2 3 2" xfId="55125" xr:uid="{00000000-0005-0000-0000-000079B10000}"/>
    <cellStyle name="Normal 4 2 6 2 5 2 4" xfId="43499" xr:uid="{00000000-0005-0000-0000-00007AB10000}"/>
    <cellStyle name="Normal 4 2 6 2 5 3" xfId="11622" xr:uid="{00000000-0005-0000-0000-00007BB10000}"/>
    <cellStyle name="Normal 4 2 6 2 5 3 2" xfId="27193" xr:uid="{00000000-0005-0000-0000-00007CB10000}"/>
    <cellStyle name="Normal 4 2 6 2 5 3 2 2" xfId="59064" xr:uid="{00000000-0005-0000-0000-00007DB10000}"/>
    <cellStyle name="Normal 4 2 6 2 5 3 3" xfId="43501" xr:uid="{00000000-0005-0000-0000-00007EB10000}"/>
    <cellStyle name="Normal 4 2 6 2 5 4" xfId="19315" xr:uid="{00000000-0005-0000-0000-00007FB10000}"/>
    <cellStyle name="Normal 4 2 6 2 5 4 2" xfId="51186" xr:uid="{00000000-0005-0000-0000-000080B10000}"/>
    <cellStyle name="Normal 4 2 6 2 5 5" xfId="43498" xr:uid="{00000000-0005-0000-0000-000081B10000}"/>
    <cellStyle name="Normal 4 2 6 2 6" xfId="11623" xr:uid="{00000000-0005-0000-0000-000082B10000}"/>
    <cellStyle name="Normal 4 2 6 2 6 2" xfId="11624" xr:uid="{00000000-0005-0000-0000-000083B10000}"/>
    <cellStyle name="Normal 4 2 6 2 6 2 2" xfId="28425" xr:uid="{00000000-0005-0000-0000-000084B10000}"/>
    <cellStyle name="Normal 4 2 6 2 6 2 2 2" xfId="60296" xr:uid="{00000000-0005-0000-0000-000085B10000}"/>
    <cellStyle name="Normal 4 2 6 2 6 2 3" xfId="43503" xr:uid="{00000000-0005-0000-0000-000086B10000}"/>
    <cellStyle name="Normal 4 2 6 2 6 3" xfId="20547" xr:uid="{00000000-0005-0000-0000-000087B10000}"/>
    <cellStyle name="Normal 4 2 6 2 6 3 2" xfId="52418" xr:uid="{00000000-0005-0000-0000-000088B10000}"/>
    <cellStyle name="Normal 4 2 6 2 6 4" xfId="43502" xr:uid="{00000000-0005-0000-0000-000089B10000}"/>
    <cellStyle name="Normal 4 2 6 2 7" xfId="11625" xr:uid="{00000000-0005-0000-0000-00008AB10000}"/>
    <cellStyle name="Normal 4 2 6 2 7 2" xfId="24486" xr:uid="{00000000-0005-0000-0000-00008BB10000}"/>
    <cellStyle name="Normal 4 2 6 2 7 2 2" xfId="56357" xr:uid="{00000000-0005-0000-0000-00008CB10000}"/>
    <cellStyle name="Normal 4 2 6 2 7 3" xfId="43504" xr:uid="{00000000-0005-0000-0000-00008DB10000}"/>
    <cellStyle name="Normal 4 2 6 2 8" xfId="16608" xr:uid="{00000000-0005-0000-0000-00008EB10000}"/>
    <cellStyle name="Normal 4 2 6 2 8 2" xfId="48479" xr:uid="{00000000-0005-0000-0000-00008FB10000}"/>
    <cellStyle name="Normal 4 2 6 2 9" xfId="43441" xr:uid="{00000000-0005-0000-0000-000090B10000}"/>
    <cellStyle name="Normal 4 2 6 3" xfId="11626" xr:uid="{00000000-0005-0000-0000-000091B10000}"/>
    <cellStyle name="Normal 4 2 6 3 2" xfId="11627" xr:uid="{00000000-0005-0000-0000-000092B10000}"/>
    <cellStyle name="Normal 4 2 6 3 2 2" xfId="11628" xr:uid="{00000000-0005-0000-0000-000093B10000}"/>
    <cellStyle name="Normal 4 2 6 3 2 2 2" xfId="11629" xr:uid="{00000000-0005-0000-0000-000094B10000}"/>
    <cellStyle name="Normal 4 2 6 3 2 2 2 2" xfId="11630" xr:uid="{00000000-0005-0000-0000-000095B10000}"/>
    <cellStyle name="Normal 4 2 6 3 2 2 2 2 2" xfId="11631" xr:uid="{00000000-0005-0000-0000-000096B10000}"/>
    <cellStyle name="Normal 4 2 6 3 2 2 2 2 2 2" xfId="31136" xr:uid="{00000000-0005-0000-0000-000097B10000}"/>
    <cellStyle name="Normal 4 2 6 3 2 2 2 2 2 2 2" xfId="63007" xr:uid="{00000000-0005-0000-0000-000098B10000}"/>
    <cellStyle name="Normal 4 2 6 3 2 2 2 2 2 3" xfId="43510" xr:uid="{00000000-0005-0000-0000-000099B10000}"/>
    <cellStyle name="Normal 4 2 6 3 2 2 2 2 3" xfId="23258" xr:uid="{00000000-0005-0000-0000-00009AB10000}"/>
    <cellStyle name="Normal 4 2 6 3 2 2 2 2 3 2" xfId="55129" xr:uid="{00000000-0005-0000-0000-00009BB10000}"/>
    <cellStyle name="Normal 4 2 6 3 2 2 2 2 4" xfId="43509" xr:uid="{00000000-0005-0000-0000-00009CB10000}"/>
    <cellStyle name="Normal 4 2 6 3 2 2 2 3" xfId="11632" xr:uid="{00000000-0005-0000-0000-00009DB10000}"/>
    <cellStyle name="Normal 4 2 6 3 2 2 2 3 2" xfId="27197" xr:uid="{00000000-0005-0000-0000-00009EB10000}"/>
    <cellStyle name="Normal 4 2 6 3 2 2 2 3 2 2" xfId="59068" xr:uid="{00000000-0005-0000-0000-00009FB10000}"/>
    <cellStyle name="Normal 4 2 6 3 2 2 2 3 3" xfId="43511" xr:uid="{00000000-0005-0000-0000-0000A0B10000}"/>
    <cellStyle name="Normal 4 2 6 3 2 2 2 4" xfId="19319" xr:uid="{00000000-0005-0000-0000-0000A1B10000}"/>
    <cellStyle name="Normal 4 2 6 3 2 2 2 4 2" xfId="51190" xr:uid="{00000000-0005-0000-0000-0000A2B10000}"/>
    <cellStyle name="Normal 4 2 6 3 2 2 2 5" xfId="43508" xr:uid="{00000000-0005-0000-0000-0000A3B10000}"/>
    <cellStyle name="Normal 4 2 6 3 2 2 3" xfId="11633" xr:uid="{00000000-0005-0000-0000-0000A4B10000}"/>
    <cellStyle name="Normal 4 2 6 3 2 2 3 2" xfId="11634" xr:uid="{00000000-0005-0000-0000-0000A5B10000}"/>
    <cellStyle name="Normal 4 2 6 3 2 2 3 2 2" xfId="31135" xr:uid="{00000000-0005-0000-0000-0000A6B10000}"/>
    <cellStyle name="Normal 4 2 6 3 2 2 3 2 2 2" xfId="63006" xr:uid="{00000000-0005-0000-0000-0000A7B10000}"/>
    <cellStyle name="Normal 4 2 6 3 2 2 3 2 3" xfId="43513" xr:uid="{00000000-0005-0000-0000-0000A8B10000}"/>
    <cellStyle name="Normal 4 2 6 3 2 2 3 3" xfId="23257" xr:uid="{00000000-0005-0000-0000-0000A9B10000}"/>
    <cellStyle name="Normal 4 2 6 3 2 2 3 3 2" xfId="55128" xr:uid="{00000000-0005-0000-0000-0000AAB10000}"/>
    <cellStyle name="Normal 4 2 6 3 2 2 3 4" xfId="43512" xr:uid="{00000000-0005-0000-0000-0000ABB10000}"/>
    <cellStyle name="Normal 4 2 6 3 2 2 4" xfId="11635" xr:uid="{00000000-0005-0000-0000-0000ACB10000}"/>
    <cellStyle name="Normal 4 2 6 3 2 2 4 2" xfId="27196" xr:uid="{00000000-0005-0000-0000-0000ADB10000}"/>
    <cellStyle name="Normal 4 2 6 3 2 2 4 2 2" xfId="59067" xr:uid="{00000000-0005-0000-0000-0000AEB10000}"/>
    <cellStyle name="Normal 4 2 6 3 2 2 4 3" xfId="43514" xr:uid="{00000000-0005-0000-0000-0000AFB10000}"/>
    <cellStyle name="Normal 4 2 6 3 2 2 5" xfId="19318" xr:uid="{00000000-0005-0000-0000-0000B0B10000}"/>
    <cellStyle name="Normal 4 2 6 3 2 2 5 2" xfId="51189" xr:uid="{00000000-0005-0000-0000-0000B1B10000}"/>
    <cellStyle name="Normal 4 2 6 3 2 2 6" xfId="43507" xr:uid="{00000000-0005-0000-0000-0000B2B10000}"/>
    <cellStyle name="Normal 4 2 6 3 2 3" xfId="11636" xr:uid="{00000000-0005-0000-0000-0000B3B10000}"/>
    <cellStyle name="Normal 4 2 6 3 2 3 2" xfId="11637" xr:uid="{00000000-0005-0000-0000-0000B4B10000}"/>
    <cellStyle name="Normal 4 2 6 3 2 3 2 2" xfId="11638" xr:uid="{00000000-0005-0000-0000-0000B5B10000}"/>
    <cellStyle name="Normal 4 2 6 3 2 3 2 2 2" xfId="31137" xr:uid="{00000000-0005-0000-0000-0000B6B10000}"/>
    <cellStyle name="Normal 4 2 6 3 2 3 2 2 2 2" xfId="63008" xr:uid="{00000000-0005-0000-0000-0000B7B10000}"/>
    <cellStyle name="Normal 4 2 6 3 2 3 2 2 3" xfId="43517" xr:uid="{00000000-0005-0000-0000-0000B8B10000}"/>
    <cellStyle name="Normal 4 2 6 3 2 3 2 3" xfId="23259" xr:uid="{00000000-0005-0000-0000-0000B9B10000}"/>
    <cellStyle name="Normal 4 2 6 3 2 3 2 3 2" xfId="55130" xr:uid="{00000000-0005-0000-0000-0000BAB10000}"/>
    <cellStyle name="Normal 4 2 6 3 2 3 2 4" xfId="43516" xr:uid="{00000000-0005-0000-0000-0000BBB10000}"/>
    <cellStyle name="Normal 4 2 6 3 2 3 3" xfId="11639" xr:uid="{00000000-0005-0000-0000-0000BCB10000}"/>
    <cellStyle name="Normal 4 2 6 3 2 3 3 2" xfId="27198" xr:uid="{00000000-0005-0000-0000-0000BDB10000}"/>
    <cellStyle name="Normal 4 2 6 3 2 3 3 2 2" xfId="59069" xr:uid="{00000000-0005-0000-0000-0000BEB10000}"/>
    <cellStyle name="Normal 4 2 6 3 2 3 3 3" xfId="43518" xr:uid="{00000000-0005-0000-0000-0000BFB10000}"/>
    <cellStyle name="Normal 4 2 6 3 2 3 4" xfId="19320" xr:uid="{00000000-0005-0000-0000-0000C0B10000}"/>
    <cellStyle name="Normal 4 2 6 3 2 3 4 2" xfId="51191" xr:uid="{00000000-0005-0000-0000-0000C1B10000}"/>
    <cellStyle name="Normal 4 2 6 3 2 3 5" xfId="43515" xr:uid="{00000000-0005-0000-0000-0000C2B10000}"/>
    <cellStyle name="Normal 4 2 6 3 2 4" xfId="11640" xr:uid="{00000000-0005-0000-0000-0000C3B10000}"/>
    <cellStyle name="Normal 4 2 6 3 2 4 2" xfId="11641" xr:uid="{00000000-0005-0000-0000-0000C4B10000}"/>
    <cellStyle name="Normal 4 2 6 3 2 4 2 2" xfId="31134" xr:uid="{00000000-0005-0000-0000-0000C5B10000}"/>
    <cellStyle name="Normal 4 2 6 3 2 4 2 2 2" xfId="63005" xr:uid="{00000000-0005-0000-0000-0000C6B10000}"/>
    <cellStyle name="Normal 4 2 6 3 2 4 2 3" xfId="43520" xr:uid="{00000000-0005-0000-0000-0000C7B10000}"/>
    <cellStyle name="Normal 4 2 6 3 2 4 3" xfId="23256" xr:uid="{00000000-0005-0000-0000-0000C8B10000}"/>
    <cellStyle name="Normal 4 2 6 3 2 4 3 2" xfId="55127" xr:uid="{00000000-0005-0000-0000-0000C9B10000}"/>
    <cellStyle name="Normal 4 2 6 3 2 4 4" xfId="43519" xr:uid="{00000000-0005-0000-0000-0000CAB10000}"/>
    <cellStyle name="Normal 4 2 6 3 2 5" xfId="11642" xr:uid="{00000000-0005-0000-0000-0000CBB10000}"/>
    <cellStyle name="Normal 4 2 6 3 2 5 2" xfId="27195" xr:uid="{00000000-0005-0000-0000-0000CCB10000}"/>
    <cellStyle name="Normal 4 2 6 3 2 5 2 2" xfId="59066" xr:uid="{00000000-0005-0000-0000-0000CDB10000}"/>
    <cellStyle name="Normal 4 2 6 3 2 5 3" xfId="43521" xr:uid="{00000000-0005-0000-0000-0000CEB10000}"/>
    <cellStyle name="Normal 4 2 6 3 2 6" xfId="19317" xr:uid="{00000000-0005-0000-0000-0000CFB10000}"/>
    <cellStyle name="Normal 4 2 6 3 2 6 2" xfId="51188" xr:uid="{00000000-0005-0000-0000-0000D0B10000}"/>
    <cellStyle name="Normal 4 2 6 3 2 7" xfId="43506" xr:uid="{00000000-0005-0000-0000-0000D1B10000}"/>
    <cellStyle name="Normal 4 2 6 3 3" xfId="11643" xr:uid="{00000000-0005-0000-0000-0000D2B10000}"/>
    <cellStyle name="Normal 4 2 6 3 3 2" xfId="11644" xr:uid="{00000000-0005-0000-0000-0000D3B10000}"/>
    <cellStyle name="Normal 4 2 6 3 3 2 2" xfId="11645" xr:uid="{00000000-0005-0000-0000-0000D4B10000}"/>
    <cellStyle name="Normal 4 2 6 3 3 2 2 2" xfId="11646" xr:uid="{00000000-0005-0000-0000-0000D5B10000}"/>
    <cellStyle name="Normal 4 2 6 3 3 2 2 2 2" xfId="31139" xr:uid="{00000000-0005-0000-0000-0000D6B10000}"/>
    <cellStyle name="Normal 4 2 6 3 3 2 2 2 2 2" xfId="63010" xr:uid="{00000000-0005-0000-0000-0000D7B10000}"/>
    <cellStyle name="Normal 4 2 6 3 3 2 2 2 3" xfId="43525" xr:uid="{00000000-0005-0000-0000-0000D8B10000}"/>
    <cellStyle name="Normal 4 2 6 3 3 2 2 3" xfId="23261" xr:uid="{00000000-0005-0000-0000-0000D9B10000}"/>
    <cellStyle name="Normal 4 2 6 3 3 2 2 3 2" xfId="55132" xr:uid="{00000000-0005-0000-0000-0000DAB10000}"/>
    <cellStyle name="Normal 4 2 6 3 3 2 2 4" xfId="43524" xr:uid="{00000000-0005-0000-0000-0000DBB10000}"/>
    <cellStyle name="Normal 4 2 6 3 3 2 3" xfId="11647" xr:uid="{00000000-0005-0000-0000-0000DCB10000}"/>
    <cellStyle name="Normal 4 2 6 3 3 2 3 2" xfId="27200" xr:uid="{00000000-0005-0000-0000-0000DDB10000}"/>
    <cellStyle name="Normal 4 2 6 3 3 2 3 2 2" xfId="59071" xr:uid="{00000000-0005-0000-0000-0000DEB10000}"/>
    <cellStyle name="Normal 4 2 6 3 3 2 3 3" xfId="43526" xr:uid="{00000000-0005-0000-0000-0000DFB10000}"/>
    <cellStyle name="Normal 4 2 6 3 3 2 4" xfId="19322" xr:uid="{00000000-0005-0000-0000-0000E0B10000}"/>
    <cellStyle name="Normal 4 2 6 3 3 2 4 2" xfId="51193" xr:uid="{00000000-0005-0000-0000-0000E1B10000}"/>
    <cellStyle name="Normal 4 2 6 3 3 2 5" xfId="43523" xr:uid="{00000000-0005-0000-0000-0000E2B10000}"/>
    <cellStyle name="Normal 4 2 6 3 3 3" xfId="11648" xr:uid="{00000000-0005-0000-0000-0000E3B10000}"/>
    <cellStyle name="Normal 4 2 6 3 3 3 2" xfId="11649" xr:uid="{00000000-0005-0000-0000-0000E4B10000}"/>
    <cellStyle name="Normal 4 2 6 3 3 3 2 2" xfId="31138" xr:uid="{00000000-0005-0000-0000-0000E5B10000}"/>
    <cellStyle name="Normal 4 2 6 3 3 3 2 2 2" xfId="63009" xr:uid="{00000000-0005-0000-0000-0000E6B10000}"/>
    <cellStyle name="Normal 4 2 6 3 3 3 2 3" xfId="43528" xr:uid="{00000000-0005-0000-0000-0000E7B10000}"/>
    <cellStyle name="Normal 4 2 6 3 3 3 3" xfId="23260" xr:uid="{00000000-0005-0000-0000-0000E8B10000}"/>
    <cellStyle name="Normal 4 2 6 3 3 3 3 2" xfId="55131" xr:uid="{00000000-0005-0000-0000-0000E9B10000}"/>
    <cellStyle name="Normal 4 2 6 3 3 3 4" xfId="43527" xr:uid="{00000000-0005-0000-0000-0000EAB10000}"/>
    <cellStyle name="Normal 4 2 6 3 3 4" xfId="11650" xr:uid="{00000000-0005-0000-0000-0000EBB10000}"/>
    <cellStyle name="Normal 4 2 6 3 3 4 2" xfId="27199" xr:uid="{00000000-0005-0000-0000-0000ECB10000}"/>
    <cellStyle name="Normal 4 2 6 3 3 4 2 2" xfId="59070" xr:uid="{00000000-0005-0000-0000-0000EDB10000}"/>
    <cellStyle name="Normal 4 2 6 3 3 4 3" xfId="43529" xr:uid="{00000000-0005-0000-0000-0000EEB10000}"/>
    <cellStyle name="Normal 4 2 6 3 3 5" xfId="19321" xr:uid="{00000000-0005-0000-0000-0000EFB10000}"/>
    <cellStyle name="Normal 4 2 6 3 3 5 2" xfId="51192" xr:uid="{00000000-0005-0000-0000-0000F0B10000}"/>
    <cellStyle name="Normal 4 2 6 3 3 6" xfId="43522" xr:uid="{00000000-0005-0000-0000-0000F1B10000}"/>
    <cellStyle name="Normal 4 2 6 3 4" xfId="11651" xr:uid="{00000000-0005-0000-0000-0000F2B10000}"/>
    <cellStyle name="Normal 4 2 6 3 4 2" xfId="11652" xr:uid="{00000000-0005-0000-0000-0000F3B10000}"/>
    <cellStyle name="Normal 4 2 6 3 4 2 2" xfId="11653" xr:uid="{00000000-0005-0000-0000-0000F4B10000}"/>
    <cellStyle name="Normal 4 2 6 3 4 2 2 2" xfId="31140" xr:uid="{00000000-0005-0000-0000-0000F5B10000}"/>
    <cellStyle name="Normal 4 2 6 3 4 2 2 2 2" xfId="63011" xr:uid="{00000000-0005-0000-0000-0000F6B10000}"/>
    <cellStyle name="Normal 4 2 6 3 4 2 2 3" xfId="43532" xr:uid="{00000000-0005-0000-0000-0000F7B10000}"/>
    <cellStyle name="Normal 4 2 6 3 4 2 3" xfId="23262" xr:uid="{00000000-0005-0000-0000-0000F8B10000}"/>
    <cellStyle name="Normal 4 2 6 3 4 2 3 2" xfId="55133" xr:uid="{00000000-0005-0000-0000-0000F9B10000}"/>
    <cellStyle name="Normal 4 2 6 3 4 2 4" xfId="43531" xr:uid="{00000000-0005-0000-0000-0000FAB10000}"/>
    <cellStyle name="Normal 4 2 6 3 4 3" xfId="11654" xr:uid="{00000000-0005-0000-0000-0000FBB10000}"/>
    <cellStyle name="Normal 4 2 6 3 4 3 2" xfId="27201" xr:uid="{00000000-0005-0000-0000-0000FCB10000}"/>
    <cellStyle name="Normal 4 2 6 3 4 3 2 2" xfId="59072" xr:uid="{00000000-0005-0000-0000-0000FDB10000}"/>
    <cellStyle name="Normal 4 2 6 3 4 3 3" xfId="43533" xr:uid="{00000000-0005-0000-0000-0000FEB10000}"/>
    <cellStyle name="Normal 4 2 6 3 4 4" xfId="19323" xr:uid="{00000000-0005-0000-0000-0000FFB10000}"/>
    <cellStyle name="Normal 4 2 6 3 4 4 2" xfId="51194" xr:uid="{00000000-0005-0000-0000-000000B20000}"/>
    <cellStyle name="Normal 4 2 6 3 4 5" xfId="43530" xr:uid="{00000000-0005-0000-0000-000001B20000}"/>
    <cellStyle name="Normal 4 2 6 3 5" xfId="11655" xr:uid="{00000000-0005-0000-0000-000002B20000}"/>
    <cellStyle name="Normal 4 2 6 3 5 2" xfId="11656" xr:uid="{00000000-0005-0000-0000-000003B20000}"/>
    <cellStyle name="Normal 4 2 6 3 5 2 2" xfId="31133" xr:uid="{00000000-0005-0000-0000-000004B20000}"/>
    <cellStyle name="Normal 4 2 6 3 5 2 2 2" xfId="63004" xr:uid="{00000000-0005-0000-0000-000005B20000}"/>
    <cellStyle name="Normal 4 2 6 3 5 2 3" xfId="43535" xr:uid="{00000000-0005-0000-0000-000006B20000}"/>
    <cellStyle name="Normal 4 2 6 3 5 3" xfId="23255" xr:uid="{00000000-0005-0000-0000-000007B20000}"/>
    <cellStyle name="Normal 4 2 6 3 5 3 2" xfId="55126" xr:uid="{00000000-0005-0000-0000-000008B20000}"/>
    <cellStyle name="Normal 4 2 6 3 5 4" xfId="43534" xr:uid="{00000000-0005-0000-0000-000009B20000}"/>
    <cellStyle name="Normal 4 2 6 3 6" xfId="11657" xr:uid="{00000000-0005-0000-0000-00000AB20000}"/>
    <cellStyle name="Normal 4 2 6 3 6 2" xfId="27194" xr:uid="{00000000-0005-0000-0000-00000BB20000}"/>
    <cellStyle name="Normal 4 2 6 3 6 2 2" xfId="59065" xr:uid="{00000000-0005-0000-0000-00000CB20000}"/>
    <cellStyle name="Normal 4 2 6 3 6 3" xfId="43536" xr:uid="{00000000-0005-0000-0000-00000DB20000}"/>
    <cellStyle name="Normal 4 2 6 3 7" xfId="19316" xr:uid="{00000000-0005-0000-0000-00000EB20000}"/>
    <cellStyle name="Normal 4 2 6 3 7 2" xfId="51187" xr:uid="{00000000-0005-0000-0000-00000FB20000}"/>
    <cellStyle name="Normal 4 2 6 3 8" xfId="43505" xr:uid="{00000000-0005-0000-0000-000010B20000}"/>
    <cellStyle name="Normal 4 2 6 4" xfId="11658" xr:uid="{00000000-0005-0000-0000-000011B20000}"/>
    <cellStyle name="Normal 4 2 6 4 2" xfId="11659" xr:uid="{00000000-0005-0000-0000-000012B20000}"/>
    <cellStyle name="Normal 4 2 6 4 2 2" xfId="11660" xr:uid="{00000000-0005-0000-0000-000013B20000}"/>
    <cellStyle name="Normal 4 2 6 4 2 2 2" xfId="11661" xr:uid="{00000000-0005-0000-0000-000014B20000}"/>
    <cellStyle name="Normal 4 2 6 4 2 2 2 2" xfId="11662" xr:uid="{00000000-0005-0000-0000-000015B20000}"/>
    <cellStyle name="Normal 4 2 6 4 2 2 2 2 2" xfId="31143" xr:uid="{00000000-0005-0000-0000-000016B20000}"/>
    <cellStyle name="Normal 4 2 6 4 2 2 2 2 2 2" xfId="63014" xr:uid="{00000000-0005-0000-0000-000017B20000}"/>
    <cellStyle name="Normal 4 2 6 4 2 2 2 2 3" xfId="43541" xr:uid="{00000000-0005-0000-0000-000018B20000}"/>
    <cellStyle name="Normal 4 2 6 4 2 2 2 3" xfId="23265" xr:uid="{00000000-0005-0000-0000-000019B20000}"/>
    <cellStyle name="Normal 4 2 6 4 2 2 2 3 2" xfId="55136" xr:uid="{00000000-0005-0000-0000-00001AB20000}"/>
    <cellStyle name="Normal 4 2 6 4 2 2 2 4" xfId="43540" xr:uid="{00000000-0005-0000-0000-00001BB20000}"/>
    <cellStyle name="Normal 4 2 6 4 2 2 3" xfId="11663" xr:uid="{00000000-0005-0000-0000-00001CB20000}"/>
    <cellStyle name="Normal 4 2 6 4 2 2 3 2" xfId="27204" xr:uid="{00000000-0005-0000-0000-00001DB20000}"/>
    <cellStyle name="Normal 4 2 6 4 2 2 3 2 2" xfId="59075" xr:uid="{00000000-0005-0000-0000-00001EB20000}"/>
    <cellStyle name="Normal 4 2 6 4 2 2 3 3" xfId="43542" xr:uid="{00000000-0005-0000-0000-00001FB20000}"/>
    <cellStyle name="Normal 4 2 6 4 2 2 4" xfId="19326" xr:uid="{00000000-0005-0000-0000-000020B20000}"/>
    <cellStyle name="Normal 4 2 6 4 2 2 4 2" xfId="51197" xr:uid="{00000000-0005-0000-0000-000021B20000}"/>
    <cellStyle name="Normal 4 2 6 4 2 2 5" xfId="43539" xr:uid="{00000000-0005-0000-0000-000022B20000}"/>
    <cellStyle name="Normal 4 2 6 4 2 3" xfId="11664" xr:uid="{00000000-0005-0000-0000-000023B20000}"/>
    <cellStyle name="Normal 4 2 6 4 2 3 2" xfId="11665" xr:uid="{00000000-0005-0000-0000-000024B20000}"/>
    <cellStyle name="Normal 4 2 6 4 2 3 2 2" xfId="31142" xr:uid="{00000000-0005-0000-0000-000025B20000}"/>
    <cellStyle name="Normal 4 2 6 4 2 3 2 2 2" xfId="63013" xr:uid="{00000000-0005-0000-0000-000026B20000}"/>
    <cellStyle name="Normal 4 2 6 4 2 3 2 3" xfId="43544" xr:uid="{00000000-0005-0000-0000-000027B20000}"/>
    <cellStyle name="Normal 4 2 6 4 2 3 3" xfId="23264" xr:uid="{00000000-0005-0000-0000-000028B20000}"/>
    <cellStyle name="Normal 4 2 6 4 2 3 3 2" xfId="55135" xr:uid="{00000000-0005-0000-0000-000029B20000}"/>
    <cellStyle name="Normal 4 2 6 4 2 3 4" xfId="43543" xr:uid="{00000000-0005-0000-0000-00002AB20000}"/>
    <cellStyle name="Normal 4 2 6 4 2 4" xfId="11666" xr:uid="{00000000-0005-0000-0000-00002BB20000}"/>
    <cellStyle name="Normal 4 2 6 4 2 4 2" xfId="27203" xr:uid="{00000000-0005-0000-0000-00002CB20000}"/>
    <cellStyle name="Normal 4 2 6 4 2 4 2 2" xfId="59074" xr:uid="{00000000-0005-0000-0000-00002DB20000}"/>
    <cellStyle name="Normal 4 2 6 4 2 4 3" xfId="43545" xr:uid="{00000000-0005-0000-0000-00002EB20000}"/>
    <cellStyle name="Normal 4 2 6 4 2 5" xfId="19325" xr:uid="{00000000-0005-0000-0000-00002FB20000}"/>
    <cellStyle name="Normal 4 2 6 4 2 5 2" xfId="51196" xr:uid="{00000000-0005-0000-0000-000030B20000}"/>
    <cellStyle name="Normal 4 2 6 4 2 6" xfId="43538" xr:uid="{00000000-0005-0000-0000-000031B20000}"/>
    <cellStyle name="Normal 4 2 6 4 3" xfId="11667" xr:uid="{00000000-0005-0000-0000-000032B20000}"/>
    <cellStyle name="Normal 4 2 6 4 3 2" xfId="11668" xr:uid="{00000000-0005-0000-0000-000033B20000}"/>
    <cellStyle name="Normal 4 2 6 4 3 2 2" xfId="11669" xr:uid="{00000000-0005-0000-0000-000034B20000}"/>
    <cellStyle name="Normal 4 2 6 4 3 2 2 2" xfId="31144" xr:uid="{00000000-0005-0000-0000-000035B20000}"/>
    <cellStyle name="Normal 4 2 6 4 3 2 2 2 2" xfId="63015" xr:uid="{00000000-0005-0000-0000-000036B20000}"/>
    <cellStyle name="Normal 4 2 6 4 3 2 2 3" xfId="43548" xr:uid="{00000000-0005-0000-0000-000037B20000}"/>
    <cellStyle name="Normal 4 2 6 4 3 2 3" xfId="23266" xr:uid="{00000000-0005-0000-0000-000038B20000}"/>
    <cellStyle name="Normal 4 2 6 4 3 2 3 2" xfId="55137" xr:uid="{00000000-0005-0000-0000-000039B20000}"/>
    <cellStyle name="Normal 4 2 6 4 3 2 4" xfId="43547" xr:uid="{00000000-0005-0000-0000-00003AB20000}"/>
    <cellStyle name="Normal 4 2 6 4 3 3" xfId="11670" xr:uid="{00000000-0005-0000-0000-00003BB20000}"/>
    <cellStyle name="Normal 4 2 6 4 3 3 2" xfId="27205" xr:uid="{00000000-0005-0000-0000-00003CB20000}"/>
    <cellStyle name="Normal 4 2 6 4 3 3 2 2" xfId="59076" xr:uid="{00000000-0005-0000-0000-00003DB20000}"/>
    <cellStyle name="Normal 4 2 6 4 3 3 3" xfId="43549" xr:uid="{00000000-0005-0000-0000-00003EB20000}"/>
    <cellStyle name="Normal 4 2 6 4 3 4" xfId="19327" xr:uid="{00000000-0005-0000-0000-00003FB20000}"/>
    <cellStyle name="Normal 4 2 6 4 3 4 2" xfId="51198" xr:uid="{00000000-0005-0000-0000-000040B20000}"/>
    <cellStyle name="Normal 4 2 6 4 3 5" xfId="43546" xr:uid="{00000000-0005-0000-0000-000041B20000}"/>
    <cellStyle name="Normal 4 2 6 4 4" xfId="11671" xr:uid="{00000000-0005-0000-0000-000042B20000}"/>
    <cellStyle name="Normal 4 2 6 4 4 2" xfId="11672" xr:uid="{00000000-0005-0000-0000-000043B20000}"/>
    <cellStyle name="Normal 4 2 6 4 4 2 2" xfId="31141" xr:uid="{00000000-0005-0000-0000-000044B20000}"/>
    <cellStyle name="Normal 4 2 6 4 4 2 2 2" xfId="63012" xr:uid="{00000000-0005-0000-0000-000045B20000}"/>
    <cellStyle name="Normal 4 2 6 4 4 2 3" xfId="43551" xr:uid="{00000000-0005-0000-0000-000046B20000}"/>
    <cellStyle name="Normal 4 2 6 4 4 3" xfId="23263" xr:uid="{00000000-0005-0000-0000-000047B20000}"/>
    <cellStyle name="Normal 4 2 6 4 4 3 2" xfId="55134" xr:uid="{00000000-0005-0000-0000-000048B20000}"/>
    <cellStyle name="Normal 4 2 6 4 4 4" xfId="43550" xr:uid="{00000000-0005-0000-0000-000049B20000}"/>
    <cellStyle name="Normal 4 2 6 4 5" xfId="11673" xr:uid="{00000000-0005-0000-0000-00004AB20000}"/>
    <cellStyle name="Normal 4 2 6 4 5 2" xfId="27202" xr:uid="{00000000-0005-0000-0000-00004BB20000}"/>
    <cellStyle name="Normal 4 2 6 4 5 2 2" xfId="59073" xr:uid="{00000000-0005-0000-0000-00004CB20000}"/>
    <cellStyle name="Normal 4 2 6 4 5 3" xfId="43552" xr:uid="{00000000-0005-0000-0000-00004DB20000}"/>
    <cellStyle name="Normal 4 2 6 4 6" xfId="19324" xr:uid="{00000000-0005-0000-0000-00004EB20000}"/>
    <cellStyle name="Normal 4 2 6 4 6 2" xfId="51195" xr:uid="{00000000-0005-0000-0000-00004FB20000}"/>
    <cellStyle name="Normal 4 2 6 4 7" xfId="43537" xr:uid="{00000000-0005-0000-0000-000050B20000}"/>
    <cellStyle name="Normal 4 2 6 5" xfId="11674" xr:uid="{00000000-0005-0000-0000-000051B20000}"/>
    <cellStyle name="Normal 4 2 6 5 2" xfId="11675" xr:uid="{00000000-0005-0000-0000-000052B20000}"/>
    <cellStyle name="Normal 4 2 6 5 2 2" xfId="11676" xr:uid="{00000000-0005-0000-0000-000053B20000}"/>
    <cellStyle name="Normal 4 2 6 5 2 2 2" xfId="11677" xr:uid="{00000000-0005-0000-0000-000054B20000}"/>
    <cellStyle name="Normal 4 2 6 5 2 2 2 2" xfId="31146" xr:uid="{00000000-0005-0000-0000-000055B20000}"/>
    <cellStyle name="Normal 4 2 6 5 2 2 2 2 2" xfId="63017" xr:uid="{00000000-0005-0000-0000-000056B20000}"/>
    <cellStyle name="Normal 4 2 6 5 2 2 2 3" xfId="43556" xr:uid="{00000000-0005-0000-0000-000057B20000}"/>
    <cellStyle name="Normal 4 2 6 5 2 2 3" xfId="23268" xr:uid="{00000000-0005-0000-0000-000058B20000}"/>
    <cellStyle name="Normal 4 2 6 5 2 2 3 2" xfId="55139" xr:uid="{00000000-0005-0000-0000-000059B20000}"/>
    <cellStyle name="Normal 4 2 6 5 2 2 4" xfId="43555" xr:uid="{00000000-0005-0000-0000-00005AB20000}"/>
    <cellStyle name="Normal 4 2 6 5 2 3" xfId="11678" xr:uid="{00000000-0005-0000-0000-00005BB20000}"/>
    <cellStyle name="Normal 4 2 6 5 2 3 2" xfId="27207" xr:uid="{00000000-0005-0000-0000-00005CB20000}"/>
    <cellStyle name="Normal 4 2 6 5 2 3 2 2" xfId="59078" xr:uid="{00000000-0005-0000-0000-00005DB20000}"/>
    <cellStyle name="Normal 4 2 6 5 2 3 3" xfId="43557" xr:uid="{00000000-0005-0000-0000-00005EB20000}"/>
    <cellStyle name="Normal 4 2 6 5 2 4" xfId="19329" xr:uid="{00000000-0005-0000-0000-00005FB20000}"/>
    <cellStyle name="Normal 4 2 6 5 2 4 2" xfId="51200" xr:uid="{00000000-0005-0000-0000-000060B20000}"/>
    <cellStyle name="Normal 4 2 6 5 2 5" xfId="43554" xr:uid="{00000000-0005-0000-0000-000061B20000}"/>
    <cellStyle name="Normal 4 2 6 5 3" xfId="11679" xr:uid="{00000000-0005-0000-0000-000062B20000}"/>
    <cellStyle name="Normal 4 2 6 5 3 2" xfId="11680" xr:uid="{00000000-0005-0000-0000-000063B20000}"/>
    <cellStyle name="Normal 4 2 6 5 3 2 2" xfId="31145" xr:uid="{00000000-0005-0000-0000-000064B20000}"/>
    <cellStyle name="Normal 4 2 6 5 3 2 2 2" xfId="63016" xr:uid="{00000000-0005-0000-0000-000065B20000}"/>
    <cellStyle name="Normal 4 2 6 5 3 2 3" xfId="43559" xr:uid="{00000000-0005-0000-0000-000066B20000}"/>
    <cellStyle name="Normal 4 2 6 5 3 3" xfId="23267" xr:uid="{00000000-0005-0000-0000-000067B20000}"/>
    <cellStyle name="Normal 4 2 6 5 3 3 2" xfId="55138" xr:uid="{00000000-0005-0000-0000-000068B20000}"/>
    <cellStyle name="Normal 4 2 6 5 3 4" xfId="43558" xr:uid="{00000000-0005-0000-0000-000069B20000}"/>
    <cellStyle name="Normal 4 2 6 5 4" xfId="11681" xr:uid="{00000000-0005-0000-0000-00006AB20000}"/>
    <cellStyle name="Normal 4 2 6 5 4 2" xfId="27206" xr:uid="{00000000-0005-0000-0000-00006BB20000}"/>
    <cellStyle name="Normal 4 2 6 5 4 2 2" xfId="59077" xr:uid="{00000000-0005-0000-0000-00006CB20000}"/>
    <cellStyle name="Normal 4 2 6 5 4 3" xfId="43560" xr:uid="{00000000-0005-0000-0000-00006DB20000}"/>
    <cellStyle name="Normal 4 2 6 5 5" xfId="19328" xr:uid="{00000000-0005-0000-0000-00006EB20000}"/>
    <cellStyle name="Normal 4 2 6 5 5 2" xfId="51199" xr:uid="{00000000-0005-0000-0000-00006FB20000}"/>
    <cellStyle name="Normal 4 2 6 5 6" xfId="43553" xr:uid="{00000000-0005-0000-0000-000070B20000}"/>
    <cellStyle name="Normal 4 2 6 6" xfId="11682" xr:uid="{00000000-0005-0000-0000-000071B20000}"/>
    <cellStyle name="Normal 4 2 6 6 2" xfId="11683" xr:uid="{00000000-0005-0000-0000-000072B20000}"/>
    <cellStyle name="Normal 4 2 6 6 2 2" xfId="11684" xr:uid="{00000000-0005-0000-0000-000073B20000}"/>
    <cellStyle name="Normal 4 2 6 6 2 2 2" xfId="31147" xr:uid="{00000000-0005-0000-0000-000074B20000}"/>
    <cellStyle name="Normal 4 2 6 6 2 2 2 2" xfId="63018" xr:uid="{00000000-0005-0000-0000-000075B20000}"/>
    <cellStyle name="Normal 4 2 6 6 2 2 3" xfId="43563" xr:uid="{00000000-0005-0000-0000-000076B20000}"/>
    <cellStyle name="Normal 4 2 6 6 2 3" xfId="23269" xr:uid="{00000000-0005-0000-0000-000077B20000}"/>
    <cellStyle name="Normal 4 2 6 6 2 3 2" xfId="55140" xr:uid="{00000000-0005-0000-0000-000078B20000}"/>
    <cellStyle name="Normal 4 2 6 6 2 4" xfId="43562" xr:uid="{00000000-0005-0000-0000-000079B20000}"/>
    <cellStyle name="Normal 4 2 6 6 3" xfId="11685" xr:uid="{00000000-0005-0000-0000-00007AB20000}"/>
    <cellStyle name="Normal 4 2 6 6 3 2" xfId="27208" xr:uid="{00000000-0005-0000-0000-00007BB20000}"/>
    <cellStyle name="Normal 4 2 6 6 3 2 2" xfId="59079" xr:uid="{00000000-0005-0000-0000-00007CB20000}"/>
    <cellStyle name="Normal 4 2 6 6 3 3" xfId="43564" xr:uid="{00000000-0005-0000-0000-00007DB20000}"/>
    <cellStyle name="Normal 4 2 6 6 4" xfId="19330" xr:uid="{00000000-0005-0000-0000-00007EB20000}"/>
    <cellStyle name="Normal 4 2 6 6 4 2" xfId="51201" xr:uid="{00000000-0005-0000-0000-00007FB20000}"/>
    <cellStyle name="Normal 4 2 6 6 5" xfId="43561" xr:uid="{00000000-0005-0000-0000-000080B20000}"/>
    <cellStyle name="Normal 4 2 6 7" xfId="11686" xr:uid="{00000000-0005-0000-0000-000081B20000}"/>
    <cellStyle name="Normal 4 2 6 7 2" xfId="11687" xr:uid="{00000000-0005-0000-0000-000082B20000}"/>
    <cellStyle name="Normal 4 2 6 7 2 2" xfId="28302" xr:uid="{00000000-0005-0000-0000-000083B20000}"/>
    <cellStyle name="Normal 4 2 6 7 2 2 2" xfId="60173" xr:uid="{00000000-0005-0000-0000-000084B20000}"/>
    <cellStyle name="Normal 4 2 6 7 2 3" xfId="43566" xr:uid="{00000000-0005-0000-0000-000085B20000}"/>
    <cellStyle name="Normal 4 2 6 7 3" xfId="20424" xr:uid="{00000000-0005-0000-0000-000086B20000}"/>
    <cellStyle name="Normal 4 2 6 7 3 2" xfId="52295" xr:uid="{00000000-0005-0000-0000-000087B20000}"/>
    <cellStyle name="Normal 4 2 6 7 4" xfId="43565" xr:uid="{00000000-0005-0000-0000-000088B20000}"/>
    <cellStyle name="Normal 4 2 6 8" xfId="11688" xr:uid="{00000000-0005-0000-0000-000089B20000}"/>
    <cellStyle name="Normal 4 2 6 8 2" xfId="24363" xr:uid="{00000000-0005-0000-0000-00008AB20000}"/>
    <cellStyle name="Normal 4 2 6 8 2 2" xfId="56234" xr:uid="{00000000-0005-0000-0000-00008BB20000}"/>
    <cellStyle name="Normal 4 2 6 8 3" xfId="43567" xr:uid="{00000000-0005-0000-0000-00008CB20000}"/>
    <cellStyle name="Normal 4 2 6 9" xfId="16485" xr:uid="{00000000-0005-0000-0000-00008DB20000}"/>
    <cellStyle name="Normal 4 2 6 9 2" xfId="48356" xr:uid="{00000000-0005-0000-0000-00008EB20000}"/>
    <cellStyle name="Normal 4 2 7" xfId="11689" xr:uid="{00000000-0005-0000-0000-00008FB20000}"/>
    <cellStyle name="Normal 4 2 7 10" xfId="43568" xr:uid="{00000000-0005-0000-0000-000090B20000}"/>
    <cellStyle name="Normal 4 2 7 2" xfId="11690" xr:uid="{00000000-0005-0000-0000-000091B20000}"/>
    <cellStyle name="Normal 4 2 7 2 2" xfId="11691" xr:uid="{00000000-0005-0000-0000-000092B20000}"/>
    <cellStyle name="Normal 4 2 7 2 2 2" xfId="11692" xr:uid="{00000000-0005-0000-0000-000093B20000}"/>
    <cellStyle name="Normal 4 2 7 2 2 2 2" xfId="11693" xr:uid="{00000000-0005-0000-0000-000094B20000}"/>
    <cellStyle name="Normal 4 2 7 2 2 2 2 2" xfId="11694" xr:uid="{00000000-0005-0000-0000-000095B20000}"/>
    <cellStyle name="Normal 4 2 7 2 2 2 2 2 2" xfId="11695" xr:uid="{00000000-0005-0000-0000-000096B20000}"/>
    <cellStyle name="Normal 4 2 7 2 2 2 2 2 2 2" xfId="11696" xr:uid="{00000000-0005-0000-0000-000097B20000}"/>
    <cellStyle name="Normal 4 2 7 2 2 2 2 2 2 2 2" xfId="31151" xr:uid="{00000000-0005-0000-0000-000098B20000}"/>
    <cellStyle name="Normal 4 2 7 2 2 2 2 2 2 2 2 2" xfId="63022" xr:uid="{00000000-0005-0000-0000-000099B20000}"/>
    <cellStyle name="Normal 4 2 7 2 2 2 2 2 2 2 3" xfId="43575" xr:uid="{00000000-0005-0000-0000-00009AB20000}"/>
    <cellStyle name="Normal 4 2 7 2 2 2 2 2 2 3" xfId="23273" xr:uid="{00000000-0005-0000-0000-00009BB20000}"/>
    <cellStyle name="Normal 4 2 7 2 2 2 2 2 2 3 2" xfId="55144" xr:uid="{00000000-0005-0000-0000-00009CB20000}"/>
    <cellStyle name="Normal 4 2 7 2 2 2 2 2 2 4" xfId="43574" xr:uid="{00000000-0005-0000-0000-00009DB20000}"/>
    <cellStyle name="Normal 4 2 7 2 2 2 2 2 3" xfId="11697" xr:uid="{00000000-0005-0000-0000-00009EB20000}"/>
    <cellStyle name="Normal 4 2 7 2 2 2 2 2 3 2" xfId="27212" xr:uid="{00000000-0005-0000-0000-00009FB20000}"/>
    <cellStyle name="Normal 4 2 7 2 2 2 2 2 3 2 2" xfId="59083" xr:uid="{00000000-0005-0000-0000-0000A0B20000}"/>
    <cellStyle name="Normal 4 2 7 2 2 2 2 2 3 3" xfId="43576" xr:uid="{00000000-0005-0000-0000-0000A1B20000}"/>
    <cellStyle name="Normal 4 2 7 2 2 2 2 2 4" xfId="19334" xr:uid="{00000000-0005-0000-0000-0000A2B20000}"/>
    <cellStyle name="Normal 4 2 7 2 2 2 2 2 4 2" xfId="51205" xr:uid="{00000000-0005-0000-0000-0000A3B20000}"/>
    <cellStyle name="Normal 4 2 7 2 2 2 2 2 5" xfId="43573" xr:uid="{00000000-0005-0000-0000-0000A4B20000}"/>
    <cellStyle name="Normal 4 2 7 2 2 2 2 3" xfId="11698" xr:uid="{00000000-0005-0000-0000-0000A5B20000}"/>
    <cellStyle name="Normal 4 2 7 2 2 2 2 3 2" xfId="11699" xr:uid="{00000000-0005-0000-0000-0000A6B20000}"/>
    <cellStyle name="Normal 4 2 7 2 2 2 2 3 2 2" xfId="31150" xr:uid="{00000000-0005-0000-0000-0000A7B20000}"/>
    <cellStyle name="Normal 4 2 7 2 2 2 2 3 2 2 2" xfId="63021" xr:uid="{00000000-0005-0000-0000-0000A8B20000}"/>
    <cellStyle name="Normal 4 2 7 2 2 2 2 3 2 3" xfId="43578" xr:uid="{00000000-0005-0000-0000-0000A9B20000}"/>
    <cellStyle name="Normal 4 2 7 2 2 2 2 3 3" xfId="23272" xr:uid="{00000000-0005-0000-0000-0000AAB20000}"/>
    <cellStyle name="Normal 4 2 7 2 2 2 2 3 3 2" xfId="55143" xr:uid="{00000000-0005-0000-0000-0000ABB20000}"/>
    <cellStyle name="Normal 4 2 7 2 2 2 2 3 4" xfId="43577" xr:uid="{00000000-0005-0000-0000-0000ACB20000}"/>
    <cellStyle name="Normal 4 2 7 2 2 2 2 4" xfId="11700" xr:uid="{00000000-0005-0000-0000-0000ADB20000}"/>
    <cellStyle name="Normal 4 2 7 2 2 2 2 4 2" xfId="27211" xr:uid="{00000000-0005-0000-0000-0000AEB20000}"/>
    <cellStyle name="Normal 4 2 7 2 2 2 2 4 2 2" xfId="59082" xr:uid="{00000000-0005-0000-0000-0000AFB20000}"/>
    <cellStyle name="Normal 4 2 7 2 2 2 2 4 3" xfId="43579" xr:uid="{00000000-0005-0000-0000-0000B0B20000}"/>
    <cellStyle name="Normal 4 2 7 2 2 2 2 5" xfId="19333" xr:uid="{00000000-0005-0000-0000-0000B1B20000}"/>
    <cellStyle name="Normal 4 2 7 2 2 2 2 5 2" xfId="51204" xr:uid="{00000000-0005-0000-0000-0000B2B20000}"/>
    <cellStyle name="Normal 4 2 7 2 2 2 2 6" xfId="43572" xr:uid="{00000000-0005-0000-0000-0000B3B20000}"/>
    <cellStyle name="Normal 4 2 7 2 2 2 3" xfId="11701" xr:uid="{00000000-0005-0000-0000-0000B4B20000}"/>
    <cellStyle name="Normal 4 2 7 2 2 2 3 2" xfId="11702" xr:uid="{00000000-0005-0000-0000-0000B5B20000}"/>
    <cellStyle name="Normal 4 2 7 2 2 2 3 2 2" xfId="11703" xr:uid="{00000000-0005-0000-0000-0000B6B20000}"/>
    <cellStyle name="Normal 4 2 7 2 2 2 3 2 2 2" xfId="31152" xr:uid="{00000000-0005-0000-0000-0000B7B20000}"/>
    <cellStyle name="Normal 4 2 7 2 2 2 3 2 2 2 2" xfId="63023" xr:uid="{00000000-0005-0000-0000-0000B8B20000}"/>
    <cellStyle name="Normal 4 2 7 2 2 2 3 2 2 3" xfId="43582" xr:uid="{00000000-0005-0000-0000-0000B9B20000}"/>
    <cellStyle name="Normal 4 2 7 2 2 2 3 2 3" xfId="23274" xr:uid="{00000000-0005-0000-0000-0000BAB20000}"/>
    <cellStyle name="Normal 4 2 7 2 2 2 3 2 3 2" xfId="55145" xr:uid="{00000000-0005-0000-0000-0000BBB20000}"/>
    <cellStyle name="Normal 4 2 7 2 2 2 3 2 4" xfId="43581" xr:uid="{00000000-0005-0000-0000-0000BCB20000}"/>
    <cellStyle name="Normal 4 2 7 2 2 2 3 3" xfId="11704" xr:uid="{00000000-0005-0000-0000-0000BDB20000}"/>
    <cellStyle name="Normal 4 2 7 2 2 2 3 3 2" xfId="27213" xr:uid="{00000000-0005-0000-0000-0000BEB20000}"/>
    <cellStyle name="Normal 4 2 7 2 2 2 3 3 2 2" xfId="59084" xr:uid="{00000000-0005-0000-0000-0000BFB20000}"/>
    <cellStyle name="Normal 4 2 7 2 2 2 3 3 3" xfId="43583" xr:uid="{00000000-0005-0000-0000-0000C0B20000}"/>
    <cellStyle name="Normal 4 2 7 2 2 2 3 4" xfId="19335" xr:uid="{00000000-0005-0000-0000-0000C1B20000}"/>
    <cellStyle name="Normal 4 2 7 2 2 2 3 4 2" xfId="51206" xr:uid="{00000000-0005-0000-0000-0000C2B20000}"/>
    <cellStyle name="Normal 4 2 7 2 2 2 3 5" xfId="43580" xr:uid="{00000000-0005-0000-0000-0000C3B20000}"/>
    <cellStyle name="Normal 4 2 7 2 2 2 4" xfId="11705" xr:uid="{00000000-0005-0000-0000-0000C4B20000}"/>
    <cellStyle name="Normal 4 2 7 2 2 2 4 2" xfId="11706" xr:uid="{00000000-0005-0000-0000-0000C5B20000}"/>
    <cellStyle name="Normal 4 2 7 2 2 2 4 2 2" xfId="31149" xr:uid="{00000000-0005-0000-0000-0000C6B20000}"/>
    <cellStyle name="Normal 4 2 7 2 2 2 4 2 2 2" xfId="63020" xr:uid="{00000000-0005-0000-0000-0000C7B20000}"/>
    <cellStyle name="Normal 4 2 7 2 2 2 4 2 3" xfId="43585" xr:uid="{00000000-0005-0000-0000-0000C8B20000}"/>
    <cellStyle name="Normal 4 2 7 2 2 2 4 3" xfId="23271" xr:uid="{00000000-0005-0000-0000-0000C9B20000}"/>
    <cellStyle name="Normal 4 2 7 2 2 2 4 3 2" xfId="55142" xr:uid="{00000000-0005-0000-0000-0000CAB20000}"/>
    <cellStyle name="Normal 4 2 7 2 2 2 4 4" xfId="43584" xr:uid="{00000000-0005-0000-0000-0000CBB20000}"/>
    <cellStyle name="Normal 4 2 7 2 2 2 5" xfId="11707" xr:uid="{00000000-0005-0000-0000-0000CCB20000}"/>
    <cellStyle name="Normal 4 2 7 2 2 2 5 2" xfId="27210" xr:uid="{00000000-0005-0000-0000-0000CDB20000}"/>
    <cellStyle name="Normal 4 2 7 2 2 2 5 2 2" xfId="59081" xr:uid="{00000000-0005-0000-0000-0000CEB20000}"/>
    <cellStyle name="Normal 4 2 7 2 2 2 5 3" xfId="43586" xr:uid="{00000000-0005-0000-0000-0000CFB20000}"/>
    <cellStyle name="Normal 4 2 7 2 2 2 6" xfId="19332" xr:uid="{00000000-0005-0000-0000-0000D0B20000}"/>
    <cellStyle name="Normal 4 2 7 2 2 2 6 2" xfId="51203" xr:uid="{00000000-0005-0000-0000-0000D1B20000}"/>
    <cellStyle name="Normal 4 2 7 2 2 2 7" xfId="43571" xr:uid="{00000000-0005-0000-0000-0000D2B20000}"/>
    <cellStyle name="Normal 4 2 7 2 2 3" xfId="11708" xr:uid="{00000000-0005-0000-0000-0000D3B20000}"/>
    <cellStyle name="Normal 4 2 7 2 2 3 2" xfId="11709" xr:uid="{00000000-0005-0000-0000-0000D4B20000}"/>
    <cellStyle name="Normal 4 2 7 2 2 3 2 2" xfId="11710" xr:uid="{00000000-0005-0000-0000-0000D5B20000}"/>
    <cellStyle name="Normal 4 2 7 2 2 3 2 2 2" xfId="11711" xr:uid="{00000000-0005-0000-0000-0000D6B20000}"/>
    <cellStyle name="Normal 4 2 7 2 2 3 2 2 2 2" xfId="31154" xr:uid="{00000000-0005-0000-0000-0000D7B20000}"/>
    <cellStyle name="Normal 4 2 7 2 2 3 2 2 2 2 2" xfId="63025" xr:uid="{00000000-0005-0000-0000-0000D8B20000}"/>
    <cellStyle name="Normal 4 2 7 2 2 3 2 2 2 3" xfId="43590" xr:uid="{00000000-0005-0000-0000-0000D9B20000}"/>
    <cellStyle name="Normal 4 2 7 2 2 3 2 2 3" xfId="23276" xr:uid="{00000000-0005-0000-0000-0000DAB20000}"/>
    <cellStyle name="Normal 4 2 7 2 2 3 2 2 3 2" xfId="55147" xr:uid="{00000000-0005-0000-0000-0000DBB20000}"/>
    <cellStyle name="Normal 4 2 7 2 2 3 2 2 4" xfId="43589" xr:uid="{00000000-0005-0000-0000-0000DCB20000}"/>
    <cellStyle name="Normal 4 2 7 2 2 3 2 3" xfId="11712" xr:uid="{00000000-0005-0000-0000-0000DDB20000}"/>
    <cellStyle name="Normal 4 2 7 2 2 3 2 3 2" xfId="27215" xr:uid="{00000000-0005-0000-0000-0000DEB20000}"/>
    <cellStyle name="Normal 4 2 7 2 2 3 2 3 2 2" xfId="59086" xr:uid="{00000000-0005-0000-0000-0000DFB20000}"/>
    <cellStyle name="Normal 4 2 7 2 2 3 2 3 3" xfId="43591" xr:uid="{00000000-0005-0000-0000-0000E0B20000}"/>
    <cellStyle name="Normal 4 2 7 2 2 3 2 4" xfId="19337" xr:uid="{00000000-0005-0000-0000-0000E1B20000}"/>
    <cellStyle name="Normal 4 2 7 2 2 3 2 4 2" xfId="51208" xr:uid="{00000000-0005-0000-0000-0000E2B20000}"/>
    <cellStyle name="Normal 4 2 7 2 2 3 2 5" xfId="43588" xr:uid="{00000000-0005-0000-0000-0000E3B20000}"/>
    <cellStyle name="Normal 4 2 7 2 2 3 3" xfId="11713" xr:uid="{00000000-0005-0000-0000-0000E4B20000}"/>
    <cellStyle name="Normal 4 2 7 2 2 3 3 2" xfId="11714" xr:uid="{00000000-0005-0000-0000-0000E5B20000}"/>
    <cellStyle name="Normal 4 2 7 2 2 3 3 2 2" xfId="31153" xr:uid="{00000000-0005-0000-0000-0000E6B20000}"/>
    <cellStyle name="Normal 4 2 7 2 2 3 3 2 2 2" xfId="63024" xr:uid="{00000000-0005-0000-0000-0000E7B20000}"/>
    <cellStyle name="Normal 4 2 7 2 2 3 3 2 3" xfId="43593" xr:uid="{00000000-0005-0000-0000-0000E8B20000}"/>
    <cellStyle name="Normal 4 2 7 2 2 3 3 3" xfId="23275" xr:uid="{00000000-0005-0000-0000-0000E9B20000}"/>
    <cellStyle name="Normal 4 2 7 2 2 3 3 3 2" xfId="55146" xr:uid="{00000000-0005-0000-0000-0000EAB20000}"/>
    <cellStyle name="Normal 4 2 7 2 2 3 3 4" xfId="43592" xr:uid="{00000000-0005-0000-0000-0000EBB20000}"/>
    <cellStyle name="Normal 4 2 7 2 2 3 4" xfId="11715" xr:uid="{00000000-0005-0000-0000-0000ECB20000}"/>
    <cellStyle name="Normal 4 2 7 2 2 3 4 2" xfId="27214" xr:uid="{00000000-0005-0000-0000-0000EDB20000}"/>
    <cellStyle name="Normal 4 2 7 2 2 3 4 2 2" xfId="59085" xr:uid="{00000000-0005-0000-0000-0000EEB20000}"/>
    <cellStyle name="Normal 4 2 7 2 2 3 4 3" xfId="43594" xr:uid="{00000000-0005-0000-0000-0000EFB20000}"/>
    <cellStyle name="Normal 4 2 7 2 2 3 5" xfId="19336" xr:uid="{00000000-0005-0000-0000-0000F0B20000}"/>
    <cellStyle name="Normal 4 2 7 2 2 3 5 2" xfId="51207" xr:uid="{00000000-0005-0000-0000-0000F1B20000}"/>
    <cellStyle name="Normal 4 2 7 2 2 3 6" xfId="43587" xr:uid="{00000000-0005-0000-0000-0000F2B20000}"/>
    <cellStyle name="Normal 4 2 7 2 2 4" xfId="11716" xr:uid="{00000000-0005-0000-0000-0000F3B20000}"/>
    <cellStyle name="Normal 4 2 7 2 2 4 2" xfId="11717" xr:uid="{00000000-0005-0000-0000-0000F4B20000}"/>
    <cellStyle name="Normal 4 2 7 2 2 4 2 2" xfId="11718" xr:uid="{00000000-0005-0000-0000-0000F5B20000}"/>
    <cellStyle name="Normal 4 2 7 2 2 4 2 2 2" xfId="31155" xr:uid="{00000000-0005-0000-0000-0000F6B20000}"/>
    <cellStyle name="Normal 4 2 7 2 2 4 2 2 2 2" xfId="63026" xr:uid="{00000000-0005-0000-0000-0000F7B20000}"/>
    <cellStyle name="Normal 4 2 7 2 2 4 2 2 3" xfId="43597" xr:uid="{00000000-0005-0000-0000-0000F8B20000}"/>
    <cellStyle name="Normal 4 2 7 2 2 4 2 3" xfId="23277" xr:uid="{00000000-0005-0000-0000-0000F9B20000}"/>
    <cellStyle name="Normal 4 2 7 2 2 4 2 3 2" xfId="55148" xr:uid="{00000000-0005-0000-0000-0000FAB20000}"/>
    <cellStyle name="Normal 4 2 7 2 2 4 2 4" xfId="43596" xr:uid="{00000000-0005-0000-0000-0000FBB20000}"/>
    <cellStyle name="Normal 4 2 7 2 2 4 3" xfId="11719" xr:uid="{00000000-0005-0000-0000-0000FCB20000}"/>
    <cellStyle name="Normal 4 2 7 2 2 4 3 2" xfId="27216" xr:uid="{00000000-0005-0000-0000-0000FDB20000}"/>
    <cellStyle name="Normal 4 2 7 2 2 4 3 2 2" xfId="59087" xr:uid="{00000000-0005-0000-0000-0000FEB20000}"/>
    <cellStyle name="Normal 4 2 7 2 2 4 3 3" xfId="43598" xr:uid="{00000000-0005-0000-0000-0000FFB20000}"/>
    <cellStyle name="Normal 4 2 7 2 2 4 4" xfId="19338" xr:uid="{00000000-0005-0000-0000-000000B30000}"/>
    <cellStyle name="Normal 4 2 7 2 2 4 4 2" xfId="51209" xr:uid="{00000000-0005-0000-0000-000001B30000}"/>
    <cellStyle name="Normal 4 2 7 2 2 4 5" xfId="43595" xr:uid="{00000000-0005-0000-0000-000002B30000}"/>
    <cellStyle name="Normal 4 2 7 2 2 5" xfId="11720" xr:uid="{00000000-0005-0000-0000-000003B30000}"/>
    <cellStyle name="Normal 4 2 7 2 2 5 2" xfId="11721" xr:uid="{00000000-0005-0000-0000-000004B30000}"/>
    <cellStyle name="Normal 4 2 7 2 2 5 2 2" xfId="31148" xr:uid="{00000000-0005-0000-0000-000005B30000}"/>
    <cellStyle name="Normal 4 2 7 2 2 5 2 2 2" xfId="63019" xr:uid="{00000000-0005-0000-0000-000006B30000}"/>
    <cellStyle name="Normal 4 2 7 2 2 5 2 3" xfId="43600" xr:uid="{00000000-0005-0000-0000-000007B30000}"/>
    <cellStyle name="Normal 4 2 7 2 2 5 3" xfId="23270" xr:uid="{00000000-0005-0000-0000-000008B30000}"/>
    <cellStyle name="Normal 4 2 7 2 2 5 3 2" xfId="55141" xr:uid="{00000000-0005-0000-0000-000009B30000}"/>
    <cellStyle name="Normal 4 2 7 2 2 5 4" xfId="43599" xr:uid="{00000000-0005-0000-0000-00000AB30000}"/>
    <cellStyle name="Normal 4 2 7 2 2 6" xfId="11722" xr:uid="{00000000-0005-0000-0000-00000BB30000}"/>
    <cellStyle name="Normal 4 2 7 2 2 6 2" xfId="27209" xr:uid="{00000000-0005-0000-0000-00000CB30000}"/>
    <cellStyle name="Normal 4 2 7 2 2 6 2 2" xfId="59080" xr:uid="{00000000-0005-0000-0000-00000DB30000}"/>
    <cellStyle name="Normal 4 2 7 2 2 6 3" xfId="43601" xr:uid="{00000000-0005-0000-0000-00000EB30000}"/>
    <cellStyle name="Normal 4 2 7 2 2 7" xfId="19331" xr:uid="{00000000-0005-0000-0000-00000FB30000}"/>
    <cellStyle name="Normal 4 2 7 2 2 7 2" xfId="51202" xr:uid="{00000000-0005-0000-0000-000010B30000}"/>
    <cellStyle name="Normal 4 2 7 2 2 8" xfId="43570" xr:uid="{00000000-0005-0000-0000-000011B30000}"/>
    <cellStyle name="Normal 4 2 7 2 3" xfId="11723" xr:uid="{00000000-0005-0000-0000-000012B30000}"/>
    <cellStyle name="Normal 4 2 7 2 3 2" xfId="11724" xr:uid="{00000000-0005-0000-0000-000013B30000}"/>
    <cellStyle name="Normal 4 2 7 2 3 2 2" xfId="11725" xr:uid="{00000000-0005-0000-0000-000014B30000}"/>
    <cellStyle name="Normal 4 2 7 2 3 2 2 2" xfId="11726" xr:uid="{00000000-0005-0000-0000-000015B30000}"/>
    <cellStyle name="Normal 4 2 7 2 3 2 2 2 2" xfId="11727" xr:uid="{00000000-0005-0000-0000-000016B30000}"/>
    <cellStyle name="Normal 4 2 7 2 3 2 2 2 2 2" xfId="31158" xr:uid="{00000000-0005-0000-0000-000017B30000}"/>
    <cellStyle name="Normal 4 2 7 2 3 2 2 2 2 2 2" xfId="63029" xr:uid="{00000000-0005-0000-0000-000018B30000}"/>
    <cellStyle name="Normal 4 2 7 2 3 2 2 2 2 3" xfId="43606" xr:uid="{00000000-0005-0000-0000-000019B30000}"/>
    <cellStyle name="Normal 4 2 7 2 3 2 2 2 3" xfId="23280" xr:uid="{00000000-0005-0000-0000-00001AB30000}"/>
    <cellStyle name="Normal 4 2 7 2 3 2 2 2 3 2" xfId="55151" xr:uid="{00000000-0005-0000-0000-00001BB30000}"/>
    <cellStyle name="Normal 4 2 7 2 3 2 2 2 4" xfId="43605" xr:uid="{00000000-0005-0000-0000-00001CB30000}"/>
    <cellStyle name="Normal 4 2 7 2 3 2 2 3" xfId="11728" xr:uid="{00000000-0005-0000-0000-00001DB30000}"/>
    <cellStyle name="Normal 4 2 7 2 3 2 2 3 2" xfId="27219" xr:uid="{00000000-0005-0000-0000-00001EB30000}"/>
    <cellStyle name="Normal 4 2 7 2 3 2 2 3 2 2" xfId="59090" xr:uid="{00000000-0005-0000-0000-00001FB30000}"/>
    <cellStyle name="Normal 4 2 7 2 3 2 2 3 3" xfId="43607" xr:uid="{00000000-0005-0000-0000-000020B30000}"/>
    <cellStyle name="Normal 4 2 7 2 3 2 2 4" xfId="19341" xr:uid="{00000000-0005-0000-0000-000021B30000}"/>
    <cellStyle name="Normal 4 2 7 2 3 2 2 4 2" xfId="51212" xr:uid="{00000000-0005-0000-0000-000022B30000}"/>
    <cellStyle name="Normal 4 2 7 2 3 2 2 5" xfId="43604" xr:uid="{00000000-0005-0000-0000-000023B30000}"/>
    <cellStyle name="Normal 4 2 7 2 3 2 3" xfId="11729" xr:uid="{00000000-0005-0000-0000-000024B30000}"/>
    <cellStyle name="Normal 4 2 7 2 3 2 3 2" xfId="11730" xr:uid="{00000000-0005-0000-0000-000025B30000}"/>
    <cellStyle name="Normal 4 2 7 2 3 2 3 2 2" xfId="31157" xr:uid="{00000000-0005-0000-0000-000026B30000}"/>
    <cellStyle name="Normal 4 2 7 2 3 2 3 2 2 2" xfId="63028" xr:uid="{00000000-0005-0000-0000-000027B30000}"/>
    <cellStyle name="Normal 4 2 7 2 3 2 3 2 3" xfId="43609" xr:uid="{00000000-0005-0000-0000-000028B30000}"/>
    <cellStyle name="Normal 4 2 7 2 3 2 3 3" xfId="23279" xr:uid="{00000000-0005-0000-0000-000029B30000}"/>
    <cellStyle name="Normal 4 2 7 2 3 2 3 3 2" xfId="55150" xr:uid="{00000000-0005-0000-0000-00002AB30000}"/>
    <cellStyle name="Normal 4 2 7 2 3 2 3 4" xfId="43608" xr:uid="{00000000-0005-0000-0000-00002BB30000}"/>
    <cellStyle name="Normal 4 2 7 2 3 2 4" xfId="11731" xr:uid="{00000000-0005-0000-0000-00002CB30000}"/>
    <cellStyle name="Normal 4 2 7 2 3 2 4 2" xfId="27218" xr:uid="{00000000-0005-0000-0000-00002DB30000}"/>
    <cellStyle name="Normal 4 2 7 2 3 2 4 2 2" xfId="59089" xr:uid="{00000000-0005-0000-0000-00002EB30000}"/>
    <cellStyle name="Normal 4 2 7 2 3 2 4 3" xfId="43610" xr:uid="{00000000-0005-0000-0000-00002FB30000}"/>
    <cellStyle name="Normal 4 2 7 2 3 2 5" xfId="19340" xr:uid="{00000000-0005-0000-0000-000030B30000}"/>
    <cellStyle name="Normal 4 2 7 2 3 2 5 2" xfId="51211" xr:uid="{00000000-0005-0000-0000-000031B30000}"/>
    <cellStyle name="Normal 4 2 7 2 3 2 6" xfId="43603" xr:uid="{00000000-0005-0000-0000-000032B30000}"/>
    <cellStyle name="Normal 4 2 7 2 3 3" xfId="11732" xr:uid="{00000000-0005-0000-0000-000033B30000}"/>
    <cellStyle name="Normal 4 2 7 2 3 3 2" xfId="11733" xr:uid="{00000000-0005-0000-0000-000034B30000}"/>
    <cellStyle name="Normal 4 2 7 2 3 3 2 2" xfId="11734" xr:uid="{00000000-0005-0000-0000-000035B30000}"/>
    <cellStyle name="Normal 4 2 7 2 3 3 2 2 2" xfId="31159" xr:uid="{00000000-0005-0000-0000-000036B30000}"/>
    <cellStyle name="Normal 4 2 7 2 3 3 2 2 2 2" xfId="63030" xr:uid="{00000000-0005-0000-0000-000037B30000}"/>
    <cellStyle name="Normal 4 2 7 2 3 3 2 2 3" xfId="43613" xr:uid="{00000000-0005-0000-0000-000038B30000}"/>
    <cellStyle name="Normal 4 2 7 2 3 3 2 3" xfId="23281" xr:uid="{00000000-0005-0000-0000-000039B30000}"/>
    <cellStyle name="Normal 4 2 7 2 3 3 2 3 2" xfId="55152" xr:uid="{00000000-0005-0000-0000-00003AB30000}"/>
    <cellStyle name="Normal 4 2 7 2 3 3 2 4" xfId="43612" xr:uid="{00000000-0005-0000-0000-00003BB30000}"/>
    <cellStyle name="Normal 4 2 7 2 3 3 3" xfId="11735" xr:uid="{00000000-0005-0000-0000-00003CB30000}"/>
    <cellStyle name="Normal 4 2 7 2 3 3 3 2" xfId="27220" xr:uid="{00000000-0005-0000-0000-00003DB30000}"/>
    <cellStyle name="Normal 4 2 7 2 3 3 3 2 2" xfId="59091" xr:uid="{00000000-0005-0000-0000-00003EB30000}"/>
    <cellStyle name="Normal 4 2 7 2 3 3 3 3" xfId="43614" xr:uid="{00000000-0005-0000-0000-00003FB30000}"/>
    <cellStyle name="Normal 4 2 7 2 3 3 4" xfId="19342" xr:uid="{00000000-0005-0000-0000-000040B30000}"/>
    <cellStyle name="Normal 4 2 7 2 3 3 4 2" xfId="51213" xr:uid="{00000000-0005-0000-0000-000041B30000}"/>
    <cellStyle name="Normal 4 2 7 2 3 3 5" xfId="43611" xr:uid="{00000000-0005-0000-0000-000042B30000}"/>
    <cellStyle name="Normal 4 2 7 2 3 4" xfId="11736" xr:uid="{00000000-0005-0000-0000-000043B30000}"/>
    <cellStyle name="Normal 4 2 7 2 3 4 2" xfId="11737" xr:uid="{00000000-0005-0000-0000-000044B30000}"/>
    <cellStyle name="Normal 4 2 7 2 3 4 2 2" xfId="31156" xr:uid="{00000000-0005-0000-0000-000045B30000}"/>
    <cellStyle name="Normal 4 2 7 2 3 4 2 2 2" xfId="63027" xr:uid="{00000000-0005-0000-0000-000046B30000}"/>
    <cellStyle name="Normal 4 2 7 2 3 4 2 3" xfId="43616" xr:uid="{00000000-0005-0000-0000-000047B30000}"/>
    <cellStyle name="Normal 4 2 7 2 3 4 3" xfId="23278" xr:uid="{00000000-0005-0000-0000-000048B30000}"/>
    <cellStyle name="Normal 4 2 7 2 3 4 3 2" xfId="55149" xr:uid="{00000000-0005-0000-0000-000049B30000}"/>
    <cellStyle name="Normal 4 2 7 2 3 4 4" xfId="43615" xr:uid="{00000000-0005-0000-0000-00004AB30000}"/>
    <cellStyle name="Normal 4 2 7 2 3 5" xfId="11738" xr:uid="{00000000-0005-0000-0000-00004BB30000}"/>
    <cellStyle name="Normal 4 2 7 2 3 5 2" xfId="27217" xr:uid="{00000000-0005-0000-0000-00004CB30000}"/>
    <cellStyle name="Normal 4 2 7 2 3 5 2 2" xfId="59088" xr:uid="{00000000-0005-0000-0000-00004DB30000}"/>
    <cellStyle name="Normal 4 2 7 2 3 5 3" xfId="43617" xr:uid="{00000000-0005-0000-0000-00004EB30000}"/>
    <cellStyle name="Normal 4 2 7 2 3 6" xfId="19339" xr:uid="{00000000-0005-0000-0000-00004FB30000}"/>
    <cellStyle name="Normal 4 2 7 2 3 6 2" xfId="51210" xr:uid="{00000000-0005-0000-0000-000050B30000}"/>
    <cellStyle name="Normal 4 2 7 2 3 7" xfId="43602" xr:uid="{00000000-0005-0000-0000-000051B30000}"/>
    <cellStyle name="Normal 4 2 7 2 4" xfId="11739" xr:uid="{00000000-0005-0000-0000-000052B30000}"/>
    <cellStyle name="Normal 4 2 7 2 4 2" xfId="11740" xr:uid="{00000000-0005-0000-0000-000053B30000}"/>
    <cellStyle name="Normal 4 2 7 2 4 2 2" xfId="11741" xr:uid="{00000000-0005-0000-0000-000054B30000}"/>
    <cellStyle name="Normal 4 2 7 2 4 2 2 2" xfId="11742" xr:uid="{00000000-0005-0000-0000-000055B30000}"/>
    <cellStyle name="Normal 4 2 7 2 4 2 2 2 2" xfId="31161" xr:uid="{00000000-0005-0000-0000-000056B30000}"/>
    <cellStyle name="Normal 4 2 7 2 4 2 2 2 2 2" xfId="63032" xr:uid="{00000000-0005-0000-0000-000057B30000}"/>
    <cellStyle name="Normal 4 2 7 2 4 2 2 2 3" xfId="43621" xr:uid="{00000000-0005-0000-0000-000058B30000}"/>
    <cellStyle name="Normal 4 2 7 2 4 2 2 3" xfId="23283" xr:uid="{00000000-0005-0000-0000-000059B30000}"/>
    <cellStyle name="Normal 4 2 7 2 4 2 2 3 2" xfId="55154" xr:uid="{00000000-0005-0000-0000-00005AB30000}"/>
    <cellStyle name="Normal 4 2 7 2 4 2 2 4" xfId="43620" xr:uid="{00000000-0005-0000-0000-00005BB30000}"/>
    <cellStyle name="Normal 4 2 7 2 4 2 3" xfId="11743" xr:uid="{00000000-0005-0000-0000-00005CB30000}"/>
    <cellStyle name="Normal 4 2 7 2 4 2 3 2" xfId="27222" xr:uid="{00000000-0005-0000-0000-00005DB30000}"/>
    <cellStyle name="Normal 4 2 7 2 4 2 3 2 2" xfId="59093" xr:uid="{00000000-0005-0000-0000-00005EB30000}"/>
    <cellStyle name="Normal 4 2 7 2 4 2 3 3" xfId="43622" xr:uid="{00000000-0005-0000-0000-00005FB30000}"/>
    <cellStyle name="Normal 4 2 7 2 4 2 4" xfId="19344" xr:uid="{00000000-0005-0000-0000-000060B30000}"/>
    <cellStyle name="Normal 4 2 7 2 4 2 4 2" xfId="51215" xr:uid="{00000000-0005-0000-0000-000061B30000}"/>
    <cellStyle name="Normal 4 2 7 2 4 2 5" xfId="43619" xr:uid="{00000000-0005-0000-0000-000062B30000}"/>
    <cellStyle name="Normal 4 2 7 2 4 3" xfId="11744" xr:uid="{00000000-0005-0000-0000-000063B30000}"/>
    <cellStyle name="Normal 4 2 7 2 4 3 2" xfId="11745" xr:uid="{00000000-0005-0000-0000-000064B30000}"/>
    <cellStyle name="Normal 4 2 7 2 4 3 2 2" xfId="31160" xr:uid="{00000000-0005-0000-0000-000065B30000}"/>
    <cellStyle name="Normal 4 2 7 2 4 3 2 2 2" xfId="63031" xr:uid="{00000000-0005-0000-0000-000066B30000}"/>
    <cellStyle name="Normal 4 2 7 2 4 3 2 3" xfId="43624" xr:uid="{00000000-0005-0000-0000-000067B30000}"/>
    <cellStyle name="Normal 4 2 7 2 4 3 3" xfId="23282" xr:uid="{00000000-0005-0000-0000-000068B30000}"/>
    <cellStyle name="Normal 4 2 7 2 4 3 3 2" xfId="55153" xr:uid="{00000000-0005-0000-0000-000069B30000}"/>
    <cellStyle name="Normal 4 2 7 2 4 3 4" xfId="43623" xr:uid="{00000000-0005-0000-0000-00006AB30000}"/>
    <cellStyle name="Normal 4 2 7 2 4 4" xfId="11746" xr:uid="{00000000-0005-0000-0000-00006BB30000}"/>
    <cellStyle name="Normal 4 2 7 2 4 4 2" xfId="27221" xr:uid="{00000000-0005-0000-0000-00006CB30000}"/>
    <cellStyle name="Normal 4 2 7 2 4 4 2 2" xfId="59092" xr:uid="{00000000-0005-0000-0000-00006DB30000}"/>
    <cellStyle name="Normal 4 2 7 2 4 4 3" xfId="43625" xr:uid="{00000000-0005-0000-0000-00006EB30000}"/>
    <cellStyle name="Normal 4 2 7 2 4 5" xfId="19343" xr:uid="{00000000-0005-0000-0000-00006FB30000}"/>
    <cellStyle name="Normal 4 2 7 2 4 5 2" xfId="51214" xr:uid="{00000000-0005-0000-0000-000070B30000}"/>
    <cellStyle name="Normal 4 2 7 2 4 6" xfId="43618" xr:uid="{00000000-0005-0000-0000-000071B30000}"/>
    <cellStyle name="Normal 4 2 7 2 5" xfId="11747" xr:uid="{00000000-0005-0000-0000-000072B30000}"/>
    <cellStyle name="Normal 4 2 7 2 5 2" xfId="11748" xr:uid="{00000000-0005-0000-0000-000073B30000}"/>
    <cellStyle name="Normal 4 2 7 2 5 2 2" xfId="11749" xr:uid="{00000000-0005-0000-0000-000074B30000}"/>
    <cellStyle name="Normal 4 2 7 2 5 2 2 2" xfId="31162" xr:uid="{00000000-0005-0000-0000-000075B30000}"/>
    <cellStyle name="Normal 4 2 7 2 5 2 2 2 2" xfId="63033" xr:uid="{00000000-0005-0000-0000-000076B30000}"/>
    <cellStyle name="Normal 4 2 7 2 5 2 2 3" xfId="43628" xr:uid="{00000000-0005-0000-0000-000077B30000}"/>
    <cellStyle name="Normal 4 2 7 2 5 2 3" xfId="23284" xr:uid="{00000000-0005-0000-0000-000078B30000}"/>
    <cellStyle name="Normal 4 2 7 2 5 2 3 2" xfId="55155" xr:uid="{00000000-0005-0000-0000-000079B30000}"/>
    <cellStyle name="Normal 4 2 7 2 5 2 4" xfId="43627" xr:uid="{00000000-0005-0000-0000-00007AB30000}"/>
    <cellStyle name="Normal 4 2 7 2 5 3" xfId="11750" xr:uid="{00000000-0005-0000-0000-00007BB30000}"/>
    <cellStyle name="Normal 4 2 7 2 5 3 2" xfId="27223" xr:uid="{00000000-0005-0000-0000-00007CB30000}"/>
    <cellStyle name="Normal 4 2 7 2 5 3 2 2" xfId="59094" xr:uid="{00000000-0005-0000-0000-00007DB30000}"/>
    <cellStyle name="Normal 4 2 7 2 5 3 3" xfId="43629" xr:uid="{00000000-0005-0000-0000-00007EB30000}"/>
    <cellStyle name="Normal 4 2 7 2 5 4" xfId="19345" xr:uid="{00000000-0005-0000-0000-00007FB30000}"/>
    <cellStyle name="Normal 4 2 7 2 5 4 2" xfId="51216" xr:uid="{00000000-0005-0000-0000-000080B30000}"/>
    <cellStyle name="Normal 4 2 7 2 5 5" xfId="43626" xr:uid="{00000000-0005-0000-0000-000081B30000}"/>
    <cellStyle name="Normal 4 2 7 2 6" xfId="11751" xr:uid="{00000000-0005-0000-0000-000082B30000}"/>
    <cellStyle name="Normal 4 2 7 2 6 2" xfId="11752" xr:uid="{00000000-0005-0000-0000-000083B30000}"/>
    <cellStyle name="Normal 4 2 7 2 6 2 2" xfId="28466" xr:uid="{00000000-0005-0000-0000-000084B30000}"/>
    <cellStyle name="Normal 4 2 7 2 6 2 2 2" xfId="60337" xr:uid="{00000000-0005-0000-0000-000085B30000}"/>
    <cellStyle name="Normal 4 2 7 2 6 2 3" xfId="43631" xr:uid="{00000000-0005-0000-0000-000086B30000}"/>
    <cellStyle name="Normal 4 2 7 2 6 3" xfId="20588" xr:uid="{00000000-0005-0000-0000-000087B30000}"/>
    <cellStyle name="Normal 4 2 7 2 6 3 2" xfId="52459" xr:uid="{00000000-0005-0000-0000-000088B30000}"/>
    <cellStyle name="Normal 4 2 7 2 6 4" xfId="43630" xr:uid="{00000000-0005-0000-0000-000089B30000}"/>
    <cellStyle name="Normal 4 2 7 2 7" xfId="11753" xr:uid="{00000000-0005-0000-0000-00008AB30000}"/>
    <cellStyle name="Normal 4 2 7 2 7 2" xfId="24527" xr:uid="{00000000-0005-0000-0000-00008BB30000}"/>
    <cellStyle name="Normal 4 2 7 2 7 2 2" xfId="56398" xr:uid="{00000000-0005-0000-0000-00008CB30000}"/>
    <cellStyle name="Normal 4 2 7 2 7 3" xfId="43632" xr:uid="{00000000-0005-0000-0000-00008DB30000}"/>
    <cellStyle name="Normal 4 2 7 2 8" xfId="16649" xr:uid="{00000000-0005-0000-0000-00008EB30000}"/>
    <cellStyle name="Normal 4 2 7 2 8 2" xfId="48520" xr:uid="{00000000-0005-0000-0000-00008FB30000}"/>
    <cellStyle name="Normal 4 2 7 2 9" xfId="43569" xr:uid="{00000000-0005-0000-0000-000090B30000}"/>
    <cellStyle name="Normal 4 2 7 3" xfId="11754" xr:uid="{00000000-0005-0000-0000-000091B30000}"/>
    <cellStyle name="Normal 4 2 7 3 2" xfId="11755" xr:uid="{00000000-0005-0000-0000-000092B30000}"/>
    <cellStyle name="Normal 4 2 7 3 2 2" xfId="11756" xr:uid="{00000000-0005-0000-0000-000093B30000}"/>
    <cellStyle name="Normal 4 2 7 3 2 2 2" xfId="11757" xr:uid="{00000000-0005-0000-0000-000094B30000}"/>
    <cellStyle name="Normal 4 2 7 3 2 2 2 2" xfId="11758" xr:uid="{00000000-0005-0000-0000-000095B30000}"/>
    <cellStyle name="Normal 4 2 7 3 2 2 2 2 2" xfId="11759" xr:uid="{00000000-0005-0000-0000-000096B30000}"/>
    <cellStyle name="Normal 4 2 7 3 2 2 2 2 2 2" xfId="31166" xr:uid="{00000000-0005-0000-0000-000097B30000}"/>
    <cellStyle name="Normal 4 2 7 3 2 2 2 2 2 2 2" xfId="63037" xr:uid="{00000000-0005-0000-0000-000098B30000}"/>
    <cellStyle name="Normal 4 2 7 3 2 2 2 2 2 3" xfId="43638" xr:uid="{00000000-0005-0000-0000-000099B30000}"/>
    <cellStyle name="Normal 4 2 7 3 2 2 2 2 3" xfId="23288" xr:uid="{00000000-0005-0000-0000-00009AB30000}"/>
    <cellStyle name="Normal 4 2 7 3 2 2 2 2 3 2" xfId="55159" xr:uid="{00000000-0005-0000-0000-00009BB30000}"/>
    <cellStyle name="Normal 4 2 7 3 2 2 2 2 4" xfId="43637" xr:uid="{00000000-0005-0000-0000-00009CB30000}"/>
    <cellStyle name="Normal 4 2 7 3 2 2 2 3" xfId="11760" xr:uid="{00000000-0005-0000-0000-00009DB30000}"/>
    <cellStyle name="Normal 4 2 7 3 2 2 2 3 2" xfId="27227" xr:uid="{00000000-0005-0000-0000-00009EB30000}"/>
    <cellStyle name="Normal 4 2 7 3 2 2 2 3 2 2" xfId="59098" xr:uid="{00000000-0005-0000-0000-00009FB30000}"/>
    <cellStyle name="Normal 4 2 7 3 2 2 2 3 3" xfId="43639" xr:uid="{00000000-0005-0000-0000-0000A0B30000}"/>
    <cellStyle name="Normal 4 2 7 3 2 2 2 4" xfId="19349" xr:uid="{00000000-0005-0000-0000-0000A1B30000}"/>
    <cellStyle name="Normal 4 2 7 3 2 2 2 4 2" xfId="51220" xr:uid="{00000000-0005-0000-0000-0000A2B30000}"/>
    <cellStyle name="Normal 4 2 7 3 2 2 2 5" xfId="43636" xr:uid="{00000000-0005-0000-0000-0000A3B30000}"/>
    <cellStyle name="Normal 4 2 7 3 2 2 3" xfId="11761" xr:uid="{00000000-0005-0000-0000-0000A4B30000}"/>
    <cellStyle name="Normal 4 2 7 3 2 2 3 2" xfId="11762" xr:uid="{00000000-0005-0000-0000-0000A5B30000}"/>
    <cellStyle name="Normal 4 2 7 3 2 2 3 2 2" xfId="31165" xr:uid="{00000000-0005-0000-0000-0000A6B30000}"/>
    <cellStyle name="Normal 4 2 7 3 2 2 3 2 2 2" xfId="63036" xr:uid="{00000000-0005-0000-0000-0000A7B30000}"/>
    <cellStyle name="Normal 4 2 7 3 2 2 3 2 3" xfId="43641" xr:uid="{00000000-0005-0000-0000-0000A8B30000}"/>
    <cellStyle name="Normal 4 2 7 3 2 2 3 3" xfId="23287" xr:uid="{00000000-0005-0000-0000-0000A9B30000}"/>
    <cellStyle name="Normal 4 2 7 3 2 2 3 3 2" xfId="55158" xr:uid="{00000000-0005-0000-0000-0000AAB30000}"/>
    <cellStyle name="Normal 4 2 7 3 2 2 3 4" xfId="43640" xr:uid="{00000000-0005-0000-0000-0000ABB30000}"/>
    <cellStyle name="Normal 4 2 7 3 2 2 4" xfId="11763" xr:uid="{00000000-0005-0000-0000-0000ACB30000}"/>
    <cellStyle name="Normal 4 2 7 3 2 2 4 2" xfId="27226" xr:uid="{00000000-0005-0000-0000-0000ADB30000}"/>
    <cellStyle name="Normal 4 2 7 3 2 2 4 2 2" xfId="59097" xr:uid="{00000000-0005-0000-0000-0000AEB30000}"/>
    <cellStyle name="Normal 4 2 7 3 2 2 4 3" xfId="43642" xr:uid="{00000000-0005-0000-0000-0000AFB30000}"/>
    <cellStyle name="Normal 4 2 7 3 2 2 5" xfId="19348" xr:uid="{00000000-0005-0000-0000-0000B0B30000}"/>
    <cellStyle name="Normal 4 2 7 3 2 2 5 2" xfId="51219" xr:uid="{00000000-0005-0000-0000-0000B1B30000}"/>
    <cellStyle name="Normal 4 2 7 3 2 2 6" xfId="43635" xr:uid="{00000000-0005-0000-0000-0000B2B30000}"/>
    <cellStyle name="Normal 4 2 7 3 2 3" xfId="11764" xr:uid="{00000000-0005-0000-0000-0000B3B30000}"/>
    <cellStyle name="Normal 4 2 7 3 2 3 2" xfId="11765" xr:uid="{00000000-0005-0000-0000-0000B4B30000}"/>
    <cellStyle name="Normal 4 2 7 3 2 3 2 2" xfId="11766" xr:uid="{00000000-0005-0000-0000-0000B5B30000}"/>
    <cellStyle name="Normal 4 2 7 3 2 3 2 2 2" xfId="31167" xr:uid="{00000000-0005-0000-0000-0000B6B30000}"/>
    <cellStyle name="Normal 4 2 7 3 2 3 2 2 2 2" xfId="63038" xr:uid="{00000000-0005-0000-0000-0000B7B30000}"/>
    <cellStyle name="Normal 4 2 7 3 2 3 2 2 3" xfId="43645" xr:uid="{00000000-0005-0000-0000-0000B8B30000}"/>
    <cellStyle name="Normal 4 2 7 3 2 3 2 3" xfId="23289" xr:uid="{00000000-0005-0000-0000-0000B9B30000}"/>
    <cellStyle name="Normal 4 2 7 3 2 3 2 3 2" xfId="55160" xr:uid="{00000000-0005-0000-0000-0000BAB30000}"/>
    <cellStyle name="Normal 4 2 7 3 2 3 2 4" xfId="43644" xr:uid="{00000000-0005-0000-0000-0000BBB30000}"/>
    <cellStyle name="Normal 4 2 7 3 2 3 3" xfId="11767" xr:uid="{00000000-0005-0000-0000-0000BCB30000}"/>
    <cellStyle name="Normal 4 2 7 3 2 3 3 2" xfId="27228" xr:uid="{00000000-0005-0000-0000-0000BDB30000}"/>
    <cellStyle name="Normal 4 2 7 3 2 3 3 2 2" xfId="59099" xr:uid="{00000000-0005-0000-0000-0000BEB30000}"/>
    <cellStyle name="Normal 4 2 7 3 2 3 3 3" xfId="43646" xr:uid="{00000000-0005-0000-0000-0000BFB30000}"/>
    <cellStyle name="Normal 4 2 7 3 2 3 4" xfId="19350" xr:uid="{00000000-0005-0000-0000-0000C0B30000}"/>
    <cellStyle name="Normal 4 2 7 3 2 3 4 2" xfId="51221" xr:uid="{00000000-0005-0000-0000-0000C1B30000}"/>
    <cellStyle name="Normal 4 2 7 3 2 3 5" xfId="43643" xr:uid="{00000000-0005-0000-0000-0000C2B30000}"/>
    <cellStyle name="Normal 4 2 7 3 2 4" xfId="11768" xr:uid="{00000000-0005-0000-0000-0000C3B30000}"/>
    <cellStyle name="Normal 4 2 7 3 2 4 2" xfId="11769" xr:uid="{00000000-0005-0000-0000-0000C4B30000}"/>
    <cellStyle name="Normal 4 2 7 3 2 4 2 2" xfId="31164" xr:uid="{00000000-0005-0000-0000-0000C5B30000}"/>
    <cellStyle name="Normal 4 2 7 3 2 4 2 2 2" xfId="63035" xr:uid="{00000000-0005-0000-0000-0000C6B30000}"/>
    <cellStyle name="Normal 4 2 7 3 2 4 2 3" xfId="43648" xr:uid="{00000000-0005-0000-0000-0000C7B30000}"/>
    <cellStyle name="Normal 4 2 7 3 2 4 3" xfId="23286" xr:uid="{00000000-0005-0000-0000-0000C8B30000}"/>
    <cellStyle name="Normal 4 2 7 3 2 4 3 2" xfId="55157" xr:uid="{00000000-0005-0000-0000-0000C9B30000}"/>
    <cellStyle name="Normal 4 2 7 3 2 4 4" xfId="43647" xr:uid="{00000000-0005-0000-0000-0000CAB30000}"/>
    <cellStyle name="Normal 4 2 7 3 2 5" xfId="11770" xr:uid="{00000000-0005-0000-0000-0000CBB30000}"/>
    <cellStyle name="Normal 4 2 7 3 2 5 2" xfId="27225" xr:uid="{00000000-0005-0000-0000-0000CCB30000}"/>
    <cellStyle name="Normal 4 2 7 3 2 5 2 2" xfId="59096" xr:uid="{00000000-0005-0000-0000-0000CDB30000}"/>
    <cellStyle name="Normal 4 2 7 3 2 5 3" xfId="43649" xr:uid="{00000000-0005-0000-0000-0000CEB30000}"/>
    <cellStyle name="Normal 4 2 7 3 2 6" xfId="19347" xr:uid="{00000000-0005-0000-0000-0000CFB30000}"/>
    <cellStyle name="Normal 4 2 7 3 2 6 2" xfId="51218" xr:uid="{00000000-0005-0000-0000-0000D0B30000}"/>
    <cellStyle name="Normal 4 2 7 3 2 7" xfId="43634" xr:uid="{00000000-0005-0000-0000-0000D1B30000}"/>
    <cellStyle name="Normal 4 2 7 3 3" xfId="11771" xr:uid="{00000000-0005-0000-0000-0000D2B30000}"/>
    <cellStyle name="Normal 4 2 7 3 3 2" xfId="11772" xr:uid="{00000000-0005-0000-0000-0000D3B30000}"/>
    <cellStyle name="Normal 4 2 7 3 3 2 2" xfId="11773" xr:uid="{00000000-0005-0000-0000-0000D4B30000}"/>
    <cellStyle name="Normal 4 2 7 3 3 2 2 2" xfId="11774" xr:uid="{00000000-0005-0000-0000-0000D5B30000}"/>
    <cellStyle name="Normal 4 2 7 3 3 2 2 2 2" xfId="31169" xr:uid="{00000000-0005-0000-0000-0000D6B30000}"/>
    <cellStyle name="Normal 4 2 7 3 3 2 2 2 2 2" xfId="63040" xr:uid="{00000000-0005-0000-0000-0000D7B30000}"/>
    <cellStyle name="Normal 4 2 7 3 3 2 2 2 3" xfId="43653" xr:uid="{00000000-0005-0000-0000-0000D8B30000}"/>
    <cellStyle name="Normal 4 2 7 3 3 2 2 3" xfId="23291" xr:uid="{00000000-0005-0000-0000-0000D9B30000}"/>
    <cellStyle name="Normal 4 2 7 3 3 2 2 3 2" xfId="55162" xr:uid="{00000000-0005-0000-0000-0000DAB30000}"/>
    <cellStyle name="Normal 4 2 7 3 3 2 2 4" xfId="43652" xr:uid="{00000000-0005-0000-0000-0000DBB30000}"/>
    <cellStyle name="Normal 4 2 7 3 3 2 3" xfId="11775" xr:uid="{00000000-0005-0000-0000-0000DCB30000}"/>
    <cellStyle name="Normal 4 2 7 3 3 2 3 2" xfId="27230" xr:uid="{00000000-0005-0000-0000-0000DDB30000}"/>
    <cellStyle name="Normal 4 2 7 3 3 2 3 2 2" xfId="59101" xr:uid="{00000000-0005-0000-0000-0000DEB30000}"/>
    <cellStyle name="Normal 4 2 7 3 3 2 3 3" xfId="43654" xr:uid="{00000000-0005-0000-0000-0000DFB30000}"/>
    <cellStyle name="Normal 4 2 7 3 3 2 4" xfId="19352" xr:uid="{00000000-0005-0000-0000-0000E0B30000}"/>
    <cellStyle name="Normal 4 2 7 3 3 2 4 2" xfId="51223" xr:uid="{00000000-0005-0000-0000-0000E1B30000}"/>
    <cellStyle name="Normal 4 2 7 3 3 2 5" xfId="43651" xr:uid="{00000000-0005-0000-0000-0000E2B30000}"/>
    <cellStyle name="Normal 4 2 7 3 3 3" xfId="11776" xr:uid="{00000000-0005-0000-0000-0000E3B30000}"/>
    <cellStyle name="Normal 4 2 7 3 3 3 2" xfId="11777" xr:uid="{00000000-0005-0000-0000-0000E4B30000}"/>
    <cellStyle name="Normal 4 2 7 3 3 3 2 2" xfId="31168" xr:uid="{00000000-0005-0000-0000-0000E5B30000}"/>
    <cellStyle name="Normal 4 2 7 3 3 3 2 2 2" xfId="63039" xr:uid="{00000000-0005-0000-0000-0000E6B30000}"/>
    <cellStyle name="Normal 4 2 7 3 3 3 2 3" xfId="43656" xr:uid="{00000000-0005-0000-0000-0000E7B30000}"/>
    <cellStyle name="Normal 4 2 7 3 3 3 3" xfId="23290" xr:uid="{00000000-0005-0000-0000-0000E8B30000}"/>
    <cellStyle name="Normal 4 2 7 3 3 3 3 2" xfId="55161" xr:uid="{00000000-0005-0000-0000-0000E9B30000}"/>
    <cellStyle name="Normal 4 2 7 3 3 3 4" xfId="43655" xr:uid="{00000000-0005-0000-0000-0000EAB30000}"/>
    <cellStyle name="Normal 4 2 7 3 3 4" xfId="11778" xr:uid="{00000000-0005-0000-0000-0000EBB30000}"/>
    <cellStyle name="Normal 4 2 7 3 3 4 2" xfId="27229" xr:uid="{00000000-0005-0000-0000-0000ECB30000}"/>
    <cellStyle name="Normal 4 2 7 3 3 4 2 2" xfId="59100" xr:uid="{00000000-0005-0000-0000-0000EDB30000}"/>
    <cellStyle name="Normal 4 2 7 3 3 4 3" xfId="43657" xr:uid="{00000000-0005-0000-0000-0000EEB30000}"/>
    <cellStyle name="Normal 4 2 7 3 3 5" xfId="19351" xr:uid="{00000000-0005-0000-0000-0000EFB30000}"/>
    <cellStyle name="Normal 4 2 7 3 3 5 2" xfId="51222" xr:uid="{00000000-0005-0000-0000-0000F0B30000}"/>
    <cellStyle name="Normal 4 2 7 3 3 6" xfId="43650" xr:uid="{00000000-0005-0000-0000-0000F1B30000}"/>
    <cellStyle name="Normal 4 2 7 3 4" xfId="11779" xr:uid="{00000000-0005-0000-0000-0000F2B30000}"/>
    <cellStyle name="Normal 4 2 7 3 4 2" xfId="11780" xr:uid="{00000000-0005-0000-0000-0000F3B30000}"/>
    <cellStyle name="Normal 4 2 7 3 4 2 2" xfId="11781" xr:uid="{00000000-0005-0000-0000-0000F4B30000}"/>
    <cellStyle name="Normal 4 2 7 3 4 2 2 2" xfId="31170" xr:uid="{00000000-0005-0000-0000-0000F5B30000}"/>
    <cellStyle name="Normal 4 2 7 3 4 2 2 2 2" xfId="63041" xr:uid="{00000000-0005-0000-0000-0000F6B30000}"/>
    <cellStyle name="Normal 4 2 7 3 4 2 2 3" xfId="43660" xr:uid="{00000000-0005-0000-0000-0000F7B30000}"/>
    <cellStyle name="Normal 4 2 7 3 4 2 3" xfId="23292" xr:uid="{00000000-0005-0000-0000-0000F8B30000}"/>
    <cellStyle name="Normal 4 2 7 3 4 2 3 2" xfId="55163" xr:uid="{00000000-0005-0000-0000-0000F9B30000}"/>
    <cellStyle name="Normal 4 2 7 3 4 2 4" xfId="43659" xr:uid="{00000000-0005-0000-0000-0000FAB30000}"/>
    <cellStyle name="Normal 4 2 7 3 4 3" xfId="11782" xr:uid="{00000000-0005-0000-0000-0000FBB30000}"/>
    <cellStyle name="Normal 4 2 7 3 4 3 2" xfId="27231" xr:uid="{00000000-0005-0000-0000-0000FCB30000}"/>
    <cellStyle name="Normal 4 2 7 3 4 3 2 2" xfId="59102" xr:uid="{00000000-0005-0000-0000-0000FDB30000}"/>
    <cellStyle name="Normal 4 2 7 3 4 3 3" xfId="43661" xr:uid="{00000000-0005-0000-0000-0000FEB30000}"/>
    <cellStyle name="Normal 4 2 7 3 4 4" xfId="19353" xr:uid="{00000000-0005-0000-0000-0000FFB30000}"/>
    <cellStyle name="Normal 4 2 7 3 4 4 2" xfId="51224" xr:uid="{00000000-0005-0000-0000-000000B40000}"/>
    <cellStyle name="Normal 4 2 7 3 4 5" xfId="43658" xr:uid="{00000000-0005-0000-0000-000001B40000}"/>
    <cellStyle name="Normal 4 2 7 3 5" xfId="11783" xr:uid="{00000000-0005-0000-0000-000002B40000}"/>
    <cellStyle name="Normal 4 2 7 3 5 2" xfId="11784" xr:uid="{00000000-0005-0000-0000-000003B40000}"/>
    <cellStyle name="Normal 4 2 7 3 5 2 2" xfId="31163" xr:uid="{00000000-0005-0000-0000-000004B40000}"/>
    <cellStyle name="Normal 4 2 7 3 5 2 2 2" xfId="63034" xr:uid="{00000000-0005-0000-0000-000005B40000}"/>
    <cellStyle name="Normal 4 2 7 3 5 2 3" xfId="43663" xr:uid="{00000000-0005-0000-0000-000006B40000}"/>
    <cellStyle name="Normal 4 2 7 3 5 3" xfId="23285" xr:uid="{00000000-0005-0000-0000-000007B40000}"/>
    <cellStyle name="Normal 4 2 7 3 5 3 2" xfId="55156" xr:uid="{00000000-0005-0000-0000-000008B40000}"/>
    <cellStyle name="Normal 4 2 7 3 5 4" xfId="43662" xr:uid="{00000000-0005-0000-0000-000009B40000}"/>
    <cellStyle name="Normal 4 2 7 3 6" xfId="11785" xr:uid="{00000000-0005-0000-0000-00000AB40000}"/>
    <cellStyle name="Normal 4 2 7 3 6 2" xfId="27224" xr:uid="{00000000-0005-0000-0000-00000BB40000}"/>
    <cellStyle name="Normal 4 2 7 3 6 2 2" xfId="59095" xr:uid="{00000000-0005-0000-0000-00000CB40000}"/>
    <cellStyle name="Normal 4 2 7 3 6 3" xfId="43664" xr:uid="{00000000-0005-0000-0000-00000DB40000}"/>
    <cellStyle name="Normal 4 2 7 3 7" xfId="19346" xr:uid="{00000000-0005-0000-0000-00000EB40000}"/>
    <cellStyle name="Normal 4 2 7 3 7 2" xfId="51217" xr:uid="{00000000-0005-0000-0000-00000FB40000}"/>
    <cellStyle name="Normal 4 2 7 3 8" xfId="43633" xr:uid="{00000000-0005-0000-0000-000010B40000}"/>
    <cellStyle name="Normal 4 2 7 4" xfId="11786" xr:uid="{00000000-0005-0000-0000-000011B40000}"/>
    <cellStyle name="Normal 4 2 7 4 2" xfId="11787" xr:uid="{00000000-0005-0000-0000-000012B40000}"/>
    <cellStyle name="Normal 4 2 7 4 2 2" xfId="11788" xr:uid="{00000000-0005-0000-0000-000013B40000}"/>
    <cellStyle name="Normal 4 2 7 4 2 2 2" xfId="11789" xr:uid="{00000000-0005-0000-0000-000014B40000}"/>
    <cellStyle name="Normal 4 2 7 4 2 2 2 2" xfId="11790" xr:uid="{00000000-0005-0000-0000-000015B40000}"/>
    <cellStyle name="Normal 4 2 7 4 2 2 2 2 2" xfId="31173" xr:uid="{00000000-0005-0000-0000-000016B40000}"/>
    <cellStyle name="Normal 4 2 7 4 2 2 2 2 2 2" xfId="63044" xr:uid="{00000000-0005-0000-0000-000017B40000}"/>
    <cellStyle name="Normal 4 2 7 4 2 2 2 2 3" xfId="43669" xr:uid="{00000000-0005-0000-0000-000018B40000}"/>
    <cellStyle name="Normal 4 2 7 4 2 2 2 3" xfId="23295" xr:uid="{00000000-0005-0000-0000-000019B40000}"/>
    <cellStyle name="Normal 4 2 7 4 2 2 2 3 2" xfId="55166" xr:uid="{00000000-0005-0000-0000-00001AB40000}"/>
    <cellStyle name="Normal 4 2 7 4 2 2 2 4" xfId="43668" xr:uid="{00000000-0005-0000-0000-00001BB40000}"/>
    <cellStyle name="Normal 4 2 7 4 2 2 3" xfId="11791" xr:uid="{00000000-0005-0000-0000-00001CB40000}"/>
    <cellStyle name="Normal 4 2 7 4 2 2 3 2" xfId="27234" xr:uid="{00000000-0005-0000-0000-00001DB40000}"/>
    <cellStyle name="Normal 4 2 7 4 2 2 3 2 2" xfId="59105" xr:uid="{00000000-0005-0000-0000-00001EB40000}"/>
    <cellStyle name="Normal 4 2 7 4 2 2 3 3" xfId="43670" xr:uid="{00000000-0005-0000-0000-00001FB40000}"/>
    <cellStyle name="Normal 4 2 7 4 2 2 4" xfId="19356" xr:uid="{00000000-0005-0000-0000-000020B40000}"/>
    <cellStyle name="Normal 4 2 7 4 2 2 4 2" xfId="51227" xr:uid="{00000000-0005-0000-0000-000021B40000}"/>
    <cellStyle name="Normal 4 2 7 4 2 2 5" xfId="43667" xr:uid="{00000000-0005-0000-0000-000022B40000}"/>
    <cellStyle name="Normal 4 2 7 4 2 3" xfId="11792" xr:uid="{00000000-0005-0000-0000-000023B40000}"/>
    <cellStyle name="Normal 4 2 7 4 2 3 2" xfId="11793" xr:uid="{00000000-0005-0000-0000-000024B40000}"/>
    <cellStyle name="Normal 4 2 7 4 2 3 2 2" xfId="31172" xr:uid="{00000000-0005-0000-0000-000025B40000}"/>
    <cellStyle name="Normal 4 2 7 4 2 3 2 2 2" xfId="63043" xr:uid="{00000000-0005-0000-0000-000026B40000}"/>
    <cellStyle name="Normal 4 2 7 4 2 3 2 3" xfId="43672" xr:uid="{00000000-0005-0000-0000-000027B40000}"/>
    <cellStyle name="Normal 4 2 7 4 2 3 3" xfId="23294" xr:uid="{00000000-0005-0000-0000-000028B40000}"/>
    <cellStyle name="Normal 4 2 7 4 2 3 3 2" xfId="55165" xr:uid="{00000000-0005-0000-0000-000029B40000}"/>
    <cellStyle name="Normal 4 2 7 4 2 3 4" xfId="43671" xr:uid="{00000000-0005-0000-0000-00002AB40000}"/>
    <cellStyle name="Normal 4 2 7 4 2 4" xfId="11794" xr:uid="{00000000-0005-0000-0000-00002BB40000}"/>
    <cellStyle name="Normal 4 2 7 4 2 4 2" xfId="27233" xr:uid="{00000000-0005-0000-0000-00002CB40000}"/>
    <cellStyle name="Normal 4 2 7 4 2 4 2 2" xfId="59104" xr:uid="{00000000-0005-0000-0000-00002DB40000}"/>
    <cellStyle name="Normal 4 2 7 4 2 4 3" xfId="43673" xr:uid="{00000000-0005-0000-0000-00002EB40000}"/>
    <cellStyle name="Normal 4 2 7 4 2 5" xfId="19355" xr:uid="{00000000-0005-0000-0000-00002FB40000}"/>
    <cellStyle name="Normal 4 2 7 4 2 5 2" xfId="51226" xr:uid="{00000000-0005-0000-0000-000030B40000}"/>
    <cellStyle name="Normal 4 2 7 4 2 6" xfId="43666" xr:uid="{00000000-0005-0000-0000-000031B40000}"/>
    <cellStyle name="Normal 4 2 7 4 3" xfId="11795" xr:uid="{00000000-0005-0000-0000-000032B40000}"/>
    <cellStyle name="Normal 4 2 7 4 3 2" xfId="11796" xr:uid="{00000000-0005-0000-0000-000033B40000}"/>
    <cellStyle name="Normal 4 2 7 4 3 2 2" xfId="11797" xr:uid="{00000000-0005-0000-0000-000034B40000}"/>
    <cellStyle name="Normal 4 2 7 4 3 2 2 2" xfId="31174" xr:uid="{00000000-0005-0000-0000-000035B40000}"/>
    <cellStyle name="Normal 4 2 7 4 3 2 2 2 2" xfId="63045" xr:uid="{00000000-0005-0000-0000-000036B40000}"/>
    <cellStyle name="Normal 4 2 7 4 3 2 2 3" xfId="43676" xr:uid="{00000000-0005-0000-0000-000037B40000}"/>
    <cellStyle name="Normal 4 2 7 4 3 2 3" xfId="23296" xr:uid="{00000000-0005-0000-0000-000038B40000}"/>
    <cellStyle name="Normal 4 2 7 4 3 2 3 2" xfId="55167" xr:uid="{00000000-0005-0000-0000-000039B40000}"/>
    <cellStyle name="Normal 4 2 7 4 3 2 4" xfId="43675" xr:uid="{00000000-0005-0000-0000-00003AB40000}"/>
    <cellStyle name="Normal 4 2 7 4 3 3" xfId="11798" xr:uid="{00000000-0005-0000-0000-00003BB40000}"/>
    <cellStyle name="Normal 4 2 7 4 3 3 2" xfId="27235" xr:uid="{00000000-0005-0000-0000-00003CB40000}"/>
    <cellStyle name="Normal 4 2 7 4 3 3 2 2" xfId="59106" xr:uid="{00000000-0005-0000-0000-00003DB40000}"/>
    <cellStyle name="Normal 4 2 7 4 3 3 3" xfId="43677" xr:uid="{00000000-0005-0000-0000-00003EB40000}"/>
    <cellStyle name="Normal 4 2 7 4 3 4" xfId="19357" xr:uid="{00000000-0005-0000-0000-00003FB40000}"/>
    <cellStyle name="Normal 4 2 7 4 3 4 2" xfId="51228" xr:uid="{00000000-0005-0000-0000-000040B40000}"/>
    <cellStyle name="Normal 4 2 7 4 3 5" xfId="43674" xr:uid="{00000000-0005-0000-0000-000041B40000}"/>
    <cellStyle name="Normal 4 2 7 4 4" xfId="11799" xr:uid="{00000000-0005-0000-0000-000042B40000}"/>
    <cellStyle name="Normal 4 2 7 4 4 2" xfId="11800" xr:uid="{00000000-0005-0000-0000-000043B40000}"/>
    <cellStyle name="Normal 4 2 7 4 4 2 2" xfId="31171" xr:uid="{00000000-0005-0000-0000-000044B40000}"/>
    <cellStyle name="Normal 4 2 7 4 4 2 2 2" xfId="63042" xr:uid="{00000000-0005-0000-0000-000045B40000}"/>
    <cellStyle name="Normal 4 2 7 4 4 2 3" xfId="43679" xr:uid="{00000000-0005-0000-0000-000046B40000}"/>
    <cellStyle name="Normal 4 2 7 4 4 3" xfId="23293" xr:uid="{00000000-0005-0000-0000-000047B40000}"/>
    <cellStyle name="Normal 4 2 7 4 4 3 2" xfId="55164" xr:uid="{00000000-0005-0000-0000-000048B40000}"/>
    <cellStyle name="Normal 4 2 7 4 4 4" xfId="43678" xr:uid="{00000000-0005-0000-0000-000049B40000}"/>
    <cellStyle name="Normal 4 2 7 4 5" xfId="11801" xr:uid="{00000000-0005-0000-0000-00004AB40000}"/>
    <cellStyle name="Normal 4 2 7 4 5 2" xfId="27232" xr:uid="{00000000-0005-0000-0000-00004BB40000}"/>
    <cellStyle name="Normal 4 2 7 4 5 2 2" xfId="59103" xr:uid="{00000000-0005-0000-0000-00004CB40000}"/>
    <cellStyle name="Normal 4 2 7 4 5 3" xfId="43680" xr:uid="{00000000-0005-0000-0000-00004DB40000}"/>
    <cellStyle name="Normal 4 2 7 4 6" xfId="19354" xr:uid="{00000000-0005-0000-0000-00004EB40000}"/>
    <cellStyle name="Normal 4 2 7 4 6 2" xfId="51225" xr:uid="{00000000-0005-0000-0000-00004FB40000}"/>
    <cellStyle name="Normal 4 2 7 4 7" xfId="43665" xr:uid="{00000000-0005-0000-0000-000050B40000}"/>
    <cellStyle name="Normal 4 2 7 5" xfId="11802" xr:uid="{00000000-0005-0000-0000-000051B40000}"/>
    <cellStyle name="Normal 4 2 7 5 2" xfId="11803" xr:uid="{00000000-0005-0000-0000-000052B40000}"/>
    <cellStyle name="Normal 4 2 7 5 2 2" xfId="11804" xr:uid="{00000000-0005-0000-0000-000053B40000}"/>
    <cellStyle name="Normal 4 2 7 5 2 2 2" xfId="11805" xr:uid="{00000000-0005-0000-0000-000054B40000}"/>
    <cellStyle name="Normal 4 2 7 5 2 2 2 2" xfId="31176" xr:uid="{00000000-0005-0000-0000-000055B40000}"/>
    <cellStyle name="Normal 4 2 7 5 2 2 2 2 2" xfId="63047" xr:uid="{00000000-0005-0000-0000-000056B40000}"/>
    <cellStyle name="Normal 4 2 7 5 2 2 2 3" xfId="43684" xr:uid="{00000000-0005-0000-0000-000057B40000}"/>
    <cellStyle name="Normal 4 2 7 5 2 2 3" xfId="23298" xr:uid="{00000000-0005-0000-0000-000058B40000}"/>
    <cellStyle name="Normal 4 2 7 5 2 2 3 2" xfId="55169" xr:uid="{00000000-0005-0000-0000-000059B40000}"/>
    <cellStyle name="Normal 4 2 7 5 2 2 4" xfId="43683" xr:uid="{00000000-0005-0000-0000-00005AB40000}"/>
    <cellStyle name="Normal 4 2 7 5 2 3" xfId="11806" xr:uid="{00000000-0005-0000-0000-00005BB40000}"/>
    <cellStyle name="Normal 4 2 7 5 2 3 2" xfId="27237" xr:uid="{00000000-0005-0000-0000-00005CB40000}"/>
    <cellStyle name="Normal 4 2 7 5 2 3 2 2" xfId="59108" xr:uid="{00000000-0005-0000-0000-00005DB40000}"/>
    <cellStyle name="Normal 4 2 7 5 2 3 3" xfId="43685" xr:uid="{00000000-0005-0000-0000-00005EB40000}"/>
    <cellStyle name="Normal 4 2 7 5 2 4" xfId="19359" xr:uid="{00000000-0005-0000-0000-00005FB40000}"/>
    <cellStyle name="Normal 4 2 7 5 2 4 2" xfId="51230" xr:uid="{00000000-0005-0000-0000-000060B40000}"/>
    <cellStyle name="Normal 4 2 7 5 2 5" xfId="43682" xr:uid="{00000000-0005-0000-0000-000061B40000}"/>
    <cellStyle name="Normal 4 2 7 5 3" xfId="11807" xr:uid="{00000000-0005-0000-0000-000062B40000}"/>
    <cellStyle name="Normal 4 2 7 5 3 2" xfId="11808" xr:uid="{00000000-0005-0000-0000-000063B40000}"/>
    <cellStyle name="Normal 4 2 7 5 3 2 2" xfId="31175" xr:uid="{00000000-0005-0000-0000-000064B40000}"/>
    <cellStyle name="Normal 4 2 7 5 3 2 2 2" xfId="63046" xr:uid="{00000000-0005-0000-0000-000065B40000}"/>
    <cellStyle name="Normal 4 2 7 5 3 2 3" xfId="43687" xr:uid="{00000000-0005-0000-0000-000066B40000}"/>
    <cellStyle name="Normal 4 2 7 5 3 3" xfId="23297" xr:uid="{00000000-0005-0000-0000-000067B40000}"/>
    <cellStyle name="Normal 4 2 7 5 3 3 2" xfId="55168" xr:uid="{00000000-0005-0000-0000-000068B40000}"/>
    <cellStyle name="Normal 4 2 7 5 3 4" xfId="43686" xr:uid="{00000000-0005-0000-0000-000069B40000}"/>
    <cellStyle name="Normal 4 2 7 5 4" xfId="11809" xr:uid="{00000000-0005-0000-0000-00006AB40000}"/>
    <cellStyle name="Normal 4 2 7 5 4 2" xfId="27236" xr:uid="{00000000-0005-0000-0000-00006BB40000}"/>
    <cellStyle name="Normal 4 2 7 5 4 2 2" xfId="59107" xr:uid="{00000000-0005-0000-0000-00006CB40000}"/>
    <cellStyle name="Normal 4 2 7 5 4 3" xfId="43688" xr:uid="{00000000-0005-0000-0000-00006DB40000}"/>
    <cellStyle name="Normal 4 2 7 5 5" xfId="19358" xr:uid="{00000000-0005-0000-0000-00006EB40000}"/>
    <cellStyle name="Normal 4 2 7 5 5 2" xfId="51229" xr:uid="{00000000-0005-0000-0000-00006FB40000}"/>
    <cellStyle name="Normal 4 2 7 5 6" xfId="43681" xr:uid="{00000000-0005-0000-0000-000070B40000}"/>
    <cellStyle name="Normal 4 2 7 6" xfId="11810" xr:uid="{00000000-0005-0000-0000-000071B40000}"/>
    <cellStyle name="Normal 4 2 7 6 2" xfId="11811" xr:uid="{00000000-0005-0000-0000-000072B40000}"/>
    <cellStyle name="Normal 4 2 7 6 2 2" xfId="11812" xr:uid="{00000000-0005-0000-0000-000073B40000}"/>
    <cellStyle name="Normal 4 2 7 6 2 2 2" xfId="31177" xr:uid="{00000000-0005-0000-0000-000074B40000}"/>
    <cellStyle name="Normal 4 2 7 6 2 2 2 2" xfId="63048" xr:uid="{00000000-0005-0000-0000-000075B40000}"/>
    <cellStyle name="Normal 4 2 7 6 2 2 3" xfId="43691" xr:uid="{00000000-0005-0000-0000-000076B40000}"/>
    <cellStyle name="Normal 4 2 7 6 2 3" xfId="23299" xr:uid="{00000000-0005-0000-0000-000077B40000}"/>
    <cellStyle name="Normal 4 2 7 6 2 3 2" xfId="55170" xr:uid="{00000000-0005-0000-0000-000078B40000}"/>
    <cellStyle name="Normal 4 2 7 6 2 4" xfId="43690" xr:uid="{00000000-0005-0000-0000-000079B40000}"/>
    <cellStyle name="Normal 4 2 7 6 3" xfId="11813" xr:uid="{00000000-0005-0000-0000-00007AB40000}"/>
    <cellStyle name="Normal 4 2 7 6 3 2" xfId="27238" xr:uid="{00000000-0005-0000-0000-00007BB40000}"/>
    <cellStyle name="Normal 4 2 7 6 3 2 2" xfId="59109" xr:uid="{00000000-0005-0000-0000-00007CB40000}"/>
    <cellStyle name="Normal 4 2 7 6 3 3" xfId="43692" xr:uid="{00000000-0005-0000-0000-00007DB40000}"/>
    <cellStyle name="Normal 4 2 7 6 4" xfId="19360" xr:uid="{00000000-0005-0000-0000-00007EB40000}"/>
    <cellStyle name="Normal 4 2 7 6 4 2" xfId="51231" xr:uid="{00000000-0005-0000-0000-00007FB40000}"/>
    <cellStyle name="Normal 4 2 7 6 5" xfId="43689" xr:uid="{00000000-0005-0000-0000-000080B40000}"/>
    <cellStyle name="Normal 4 2 7 7" xfId="11814" xr:uid="{00000000-0005-0000-0000-000081B40000}"/>
    <cellStyle name="Normal 4 2 7 7 2" xfId="11815" xr:uid="{00000000-0005-0000-0000-000082B40000}"/>
    <cellStyle name="Normal 4 2 7 7 2 2" xfId="28343" xr:uid="{00000000-0005-0000-0000-000083B40000}"/>
    <cellStyle name="Normal 4 2 7 7 2 2 2" xfId="60214" xr:uid="{00000000-0005-0000-0000-000084B40000}"/>
    <cellStyle name="Normal 4 2 7 7 2 3" xfId="43694" xr:uid="{00000000-0005-0000-0000-000085B40000}"/>
    <cellStyle name="Normal 4 2 7 7 3" xfId="20465" xr:uid="{00000000-0005-0000-0000-000086B40000}"/>
    <cellStyle name="Normal 4 2 7 7 3 2" xfId="52336" xr:uid="{00000000-0005-0000-0000-000087B40000}"/>
    <cellStyle name="Normal 4 2 7 7 4" xfId="43693" xr:uid="{00000000-0005-0000-0000-000088B40000}"/>
    <cellStyle name="Normal 4 2 7 8" xfId="11816" xr:uid="{00000000-0005-0000-0000-000089B40000}"/>
    <cellStyle name="Normal 4 2 7 8 2" xfId="24404" xr:uid="{00000000-0005-0000-0000-00008AB40000}"/>
    <cellStyle name="Normal 4 2 7 8 2 2" xfId="56275" xr:uid="{00000000-0005-0000-0000-00008BB40000}"/>
    <cellStyle name="Normal 4 2 7 8 3" xfId="43695" xr:uid="{00000000-0005-0000-0000-00008CB40000}"/>
    <cellStyle name="Normal 4 2 7 9" xfId="16526" xr:uid="{00000000-0005-0000-0000-00008DB40000}"/>
    <cellStyle name="Normal 4 2 7 9 2" xfId="48397" xr:uid="{00000000-0005-0000-0000-00008EB40000}"/>
    <cellStyle name="Normal 4 2 8" xfId="11817" xr:uid="{00000000-0005-0000-0000-00008FB40000}"/>
    <cellStyle name="Normal 4 2 8 2" xfId="11818" xr:uid="{00000000-0005-0000-0000-000090B40000}"/>
    <cellStyle name="Normal 4 2 8 2 2" xfId="11819" xr:uid="{00000000-0005-0000-0000-000091B40000}"/>
    <cellStyle name="Normal 4 2 8 2 2 2" xfId="11820" xr:uid="{00000000-0005-0000-0000-000092B40000}"/>
    <cellStyle name="Normal 4 2 8 2 2 2 2" xfId="11821" xr:uid="{00000000-0005-0000-0000-000093B40000}"/>
    <cellStyle name="Normal 4 2 8 2 2 2 2 2" xfId="11822" xr:uid="{00000000-0005-0000-0000-000094B40000}"/>
    <cellStyle name="Normal 4 2 8 2 2 2 2 2 2" xfId="11823" xr:uid="{00000000-0005-0000-0000-000095B40000}"/>
    <cellStyle name="Normal 4 2 8 2 2 2 2 2 2 2" xfId="31181" xr:uid="{00000000-0005-0000-0000-000096B40000}"/>
    <cellStyle name="Normal 4 2 8 2 2 2 2 2 2 2 2" xfId="63052" xr:uid="{00000000-0005-0000-0000-000097B40000}"/>
    <cellStyle name="Normal 4 2 8 2 2 2 2 2 2 3" xfId="43702" xr:uid="{00000000-0005-0000-0000-000098B40000}"/>
    <cellStyle name="Normal 4 2 8 2 2 2 2 2 3" xfId="23303" xr:uid="{00000000-0005-0000-0000-000099B40000}"/>
    <cellStyle name="Normal 4 2 8 2 2 2 2 2 3 2" xfId="55174" xr:uid="{00000000-0005-0000-0000-00009AB40000}"/>
    <cellStyle name="Normal 4 2 8 2 2 2 2 2 4" xfId="43701" xr:uid="{00000000-0005-0000-0000-00009BB40000}"/>
    <cellStyle name="Normal 4 2 8 2 2 2 2 3" xfId="11824" xr:uid="{00000000-0005-0000-0000-00009CB40000}"/>
    <cellStyle name="Normal 4 2 8 2 2 2 2 3 2" xfId="27242" xr:uid="{00000000-0005-0000-0000-00009DB40000}"/>
    <cellStyle name="Normal 4 2 8 2 2 2 2 3 2 2" xfId="59113" xr:uid="{00000000-0005-0000-0000-00009EB40000}"/>
    <cellStyle name="Normal 4 2 8 2 2 2 2 3 3" xfId="43703" xr:uid="{00000000-0005-0000-0000-00009FB40000}"/>
    <cellStyle name="Normal 4 2 8 2 2 2 2 4" xfId="19364" xr:uid="{00000000-0005-0000-0000-0000A0B40000}"/>
    <cellStyle name="Normal 4 2 8 2 2 2 2 4 2" xfId="51235" xr:uid="{00000000-0005-0000-0000-0000A1B40000}"/>
    <cellStyle name="Normal 4 2 8 2 2 2 2 5" xfId="43700" xr:uid="{00000000-0005-0000-0000-0000A2B40000}"/>
    <cellStyle name="Normal 4 2 8 2 2 2 3" xfId="11825" xr:uid="{00000000-0005-0000-0000-0000A3B40000}"/>
    <cellStyle name="Normal 4 2 8 2 2 2 3 2" xfId="11826" xr:uid="{00000000-0005-0000-0000-0000A4B40000}"/>
    <cellStyle name="Normal 4 2 8 2 2 2 3 2 2" xfId="31180" xr:uid="{00000000-0005-0000-0000-0000A5B40000}"/>
    <cellStyle name="Normal 4 2 8 2 2 2 3 2 2 2" xfId="63051" xr:uid="{00000000-0005-0000-0000-0000A6B40000}"/>
    <cellStyle name="Normal 4 2 8 2 2 2 3 2 3" xfId="43705" xr:uid="{00000000-0005-0000-0000-0000A7B40000}"/>
    <cellStyle name="Normal 4 2 8 2 2 2 3 3" xfId="23302" xr:uid="{00000000-0005-0000-0000-0000A8B40000}"/>
    <cellStyle name="Normal 4 2 8 2 2 2 3 3 2" xfId="55173" xr:uid="{00000000-0005-0000-0000-0000A9B40000}"/>
    <cellStyle name="Normal 4 2 8 2 2 2 3 4" xfId="43704" xr:uid="{00000000-0005-0000-0000-0000AAB40000}"/>
    <cellStyle name="Normal 4 2 8 2 2 2 4" xfId="11827" xr:uid="{00000000-0005-0000-0000-0000ABB40000}"/>
    <cellStyle name="Normal 4 2 8 2 2 2 4 2" xfId="27241" xr:uid="{00000000-0005-0000-0000-0000ACB40000}"/>
    <cellStyle name="Normal 4 2 8 2 2 2 4 2 2" xfId="59112" xr:uid="{00000000-0005-0000-0000-0000ADB40000}"/>
    <cellStyle name="Normal 4 2 8 2 2 2 4 3" xfId="43706" xr:uid="{00000000-0005-0000-0000-0000AEB40000}"/>
    <cellStyle name="Normal 4 2 8 2 2 2 5" xfId="19363" xr:uid="{00000000-0005-0000-0000-0000AFB40000}"/>
    <cellStyle name="Normal 4 2 8 2 2 2 5 2" xfId="51234" xr:uid="{00000000-0005-0000-0000-0000B0B40000}"/>
    <cellStyle name="Normal 4 2 8 2 2 2 6" xfId="43699" xr:uid="{00000000-0005-0000-0000-0000B1B40000}"/>
    <cellStyle name="Normal 4 2 8 2 2 3" xfId="11828" xr:uid="{00000000-0005-0000-0000-0000B2B40000}"/>
    <cellStyle name="Normal 4 2 8 2 2 3 2" xfId="11829" xr:uid="{00000000-0005-0000-0000-0000B3B40000}"/>
    <cellStyle name="Normal 4 2 8 2 2 3 2 2" xfId="11830" xr:uid="{00000000-0005-0000-0000-0000B4B40000}"/>
    <cellStyle name="Normal 4 2 8 2 2 3 2 2 2" xfId="31182" xr:uid="{00000000-0005-0000-0000-0000B5B40000}"/>
    <cellStyle name="Normal 4 2 8 2 2 3 2 2 2 2" xfId="63053" xr:uid="{00000000-0005-0000-0000-0000B6B40000}"/>
    <cellStyle name="Normal 4 2 8 2 2 3 2 2 3" xfId="43709" xr:uid="{00000000-0005-0000-0000-0000B7B40000}"/>
    <cellStyle name="Normal 4 2 8 2 2 3 2 3" xfId="23304" xr:uid="{00000000-0005-0000-0000-0000B8B40000}"/>
    <cellStyle name="Normal 4 2 8 2 2 3 2 3 2" xfId="55175" xr:uid="{00000000-0005-0000-0000-0000B9B40000}"/>
    <cellStyle name="Normal 4 2 8 2 2 3 2 4" xfId="43708" xr:uid="{00000000-0005-0000-0000-0000BAB40000}"/>
    <cellStyle name="Normal 4 2 8 2 2 3 3" xfId="11831" xr:uid="{00000000-0005-0000-0000-0000BBB40000}"/>
    <cellStyle name="Normal 4 2 8 2 2 3 3 2" xfId="27243" xr:uid="{00000000-0005-0000-0000-0000BCB40000}"/>
    <cellStyle name="Normal 4 2 8 2 2 3 3 2 2" xfId="59114" xr:uid="{00000000-0005-0000-0000-0000BDB40000}"/>
    <cellStyle name="Normal 4 2 8 2 2 3 3 3" xfId="43710" xr:uid="{00000000-0005-0000-0000-0000BEB40000}"/>
    <cellStyle name="Normal 4 2 8 2 2 3 4" xfId="19365" xr:uid="{00000000-0005-0000-0000-0000BFB40000}"/>
    <cellStyle name="Normal 4 2 8 2 2 3 4 2" xfId="51236" xr:uid="{00000000-0005-0000-0000-0000C0B40000}"/>
    <cellStyle name="Normal 4 2 8 2 2 3 5" xfId="43707" xr:uid="{00000000-0005-0000-0000-0000C1B40000}"/>
    <cellStyle name="Normal 4 2 8 2 2 4" xfId="11832" xr:uid="{00000000-0005-0000-0000-0000C2B40000}"/>
    <cellStyle name="Normal 4 2 8 2 2 4 2" xfId="11833" xr:uid="{00000000-0005-0000-0000-0000C3B40000}"/>
    <cellStyle name="Normal 4 2 8 2 2 4 2 2" xfId="31179" xr:uid="{00000000-0005-0000-0000-0000C4B40000}"/>
    <cellStyle name="Normal 4 2 8 2 2 4 2 2 2" xfId="63050" xr:uid="{00000000-0005-0000-0000-0000C5B40000}"/>
    <cellStyle name="Normal 4 2 8 2 2 4 2 3" xfId="43712" xr:uid="{00000000-0005-0000-0000-0000C6B40000}"/>
    <cellStyle name="Normal 4 2 8 2 2 4 3" xfId="23301" xr:uid="{00000000-0005-0000-0000-0000C7B40000}"/>
    <cellStyle name="Normal 4 2 8 2 2 4 3 2" xfId="55172" xr:uid="{00000000-0005-0000-0000-0000C8B40000}"/>
    <cellStyle name="Normal 4 2 8 2 2 4 4" xfId="43711" xr:uid="{00000000-0005-0000-0000-0000C9B40000}"/>
    <cellStyle name="Normal 4 2 8 2 2 5" xfId="11834" xr:uid="{00000000-0005-0000-0000-0000CAB40000}"/>
    <cellStyle name="Normal 4 2 8 2 2 5 2" xfId="27240" xr:uid="{00000000-0005-0000-0000-0000CBB40000}"/>
    <cellStyle name="Normal 4 2 8 2 2 5 2 2" xfId="59111" xr:uid="{00000000-0005-0000-0000-0000CCB40000}"/>
    <cellStyle name="Normal 4 2 8 2 2 5 3" xfId="43713" xr:uid="{00000000-0005-0000-0000-0000CDB40000}"/>
    <cellStyle name="Normal 4 2 8 2 2 6" xfId="19362" xr:uid="{00000000-0005-0000-0000-0000CEB40000}"/>
    <cellStyle name="Normal 4 2 8 2 2 6 2" xfId="51233" xr:uid="{00000000-0005-0000-0000-0000CFB40000}"/>
    <cellStyle name="Normal 4 2 8 2 2 7" xfId="43698" xr:uid="{00000000-0005-0000-0000-0000D0B40000}"/>
    <cellStyle name="Normal 4 2 8 2 3" xfId="11835" xr:uid="{00000000-0005-0000-0000-0000D1B40000}"/>
    <cellStyle name="Normal 4 2 8 2 3 2" xfId="11836" xr:uid="{00000000-0005-0000-0000-0000D2B40000}"/>
    <cellStyle name="Normal 4 2 8 2 3 2 2" xfId="11837" xr:uid="{00000000-0005-0000-0000-0000D3B40000}"/>
    <cellStyle name="Normal 4 2 8 2 3 2 2 2" xfId="11838" xr:uid="{00000000-0005-0000-0000-0000D4B40000}"/>
    <cellStyle name="Normal 4 2 8 2 3 2 2 2 2" xfId="31184" xr:uid="{00000000-0005-0000-0000-0000D5B40000}"/>
    <cellStyle name="Normal 4 2 8 2 3 2 2 2 2 2" xfId="63055" xr:uid="{00000000-0005-0000-0000-0000D6B40000}"/>
    <cellStyle name="Normal 4 2 8 2 3 2 2 2 3" xfId="43717" xr:uid="{00000000-0005-0000-0000-0000D7B40000}"/>
    <cellStyle name="Normal 4 2 8 2 3 2 2 3" xfId="23306" xr:uid="{00000000-0005-0000-0000-0000D8B40000}"/>
    <cellStyle name="Normal 4 2 8 2 3 2 2 3 2" xfId="55177" xr:uid="{00000000-0005-0000-0000-0000D9B40000}"/>
    <cellStyle name="Normal 4 2 8 2 3 2 2 4" xfId="43716" xr:uid="{00000000-0005-0000-0000-0000DAB40000}"/>
    <cellStyle name="Normal 4 2 8 2 3 2 3" xfId="11839" xr:uid="{00000000-0005-0000-0000-0000DBB40000}"/>
    <cellStyle name="Normal 4 2 8 2 3 2 3 2" xfId="27245" xr:uid="{00000000-0005-0000-0000-0000DCB40000}"/>
    <cellStyle name="Normal 4 2 8 2 3 2 3 2 2" xfId="59116" xr:uid="{00000000-0005-0000-0000-0000DDB40000}"/>
    <cellStyle name="Normal 4 2 8 2 3 2 3 3" xfId="43718" xr:uid="{00000000-0005-0000-0000-0000DEB40000}"/>
    <cellStyle name="Normal 4 2 8 2 3 2 4" xfId="19367" xr:uid="{00000000-0005-0000-0000-0000DFB40000}"/>
    <cellStyle name="Normal 4 2 8 2 3 2 4 2" xfId="51238" xr:uid="{00000000-0005-0000-0000-0000E0B40000}"/>
    <cellStyle name="Normal 4 2 8 2 3 2 5" xfId="43715" xr:uid="{00000000-0005-0000-0000-0000E1B40000}"/>
    <cellStyle name="Normal 4 2 8 2 3 3" xfId="11840" xr:uid="{00000000-0005-0000-0000-0000E2B40000}"/>
    <cellStyle name="Normal 4 2 8 2 3 3 2" xfId="11841" xr:uid="{00000000-0005-0000-0000-0000E3B40000}"/>
    <cellStyle name="Normal 4 2 8 2 3 3 2 2" xfId="31183" xr:uid="{00000000-0005-0000-0000-0000E4B40000}"/>
    <cellStyle name="Normal 4 2 8 2 3 3 2 2 2" xfId="63054" xr:uid="{00000000-0005-0000-0000-0000E5B40000}"/>
    <cellStyle name="Normal 4 2 8 2 3 3 2 3" xfId="43720" xr:uid="{00000000-0005-0000-0000-0000E6B40000}"/>
    <cellStyle name="Normal 4 2 8 2 3 3 3" xfId="23305" xr:uid="{00000000-0005-0000-0000-0000E7B40000}"/>
    <cellStyle name="Normal 4 2 8 2 3 3 3 2" xfId="55176" xr:uid="{00000000-0005-0000-0000-0000E8B40000}"/>
    <cellStyle name="Normal 4 2 8 2 3 3 4" xfId="43719" xr:uid="{00000000-0005-0000-0000-0000E9B40000}"/>
    <cellStyle name="Normal 4 2 8 2 3 4" xfId="11842" xr:uid="{00000000-0005-0000-0000-0000EAB40000}"/>
    <cellStyle name="Normal 4 2 8 2 3 4 2" xfId="27244" xr:uid="{00000000-0005-0000-0000-0000EBB40000}"/>
    <cellStyle name="Normal 4 2 8 2 3 4 2 2" xfId="59115" xr:uid="{00000000-0005-0000-0000-0000ECB40000}"/>
    <cellStyle name="Normal 4 2 8 2 3 4 3" xfId="43721" xr:uid="{00000000-0005-0000-0000-0000EDB40000}"/>
    <cellStyle name="Normal 4 2 8 2 3 5" xfId="19366" xr:uid="{00000000-0005-0000-0000-0000EEB40000}"/>
    <cellStyle name="Normal 4 2 8 2 3 5 2" xfId="51237" xr:uid="{00000000-0005-0000-0000-0000EFB40000}"/>
    <cellStyle name="Normal 4 2 8 2 3 6" xfId="43714" xr:uid="{00000000-0005-0000-0000-0000F0B40000}"/>
    <cellStyle name="Normal 4 2 8 2 4" xfId="11843" xr:uid="{00000000-0005-0000-0000-0000F1B40000}"/>
    <cellStyle name="Normal 4 2 8 2 4 2" xfId="11844" xr:uid="{00000000-0005-0000-0000-0000F2B40000}"/>
    <cellStyle name="Normal 4 2 8 2 4 2 2" xfId="11845" xr:uid="{00000000-0005-0000-0000-0000F3B40000}"/>
    <cellStyle name="Normal 4 2 8 2 4 2 2 2" xfId="31185" xr:uid="{00000000-0005-0000-0000-0000F4B40000}"/>
    <cellStyle name="Normal 4 2 8 2 4 2 2 2 2" xfId="63056" xr:uid="{00000000-0005-0000-0000-0000F5B40000}"/>
    <cellStyle name="Normal 4 2 8 2 4 2 2 3" xfId="43724" xr:uid="{00000000-0005-0000-0000-0000F6B40000}"/>
    <cellStyle name="Normal 4 2 8 2 4 2 3" xfId="23307" xr:uid="{00000000-0005-0000-0000-0000F7B40000}"/>
    <cellStyle name="Normal 4 2 8 2 4 2 3 2" xfId="55178" xr:uid="{00000000-0005-0000-0000-0000F8B40000}"/>
    <cellStyle name="Normal 4 2 8 2 4 2 4" xfId="43723" xr:uid="{00000000-0005-0000-0000-0000F9B40000}"/>
    <cellStyle name="Normal 4 2 8 2 4 3" xfId="11846" xr:uid="{00000000-0005-0000-0000-0000FAB40000}"/>
    <cellStyle name="Normal 4 2 8 2 4 3 2" xfId="27246" xr:uid="{00000000-0005-0000-0000-0000FBB40000}"/>
    <cellStyle name="Normal 4 2 8 2 4 3 2 2" xfId="59117" xr:uid="{00000000-0005-0000-0000-0000FCB40000}"/>
    <cellStyle name="Normal 4 2 8 2 4 3 3" xfId="43725" xr:uid="{00000000-0005-0000-0000-0000FDB40000}"/>
    <cellStyle name="Normal 4 2 8 2 4 4" xfId="19368" xr:uid="{00000000-0005-0000-0000-0000FEB40000}"/>
    <cellStyle name="Normal 4 2 8 2 4 4 2" xfId="51239" xr:uid="{00000000-0005-0000-0000-0000FFB40000}"/>
    <cellStyle name="Normal 4 2 8 2 4 5" xfId="43722" xr:uid="{00000000-0005-0000-0000-000000B50000}"/>
    <cellStyle name="Normal 4 2 8 2 5" xfId="11847" xr:uid="{00000000-0005-0000-0000-000001B50000}"/>
    <cellStyle name="Normal 4 2 8 2 5 2" xfId="11848" xr:uid="{00000000-0005-0000-0000-000002B50000}"/>
    <cellStyle name="Normal 4 2 8 2 5 2 2" xfId="31178" xr:uid="{00000000-0005-0000-0000-000003B50000}"/>
    <cellStyle name="Normal 4 2 8 2 5 2 2 2" xfId="63049" xr:uid="{00000000-0005-0000-0000-000004B50000}"/>
    <cellStyle name="Normal 4 2 8 2 5 2 3" xfId="43727" xr:uid="{00000000-0005-0000-0000-000005B50000}"/>
    <cellStyle name="Normal 4 2 8 2 5 3" xfId="23300" xr:uid="{00000000-0005-0000-0000-000006B50000}"/>
    <cellStyle name="Normal 4 2 8 2 5 3 2" xfId="55171" xr:uid="{00000000-0005-0000-0000-000007B50000}"/>
    <cellStyle name="Normal 4 2 8 2 5 4" xfId="43726" xr:uid="{00000000-0005-0000-0000-000008B50000}"/>
    <cellStyle name="Normal 4 2 8 2 6" xfId="11849" xr:uid="{00000000-0005-0000-0000-000009B50000}"/>
    <cellStyle name="Normal 4 2 8 2 6 2" xfId="27239" xr:uid="{00000000-0005-0000-0000-00000AB50000}"/>
    <cellStyle name="Normal 4 2 8 2 6 2 2" xfId="59110" xr:uid="{00000000-0005-0000-0000-00000BB50000}"/>
    <cellStyle name="Normal 4 2 8 2 6 3" xfId="43728" xr:uid="{00000000-0005-0000-0000-00000CB50000}"/>
    <cellStyle name="Normal 4 2 8 2 7" xfId="19361" xr:uid="{00000000-0005-0000-0000-00000DB50000}"/>
    <cellStyle name="Normal 4 2 8 2 7 2" xfId="51232" xr:uid="{00000000-0005-0000-0000-00000EB50000}"/>
    <cellStyle name="Normal 4 2 8 2 8" xfId="43697" xr:uid="{00000000-0005-0000-0000-00000FB50000}"/>
    <cellStyle name="Normal 4 2 8 3" xfId="11850" xr:uid="{00000000-0005-0000-0000-000010B50000}"/>
    <cellStyle name="Normal 4 2 8 3 2" xfId="11851" xr:uid="{00000000-0005-0000-0000-000011B50000}"/>
    <cellStyle name="Normal 4 2 8 3 2 2" xfId="11852" xr:uid="{00000000-0005-0000-0000-000012B50000}"/>
    <cellStyle name="Normal 4 2 8 3 2 2 2" xfId="11853" xr:uid="{00000000-0005-0000-0000-000013B50000}"/>
    <cellStyle name="Normal 4 2 8 3 2 2 2 2" xfId="11854" xr:uid="{00000000-0005-0000-0000-000014B50000}"/>
    <cellStyle name="Normal 4 2 8 3 2 2 2 2 2" xfId="31188" xr:uid="{00000000-0005-0000-0000-000015B50000}"/>
    <cellStyle name="Normal 4 2 8 3 2 2 2 2 2 2" xfId="63059" xr:uid="{00000000-0005-0000-0000-000016B50000}"/>
    <cellStyle name="Normal 4 2 8 3 2 2 2 2 3" xfId="43733" xr:uid="{00000000-0005-0000-0000-000017B50000}"/>
    <cellStyle name="Normal 4 2 8 3 2 2 2 3" xfId="23310" xr:uid="{00000000-0005-0000-0000-000018B50000}"/>
    <cellStyle name="Normal 4 2 8 3 2 2 2 3 2" xfId="55181" xr:uid="{00000000-0005-0000-0000-000019B50000}"/>
    <cellStyle name="Normal 4 2 8 3 2 2 2 4" xfId="43732" xr:uid="{00000000-0005-0000-0000-00001AB50000}"/>
    <cellStyle name="Normal 4 2 8 3 2 2 3" xfId="11855" xr:uid="{00000000-0005-0000-0000-00001BB50000}"/>
    <cellStyle name="Normal 4 2 8 3 2 2 3 2" xfId="27249" xr:uid="{00000000-0005-0000-0000-00001CB50000}"/>
    <cellStyle name="Normal 4 2 8 3 2 2 3 2 2" xfId="59120" xr:uid="{00000000-0005-0000-0000-00001DB50000}"/>
    <cellStyle name="Normal 4 2 8 3 2 2 3 3" xfId="43734" xr:uid="{00000000-0005-0000-0000-00001EB50000}"/>
    <cellStyle name="Normal 4 2 8 3 2 2 4" xfId="19371" xr:uid="{00000000-0005-0000-0000-00001FB50000}"/>
    <cellStyle name="Normal 4 2 8 3 2 2 4 2" xfId="51242" xr:uid="{00000000-0005-0000-0000-000020B50000}"/>
    <cellStyle name="Normal 4 2 8 3 2 2 5" xfId="43731" xr:uid="{00000000-0005-0000-0000-000021B50000}"/>
    <cellStyle name="Normal 4 2 8 3 2 3" xfId="11856" xr:uid="{00000000-0005-0000-0000-000022B50000}"/>
    <cellStyle name="Normal 4 2 8 3 2 3 2" xfId="11857" xr:uid="{00000000-0005-0000-0000-000023B50000}"/>
    <cellStyle name="Normal 4 2 8 3 2 3 2 2" xfId="31187" xr:uid="{00000000-0005-0000-0000-000024B50000}"/>
    <cellStyle name="Normal 4 2 8 3 2 3 2 2 2" xfId="63058" xr:uid="{00000000-0005-0000-0000-000025B50000}"/>
    <cellStyle name="Normal 4 2 8 3 2 3 2 3" xfId="43736" xr:uid="{00000000-0005-0000-0000-000026B50000}"/>
    <cellStyle name="Normal 4 2 8 3 2 3 3" xfId="23309" xr:uid="{00000000-0005-0000-0000-000027B50000}"/>
    <cellStyle name="Normal 4 2 8 3 2 3 3 2" xfId="55180" xr:uid="{00000000-0005-0000-0000-000028B50000}"/>
    <cellStyle name="Normal 4 2 8 3 2 3 4" xfId="43735" xr:uid="{00000000-0005-0000-0000-000029B50000}"/>
    <cellStyle name="Normal 4 2 8 3 2 4" xfId="11858" xr:uid="{00000000-0005-0000-0000-00002AB50000}"/>
    <cellStyle name="Normal 4 2 8 3 2 4 2" xfId="27248" xr:uid="{00000000-0005-0000-0000-00002BB50000}"/>
    <cellStyle name="Normal 4 2 8 3 2 4 2 2" xfId="59119" xr:uid="{00000000-0005-0000-0000-00002CB50000}"/>
    <cellStyle name="Normal 4 2 8 3 2 4 3" xfId="43737" xr:uid="{00000000-0005-0000-0000-00002DB50000}"/>
    <cellStyle name="Normal 4 2 8 3 2 5" xfId="19370" xr:uid="{00000000-0005-0000-0000-00002EB50000}"/>
    <cellStyle name="Normal 4 2 8 3 2 5 2" xfId="51241" xr:uid="{00000000-0005-0000-0000-00002FB50000}"/>
    <cellStyle name="Normal 4 2 8 3 2 6" xfId="43730" xr:uid="{00000000-0005-0000-0000-000030B50000}"/>
    <cellStyle name="Normal 4 2 8 3 3" xfId="11859" xr:uid="{00000000-0005-0000-0000-000031B50000}"/>
    <cellStyle name="Normal 4 2 8 3 3 2" xfId="11860" xr:uid="{00000000-0005-0000-0000-000032B50000}"/>
    <cellStyle name="Normal 4 2 8 3 3 2 2" xfId="11861" xr:uid="{00000000-0005-0000-0000-000033B50000}"/>
    <cellStyle name="Normal 4 2 8 3 3 2 2 2" xfId="31189" xr:uid="{00000000-0005-0000-0000-000034B50000}"/>
    <cellStyle name="Normal 4 2 8 3 3 2 2 2 2" xfId="63060" xr:uid="{00000000-0005-0000-0000-000035B50000}"/>
    <cellStyle name="Normal 4 2 8 3 3 2 2 3" xfId="43740" xr:uid="{00000000-0005-0000-0000-000036B50000}"/>
    <cellStyle name="Normal 4 2 8 3 3 2 3" xfId="23311" xr:uid="{00000000-0005-0000-0000-000037B50000}"/>
    <cellStyle name="Normal 4 2 8 3 3 2 3 2" xfId="55182" xr:uid="{00000000-0005-0000-0000-000038B50000}"/>
    <cellStyle name="Normal 4 2 8 3 3 2 4" xfId="43739" xr:uid="{00000000-0005-0000-0000-000039B50000}"/>
    <cellStyle name="Normal 4 2 8 3 3 3" xfId="11862" xr:uid="{00000000-0005-0000-0000-00003AB50000}"/>
    <cellStyle name="Normal 4 2 8 3 3 3 2" xfId="27250" xr:uid="{00000000-0005-0000-0000-00003BB50000}"/>
    <cellStyle name="Normal 4 2 8 3 3 3 2 2" xfId="59121" xr:uid="{00000000-0005-0000-0000-00003CB50000}"/>
    <cellStyle name="Normal 4 2 8 3 3 3 3" xfId="43741" xr:uid="{00000000-0005-0000-0000-00003DB50000}"/>
    <cellStyle name="Normal 4 2 8 3 3 4" xfId="19372" xr:uid="{00000000-0005-0000-0000-00003EB50000}"/>
    <cellStyle name="Normal 4 2 8 3 3 4 2" xfId="51243" xr:uid="{00000000-0005-0000-0000-00003FB50000}"/>
    <cellStyle name="Normal 4 2 8 3 3 5" xfId="43738" xr:uid="{00000000-0005-0000-0000-000040B50000}"/>
    <cellStyle name="Normal 4 2 8 3 4" xfId="11863" xr:uid="{00000000-0005-0000-0000-000041B50000}"/>
    <cellStyle name="Normal 4 2 8 3 4 2" xfId="11864" xr:uid="{00000000-0005-0000-0000-000042B50000}"/>
    <cellStyle name="Normal 4 2 8 3 4 2 2" xfId="31186" xr:uid="{00000000-0005-0000-0000-000043B50000}"/>
    <cellStyle name="Normal 4 2 8 3 4 2 2 2" xfId="63057" xr:uid="{00000000-0005-0000-0000-000044B50000}"/>
    <cellStyle name="Normal 4 2 8 3 4 2 3" xfId="43743" xr:uid="{00000000-0005-0000-0000-000045B50000}"/>
    <cellStyle name="Normal 4 2 8 3 4 3" xfId="23308" xr:uid="{00000000-0005-0000-0000-000046B50000}"/>
    <cellStyle name="Normal 4 2 8 3 4 3 2" xfId="55179" xr:uid="{00000000-0005-0000-0000-000047B50000}"/>
    <cellStyle name="Normal 4 2 8 3 4 4" xfId="43742" xr:uid="{00000000-0005-0000-0000-000048B50000}"/>
    <cellStyle name="Normal 4 2 8 3 5" xfId="11865" xr:uid="{00000000-0005-0000-0000-000049B50000}"/>
    <cellStyle name="Normal 4 2 8 3 5 2" xfId="27247" xr:uid="{00000000-0005-0000-0000-00004AB50000}"/>
    <cellStyle name="Normal 4 2 8 3 5 2 2" xfId="59118" xr:uid="{00000000-0005-0000-0000-00004BB50000}"/>
    <cellStyle name="Normal 4 2 8 3 5 3" xfId="43744" xr:uid="{00000000-0005-0000-0000-00004CB50000}"/>
    <cellStyle name="Normal 4 2 8 3 6" xfId="19369" xr:uid="{00000000-0005-0000-0000-00004DB50000}"/>
    <cellStyle name="Normal 4 2 8 3 6 2" xfId="51240" xr:uid="{00000000-0005-0000-0000-00004EB50000}"/>
    <cellStyle name="Normal 4 2 8 3 7" xfId="43729" xr:uid="{00000000-0005-0000-0000-00004FB50000}"/>
    <cellStyle name="Normal 4 2 8 4" xfId="11866" xr:uid="{00000000-0005-0000-0000-000050B50000}"/>
    <cellStyle name="Normal 4 2 8 4 2" xfId="11867" xr:uid="{00000000-0005-0000-0000-000051B50000}"/>
    <cellStyle name="Normal 4 2 8 4 2 2" xfId="11868" xr:uid="{00000000-0005-0000-0000-000052B50000}"/>
    <cellStyle name="Normal 4 2 8 4 2 2 2" xfId="11869" xr:uid="{00000000-0005-0000-0000-000053B50000}"/>
    <cellStyle name="Normal 4 2 8 4 2 2 2 2" xfId="31191" xr:uid="{00000000-0005-0000-0000-000054B50000}"/>
    <cellStyle name="Normal 4 2 8 4 2 2 2 2 2" xfId="63062" xr:uid="{00000000-0005-0000-0000-000055B50000}"/>
    <cellStyle name="Normal 4 2 8 4 2 2 2 3" xfId="43748" xr:uid="{00000000-0005-0000-0000-000056B50000}"/>
    <cellStyle name="Normal 4 2 8 4 2 2 3" xfId="23313" xr:uid="{00000000-0005-0000-0000-000057B50000}"/>
    <cellStyle name="Normal 4 2 8 4 2 2 3 2" xfId="55184" xr:uid="{00000000-0005-0000-0000-000058B50000}"/>
    <cellStyle name="Normal 4 2 8 4 2 2 4" xfId="43747" xr:uid="{00000000-0005-0000-0000-000059B50000}"/>
    <cellStyle name="Normal 4 2 8 4 2 3" xfId="11870" xr:uid="{00000000-0005-0000-0000-00005AB50000}"/>
    <cellStyle name="Normal 4 2 8 4 2 3 2" xfId="27252" xr:uid="{00000000-0005-0000-0000-00005BB50000}"/>
    <cellStyle name="Normal 4 2 8 4 2 3 2 2" xfId="59123" xr:uid="{00000000-0005-0000-0000-00005CB50000}"/>
    <cellStyle name="Normal 4 2 8 4 2 3 3" xfId="43749" xr:uid="{00000000-0005-0000-0000-00005DB50000}"/>
    <cellStyle name="Normal 4 2 8 4 2 4" xfId="19374" xr:uid="{00000000-0005-0000-0000-00005EB50000}"/>
    <cellStyle name="Normal 4 2 8 4 2 4 2" xfId="51245" xr:uid="{00000000-0005-0000-0000-00005FB50000}"/>
    <cellStyle name="Normal 4 2 8 4 2 5" xfId="43746" xr:uid="{00000000-0005-0000-0000-000060B50000}"/>
    <cellStyle name="Normal 4 2 8 4 3" xfId="11871" xr:uid="{00000000-0005-0000-0000-000061B50000}"/>
    <cellStyle name="Normal 4 2 8 4 3 2" xfId="11872" xr:uid="{00000000-0005-0000-0000-000062B50000}"/>
    <cellStyle name="Normal 4 2 8 4 3 2 2" xfId="31190" xr:uid="{00000000-0005-0000-0000-000063B50000}"/>
    <cellStyle name="Normal 4 2 8 4 3 2 2 2" xfId="63061" xr:uid="{00000000-0005-0000-0000-000064B50000}"/>
    <cellStyle name="Normal 4 2 8 4 3 2 3" xfId="43751" xr:uid="{00000000-0005-0000-0000-000065B50000}"/>
    <cellStyle name="Normal 4 2 8 4 3 3" xfId="23312" xr:uid="{00000000-0005-0000-0000-000066B50000}"/>
    <cellStyle name="Normal 4 2 8 4 3 3 2" xfId="55183" xr:uid="{00000000-0005-0000-0000-000067B50000}"/>
    <cellStyle name="Normal 4 2 8 4 3 4" xfId="43750" xr:uid="{00000000-0005-0000-0000-000068B50000}"/>
    <cellStyle name="Normal 4 2 8 4 4" xfId="11873" xr:uid="{00000000-0005-0000-0000-000069B50000}"/>
    <cellStyle name="Normal 4 2 8 4 4 2" xfId="27251" xr:uid="{00000000-0005-0000-0000-00006AB50000}"/>
    <cellStyle name="Normal 4 2 8 4 4 2 2" xfId="59122" xr:uid="{00000000-0005-0000-0000-00006BB50000}"/>
    <cellStyle name="Normal 4 2 8 4 4 3" xfId="43752" xr:uid="{00000000-0005-0000-0000-00006CB50000}"/>
    <cellStyle name="Normal 4 2 8 4 5" xfId="19373" xr:uid="{00000000-0005-0000-0000-00006DB50000}"/>
    <cellStyle name="Normal 4 2 8 4 5 2" xfId="51244" xr:uid="{00000000-0005-0000-0000-00006EB50000}"/>
    <cellStyle name="Normal 4 2 8 4 6" xfId="43745" xr:uid="{00000000-0005-0000-0000-00006FB50000}"/>
    <cellStyle name="Normal 4 2 8 5" xfId="11874" xr:uid="{00000000-0005-0000-0000-000070B50000}"/>
    <cellStyle name="Normal 4 2 8 5 2" xfId="11875" xr:uid="{00000000-0005-0000-0000-000071B50000}"/>
    <cellStyle name="Normal 4 2 8 5 2 2" xfId="11876" xr:uid="{00000000-0005-0000-0000-000072B50000}"/>
    <cellStyle name="Normal 4 2 8 5 2 2 2" xfId="31192" xr:uid="{00000000-0005-0000-0000-000073B50000}"/>
    <cellStyle name="Normal 4 2 8 5 2 2 2 2" xfId="63063" xr:uid="{00000000-0005-0000-0000-000074B50000}"/>
    <cellStyle name="Normal 4 2 8 5 2 2 3" xfId="43755" xr:uid="{00000000-0005-0000-0000-000075B50000}"/>
    <cellStyle name="Normal 4 2 8 5 2 3" xfId="23314" xr:uid="{00000000-0005-0000-0000-000076B50000}"/>
    <cellStyle name="Normal 4 2 8 5 2 3 2" xfId="55185" xr:uid="{00000000-0005-0000-0000-000077B50000}"/>
    <cellStyle name="Normal 4 2 8 5 2 4" xfId="43754" xr:uid="{00000000-0005-0000-0000-000078B50000}"/>
    <cellStyle name="Normal 4 2 8 5 3" xfId="11877" xr:uid="{00000000-0005-0000-0000-000079B50000}"/>
    <cellStyle name="Normal 4 2 8 5 3 2" xfId="27253" xr:uid="{00000000-0005-0000-0000-00007AB50000}"/>
    <cellStyle name="Normal 4 2 8 5 3 2 2" xfId="59124" xr:uid="{00000000-0005-0000-0000-00007BB50000}"/>
    <cellStyle name="Normal 4 2 8 5 3 3" xfId="43756" xr:uid="{00000000-0005-0000-0000-00007CB50000}"/>
    <cellStyle name="Normal 4 2 8 5 4" xfId="19375" xr:uid="{00000000-0005-0000-0000-00007DB50000}"/>
    <cellStyle name="Normal 4 2 8 5 4 2" xfId="51246" xr:uid="{00000000-0005-0000-0000-00007EB50000}"/>
    <cellStyle name="Normal 4 2 8 5 5" xfId="43753" xr:uid="{00000000-0005-0000-0000-00007FB50000}"/>
    <cellStyle name="Normal 4 2 8 6" xfId="11878" xr:uid="{00000000-0005-0000-0000-000080B50000}"/>
    <cellStyle name="Normal 4 2 8 6 2" xfId="11879" xr:uid="{00000000-0005-0000-0000-000081B50000}"/>
    <cellStyle name="Normal 4 2 8 6 2 2" xfId="28384" xr:uid="{00000000-0005-0000-0000-000082B50000}"/>
    <cellStyle name="Normal 4 2 8 6 2 2 2" xfId="60255" xr:uid="{00000000-0005-0000-0000-000083B50000}"/>
    <cellStyle name="Normal 4 2 8 6 2 3" xfId="43758" xr:uid="{00000000-0005-0000-0000-000084B50000}"/>
    <cellStyle name="Normal 4 2 8 6 3" xfId="20506" xr:uid="{00000000-0005-0000-0000-000085B50000}"/>
    <cellStyle name="Normal 4 2 8 6 3 2" xfId="52377" xr:uid="{00000000-0005-0000-0000-000086B50000}"/>
    <cellStyle name="Normal 4 2 8 6 4" xfId="43757" xr:uid="{00000000-0005-0000-0000-000087B50000}"/>
    <cellStyle name="Normal 4 2 8 7" xfId="11880" xr:uid="{00000000-0005-0000-0000-000088B50000}"/>
    <cellStyle name="Normal 4 2 8 7 2" xfId="24445" xr:uid="{00000000-0005-0000-0000-000089B50000}"/>
    <cellStyle name="Normal 4 2 8 7 2 2" xfId="56316" xr:uid="{00000000-0005-0000-0000-00008AB50000}"/>
    <cellStyle name="Normal 4 2 8 7 3" xfId="43759" xr:uid="{00000000-0005-0000-0000-00008BB50000}"/>
    <cellStyle name="Normal 4 2 8 8" xfId="16567" xr:uid="{00000000-0005-0000-0000-00008CB50000}"/>
    <cellStyle name="Normal 4 2 8 8 2" xfId="48438" xr:uid="{00000000-0005-0000-0000-00008DB50000}"/>
    <cellStyle name="Normal 4 2 8 9" xfId="43696" xr:uid="{00000000-0005-0000-0000-00008EB50000}"/>
    <cellStyle name="Normal 4 2 9" xfId="11881" xr:uid="{00000000-0005-0000-0000-00008FB50000}"/>
    <cellStyle name="Normal 4 2 9 2" xfId="11882" xr:uid="{00000000-0005-0000-0000-000090B50000}"/>
    <cellStyle name="Normal 4 2 9 2 2" xfId="11883" xr:uid="{00000000-0005-0000-0000-000091B50000}"/>
    <cellStyle name="Normal 4 2 9 2 2 2" xfId="11884" xr:uid="{00000000-0005-0000-0000-000092B50000}"/>
    <cellStyle name="Normal 4 2 9 2 2 2 2" xfId="11885" xr:uid="{00000000-0005-0000-0000-000093B50000}"/>
    <cellStyle name="Normal 4 2 9 2 2 2 2 2" xfId="11886" xr:uid="{00000000-0005-0000-0000-000094B50000}"/>
    <cellStyle name="Normal 4 2 9 2 2 2 2 2 2" xfId="31195" xr:uid="{00000000-0005-0000-0000-000095B50000}"/>
    <cellStyle name="Normal 4 2 9 2 2 2 2 2 2 2" xfId="63066" xr:uid="{00000000-0005-0000-0000-000096B50000}"/>
    <cellStyle name="Normal 4 2 9 2 2 2 2 2 3" xfId="43765" xr:uid="{00000000-0005-0000-0000-000097B50000}"/>
    <cellStyle name="Normal 4 2 9 2 2 2 2 3" xfId="23317" xr:uid="{00000000-0005-0000-0000-000098B50000}"/>
    <cellStyle name="Normal 4 2 9 2 2 2 2 3 2" xfId="55188" xr:uid="{00000000-0005-0000-0000-000099B50000}"/>
    <cellStyle name="Normal 4 2 9 2 2 2 2 4" xfId="43764" xr:uid="{00000000-0005-0000-0000-00009AB50000}"/>
    <cellStyle name="Normal 4 2 9 2 2 2 3" xfId="11887" xr:uid="{00000000-0005-0000-0000-00009BB50000}"/>
    <cellStyle name="Normal 4 2 9 2 2 2 3 2" xfId="27256" xr:uid="{00000000-0005-0000-0000-00009CB50000}"/>
    <cellStyle name="Normal 4 2 9 2 2 2 3 2 2" xfId="59127" xr:uid="{00000000-0005-0000-0000-00009DB50000}"/>
    <cellStyle name="Normal 4 2 9 2 2 2 3 3" xfId="43766" xr:uid="{00000000-0005-0000-0000-00009EB50000}"/>
    <cellStyle name="Normal 4 2 9 2 2 2 4" xfId="19378" xr:uid="{00000000-0005-0000-0000-00009FB50000}"/>
    <cellStyle name="Normal 4 2 9 2 2 2 4 2" xfId="51249" xr:uid="{00000000-0005-0000-0000-0000A0B50000}"/>
    <cellStyle name="Normal 4 2 9 2 2 2 5" xfId="43763" xr:uid="{00000000-0005-0000-0000-0000A1B50000}"/>
    <cellStyle name="Normal 4 2 9 2 2 3" xfId="11888" xr:uid="{00000000-0005-0000-0000-0000A2B50000}"/>
    <cellStyle name="Normal 4 2 9 2 2 3 2" xfId="11889" xr:uid="{00000000-0005-0000-0000-0000A3B50000}"/>
    <cellStyle name="Normal 4 2 9 2 2 3 2 2" xfId="31194" xr:uid="{00000000-0005-0000-0000-0000A4B50000}"/>
    <cellStyle name="Normal 4 2 9 2 2 3 2 2 2" xfId="63065" xr:uid="{00000000-0005-0000-0000-0000A5B50000}"/>
    <cellStyle name="Normal 4 2 9 2 2 3 2 3" xfId="43768" xr:uid="{00000000-0005-0000-0000-0000A6B50000}"/>
    <cellStyle name="Normal 4 2 9 2 2 3 3" xfId="23316" xr:uid="{00000000-0005-0000-0000-0000A7B50000}"/>
    <cellStyle name="Normal 4 2 9 2 2 3 3 2" xfId="55187" xr:uid="{00000000-0005-0000-0000-0000A8B50000}"/>
    <cellStyle name="Normal 4 2 9 2 2 3 4" xfId="43767" xr:uid="{00000000-0005-0000-0000-0000A9B50000}"/>
    <cellStyle name="Normal 4 2 9 2 2 4" xfId="11890" xr:uid="{00000000-0005-0000-0000-0000AAB50000}"/>
    <cellStyle name="Normal 4 2 9 2 2 4 2" xfId="27255" xr:uid="{00000000-0005-0000-0000-0000ABB50000}"/>
    <cellStyle name="Normal 4 2 9 2 2 4 2 2" xfId="59126" xr:uid="{00000000-0005-0000-0000-0000ACB50000}"/>
    <cellStyle name="Normal 4 2 9 2 2 4 3" xfId="43769" xr:uid="{00000000-0005-0000-0000-0000ADB50000}"/>
    <cellStyle name="Normal 4 2 9 2 2 5" xfId="19377" xr:uid="{00000000-0005-0000-0000-0000AEB50000}"/>
    <cellStyle name="Normal 4 2 9 2 2 5 2" xfId="51248" xr:uid="{00000000-0005-0000-0000-0000AFB50000}"/>
    <cellStyle name="Normal 4 2 9 2 2 6" xfId="43762" xr:uid="{00000000-0005-0000-0000-0000B0B50000}"/>
    <cellStyle name="Normal 4 2 9 2 3" xfId="11891" xr:uid="{00000000-0005-0000-0000-0000B1B50000}"/>
    <cellStyle name="Normal 4 2 9 2 3 2" xfId="11892" xr:uid="{00000000-0005-0000-0000-0000B2B50000}"/>
    <cellStyle name="Normal 4 2 9 2 3 2 2" xfId="11893" xr:uid="{00000000-0005-0000-0000-0000B3B50000}"/>
    <cellStyle name="Normal 4 2 9 2 3 2 2 2" xfId="31196" xr:uid="{00000000-0005-0000-0000-0000B4B50000}"/>
    <cellStyle name="Normal 4 2 9 2 3 2 2 2 2" xfId="63067" xr:uid="{00000000-0005-0000-0000-0000B5B50000}"/>
    <cellStyle name="Normal 4 2 9 2 3 2 2 3" xfId="43772" xr:uid="{00000000-0005-0000-0000-0000B6B50000}"/>
    <cellStyle name="Normal 4 2 9 2 3 2 3" xfId="23318" xr:uid="{00000000-0005-0000-0000-0000B7B50000}"/>
    <cellStyle name="Normal 4 2 9 2 3 2 3 2" xfId="55189" xr:uid="{00000000-0005-0000-0000-0000B8B50000}"/>
    <cellStyle name="Normal 4 2 9 2 3 2 4" xfId="43771" xr:uid="{00000000-0005-0000-0000-0000B9B50000}"/>
    <cellStyle name="Normal 4 2 9 2 3 3" xfId="11894" xr:uid="{00000000-0005-0000-0000-0000BAB50000}"/>
    <cellStyle name="Normal 4 2 9 2 3 3 2" xfId="27257" xr:uid="{00000000-0005-0000-0000-0000BBB50000}"/>
    <cellStyle name="Normal 4 2 9 2 3 3 2 2" xfId="59128" xr:uid="{00000000-0005-0000-0000-0000BCB50000}"/>
    <cellStyle name="Normal 4 2 9 2 3 3 3" xfId="43773" xr:uid="{00000000-0005-0000-0000-0000BDB50000}"/>
    <cellStyle name="Normal 4 2 9 2 3 4" xfId="19379" xr:uid="{00000000-0005-0000-0000-0000BEB50000}"/>
    <cellStyle name="Normal 4 2 9 2 3 4 2" xfId="51250" xr:uid="{00000000-0005-0000-0000-0000BFB50000}"/>
    <cellStyle name="Normal 4 2 9 2 3 5" xfId="43770" xr:uid="{00000000-0005-0000-0000-0000C0B50000}"/>
    <cellStyle name="Normal 4 2 9 2 4" xfId="11895" xr:uid="{00000000-0005-0000-0000-0000C1B50000}"/>
    <cellStyle name="Normal 4 2 9 2 4 2" xfId="11896" xr:uid="{00000000-0005-0000-0000-0000C2B50000}"/>
    <cellStyle name="Normal 4 2 9 2 4 2 2" xfId="31193" xr:uid="{00000000-0005-0000-0000-0000C3B50000}"/>
    <cellStyle name="Normal 4 2 9 2 4 2 2 2" xfId="63064" xr:uid="{00000000-0005-0000-0000-0000C4B50000}"/>
    <cellStyle name="Normal 4 2 9 2 4 2 3" xfId="43775" xr:uid="{00000000-0005-0000-0000-0000C5B50000}"/>
    <cellStyle name="Normal 4 2 9 2 4 3" xfId="23315" xr:uid="{00000000-0005-0000-0000-0000C6B50000}"/>
    <cellStyle name="Normal 4 2 9 2 4 3 2" xfId="55186" xr:uid="{00000000-0005-0000-0000-0000C7B50000}"/>
    <cellStyle name="Normal 4 2 9 2 4 4" xfId="43774" xr:uid="{00000000-0005-0000-0000-0000C8B50000}"/>
    <cellStyle name="Normal 4 2 9 2 5" xfId="11897" xr:uid="{00000000-0005-0000-0000-0000C9B50000}"/>
    <cellStyle name="Normal 4 2 9 2 5 2" xfId="27254" xr:uid="{00000000-0005-0000-0000-0000CAB50000}"/>
    <cellStyle name="Normal 4 2 9 2 5 2 2" xfId="59125" xr:uid="{00000000-0005-0000-0000-0000CBB50000}"/>
    <cellStyle name="Normal 4 2 9 2 5 3" xfId="43776" xr:uid="{00000000-0005-0000-0000-0000CCB50000}"/>
    <cellStyle name="Normal 4 2 9 2 6" xfId="19376" xr:uid="{00000000-0005-0000-0000-0000CDB50000}"/>
    <cellStyle name="Normal 4 2 9 2 6 2" xfId="51247" xr:uid="{00000000-0005-0000-0000-0000CEB50000}"/>
    <cellStyle name="Normal 4 2 9 2 7" xfId="43761" xr:uid="{00000000-0005-0000-0000-0000CFB50000}"/>
    <cellStyle name="Normal 4 2 9 3" xfId="11898" xr:uid="{00000000-0005-0000-0000-0000D0B50000}"/>
    <cellStyle name="Normal 4 2 9 3 2" xfId="11899" xr:uid="{00000000-0005-0000-0000-0000D1B50000}"/>
    <cellStyle name="Normal 4 2 9 3 2 2" xfId="11900" xr:uid="{00000000-0005-0000-0000-0000D2B50000}"/>
    <cellStyle name="Normal 4 2 9 3 2 2 2" xfId="11901" xr:uid="{00000000-0005-0000-0000-0000D3B50000}"/>
    <cellStyle name="Normal 4 2 9 3 2 2 2 2" xfId="31198" xr:uid="{00000000-0005-0000-0000-0000D4B50000}"/>
    <cellStyle name="Normal 4 2 9 3 2 2 2 2 2" xfId="63069" xr:uid="{00000000-0005-0000-0000-0000D5B50000}"/>
    <cellStyle name="Normal 4 2 9 3 2 2 2 3" xfId="43780" xr:uid="{00000000-0005-0000-0000-0000D6B50000}"/>
    <cellStyle name="Normal 4 2 9 3 2 2 3" xfId="23320" xr:uid="{00000000-0005-0000-0000-0000D7B50000}"/>
    <cellStyle name="Normal 4 2 9 3 2 2 3 2" xfId="55191" xr:uid="{00000000-0005-0000-0000-0000D8B50000}"/>
    <cellStyle name="Normal 4 2 9 3 2 2 4" xfId="43779" xr:uid="{00000000-0005-0000-0000-0000D9B50000}"/>
    <cellStyle name="Normal 4 2 9 3 2 3" xfId="11902" xr:uid="{00000000-0005-0000-0000-0000DAB50000}"/>
    <cellStyle name="Normal 4 2 9 3 2 3 2" xfId="27259" xr:uid="{00000000-0005-0000-0000-0000DBB50000}"/>
    <cellStyle name="Normal 4 2 9 3 2 3 2 2" xfId="59130" xr:uid="{00000000-0005-0000-0000-0000DCB50000}"/>
    <cellStyle name="Normal 4 2 9 3 2 3 3" xfId="43781" xr:uid="{00000000-0005-0000-0000-0000DDB50000}"/>
    <cellStyle name="Normal 4 2 9 3 2 4" xfId="19381" xr:uid="{00000000-0005-0000-0000-0000DEB50000}"/>
    <cellStyle name="Normal 4 2 9 3 2 4 2" xfId="51252" xr:uid="{00000000-0005-0000-0000-0000DFB50000}"/>
    <cellStyle name="Normal 4 2 9 3 2 5" xfId="43778" xr:uid="{00000000-0005-0000-0000-0000E0B50000}"/>
    <cellStyle name="Normal 4 2 9 3 3" xfId="11903" xr:uid="{00000000-0005-0000-0000-0000E1B50000}"/>
    <cellStyle name="Normal 4 2 9 3 3 2" xfId="11904" xr:uid="{00000000-0005-0000-0000-0000E2B50000}"/>
    <cellStyle name="Normal 4 2 9 3 3 2 2" xfId="31197" xr:uid="{00000000-0005-0000-0000-0000E3B50000}"/>
    <cellStyle name="Normal 4 2 9 3 3 2 2 2" xfId="63068" xr:uid="{00000000-0005-0000-0000-0000E4B50000}"/>
    <cellStyle name="Normal 4 2 9 3 3 2 3" xfId="43783" xr:uid="{00000000-0005-0000-0000-0000E5B50000}"/>
    <cellStyle name="Normal 4 2 9 3 3 3" xfId="23319" xr:uid="{00000000-0005-0000-0000-0000E6B50000}"/>
    <cellStyle name="Normal 4 2 9 3 3 3 2" xfId="55190" xr:uid="{00000000-0005-0000-0000-0000E7B50000}"/>
    <cellStyle name="Normal 4 2 9 3 3 4" xfId="43782" xr:uid="{00000000-0005-0000-0000-0000E8B50000}"/>
    <cellStyle name="Normal 4 2 9 3 4" xfId="11905" xr:uid="{00000000-0005-0000-0000-0000E9B50000}"/>
    <cellStyle name="Normal 4 2 9 3 4 2" xfId="27258" xr:uid="{00000000-0005-0000-0000-0000EAB50000}"/>
    <cellStyle name="Normal 4 2 9 3 4 2 2" xfId="59129" xr:uid="{00000000-0005-0000-0000-0000EBB50000}"/>
    <cellStyle name="Normal 4 2 9 3 4 3" xfId="43784" xr:uid="{00000000-0005-0000-0000-0000ECB50000}"/>
    <cellStyle name="Normal 4 2 9 3 5" xfId="19380" xr:uid="{00000000-0005-0000-0000-0000EDB50000}"/>
    <cellStyle name="Normal 4 2 9 3 5 2" xfId="51251" xr:uid="{00000000-0005-0000-0000-0000EEB50000}"/>
    <cellStyle name="Normal 4 2 9 3 6" xfId="43777" xr:uid="{00000000-0005-0000-0000-0000EFB50000}"/>
    <cellStyle name="Normal 4 2 9 4" xfId="11906" xr:uid="{00000000-0005-0000-0000-0000F0B50000}"/>
    <cellStyle name="Normal 4 2 9 4 2" xfId="11907" xr:uid="{00000000-0005-0000-0000-0000F1B50000}"/>
    <cellStyle name="Normal 4 2 9 4 2 2" xfId="11908" xr:uid="{00000000-0005-0000-0000-0000F2B50000}"/>
    <cellStyle name="Normal 4 2 9 4 2 2 2" xfId="31199" xr:uid="{00000000-0005-0000-0000-0000F3B50000}"/>
    <cellStyle name="Normal 4 2 9 4 2 2 2 2" xfId="63070" xr:uid="{00000000-0005-0000-0000-0000F4B50000}"/>
    <cellStyle name="Normal 4 2 9 4 2 2 3" xfId="43787" xr:uid="{00000000-0005-0000-0000-0000F5B50000}"/>
    <cellStyle name="Normal 4 2 9 4 2 3" xfId="23321" xr:uid="{00000000-0005-0000-0000-0000F6B50000}"/>
    <cellStyle name="Normal 4 2 9 4 2 3 2" xfId="55192" xr:uid="{00000000-0005-0000-0000-0000F7B50000}"/>
    <cellStyle name="Normal 4 2 9 4 2 4" xfId="43786" xr:uid="{00000000-0005-0000-0000-0000F8B50000}"/>
    <cellStyle name="Normal 4 2 9 4 3" xfId="11909" xr:uid="{00000000-0005-0000-0000-0000F9B50000}"/>
    <cellStyle name="Normal 4 2 9 4 3 2" xfId="27260" xr:uid="{00000000-0005-0000-0000-0000FAB50000}"/>
    <cellStyle name="Normal 4 2 9 4 3 2 2" xfId="59131" xr:uid="{00000000-0005-0000-0000-0000FBB50000}"/>
    <cellStyle name="Normal 4 2 9 4 3 3" xfId="43788" xr:uid="{00000000-0005-0000-0000-0000FCB50000}"/>
    <cellStyle name="Normal 4 2 9 4 4" xfId="19382" xr:uid="{00000000-0005-0000-0000-0000FDB50000}"/>
    <cellStyle name="Normal 4 2 9 4 4 2" xfId="51253" xr:uid="{00000000-0005-0000-0000-0000FEB50000}"/>
    <cellStyle name="Normal 4 2 9 4 5" xfId="43785" xr:uid="{00000000-0005-0000-0000-0000FFB50000}"/>
    <cellStyle name="Normal 4 2 9 5" xfId="11910" xr:uid="{00000000-0005-0000-0000-000000B60000}"/>
    <cellStyle name="Normal 4 2 9 5 2" xfId="11911" xr:uid="{00000000-0005-0000-0000-000001B60000}"/>
    <cellStyle name="Normal 4 2 9 5 2 2" xfId="28261" xr:uid="{00000000-0005-0000-0000-000002B60000}"/>
    <cellStyle name="Normal 4 2 9 5 2 2 2" xfId="60132" xr:uid="{00000000-0005-0000-0000-000003B60000}"/>
    <cellStyle name="Normal 4 2 9 5 2 3" xfId="43790" xr:uid="{00000000-0005-0000-0000-000004B60000}"/>
    <cellStyle name="Normal 4 2 9 5 3" xfId="20383" xr:uid="{00000000-0005-0000-0000-000005B60000}"/>
    <cellStyle name="Normal 4 2 9 5 3 2" xfId="52254" xr:uid="{00000000-0005-0000-0000-000006B60000}"/>
    <cellStyle name="Normal 4 2 9 5 4" xfId="43789" xr:uid="{00000000-0005-0000-0000-000007B60000}"/>
    <cellStyle name="Normal 4 2 9 6" xfId="11912" xr:uid="{00000000-0005-0000-0000-000008B60000}"/>
    <cellStyle name="Normal 4 2 9 6 2" xfId="24322" xr:uid="{00000000-0005-0000-0000-000009B60000}"/>
    <cellStyle name="Normal 4 2 9 6 2 2" xfId="56193" xr:uid="{00000000-0005-0000-0000-00000AB60000}"/>
    <cellStyle name="Normal 4 2 9 6 3" xfId="43791" xr:uid="{00000000-0005-0000-0000-00000BB60000}"/>
    <cellStyle name="Normal 4 2 9 7" xfId="16444" xr:uid="{00000000-0005-0000-0000-00000CB60000}"/>
    <cellStyle name="Normal 4 2 9 7 2" xfId="48315" xr:uid="{00000000-0005-0000-0000-00000DB60000}"/>
    <cellStyle name="Normal 4 2 9 8" xfId="43760" xr:uid="{00000000-0005-0000-0000-00000EB60000}"/>
    <cellStyle name="Normal 4 3" xfId="147" xr:uid="{00000000-0005-0000-0000-00000FB60000}"/>
    <cellStyle name="Normal 4 3 10" xfId="11914" xr:uid="{00000000-0005-0000-0000-000010B60000}"/>
    <cellStyle name="Normal 4 3 10 2" xfId="11915" xr:uid="{00000000-0005-0000-0000-000011B60000}"/>
    <cellStyle name="Normal 4 3 10 2 2" xfId="11916" xr:uid="{00000000-0005-0000-0000-000012B60000}"/>
    <cellStyle name="Normal 4 3 10 2 2 2" xfId="11917" xr:uid="{00000000-0005-0000-0000-000013B60000}"/>
    <cellStyle name="Normal 4 3 10 2 2 2 2" xfId="31201" xr:uid="{00000000-0005-0000-0000-000014B60000}"/>
    <cellStyle name="Normal 4 3 10 2 2 2 2 2" xfId="63072" xr:uid="{00000000-0005-0000-0000-000015B60000}"/>
    <cellStyle name="Normal 4 3 10 2 2 2 3" xfId="43796" xr:uid="{00000000-0005-0000-0000-000016B60000}"/>
    <cellStyle name="Normal 4 3 10 2 2 3" xfId="23323" xr:uid="{00000000-0005-0000-0000-000017B60000}"/>
    <cellStyle name="Normal 4 3 10 2 2 3 2" xfId="55194" xr:uid="{00000000-0005-0000-0000-000018B60000}"/>
    <cellStyle name="Normal 4 3 10 2 2 4" xfId="43795" xr:uid="{00000000-0005-0000-0000-000019B60000}"/>
    <cellStyle name="Normal 4 3 10 2 3" xfId="11918" xr:uid="{00000000-0005-0000-0000-00001AB60000}"/>
    <cellStyle name="Normal 4 3 10 2 3 2" xfId="27262" xr:uid="{00000000-0005-0000-0000-00001BB60000}"/>
    <cellStyle name="Normal 4 3 10 2 3 2 2" xfId="59133" xr:uid="{00000000-0005-0000-0000-00001CB60000}"/>
    <cellStyle name="Normal 4 3 10 2 3 3" xfId="43797" xr:uid="{00000000-0005-0000-0000-00001DB60000}"/>
    <cellStyle name="Normal 4 3 10 2 4" xfId="19384" xr:uid="{00000000-0005-0000-0000-00001EB60000}"/>
    <cellStyle name="Normal 4 3 10 2 4 2" xfId="51255" xr:uid="{00000000-0005-0000-0000-00001FB60000}"/>
    <cellStyle name="Normal 4 3 10 2 5" xfId="43794" xr:uid="{00000000-0005-0000-0000-000020B60000}"/>
    <cellStyle name="Normal 4 3 10 3" xfId="11919" xr:uid="{00000000-0005-0000-0000-000021B60000}"/>
    <cellStyle name="Normal 4 3 10 3 2" xfId="11920" xr:uid="{00000000-0005-0000-0000-000022B60000}"/>
    <cellStyle name="Normal 4 3 10 3 2 2" xfId="31200" xr:uid="{00000000-0005-0000-0000-000023B60000}"/>
    <cellStyle name="Normal 4 3 10 3 2 2 2" xfId="63071" xr:uid="{00000000-0005-0000-0000-000024B60000}"/>
    <cellStyle name="Normal 4 3 10 3 2 3" xfId="43799" xr:uid="{00000000-0005-0000-0000-000025B60000}"/>
    <cellStyle name="Normal 4 3 10 3 3" xfId="23322" xr:uid="{00000000-0005-0000-0000-000026B60000}"/>
    <cellStyle name="Normal 4 3 10 3 3 2" xfId="55193" xr:uid="{00000000-0005-0000-0000-000027B60000}"/>
    <cellStyle name="Normal 4 3 10 3 4" xfId="43798" xr:uid="{00000000-0005-0000-0000-000028B60000}"/>
    <cellStyle name="Normal 4 3 10 4" xfId="11921" xr:uid="{00000000-0005-0000-0000-000029B60000}"/>
    <cellStyle name="Normal 4 3 10 4 2" xfId="27261" xr:uid="{00000000-0005-0000-0000-00002AB60000}"/>
    <cellStyle name="Normal 4 3 10 4 2 2" xfId="59132" xr:uid="{00000000-0005-0000-0000-00002BB60000}"/>
    <cellStyle name="Normal 4 3 10 4 3" xfId="43800" xr:uid="{00000000-0005-0000-0000-00002CB60000}"/>
    <cellStyle name="Normal 4 3 10 5" xfId="19383" xr:uid="{00000000-0005-0000-0000-00002DB60000}"/>
    <cellStyle name="Normal 4 3 10 5 2" xfId="51254" xr:uid="{00000000-0005-0000-0000-00002EB60000}"/>
    <cellStyle name="Normal 4 3 10 6" xfId="43793" xr:uid="{00000000-0005-0000-0000-00002FB60000}"/>
    <cellStyle name="Normal 4 3 11" xfId="11922" xr:uid="{00000000-0005-0000-0000-000030B60000}"/>
    <cellStyle name="Normal 4 3 11 2" xfId="11923" xr:uid="{00000000-0005-0000-0000-000031B60000}"/>
    <cellStyle name="Normal 4 3 11 2 2" xfId="11924" xr:uid="{00000000-0005-0000-0000-000032B60000}"/>
    <cellStyle name="Normal 4 3 11 2 2 2" xfId="31202" xr:uid="{00000000-0005-0000-0000-000033B60000}"/>
    <cellStyle name="Normal 4 3 11 2 2 2 2" xfId="63073" xr:uid="{00000000-0005-0000-0000-000034B60000}"/>
    <cellStyle name="Normal 4 3 11 2 2 3" xfId="43803" xr:uid="{00000000-0005-0000-0000-000035B60000}"/>
    <cellStyle name="Normal 4 3 11 2 3" xfId="23324" xr:uid="{00000000-0005-0000-0000-000036B60000}"/>
    <cellStyle name="Normal 4 3 11 2 3 2" xfId="55195" xr:uid="{00000000-0005-0000-0000-000037B60000}"/>
    <cellStyle name="Normal 4 3 11 2 4" xfId="43802" xr:uid="{00000000-0005-0000-0000-000038B60000}"/>
    <cellStyle name="Normal 4 3 11 3" xfId="11925" xr:uid="{00000000-0005-0000-0000-000039B60000}"/>
    <cellStyle name="Normal 4 3 11 3 2" xfId="27263" xr:uid="{00000000-0005-0000-0000-00003AB60000}"/>
    <cellStyle name="Normal 4 3 11 3 2 2" xfId="59134" xr:uid="{00000000-0005-0000-0000-00003BB60000}"/>
    <cellStyle name="Normal 4 3 11 3 3" xfId="43804" xr:uid="{00000000-0005-0000-0000-00003CB60000}"/>
    <cellStyle name="Normal 4 3 11 4" xfId="19385" xr:uid="{00000000-0005-0000-0000-00003DB60000}"/>
    <cellStyle name="Normal 4 3 11 4 2" xfId="51256" xr:uid="{00000000-0005-0000-0000-00003EB60000}"/>
    <cellStyle name="Normal 4 3 11 5" xfId="43801" xr:uid="{00000000-0005-0000-0000-00003FB60000}"/>
    <cellStyle name="Normal 4 3 12" xfId="11926" xr:uid="{00000000-0005-0000-0000-000040B60000}"/>
    <cellStyle name="Normal 4 3 12 2" xfId="11927" xr:uid="{00000000-0005-0000-0000-000041B60000}"/>
    <cellStyle name="Normal 4 3 12 2 2" xfId="28240" xr:uid="{00000000-0005-0000-0000-000042B60000}"/>
    <cellStyle name="Normal 4 3 12 2 2 2" xfId="60111" xr:uid="{00000000-0005-0000-0000-000043B60000}"/>
    <cellStyle name="Normal 4 3 12 2 3" xfId="43806" xr:uid="{00000000-0005-0000-0000-000044B60000}"/>
    <cellStyle name="Normal 4 3 12 3" xfId="20362" xr:uid="{00000000-0005-0000-0000-000045B60000}"/>
    <cellStyle name="Normal 4 3 12 3 2" xfId="52233" xr:uid="{00000000-0005-0000-0000-000046B60000}"/>
    <cellStyle name="Normal 4 3 12 4" xfId="43805" xr:uid="{00000000-0005-0000-0000-000047B60000}"/>
    <cellStyle name="Normal 4 3 13" xfId="11928" xr:uid="{00000000-0005-0000-0000-000048B60000}"/>
    <cellStyle name="Normal 4 3 13 2" xfId="24301" xr:uid="{00000000-0005-0000-0000-000049B60000}"/>
    <cellStyle name="Normal 4 3 13 2 2" xfId="56172" xr:uid="{00000000-0005-0000-0000-00004AB60000}"/>
    <cellStyle name="Normal 4 3 13 3" xfId="43807" xr:uid="{00000000-0005-0000-0000-00004BB60000}"/>
    <cellStyle name="Normal 4 3 14" xfId="16423" xr:uid="{00000000-0005-0000-0000-00004CB60000}"/>
    <cellStyle name="Normal 4 3 14 2" xfId="48294" xr:uid="{00000000-0005-0000-0000-00004DB60000}"/>
    <cellStyle name="Normal 4 3 15" xfId="11913" xr:uid="{00000000-0005-0000-0000-00004EB60000}"/>
    <cellStyle name="Normal 4 3 15 2" xfId="43792" xr:uid="{00000000-0005-0000-0000-00004FB60000}"/>
    <cellStyle name="Normal 4 3 2" xfId="11929" xr:uid="{00000000-0005-0000-0000-000050B60000}"/>
    <cellStyle name="Normal 4 3 2 10" xfId="11930" xr:uid="{00000000-0005-0000-0000-000051B60000}"/>
    <cellStyle name="Normal 4 3 2 10 2" xfId="11931" xr:uid="{00000000-0005-0000-0000-000052B60000}"/>
    <cellStyle name="Normal 4 3 2 10 2 2" xfId="28248" xr:uid="{00000000-0005-0000-0000-000053B60000}"/>
    <cellStyle name="Normal 4 3 2 10 2 2 2" xfId="60119" xr:uid="{00000000-0005-0000-0000-000054B60000}"/>
    <cellStyle name="Normal 4 3 2 10 2 3" xfId="43810" xr:uid="{00000000-0005-0000-0000-000055B60000}"/>
    <cellStyle name="Normal 4 3 2 10 3" xfId="20370" xr:uid="{00000000-0005-0000-0000-000056B60000}"/>
    <cellStyle name="Normal 4 3 2 10 3 2" xfId="52241" xr:uid="{00000000-0005-0000-0000-000057B60000}"/>
    <cellStyle name="Normal 4 3 2 10 4" xfId="43809" xr:uid="{00000000-0005-0000-0000-000058B60000}"/>
    <cellStyle name="Normal 4 3 2 11" xfId="11932" xr:uid="{00000000-0005-0000-0000-000059B60000}"/>
    <cellStyle name="Normal 4 3 2 11 2" xfId="24309" xr:uid="{00000000-0005-0000-0000-00005AB60000}"/>
    <cellStyle name="Normal 4 3 2 11 2 2" xfId="56180" xr:uid="{00000000-0005-0000-0000-00005BB60000}"/>
    <cellStyle name="Normal 4 3 2 11 3" xfId="43811" xr:uid="{00000000-0005-0000-0000-00005CB60000}"/>
    <cellStyle name="Normal 4 3 2 12" xfId="16431" xr:uid="{00000000-0005-0000-0000-00005DB60000}"/>
    <cellStyle name="Normal 4 3 2 12 2" xfId="48302" xr:uid="{00000000-0005-0000-0000-00005EB60000}"/>
    <cellStyle name="Normal 4 3 2 13" xfId="43808" xr:uid="{00000000-0005-0000-0000-00005FB60000}"/>
    <cellStyle name="Normal 4 3 2 2" xfId="11933" xr:uid="{00000000-0005-0000-0000-000060B60000}"/>
    <cellStyle name="Normal 4 3 2 2 10" xfId="11934" xr:uid="{00000000-0005-0000-0000-000061B60000}"/>
    <cellStyle name="Normal 4 3 2 2 10 2" xfId="24350" xr:uid="{00000000-0005-0000-0000-000062B60000}"/>
    <cellStyle name="Normal 4 3 2 2 10 2 2" xfId="56221" xr:uid="{00000000-0005-0000-0000-000063B60000}"/>
    <cellStyle name="Normal 4 3 2 2 10 3" xfId="43813" xr:uid="{00000000-0005-0000-0000-000064B60000}"/>
    <cellStyle name="Normal 4 3 2 2 11" xfId="16472" xr:uid="{00000000-0005-0000-0000-000065B60000}"/>
    <cellStyle name="Normal 4 3 2 2 11 2" xfId="48343" xr:uid="{00000000-0005-0000-0000-000066B60000}"/>
    <cellStyle name="Normal 4 3 2 2 12" xfId="43812" xr:uid="{00000000-0005-0000-0000-000067B60000}"/>
    <cellStyle name="Normal 4 3 2 2 2" xfId="11935" xr:uid="{00000000-0005-0000-0000-000068B60000}"/>
    <cellStyle name="Normal 4 3 2 2 2 10" xfId="43814" xr:uid="{00000000-0005-0000-0000-000069B60000}"/>
    <cellStyle name="Normal 4 3 2 2 2 2" xfId="11936" xr:uid="{00000000-0005-0000-0000-00006AB60000}"/>
    <cellStyle name="Normal 4 3 2 2 2 2 2" xfId="11937" xr:uid="{00000000-0005-0000-0000-00006BB60000}"/>
    <cellStyle name="Normal 4 3 2 2 2 2 2 2" xfId="11938" xr:uid="{00000000-0005-0000-0000-00006CB60000}"/>
    <cellStyle name="Normal 4 3 2 2 2 2 2 2 2" xfId="11939" xr:uid="{00000000-0005-0000-0000-00006DB60000}"/>
    <cellStyle name="Normal 4 3 2 2 2 2 2 2 2 2" xfId="11940" xr:uid="{00000000-0005-0000-0000-00006EB60000}"/>
    <cellStyle name="Normal 4 3 2 2 2 2 2 2 2 2 2" xfId="11941" xr:uid="{00000000-0005-0000-0000-00006FB60000}"/>
    <cellStyle name="Normal 4 3 2 2 2 2 2 2 2 2 2 2" xfId="11942" xr:uid="{00000000-0005-0000-0000-000070B60000}"/>
    <cellStyle name="Normal 4 3 2 2 2 2 2 2 2 2 2 2 2" xfId="31206" xr:uid="{00000000-0005-0000-0000-000071B60000}"/>
    <cellStyle name="Normal 4 3 2 2 2 2 2 2 2 2 2 2 2 2" xfId="63077" xr:uid="{00000000-0005-0000-0000-000072B60000}"/>
    <cellStyle name="Normal 4 3 2 2 2 2 2 2 2 2 2 2 3" xfId="43821" xr:uid="{00000000-0005-0000-0000-000073B60000}"/>
    <cellStyle name="Normal 4 3 2 2 2 2 2 2 2 2 2 3" xfId="23328" xr:uid="{00000000-0005-0000-0000-000074B60000}"/>
    <cellStyle name="Normal 4 3 2 2 2 2 2 2 2 2 2 3 2" xfId="55199" xr:uid="{00000000-0005-0000-0000-000075B60000}"/>
    <cellStyle name="Normal 4 3 2 2 2 2 2 2 2 2 2 4" xfId="43820" xr:uid="{00000000-0005-0000-0000-000076B60000}"/>
    <cellStyle name="Normal 4 3 2 2 2 2 2 2 2 2 3" xfId="11943" xr:uid="{00000000-0005-0000-0000-000077B60000}"/>
    <cellStyle name="Normal 4 3 2 2 2 2 2 2 2 2 3 2" xfId="27267" xr:uid="{00000000-0005-0000-0000-000078B60000}"/>
    <cellStyle name="Normal 4 3 2 2 2 2 2 2 2 2 3 2 2" xfId="59138" xr:uid="{00000000-0005-0000-0000-000079B60000}"/>
    <cellStyle name="Normal 4 3 2 2 2 2 2 2 2 2 3 3" xfId="43822" xr:uid="{00000000-0005-0000-0000-00007AB60000}"/>
    <cellStyle name="Normal 4 3 2 2 2 2 2 2 2 2 4" xfId="19389" xr:uid="{00000000-0005-0000-0000-00007BB60000}"/>
    <cellStyle name="Normal 4 3 2 2 2 2 2 2 2 2 4 2" xfId="51260" xr:uid="{00000000-0005-0000-0000-00007CB60000}"/>
    <cellStyle name="Normal 4 3 2 2 2 2 2 2 2 2 5" xfId="43819" xr:uid="{00000000-0005-0000-0000-00007DB60000}"/>
    <cellStyle name="Normal 4 3 2 2 2 2 2 2 2 3" xfId="11944" xr:uid="{00000000-0005-0000-0000-00007EB60000}"/>
    <cellStyle name="Normal 4 3 2 2 2 2 2 2 2 3 2" xfId="11945" xr:uid="{00000000-0005-0000-0000-00007FB60000}"/>
    <cellStyle name="Normal 4 3 2 2 2 2 2 2 2 3 2 2" xfId="31205" xr:uid="{00000000-0005-0000-0000-000080B60000}"/>
    <cellStyle name="Normal 4 3 2 2 2 2 2 2 2 3 2 2 2" xfId="63076" xr:uid="{00000000-0005-0000-0000-000081B60000}"/>
    <cellStyle name="Normal 4 3 2 2 2 2 2 2 2 3 2 3" xfId="43824" xr:uid="{00000000-0005-0000-0000-000082B60000}"/>
    <cellStyle name="Normal 4 3 2 2 2 2 2 2 2 3 3" xfId="23327" xr:uid="{00000000-0005-0000-0000-000083B60000}"/>
    <cellStyle name="Normal 4 3 2 2 2 2 2 2 2 3 3 2" xfId="55198" xr:uid="{00000000-0005-0000-0000-000084B60000}"/>
    <cellStyle name="Normal 4 3 2 2 2 2 2 2 2 3 4" xfId="43823" xr:uid="{00000000-0005-0000-0000-000085B60000}"/>
    <cellStyle name="Normal 4 3 2 2 2 2 2 2 2 4" xfId="11946" xr:uid="{00000000-0005-0000-0000-000086B60000}"/>
    <cellStyle name="Normal 4 3 2 2 2 2 2 2 2 4 2" xfId="27266" xr:uid="{00000000-0005-0000-0000-000087B60000}"/>
    <cellStyle name="Normal 4 3 2 2 2 2 2 2 2 4 2 2" xfId="59137" xr:uid="{00000000-0005-0000-0000-000088B60000}"/>
    <cellStyle name="Normal 4 3 2 2 2 2 2 2 2 4 3" xfId="43825" xr:uid="{00000000-0005-0000-0000-000089B60000}"/>
    <cellStyle name="Normal 4 3 2 2 2 2 2 2 2 5" xfId="19388" xr:uid="{00000000-0005-0000-0000-00008AB60000}"/>
    <cellStyle name="Normal 4 3 2 2 2 2 2 2 2 5 2" xfId="51259" xr:uid="{00000000-0005-0000-0000-00008BB60000}"/>
    <cellStyle name="Normal 4 3 2 2 2 2 2 2 2 6" xfId="43818" xr:uid="{00000000-0005-0000-0000-00008CB60000}"/>
    <cellStyle name="Normal 4 3 2 2 2 2 2 2 3" xfId="11947" xr:uid="{00000000-0005-0000-0000-00008DB60000}"/>
    <cellStyle name="Normal 4 3 2 2 2 2 2 2 3 2" xfId="11948" xr:uid="{00000000-0005-0000-0000-00008EB60000}"/>
    <cellStyle name="Normal 4 3 2 2 2 2 2 2 3 2 2" xfId="11949" xr:uid="{00000000-0005-0000-0000-00008FB60000}"/>
    <cellStyle name="Normal 4 3 2 2 2 2 2 2 3 2 2 2" xfId="31207" xr:uid="{00000000-0005-0000-0000-000090B60000}"/>
    <cellStyle name="Normal 4 3 2 2 2 2 2 2 3 2 2 2 2" xfId="63078" xr:uid="{00000000-0005-0000-0000-000091B60000}"/>
    <cellStyle name="Normal 4 3 2 2 2 2 2 2 3 2 2 3" xfId="43828" xr:uid="{00000000-0005-0000-0000-000092B60000}"/>
    <cellStyle name="Normal 4 3 2 2 2 2 2 2 3 2 3" xfId="23329" xr:uid="{00000000-0005-0000-0000-000093B60000}"/>
    <cellStyle name="Normal 4 3 2 2 2 2 2 2 3 2 3 2" xfId="55200" xr:uid="{00000000-0005-0000-0000-000094B60000}"/>
    <cellStyle name="Normal 4 3 2 2 2 2 2 2 3 2 4" xfId="43827" xr:uid="{00000000-0005-0000-0000-000095B60000}"/>
    <cellStyle name="Normal 4 3 2 2 2 2 2 2 3 3" xfId="11950" xr:uid="{00000000-0005-0000-0000-000096B60000}"/>
    <cellStyle name="Normal 4 3 2 2 2 2 2 2 3 3 2" xfId="27268" xr:uid="{00000000-0005-0000-0000-000097B60000}"/>
    <cellStyle name="Normal 4 3 2 2 2 2 2 2 3 3 2 2" xfId="59139" xr:uid="{00000000-0005-0000-0000-000098B60000}"/>
    <cellStyle name="Normal 4 3 2 2 2 2 2 2 3 3 3" xfId="43829" xr:uid="{00000000-0005-0000-0000-000099B60000}"/>
    <cellStyle name="Normal 4 3 2 2 2 2 2 2 3 4" xfId="19390" xr:uid="{00000000-0005-0000-0000-00009AB60000}"/>
    <cellStyle name="Normal 4 3 2 2 2 2 2 2 3 4 2" xfId="51261" xr:uid="{00000000-0005-0000-0000-00009BB60000}"/>
    <cellStyle name="Normal 4 3 2 2 2 2 2 2 3 5" xfId="43826" xr:uid="{00000000-0005-0000-0000-00009CB60000}"/>
    <cellStyle name="Normal 4 3 2 2 2 2 2 2 4" xfId="11951" xr:uid="{00000000-0005-0000-0000-00009DB60000}"/>
    <cellStyle name="Normal 4 3 2 2 2 2 2 2 4 2" xfId="11952" xr:uid="{00000000-0005-0000-0000-00009EB60000}"/>
    <cellStyle name="Normal 4 3 2 2 2 2 2 2 4 2 2" xfId="31204" xr:uid="{00000000-0005-0000-0000-00009FB60000}"/>
    <cellStyle name="Normal 4 3 2 2 2 2 2 2 4 2 2 2" xfId="63075" xr:uid="{00000000-0005-0000-0000-0000A0B60000}"/>
    <cellStyle name="Normal 4 3 2 2 2 2 2 2 4 2 3" xfId="43831" xr:uid="{00000000-0005-0000-0000-0000A1B60000}"/>
    <cellStyle name="Normal 4 3 2 2 2 2 2 2 4 3" xfId="23326" xr:uid="{00000000-0005-0000-0000-0000A2B60000}"/>
    <cellStyle name="Normal 4 3 2 2 2 2 2 2 4 3 2" xfId="55197" xr:uid="{00000000-0005-0000-0000-0000A3B60000}"/>
    <cellStyle name="Normal 4 3 2 2 2 2 2 2 4 4" xfId="43830" xr:uid="{00000000-0005-0000-0000-0000A4B60000}"/>
    <cellStyle name="Normal 4 3 2 2 2 2 2 2 5" xfId="11953" xr:uid="{00000000-0005-0000-0000-0000A5B60000}"/>
    <cellStyle name="Normal 4 3 2 2 2 2 2 2 5 2" xfId="27265" xr:uid="{00000000-0005-0000-0000-0000A6B60000}"/>
    <cellStyle name="Normal 4 3 2 2 2 2 2 2 5 2 2" xfId="59136" xr:uid="{00000000-0005-0000-0000-0000A7B60000}"/>
    <cellStyle name="Normal 4 3 2 2 2 2 2 2 5 3" xfId="43832" xr:uid="{00000000-0005-0000-0000-0000A8B60000}"/>
    <cellStyle name="Normal 4 3 2 2 2 2 2 2 6" xfId="19387" xr:uid="{00000000-0005-0000-0000-0000A9B60000}"/>
    <cellStyle name="Normal 4 3 2 2 2 2 2 2 6 2" xfId="51258" xr:uid="{00000000-0005-0000-0000-0000AAB60000}"/>
    <cellStyle name="Normal 4 3 2 2 2 2 2 2 7" xfId="43817" xr:uid="{00000000-0005-0000-0000-0000ABB60000}"/>
    <cellStyle name="Normal 4 3 2 2 2 2 2 3" xfId="11954" xr:uid="{00000000-0005-0000-0000-0000ACB60000}"/>
    <cellStyle name="Normal 4 3 2 2 2 2 2 3 2" xfId="11955" xr:uid="{00000000-0005-0000-0000-0000ADB60000}"/>
    <cellStyle name="Normal 4 3 2 2 2 2 2 3 2 2" xfId="11956" xr:uid="{00000000-0005-0000-0000-0000AEB60000}"/>
    <cellStyle name="Normal 4 3 2 2 2 2 2 3 2 2 2" xfId="11957" xr:uid="{00000000-0005-0000-0000-0000AFB60000}"/>
    <cellStyle name="Normal 4 3 2 2 2 2 2 3 2 2 2 2" xfId="31209" xr:uid="{00000000-0005-0000-0000-0000B0B60000}"/>
    <cellStyle name="Normal 4 3 2 2 2 2 2 3 2 2 2 2 2" xfId="63080" xr:uid="{00000000-0005-0000-0000-0000B1B60000}"/>
    <cellStyle name="Normal 4 3 2 2 2 2 2 3 2 2 2 3" xfId="43836" xr:uid="{00000000-0005-0000-0000-0000B2B60000}"/>
    <cellStyle name="Normal 4 3 2 2 2 2 2 3 2 2 3" xfId="23331" xr:uid="{00000000-0005-0000-0000-0000B3B60000}"/>
    <cellStyle name="Normal 4 3 2 2 2 2 2 3 2 2 3 2" xfId="55202" xr:uid="{00000000-0005-0000-0000-0000B4B60000}"/>
    <cellStyle name="Normal 4 3 2 2 2 2 2 3 2 2 4" xfId="43835" xr:uid="{00000000-0005-0000-0000-0000B5B60000}"/>
    <cellStyle name="Normal 4 3 2 2 2 2 2 3 2 3" xfId="11958" xr:uid="{00000000-0005-0000-0000-0000B6B60000}"/>
    <cellStyle name="Normal 4 3 2 2 2 2 2 3 2 3 2" xfId="27270" xr:uid="{00000000-0005-0000-0000-0000B7B60000}"/>
    <cellStyle name="Normal 4 3 2 2 2 2 2 3 2 3 2 2" xfId="59141" xr:uid="{00000000-0005-0000-0000-0000B8B60000}"/>
    <cellStyle name="Normal 4 3 2 2 2 2 2 3 2 3 3" xfId="43837" xr:uid="{00000000-0005-0000-0000-0000B9B60000}"/>
    <cellStyle name="Normal 4 3 2 2 2 2 2 3 2 4" xfId="19392" xr:uid="{00000000-0005-0000-0000-0000BAB60000}"/>
    <cellStyle name="Normal 4 3 2 2 2 2 2 3 2 4 2" xfId="51263" xr:uid="{00000000-0005-0000-0000-0000BBB60000}"/>
    <cellStyle name="Normal 4 3 2 2 2 2 2 3 2 5" xfId="43834" xr:uid="{00000000-0005-0000-0000-0000BCB60000}"/>
    <cellStyle name="Normal 4 3 2 2 2 2 2 3 3" xfId="11959" xr:uid="{00000000-0005-0000-0000-0000BDB60000}"/>
    <cellStyle name="Normal 4 3 2 2 2 2 2 3 3 2" xfId="11960" xr:uid="{00000000-0005-0000-0000-0000BEB60000}"/>
    <cellStyle name="Normal 4 3 2 2 2 2 2 3 3 2 2" xfId="31208" xr:uid="{00000000-0005-0000-0000-0000BFB60000}"/>
    <cellStyle name="Normal 4 3 2 2 2 2 2 3 3 2 2 2" xfId="63079" xr:uid="{00000000-0005-0000-0000-0000C0B60000}"/>
    <cellStyle name="Normal 4 3 2 2 2 2 2 3 3 2 3" xfId="43839" xr:uid="{00000000-0005-0000-0000-0000C1B60000}"/>
    <cellStyle name="Normal 4 3 2 2 2 2 2 3 3 3" xfId="23330" xr:uid="{00000000-0005-0000-0000-0000C2B60000}"/>
    <cellStyle name="Normal 4 3 2 2 2 2 2 3 3 3 2" xfId="55201" xr:uid="{00000000-0005-0000-0000-0000C3B60000}"/>
    <cellStyle name="Normal 4 3 2 2 2 2 2 3 3 4" xfId="43838" xr:uid="{00000000-0005-0000-0000-0000C4B60000}"/>
    <cellStyle name="Normal 4 3 2 2 2 2 2 3 4" xfId="11961" xr:uid="{00000000-0005-0000-0000-0000C5B60000}"/>
    <cellStyle name="Normal 4 3 2 2 2 2 2 3 4 2" xfId="27269" xr:uid="{00000000-0005-0000-0000-0000C6B60000}"/>
    <cellStyle name="Normal 4 3 2 2 2 2 2 3 4 2 2" xfId="59140" xr:uid="{00000000-0005-0000-0000-0000C7B60000}"/>
    <cellStyle name="Normal 4 3 2 2 2 2 2 3 4 3" xfId="43840" xr:uid="{00000000-0005-0000-0000-0000C8B60000}"/>
    <cellStyle name="Normal 4 3 2 2 2 2 2 3 5" xfId="19391" xr:uid="{00000000-0005-0000-0000-0000C9B60000}"/>
    <cellStyle name="Normal 4 3 2 2 2 2 2 3 5 2" xfId="51262" xr:uid="{00000000-0005-0000-0000-0000CAB60000}"/>
    <cellStyle name="Normal 4 3 2 2 2 2 2 3 6" xfId="43833" xr:uid="{00000000-0005-0000-0000-0000CBB60000}"/>
    <cellStyle name="Normal 4 3 2 2 2 2 2 4" xfId="11962" xr:uid="{00000000-0005-0000-0000-0000CCB60000}"/>
    <cellStyle name="Normal 4 3 2 2 2 2 2 4 2" xfId="11963" xr:uid="{00000000-0005-0000-0000-0000CDB60000}"/>
    <cellStyle name="Normal 4 3 2 2 2 2 2 4 2 2" xfId="11964" xr:uid="{00000000-0005-0000-0000-0000CEB60000}"/>
    <cellStyle name="Normal 4 3 2 2 2 2 2 4 2 2 2" xfId="31210" xr:uid="{00000000-0005-0000-0000-0000CFB60000}"/>
    <cellStyle name="Normal 4 3 2 2 2 2 2 4 2 2 2 2" xfId="63081" xr:uid="{00000000-0005-0000-0000-0000D0B60000}"/>
    <cellStyle name="Normal 4 3 2 2 2 2 2 4 2 2 3" xfId="43843" xr:uid="{00000000-0005-0000-0000-0000D1B60000}"/>
    <cellStyle name="Normal 4 3 2 2 2 2 2 4 2 3" xfId="23332" xr:uid="{00000000-0005-0000-0000-0000D2B60000}"/>
    <cellStyle name="Normal 4 3 2 2 2 2 2 4 2 3 2" xfId="55203" xr:uid="{00000000-0005-0000-0000-0000D3B60000}"/>
    <cellStyle name="Normal 4 3 2 2 2 2 2 4 2 4" xfId="43842" xr:uid="{00000000-0005-0000-0000-0000D4B60000}"/>
    <cellStyle name="Normal 4 3 2 2 2 2 2 4 3" xfId="11965" xr:uid="{00000000-0005-0000-0000-0000D5B60000}"/>
    <cellStyle name="Normal 4 3 2 2 2 2 2 4 3 2" xfId="27271" xr:uid="{00000000-0005-0000-0000-0000D6B60000}"/>
    <cellStyle name="Normal 4 3 2 2 2 2 2 4 3 2 2" xfId="59142" xr:uid="{00000000-0005-0000-0000-0000D7B60000}"/>
    <cellStyle name="Normal 4 3 2 2 2 2 2 4 3 3" xfId="43844" xr:uid="{00000000-0005-0000-0000-0000D8B60000}"/>
    <cellStyle name="Normal 4 3 2 2 2 2 2 4 4" xfId="19393" xr:uid="{00000000-0005-0000-0000-0000D9B60000}"/>
    <cellStyle name="Normal 4 3 2 2 2 2 2 4 4 2" xfId="51264" xr:uid="{00000000-0005-0000-0000-0000DAB60000}"/>
    <cellStyle name="Normal 4 3 2 2 2 2 2 4 5" xfId="43841" xr:uid="{00000000-0005-0000-0000-0000DBB60000}"/>
    <cellStyle name="Normal 4 3 2 2 2 2 2 5" xfId="11966" xr:uid="{00000000-0005-0000-0000-0000DCB60000}"/>
    <cellStyle name="Normal 4 3 2 2 2 2 2 5 2" xfId="11967" xr:uid="{00000000-0005-0000-0000-0000DDB60000}"/>
    <cellStyle name="Normal 4 3 2 2 2 2 2 5 2 2" xfId="31203" xr:uid="{00000000-0005-0000-0000-0000DEB60000}"/>
    <cellStyle name="Normal 4 3 2 2 2 2 2 5 2 2 2" xfId="63074" xr:uid="{00000000-0005-0000-0000-0000DFB60000}"/>
    <cellStyle name="Normal 4 3 2 2 2 2 2 5 2 3" xfId="43846" xr:uid="{00000000-0005-0000-0000-0000E0B60000}"/>
    <cellStyle name="Normal 4 3 2 2 2 2 2 5 3" xfId="23325" xr:uid="{00000000-0005-0000-0000-0000E1B60000}"/>
    <cellStyle name="Normal 4 3 2 2 2 2 2 5 3 2" xfId="55196" xr:uid="{00000000-0005-0000-0000-0000E2B60000}"/>
    <cellStyle name="Normal 4 3 2 2 2 2 2 5 4" xfId="43845" xr:uid="{00000000-0005-0000-0000-0000E3B60000}"/>
    <cellStyle name="Normal 4 3 2 2 2 2 2 6" xfId="11968" xr:uid="{00000000-0005-0000-0000-0000E4B60000}"/>
    <cellStyle name="Normal 4 3 2 2 2 2 2 6 2" xfId="27264" xr:uid="{00000000-0005-0000-0000-0000E5B60000}"/>
    <cellStyle name="Normal 4 3 2 2 2 2 2 6 2 2" xfId="59135" xr:uid="{00000000-0005-0000-0000-0000E6B60000}"/>
    <cellStyle name="Normal 4 3 2 2 2 2 2 6 3" xfId="43847" xr:uid="{00000000-0005-0000-0000-0000E7B60000}"/>
    <cellStyle name="Normal 4 3 2 2 2 2 2 7" xfId="19386" xr:uid="{00000000-0005-0000-0000-0000E8B60000}"/>
    <cellStyle name="Normal 4 3 2 2 2 2 2 7 2" xfId="51257" xr:uid="{00000000-0005-0000-0000-0000E9B60000}"/>
    <cellStyle name="Normal 4 3 2 2 2 2 2 8" xfId="43816" xr:uid="{00000000-0005-0000-0000-0000EAB60000}"/>
    <cellStyle name="Normal 4 3 2 2 2 2 3" xfId="11969" xr:uid="{00000000-0005-0000-0000-0000EBB60000}"/>
    <cellStyle name="Normal 4 3 2 2 2 2 3 2" xfId="11970" xr:uid="{00000000-0005-0000-0000-0000ECB60000}"/>
    <cellStyle name="Normal 4 3 2 2 2 2 3 2 2" xfId="11971" xr:uid="{00000000-0005-0000-0000-0000EDB60000}"/>
    <cellStyle name="Normal 4 3 2 2 2 2 3 2 2 2" xfId="11972" xr:uid="{00000000-0005-0000-0000-0000EEB60000}"/>
    <cellStyle name="Normal 4 3 2 2 2 2 3 2 2 2 2" xfId="11973" xr:uid="{00000000-0005-0000-0000-0000EFB60000}"/>
    <cellStyle name="Normal 4 3 2 2 2 2 3 2 2 2 2 2" xfId="31213" xr:uid="{00000000-0005-0000-0000-0000F0B60000}"/>
    <cellStyle name="Normal 4 3 2 2 2 2 3 2 2 2 2 2 2" xfId="63084" xr:uid="{00000000-0005-0000-0000-0000F1B60000}"/>
    <cellStyle name="Normal 4 3 2 2 2 2 3 2 2 2 2 3" xfId="43852" xr:uid="{00000000-0005-0000-0000-0000F2B60000}"/>
    <cellStyle name="Normal 4 3 2 2 2 2 3 2 2 2 3" xfId="23335" xr:uid="{00000000-0005-0000-0000-0000F3B60000}"/>
    <cellStyle name="Normal 4 3 2 2 2 2 3 2 2 2 3 2" xfId="55206" xr:uid="{00000000-0005-0000-0000-0000F4B60000}"/>
    <cellStyle name="Normal 4 3 2 2 2 2 3 2 2 2 4" xfId="43851" xr:uid="{00000000-0005-0000-0000-0000F5B60000}"/>
    <cellStyle name="Normal 4 3 2 2 2 2 3 2 2 3" xfId="11974" xr:uid="{00000000-0005-0000-0000-0000F6B60000}"/>
    <cellStyle name="Normal 4 3 2 2 2 2 3 2 2 3 2" xfId="27274" xr:uid="{00000000-0005-0000-0000-0000F7B60000}"/>
    <cellStyle name="Normal 4 3 2 2 2 2 3 2 2 3 2 2" xfId="59145" xr:uid="{00000000-0005-0000-0000-0000F8B60000}"/>
    <cellStyle name="Normal 4 3 2 2 2 2 3 2 2 3 3" xfId="43853" xr:uid="{00000000-0005-0000-0000-0000F9B60000}"/>
    <cellStyle name="Normal 4 3 2 2 2 2 3 2 2 4" xfId="19396" xr:uid="{00000000-0005-0000-0000-0000FAB60000}"/>
    <cellStyle name="Normal 4 3 2 2 2 2 3 2 2 4 2" xfId="51267" xr:uid="{00000000-0005-0000-0000-0000FBB60000}"/>
    <cellStyle name="Normal 4 3 2 2 2 2 3 2 2 5" xfId="43850" xr:uid="{00000000-0005-0000-0000-0000FCB60000}"/>
    <cellStyle name="Normal 4 3 2 2 2 2 3 2 3" xfId="11975" xr:uid="{00000000-0005-0000-0000-0000FDB60000}"/>
    <cellStyle name="Normal 4 3 2 2 2 2 3 2 3 2" xfId="11976" xr:uid="{00000000-0005-0000-0000-0000FEB60000}"/>
    <cellStyle name="Normal 4 3 2 2 2 2 3 2 3 2 2" xfId="31212" xr:uid="{00000000-0005-0000-0000-0000FFB60000}"/>
    <cellStyle name="Normal 4 3 2 2 2 2 3 2 3 2 2 2" xfId="63083" xr:uid="{00000000-0005-0000-0000-000000B70000}"/>
    <cellStyle name="Normal 4 3 2 2 2 2 3 2 3 2 3" xfId="43855" xr:uid="{00000000-0005-0000-0000-000001B70000}"/>
    <cellStyle name="Normal 4 3 2 2 2 2 3 2 3 3" xfId="23334" xr:uid="{00000000-0005-0000-0000-000002B70000}"/>
    <cellStyle name="Normal 4 3 2 2 2 2 3 2 3 3 2" xfId="55205" xr:uid="{00000000-0005-0000-0000-000003B70000}"/>
    <cellStyle name="Normal 4 3 2 2 2 2 3 2 3 4" xfId="43854" xr:uid="{00000000-0005-0000-0000-000004B70000}"/>
    <cellStyle name="Normal 4 3 2 2 2 2 3 2 4" xfId="11977" xr:uid="{00000000-0005-0000-0000-000005B70000}"/>
    <cellStyle name="Normal 4 3 2 2 2 2 3 2 4 2" xfId="27273" xr:uid="{00000000-0005-0000-0000-000006B70000}"/>
    <cellStyle name="Normal 4 3 2 2 2 2 3 2 4 2 2" xfId="59144" xr:uid="{00000000-0005-0000-0000-000007B70000}"/>
    <cellStyle name="Normal 4 3 2 2 2 2 3 2 4 3" xfId="43856" xr:uid="{00000000-0005-0000-0000-000008B70000}"/>
    <cellStyle name="Normal 4 3 2 2 2 2 3 2 5" xfId="19395" xr:uid="{00000000-0005-0000-0000-000009B70000}"/>
    <cellStyle name="Normal 4 3 2 2 2 2 3 2 5 2" xfId="51266" xr:uid="{00000000-0005-0000-0000-00000AB70000}"/>
    <cellStyle name="Normal 4 3 2 2 2 2 3 2 6" xfId="43849" xr:uid="{00000000-0005-0000-0000-00000BB70000}"/>
    <cellStyle name="Normal 4 3 2 2 2 2 3 3" xfId="11978" xr:uid="{00000000-0005-0000-0000-00000CB70000}"/>
    <cellStyle name="Normal 4 3 2 2 2 2 3 3 2" xfId="11979" xr:uid="{00000000-0005-0000-0000-00000DB70000}"/>
    <cellStyle name="Normal 4 3 2 2 2 2 3 3 2 2" xfId="11980" xr:uid="{00000000-0005-0000-0000-00000EB70000}"/>
    <cellStyle name="Normal 4 3 2 2 2 2 3 3 2 2 2" xfId="31214" xr:uid="{00000000-0005-0000-0000-00000FB70000}"/>
    <cellStyle name="Normal 4 3 2 2 2 2 3 3 2 2 2 2" xfId="63085" xr:uid="{00000000-0005-0000-0000-000010B70000}"/>
    <cellStyle name="Normal 4 3 2 2 2 2 3 3 2 2 3" xfId="43859" xr:uid="{00000000-0005-0000-0000-000011B70000}"/>
    <cellStyle name="Normal 4 3 2 2 2 2 3 3 2 3" xfId="23336" xr:uid="{00000000-0005-0000-0000-000012B70000}"/>
    <cellStyle name="Normal 4 3 2 2 2 2 3 3 2 3 2" xfId="55207" xr:uid="{00000000-0005-0000-0000-000013B70000}"/>
    <cellStyle name="Normal 4 3 2 2 2 2 3 3 2 4" xfId="43858" xr:uid="{00000000-0005-0000-0000-000014B70000}"/>
    <cellStyle name="Normal 4 3 2 2 2 2 3 3 3" xfId="11981" xr:uid="{00000000-0005-0000-0000-000015B70000}"/>
    <cellStyle name="Normal 4 3 2 2 2 2 3 3 3 2" xfId="27275" xr:uid="{00000000-0005-0000-0000-000016B70000}"/>
    <cellStyle name="Normal 4 3 2 2 2 2 3 3 3 2 2" xfId="59146" xr:uid="{00000000-0005-0000-0000-000017B70000}"/>
    <cellStyle name="Normal 4 3 2 2 2 2 3 3 3 3" xfId="43860" xr:uid="{00000000-0005-0000-0000-000018B70000}"/>
    <cellStyle name="Normal 4 3 2 2 2 2 3 3 4" xfId="19397" xr:uid="{00000000-0005-0000-0000-000019B70000}"/>
    <cellStyle name="Normal 4 3 2 2 2 2 3 3 4 2" xfId="51268" xr:uid="{00000000-0005-0000-0000-00001AB70000}"/>
    <cellStyle name="Normal 4 3 2 2 2 2 3 3 5" xfId="43857" xr:uid="{00000000-0005-0000-0000-00001BB70000}"/>
    <cellStyle name="Normal 4 3 2 2 2 2 3 4" xfId="11982" xr:uid="{00000000-0005-0000-0000-00001CB70000}"/>
    <cellStyle name="Normal 4 3 2 2 2 2 3 4 2" xfId="11983" xr:uid="{00000000-0005-0000-0000-00001DB70000}"/>
    <cellStyle name="Normal 4 3 2 2 2 2 3 4 2 2" xfId="31211" xr:uid="{00000000-0005-0000-0000-00001EB70000}"/>
    <cellStyle name="Normal 4 3 2 2 2 2 3 4 2 2 2" xfId="63082" xr:uid="{00000000-0005-0000-0000-00001FB70000}"/>
    <cellStyle name="Normal 4 3 2 2 2 2 3 4 2 3" xfId="43862" xr:uid="{00000000-0005-0000-0000-000020B70000}"/>
    <cellStyle name="Normal 4 3 2 2 2 2 3 4 3" xfId="23333" xr:uid="{00000000-0005-0000-0000-000021B70000}"/>
    <cellStyle name="Normal 4 3 2 2 2 2 3 4 3 2" xfId="55204" xr:uid="{00000000-0005-0000-0000-000022B70000}"/>
    <cellStyle name="Normal 4 3 2 2 2 2 3 4 4" xfId="43861" xr:uid="{00000000-0005-0000-0000-000023B70000}"/>
    <cellStyle name="Normal 4 3 2 2 2 2 3 5" xfId="11984" xr:uid="{00000000-0005-0000-0000-000024B70000}"/>
    <cellStyle name="Normal 4 3 2 2 2 2 3 5 2" xfId="27272" xr:uid="{00000000-0005-0000-0000-000025B70000}"/>
    <cellStyle name="Normal 4 3 2 2 2 2 3 5 2 2" xfId="59143" xr:uid="{00000000-0005-0000-0000-000026B70000}"/>
    <cellStyle name="Normal 4 3 2 2 2 2 3 5 3" xfId="43863" xr:uid="{00000000-0005-0000-0000-000027B70000}"/>
    <cellStyle name="Normal 4 3 2 2 2 2 3 6" xfId="19394" xr:uid="{00000000-0005-0000-0000-000028B70000}"/>
    <cellStyle name="Normal 4 3 2 2 2 2 3 6 2" xfId="51265" xr:uid="{00000000-0005-0000-0000-000029B70000}"/>
    <cellStyle name="Normal 4 3 2 2 2 2 3 7" xfId="43848" xr:uid="{00000000-0005-0000-0000-00002AB70000}"/>
    <cellStyle name="Normal 4 3 2 2 2 2 4" xfId="11985" xr:uid="{00000000-0005-0000-0000-00002BB70000}"/>
    <cellStyle name="Normal 4 3 2 2 2 2 4 2" xfId="11986" xr:uid="{00000000-0005-0000-0000-00002CB70000}"/>
    <cellStyle name="Normal 4 3 2 2 2 2 4 2 2" xfId="11987" xr:uid="{00000000-0005-0000-0000-00002DB70000}"/>
    <cellStyle name="Normal 4 3 2 2 2 2 4 2 2 2" xfId="11988" xr:uid="{00000000-0005-0000-0000-00002EB70000}"/>
    <cellStyle name="Normal 4 3 2 2 2 2 4 2 2 2 2" xfId="31216" xr:uid="{00000000-0005-0000-0000-00002FB70000}"/>
    <cellStyle name="Normal 4 3 2 2 2 2 4 2 2 2 2 2" xfId="63087" xr:uid="{00000000-0005-0000-0000-000030B70000}"/>
    <cellStyle name="Normal 4 3 2 2 2 2 4 2 2 2 3" xfId="43867" xr:uid="{00000000-0005-0000-0000-000031B70000}"/>
    <cellStyle name="Normal 4 3 2 2 2 2 4 2 2 3" xfId="23338" xr:uid="{00000000-0005-0000-0000-000032B70000}"/>
    <cellStyle name="Normal 4 3 2 2 2 2 4 2 2 3 2" xfId="55209" xr:uid="{00000000-0005-0000-0000-000033B70000}"/>
    <cellStyle name="Normal 4 3 2 2 2 2 4 2 2 4" xfId="43866" xr:uid="{00000000-0005-0000-0000-000034B70000}"/>
    <cellStyle name="Normal 4 3 2 2 2 2 4 2 3" xfId="11989" xr:uid="{00000000-0005-0000-0000-000035B70000}"/>
    <cellStyle name="Normal 4 3 2 2 2 2 4 2 3 2" xfId="27277" xr:uid="{00000000-0005-0000-0000-000036B70000}"/>
    <cellStyle name="Normal 4 3 2 2 2 2 4 2 3 2 2" xfId="59148" xr:uid="{00000000-0005-0000-0000-000037B70000}"/>
    <cellStyle name="Normal 4 3 2 2 2 2 4 2 3 3" xfId="43868" xr:uid="{00000000-0005-0000-0000-000038B70000}"/>
    <cellStyle name="Normal 4 3 2 2 2 2 4 2 4" xfId="19399" xr:uid="{00000000-0005-0000-0000-000039B70000}"/>
    <cellStyle name="Normal 4 3 2 2 2 2 4 2 4 2" xfId="51270" xr:uid="{00000000-0005-0000-0000-00003AB70000}"/>
    <cellStyle name="Normal 4 3 2 2 2 2 4 2 5" xfId="43865" xr:uid="{00000000-0005-0000-0000-00003BB70000}"/>
    <cellStyle name="Normal 4 3 2 2 2 2 4 3" xfId="11990" xr:uid="{00000000-0005-0000-0000-00003CB70000}"/>
    <cellStyle name="Normal 4 3 2 2 2 2 4 3 2" xfId="11991" xr:uid="{00000000-0005-0000-0000-00003DB70000}"/>
    <cellStyle name="Normal 4 3 2 2 2 2 4 3 2 2" xfId="31215" xr:uid="{00000000-0005-0000-0000-00003EB70000}"/>
    <cellStyle name="Normal 4 3 2 2 2 2 4 3 2 2 2" xfId="63086" xr:uid="{00000000-0005-0000-0000-00003FB70000}"/>
    <cellStyle name="Normal 4 3 2 2 2 2 4 3 2 3" xfId="43870" xr:uid="{00000000-0005-0000-0000-000040B70000}"/>
    <cellStyle name="Normal 4 3 2 2 2 2 4 3 3" xfId="23337" xr:uid="{00000000-0005-0000-0000-000041B70000}"/>
    <cellStyle name="Normal 4 3 2 2 2 2 4 3 3 2" xfId="55208" xr:uid="{00000000-0005-0000-0000-000042B70000}"/>
    <cellStyle name="Normal 4 3 2 2 2 2 4 3 4" xfId="43869" xr:uid="{00000000-0005-0000-0000-000043B70000}"/>
    <cellStyle name="Normal 4 3 2 2 2 2 4 4" xfId="11992" xr:uid="{00000000-0005-0000-0000-000044B70000}"/>
    <cellStyle name="Normal 4 3 2 2 2 2 4 4 2" xfId="27276" xr:uid="{00000000-0005-0000-0000-000045B70000}"/>
    <cellStyle name="Normal 4 3 2 2 2 2 4 4 2 2" xfId="59147" xr:uid="{00000000-0005-0000-0000-000046B70000}"/>
    <cellStyle name="Normal 4 3 2 2 2 2 4 4 3" xfId="43871" xr:uid="{00000000-0005-0000-0000-000047B70000}"/>
    <cellStyle name="Normal 4 3 2 2 2 2 4 5" xfId="19398" xr:uid="{00000000-0005-0000-0000-000048B70000}"/>
    <cellStyle name="Normal 4 3 2 2 2 2 4 5 2" xfId="51269" xr:uid="{00000000-0005-0000-0000-000049B70000}"/>
    <cellStyle name="Normal 4 3 2 2 2 2 4 6" xfId="43864" xr:uid="{00000000-0005-0000-0000-00004AB70000}"/>
    <cellStyle name="Normal 4 3 2 2 2 2 5" xfId="11993" xr:uid="{00000000-0005-0000-0000-00004BB70000}"/>
    <cellStyle name="Normal 4 3 2 2 2 2 5 2" xfId="11994" xr:uid="{00000000-0005-0000-0000-00004CB70000}"/>
    <cellStyle name="Normal 4 3 2 2 2 2 5 2 2" xfId="11995" xr:uid="{00000000-0005-0000-0000-00004DB70000}"/>
    <cellStyle name="Normal 4 3 2 2 2 2 5 2 2 2" xfId="31217" xr:uid="{00000000-0005-0000-0000-00004EB70000}"/>
    <cellStyle name="Normal 4 3 2 2 2 2 5 2 2 2 2" xfId="63088" xr:uid="{00000000-0005-0000-0000-00004FB70000}"/>
    <cellStyle name="Normal 4 3 2 2 2 2 5 2 2 3" xfId="43874" xr:uid="{00000000-0005-0000-0000-000050B70000}"/>
    <cellStyle name="Normal 4 3 2 2 2 2 5 2 3" xfId="23339" xr:uid="{00000000-0005-0000-0000-000051B70000}"/>
    <cellStyle name="Normal 4 3 2 2 2 2 5 2 3 2" xfId="55210" xr:uid="{00000000-0005-0000-0000-000052B70000}"/>
    <cellStyle name="Normal 4 3 2 2 2 2 5 2 4" xfId="43873" xr:uid="{00000000-0005-0000-0000-000053B70000}"/>
    <cellStyle name="Normal 4 3 2 2 2 2 5 3" xfId="11996" xr:uid="{00000000-0005-0000-0000-000054B70000}"/>
    <cellStyle name="Normal 4 3 2 2 2 2 5 3 2" xfId="27278" xr:uid="{00000000-0005-0000-0000-000055B70000}"/>
    <cellStyle name="Normal 4 3 2 2 2 2 5 3 2 2" xfId="59149" xr:uid="{00000000-0005-0000-0000-000056B70000}"/>
    <cellStyle name="Normal 4 3 2 2 2 2 5 3 3" xfId="43875" xr:uid="{00000000-0005-0000-0000-000057B70000}"/>
    <cellStyle name="Normal 4 3 2 2 2 2 5 4" xfId="19400" xr:uid="{00000000-0005-0000-0000-000058B70000}"/>
    <cellStyle name="Normal 4 3 2 2 2 2 5 4 2" xfId="51271" xr:uid="{00000000-0005-0000-0000-000059B70000}"/>
    <cellStyle name="Normal 4 3 2 2 2 2 5 5" xfId="43872" xr:uid="{00000000-0005-0000-0000-00005AB70000}"/>
    <cellStyle name="Normal 4 3 2 2 2 2 6" xfId="11997" xr:uid="{00000000-0005-0000-0000-00005BB70000}"/>
    <cellStyle name="Normal 4 3 2 2 2 2 6 2" xfId="11998" xr:uid="{00000000-0005-0000-0000-00005CB70000}"/>
    <cellStyle name="Normal 4 3 2 2 2 2 6 2 2" xfId="28453" xr:uid="{00000000-0005-0000-0000-00005DB70000}"/>
    <cellStyle name="Normal 4 3 2 2 2 2 6 2 2 2" xfId="60324" xr:uid="{00000000-0005-0000-0000-00005EB70000}"/>
    <cellStyle name="Normal 4 3 2 2 2 2 6 2 3" xfId="43877" xr:uid="{00000000-0005-0000-0000-00005FB70000}"/>
    <cellStyle name="Normal 4 3 2 2 2 2 6 3" xfId="20575" xr:uid="{00000000-0005-0000-0000-000060B70000}"/>
    <cellStyle name="Normal 4 3 2 2 2 2 6 3 2" xfId="52446" xr:uid="{00000000-0005-0000-0000-000061B70000}"/>
    <cellStyle name="Normal 4 3 2 2 2 2 6 4" xfId="43876" xr:uid="{00000000-0005-0000-0000-000062B70000}"/>
    <cellStyle name="Normal 4 3 2 2 2 2 7" xfId="11999" xr:uid="{00000000-0005-0000-0000-000063B70000}"/>
    <cellStyle name="Normal 4 3 2 2 2 2 7 2" xfId="24514" xr:uid="{00000000-0005-0000-0000-000064B70000}"/>
    <cellStyle name="Normal 4 3 2 2 2 2 7 2 2" xfId="56385" xr:uid="{00000000-0005-0000-0000-000065B70000}"/>
    <cellStyle name="Normal 4 3 2 2 2 2 7 3" xfId="43878" xr:uid="{00000000-0005-0000-0000-000066B70000}"/>
    <cellStyle name="Normal 4 3 2 2 2 2 8" xfId="16636" xr:uid="{00000000-0005-0000-0000-000067B70000}"/>
    <cellStyle name="Normal 4 3 2 2 2 2 8 2" xfId="48507" xr:uid="{00000000-0005-0000-0000-000068B70000}"/>
    <cellStyle name="Normal 4 3 2 2 2 2 9" xfId="43815" xr:uid="{00000000-0005-0000-0000-000069B70000}"/>
    <cellStyle name="Normal 4 3 2 2 2 3" xfId="12000" xr:uid="{00000000-0005-0000-0000-00006AB70000}"/>
    <cellStyle name="Normal 4 3 2 2 2 3 2" xfId="12001" xr:uid="{00000000-0005-0000-0000-00006BB70000}"/>
    <cellStyle name="Normal 4 3 2 2 2 3 2 2" xfId="12002" xr:uid="{00000000-0005-0000-0000-00006CB70000}"/>
    <cellStyle name="Normal 4 3 2 2 2 3 2 2 2" xfId="12003" xr:uid="{00000000-0005-0000-0000-00006DB70000}"/>
    <cellStyle name="Normal 4 3 2 2 2 3 2 2 2 2" xfId="12004" xr:uid="{00000000-0005-0000-0000-00006EB70000}"/>
    <cellStyle name="Normal 4 3 2 2 2 3 2 2 2 2 2" xfId="12005" xr:uid="{00000000-0005-0000-0000-00006FB70000}"/>
    <cellStyle name="Normal 4 3 2 2 2 3 2 2 2 2 2 2" xfId="31221" xr:uid="{00000000-0005-0000-0000-000070B70000}"/>
    <cellStyle name="Normal 4 3 2 2 2 3 2 2 2 2 2 2 2" xfId="63092" xr:uid="{00000000-0005-0000-0000-000071B70000}"/>
    <cellStyle name="Normal 4 3 2 2 2 3 2 2 2 2 2 3" xfId="43884" xr:uid="{00000000-0005-0000-0000-000072B70000}"/>
    <cellStyle name="Normal 4 3 2 2 2 3 2 2 2 2 3" xfId="23343" xr:uid="{00000000-0005-0000-0000-000073B70000}"/>
    <cellStyle name="Normal 4 3 2 2 2 3 2 2 2 2 3 2" xfId="55214" xr:uid="{00000000-0005-0000-0000-000074B70000}"/>
    <cellStyle name="Normal 4 3 2 2 2 3 2 2 2 2 4" xfId="43883" xr:uid="{00000000-0005-0000-0000-000075B70000}"/>
    <cellStyle name="Normal 4 3 2 2 2 3 2 2 2 3" xfId="12006" xr:uid="{00000000-0005-0000-0000-000076B70000}"/>
    <cellStyle name="Normal 4 3 2 2 2 3 2 2 2 3 2" xfId="27282" xr:uid="{00000000-0005-0000-0000-000077B70000}"/>
    <cellStyle name="Normal 4 3 2 2 2 3 2 2 2 3 2 2" xfId="59153" xr:uid="{00000000-0005-0000-0000-000078B70000}"/>
    <cellStyle name="Normal 4 3 2 2 2 3 2 2 2 3 3" xfId="43885" xr:uid="{00000000-0005-0000-0000-000079B70000}"/>
    <cellStyle name="Normal 4 3 2 2 2 3 2 2 2 4" xfId="19404" xr:uid="{00000000-0005-0000-0000-00007AB70000}"/>
    <cellStyle name="Normal 4 3 2 2 2 3 2 2 2 4 2" xfId="51275" xr:uid="{00000000-0005-0000-0000-00007BB70000}"/>
    <cellStyle name="Normal 4 3 2 2 2 3 2 2 2 5" xfId="43882" xr:uid="{00000000-0005-0000-0000-00007CB70000}"/>
    <cellStyle name="Normal 4 3 2 2 2 3 2 2 3" xfId="12007" xr:uid="{00000000-0005-0000-0000-00007DB70000}"/>
    <cellStyle name="Normal 4 3 2 2 2 3 2 2 3 2" xfId="12008" xr:uid="{00000000-0005-0000-0000-00007EB70000}"/>
    <cellStyle name="Normal 4 3 2 2 2 3 2 2 3 2 2" xfId="31220" xr:uid="{00000000-0005-0000-0000-00007FB70000}"/>
    <cellStyle name="Normal 4 3 2 2 2 3 2 2 3 2 2 2" xfId="63091" xr:uid="{00000000-0005-0000-0000-000080B70000}"/>
    <cellStyle name="Normal 4 3 2 2 2 3 2 2 3 2 3" xfId="43887" xr:uid="{00000000-0005-0000-0000-000081B70000}"/>
    <cellStyle name="Normal 4 3 2 2 2 3 2 2 3 3" xfId="23342" xr:uid="{00000000-0005-0000-0000-000082B70000}"/>
    <cellStyle name="Normal 4 3 2 2 2 3 2 2 3 3 2" xfId="55213" xr:uid="{00000000-0005-0000-0000-000083B70000}"/>
    <cellStyle name="Normal 4 3 2 2 2 3 2 2 3 4" xfId="43886" xr:uid="{00000000-0005-0000-0000-000084B70000}"/>
    <cellStyle name="Normal 4 3 2 2 2 3 2 2 4" xfId="12009" xr:uid="{00000000-0005-0000-0000-000085B70000}"/>
    <cellStyle name="Normal 4 3 2 2 2 3 2 2 4 2" xfId="27281" xr:uid="{00000000-0005-0000-0000-000086B70000}"/>
    <cellStyle name="Normal 4 3 2 2 2 3 2 2 4 2 2" xfId="59152" xr:uid="{00000000-0005-0000-0000-000087B70000}"/>
    <cellStyle name="Normal 4 3 2 2 2 3 2 2 4 3" xfId="43888" xr:uid="{00000000-0005-0000-0000-000088B70000}"/>
    <cellStyle name="Normal 4 3 2 2 2 3 2 2 5" xfId="19403" xr:uid="{00000000-0005-0000-0000-000089B70000}"/>
    <cellStyle name="Normal 4 3 2 2 2 3 2 2 5 2" xfId="51274" xr:uid="{00000000-0005-0000-0000-00008AB70000}"/>
    <cellStyle name="Normal 4 3 2 2 2 3 2 2 6" xfId="43881" xr:uid="{00000000-0005-0000-0000-00008BB70000}"/>
    <cellStyle name="Normal 4 3 2 2 2 3 2 3" xfId="12010" xr:uid="{00000000-0005-0000-0000-00008CB70000}"/>
    <cellStyle name="Normal 4 3 2 2 2 3 2 3 2" xfId="12011" xr:uid="{00000000-0005-0000-0000-00008DB70000}"/>
    <cellStyle name="Normal 4 3 2 2 2 3 2 3 2 2" xfId="12012" xr:uid="{00000000-0005-0000-0000-00008EB70000}"/>
    <cellStyle name="Normal 4 3 2 2 2 3 2 3 2 2 2" xfId="31222" xr:uid="{00000000-0005-0000-0000-00008FB70000}"/>
    <cellStyle name="Normal 4 3 2 2 2 3 2 3 2 2 2 2" xfId="63093" xr:uid="{00000000-0005-0000-0000-000090B70000}"/>
    <cellStyle name="Normal 4 3 2 2 2 3 2 3 2 2 3" xfId="43891" xr:uid="{00000000-0005-0000-0000-000091B70000}"/>
    <cellStyle name="Normal 4 3 2 2 2 3 2 3 2 3" xfId="23344" xr:uid="{00000000-0005-0000-0000-000092B70000}"/>
    <cellStyle name="Normal 4 3 2 2 2 3 2 3 2 3 2" xfId="55215" xr:uid="{00000000-0005-0000-0000-000093B70000}"/>
    <cellStyle name="Normal 4 3 2 2 2 3 2 3 2 4" xfId="43890" xr:uid="{00000000-0005-0000-0000-000094B70000}"/>
    <cellStyle name="Normal 4 3 2 2 2 3 2 3 3" xfId="12013" xr:uid="{00000000-0005-0000-0000-000095B70000}"/>
    <cellStyle name="Normal 4 3 2 2 2 3 2 3 3 2" xfId="27283" xr:uid="{00000000-0005-0000-0000-000096B70000}"/>
    <cellStyle name="Normal 4 3 2 2 2 3 2 3 3 2 2" xfId="59154" xr:uid="{00000000-0005-0000-0000-000097B70000}"/>
    <cellStyle name="Normal 4 3 2 2 2 3 2 3 3 3" xfId="43892" xr:uid="{00000000-0005-0000-0000-000098B70000}"/>
    <cellStyle name="Normal 4 3 2 2 2 3 2 3 4" xfId="19405" xr:uid="{00000000-0005-0000-0000-000099B70000}"/>
    <cellStyle name="Normal 4 3 2 2 2 3 2 3 4 2" xfId="51276" xr:uid="{00000000-0005-0000-0000-00009AB70000}"/>
    <cellStyle name="Normal 4 3 2 2 2 3 2 3 5" xfId="43889" xr:uid="{00000000-0005-0000-0000-00009BB70000}"/>
    <cellStyle name="Normal 4 3 2 2 2 3 2 4" xfId="12014" xr:uid="{00000000-0005-0000-0000-00009CB70000}"/>
    <cellStyle name="Normal 4 3 2 2 2 3 2 4 2" xfId="12015" xr:uid="{00000000-0005-0000-0000-00009DB70000}"/>
    <cellStyle name="Normal 4 3 2 2 2 3 2 4 2 2" xfId="31219" xr:uid="{00000000-0005-0000-0000-00009EB70000}"/>
    <cellStyle name="Normal 4 3 2 2 2 3 2 4 2 2 2" xfId="63090" xr:uid="{00000000-0005-0000-0000-00009FB70000}"/>
    <cellStyle name="Normal 4 3 2 2 2 3 2 4 2 3" xfId="43894" xr:uid="{00000000-0005-0000-0000-0000A0B70000}"/>
    <cellStyle name="Normal 4 3 2 2 2 3 2 4 3" xfId="23341" xr:uid="{00000000-0005-0000-0000-0000A1B70000}"/>
    <cellStyle name="Normal 4 3 2 2 2 3 2 4 3 2" xfId="55212" xr:uid="{00000000-0005-0000-0000-0000A2B70000}"/>
    <cellStyle name="Normal 4 3 2 2 2 3 2 4 4" xfId="43893" xr:uid="{00000000-0005-0000-0000-0000A3B70000}"/>
    <cellStyle name="Normal 4 3 2 2 2 3 2 5" xfId="12016" xr:uid="{00000000-0005-0000-0000-0000A4B70000}"/>
    <cellStyle name="Normal 4 3 2 2 2 3 2 5 2" xfId="27280" xr:uid="{00000000-0005-0000-0000-0000A5B70000}"/>
    <cellStyle name="Normal 4 3 2 2 2 3 2 5 2 2" xfId="59151" xr:uid="{00000000-0005-0000-0000-0000A6B70000}"/>
    <cellStyle name="Normal 4 3 2 2 2 3 2 5 3" xfId="43895" xr:uid="{00000000-0005-0000-0000-0000A7B70000}"/>
    <cellStyle name="Normal 4 3 2 2 2 3 2 6" xfId="19402" xr:uid="{00000000-0005-0000-0000-0000A8B70000}"/>
    <cellStyle name="Normal 4 3 2 2 2 3 2 6 2" xfId="51273" xr:uid="{00000000-0005-0000-0000-0000A9B70000}"/>
    <cellStyle name="Normal 4 3 2 2 2 3 2 7" xfId="43880" xr:uid="{00000000-0005-0000-0000-0000AAB70000}"/>
    <cellStyle name="Normal 4 3 2 2 2 3 3" xfId="12017" xr:uid="{00000000-0005-0000-0000-0000ABB70000}"/>
    <cellStyle name="Normal 4 3 2 2 2 3 3 2" xfId="12018" xr:uid="{00000000-0005-0000-0000-0000ACB70000}"/>
    <cellStyle name="Normal 4 3 2 2 2 3 3 2 2" xfId="12019" xr:uid="{00000000-0005-0000-0000-0000ADB70000}"/>
    <cellStyle name="Normal 4 3 2 2 2 3 3 2 2 2" xfId="12020" xr:uid="{00000000-0005-0000-0000-0000AEB70000}"/>
    <cellStyle name="Normal 4 3 2 2 2 3 3 2 2 2 2" xfId="31224" xr:uid="{00000000-0005-0000-0000-0000AFB70000}"/>
    <cellStyle name="Normal 4 3 2 2 2 3 3 2 2 2 2 2" xfId="63095" xr:uid="{00000000-0005-0000-0000-0000B0B70000}"/>
    <cellStyle name="Normal 4 3 2 2 2 3 3 2 2 2 3" xfId="43899" xr:uid="{00000000-0005-0000-0000-0000B1B70000}"/>
    <cellStyle name="Normal 4 3 2 2 2 3 3 2 2 3" xfId="23346" xr:uid="{00000000-0005-0000-0000-0000B2B70000}"/>
    <cellStyle name="Normal 4 3 2 2 2 3 3 2 2 3 2" xfId="55217" xr:uid="{00000000-0005-0000-0000-0000B3B70000}"/>
    <cellStyle name="Normal 4 3 2 2 2 3 3 2 2 4" xfId="43898" xr:uid="{00000000-0005-0000-0000-0000B4B70000}"/>
    <cellStyle name="Normal 4 3 2 2 2 3 3 2 3" xfId="12021" xr:uid="{00000000-0005-0000-0000-0000B5B70000}"/>
    <cellStyle name="Normal 4 3 2 2 2 3 3 2 3 2" xfId="27285" xr:uid="{00000000-0005-0000-0000-0000B6B70000}"/>
    <cellStyle name="Normal 4 3 2 2 2 3 3 2 3 2 2" xfId="59156" xr:uid="{00000000-0005-0000-0000-0000B7B70000}"/>
    <cellStyle name="Normal 4 3 2 2 2 3 3 2 3 3" xfId="43900" xr:uid="{00000000-0005-0000-0000-0000B8B70000}"/>
    <cellStyle name="Normal 4 3 2 2 2 3 3 2 4" xfId="19407" xr:uid="{00000000-0005-0000-0000-0000B9B70000}"/>
    <cellStyle name="Normal 4 3 2 2 2 3 3 2 4 2" xfId="51278" xr:uid="{00000000-0005-0000-0000-0000BAB70000}"/>
    <cellStyle name="Normal 4 3 2 2 2 3 3 2 5" xfId="43897" xr:uid="{00000000-0005-0000-0000-0000BBB70000}"/>
    <cellStyle name="Normal 4 3 2 2 2 3 3 3" xfId="12022" xr:uid="{00000000-0005-0000-0000-0000BCB70000}"/>
    <cellStyle name="Normal 4 3 2 2 2 3 3 3 2" xfId="12023" xr:uid="{00000000-0005-0000-0000-0000BDB70000}"/>
    <cellStyle name="Normal 4 3 2 2 2 3 3 3 2 2" xfId="31223" xr:uid="{00000000-0005-0000-0000-0000BEB70000}"/>
    <cellStyle name="Normal 4 3 2 2 2 3 3 3 2 2 2" xfId="63094" xr:uid="{00000000-0005-0000-0000-0000BFB70000}"/>
    <cellStyle name="Normal 4 3 2 2 2 3 3 3 2 3" xfId="43902" xr:uid="{00000000-0005-0000-0000-0000C0B70000}"/>
    <cellStyle name="Normal 4 3 2 2 2 3 3 3 3" xfId="23345" xr:uid="{00000000-0005-0000-0000-0000C1B70000}"/>
    <cellStyle name="Normal 4 3 2 2 2 3 3 3 3 2" xfId="55216" xr:uid="{00000000-0005-0000-0000-0000C2B70000}"/>
    <cellStyle name="Normal 4 3 2 2 2 3 3 3 4" xfId="43901" xr:uid="{00000000-0005-0000-0000-0000C3B70000}"/>
    <cellStyle name="Normal 4 3 2 2 2 3 3 4" xfId="12024" xr:uid="{00000000-0005-0000-0000-0000C4B70000}"/>
    <cellStyle name="Normal 4 3 2 2 2 3 3 4 2" xfId="27284" xr:uid="{00000000-0005-0000-0000-0000C5B70000}"/>
    <cellStyle name="Normal 4 3 2 2 2 3 3 4 2 2" xfId="59155" xr:uid="{00000000-0005-0000-0000-0000C6B70000}"/>
    <cellStyle name="Normal 4 3 2 2 2 3 3 4 3" xfId="43903" xr:uid="{00000000-0005-0000-0000-0000C7B70000}"/>
    <cellStyle name="Normal 4 3 2 2 2 3 3 5" xfId="19406" xr:uid="{00000000-0005-0000-0000-0000C8B70000}"/>
    <cellStyle name="Normal 4 3 2 2 2 3 3 5 2" xfId="51277" xr:uid="{00000000-0005-0000-0000-0000C9B70000}"/>
    <cellStyle name="Normal 4 3 2 2 2 3 3 6" xfId="43896" xr:uid="{00000000-0005-0000-0000-0000CAB70000}"/>
    <cellStyle name="Normal 4 3 2 2 2 3 4" xfId="12025" xr:uid="{00000000-0005-0000-0000-0000CBB70000}"/>
    <cellStyle name="Normal 4 3 2 2 2 3 4 2" xfId="12026" xr:uid="{00000000-0005-0000-0000-0000CCB70000}"/>
    <cellStyle name="Normal 4 3 2 2 2 3 4 2 2" xfId="12027" xr:uid="{00000000-0005-0000-0000-0000CDB70000}"/>
    <cellStyle name="Normal 4 3 2 2 2 3 4 2 2 2" xfId="31225" xr:uid="{00000000-0005-0000-0000-0000CEB70000}"/>
    <cellStyle name="Normal 4 3 2 2 2 3 4 2 2 2 2" xfId="63096" xr:uid="{00000000-0005-0000-0000-0000CFB70000}"/>
    <cellStyle name="Normal 4 3 2 2 2 3 4 2 2 3" xfId="43906" xr:uid="{00000000-0005-0000-0000-0000D0B70000}"/>
    <cellStyle name="Normal 4 3 2 2 2 3 4 2 3" xfId="23347" xr:uid="{00000000-0005-0000-0000-0000D1B70000}"/>
    <cellStyle name="Normal 4 3 2 2 2 3 4 2 3 2" xfId="55218" xr:uid="{00000000-0005-0000-0000-0000D2B70000}"/>
    <cellStyle name="Normal 4 3 2 2 2 3 4 2 4" xfId="43905" xr:uid="{00000000-0005-0000-0000-0000D3B70000}"/>
    <cellStyle name="Normal 4 3 2 2 2 3 4 3" xfId="12028" xr:uid="{00000000-0005-0000-0000-0000D4B70000}"/>
    <cellStyle name="Normal 4 3 2 2 2 3 4 3 2" xfId="27286" xr:uid="{00000000-0005-0000-0000-0000D5B70000}"/>
    <cellStyle name="Normal 4 3 2 2 2 3 4 3 2 2" xfId="59157" xr:uid="{00000000-0005-0000-0000-0000D6B70000}"/>
    <cellStyle name="Normal 4 3 2 2 2 3 4 3 3" xfId="43907" xr:uid="{00000000-0005-0000-0000-0000D7B70000}"/>
    <cellStyle name="Normal 4 3 2 2 2 3 4 4" xfId="19408" xr:uid="{00000000-0005-0000-0000-0000D8B70000}"/>
    <cellStyle name="Normal 4 3 2 2 2 3 4 4 2" xfId="51279" xr:uid="{00000000-0005-0000-0000-0000D9B70000}"/>
    <cellStyle name="Normal 4 3 2 2 2 3 4 5" xfId="43904" xr:uid="{00000000-0005-0000-0000-0000DAB70000}"/>
    <cellStyle name="Normal 4 3 2 2 2 3 5" xfId="12029" xr:uid="{00000000-0005-0000-0000-0000DBB70000}"/>
    <cellStyle name="Normal 4 3 2 2 2 3 5 2" xfId="12030" xr:uid="{00000000-0005-0000-0000-0000DCB70000}"/>
    <cellStyle name="Normal 4 3 2 2 2 3 5 2 2" xfId="31218" xr:uid="{00000000-0005-0000-0000-0000DDB70000}"/>
    <cellStyle name="Normal 4 3 2 2 2 3 5 2 2 2" xfId="63089" xr:uid="{00000000-0005-0000-0000-0000DEB70000}"/>
    <cellStyle name="Normal 4 3 2 2 2 3 5 2 3" xfId="43909" xr:uid="{00000000-0005-0000-0000-0000DFB70000}"/>
    <cellStyle name="Normal 4 3 2 2 2 3 5 3" xfId="23340" xr:uid="{00000000-0005-0000-0000-0000E0B70000}"/>
    <cellStyle name="Normal 4 3 2 2 2 3 5 3 2" xfId="55211" xr:uid="{00000000-0005-0000-0000-0000E1B70000}"/>
    <cellStyle name="Normal 4 3 2 2 2 3 5 4" xfId="43908" xr:uid="{00000000-0005-0000-0000-0000E2B70000}"/>
    <cellStyle name="Normal 4 3 2 2 2 3 6" xfId="12031" xr:uid="{00000000-0005-0000-0000-0000E3B70000}"/>
    <cellStyle name="Normal 4 3 2 2 2 3 6 2" xfId="27279" xr:uid="{00000000-0005-0000-0000-0000E4B70000}"/>
    <cellStyle name="Normal 4 3 2 2 2 3 6 2 2" xfId="59150" xr:uid="{00000000-0005-0000-0000-0000E5B70000}"/>
    <cellStyle name="Normal 4 3 2 2 2 3 6 3" xfId="43910" xr:uid="{00000000-0005-0000-0000-0000E6B70000}"/>
    <cellStyle name="Normal 4 3 2 2 2 3 7" xfId="19401" xr:uid="{00000000-0005-0000-0000-0000E7B70000}"/>
    <cellStyle name="Normal 4 3 2 2 2 3 7 2" xfId="51272" xr:uid="{00000000-0005-0000-0000-0000E8B70000}"/>
    <cellStyle name="Normal 4 3 2 2 2 3 8" xfId="43879" xr:uid="{00000000-0005-0000-0000-0000E9B70000}"/>
    <cellStyle name="Normal 4 3 2 2 2 4" xfId="12032" xr:uid="{00000000-0005-0000-0000-0000EAB70000}"/>
    <cellStyle name="Normal 4 3 2 2 2 4 2" xfId="12033" xr:uid="{00000000-0005-0000-0000-0000EBB70000}"/>
    <cellStyle name="Normal 4 3 2 2 2 4 2 2" xfId="12034" xr:uid="{00000000-0005-0000-0000-0000ECB70000}"/>
    <cellStyle name="Normal 4 3 2 2 2 4 2 2 2" xfId="12035" xr:uid="{00000000-0005-0000-0000-0000EDB70000}"/>
    <cellStyle name="Normal 4 3 2 2 2 4 2 2 2 2" xfId="12036" xr:uid="{00000000-0005-0000-0000-0000EEB70000}"/>
    <cellStyle name="Normal 4 3 2 2 2 4 2 2 2 2 2" xfId="31228" xr:uid="{00000000-0005-0000-0000-0000EFB70000}"/>
    <cellStyle name="Normal 4 3 2 2 2 4 2 2 2 2 2 2" xfId="63099" xr:uid="{00000000-0005-0000-0000-0000F0B70000}"/>
    <cellStyle name="Normal 4 3 2 2 2 4 2 2 2 2 3" xfId="43915" xr:uid="{00000000-0005-0000-0000-0000F1B70000}"/>
    <cellStyle name="Normal 4 3 2 2 2 4 2 2 2 3" xfId="23350" xr:uid="{00000000-0005-0000-0000-0000F2B70000}"/>
    <cellStyle name="Normal 4 3 2 2 2 4 2 2 2 3 2" xfId="55221" xr:uid="{00000000-0005-0000-0000-0000F3B70000}"/>
    <cellStyle name="Normal 4 3 2 2 2 4 2 2 2 4" xfId="43914" xr:uid="{00000000-0005-0000-0000-0000F4B70000}"/>
    <cellStyle name="Normal 4 3 2 2 2 4 2 2 3" xfId="12037" xr:uid="{00000000-0005-0000-0000-0000F5B70000}"/>
    <cellStyle name="Normal 4 3 2 2 2 4 2 2 3 2" xfId="27289" xr:uid="{00000000-0005-0000-0000-0000F6B70000}"/>
    <cellStyle name="Normal 4 3 2 2 2 4 2 2 3 2 2" xfId="59160" xr:uid="{00000000-0005-0000-0000-0000F7B70000}"/>
    <cellStyle name="Normal 4 3 2 2 2 4 2 2 3 3" xfId="43916" xr:uid="{00000000-0005-0000-0000-0000F8B70000}"/>
    <cellStyle name="Normal 4 3 2 2 2 4 2 2 4" xfId="19411" xr:uid="{00000000-0005-0000-0000-0000F9B70000}"/>
    <cellStyle name="Normal 4 3 2 2 2 4 2 2 4 2" xfId="51282" xr:uid="{00000000-0005-0000-0000-0000FAB70000}"/>
    <cellStyle name="Normal 4 3 2 2 2 4 2 2 5" xfId="43913" xr:uid="{00000000-0005-0000-0000-0000FBB70000}"/>
    <cellStyle name="Normal 4 3 2 2 2 4 2 3" xfId="12038" xr:uid="{00000000-0005-0000-0000-0000FCB70000}"/>
    <cellStyle name="Normal 4 3 2 2 2 4 2 3 2" xfId="12039" xr:uid="{00000000-0005-0000-0000-0000FDB70000}"/>
    <cellStyle name="Normal 4 3 2 2 2 4 2 3 2 2" xfId="31227" xr:uid="{00000000-0005-0000-0000-0000FEB70000}"/>
    <cellStyle name="Normal 4 3 2 2 2 4 2 3 2 2 2" xfId="63098" xr:uid="{00000000-0005-0000-0000-0000FFB70000}"/>
    <cellStyle name="Normal 4 3 2 2 2 4 2 3 2 3" xfId="43918" xr:uid="{00000000-0005-0000-0000-000000B80000}"/>
    <cellStyle name="Normal 4 3 2 2 2 4 2 3 3" xfId="23349" xr:uid="{00000000-0005-0000-0000-000001B80000}"/>
    <cellStyle name="Normal 4 3 2 2 2 4 2 3 3 2" xfId="55220" xr:uid="{00000000-0005-0000-0000-000002B80000}"/>
    <cellStyle name="Normal 4 3 2 2 2 4 2 3 4" xfId="43917" xr:uid="{00000000-0005-0000-0000-000003B80000}"/>
    <cellStyle name="Normal 4 3 2 2 2 4 2 4" xfId="12040" xr:uid="{00000000-0005-0000-0000-000004B80000}"/>
    <cellStyle name="Normal 4 3 2 2 2 4 2 4 2" xfId="27288" xr:uid="{00000000-0005-0000-0000-000005B80000}"/>
    <cellStyle name="Normal 4 3 2 2 2 4 2 4 2 2" xfId="59159" xr:uid="{00000000-0005-0000-0000-000006B80000}"/>
    <cellStyle name="Normal 4 3 2 2 2 4 2 4 3" xfId="43919" xr:uid="{00000000-0005-0000-0000-000007B80000}"/>
    <cellStyle name="Normal 4 3 2 2 2 4 2 5" xfId="19410" xr:uid="{00000000-0005-0000-0000-000008B80000}"/>
    <cellStyle name="Normal 4 3 2 2 2 4 2 5 2" xfId="51281" xr:uid="{00000000-0005-0000-0000-000009B80000}"/>
    <cellStyle name="Normal 4 3 2 2 2 4 2 6" xfId="43912" xr:uid="{00000000-0005-0000-0000-00000AB80000}"/>
    <cellStyle name="Normal 4 3 2 2 2 4 3" xfId="12041" xr:uid="{00000000-0005-0000-0000-00000BB80000}"/>
    <cellStyle name="Normal 4 3 2 2 2 4 3 2" xfId="12042" xr:uid="{00000000-0005-0000-0000-00000CB80000}"/>
    <cellStyle name="Normal 4 3 2 2 2 4 3 2 2" xfId="12043" xr:uid="{00000000-0005-0000-0000-00000DB80000}"/>
    <cellStyle name="Normal 4 3 2 2 2 4 3 2 2 2" xfId="31229" xr:uid="{00000000-0005-0000-0000-00000EB80000}"/>
    <cellStyle name="Normal 4 3 2 2 2 4 3 2 2 2 2" xfId="63100" xr:uid="{00000000-0005-0000-0000-00000FB80000}"/>
    <cellStyle name="Normal 4 3 2 2 2 4 3 2 2 3" xfId="43922" xr:uid="{00000000-0005-0000-0000-000010B80000}"/>
    <cellStyle name="Normal 4 3 2 2 2 4 3 2 3" xfId="23351" xr:uid="{00000000-0005-0000-0000-000011B80000}"/>
    <cellStyle name="Normal 4 3 2 2 2 4 3 2 3 2" xfId="55222" xr:uid="{00000000-0005-0000-0000-000012B80000}"/>
    <cellStyle name="Normal 4 3 2 2 2 4 3 2 4" xfId="43921" xr:uid="{00000000-0005-0000-0000-000013B80000}"/>
    <cellStyle name="Normal 4 3 2 2 2 4 3 3" xfId="12044" xr:uid="{00000000-0005-0000-0000-000014B80000}"/>
    <cellStyle name="Normal 4 3 2 2 2 4 3 3 2" xfId="27290" xr:uid="{00000000-0005-0000-0000-000015B80000}"/>
    <cellStyle name="Normal 4 3 2 2 2 4 3 3 2 2" xfId="59161" xr:uid="{00000000-0005-0000-0000-000016B80000}"/>
    <cellStyle name="Normal 4 3 2 2 2 4 3 3 3" xfId="43923" xr:uid="{00000000-0005-0000-0000-000017B80000}"/>
    <cellStyle name="Normal 4 3 2 2 2 4 3 4" xfId="19412" xr:uid="{00000000-0005-0000-0000-000018B80000}"/>
    <cellStyle name="Normal 4 3 2 2 2 4 3 4 2" xfId="51283" xr:uid="{00000000-0005-0000-0000-000019B80000}"/>
    <cellStyle name="Normal 4 3 2 2 2 4 3 5" xfId="43920" xr:uid="{00000000-0005-0000-0000-00001AB80000}"/>
    <cellStyle name="Normal 4 3 2 2 2 4 4" xfId="12045" xr:uid="{00000000-0005-0000-0000-00001BB80000}"/>
    <cellStyle name="Normal 4 3 2 2 2 4 4 2" xfId="12046" xr:uid="{00000000-0005-0000-0000-00001CB80000}"/>
    <cellStyle name="Normal 4 3 2 2 2 4 4 2 2" xfId="31226" xr:uid="{00000000-0005-0000-0000-00001DB80000}"/>
    <cellStyle name="Normal 4 3 2 2 2 4 4 2 2 2" xfId="63097" xr:uid="{00000000-0005-0000-0000-00001EB80000}"/>
    <cellStyle name="Normal 4 3 2 2 2 4 4 2 3" xfId="43925" xr:uid="{00000000-0005-0000-0000-00001FB80000}"/>
    <cellStyle name="Normal 4 3 2 2 2 4 4 3" xfId="23348" xr:uid="{00000000-0005-0000-0000-000020B80000}"/>
    <cellStyle name="Normal 4 3 2 2 2 4 4 3 2" xfId="55219" xr:uid="{00000000-0005-0000-0000-000021B80000}"/>
    <cellStyle name="Normal 4 3 2 2 2 4 4 4" xfId="43924" xr:uid="{00000000-0005-0000-0000-000022B80000}"/>
    <cellStyle name="Normal 4 3 2 2 2 4 5" xfId="12047" xr:uid="{00000000-0005-0000-0000-000023B80000}"/>
    <cellStyle name="Normal 4 3 2 2 2 4 5 2" xfId="27287" xr:uid="{00000000-0005-0000-0000-000024B80000}"/>
    <cellStyle name="Normal 4 3 2 2 2 4 5 2 2" xfId="59158" xr:uid="{00000000-0005-0000-0000-000025B80000}"/>
    <cellStyle name="Normal 4 3 2 2 2 4 5 3" xfId="43926" xr:uid="{00000000-0005-0000-0000-000026B80000}"/>
    <cellStyle name="Normal 4 3 2 2 2 4 6" xfId="19409" xr:uid="{00000000-0005-0000-0000-000027B80000}"/>
    <cellStyle name="Normal 4 3 2 2 2 4 6 2" xfId="51280" xr:uid="{00000000-0005-0000-0000-000028B80000}"/>
    <cellStyle name="Normal 4 3 2 2 2 4 7" xfId="43911" xr:uid="{00000000-0005-0000-0000-000029B80000}"/>
    <cellStyle name="Normal 4 3 2 2 2 5" xfId="12048" xr:uid="{00000000-0005-0000-0000-00002AB80000}"/>
    <cellStyle name="Normal 4 3 2 2 2 5 2" xfId="12049" xr:uid="{00000000-0005-0000-0000-00002BB80000}"/>
    <cellStyle name="Normal 4 3 2 2 2 5 2 2" xfId="12050" xr:uid="{00000000-0005-0000-0000-00002CB80000}"/>
    <cellStyle name="Normal 4 3 2 2 2 5 2 2 2" xfId="12051" xr:uid="{00000000-0005-0000-0000-00002DB80000}"/>
    <cellStyle name="Normal 4 3 2 2 2 5 2 2 2 2" xfId="31231" xr:uid="{00000000-0005-0000-0000-00002EB80000}"/>
    <cellStyle name="Normal 4 3 2 2 2 5 2 2 2 2 2" xfId="63102" xr:uid="{00000000-0005-0000-0000-00002FB80000}"/>
    <cellStyle name="Normal 4 3 2 2 2 5 2 2 2 3" xfId="43930" xr:uid="{00000000-0005-0000-0000-000030B80000}"/>
    <cellStyle name="Normal 4 3 2 2 2 5 2 2 3" xfId="23353" xr:uid="{00000000-0005-0000-0000-000031B80000}"/>
    <cellStyle name="Normal 4 3 2 2 2 5 2 2 3 2" xfId="55224" xr:uid="{00000000-0005-0000-0000-000032B80000}"/>
    <cellStyle name="Normal 4 3 2 2 2 5 2 2 4" xfId="43929" xr:uid="{00000000-0005-0000-0000-000033B80000}"/>
    <cellStyle name="Normal 4 3 2 2 2 5 2 3" xfId="12052" xr:uid="{00000000-0005-0000-0000-000034B80000}"/>
    <cellStyle name="Normal 4 3 2 2 2 5 2 3 2" xfId="27292" xr:uid="{00000000-0005-0000-0000-000035B80000}"/>
    <cellStyle name="Normal 4 3 2 2 2 5 2 3 2 2" xfId="59163" xr:uid="{00000000-0005-0000-0000-000036B80000}"/>
    <cellStyle name="Normal 4 3 2 2 2 5 2 3 3" xfId="43931" xr:uid="{00000000-0005-0000-0000-000037B80000}"/>
    <cellStyle name="Normal 4 3 2 2 2 5 2 4" xfId="19414" xr:uid="{00000000-0005-0000-0000-000038B80000}"/>
    <cellStyle name="Normal 4 3 2 2 2 5 2 4 2" xfId="51285" xr:uid="{00000000-0005-0000-0000-000039B80000}"/>
    <cellStyle name="Normal 4 3 2 2 2 5 2 5" xfId="43928" xr:uid="{00000000-0005-0000-0000-00003AB80000}"/>
    <cellStyle name="Normal 4 3 2 2 2 5 3" xfId="12053" xr:uid="{00000000-0005-0000-0000-00003BB80000}"/>
    <cellStyle name="Normal 4 3 2 2 2 5 3 2" xfId="12054" xr:uid="{00000000-0005-0000-0000-00003CB80000}"/>
    <cellStyle name="Normal 4 3 2 2 2 5 3 2 2" xfId="31230" xr:uid="{00000000-0005-0000-0000-00003DB80000}"/>
    <cellStyle name="Normal 4 3 2 2 2 5 3 2 2 2" xfId="63101" xr:uid="{00000000-0005-0000-0000-00003EB80000}"/>
    <cellStyle name="Normal 4 3 2 2 2 5 3 2 3" xfId="43933" xr:uid="{00000000-0005-0000-0000-00003FB80000}"/>
    <cellStyle name="Normal 4 3 2 2 2 5 3 3" xfId="23352" xr:uid="{00000000-0005-0000-0000-000040B80000}"/>
    <cellStyle name="Normal 4 3 2 2 2 5 3 3 2" xfId="55223" xr:uid="{00000000-0005-0000-0000-000041B80000}"/>
    <cellStyle name="Normal 4 3 2 2 2 5 3 4" xfId="43932" xr:uid="{00000000-0005-0000-0000-000042B80000}"/>
    <cellStyle name="Normal 4 3 2 2 2 5 4" xfId="12055" xr:uid="{00000000-0005-0000-0000-000043B80000}"/>
    <cellStyle name="Normal 4 3 2 2 2 5 4 2" xfId="27291" xr:uid="{00000000-0005-0000-0000-000044B80000}"/>
    <cellStyle name="Normal 4 3 2 2 2 5 4 2 2" xfId="59162" xr:uid="{00000000-0005-0000-0000-000045B80000}"/>
    <cellStyle name="Normal 4 3 2 2 2 5 4 3" xfId="43934" xr:uid="{00000000-0005-0000-0000-000046B80000}"/>
    <cellStyle name="Normal 4 3 2 2 2 5 5" xfId="19413" xr:uid="{00000000-0005-0000-0000-000047B80000}"/>
    <cellStyle name="Normal 4 3 2 2 2 5 5 2" xfId="51284" xr:uid="{00000000-0005-0000-0000-000048B80000}"/>
    <cellStyle name="Normal 4 3 2 2 2 5 6" xfId="43927" xr:uid="{00000000-0005-0000-0000-000049B80000}"/>
    <cellStyle name="Normal 4 3 2 2 2 6" xfId="12056" xr:uid="{00000000-0005-0000-0000-00004AB80000}"/>
    <cellStyle name="Normal 4 3 2 2 2 6 2" xfId="12057" xr:uid="{00000000-0005-0000-0000-00004BB80000}"/>
    <cellStyle name="Normal 4 3 2 2 2 6 2 2" xfId="12058" xr:uid="{00000000-0005-0000-0000-00004CB80000}"/>
    <cellStyle name="Normal 4 3 2 2 2 6 2 2 2" xfId="31232" xr:uid="{00000000-0005-0000-0000-00004DB80000}"/>
    <cellStyle name="Normal 4 3 2 2 2 6 2 2 2 2" xfId="63103" xr:uid="{00000000-0005-0000-0000-00004EB80000}"/>
    <cellStyle name="Normal 4 3 2 2 2 6 2 2 3" xfId="43937" xr:uid="{00000000-0005-0000-0000-00004FB80000}"/>
    <cellStyle name="Normal 4 3 2 2 2 6 2 3" xfId="23354" xr:uid="{00000000-0005-0000-0000-000050B80000}"/>
    <cellStyle name="Normal 4 3 2 2 2 6 2 3 2" xfId="55225" xr:uid="{00000000-0005-0000-0000-000051B80000}"/>
    <cellStyle name="Normal 4 3 2 2 2 6 2 4" xfId="43936" xr:uid="{00000000-0005-0000-0000-000052B80000}"/>
    <cellStyle name="Normal 4 3 2 2 2 6 3" xfId="12059" xr:uid="{00000000-0005-0000-0000-000053B80000}"/>
    <cellStyle name="Normal 4 3 2 2 2 6 3 2" xfId="27293" xr:uid="{00000000-0005-0000-0000-000054B80000}"/>
    <cellStyle name="Normal 4 3 2 2 2 6 3 2 2" xfId="59164" xr:uid="{00000000-0005-0000-0000-000055B80000}"/>
    <cellStyle name="Normal 4 3 2 2 2 6 3 3" xfId="43938" xr:uid="{00000000-0005-0000-0000-000056B80000}"/>
    <cellStyle name="Normal 4 3 2 2 2 6 4" xfId="19415" xr:uid="{00000000-0005-0000-0000-000057B80000}"/>
    <cellStyle name="Normal 4 3 2 2 2 6 4 2" xfId="51286" xr:uid="{00000000-0005-0000-0000-000058B80000}"/>
    <cellStyle name="Normal 4 3 2 2 2 6 5" xfId="43935" xr:uid="{00000000-0005-0000-0000-000059B80000}"/>
    <cellStyle name="Normal 4 3 2 2 2 7" xfId="12060" xr:uid="{00000000-0005-0000-0000-00005AB80000}"/>
    <cellStyle name="Normal 4 3 2 2 2 7 2" xfId="12061" xr:uid="{00000000-0005-0000-0000-00005BB80000}"/>
    <cellStyle name="Normal 4 3 2 2 2 7 2 2" xfId="28330" xr:uid="{00000000-0005-0000-0000-00005CB80000}"/>
    <cellStyle name="Normal 4 3 2 2 2 7 2 2 2" xfId="60201" xr:uid="{00000000-0005-0000-0000-00005DB80000}"/>
    <cellStyle name="Normal 4 3 2 2 2 7 2 3" xfId="43940" xr:uid="{00000000-0005-0000-0000-00005EB80000}"/>
    <cellStyle name="Normal 4 3 2 2 2 7 3" xfId="20452" xr:uid="{00000000-0005-0000-0000-00005FB80000}"/>
    <cellStyle name="Normal 4 3 2 2 2 7 3 2" xfId="52323" xr:uid="{00000000-0005-0000-0000-000060B80000}"/>
    <cellStyle name="Normal 4 3 2 2 2 7 4" xfId="43939" xr:uid="{00000000-0005-0000-0000-000061B80000}"/>
    <cellStyle name="Normal 4 3 2 2 2 8" xfId="12062" xr:uid="{00000000-0005-0000-0000-000062B80000}"/>
    <cellStyle name="Normal 4 3 2 2 2 8 2" xfId="24391" xr:uid="{00000000-0005-0000-0000-000063B80000}"/>
    <cellStyle name="Normal 4 3 2 2 2 8 2 2" xfId="56262" xr:uid="{00000000-0005-0000-0000-000064B80000}"/>
    <cellStyle name="Normal 4 3 2 2 2 8 3" xfId="43941" xr:uid="{00000000-0005-0000-0000-000065B80000}"/>
    <cellStyle name="Normal 4 3 2 2 2 9" xfId="16513" xr:uid="{00000000-0005-0000-0000-000066B80000}"/>
    <cellStyle name="Normal 4 3 2 2 2 9 2" xfId="48384" xr:uid="{00000000-0005-0000-0000-000067B80000}"/>
    <cellStyle name="Normal 4 3 2 2 3" xfId="12063" xr:uid="{00000000-0005-0000-0000-000068B80000}"/>
    <cellStyle name="Normal 4 3 2 2 3 10" xfId="43942" xr:uid="{00000000-0005-0000-0000-000069B80000}"/>
    <cellStyle name="Normal 4 3 2 2 3 2" xfId="12064" xr:uid="{00000000-0005-0000-0000-00006AB80000}"/>
    <cellStyle name="Normal 4 3 2 2 3 2 2" xfId="12065" xr:uid="{00000000-0005-0000-0000-00006BB80000}"/>
    <cellStyle name="Normal 4 3 2 2 3 2 2 2" xfId="12066" xr:uid="{00000000-0005-0000-0000-00006CB80000}"/>
    <cellStyle name="Normal 4 3 2 2 3 2 2 2 2" xfId="12067" xr:uid="{00000000-0005-0000-0000-00006DB80000}"/>
    <cellStyle name="Normal 4 3 2 2 3 2 2 2 2 2" xfId="12068" xr:uid="{00000000-0005-0000-0000-00006EB80000}"/>
    <cellStyle name="Normal 4 3 2 2 3 2 2 2 2 2 2" xfId="12069" xr:uid="{00000000-0005-0000-0000-00006FB80000}"/>
    <cellStyle name="Normal 4 3 2 2 3 2 2 2 2 2 2 2" xfId="12070" xr:uid="{00000000-0005-0000-0000-000070B80000}"/>
    <cellStyle name="Normal 4 3 2 2 3 2 2 2 2 2 2 2 2" xfId="31236" xr:uid="{00000000-0005-0000-0000-000071B80000}"/>
    <cellStyle name="Normal 4 3 2 2 3 2 2 2 2 2 2 2 2 2" xfId="63107" xr:uid="{00000000-0005-0000-0000-000072B80000}"/>
    <cellStyle name="Normal 4 3 2 2 3 2 2 2 2 2 2 2 3" xfId="43949" xr:uid="{00000000-0005-0000-0000-000073B80000}"/>
    <cellStyle name="Normal 4 3 2 2 3 2 2 2 2 2 2 3" xfId="23358" xr:uid="{00000000-0005-0000-0000-000074B80000}"/>
    <cellStyle name="Normal 4 3 2 2 3 2 2 2 2 2 2 3 2" xfId="55229" xr:uid="{00000000-0005-0000-0000-000075B80000}"/>
    <cellStyle name="Normal 4 3 2 2 3 2 2 2 2 2 2 4" xfId="43948" xr:uid="{00000000-0005-0000-0000-000076B80000}"/>
    <cellStyle name="Normal 4 3 2 2 3 2 2 2 2 2 3" xfId="12071" xr:uid="{00000000-0005-0000-0000-000077B80000}"/>
    <cellStyle name="Normal 4 3 2 2 3 2 2 2 2 2 3 2" xfId="27297" xr:uid="{00000000-0005-0000-0000-000078B80000}"/>
    <cellStyle name="Normal 4 3 2 2 3 2 2 2 2 2 3 2 2" xfId="59168" xr:uid="{00000000-0005-0000-0000-000079B80000}"/>
    <cellStyle name="Normal 4 3 2 2 3 2 2 2 2 2 3 3" xfId="43950" xr:uid="{00000000-0005-0000-0000-00007AB80000}"/>
    <cellStyle name="Normal 4 3 2 2 3 2 2 2 2 2 4" xfId="19419" xr:uid="{00000000-0005-0000-0000-00007BB80000}"/>
    <cellStyle name="Normal 4 3 2 2 3 2 2 2 2 2 4 2" xfId="51290" xr:uid="{00000000-0005-0000-0000-00007CB80000}"/>
    <cellStyle name="Normal 4 3 2 2 3 2 2 2 2 2 5" xfId="43947" xr:uid="{00000000-0005-0000-0000-00007DB80000}"/>
    <cellStyle name="Normal 4 3 2 2 3 2 2 2 2 3" xfId="12072" xr:uid="{00000000-0005-0000-0000-00007EB80000}"/>
    <cellStyle name="Normal 4 3 2 2 3 2 2 2 2 3 2" xfId="12073" xr:uid="{00000000-0005-0000-0000-00007FB80000}"/>
    <cellStyle name="Normal 4 3 2 2 3 2 2 2 2 3 2 2" xfId="31235" xr:uid="{00000000-0005-0000-0000-000080B80000}"/>
    <cellStyle name="Normal 4 3 2 2 3 2 2 2 2 3 2 2 2" xfId="63106" xr:uid="{00000000-0005-0000-0000-000081B80000}"/>
    <cellStyle name="Normal 4 3 2 2 3 2 2 2 2 3 2 3" xfId="43952" xr:uid="{00000000-0005-0000-0000-000082B80000}"/>
    <cellStyle name="Normal 4 3 2 2 3 2 2 2 2 3 3" xfId="23357" xr:uid="{00000000-0005-0000-0000-000083B80000}"/>
    <cellStyle name="Normal 4 3 2 2 3 2 2 2 2 3 3 2" xfId="55228" xr:uid="{00000000-0005-0000-0000-000084B80000}"/>
    <cellStyle name="Normal 4 3 2 2 3 2 2 2 2 3 4" xfId="43951" xr:uid="{00000000-0005-0000-0000-000085B80000}"/>
    <cellStyle name="Normal 4 3 2 2 3 2 2 2 2 4" xfId="12074" xr:uid="{00000000-0005-0000-0000-000086B80000}"/>
    <cellStyle name="Normal 4 3 2 2 3 2 2 2 2 4 2" xfId="27296" xr:uid="{00000000-0005-0000-0000-000087B80000}"/>
    <cellStyle name="Normal 4 3 2 2 3 2 2 2 2 4 2 2" xfId="59167" xr:uid="{00000000-0005-0000-0000-000088B80000}"/>
    <cellStyle name="Normal 4 3 2 2 3 2 2 2 2 4 3" xfId="43953" xr:uid="{00000000-0005-0000-0000-000089B80000}"/>
    <cellStyle name="Normal 4 3 2 2 3 2 2 2 2 5" xfId="19418" xr:uid="{00000000-0005-0000-0000-00008AB80000}"/>
    <cellStyle name="Normal 4 3 2 2 3 2 2 2 2 5 2" xfId="51289" xr:uid="{00000000-0005-0000-0000-00008BB80000}"/>
    <cellStyle name="Normal 4 3 2 2 3 2 2 2 2 6" xfId="43946" xr:uid="{00000000-0005-0000-0000-00008CB80000}"/>
    <cellStyle name="Normal 4 3 2 2 3 2 2 2 3" xfId="12075" xr:uid="{00000000-0005-0000-0000-00008DB80000}"/>
    <cellStyle name="Normal 4 3 2 2 3 2 2 2 3 2" xfId="12076" xr:uid="{00000000-0005-0000-0000-00008EB80000}"/>
    <cellStyle name="Normal 4 3 2 2 3 2 2 2 3 2 2" xfId="12077" xr:uid="{00000000-0005-0000-0000-00008FB80000}"/>
    <cellStyle name="Normal 4 3 2 2 3 2 2 2 3 2 2 2" xfId="31237" xr:uid="{00000000-0005-0000-0000-000090B80000}"/>
    <cellStyle name="Normal 4 3 2 2 3 2 2 2 3 2 2 2 2" xfId="63108" xr:uid="{00000000-0005-0000-0000-000091B80000}"/>
    <cellStyle name="Normal 4 3 2 2 3 2 2 2 3 2 2 3" xfId="43956" xr:uid="{00000000-0005-0000-0000-000092B80000}"/>
    <cellStyle name="Normal 4 3 2 2 3 2 2 2 3 2 3" xfId="23359" xr:uid="{00000000-0005-0000-0000-000093B80000}"/>
    <cellStyle name="Normal 4 3 2 2 3 2 2 2 3 2 3 2" xfId="55230" xr:uid="{00000000-0005-0000-0000-000094B80000}"/>
    <cellStyle name="Normal 4 3 2 2 3 2 2 2 3 2 4" xfId="43955" xr:uid="{00000000-0005-0000-0000-000095B80000}"/>
    <cellStyle name="Normal 4 3 2 2 3 2 2 2 3 3" xfId="12078" xr:uid="{00000000-0005-0000-0000-000096B80000}"/>
    <cellStyle name="Normal 4 3 2 2 3 2 2 2 3 3 2" xfId="27298" xr:uid="{00000000-0005-0000-0000-000097B80000}"/>
    <cellStyle name="Normal 4 3 2 2 3 2 2 2 3 3 2 2" xfId="59169" xr:uid="{00000000-0005-0000-0000-000098B80000}"/>
    <cellStyle name="Normal 4 3 2 2 3 2 2 2 3 3 3" xfId="43957" xr:uid="{00000000-0005-0000-0000-000099B80000}"/>
    <cellStyle name="Normal 4 3 2 2 3 2 2 2 3 4" xfId="19420" xr:uid="{00000000-0005-0000-0000-00009AB80000}"/>
    <cellStyle name="Normal 4 3 2 2 3 2 2 2 3 4 2" xfId="51291" xr:uid="{00000000-0005-0000-0000-00009BB80000}"/>
    <cellStyle name="Normal 4 3 2 2 3 2 2 2 3 5" xfId="43954" xr:uid="{00000000-0005-0000-0000-00009CB80000}"/>
    <cellStyle name="Normal 4 3 2 2 3 2 2 2 4" xfId="12079" xr:uid="{00000000-0005-0000-0000-00009DB80000}"/>
    <cellStyle name="Normal 4 3 2 2 3 2 2 2 4 2" xfId="12080" xr:uid="{00000000-0005-0000-0000-00009EB80000}"/>
    <cellStyle name="Normal 4 3 2 2 3 2 2 2 4 2 2" xfId="31234" xr:uid="{00000000-0005-0000-0000-00009FB80000}"/>
    <cellStyle name="Normal 4 3 2 2 3 2 2 2 4 2 2 2" xfId="63105" xr:uid="{00000000-0005-0000-0000-0000A0B80000}"/>
    <cellStyle name="Normal 4 3 2 2 3 2 2 2 4 2 3" xfId="43959" xr:uid="{00000000-0005-0000-0000-0000A1B80000}"/>
    <cellStyle name="Normal 4 3 2 2 3 2 2 2 4 3" xfId="23356" xr:uid="{00000000-0005-0000-0000-0000A2B80000}"/>
    <cellStyle name="Normal 4 3 2 2 3 2 2 2 4 3 2" xfId="55227" xr:uid="{00000000-0005-0000-0000-0000A3B80000}"/>
    <cellStyle name="Normal 4 3 2 2 3 2 2 2 4 4" xfId="43958" xr:uid="{00000000-0005-0000-0000-0000A4B80000}"/>
    <cellStyle name="Normal 4 3 2 2 3 2 2 2 5" xfId="12081" xr:uid="{00000000-0005-0000-0000-0000A5B80000}"/>
    <cellStyle name="Normal 4 3 2 2 3 2 2 2 5 2" xfId="27295" xr:uid="{00000000-0005-0000-0000-0000A6B80000}"/>
    <cellStyle name="Normal 4 3 2 2 3 2 2 2 5 2 2" xfId="59166" xr:uid="{00000000-0005-0000-0000-0000A7B80000}"/>
    <cellStyle name="Normal 4 3 2 2 3 2 2 2 5 3" xfId="43960" xr:uid="{00000000-0005-0000-0000-0000A8B80000}"/>
    <cellStyle name="Normal 4 3 2 2 3 2 2 2 6" xfId="19417" xr:uid="{00000000-0005-0000-0000-0000A9B80000}"/>
    <cellStyle name="Normal 4 3 2 2 3 2 2 2 6 2" xfId="51288" xr:uid="{00000000-0005-0000-0000-0000AAB80000}"/>
    <cellStyle name="Normal 4 3 2 2 3 2 2 2 7" xfId="43945" xr:uid="{00000000-0005-0000-0000-0000ABB80000}"/>
    <cellStyle name="Normal 4 3 2 2 3 2 2 3" xfId="12082" xr:uid="{00000000-0005-0000-0000-0000ACB80000}"/>
    <cellStyle name="Normal 4 3 2 2 3 2 2 3 2" xfId="12083" xr:uid="{00000000-0005-0000-0000-0000ADB80000}"/>
    <cellStyle name="Normal 4 3 2 2 3 2 2 3 2 2" xfId="12084" xr:uid="{00000000-0005-0000-0000-0000AEB80000}"/>
    <cellStyle name="Normal 4 3 2 2 3 2 2 3 2 2 2" xfId="12085" xr:uid="{00000000-0005-0000-0000-0000AFB80000}"/>
    <cellStyle name="Normal 4 3 2 2 3 2 2 3 2 2 2 2" xfId="31239" xr:uid="{00000000-0005-0000-0000-0000B0B80000}"/>
    <cellStyle name="Normal 4 3 2 2 3 2 2 3 2 2 2 2 2" xfId="63110" xr:uid="{00000000-0005-0000-0000-0000B1B80000}"/>
    <cellStyle name="Normal 4 3 2 2 3 2 2 3 2 2 2 3" xfId="43964" xr:uid="{00000000-0005-0000-0000-0000B2B80000}"/>
    <cellStyle name="Normal 4 3 2 2 3 2 2 3 2 2 3" xfId="23361" xr:uid="{00000000-0005-0000-0000-0000B3B80000}"/>
    <cellStyle name="Normal 4 3 2 2 3 2 2 3 2 2 3 2" xfId="55232" xr:uid="{00000000-0005-0000-0000-0000B4B80000}"/>
    <cellStyle name="Normal 4 3 2 2 3 2 2 3 2 2 4" xfId="43963" xr:uid="{00000000-0005-0000-0000-0000B5B80000}"/>
    <cellStyle name="Normal 4 3 2 2 3 2 2 3 2 3" xfId="12086" xr:uid="{00000000-0005-0000-0000-0000B6B80000}"/>
    <cellStyle name="Normal 4 3 2 2 3 2 2 3 2 3 2" xfId="27300" xr:uid="{00000000-0005-0000-0000-0000B7B80000}"/>
    <cellStyle name="Normal 4 3 2 2 3 2 2 3 2 3 2 2" xfId="59171" xr:uid="{00000000-0005-0000-0000-0000B8B80000}"/>
    <cellStyle name="Normal 4 3 2 2 3 2 2 3 2 3 3" xfId="43965" xr:uid="{00000000-0005-0000-0000-0000B9B80000}"/>
    <cellStyle name="Normal 4 3 2 2 3 2 2 3 2 4" xfId="19422" xr:uid="{00000000-0005-0000-0000-0000BAB80000}"/>
    <cellStyle name="Normal 4 3 2 2 3 2 2 3 2 4 2" xfId="51293" xr:uid="{00000000-0005-0000-0000-0000BBB80000}"/>
    <cellStyle name="Normal 4 3 2 2 3 2 2 3 2 5" xfId="43962" xr:uid="{00000000-0005-0000-0000-0000BCB80000}"/>
    <cellStyle name="Normal 4 3 2 2 3 2 2 3 3" xfId="12087" xr:uid="{00000000-0005-0000-0000-0000BDB80000}"/>
    <cellStyle name="Normal 4 3 2 2 3 2 2 3 3 2" xfId="12088" xr:uid="{00000000-0005-0000-0000-0000BEB80000}"/>
    <cellStyle name="Normal 4 3 2 2 3 2 2 3 3 2 2" xfId="31238" xr:uid="{00000000-0005-0000-0000-0000BFB80000}"/>
    <cellStyle name="Normal 4 3 2 2 3 2 2 3 3 2 2 2" xfId="63109" xr:uid="{00000000-0005-0000-0000-0000C0B80000}"/>
    <cellStyle name="Normal 4 3 2 2 3 2 2 3 3 2 3" xfId="43967" xr:uid="{00000000-0005-0000-0000-0000C1B80000}"/>
    <cellStyle name="Normal 4 3 2 2 3 2 2 3 3 3" xfId="23360" xr:uid="{00000000-0005-0000-0000-0000C2B80000}"/>
    <cellStyle name="Normal 4 3 2 2 3 2 2 3 3 3 2" xfId="55231" xr:uid="{00000000-0005-0000-0000-0000C3B80000}"/>
    <cellStyle name="Normal 4 3 2 2 3 2 2 3 3 4" xfId="43966" xr:uid="{00000000-0005-0000-0000-0000C4B80000}"/>
    <cellStyle name="Normal 4 3 2 2 3 2 2 3 4" xfId="12089" xr:uid="{00000000-0005-0000-0000-0000C5B80000}"/>
    <cellStyle name="Normal 4 3 2 2 3 2 2 3 4 2" xfId="27299" xr:uid="{00000000-0005-0000-0000-0000C6B80000}"/>
    <cellStyle name="Normal 4 3 2 2 3 2 2 3 4 2 2" xfId="59170" xr:uid="{00000000-0005-0000-0000-0000C7B80000}"/>
    <cellStyle name="Normal 4 3 2 2 3 2 2 3 4 3" xfId="43968" xr:uid="{00000000-0005-0000-0000-0000C8B80000}"/>
    <cellStyle name="Normal 4 3 2 2 3 2 2 3 5" xfId="19421" xr:uid="{00000000-0005-0000-0000-0000C9B80000}"/>
    <cellStyle name="Normal 4 3 2 2 3 2 2 3 5 2" xfId="51292" xr:uid="{00000000-0005-0000-0000-0000CAB80000}"/>
    <cellStyle name="Normal 4 3 2 2 3 2 2 3 6" xfId="43961" xr:uid="{00000000-0005-0000-0000-0000CBB80000}"/>
    <cellStyle name="Normal 4 3 2 2 3 2 2 4" xfId="12090" xr:uid="{00000000-0005-0000-0000-0000CCB80000}"/>
    <cellStyle name="Normal 4 3 2 2 3 2 2 4 2" xfId="12091" xr:uid="{00000000-0005-0000-0000-0000CDB80000}"/>
    <cellStyle name="Normal 4 3 2 2 3 2 2 4 2 2" xfId="12092" xr:uid="{00000000-0005-0000-0000-0000CEB80000}"/>
    <cellStyle name="Normal 4 3 2 2 3 2 2 4 2 2 2" xfId="31240" xr:uid="{00000000-0005-0000-0000-0000CFB80000}"/>
    <cellStyle name="Normal 4 3 2 2 3 2 2 4 2 2 2 2" xfId="63111" xr:uid="{00000000-0005-0000-0000-0000D0B80000}"/>
    <cellStyle name="Normal 4 3 2 2 3 2 2 4 2 2 3" xfId="43971" xr:uid="{00000000-0005-0000-0000-0000D1B80000}"/>
    <cellStyle name="Normal 4 3 2 2 3 2 2 4 2 3" xfId="23362" xr:uid="{00000000-0005-0000-0000-0000D2B80000}"/>
    <cellStyle name="Normal 4 3 2 2 3 2 2 4 2 3 2" xfId="55233" xr:uid="{00000000-0005-0000-0000-0000D3B80000}"/>
    <cellStyle name="Normal 4 3 2 2 3 2 2 4 2 4" xfId="43970" xr:uid="{00000000-0005-0000-0000-0000D4B80000}"/>
    <cellStyle name="Normal 4 3 2 2 3 2 2 4 3" xfId="12093" xr:uid="{00000000-0005-0000-0000-0000D5B80000}"/>
    <cellStyle name="Normal 4 3 2 2 3 2 2 4 3 2" xfId="27301" xr:uid="{00000000-0005-0000-0000-0000D6B80000}"/>
    <cellStyle name="Normal 4 3 2 2 3 2 2 4 3 2 2" xfId="59172" xr:uid="{00000000-0005-0000-0000-0000D7B80000}"/>
    <cellStyle name="Normal 4 3 2 2 3 2 2 4 3 3" xfId="43972" xr:uid="{00000000-0005-0000-0000-0000D8B80000}"/>
    <cellStyle name="Normal 4 3 2 2 3 2 2 4 4" xfId="19423" xr:uid="{00000000-0005-0000-0000-0000D9B80000}"/>
    <cellStyle name="Normal 4 3 2 2 3 2 2 4 4 2" xfId="51294" xr:uid="{00000000-0005-0000-0000-0000DAB80000}"/>
    <cellStyle name="Normal 4 3 2 2 3 2 2 4 5" xfId="43969" xr:uid="{00000000-0005-0000-0000-0000DBB80000}"/>
    <cellStyle name="Normal 4 3 2 2 3 2 2 5" xfId="12094" xr:uid="{00000000-0005-0000-0000-0000DCB80000}"/>
    <cellStyle name="Normal 4 3 2 2 3 2 2 5 2" xfId="12095" xr:uid="{00000000-0005-0000-0000-0000DDB80000}"/>
    <cellStyle name="Normal 4 3 2 2 3 2 2 5 2 2" xfId="31233" xr:uid="{00000000-0005-0000-0000-0000DEB80000}"/>
    <cellStyle name="Normal 4 3 2 2 3 2 2 5 2 2 2" xfId="63104" xr:uid="{00000000-0005-0000-0000-0000DFB80000}"/>
    <cellStyle name="Normal 4 3 2 2 3 2 2 5 2 3" xfId="43974" xr:uid="{00000000-0005-0000-0000-0000E0B80000}"/>
    <cellStyle name="Normal 4 3 2 2 3 2 2 5 3" xfId="23355" xr:uid="{00000000-0005-0000-0000-0000E1B80000}"/>
    <cellStyle name="Normal 4 3 2 2 3 2 2 5 3 2" xfId="55226" xr:uid="{00000000-0005-0000-0000-0000E2B80000}"/>
    <cellStyle name="Normal 4 3 2 2 3 2 2 5 4" xfId="43973" xr:uid="{00000000-0005-0000-0000-0000E3B80000}"/>
    <cellStyle name="Normal 4 3 2 2 3 2 2 6" xfId="12096" xr:uid="{00000000-0005-0000-0000-0000E4B80000}"/>
    <cellStyle name="Normal 4 3 2 2 3 2 2 6 2" xfId="27294" xr:uid="{00000000-0005-0000-0000-0000E5B80000}"/>
    <cellStyle name="Normal 4 3 2 2 3 2 2 6 2 2" xfId="59165" xr:uid="{00000000-0005-0000-0000-0000E6B80000}"/>
    <cellStyle name="Normal 4 3 2 2 3 2 2 6 3" xfId="43975" xr:uid="{00000000-0005-0000-0000-0000E7B80000}"/>
    <cellStyle name="Normal 4 3 2 2 3 2 2 7" xfId="19416" xr:uid="{00000000-0005-0000-0000-0000E8B80000}"/>
    <cellStyle name="Normal 4 3 2 2 3 2 2 7 2" xfId="51287" xr:uid="{00000000-0005-0000-0000-0000E9B80000}"/>
    <cellStyle name="Normal 4 3 2 2 3 2 2 8" xfId="43944" xr:uid="{00000000-0005-0000-0000-0000EAB80000}"/>
    <cellStyle name="Normal 4 3 2 2 3 2 3" xfId="12097" xr:uid="{00000000-0005-0000-0000-0000EBB80000}"/>
    <cellStyle name="Normal 4 3 2 2 3 2 3 2" xfId="12098" xr:uid="{00000000-0005-0000-0000-0000ECB80000}"/>
    <cellStyle name="Normal 4 3 2 2 3 2 3 2 2" xfId="12099" xr:uid="{00000000-0005-0000-0000-0000EDB80000}"/>
    <cellStyle name="Normal 4 3 2 2 3 2 3 2 2 2" xfId="12100" xr:uid="{00000000-0005-0000-0000-0000EEB80000}"/>
    <cellStyle name="Normal 4 3 2 2 3 2 3 2 2 2 2" xfId="12101" xr:uid="{00000000-0005-0000-0000-0000EFB80000}"/>
    <cellStyle name="Normal 4 3 2 2 3 2 3 2 2 2 2 2" xfId="31243" xr:uid="{00000000-0005-0000-0000-0000F0B80000}"/>
    <cellStyle name="Normal 4 3 2 2 3 2 3 2 2 2 2 2 2" xfId="63114" xr:uid="{00000000-0005-0000-0000-0000F1B80000}"/>
    <cellStyle name="Normal 4 3 2 2 3 2 3 2 2 2 2 3" xfId="43980" xr:uid="{00000000-0005-0000-0000-0000F2B80000}"/>
    <cellStyle name="Normal 4 3 2 2 3 2 3 2 2 2 3" xfId="23365" xr:uid="{00000000-0005-0000-0000-0000F3B80000}"/>
    <cellStyle name="Normal 4 3 2 2 3 2 3 2 2 2 3 2" xfId="55236" xr:uid="{00000000-0005-0000-0000-0000F4B80000}"/>
    <cellStyle name="Normal 4 3 2 2 3 2 3 2 2 2 4" xfId="43979" xr:uid="{00000000-0005-0000-0000-0000F5B80000}"/>
    <cellStyle name="Normal 4 3 2 2 3 2 3 2 2 3" xfId="12102" xr:uid="{00000000-0005-0000-0000-0000F6B80000}"/>
    <cellStyle name="Normal 4 3 2 2 3 2 3 2 2 3 2" xfId="27304" xr:uid="{00000000-0005-0000-0000-0000F7B80000}"/>
    <cellStyle name="Normal 4 3 2 2 3 2 3 2 2 3 2 2" xfId="59175" xr:uid="{00000000-0005-0000-0000-0000F8B80000}"/>
    <cellStyle name="Normal 4 3 2 2 3 2 3 2 2 3 3" xfId="43981" xr:uid="{00000000-0005-0000-0000-0000F9B80000}"/>
    <cellStyle name="Normal 4 3 2 2 3 2 3 2 2 4" xfId="19426" xr:uid="{00000000-0005-0000-0000-0000FAB80000}"/>
    <cellStyle name="Normal 4 3 2 2 3 2 3 2 2 4 2" xfId="51297" xr:uid="{00000000-0005-0000-0000-0000FBB80000}"/>
    <cellStyle name="Normal 4 3 2 2 3 2 3 2 2 5" xfId="43978" xr:uid="{00000000-0005-0000-0000-0000FCB80000}"/>
    <cellStyle name="Normal 4 3 2 2 3 2 3 2 3" xfId="12103" xr:uid="{00000000-0005-0000-0000-0000FDB80000}"/>
    <cellStyle name="Normal 4 3 2 2 3 2 3 2 3 2" xfId="12104" xr:uid="{00000000-0005-0000-0000-0000FEB80000}"/>
    <cellStyle name="Normal 4 3 2 2 3 2 3 2 3 2 2" xfId="31242" xr:uid="{00000000-0005-0000-0000-0000FFB80000}"/>
    <cellStyle name="Normal 4 3 2 2 3 2 3 2 3 2 2 2" xfId="63113" xr:uid="{00000000-0005-0000-0000-000000B90000}"/>
    <cellStyle name="Normal 4 3 2 2 3 2 3 2 3 2 3" xfId="43983" xr:uid="{00000000-0005-0000-0000-000001B90000}"/>
    <cellStyle name="Normal 4 3 2 2 3 2 3 2 3 3" xfId="23364" xr:uid="{00000000-0005-0000-0000-000002B90000}"/>
    <cellStyle name="Normal 4 3 2 2 3 2 3 2 3 3 2" xfId="55235" xr:uid="{00000000-0005-0000-0000-000003B90000}"/>
    <cellStyle name="Normal 4 3 2 2 3 2 3 2 3 4" xfId="43982" xr:uid="{00000000-0005-0000-0000-000004B90000}"/>
    <cellStyle name="Normal 4 3 2 2 3 2 3 2 4" xfId="12105" xr:uid="{00000000-0005-0000-0000-000005B90000}"/>
    <cellStyle name="Normal 4 3 2 2 3 2 3 2 4 2" xfId="27303" xr:uid="{00000000-0005-0000-0000-000006B90000}"/>
    <cellStyle name="Normal 4 3 2 2 3 2 3 2 4 2 2" xfId="59174" xr:uid="{00000000-0005-0000-0000-000007B90000}"/>
    <cellStyle name="Normal 4 3 2 2 3 2 3 2 4 3" xfId="43984" xr:uid="{00000000-0005-0000-0000-000008B90000}"/>
    <cellStyle name="Normal 4 3 2 2 3 2 3 2 5" xfId="19425" xr:uid="{00000000-0005-0000-0000-000009B90000}"/>
    <cellStyle name="Normal 4 3 2 2 3 2 3 2 5 2" xfId="51296" xr:uid="{00000000-0005-0000-0000-00000AB90000}"/>
    <cellStyle name="Normal 4 3 2 2 3 2 3 2 6" xfId="43977" xr:uid="{00000000-0005-0000-0000-00000BB90000}"/>
    <cellStyle name="Normal 4 3 2 2 3 2 3 3" xfId="12106" xr:uid="{00000000-0005-0000-0000-00000CB90000}"/>
    <cellStyle name="Normal 4 3 2 2 3 2 3 3 2" xfId="12107" xr:uid="{00000000-0005-0000-0000-00000DB90000}"/>
    <cellStyle name="Normal 4 3 2 2 3 2 3 3 2 2" xfId="12108" xr:uid="{00000000-0005-0000-0000-00000EB90000}"/>
    <cellStyle name="Normal 4 3 2 2 3 2 3 3 2 2 2" xfId="31244" xr:uid="{00000000-0005-0000-0000-00000FB90000}"/>
    <cellStyle name="Normal 4 3 2 2 3 2 3 3 2 2 2 2" xfId="63115" xr:uid="{00000000-0005-0000-0000-000010B90000}"/>
    <cellStyle name="Normal 4 3 2 2 3 2 3 3 2 2 3" xfId="43987" xr:uid="{00000000-0005-0000-0000-000011B90000}"/>
    <cellStyle name="Normal 4 3 2 2 3 2 3 3 2 3" xfId="23366" xr:uid="{00000000-0005-0000-0000-000012B90000}"/>
    <cellStyle name="Normal 4 3 2 2 3 2 3 3 2 3 2" xfId="55237" xr:uid="{00000000-0005-0000-0000-000013B90000}"/>
    <cellStyle name="Normal 4 3 2 2 3 2 3 3 2 4" xfId="43986" xr:uid="{00000000-0005-0000-0000-000014B90000}"/>
    <cellStyle name="Normal 4 3 2 2 3 2 3 3 3" xfId="12109" xr:uid="{00000000-0005-0000-0000-000015B90000}"/>
    <cellStyle name="Normal 4 3 2 2 3 2 3 3 3 2" xfId="27305" xr:uid="{00000000-0005-0000-0000-000016B90000}"/>
    <cellStyle name="Normal 4 3 2 2 3 2 3 3 3 2 2" xfId="59176" xr:uid="{00000000-0005-0000-0000-000017B90000}"/>
    <cellStyle name="Normal 4 3 2 2 3 2 3 3 3 3" xfId="43988" xr:uid="{00000000-0005-0000-0000-000018B90000}"/>
    <cellStyle name="Normal 4 3 2 2 3 2 3 3 4" xfId="19427" xr:uid="{00000000-0005-0000-0000-000019B90000}"/>
    <cellStyle name="Normal 4 3 2 2 3 2 3 3 4 2" xfId="51298" xr:uid="{00000000-0005-0000-0000-00001AB90000}"/>
    <cellStyle name="Normal 4 3 2 2 3 2 3 3 5" xfId="43985" xr:uid="{00000000-0005-0000-0000-00001BB90000}"/>
    <cellStyle name="Normal 4 3 2 2 3 2 3 4" xfId="12110" xr:uid="{00000000-0005-0000-0000-00001CB90000}"/>
    <cellStyle name="Normal 4 3 2 2 3 2 3 4 2" xfId="12111" xr:uid="{00000000-0005-0000-0000-00001DB90000}"/>
    <cellStyle name="Normal 4 3 2 2 3 2 3 4 2 2" xfId="31241" xr:uid="{00000000-0005-0000-0000-00001EB90000}"/>
    <cellStyle name="Normal 4 3 2 2 3 2 3 4 2 2 2" xfId="63112" xr:uid="{00000000-0005-0000-0000-00001FB90000}"/>
    <cellStyle name="Normal 4 3 2 2 3 2 3 4 2 3" xfId="43990" xr:uid="{00000000-0005-0000-0000-000020B90000}"/>
    <cellStyle name="Normal 4 3 2 2 3 2 3 4 3" xfId="23363" xr:uid="{00000000-0005-0000-0000-000021B90000}"/>
    <cellStyle name="Normal 4 3 2 2 3 2 3 4 3 2" xfId="55234" xr:uid="{00000000-0005-0000-0000-000022B90000}"/>
    <cellStyle name="Normal 4 3 2 2 3 2 3 4 4" xfId="43989" xr:uid="{00000000-0005-0000-0000-000023B90000}"/>
    <cellStyle name="Normal 4 3 2 2 3 2 3 5" xfId="12112" xr:uid="{00000000-0005-0000-0000-000024B90000}"/>
    <cellStyle name="Normal 4 3 2 2 3 2 3 5 2" xfId="27302" xr:uid="{00000000-0005-0000-0000-000025B90000}"/>
    <cellStyle name="Normal 4 3 2 2 3 2 3 5 2 2" xfId="59173" xr:uid="{00000000-0005-0000-0000-000026B90000}"/>
    <cellStyle name="Normal 4 3 2 2 3 2 3 5 3" xfId="43991" xr:uid="{00000000-0005-0000-0000-000027B90000}"/>
    <cellStyle name="Normal 4 3 2 2 3 2 3 6" xfId="19424" xr:uid="{00000000-0005-0000-0000-000028B90000}"/>
    <cellStyle name="Normal 4 3 2 2 3 2 3 6 2" xfId="51295" xr:uid="{00000000-0005-0000-0000-000029B90000}"/>
    <cellStyle name="Normal 4 3 2 2 3 2 3 7" xfId="43976" xr:uid="{00000000-0005-0000-0000-00002AB90000}"/>
    <cellStyle name="Normal 4 3 2 2 3 2 4" xfId="12113" xr:uid="{00000000-0005-0000-0000-00002BB90000}"/>
    <cellStyle name="Normal 4 3 2 2 3 2 4 2" xfId="12114" xr:uid="{00000000-0005-0000-0000-00002CB90000}"/>
    <cellStyle name="Normal 4 3 2 2 3 2 4 2 2" xfId="12115" xr:uid="{00000000-0005-0000-0000-00002DB90000}"/>
    <cellStyle name="Normal 4 3 2 2 3 2 4 2 2 2" xfId="12116" xr:uid="{00000000-0005-0000-0000-00002EB90000}"/>
    <cellStyle name="Normal 4 3 2 2 3 2 4 2 2 2 2" xfId="31246" xr:uid="{00000000-0005-0000-0000-00002FB90000}"/>
    <cellStyle name="Normal 4 3 2 2 3 2 4 2 2 2 2 2" xfId="63117" xr:uid="{00000000-0005-0000-0000-000030B90000}"/>
    <cellStyle name="Normal 4 3 2 2 3 2 4 2 2 2 3" xfId="43995" xr:uid="{00000000-0005-0000-0000-000031B90000}"/>
    <cellStyle name="Normal 4 3 2 2 3 2 4 2 2 3" xfId="23368" xr:uid="{00000000-0005-0000-0000-000032B90000}"/>
    <cellStyle name="Normal 4 3 2 2 3 2 4 2 2 3 2" xfId="55239" xr:uid="{00000000-0005-0000-0000-000033B90000}"/>
    <cellStyle name="Normal 4 3 2 2 3 2 4 2 2 4" xfId="43994" xr:uid="{00000000-0005-0000-0000-000034B90000}"/>
    <cellStyle name="Normal 4 3 2 2 3 2 4 2 3" xfId="12117" xr:uid="{00000000-0005-0000-0000-000035B90000}"/>
    <cellStyle name="Normal 4 3 2 2 3 2 4 2 3 2" xfId="27307" xr:uid="{00000000-0005-0000-0000-000036B90000}"/>
    <cellStyle name="Normal 4 3 2 2 3 2 4 2 3 2 2" xfId="59178" xr:uid="{00000000-0005-0000-0000-000037B90000}"/>
    <cellStyle name="Normal 4 3 2 2 3 2 4 2 3 3" xfId="43996" xr:uid="{00000000-0005-0000-0000-000038B90000}"/>
    <cellStyle name="Normal 4 3 2 2 3 2 4 2 4" xfId="19429" xr:uid="{00000000-0005-0000-0000-000039B90000}"/>
    <cellStyle name="Normal 4 3 2 2 3 2 4 2 4 2" xfId="51300" xr:uid="{00000000-0005-0000-0000-00003AB90000}"/>
    <cellStyle name="Normal 4 3 2 2 3 2 4 2 5" xfId="43993" xr:uid="{00000000-0005-0000-0000-00003BB90000}"/>
    <cellStyle name="Normal 4 3 2 2 3 2 4 3" xfId="12118" xr:uid="{00000000-0005-0000-0000-00003CB90000}"/>
    <cellStyle name="Normal 4 3 2 2 3 2 4 3 2" xfId="12119" xr:uid="{00000000-0005-0000-0000-00003DB90000}"/>
    <cellStyle name="Normal 4 3 2 2 3 2 4 3 2 2" xfId="31245" xr:uid="{00000000-0005-0000-0000-00003EB90000}"/>
    <cellStyle name="Normal 4 3 2 2 3 2 4 3 2 2 2" xfId="63116" xr:uid="{00000000-0005-0000-0000-00003FB90000}"/>
    <cellStyle name="Normal 4 3 2 2 3 2 4 3 2 3" xfId="43998" xr:uid="{00000000-0005-0000-0000-000040B90000}"/>
    <cellStyle name="Normal 4 3 2 2 3 2 4 3 3" xfId="23367" xr:uid="{00000000-0005-0000-0000-000041B90000}"/>
    <cellStyle name="Normal 4 3 2 2 3 2 4 3 3 2" xfId="55238" xr:uid="{00000000-0005-0000-0000-000042B90000}"/>
    <cellStyle name="Normal 4 3 2 2 3 2 4 3 4" xfId="43997" xr:uid="{00000000-0005-0000-0000-000043B90000}"/>
    <cellStyle name="Normal 4 3 2 2 3 2 4 4" xfId="12120" xr:uid="{00000000-0005-0000-0000-000044B90000}"/>
    <cellStyle name="Normal 4 3 2 2 3 2 4 4 2" xfId="27306" xr:uid="{00000000-0005-0000-0000-000045B90000}"/>
    <cellStyle name="Normal 4 3 2 2 3 2 4 4 2 2" xfId="59177" xr:uid="{00000000-0005-0000-0000-000046B90000}"/>
    <cellStyle name="Normal 4 3 2 2 3 2 4 4 3" xfId="43999" xr:uid="{00000000-0005-0000-0000-000047B90000}"/>
    <cellStyle name="Normal 4 3 2 2 3 2 4 5" xfId="19428" xr:uid="{00000000-0005-0000-0000-000048B90000}"/>
    <cellStyle name="Normal 4 3 2 2 3 2 4 5 2" xfId="51299" xr:uid="{00000000-0005-0000-0000-000049B90000}"/>
    <cellStyle name="Normal 4 3 2 2 3 2 4 6" xfId="43992" xr:uid="{00000000-0005-0000-0000-00004AB90000}"/>
    <cellStyle name="Normal 4 3 2 2 3 2 5" xfId="12121" xr:uid="{00000000-0005-0000-0000-00004BB90000}"/>
    <cellStyle name="Normal 4 3 2 2 3 2 5 2" xfId="12122" xr:uid="{00000000-0005-0000-0000-00004CB90000}"/>
    <cellStyle name="Normal 4 3 2 2 3 2 5 2 2" xfId="12123" xr:uid="{00000000-0005-0000-0000-00004DB90000}"/>
    <cellStyle name="Normal 4 3 2 2 3 2 5 2 2 2" xfId="31247" xr:uid="{00000000-0005-0000-0000-00004EB90000}"/>
    <cellStyle name="Normal 4 3 2 2 3 2 5 2 2 2 2" xfId="63118" xr:uid="{00000000-0005-0000-0000-00004FB90000}"/>
    <cellStyle name="Normal 4 3 2 2 3 2 5 2 2 3" xfId="44002" xr:uid="{00000000-0005-0000-0000-000050B90000}"/>
    <cellStyle name="Normal 4 3 2 2 3 2 5 2 3" xfId="23369" xr:uid="{00000000-0005-0000-0000-000051B90000}"/>
    <cellStyle name="Normal 4 3 2 2 3 2 5 2 3 2" xfId="55240" xr:uid="{00000000-0005-0000-0000-000052B90000}"/>
    <cellStyle name="Normal 4 3 2 2 3 2 5 2 4" xfId="44001" xr:uid="{00000000-0005-0000-0000-000053B90000}"/>
    <cellStyle name="Normal 4 3 2 2 3 2 5 3" xfId="12124" xr:uid="{00000000-0005-0000-0000-000054B90000}"/>
    <cellStyle name="Normal 4 3 2 2 3 2 5 3 2" xfId="27308" xr:uid="{00000000-0005-0000-0000-000055B90000}"/>
    <cellStyle name="Normal 4 3 2 2 3 2 5 3 2 2" xfId="59179" xr:uid="{00000000-0005-0000-0000-000056B90000}"/>
    <cellStyle name="Normal 4 3 2 2 3 2 5 3 3" xfId="44003" xr:uid="{00000000-0005-0000-0000-000057B90000}"/>
    <cellStyle name="Normal 4 3 2 2 3 2 5 4" xfId="19430" xr:uid="{00000000-0005-0000-0000-000058B90000}"/>
    <cellStyle name="Normal 4 3 2 2 3 2 5 4 2" xfId="51301" xr:uid="{00000000-0005-0000-0000-000059B90000}"/>
    <cellStyle name="Normal 4 3 2 2 3 2 5 5" xfId="44000" xr:uid="{00000000-0005-0000-0000-00005AB90000}"/>
    <cellStyle name="Normal 4 3 2 2 3 2 6" xfId="12125" xr:uid="{00000000-0005-0000-0000-00005BB90000}"/>
    <cellStyle name="Normal 4 3 2 2 3 2 6 2" xfId="12126" xr:uid="{00000000-0005-0000-0000-00005CB90000}"/>
    <cellStyle name="Normal 4 3 2 2 3 2 6 2 2" xfId="28494" xr:uid="{00000000-0005-0000-0000-00005DB90000}"/>
    <cellStyle name="Normal 4 3 2 2 3 2 6 2 2 2" xfId="60365" xr:uid="{00000000-0005-0000-0000-00005EB90000}"/>
    <cellStyle name="Normal 4 3 2 2 3 2 6 2 3" xfId="44005" xr:uid="{00000000-0005-0000-0000-00005FB90000}"/>
    <cellStyle name="Normal 4 3 2 2 3 2 6 3" xfId="20616" xr:uid="{00000000-0005-0000-0000-000060B90000}"/>
    <cellStyle name="Normal 4 3 2 2 3 2 6 3 2" xfId="52487" xr:uid="{00000000-0005-0000-0000-000061B90000}"/>
    <cellStyle name="Normal 4 3 2 2 3 2 6 4" xfId="44004" xr:uid="{00000000-0005-0000-0000-000062B90000}"/>
    <cellStyle name="Normal 4 3 2 2 3 2 7" xfId="12127" xr:uid="{00000000-0005-0000-0000-000063B90000}"/>
    <cellStyle name="Normal 4 3 2 2 3 2 7 2" xfId="24555" xr:uid="{00000000-0005-0000-0000-000064B90000}"/>
    <cellStyle name="Normal 4 3 2 2 3 2 7 2 2" xfId="56426" xr:uid="{00000000-0005-0000-0000-000065B90000}"/>
    <cellStyle name="Normal 4 3 2 2 3 2 7 3" xfId="44006" xr:uid="{00000000-0005-0000-0000-000066B90000}"/>
    <cellStyle name="Normal 4 3 2 2 3 2 8" xfId="16677" xr:uid="{00000000-0005-0000-0000-000067B90000}"/>
    <cellStyle name="Normal 4 3 2 2 3 2 8 2" xfId="48548" xr:uid="{00000000-0005-0000-0000-000068B90000}"/>
    <cellStyle name="Normal 4 3 2 2 3 2 9" xfId="43943" xr:uid="{00000000-0005-0000-0000-000069B90000}"/>
    <cellStyle name="Normal 4 3 2 2 3 3" xfId="12128" xr:uid="{00000000-0005-0000-0000-00006AB90000}"/>
    <cellStyle name="Normal 4 3 2 2 3 3 2" xfId="12129" xr:uid="{00000000-0005-0000-0000-00006BB90000}"/>
    <cellStyle name="Normal 4 3 2 2 3 3 2 2" xfId="12130" xr:uid="{00000000-0005-0000-0000-00006CB90000}"/>
    <cellStyle name="Normal 4 3 2 2 3 3 2 2 2" xfId="12131" xr:uid="{00000000-0005-0000-0000-00006DB90000}"/>
    <cellStyle name="Normal 4 3 2 2 3 3 2 2 2 2" xfId="12132" xr:uid="{00000000-0005-0000-0000-00006EB90000}"/>
    <cellStyle name="Normal 4 3 2 2 3 3 2 2 2 2 2" xfId="12133" xr:uid="{00000000-0005-0000-0000-00006FB90000}"/>
    <cellStyle name="Normal 4 3 2 2 3 3 2 2 2 2 2 2" xfId="31251" xr:uid="{00000000-0005-0000-0000-000070B90000}"/>
    <cellStyle name="Normal 4 3 2 2 3 3 2 2 2 2 2 2 2" xfId="63122" xr:uid="{00000000-0005-0000-0000-000071B90000}"/>
    <cellStyle name="Normal 4 3 2 2 3 3 2 2 2 2 2 3" xfId="44012" xr:uid="{00000000-0005-0000-0000-000072B90000}"/>
    <cellStyle name="Normal 4 3 2 2 3 3 2 2 2 2 3" xfId="23373" xr:uid="{00000000-0005-0000-0000-000073B90000}"/>
    <cellStyle name="Normal 4 3 2 2 3 3 2 2 2 2 3 2" xfId="55244" xr:uid="{00000000-0005-0000-0000-000074B90000}"/>
    <cellStyle name="Normal 4 3 2 2 3 3 2 2 2 2 4" xfId="44011" xr:uid="{00000000-0005-0000-0000-000075B90000}"/>
    <cellStyle name="Normal 4 3 2 2 3 3 2 2 2 3" xfId="12134" xr:uid="{00000000-0005-0000-0000-000076B90000}"/>
    <cellStyle name="Normal 4 3 2 2 3 3 2 2 2 3 2" xfId="27312" xr:uid="{00000000-0005-0000-0000-000077B90000}"/>
    <cellStyle name="Normal 4 3 2 2 3 3 2 2 2 3 2 2" xfId="59183" xr:uid="{00000000-0005-0000-0000-000078B90000}"/>
    <cellStyle name="Normal 4 3 2 2 3 3 2 2 2 3 3" xfId="44013" xr:uid="{00000000-0005-0000-0000-000079B90000}"/>
    <cellStyle name="Normal 4 3 2 2 3 3 2 2 2 4" xfId="19434" xr:uid="{00000000-0005-0000-0000-00007AB90000}"/>
    <cellStyle name="Normal 4 3 2 2 3 3 2 2 2 4 2" xfId="51305" xr:uid="{00000000-0005-0000-0000-00007BB90000}"/>
    <cellStyle name="Normal 4 3 2 2 3 3 2 2 2 5" xfId="44010" xr:uid="{00000000-0005-0000-0000-00007CB90000}"/>
    <cellStyle name="Normal 4 3 2 2 3 3 2 2 3" xfId="12135" xr:uid="{00000000-0005-0000-0000-00007DB90000}"/>
    <cellStyle name="Normal 4 3 2 2 3 3 2 2 3 2" xfId="12136" xr:uid="{00000000-0005-0000-0000-00007EB90000}"/>
    <cellStyle name="Normal 4 3 2 2 3 3 2 2 3 2 2" xfId="31250" xr:uid="{00000000-0005-0000-0000-00007FB90000}"/>
    <cellStyle name="Normal 4 3 2 2 3 3 2 2 3 2 2 2" xfId="63121" xr:uid="{00000000-0005-0000-0000-000080B90000}"/>
    <cellStyle name="Normal 4 3 2 2 3 3 2 2 3 2 3" xfId="44015" xr:uid="{00000000-0005-0000-0000-000081B90000}"/>
    <cellStyle name="Normal 4 3 2 2 3 3 2 2 3 3" xfId="23372" xr:uid="{00000000-0005-0000-0000-000082B90000}"/>
    <cellStyle name="Normal 4 3 2 2 3 3 2 2 3 3 2" xfId="55243" xr:uid="{00000000-0005-0000-0000-000083B90000}"/>
    <cellStyle name="Normal 4 3 2 2 3 3 2 2 3 4" xfId="44014" xr:uid="{00000000-0005-0000-0000-000084B90000}"/>
    <cellStyle name="Normal 4 3 2 2 3 3 2 2 4" xfId="12137" xr:uid="{00000000-0005-0000-0000-000085B90000}"/>
    <cellStyle name="Normal 4 3 2 2 3 3 2 2 4 2" xfId="27311" xr:uid="{00000000-0005-0000-0000-000086B90000}"/>
    <cellStyle name="Normal 4 3 2 2 3 3 2 2 4 2 2" xfId="59182" xr:uid="{00000000-0005-0000-0000-000087B90000}"/>
    <cellStyle name="Normal 4 3 2 2 3 3 2 2 4 3" xfId="44016" xr:uid="{00000000-0005-0000-0000-000088B90000}"/>
    <cellStyle name="Normal 4 3 2 2 3 3 2 2 5" xfId="19433" xr:uid="{00000000-0005-0000-0000-000089B90000}"/>
    <cellStyle name="Normal 4 3 2 2 3 3 2 2 5 2" xfId="51304" xr:uid="{00000000-0005-0000-0000-00008AB90000}"/>
    <cellStyle name="Normal 4 3 2 2 3 3 2 2 6" xfId="44009" xr:uid="{00000000-0005-0000-0000-00008BB90000}"/>
    <cellStyle name="Normal 4 3 2 2 3 3 2 3" xfId="12138" xr:uid="{00000000-0005-0000-0000-00008CB90000}"/>
    <cellStyle name="Normal 4 3 2 2 3 3 2 3 2" xfId="12139" xr:uid="{00000000-0005-0000-0000-00008DB90000}"/>
    <cellStyle name="Normal 4 3 2 2 3 3 2 3 2 2" xfId="12140" xr:uid="{00000000-0005-0000-0000-00008EB90000}"/>
    <cellStyle name="Normal 4 3 2 2 3 3 2 3 2 2 2" xfId="31252" xr:uid="{00000000-0005-0000-0000-00008FB90000}"/>
    <cellStyle name="Normal 4 3 2 2 3 3 2 3 2 2 2 2" xfId="63123" xr:uid="{00000000-0005-0000-0000-000090B90000}"/>
    <cellStyle name="Normal 4 3 2 2 3 3 2 3 2 2 3" xfId="44019" xr:uid="{00000000-0005-0000-0000-000091B90000}"/>
    <cellStyle name="Normal 4 3 2 2 3 3 2 3 2 3" xfId="23374" xr:uid="{00000000-0005-0000-0000-000092B90000}"/>
    <cellStyle name="Normal 4 3 2 2 3 3 2 3 2 3 2" xfId="55245" xr:uid="{00000000-0005-0000-0000-000093B90000}"/>
    <cellStyle name="Normal 4 3 2 2 3 3 2 3 2 4" xfId="44018" xr:uid="{00000000-0005-0000-0000-000094B90000}"/>
    <cellStyle name="Normal 4 3 2 2 3 3 2 3 3" xfId="12141" xr:uid="{00000000-0005-0000-0000-000095B90000}"/>
    <cellStyle name="Normal 4 3 2 2 3 3 2 3 3 2" xfId="27313" xr:uid="{00000000-0005-0000-0000-000096B90000}"/>
    <cellStyle name="Normal 4 3 2 2 3 3 2 3 3 2 2" xfId="59184" xr:uid="{00000000-0005-0000-0000-000097B90000}"/>
    <cellStyle name="Normal 4 3 2 2 3 3 2 3 3 3" xfId="44020" xr:uid="{00000000-0005-0000-0000-000098B90000}"/>
    <cellStyle name="Normal 4 3 2 2 3 3 2 3 4" xfId="19435" xr:uid="{00000000-0005-0000-0000-000099B90000}"/>
    <cellStyle name="Normal 4 3 2 2 3 3 2 3 4 2" xfId="51306" xr:uid="{00000000-0005-0000-0000-00009AB90000}"/>
    <cellStyle name="Normal 4 3 2 2 3 3 2 3 5" xfId="44017" xr:uid="{00000000-0005-0000-0000-00009BB90000}"/>
    <cellStyle name="Normal 4 3 2 2 3 3 2 4" xfId="12142" xr:uid="{00000000-0005-0000-0000-00009CB90000}"/>
    <cellStyle name="Normal 4 3 2 2 3 3 2 4 2" xfId="12143" xr:uid="{00000000-0005-0000-0000-00009DB90000}"/>
    <cellStyle name="Normal 4 3 2 2 3 3 2 4 2 2" xfId="31249" xr:uid="{00000000-0005-0000-0000-00009EB90000}"/>
    <cellStyle name="Normal 4 3 2 2 3 3 2 4 2 2 2" xfId="63120" xr:uid="{00000000-0005-0000-0000-00009FB90000}"/>
    <cellStyle name="Normal 4 3 2 2 3 3 2 4 2 3" xfId="44022" xr:uid="{00000000-0005-0000-0000-0000A0B90000}"/>
    <cellStyle name="Normal 4 3 2 2 3 3 2 4 3" xfId="23371" xr:uid="{00000000-0005-0000-0000-0000A1B90000}"/>
    <cellStyle name="Normal 4 3 2 2 3 3 2 4 3 2" xfId="55242" xr:uid="{00000000-0005-0000-0000-0000A2B90000}"/>
    <cellStyle name="Normal 4 3 2 2 3 3 2 4 4" xfId="44021" xr:uid="{00000000-0005-0000-0000-0000A3B90000}"/>
    <cellStyle name="Normal 4 3 2 2 3 3 2 5" xfId="12144" xr:uid="{00000000-0005-0000-0000-0000A4B90000}"/>
    <cellStyle name="Normal 4 3 2 2 3 3 2 5 2" xfId="27310" xr:uid="{00000000-0005-0000-0000-0000A5B90000}"/>
    <cellStyle name="Normal 4 3 2 2 3 3 2 5 2 2" xfId="59181" xr:uid="{00000000-0005-0000-0000-0000A6B90000}"/>
    <cellStyle name="Normal 4 3 2 2 3 3 2 5 3" xfId="44023" xr:uid="{00000000-0005-0000-0000-0000A7B90000}"/>
    <cellStyle name="Normal 4 3 2 2 3 3 2 6" xfId="19432" xr:uid="{00000000-0005-0000-0000-0000A8B90000}"/>
    <cellStyle name="Normal 4 3 2 2 3 3 2 6 2" xfId="51303" xr:uid="{00000000-0005-0000-0000-0000A9B90000}"/>
    <cellStyle name="Normal 4 3 2 2 3 3 2 7" xfId="44008" xr:uid="{00000000-0005-0000-0000-0000AAB90000}"/>
    <cellStyle name="Normal 4 3 2 2 3 3 3" xfId="12145" xr:uid="{00000000-0005-0000-0000-0000ABB90000}"/>
    <cellStyle name="Normal 4 3 2 2 3 3 3 2" xfId="12146" xr:uid="{00000000-0005-0000-0000-0000ACB90000}"/>
    <cellStyle name="Normal 4 3 2 2 3 3 3 2 2" xfId="12147" xr:uid="{00000000-0005-0000-0000-0000ADB90000}"/>
    <cellStyle name="Normal 4 3 2 2 3 3 3 2 2 2" xfId="12148" xr:uid="{00000000-0005-0000-0000-0000AEB90000}"/>
    <cellStyle name="Normal 4 3 2 2 3 3 3 2 2 2 2" xfId="31254" xr:uid="{00000000-0005-0000-0000-0000AFB90000}"/>
    <cellStyle name="Normal 4 3 2 2 3 3 3 2 2 2 2 2" xfId="63125" xr:uid="{00000000-0005-0000-0000-0000B0B90000}"/>
    <cellStyle name="Normal 4 3 2 2 3 3 3 2 2 2 3" xfId="44027" xr:uid="{00000000-0005-0000-0000-0000B1B90000}"/>
    <cellStyle name="Normal 4 3 2 2 3 3 3 2 2 3" xfId="23376" xr:uid="{00000000-0005-0000-0000-0000B2B90000}"/>
    <cellStyle name="Normal 4 3 2 2 3 3 3 2 2 3 2" xfId="55247" xr:uid="{00000000-0005-0000-0000-0000B3B90000}"/>
    <cellStyle name="Normal 4 3 2 2 3 3 3 2 2 4" xfId="44026" xr:uid="{00000000-0005-0000-0000-0000B4B90000}"/>
    <cellStyle name="Normal 4 3 2 2 3 3 3 2 3" xfId="12149" xr:uid="{00000000-0005-0000-0000-0000B5B90000}"/>
    <cellStyle name="Normal 4 3 2 2 3 3 3 2 3 2" xfId="27315" xr:uid="{00000000-0005-0000-0000-0000B6B90000}"/>
    <cellStyle name="Normal 4 3 2 2 3 3 3 2 3 2 2" xfId="59186" xr:uid="{00000000-0005-0000-0000-0000B7B90000}"/>
    <cellStyle name="Normal 4 3 2 2 3 3 3 2 3 3" xfId="44028" xr:uid="{00000000-0005-0000-0000-0000B8B90000}"/>
    <cellStyle name="Normal 4 3 2 2 3 3 3 2 4" xfId="19437" xr:uid="{00000000-0005-0000-0000-0000B9B90000}"/>
    <cellStyle name="Normal 4 3 2 2 3 3 3 2 4 2" xfId="51308" xr:uid="{00000000-0005-0000-0000-0000BAB90000}"/>
    <cellStyle name="Normal 4 3 2 2 3 3 3 2 5" xfId="44025" xr:uid="{00000000-0005-0000-0000-0000BBB90000}"/>
    <cellStyle name="Normal 4 3 2 2 3 3 3 3" xfId="12150" xr:uid="{00000000-0005-0000-0000-0000BCB90000}"/>
    <cellStyle name="Normal 4 3 2 2 3 3 3 3 2" xfId="12151" xr:uid="{00000000-0005-0000-0000-0000BDB90000}"/>
    <cellStyle name="Normal 4 3 2 2 3 3 3 3 2 2" xfId="31253" xr:uid="{00000000-0005-0000-0000-0000BEB90000}"/>
    <cellStyle name="Normal 4 3 2 2 3 3 3 3 2 2 2" xfId="63124" xr:uid="{00000000-0005-0000-0000-0000BFB90000}"/>
    <cellStyle name="Normal 4 3 2 2 3 3 3 3 2 3" xfId="44030" xr:uid="{00000000-0005-0000-0000-0000C0B90000}"/>
    <cellStyle name="Normal 4 3 2 2 3 3 3 3 3" xfId="23375" xr:uid="{00000000-0005-0000-0000-0000C1B90000}"/>
    <cellStyle name="Normal 4 3 2 2 3 3 3 3 3 2" xfId="55246" xr:uid="{00000000-0005-0000-0000-0000C2B90000}"/>
    <cellStyle name="Normal 4 3 2 2 3 3 3 3 4" xfId="44029" xr:uid="{00000000-0005-0000-0000-0000C3B90000}"/>
    <cellStyle name="Normal 4 3 2 2 3 3 3 4" xfId="12152" xr:uid="{00000000-0005-0000-0000-0000C4B90000}"/>
    <cellStyle name="Normal 4 3 2 2 3 3 3 4 2" xfId="27314" xr:uid="{00000000-0005-0000-0000-0000C5B90000}"/>
    <cellStyle name="Normal 4 3 2 2 3 3 3 4 2 2" xfId="59185" xr:uid="{00000000-0005-0000-0000-0000C6B90000}"/>
    <cellStyle name="Normal 4 3 2 2 3 3 3 4 3" xfId="44031" xr:uid="{00000000-0005-0000-0000-0000C7B90000}"/>
    <cellStyle name="Normal 4 3 2 2 3 3 3 5" xfId="19436" xr:uid="{00000000-0005-0000-0000-0000C8B90000}"/>
    <cellStyle name="Normal 4 3 2 2 3 3 3 5 2" xfId="51307" xr:uid="{00000000-0005-0000-0000-0000C9B90000}"/>
    <cellStyle name="Normal 4 3 2 2 3 3 3 6" xfId="44024" xr:uid="{00000000-0005-0000-0000-0000CAB90000}"/>
    <cellStyle name="Normal 4 3 2 2 3 3 4" xfId="12153" xr:uid="{00000000-0005-0000-0000-0000CBB90000}"/>
    <cellStyle name="Normal 4 3 2 2 3 3 4 2" xfId="12154" xr:uid="{00000000-0005-0000-0000-0000CCB90000}"/>
    <cellStyle name="Normal 4 3 2 2 3 3 4 2 2" xfId="12155" xr:uid="{00000000-0005-0000-0000-0000CDB90000}"/>
    <cellStyle name="Normal 4 3 2 2 3 3 4 2 2 2" xfId="31255" xr:uid="{00000000-0005-0000-0000-0000CEB90000}"/>
    <cellStyle name="Normal 4 3 2 2 3 3 4 2 2 2 2" xfId="63126" xr:uid="{00000000-0005-0000-0000-0000CFB90000}"/>
    <cellStyle name="Normal 4 3 2 2 3 3 4 2 2 3" xfId="44034" xr:uid="{00000000-0005-0000-0000-0000D0B90000}"/>
    <cellStyle name="Normal 4 3 2 2 3 3 4 2 3" xfId="23377" xr:uid="{00000000-0005-0000-0000-0000D1B90000}"/>
    <cellStyle name="Normal 4 3 2 2 3 3 4 2 3 2" xfId="55248" xr:uid="{00000000-0005-0000-0000-0000D2B90000}"/>
    <cellStyle name="Normal 4 3 2 2 3 3 4 2 4" xfId="44033" xr:uid="{00000000-0005-0000-0000-0000D3B90000}"/>
    <cellStyle name="Normal 4 3 2 2 3 3 4 3" xfId="12156" xr:uid="{00000000-0005-0000-0000-0000D4B90000}"/>
    <cellStyle name="Normal 4 3 2 2 3 3 4 3 2" xfId="27316" xr:uid="{00000000-0005-0000-0000-0000D5B90000}"/>
    <cellStyle name="Normal 4 3 2 2 3 3 4 3 2 2" xfId="59187" xr:uid="{00000000-0005-0000-0000-0000D6B90000}"/>
    <cellStyle name="Normal 4 3 2 2 3 3 4 3 3" xfId="44035" xr:uid="{00000000-0005-0000-0000-0000D7B90000}"/>
    <cellStyle name="Normal 4 3 2 2 3 3 4 4" xfId="19438" xr:uid="{00000000-0005-0000-0000-0000D8B90000}"/>
    <cellStyle name="Normal 4 3 2 2 3 3 4 4 2" xfId="51309" xr:uid="{00000000-0005-0000-0000-0000D9B90000}"/>
    <cellStyle name="Normal 4 3 2 2 3 3 4 5" xfId="44032" xr:uid="{00000000-0005-0000-0000-0000DAB90000}"/>
    <cellStyle name="Normal 4 3 2 2 3 3 5" xfId="12157" xr:uid="{00000000-0005-0000-0000-0000DBB90000}"/>
    <cellStyle name="Normal 4 3 2 2 3 3 5 2" xfId="12158" xr:uid="{00000000-0005-0000-0000-0000DCB90000}"/>
    <cellStyle name="Normal 4 3 2 2 3 3 5 2 2" xfId="31248" xr:uid="{00000000-0005-0000-0000-0000DDB90000}"/>
    <cellStyle name="Normal 4 3 2 2 3 3 5 2 2 2" xfId="63119" xr:uid="{00000000-0005-0000-0000-0000DEB90000}"/>
    <cellStyle name="Normal 4 3 2 2 3 3 5 2 3" xfId="44037" xr:uid="{00000000-0005-0000-0000-0000DFB90000}"/>
    <cellStyle name="Normal 4 3 2 2 3 3 5 3" xfId="23370" xr:uid="{00000000-0005-0000-0000-0000E0B90000}"/>
    <cellStyle name="Normal 4 3 2 2 3 3 5 3 2" xfId="55241" xr:uid="{00000000-0005-0000-0000-0000E1B90000}"/>
    <cellStyle name="Normal 4 3 2 2 3 3 5 4" xfId="44036" xr:uid="{00000000-0005-0000-0000-0000E2B90000}"/>
    <cellStyle name="Normal 4 3 2 2 3 3 6" xfId="12159" xr:uid="{00000000-0005-0000-0000-0000E3B90000}"/>
    <cellStyle name="Normal 4 3 2 2 3 3 6 2" xfId="27309" xr:uid="{00000000-0005-0000-0000-0000E4B90000}"/>
    <cellStyle name="Normal 4 3 2 2 3 3 6 2 2" xfId="59180" xr:uid="{00000000-0005-0000-0000-0000E5B90000}"/>
    <cellStyle name="Normal 4 3 2 2 3 3 6 3" xfId="44038" xr:uid="{00000000-0005-0000-0000-0000E6B90000}"/>
    <cellStyle name="Normal 4 3 2 2 3 3 7" xfId="19431" xr:uid="{00000000-0005-0000-0000-0000E7B90000}"/>
    <cellStyle name="Normal 4 3 2 2 3 3 7 2" xfId="51302" xr:uid="{00000000-0005-0000-0000-0000E8B90000}"/>
    <cellStyle name="Normal 4 3 2 2 3 3 8" xfId="44007" xr:uid="{00000000-0005-0000-0000-0000E9B90000}"/>
    <cellStyle name="Normal 4 3 2 2 3 4" xfId="12160" xr:uid="{00000000-0005-0000-0000-0000EAB90000}"/>
    <cellStyle name="Normal 4 3 2 2 3 4 2" xfId="12161" xr:uid="{00000000-0005-0000-0000-0000EBB90000}"/>
    <cellStyle name="Normal 4 3 2 2 3 4 2 2" xfId="12162" xr:uid="{00000000-0005-0000-0000-0000ECB90000}"/>
    <cellStyle name="Normal 4 3 2 2 3 4 2 2 2" xfId="12163" xr:uid="{00000000-0005-0000-0000-0000EDB90000}"/>
    <cellStyle name="Normal 4 3 2 2 3 4 2 2 2 2" xfId="12164" xr:uid="{00000000-0005-0000-0000-0000EEB90000}"/>
    <cellStyle name="Normal 4 3 2 2 3 4 2 2 2 2 2" xfId="31258" xr:uid="{00000000-0005-0000-0000-0000EFB90000}"/>
    <cellStyle name="Normal 4 3 2 2 3 4 2 2 2 2 2 2" xfId="63129" xr:uid="{00000000-0005-0000-0000-0000F0B90000}"/>
    <cellStyle name="Normal 4 3 2 2 3 4 2 2 2 2 3" xfId="44043" xr:uid="{00000000-0005-0000-0000-0000F1B90000}"/>
    <cellStyle name="Normal 4 3 2 2 3 4 2 2 2 3" xfId="23380" xr:uid="{00000000-0005-0000-0000-0000F2B90000}"/>
    <cellStyle name="Normal 4 3 2 2 3 4 2 2 2 3 2" xfId="55251" xr:uid="{00000000-0005-0000-0000-0000F3B90000}"/>
    <cellStyle name="Normal 4 3 2 2 3 4 2 2 2 4" xfId="44042" xr:uid="{00000000-0005-0000-0000-0000F4B90000}"/>
    <cellStyle name="Normal 4 3 2 2 3 4 2 2 3" xfId="12165" xr:uid="{00000000-0005-0000-0000-0000F5B90000}"/>
    <cellStyle name="Normal 4 3 2 2 3 4 2 2 3 2" xfId="27319" xr:uid="{00000000-0005-0000-0000-0000F6B90000}"/>
    <cellStyle name="Normal 4 3 2 2 3 4 2 2 3 2 2" xfId="59190" xr:uid="{00000000-0005-0000-0000-0000F7B90000}"/>
    <cellStyle name="Normal 4 3 2 2 3 4 2 2 3 3" xfId="44044" xr:uid="{00000000-0005-0000-0000-0000F8B90000}"/>
    <cellStyle name="Normal 4 3 2 2 3 4 2 2 4" xfId="19441" xr:uid="{00000000-0005-0000-0000-0000F9B90000}"/>
    <cellStyle name="Normal 4 3 2 2 3 4 2 2 4 2" xfId="51312" xr:uid="{00000000-0005-0000-0000-0000FAB90000}"/>
    <cellStyle name="Normal 4 3 2 2 3 4 2 2 5" xfId="44041" xr:uid="{00000000-0005-0000-0000-0000FBB90000}"/>
    <cellStyle name="Normal 4 3 2 2 3 4 2 3" xfId="12166" xr:uid="{00000000-0005-0000-0000-0000FCB90000}"/>
    <cellStyle name="Normal 4 3 2 2 3 4 2 3 2" xfId="12167" xr:uid="{00000000-0005-0000-0000-0000FDB90000}"/>
    <cellStyle name="Normal 4 3 2 2 3 4 2 3 2 2" xfId="31257" xr:uid="{00000000-0005-0000-0000-0000FEB90000}"/>
    <cellStyle name="Normal 4 3 2 2 3 4 2 3 2 2 2" xfId="63128" xr:uid="{00000000-0005-0000-0000-0000FFB90000}"/>
    <cellStyle name="Normal 4 3 2 2 3 4 2 3 2 3" xfId="44046" xr:uid="{00000000-0005-0000-0000-000000BA0000}"/>
    <cellStyle name="Normal 4 3 2 2 3 4 2 3 3" xfId="23379" xr:uid="{00000000-0005-0000-0000-000001BA0000}"/>
    <cellStyle name="Normal 4 3 2 2 3 4 2 3 3 2" xfId="55250" xr:uid="{00000000-0005-0000-0000-000002BA0000}"/>
    <cellStyle name="Normal 4 3 2 2 3 4 2 3 4" xfId="44045" xr:uid="{00000000-0005-0000-0000-000003BA0000}"/>
    <cellStyle name="Normal 4 3 2 2 3 4 2 4" xfId="12168" xr:uid="{00000000-0005-0000-0000-000004BA0000}"/>
    <cellStyle name="Normal 4 3 2 2 3 4 2 4 2" xfId="27318" xr:uid="{00000000-0005-0000-0000-000005BA0000}"/>
    <cellStyle name="Normal 4 3 2 2 3 4 2 4 2 2" xfId="59189" xr:uid="{00000000-0005-0000-0000-000006BA0000}"/>
    <cellStyle name="Normal 4 3 2 2 3 4 2 4 3" xfId="44047" xr:uid="{00000000-0005-0000-0000-000007BA0000}"/>
    <cellStyle name="Normal 4 3 2 2 3 4 2 5" xfId="19440" xr:uid="{00000000-0005-0000-0000-000008BA0000}"/>
    <cellStyle name="Normal 4 3 2 2 3 4 2 5 2" xfId="51311" xr:uid="{00000000-0005-0000-0000-000009BA0000}"/>
    <cellStyle name="Normal 4 3 2 2 3 4 2 6" xfId="44040" xr:uid="{00000000-0005-0000-0000-00000ABA0000}"/>
    <cellStyle name="Normal 4 3 2 2 3 4 3" xfId="12169" xr:uid="{00000000-0005-0000-0000-00000BBA0000}"/>
    <cellStyle name="Normal 4 3 2 2 3 4 3 2" xfId="12170" xr:uid="{00000000-0005-0000-0000-00000CBA0000}"/>
    <cellStyle name="Normal 4 3 2 2 3 4 3 2 2" xfId="12171" xr:uid="{00000000-0005-0000-0000-00000DBA0000}"/>
    <cellStyle name="Normal 4 3 2 2 3 4 3 2 2 2" xfId="31259" xr:uid="{00000000-0005-0000-0000-00000EBA0000}"/>
    <cellStyle name="Normal 4 3 2 2 3 4 3 2 2 2 2" xfId="63130" xr:uid="{00000000-0005-0000-0000-00000FBA0000}"/>
    <cellStyle name="Normal 4 3 2 2 3 4 3 2 2 3" xfId="44050" xr:uid="{00000000-0005-0000-0000-000010BA0000}"/>
    <cellStyle name="Normal 4 3 2 2 3 4 3 2 3" xfId="23381" xr:uid="{00000000-0005-0000-0000-000011BA0000}"/>
    <cellStyle name="Normal 4 3 2 2 3 4 3 2 3 2" xfId="55252" xr:uid="{00000000-0005-0000-0000-000012BA0000}"/>
    <cellStyle name="Normal 4 3 2 2 3 4 3 2 4" xfId="44049" xr:uid="{00000000-0005-0000-0000-000013BA0000}"/>
    <cellStyle name="Normal 4 3 2 2 3 4 3 3" xfId="12172" xr:uid="{00000000-0005-0000-0000-000014BA0000}"/>
    <cellStyle name="Normal 4 3 2 2 3 4 3 3 2" xfId="27320" xr:uid="{00000000-0005-0000-0000-000015BA0000}"/>
    <cellStyle name="Normal 4 3 2 2 3 4 3 3 2 2" xfId="59191" xr:uid="{00000000-0005-0000-0000-000016BA0000}"/>
    <cellStyle name="Normal 4 3 2 2 3 4 3 3 3" xfId="44051" xr:uid="{00000000-0005-0000-0000-000017BA0000}"/>
    <cellStyle name="Normal 4 3 2 2 3 4 3 4" xfId="19442" xr:uid="{00000000-0005-0000-0000-000018BA0000}"/>
    <cellStyle name="Normal 4 3 2 2 3 4 3 4 2" xfId="51313" xr:uid="{00000000-0005-0000-0000-000019BA0000}"/>
    <cellStyle name="Normal 4 3 2 2 3 4 3 5" xfId="44048" xr:uid="{00000000-0005-0000-0000-00001ABA0000}"/>
    <cellStyle name="Normal 4 3 2 2 3 4 4" xfId="12173" xr:uid="{00000000-0005-0000-0000-00001BBA0000}"/>
    <cellStyle name="Normal 4 3 2 2 3 4 4 2" xfId="12174" xr:uid="{00000000-0005-0000-0000-00001CBA0000}"/>
    <cellStyle name="Normal 4 3 2 2 3 4 4 2 2" xfId="31256" xr:uid="{00000000-0005-0000-0000-00001DBA0000}"/>
    <cellStyle name="Normal 4 3 2 2 3 4 4 2 2 2" xfId="63127" xr:uid="{00000000-0005-0000-0000-00001EBA0000}"/>
    <cellStyle name="Normal 4 3 2 2 3 4 4 2 3" xfId="44053" xr:uid="{00000000-0005-0000-0000-00001FBA0000}"/>
    <cellStyle name="Normal 4 3 2 2 3 4 4 3" xfId="23378" xr:uid="{00000000-0005-0000-0000-000020BA0000}"/>
    <cellStyle name="Normal 4 3 2 2 3 4 4 3 2" xfId="55249" xr:uid="{00000000-0005-0000-0000-000021BA0000}"/>
    <cellStyle name="Normal 4 3 2 2 3 4 4 4" xfId="44052" xr:uid="{00000000-0005-0000-0000-000022BA0000}"/>
    <cellStyle name="Normal 4 3 2 2 3 4 5" xfId="12175" xr:uid="{00000000-0005-0000-0000-000023BA0000}"/>
    <cellStyle name="Normal 4 3 2 2 3 4 5 2" xfId="27317" xr:uid="{00000000-0005-0000-0000-000024BA0000}"/>
    <cellStyle name="Normal 4 3 2 2 3 4 5 2 2" xfId="59188" xr:uid="{00000000-0005-0000-0000-000025BA0000}"/>
    <cellStyle name="Normal 4 3 2 2 3 4 5 3" xfId="44054" xr:uid="{00000000-0005-0000-0000-000026BA0000}"/>
    <cellStyle name="Normal 4 3 2 2 3 4 6" xfId="19439" xr:uid="{00000000-0005-0000-0000-000027BA0000}"/>
    <cellStyle name="Normal 4 3 2 2 3 4 6 2" xfId="51310" xr:uid="{00000000-0005-0000-0000-000028BA0000}"/>
    <cellStyle name="Normal 4 3 2 2 3 4 7" xfId="44039" xr:uid="{00000000-0005-0000-0000-000029BA0000}"/>
    <cellStyle name="Normal 4 3 2 2 3 5" xfId="12176" xr:uid="{00000000-0005-0000-0000-00002ABA0000}"/>
    <cellStyle name="Normal 4 3 2 2 3 5 2" xfId="12177" xr:uid="{00000000-0005-0000-0000-00002BBA0000}"/>
    <cellStyle name="Normal 4 3 2 2 3 5 2 2" xfId="12178" xr:uid="{00000000-0005-0000-0000-00002CBA0000}"/>
    <cellStyle name="Normal 4 3 2 2 3 5 2 2 2" xfId="12179" xr:uid="{00000000-0005-0000-0000-00002DBA0000}"/>
    <cellStyle name="Normal 4 3 2 2 3 5 2 2 2 2" xfId="31261" xr:uid="{00000000-0005-0000-0000-00002EBA0000}"/>
    <cellStyle name="Normal 4 3 2 2 3 5 2 2 2 2 2" xfId="63132" xr:uid="{00000000-0005-0000-0000-00002FBA0000}"/>
    <cellStyle name="Normal 4 3 2 2 3 5 2 2 2 3" xfId="44058" xr:uid="{00000000-0005-0000-0000-000030BA0000}"/>
    <cellStyle name="Normal 4 3 2 2 3 5 2 2 3" xfId="23383" xr:uid="{00000000-0005-0000-0000-000031BA0000}"/>
    <cellStyle name="Normal 4 3 2 2 3 5 2 2 3 2" xfId="55254" xr:uid="{00000000-0005-0000-0000-000032BA0000}"/>
    <cellStyle name="Normal 4 3 2 2 3 5 2 2 4" xfId="44057" xr:uid="{00000000-0005-0000-0000-000033BA0000}"/>
    <cellStyle name="Normal 4 3 2 2 3 5 2 3" xfId="12180" xr:uid="{00000000-0005-0000-0000-000034BA0000}"/>
    <cellStyle name="Normal 4 3 2 2 3 5 2 3 2" xfId="27322" xr:uid="{00000000-0005-0000-0000-000035BA0000}"/>
    <cellStyle name="Normal 4 3 2 2 3 5 2 3 2 2" xfId="59193" xr:uid="{00000000-0005-0000-0000-000036BA0000}"/>
    <cellStyle name="Normal 4 3 2 2 3 5 2 3 3" xfId="44059" xr:uid="{00000000-0005-0000-0000-000037BA0000}"/>
    <cellStyle name="Normal 4 3 2 2 3 5 2 4" xfId="19444" xr:uid="{00000000-0005-0000-0000-000038BA0000}"/>
    <cellStyle name="Normal 4 3 2 2 3 5 2 4 2" xfId="51315" xr:uid="{00000000-0005-0000-0000-000039BA0000}"/>
    <cellStyle name="Normal 4 3 2 2 3 5 2 5" xfId="44056" xr:uid="{00000000-0005-0000-0000-00003ABA0000}"/>
    <cellStyle name="Normal 4 3 2 2 3 5 3" xfId="12181" xr:uid="{00000000-0005-0000-0000-00003BBA0000}"/>
    <cellStyle name="Normal 4 3 2 2 3 5 3 2" xfId="12182" xr:uid="{00000000-0005-0000-0000-00003CBA0000}"/>
    <cellStyle name="Normal 4 3 2 2 3 5 3 2 2" xfId="31260" xr:uid="{00000000-0005-0000-0000-00003DBA0000}"/>
    <cellStyle name="Normal 4 3 2 2 3 5 3 2 2 2" xfId="63131" xr:uid="{00000000-0005-0000-0000-00003EBA0000}"/>
    <cellStyle name="Normal 4 3 2 2 3 5 3 2 3" xfId="44061" xr:uid="{00000000-0005-0000-0000-00003FBA0000}"/>
    <cellStyle name="Normal 4 3 2 2 3 5 3 3" xfId="23382" xr:uid="{00000000-0005-0000-0000-000040BA0000}"/>
    <cellStyle name="Normal 4 3 2 2 3 5 3 3 2" xfId="55253" xr:uid="{00000000-0005-0000-0000-000041BA0000}"/>
    <cellStyle name="Normal 4 3 2 2 3 5 3 4" xfId="44060" xr:uid="{00000000-0005-0000-0000-000042BA0000}"/>
    <cellStyle name="Normal 4 3 2 2 3 5 4" xfId="12183" xr:uid="{00000000-0005-0000-0000-000043BA0000}"/>
    <cellStyle name="Normal 4 3 2 2 3 5 4 2" xfId="27321" xr:uid="{00000000-0005-0000-0000-000044BA0000}"/>
    <cellStyle name="Normal 4 3 2 2 3 5 4 2 2" xfId="59192" xr:uid="{00000000-0005-0000-0000-000045BA0000}"/>
    <cellStyle name="Normal 4 3 2 2 3 5 4 3" xfId="44062" xr:uid="{00000000-0005-0000-0000-000046BA0000}"/>
    <cellStyle name="Normal 4 3 2 2 3 5 5" xfId="19443" xr:uid="{00000000-0005-0000-0000-000047BA0000}"/>
    <cellStyle name="Normal 4 3 2 2 3 5 5 2" xfId="51314" xr:uid="{00000000-0005-0000-0000-000048BA0000}"/>
    <cellStyle name="Normal 4 3 2 2 3 5 6" xfId="44055" xr:uid="{00000000-0005-0000-0000-000049BA0000}"/>
    <cellStyle name="Normal 4 3 2 2 3 6" xfId="12184" xr:uid="{00000000-0005-0000-0000-00004ABA0000}"/>
    <cellStyle name="Normal 4 3 2 2 3 6 2" xfId="12185" xr:uid="{00000000-0005-0000-0000-00004BBA0000}"/>
    <cellStyle name="Normal 4 3 2 2 3 6 2 2" xfId="12186" xr:uid="{00000000-0005-0000-0000-00004CBA0000}"/>
    <cellStyle name="Normal 4 3 2 2 3 6 2 2 2" xfId="31262" xr:uid="{00000000-0005-0000-0000-00004DBA0000}"/>
    <cellStyle name="Normal 4 3 2 2 3 6 2 2 2 2" xfId="63133" xr:uid="{00000000-0005-0000-0000-00004EBA0000}"/>
    <cellStyle name="Normal 4 3 2 2 3 6 2 2 3" xfId="44065" xr:uid="{00000000-0005-0000-0000-00004FBA0000}"/>
    <cellStyle name="Normal 4 3 2 2 3 6 2 3" xfId="23384" xr:uid="{00000000-0005-0000-0000-000050BA0000}"/>
    <cellStyle name="Normal 4 3 2 2 3 6 2 3 2" xfId="55255" xr:uid="{00000000-0005-0000-0000-000051BA0000}"/>
    <cellStyle name="Normal 4 3 2 2 3 6 2 4" xfId="44064" xr:uid="{00000000-0005-0000-0000-000052BA0000}"/>
    <cellStyle name="Normal 4 3 2 2 3 6 3" xfId="12187" xr:uid="{00000000-0005-0000-0000-000053BA0000}"/>
    <cellStyle name="Normal 4 3 2 2 3 6 3 2" xfId="27323" xr:uid="{00000000-0005-0000-0000-000054BA0000}"/>
    <cellStyle name="Normal 4 3 2 2 3 6 3 2 2" xfId="59194" xr:uid="{00000000-0005-0000-0000-000055BA0000}"/>
    <cellStyle name="Normal 4 3 2 2 3 6 3 3" xfId="44066" xr:uid="{00000000-0005-0000-0000-000056BA0000}"/>
    <cellStyle name="Normal 4 3 2 2 3 6 4" xfId="19445" xr:uid="{00000000-0005-0000-0000-000057BA0000}"/>
    <cellStyle name="Normal 4 3 2 2 3 6 4 2" xfId="51316" xr:uid="{00000000-0005-0000-0000-000058BA0000}"/>
    <cellStyle name="Normal 4 3 2 2 3 6 5" xfId="44063" xr:uid="{00000000-0005-0000-0000-000059BA0000}"/>
    <cellStyle name="Normal 4 3 2 2 3 7" xfId="12188" xr:uid="{00000000-0005-0000-0000-00005ABA0000}"/>
    <cellStyle name="Normal 4 3 2 2 3 7 2" xfId="12189" xr:uid="{00000000-0005-0000-0000-00005BBA0000}"/>
    <cellStyle name="Normal 4 3 2 2 3 7 2 2" xfId="28371" xr:uid="{00000000-0005-0000-0000-00005CBA0000}"/>
    <cellStyle name="Normal 4 3 2 2 3 7 2 2 2" xfId="60242" xr:uid="{00000000-0005-0000-0000-00005DBA0000}"/>
    <cellStyle name="Normal 4 3 2 2 3 7 2 3" xfId="44068" xr:uid="{00000000-0005-0000-0000-00005EBA0000}"/>
    <cellStyle name="Normal 4 3 2 2 3 7 3" xfId="20493" xr:uid="{00000000-0005-0000-0000-00005FBA0000}"/>
    <cellStyle name="Normal 4 3 2 2 3 7 3 2" xfId="52364" xr:uid="{00000000-0005-0000-0000-000060BA0000}"/>
    <cellStyle name="Normal 4 3 2 2 3 7 4" xfId="44067" xr:uid="{00000000-0005-0000-0000-000061BA0000}"/>
    <cellStyle name="Normal 4 3 2 2 3 8" xfId="12190" xr:uid="{00000000-0005-0000-0000-000062BA0000}"/>
    <cellStyle name="Normal 4 3 2 2 3 8 2" xfId="24432" xr:uid="{00000000-0005-0000-0000-000063BA0000}"/>
    <cellStyle name="Normal 4 3 2 2 3 8 2 2" xfId="56303" xr:uid="{00000000-0005-0000-0000-000064BA0000}"/>
    <cellStyle name="Normal 4 3 2 2 3 8 3" xfId="44069" xr:uid="{00000000-0005-0000-0000-000065BA0000}"/>
    <cellStyle name="Normal 4 3 2 2 3 9" xfId="16554" xr:uid="{00000000-0005-0000-0000-000066BA0000}"/>
    <cellStyle name="Normal 4 3 2 2 3 9 2" xfId="48425" xr:uid="{00000000-0005-0000-0000-000067BA0000}"/>
    <cellStyle name="Normal 4 3 2 2 4" xfId="12191" xr:uid="{00000000-0005-0000-0000-000068BA0000}"/>
    <cellStyle name="Normal 4 3 2 2 4 2" xfId="12192" xr:uid="{00000000-0005-0000-0000-000069BA0000}"/>
    <cellStyle name="Normal 4 3 2 2 4 2 2" xfId="12193" xr:uid="{00000000-0005-0000-0000-00006ABA0000}"/>
    <cellStyle name="Normal 4 3 2 2 4 2 2 2" xfId="12194" xr:uid="{00000000-0005-0000-0000-00006BBA0000}"/>
    <cellStyle name="Normal 4 3 2 2 4 2 2 2 2" xfId="12195" xr:uid="{00000000-0005-0000-0000-00006CBA0000}"/>
    <cellStyle name="Normal 4 3 2 2 4 2 2 2 2 2" xfId="12196" xr:uid="{00000000-0005-0000-0000-00006DBA0000}"/>
    <cellStyle name="Normal 4 3 2 2 4 2 2 2 2 2 2" xfId="12197" xr:uid="{00000000-0005-0000-0000-00006EBA0000}"/>
    <cellStyle name="Normal 4 3 2 2 4 2 2 2 2 2 2 2" xfId="31266" xr:uid="{00000000-0005-0000-0000-00006FBA0000}"/>
    <cellStyle name="Normal 4 3 2 2 4 2 2 2 2 2 2 2 2" xfId="63137" xr:uid="{00000000-0005-0000-0000-000070BA0000}"/>
    <cellStyle name="Normal 4 3 2 2 4 2 2 2 2 2 2 3" xfId="44076" xr:uid="{00000000-0005-0000-0000-000071BA0000}"/>
    <cellStyle name="Normal 4 3 2 2 4 2 2 2 2 2 3" xfId="23388" xr:uid="{00000000-0005-0000-0000-000072BA0000}"/>
    <cellStyle name="Normal 4 3 2 2 4 2 2 2 2 2 3 2" xfId="55259" xr:uid="{00000000-0005-0000-0000-000073BA0000}"/>
    <cellStyle name="Normal 4 3 2 2 4 2 2 2 2 2 4" xfId="44075" xr:uid="{00000000-0005-0000-0000-000074BA0000}"/>
    <cellStyle name="Normal 4 3 2 2 4 2 2 2 2 3" xfId="12198" xr:uid="{00000000-0005-0000-0000-000075BA0000}"/>
    <cellStyle name="Normal 4 3 2 2 4 2 2 2 2 3 2" xfId="27327" xr:uid="{00000000-0005-0000-0000-000076BA0000}"/>
    <cellStyle name="Normal 4 3 2 2 4 2 2 2 2 3 2 2" xfId="59198" xr:uid="{00000000-0005-0000-0000-000077BA0000}"/>
    <cellStyle name="Normal 4 3 2 2 4 2 2 2 2 3 3" xfId="44077" xr:uid="{00000000-0005-0000-0000-000078BA0000}"/>
    <cellStyle name="Normal 4 3 2 2 4 2 2 2 2 4" xfId="19449" xr:uid="{00000000-0005-0000-0000-000079BA0000}"/>
    <cellStyle name="Normal 4 3 2 2 4 2 2 2 2 4 2" xfId="51320" xr:uid="{00000000-0005-0000-0000-00007ABA0000}"/>
    <cellStyle name="Normal 4 3 2 2 4 2 2 2 2 5" xfId="44074" xr:uid="{00000000-0005-0000-0000-00007BBA0000}"/>
    <cellStyle name="Normal 4 3 2 2 4 2 2 2 3" xfId="12199" xr:uid="{00000000-0005-0000-0000-00007CBA0000}"/>
    <cellStyle name="Normal 4 3 2 2 4 2 2 2 3 2" xfId="12200" xr:uid="{00000000-0005-0000-0000-00007DBA0000}"/>
    <cellStyle name="Normal 4 3 2 2 4 2 2 2 3 2 2" xfId="31265" xr:uid="{00000000-0005-0000-0000-00007EBA0000}"/>
    <cellStyle name="Normal 4 3 2 2 4 2 2 2 3 2 2 2" xfId="63136" xr:uid="{00000000-0005-0000-0000-00007FBA0000}"/>
    <cellStyle name="Normal 4 3 2 2 4 2 2 2 3 2 3" xfId="44079" xr:uid="{00000000-0005-0000-0000-000080BA0000}"/>
    <cellStyle name="Normal 4 3 2 2 4 2 2 2 3 3" xfId="23387" xr:uid="{00000000-0005-0000-0000-000081BA0000}"/>
    <cellStyle name="Normal 4 3 2 2 4 2 2 2 3 3 2" xfId="55258" xr:uid="{00000000-0005-0000-0000-000082BA0000}"/>
    <cellStyle name="Normal 4 3 2 2 4 2 2 2 3 4" xfId="44078" xr:uid="{00000000-0005-0000-0000-000083BA0000}"/>
    <cellStyle name="Normal 4 3 2 2 4 2 2 2 4" xfId="12201" xr:uid="{00000000-0005-0000-0000-000084BA0000}"/>
    <cellStyle name="Normal 4 3 2 2 4 2 2 2 4 2" xfId="27326" xr:uid="{00000000-0005-0000-0000-000085BA0000}"/>
    <cellStyle name="Normal 4 3 2 2 4 2 2 2 4 2 2" xfId="59197" xr:uid="{00000000-0005-0000-0000-000086BA0000}"/>
    <cellStyle name="Normal 4 3 2 2 4 2 2 2 4 3" xfId="44080" xr:uid="{00000000-0005-0000-0000-000087BA0000}"/>
    <cellStyle name="Normal 4 3 2 2 4 2 2 2 5" xfId="19448" xr:uid="{00000000-0005-0000-0000-000088BA0000}"/>
    <cellStyle name="Normal 4 3 2 2 4 2 2 2 5 2" xfId="51319" xr:uid="{00000000-0005-0000-0000-000089BA0000}"/>
    <cellStyle name="Normal 4 3 2 2 4 2 2 2 6" xfId="44073" xr:uid="{00000000-0005-0000-0000-00008ABA0000}"/>
    <cellStyle name="Normal 4 3 2 2 4 2 2 3" xfId="12202" xr:uid="{00000000-0005-0000-0000-00008BBA0000}"/>
    <cellStyle name="Normal 4 3 2 2 4 2 2 3 2" xfId="12203" xr:uid="{00000000-0005-0000-0000-00008CBA0000}"/>
    <cellStyle name="Normal 4 3 2 2 4 2 2 3 2 2" xfId="12204" xr:uid="{00000000-0005-0000-0000-00008DBA0000}"/>
    <cellStyle name="Normal 4 3 2 2 4 2 2 3 2 2 2" xfId="31267" xr:uid="{00000000-0005-0000-0000-00008EBA0000}"/>
    <cellStyle name="Normal 4 3 2 2 4 2 2 3 2 2 2 2" xfId="63138" xr:uid="{00000000-0005-0000-0000-00008FBA0000}"/>
    <cellStyle name="Normal 4 3 2 2 4 2 2 3 2 2 3" xfId="44083" xr:uid="{00000000-0005-0000-0000-000090BA0000}"/>
    <cellStyle name="Normal 4 3 2 2 4 2 2 3 2 3" xfId="23389" xr:uid="{00000000-0005-0000-0000-000091BA0000}"/>
    <cellStyle name="Normal 4 3 2 2 4 2 2 3 2 3 2" xfId="55260" xr:uid="{00000000-0005-0000-0000-000092BA0000}"/>
    <cellStyle name="Normal 4 3 2 2 4 2 2 3 2 4" xfId="44082" xr:uid="{00000000-0005-0000-0000-000093BA0000}"/>
    <cellStyle name="Normal 4 3 2 2 4 2 2 3 3" xfId="12205" xr:uid="{00000000-0005-0000-0000-000094BA0000}"/>
    <cellStyle name="Normal 4 3 2 2 4 2 2 3 3 2" xfId="27328" xr:uid="{00000000-0005-0000-0000-000095BA0000}"/>
    <cellStyle name="Normal 4 3 2 2 4 2 2 3 3 2 2" xfId="59199" xr:uid="{00000000-0005-0000-0000-000096BA0000}"/>
    <cellStyle name="Normal 4 3 2 2 4 2 2 3 3 3" xfId="44084" xr:uid="{00000000-0005-0000-0000-000097BA0000}"/>
    <cellStyle name="Normal 4 3 2 2 4 2 2 3 4" xfId="19450" xr:uid="{00000000-0005-0000-0000-000098BA0000}"/>
    <cellStyle name="Normal 4 3 2 2 4 2 2 3 4 2" xfId="51321" xr:uid="{00000000-0005-0000-0000-000099BA0000}"/>
    <cellStyle name="Normal 4 3 2 2 4 2 2 3 5" xfId="44081" xr:uid="{00000000-0005-0000-0000-00009ABA0000}"/>
    <cellStyle name="Normal 4 3 2 2 4 2 2 4" xfId="12206" xr:uid="{00000000-0005-0000-0000-00009BBA0000}"/>
    <cellStyle name="Normal 4 3 2 2 4 2 2 4 2" xfId="12207" xr:uid="{00000000-0005-0000-0000-00009CBA0000}"/>
    <cellStyle name="Normal 4 3 2 2 4 2 2 4 2 2" xfId="31264" xr:uid="{00000000-0005-0000-0000-00009DBA0000}"/>
    <cellStyle name="Normal 4 3 2 2 4 2 2 4 2 2 2" xfId="63135" xr:uid="{00000000-0005-0000-0000-00009EBA0000}"/>
    <cellStyle name="Normal 4 3 2 2 4 2 2 4 2 3" xfId="44086" xr:uid="{00000000-0005-0000-0000-00009FBA0000}"/>
    <cellStyle name="Normal 4 3 2 2 4 2 2 4 3" xfId="23386" xr:uid="{00000000-0005-0000-0000-0000A0BA0000}"/>
    <cellStyle name="Normal 4 3 2 2 4 2 2 4 3 2" xfId="55257" xr:uid="{00000000-0005-0000-0000-0000A1BA0000}"/>
    <cellStyle name="Normal 4 3 2 2 4 2 2 4 4" xfId="44085" xr:uid="{00000000-0005-0000-0000-0000A2BA0000}"/>
    <cellStyle name="Normal 4 3 2 2 4 2 2 5" xfId="12208" xr:uid="{00000000-0005-0000-0000-0000A3BA0000}"/>
    <cellStyle name="Normal 4 3 2 2 4 2 2 5 2" xfId="27325" xr:uid="{00000000-0005-0000-0000-0000A4BA0000}"/>
    <cellStyle name="Normal 4 3 2 2 4 2 2 5 2 2" xfId="59196" xr:uid="{00000000-0005-0000-0000-0000A5BA0000}"/>
    <cellStyle name="Normal 4 3 2 2 4 2 2 5 3" xfId="44087" xr:uid="{00000000-0005-0000-0000-0000A6BA0000}"/>
    <cellStyle name="Normal 4 3 2 2 4 2 2 6" xfId="19447" xr:uid="{00000000-0005-0000-0000-0000A7BA0000}"/>
    <cellStyle name="Normal 4 3 2 2 4 2 2 6 2" xfId="51318" xr:uid="{00000000-0005-0000-0000-0000A8BA0000}"/>
    <cellStyle name="Normal 4 3 2 2 4 2 2 7" xfId="44072" xr:uid="{00000000-0005-0000-0000-0000A9BA0000}"/>
    <cellStyle name="Normal 4 3 2 2 4 2 3" xfId="12209" xr:uid="{00000000-0005-0000-0000-0000AABA0000}"/>
    <cellStyle name="Normal 4 3 2 2 4 2 3 2" xfId="12210" xr:uid="{00000000-0005-0000-0000-0000ABBA0000}"/>
    <cellStyle name="Normal 4 3 2 2 4 2 3 2 2" xfId="12211" xr:uid="{00000000-0005-0000-0000-0000ACBA0000}"/>
    <cellStyle name="Normal 4 3 2 2 4 2 3 2 2 2" xfId="12212" xr:uid="{00000000-0005-0000-0000-0000ADBA0000}"/>
    <cellStyle name="Normal 4 3 2 2 4 2 3 2 2 2 2" xfId="31269" xr:uid="{00000000-0005-0000-0000-0000AEBA0000}"/>
    <cellStyle name="Normal 4 3 2 2 4 2 3 2 2 2 2 2" xfId="63140" xr:uid="{00000000-0005-0000-0000-0000AFBA0000}"/>
    <cellStyle name="Normal 4 3 2 2 4 2 3 2 2 2 3" xfId="44091" xr:uid="{00000000-0005-0000-0000-0000B0BA0000}"/>
    <cellStyle name="Normal 4 3 2 2 4 2 3 2 2 3" xfId="23391" xr:uid="{00000000-0005-0000-0000-0000B1BA0000}"/>
    <cellStyle name="Normal 4 3 2 2 4 2 3 2 2 3 2" xfId="55262" xr:uid="{00000000-0005-0000-0000-0000B2BA0000}"/>
    <cellStyle name="Normal 4 3 2 2 4 2 3 2 2 4" xfId="44090" xr:uid="{00000000-0005-0000-0000-0000B3BA0000}"/>
    <cellStyle name="Normal 4 3 2 2 4 2 3 2 3" xfId="12213" xr:uid="{00000000-0005-0000-0000-0000B4BA0000}"/>
    <cellStyle name="Normal 4 3 2 2 4 2 3 2 3 2" xfId="27330" xr:uid="{00000000-0005-0000-0000-0000B5BA0000}"/>
    <cellStyle name="Normal 4 3 2 2 4 2 3 2 3 2 2" xfId="59201" xr:uid="{00000000-0005-0000-0000-0000B6BA0000}"/>
    <cellStyle name="Normal 4 3 2 2 4 2 3 2 3 3" xfId="44092" xr:uid="{00000000-0005-0000-0000-0000B7BA0000}"/>
    <cellStyle name="Normal 4 3 2 2 4 2 3 2 4" xfId="19452" xr:uid="{00000000-0005-0000-0000-0000B8BA0000}"/>
    <cellStyle name="Normal 4 3 2 2 4 2 3 2 4 2" xfId="51323" xr:uid="{00000000-0005-0000-0000-0000B9BA0000}"/>
    <cellStyle name="Normal 4 3 2 2 4 2 3 2 5" xfId="44089" xr:uid="{00000000-0005-0000-0000-0000BABA0000}"/>
    <cellStyle name="Normal 4 3 2 2 4 2 3 3" xfId="12214" xr:uid="{00000000-0005-0000-0000-0000BBBA0000}"/>
    <cellStyle name="Normal 4 3 2 2 4 2 3 3 2" xfId="12215" xr:uid="{00000000-0005-0000-0000-0000BCBA0000}"/>
    <cellStyle name="Normal 4 3 2 2 4 2 3 3 2 2" xfId="31268" xr:uid="{00000000-0005-0000-0000-0000BDBA0000}"/>
    <cellStyle name="Normal 4 3 2 2 4 2 3 3 2 2 2" xfId="63139" xr:uid="{00000000-0005-0000-0000-0000BEBA0000}"/>
    <cellStyle name="Normal 4 3 2 2 4 2 3 3 2 3" xfId="44094" xr:uid="{00000000-0005-0000-0000-0000BFBA0000}"/>
    <cellStyle name="Normal 4 3 2 2 4 2 3 3 3" xfId="23390" xr:uid="{00000000-0005-0000-0000-0000C0BA0000}"/>
    <cellStyle name="Normal 4 3 2 2 4 2 3 3 3 2" xfId="55261" xr:uid="{00000000-0005-0000-0000-0000C1BA0000}"/>
    <cellStyle name="Normal 4 3 2 2 4 2 3 3 4" xfId="44093" xr:uid="{00000000-0005-0000-0000-0000C2BA0000}"/>
    <cellStyle name="Normal 4 3 2 2 4 2 3 4" xfId="12216" xr:uid="{00000000-0005-0000-0000-0000C3BA0000}"/>
    <cellStyle name="Normal 4 3 2 2 4 2 3 4 2" xfId="27329" xr:uid="{00000000-0005-0000-0000-0000C4BA0000}"/>
    <cellStyle name="Normal 4 3 2 2 4 2 3 4 2 2" xfId="59200" xr:uid="{00000000-0005-0000-0000-0000C5BA0000}"/>
    <cellStyle name="Normal 4 3 2 2 4 2 3 4 3" xfId="44095" xr:uid="{00000000-0005-0000-0000-0000C6BA0000}"/>
    <cellStyle name="Normal 4 3 2 2 4 2 3 5" xfId="19451" xr:uid="{00000000-0005-0000-0000-0000C7BA0000}"/>
    <cellStyle name="Normal 4 3 2 2 4 2 3 5 2" xfId="51322" xr:uid="{00000000-0005-0000-0000-0000C8BA0000}"/>
    <cellStyle name="Normal 4 3 2 2 4 2 3 6" xfId="44088" xr:uid="{00000000-0005-0000-0000-0000C9BA0000}"/>
    <cellStyle name="Normal 4 3 2 2 4 2 4" xfId="12217" xr:uid="{00000000-0005-0000-0000-0000CABA0000}"/>
    <cellStyle name="Normal 4 3 2 2 4 2 4 2" xfId="12218" xr:uid="{00000000-0005-0000-0000-0000CBBA0000}"/>
    <cellStyle name="Normal 4 3 2 2 4 2 4 2 2" xfId="12219" xr:uid="{00000000-0005-0000-0000-0000CCBA0000}"/>
    <cellStyle name="Normal 4 3 2 2 4 2 4 2 2 2" xfId="31270" xr:uid="{00000000-0005-0000-0000-0000CDBA0000}"/>
    <cellStyle name="Normal 4 3 2 2 4 2 4 2 2 2 2" xfId="63141" xr:uid="{00000000-0005-0000-0000-0000CEBA0000}"/>
    <cellStyle name="Normal 4 3 2 2 4 2 4 2 2 3" xfId="44098" xr:uid="{00000000-0005-0000-0000-0000CFBA0000}"/>
    <cellStyle name="Normal 4 3 2 2 4 2 4 2 3" xfId="23392" xr:uid="{00000000-0005-0000-0000-0000D0BA0000}"/>
    <cellStyle name="Normal 4 3 2 2 4 2 4 2 3 2" xfId="55263" xr:uid="{00000000-0005-0000-0000-0000D1BA0000}"/>
    <cellStyle name="Normal 4 3 2 2 4 2 4 2 4" xfId="44097" xr:uid="{00000000-0005-0000-0000-0000D2BA0000}"/>
    <cellStyle name="Normal 4 3 2 2 4 2 4 3" xfId="12220" xr:uid="{00000000-0005-0000-0000-0000D3BA0000}"/>
    <cellStyle name="Normal 4 3 2 2 4 2 4 3 2" xfId="27331" xr:uid="{00000000-0005-0000-0000-0000D4BA0000}"/>
    <cellStyle name="Normal 4 3 2 2 4 2 4 3 2 2" xfId="59202" xr:uid="{00000000-0005-0000-0000-0000D5BA0000}"/>
    <cellStyle name="Normal 4 3 2 2 4 2 4 3 3" xfId="44099" xr:uid="{00000000-0005-0000-0000-0000D6BA0000}"/>
    <cellStyle name="Normal 4 3 2 2 4 2 4 4" xfId="19453" xr:uid="{00000000-0005-0000-0000-0000D7BA0000}"/>
    <cellStyle name="Normal 4 3 2 2 4 2 4 4 2" xfId="51324" xr:uid="{00000000-0005-0000-0000-0000D8BA0000}"/>
    <cellStyle name="Normal 4 3 2 2 4 2 4 5" xfId="44096" xr:uid="{00000000-0005-0000-0000-0000D9BA0000}"/>
    <cellStyle name="Normal 4 3 2 2 4 2 5" xfId="12221" xr:uid="{00000000-0005-0000-0000-0000DABA0000}"/>
    <cellStyle name="Normal 4 3 2 2 4 2 5 2" xfId="12222" xr:uid="{00000000-0005-0000-0000-0000DBBA0000}"/>
    <cellStyle name="Normal 4 3 2 2 4 2 5 2 2" xfId="31263" xr:uid="{00000000-0005-0000-0000-0000DCBA0000}"/>
    <cellStyle name="Normal 4 3 2 2 4 2 5 2 2 2" xfId="63134" xr:uid="{00000000-0005-0000-0000-0000DDBA0000}"/>
    <cellStyle name="Normal 4 3 2 2 4 2 5 2 3" xfId="44101" xr:uid="{00000000-0005-0000-0000-0000DEBA0000}"/>
    <cellStyle name="Normal 4 3 2 2 4 2 5 3" xfId="23385" xr:uid="{00000000-0005-0000-0000-0000DFBA0000}"/>
    <cellStyle name="Normal 4 3 2 2 4 2 5 3 2" xfId="55256" xr:uid="{00000000-0005-0000-0000-0000E0BA0000}"/>
    <cellStyle name="Normal 4 3 2 2 4 2 5 4" xfId="44100" xr:uid="{00000000-0005-0000-0000-0000E1BA0000}"/>
    <cellStyle name="Normal 4 3 2 2 4 2 6" xfId="12223" xr:uid="{00000000-0005-0000-0000-0000E2BA0000}"/>
    <cellStyle name="Normal 4 3 2 2 4 2 6 2" xfId="27324" xr:uid="{00000000-0005-0000-0000-0000E3BA0000}"/>
    <cellStyle name="Normal 4 3 2 2 4 2 6 2 2" xfId="59195" xr:uid="{00000000-0005-0000-0000-0000E4BA0000}"/>
    <cellStyle name="Normal 4 3 2 2 4 2 6 3" xfId="44102" xr:uid="{00000000-0005-0000-0000-0000E5BA0000}"/>
    <cellStyle name="Normal 4 3 2 2 4 2 7" xfId="19446" xr:uid="{00000000-0005-0000-0000-0000E6BA0000}"/>
    <cellStyle name="Normal 4 3 2 2 4 2 7 2" xfId="51317" xr:uid="{00000000-0005-0000-0000-0000E7BA0000}"/>
    <cellStyle name="Normal 4 3 2 2 4 2 8" xfId="44071" xr:uid="{00000000-0005-0000-0000-0000E8BA0000}"/>
    <cellStyle name="Normal 4 3 2 2 4 3" xfId="12224" xr:uid="{00000000-0005-0000-0000-0000E9BA0000}"/>
    <cellStyle name="Normal 4 3 2 2 4 3 2" xfId="12225" xr:uid="{00000000-0005-0000-0000-0000EABA0000}"/>
    <cellStyle name="Normal 4 3 2 2 4 3 2 2" xfId="12226" xr:uid="{00000000-0005-0000-0000-0000EBBA0000}"/>
    <cellStyle name="Normal 4 3 2 2 4 3 2 2 2" xfId="12227" xr:uid="{00000000-0005-0000-0000-0000ECBA0000}"/>
    <cellStyle name="Normal 4 3 2 2 4 3 2 2 2 2" xfId="12228" xr:uid="{00000000-0005-0000-0000-0000EDBA0000}"/>
    <cellStyle name="Normal 4 3 2 2 4 3 2 2 2 2 2" xfId="31273" xr:uid="{00000000-0005-0000-0000-0000EEBA0000}"/>
    <cellStyle name="Normal 4 3 2 2 4 3 2 2 2 2 2 2" xfId="63144" xr:uid="{00000000-0005-0000-0000-0000EFBA0000}"/>
    <cellStyle name="Normal 4 3 2 2 4 3 2 2 2 2 3" xfId="44107" xr:uid="{00000000-0005-0000-0000-0000F0BA0000}"/>
    <cellStyle name="Normal 4 3 2 2 4 3 2 2 2 3" xfId="23395" xr:uid="{00000000-0005-0000-0000-0000F1BA0000}"/>
    <cellStyle name="Normal 4 3 2 2 4 3 2 2 2 3 2" xfId="55266" xr:uid="{00000000-0005-0000-0000-0000F2BA0000}"/>
    <cellStyle name="Normal 4 3 2 2 4 3 2 2 2 4" xfId="44106" xr:uid="{00000000-0005-0000-0000-0000F3BA0000}"/>
    <cellStyle name="Normal 4 3 2 2 4 3 2 2 3" xfId="12229" xr:uid="{00000000-0005-0000-0000-0000F4BA0000}"/>
    <cellStyle name="Normal 4 3 2 2 4 3 2 2 3 2" xfId="27334" xr:uid="{00000000-0005-0000-0000-0000F5BA0000}"/>
    <cellStyle name="Normal 4 3 2 2 4 3 2 2 3 2 2" xfId="59205" xr:uid="{00000000-0005-0000-0000-0000F6BA0000}"/>
    <cellStyle name="Normal 4 3 2 2 4 3 2 2 3 3" xfId="44108" xr:uid="{00000000-0005-0000-0000-0000F7BA0000}"/>
    <cellStyle name="Normal 4 3 2 2 4 3 2 2 4" xfId="19456" xr:uid="{00000000-0005-0000-0000-0000F8BA0000}"/>
    <cellStyle name="Normal 4 3 2 2 4 3 2 2 4 2" xfId="51327" xr:uid="{00000000-0005-0000-0000-0000F9BA0000}"/>
    <cellStyle name="Normal 4 3 2 2 4 3 2 2 5" xfId="44105" xr:uid="{00000000-0005-0000-0000-0000FABA0000}"/>
    <cellStyle name="Normal 4 3 2 2 4 3 2 3" xfId="12230" xr:uid="{00000000-0005-0000-0000-0000FBBA0000}"/>
    <cellStyle name="Normal 4 3 2 2 4 3 2 3 2" xfId="12231" xr:uid="{00000000-0005-0000-0000-0000FCBA0000}"/>
    <cellStyle name="Normal 4 3 2 2 4 3 2 3 2 2" xfId="31272" xr:uid="{00000000-0005-0000-0000-0000FDBA0000}"/>
    <cellStyle name="Normal 4 3 2 2 4 3 2 3 2 2 2" xfId="63143" xr:uid="{00000000-0005-0000-0000-0000FEBA0000}"/>
    <cellStyle name="Normal 4 3 2 2 4 3 2 3 2 3" xfId="44110" xr:uid="{00000000-0005-0000-0000-0000FFBA0000}"/>
    <cellStyle name="Normal 4 3 2 2 4 3 2 3 3" xfId="23394" xr:uid="{00000000-0005-0000-0000-000000BB0000}"/>
    <cellStyle name="Normal 4 3 2 2 4 3 2 3 3 2" xfId="55265" xr:uid="{00000000-0005-0000-0000-000001BB0000}"/>
    <cellStyle name="Normal 4 3 2 2 4 3 2 3 4" xfId="44109" xr:uid="{00000000-0005-0000-0000-000002BB0000}"/>
    <cellStyle name="Normal 4 3 2 2 4 3 2 4" xfId="12232" xr:uid="{00000000-0005-0000-0000-000003BB0000}"/>
    <cellStyle name="Normal 4 3 2 2 4 3 2 4 2" xfId="27333" xr:uid="{00000000-0005-0000-0000-000004BB0000}"/>
    <cellStyle name="Normal 4 3 2 2 4 3 2 4 2 2" xfId="59204" xr:uid="{00000000-0005-0000-0000-000005BB0000}"/>
    <cellStyle name="Normal 4 3 2 2 4 3 2 4 3" xfId="44111" xr:uid="{00000000-0005-0000-0000-000006BB0000}"/>
    <cellStyle name="Normal 4 3 2 2 4 3 2 5" xfId="19455" xr:uid="{00000000-0005-0000-0000-000007BB0000}"/>
    <cellStyle name="Normal 4 3 2 2 4 3 2 5 2" xfId="51326" xr:uid="{00000000-0005-0000-0000-000008BB0000}"/>
    <cellStyle name="Normal 4 3 2 2 4 3 2 6" xfId="44104" xr:uid="{00000000-0005-0000-0000-000009BB0000}"/>
    <cellStyle name="Normal 4 3 2 2 4 3 3" xfId="12233" xr:uid="{00000000-0005-0000-0000-00000ABB0000}"/>
    <cellStyle name="Normal 4 3 2 2 4 3 3 2" xfId="12234" xr:uid="{00000000-0005-0000-0000-00000BBB0000}"/>
    <cellStyle name="Normal 4 3 2 2 4 3 3 2 2" xfId="12235" xr:uid="{00000000-0005-0000-0000-00000CBB0000}"/>
    <cellStyle name="Normal 4 3 2 2 4 3 3 2 2 2" xfId="31274" xr:uid="{00000000-0005-0000-0000-00000DBB0000}"/>
    <cellStyle name="Normal 4 3 2 2 4 3 3 2 2 2 2" xfId="63145" xr:uid="{00000000-0005-0000-0000-00000EBB0000}"/>
    <cellStyle name="Normal 4 3 2 2 4 3 3 2 2 3" xfId="44114" xr:uid="{00000000-0005-0000-0000-00000FBB0000}"/>
    <cellStyle name="Normal 4 3 2 2 4 3 3 2 3" xfId="23396" xr:uid="{00000000-0005-0000-0000-000010BB0000}"/>
    <cellStyle name="Normal 4 3 2 2 4 3 3 2 3 2" xfId="55267" xr:uid="{00000000-0005-0000-0000-000011BB0000}"/>
    <cellStyle name="Normal 4 3 2 2 4 3 3 2 4" xfId="44113" xr:uid="{00000000-0005-0000-0000-000012BB0000}"/>
    <cellStyle name="Normal 4 3 2 2 4 3 3 3" xfId="12236" xr:uid="{00000000-0005-0000-0000-000013BB0000}"/>
    <cellStyle name="Normal 4 3 2 2 4 3 3 3 2" xfId="27335" xr:uid="{00000000-0005-0000-0000-000014BB0000}"/>
    <cellStyle name="Normal 4 3 2 2 4 3 3 3 2 2" xfId="59206" xr:uid="{00000000-0005-0000-0000-000015BB0000}"/>
    <cellStyle name="Normal 4 3 2 2 4 3 3 3 3" xfId="44115" xr:uid="{00000000-0005-0000-0000-000016BB0000}"/>
    <cellStyle name="Normal 4 3 2 2 4 3 3 4" xfId="19457" xr:uid="{00000000-0005-0000-0000-000017BB0000}"/>
    <cellStyle name="Normal 4 3 2 2 4 3 3 4 2" xfId="51328" xr:uid="{00000000-0005-0000-0000-000018BB0000}"/>
    <cellStyle name="Normal 4 3 2 2 4 3 3 5" xfId="44112" xr:uid="{00000000-0005-0000-0000-000019BB0000}"/>
    <cellStyle name="Normal 4 3 2 2 4 3 4" xfId="12237" xr:uid="{00000000-0005-0000-0000-00001ABB0000}"/>
    <cellStyle name="Normal 4 3 2 2 4 3 4 2" xfId="12238" xr:uid="{00000000-0005-0000-0000-00001BBB0000}"/>
    <cellStyle name="Normal 4 3 2 2 4 3 4 2 2" xfId="31271" xr:uid="{00000000-0005-0000-0000-00001CBB0000}"/>
    <cellStyle name="Normal 4 3 2 2 4 3 4 2 2 2" xfId="63142" xr:uid="{00000000-0005-0000-0000-00001DBB0000}"/>
    <cellStyle name="Normal 4 3 2 2 4 3 4 2 3" xfId="44117" xr:uid="{00000000-0005-0000-0000-00001EBB0000}"/>
    <cellStyle name="Normal 4 3 2 2 4 3 4 3" xfId="23393" xr:uid="{00000000-0005-0000-0000-00001FBB0000}"/>
    <cellStyle name="Normal 4 3 2 2 4 3 4 3 2" xfId="55264" xr:uid="{00000000-0005-0000-0000-000020BB0000}"/>
    <cellStyle name="Normal 4 3 2 2 4 3 4 4" xfId="44116" xr:uid="{00000000-0005-0000-0000-000021BB0000}"/>
    <cellStyle name="Normal 4 3 2 2 4 3 5" xfId="12239" xr:uid="{00000000-0005-0000-0000-000022BB0000}"/>
    <cellStyle name="Normal 4 3 2 2 4 3 5 2" xfId="27332" xr:uid="{00000000-0005-0000-0000-000023BB0000}"/>
    <cellStyle name="Normal 4 3 2 2 4 3 5 2 2" xfId="59203" xr:uid="{00000000-0005-0000-0000-000024BB0000}"/>
    <cellStyle name="Normal 4 3 2 2 4 3 5 3" xfId="44118" xr:uid="{00000000-0005-0000-0000-000025BB0000}"/>
    <cellStyle name="Normal 4 3 2 2 4 3 6" xfId="19454" xr:uid="{00000000-0005-0000-0000-000026BB0000}"/>
    <cellStyle name="Normal 4 3 2 2 4 3 6 2" xfId="51325" xr:uid="{00000000-0005-0000-0000-000027BB0000}"/>
    <cellStyle name="Normal 4 3 2 2 4 3 7" xfId="44103" xr:uid="{00000000-0005-0000-0000-000028BB0000}"/>
    <cellStyle name="Normal 4 3 2 2 4 4" xfId="12240" xr:uid="{00000000-0005-0000-0000-000029BB0000}"/>
    <cellStyle name="Normal 4 3 2 2 4 4 2" xfId="12241" xr:uid="{00000000-0005-0000-0000-00002ABB0000}"/>
    <cellStyle name="Normal 4 3 2 2 4 4 2 2" xfId="12242" xr:uid="{00000000-0005-0000-0000-00002BBB0000}"/>
    <cellStyle name="Normal 4 3 2 2 4 4 2 2 2" xfId="12243" xr:uid="{00000000-0005-0000-0000-00002CBB0000}"/>
    <cellStyle name="Normal 4 3 2 2 4 4 2 2 2 2" xfId="31276" xr:uid="{00000000-0005-0000-0000-00002DBB0000}"/>
    <cellStyle name="Normal 4 3 2 2 4 4 2 2 2 2 2" xfId="63147" xr:uid="{00000000-0005-0000-0000-00002EBB0000}"/>
    <cellStyle name="Normal 4 3 2 2 4 4 2 2 2 3" xfId="44122" xr:uid="{00000000-0005-0000-0000-00002FBB0000}"/>
    <cellStyle name="Normal 4 3 2 2 4 4 2 2 3" xfId="23398" xr:uid="{00000000-0005-0000-0000-000030BB0000}"/>
    <cellStyle name="Normal 4 3 2 2 4 4 2 2 3 2" xfId="55269" xr:uid="{00000000-0005-0000-0000-000031BB0000}"/>
    <cellStyle name="Normal 4 3 2 2 4 4 2 2 4" xfId="44121" xr:uid="{00000000-0005-0000-0000-000032BB0000}"/>
    <cellStyle name="Normal 4 3 2 2 4 4 2 3" xfId="12244" xr:uid="{00000000-0005-0000-0000-000033BB0000}"/>
    <cellStyle name="Normal 4 3 2 2 4 4 2 3 2" xfId="27337" xr:uid="{00000000-0005-0000-0000-000034BB0000}"/>
    <cellStyle name="Normal 4 3 2 2 4 4 2 3 2 2" xfId="59208" xr:uid="{00000000-0005-0000-0000-000035BB0000}"/>
    <cellStyle name="Normal 4 3 2 2 4 4 2 3 3" xfId="44123" xr:uid="{00000000-0005-0000-0000-000036BB0000}"/>
    <cellStyle name="Normal 4 3 2 2 4 4 2 4" xfId="19459" xr:uid="{00000000-0005-0000-0000-000037BB0000}"/>
    <cellStyle name="Normal 4 3 2 2 4 4 2 4 2" xfId="51330" xr:uid="{00000000-0005-0000-0000-000038BB0000}"/>
    <cellStyle name="Normal 4 3 2 2 4 4 2 5" xfId="44120" xr:uid="{00000000-0005-0000-0000-000039BB0000}"/>
    <cellStyle name="Normal 4 3 2 2 4 4 3" xfId="12245" xr:uid="{00000000-0005-0000-0000-00003ABB0000}"/>
    <cellStyle name="Normal 4 3 2 2 4 4 3 2" xfId="12246" xr:uid="{00000000-0005-0000-0000-00003BBB0000}"/>
    <cellStyle name="Normal 4 3 2 2 4 4 3 2 2" xfId="31275" xr:uid="{00000000-0005-0000-0000-00003CBB0000}"/>
    <cellStyle name="Normal 4 3 2 2 4 4 3 2 2 2" xfId="63146" xr:uid="{00000000-0005-0000-0000-00003DBB0000}"/>
    <cellStyle name="Normal 4 3 2 2 4 4 3 2 3" xfId="44125" xr:uid="{00000000-0005-0000-0000-00003EBB0000}"/>
    <cellStyle name="Normal 4 3 2 2 4 4 3 3" xfId="23397" xr:uid="{00000000-0005-0000-0000-00003FBB0000}"/>
    <cellStyle name="Normal 4 3 2 2 4 4 3 3 2" xfId="55268" xr:uid="{00000000-0005-0000-0000-000040BB0000}"/>
    <cellStyle name="Normal 4 3 2 2 4 4 3 4" xfId="44124" xr:uid="{00000000-0005-0000-0000-000041BB0000}"/>
    <cellStyle name="Normal 4 3 2 2 4 4 4" xfId="12247" xr:uid="{00000000-0005-0000-0000-000042BB0000}"/>
    <cellStyle name="Normal 4 3 2 2 4 4 4 2" xfId="27336" xr:uid="{00000000-0005-0000-0000-000043BB0000}"/>
    <cellStyle name="Normal 4 3 2 2 4 4 4 2 2" xfId="59207" xr:uid="{00000000-0005-0000-0000-000044BB0000}"/>
    <cellStyle name="Normal 4 3 2 2 4 4 4 3" xfId="44126" xr:uid="{00000000-0005-0000-0000-000045BB0000}"/>
    <cellStyle name="Normal 4 3 2 2 4 4 5" xfId="19458" xr:uid="{00000000-0005-0000-0000-000046BB0000}"/>
    <cellStyle name="Normal 4 3 2 2 4 4 5 2" xfId="51329" xr:uid="{00000000-0005-0000-0000-000047BB0000}"/>
    <cellStyle name="Normal 4 3 2 2 4 4 6" xfId="44119" xr:uid="{00000000-0005-0000-0000-000048BB0000}"/>
    <cellStyle name="Normal 4 3 2 2 4 5" xfId="12248" xr:uid="{00000000-0005-0000-0000-000049BB0000}"/>
    <cellStyle name="Normal 4 3 2 2 4 5 2" xfId="12249" xr:uid="{00000000-0005-0000-0000-00004ABB0000}"/>
    <cellStyle name="Normal 4 3 2 2 4 5 2 2" xfId="12250" xr:uid="{00000000-0005-0000-0000-00004BBB0000}"/>
    <cellStyle name="Normal 4 3 2 2 4 5 2 2 2" xfId="31277" xr:uid="{00000000-0005-0000-0000-00004CBB0000}"/>
    <cellStyle name="Normal 4 3 2 2 4 5 2 2 2 2" xfId="63148" xr:uid="{00000000-0005-0000-0000-00004DBB0000}"/>
    <cellStyle name="Normal 4 3 2 2 4 5 2 2 3" xfId="44129" xr:uid="{00000000-0005-0000-0000-00004EBB0000}"/>
    <cellStyle name="Normal 4 3 2 2 4 5 2 3" xfId="23399" xr:uid="{00000000-0005-0000-0000-00004FBB0000}"/>
    <cellStyle name="Normal 4 3 2 2 4 5 2 3 2" xfId="55270" xr:uid="{00000000-0005-0000-0000-000050BB0000}"/>
    <cellStyle name="Normal 4 3 2 2 4 5 2 4" xfId="44128" xr:uid="{00000000-0005-0000-0000-000051BB0000}"/>
    <cellStyle name="Normal 4 3 2 2 4 5 3" xfId="12251" xr:uid="{00000000-0005-0000-0000-000052BB0000}"/>
    <cellStyle name="Normal 4 3 2 2 4 5 3 2" xfId="27338" xr:uid="{00000000-0005-0000-0000-000053BB0000}"/>
    <cellStyle name="Normal 4 3 2 2 4 5 3 2 2" xfId="59209" xr:uid="{00000000-0005-0000-0000-000054BB0000}"/>
    <cellStyle name="Normal 4 3 2 2 4 5 3 3" xfId="44130" xr:uid="{00000000-0005-0000-0000-000055BB0000}"/>
    <cellStyle name="Normal 4 3 2 2 4 5 4" xfId="19460" xr:uid="{00000000-0005-0000-0000-000056BB0000}"/>
    <cellStyle name="Normal 4 3 2 2 4 5 4 2" xfId="51331" xr:uid="{00000000-0005-0000-0000-000057BB0000}"/>
    <cellStyle name="Normal 4 3 2 2 4 5 5" xfId="44127" xr:uid="{00000000-0005-0000-0000-000058BB0000}"/>
    <cellStyle name="Normal 4 3 2 2 4 6" xfId="12252" xr:uid="{00000000-0005-0000-0000-000059BB0000}"/>
    <cellStyle name="Normal 4 3 2 2 4 6 2" xfId="12253" xr:uid="{00000000-0005-0000-0000-00005ABB0000}"/>
    <cellStyle name="Normal 4 3 2 2 4 6 2 2" xfId="28412" xr:uid="{00000000-0005-0000-0000-00005BBB0000}"/>
    <cellStyle name="Normal 4 3 2 2 4 6 2 2 2" xfId="60283" xr:uid="{00000000-0005-0000-0000-00005CBB0000}"/>
    <cellStyle name="Normal 4 3 2 2 4 6 2 3" xfId="44132" xr:uid="{00000000-0005-0000-0000-00005DBB0000}"/>
    <cellStyle name="Normal 4 3 2 2 4 6 3" xfId="20534" xr:uid="{00000000-0005-0000-0000-00005EBB0000}"/>
    <cellStyle name="Normal 4 3 2 2 4 6 3 2" xfId="52405" xr:uid="{00000000-0005-0000-0000-00005FBB0000}"/>
    <cellStyle name="Normal 4 3 2 2 4 6 4" xfId="44131" xr:uid="{00000000-0005-0000-0000-000060BB0000}"/>
    <cellStyle name="Normal 4 3 2 2 4 7" xfId="12254" xr:uid="{00000000-0005-0000-0000-000061BB0000}"/>
    <cellStyle name="Normal 4 3 2 2 4 7 2" xfId="24473" xr:uid="{00000000-0005-0000-0000-000062BB0000}"/>
    <cellStyle name="Normal 4 3 2 2 4 7 2 2" xfId="56344" xr:uid="{00000000-0005-0000-0000-000063BB0000}"/>
    <cellStyle name="Normal 4 3 2 2 4 7 3" xfId="44133" xr:uid="{00000000-0005-0000-0000-000064BB0000}"/>
    <cellStyle name="Normal 4 3 2 2 4 8" xfId="16595" xr:uid="{00000000-0005-0000-0000-000065BB0000}"/>
    <cellStyle name="Normal 4 3 2 2 4 8 2" xfId="48466" xr:uid="{00000000-0005-0000-0000-000066BB0000}"/>
    <cellStyle name="Normal 4 3 2 2 4 9" xfId="44070" xr:uid="{00000000-0005-0000-0000-000067BB0000}"/>
    <cellStyle name="Normal 4 3 2 2 5" xfId="12255" xr:uid="{00000000-0005-0000-0000-000068BB0000}"/>
    <cellStyle name="Normal 4 3 2 2 5 2" xfId="12256" xr:uid="{00000000-0005-0000-0000-000069BB0000}"/>
    <cellStyle name="Normal 4 3 2 2 5 2 2" xfId="12257" xr:uid="{00000000-0005-0000-0000-00006ABB0000}"/>
    <cellStyle name="Normal 4 3 2 2 5 2 2 2" xfId="12258" xr:uid="{00000000-0005-0000-0000-00006BBB0000}"/>
    <cellStyle name="Normal 4 3 2 2 5 2 2 2 2" xfId="12259" xr:uid="{00000000-0005-0000-0000-00006CBB0000}"/>
    <cellStyle name="Normal 4 3 2 2 5 2 2 2 2 2" xfId="12260" xr:uid="{00000000-0005-0000-0000-00006DBB0000}"/>
    <cellStyle name="Normal 4 3 2 2 5 2 2 2 2 2 2" xfId="31281" xr:uid="{00000000-0005-0000-0000-00006EBB0000}"/>
    <cellStyle name="Normal 4 3 2 2 5 2 2 2 2 2 2 2" xfId="63152" xr:uid="{00000000-0005-0000-0000-00006FBB0000}"/>
    <cellStyle name="Normal 4 3 2 2 5 2 2 2 2 2 3" xfId="44139" xr:uid="{00000000-0005-0000-0000-000070BB0000}"/>
    <cellStyle name="Normal 4 3 2 2 5 2 2 2 2 3" xfId="23403" xr:uid="{00000000-0005-0000-0000-000071BB0000}"/>
    <cellStyle name="Normal 4 3 2 2 5 2 2 2 2 3 2" xfId="55274" xr:uid="{00000000-0005-0000-0000-000072BB0000}"/>
    <cellStyle name="Normal 4 3 2 2 5 2 2 2 2 4" xfId="44138" xr:uid="{00000000-0005-0000-0000-000073BB0000}"/>
    <cellStyle name="Normal 4 3 2 2 5 2 2 2 3" xfId="12261" xr:uid="{00000000-0005-0000-0000-000074BB0000}"/>
    <cellStyle name="Normal 4 3 2 2 5 2 2 2 3 2" xfId="27342" xr:uid="{00000000-0005-0000-0000-000075BB0000}"/>
    <cellStyle name="Normal 4 3 2 2 5 2 2 2 3 2 2" xfId="59213" xr:uid="{00000000-0005-0000-0000-000076BB0000}"/>
    <cellStyle name="Normal 4 3 2 2 5 2 2 2 3 3" xfId="44140" xr:uid="{00000000-0005-0000-0000-000077BB0000}"/>
    <cellStyle name="Normal 4 3 2 2 5 2 2 2 4" xfId="19464" xr:uid="{00000000-0005-0000-0000-000078BB0000}"/>
    <cellStyle name="Normal 4 3 2 2 5 2 2 2 4 2" xfId="51335" xr:uid="{00000000-0005-0000-0000-000079BB0000}"/>
    <cellStyle name="Normal 4 3 2 2 5 2 2 2 5" xfId="44137" xr:uid="{00000000-0005-0000-0000-00007ABB0000}"/>
    <cellStyle name="Normal 4 3 2 2 5 2 2 3" xfId="12262" xr:uid="{00000000-0005-0000-0000-00007BBB0000}"/>
    <cellStyle name="Normal 4 3 2 2 5 2 2 3 2" xfId="12263" xr:uid="{00000000-0005-0000-0000-00007CBB0000}"/>
    <cellStyle name="Normal 4 3 2 2 5 2 2 3 2 2" xfId="31280" xr:uid="{00000000-0005-0000-0000-00007DBB0000}"/>
    <cellStyle name="Normal 4 3 2 2 5 2 2 3 2 2 2" xfId="63151" xr:uid="{00000000-0005-0000-0000-00007EBB0000}"/>
    <cellStyle name="Normal 4 3 2 2 5 2 2 3 2 3" xfId="44142" xr:uid="{00000000-0005-0000-0000-00007FBB0000}"/>
    <cellStyle name="Normal 4 3 2 2 5 2 2 3 3" xfId="23402" xr:uid="{00000000-0005-0000-0000-000080BB0000}"/>
    <cellStyle name="Normal 4 3 2 2 5 2 2 3 3 2" xfId="55273" xr:uid="{00000000-0005-0000-0000-000081BB0000}"/>
    <cellStyle name="Normal 4 3 2 2 5 2 2 3 4" xfId="44141" xr:uid="{00000000-0005-0000-0000-000082BB0000}"/>
    <cellStyle name="Normal 4 3 2 2 5 2 2 4" xfId="12264" xr:uid="{00000000-0005-0000-0000-000083BB0000}"/>
    <cellStyle name="Normal 4 3 2 2 5 2 2 4 2" xfId="27341" xr:uid="{00000000-0005-0000-0000-000084BB0000}"/>
    <cellStyle name="Normal 4 3 2 2 5 2 2 4 2 2" xfId="59212" xr:uid="{00000000-0005-0000-0000-000085BB0000}"/>
    <cellStyle name="Normal 4 3 2 2 5 2 2 4 3" xfId="44143" xr:uid="{00000000-0005-0000-0000-000086BB0000}"/>
    <cellStyle name="Normal 4 3 2 2 5 2 2 5" xfId="19463" xr:uid="{00000000-0005-0000-0000-000087BB0000}"/>
    <cellStyle name="Normal 4 3 2 2 5 2 2 5 2" xfId="51334" xr:uid="{00000000-0005-0000-0000-000088BB0000}"/>
    <cellStyle name="Normal 4 3 2 2 5 2 2 6" xfId="44136" xr:uid="{00000000-0005-0000-0000-000089BB0000}"/>
    <cellStyle name="Normal 4 3 2 2 5 2 3" xfId="12265" xr:uid="{00000000-0005-0000-0000-00008ABB0000}"/>
    <cellStyle name="Normal 4 3 2 2 5 2 3 2" xfId="12266" xr:uid="{00000000-0005-0000-0000-00008BBB0000}"/>
    <cellStyle name="Normal 4 3 2 2 5 2 3 2 2" xfId="12267" xr:uid="{00000000-0005-0000-0000-00008CBB0000}"/>
    <cellStyle name="Normal 4 3 2 2 5 2 3 2 2 2" xfId="31282" xr:uid="{00000000-0005-0000-0000-00008DBB0000}"/>
    <cellStyle name="Normal 4 3 2 2 5 2 3 2 2 2 2" xfId="63153" xr:uid="{00000000-0005-0000-0000-00008EBB0000}"/>
    <cellStyle name="Normal 4 3 2 2 5 2 3 2 2 3" xfId="44146" xr:uid="{00000000-0005-0000-0000-00008FBB0000}"/>
    <cellStyle name="Normal 4 3 2 2 5 2 3 2 3" xfId="23404" xr:uid="{00000000-0005-0000-0000-000090BB0000}"/>
    <cellStyle name="Normal 4 3 2 2 5 2 3 2 3 2" xfId="55275" xr:uid="{00000000-0005-0000-0000-000091BB0000}"/>
    <cellStyle name="Normal 4 3 2 2 5 2 3 2 4" xfId="44145" xr:uid="{00000000-0005-0000-0000-000092BB0000}"/>
    <cellStyle name="Normal 4 3 2 2 5 2 3 3" xfId="12268" xr:uid="{00000000-0005-0000-0000-000093BB0000}"/>
    <cellStyle name="Normal 4 3 2 2 5 2 3 3 2" xfId="27343" xr:uid="{00000000-0005-0000-0000-000094BB0000}"/>
    <cellStyle name="Normal 4 3 2 2 5 2 3 3 2 2" xfId="59214" xr:uid="{00000000-0005-0000-0000-000095BB0000}"/>
    <cellStyle name="Normal 4 3 2 2 5 2 3 3 3" xfId="44147" xr:uid="{00000000-0005-0000-0000-000096BB0000}"/>
    <cellStyle name="Normal 4 3 2 2 5 2 3 4" xfId="19465" xr:uid="{00000000-0005-0000-0000-000097BB0000}"/>
    <cellStyle name="Normal 4 3 2 2 5 2 3 4 2" xfId="51336" xr:uid="{00000000-0005-0000-0000-000098BB0000}"/>
    <cellStyle name="Normal 4 3 2 2 5 2 3 5" xfId="44144" xr:uid="{00000000-0005-0000-0000-000099BB0000}"/>
    <cellStyle name="Normal 4 3 2 2 5 2 4" xfId="12269" xr:uid="{00000000-0005-0000-0000-00009ABB0000}"/>
    <cellStyle name="Normal 4 3 2 2 5 2 4 2" xfId="12270" xr:uid="{00000000-0005-0000-0000-00009BBB0000}"/>
    <cellStyle name="Normal 4 3 2 2 5 2 4 2 2" xfId="31279" xr:uid="{00000000-0005-0000-0000-00009CBB0000}"/>
    <cellStyle name="Normal 4 3 2 2 5 2 4 2 2 2" xfId="63150" xr:uid="{00000000-0005-0000-0000-00009DBB0000}"/>
    <cellStyle name="Normal 4 3 2 2 5 2 4 2 3" xfId="44149" xr:uid="{00000000-0005-0000-0000-00009EBB0000}"/>
    <cellStyle name="Normal 4 3 2 2 5 2 4 3" xfId="23401" xr:uid="{00000000-0005-0000-0000-00009FBB0000}"/>
    <cellStyle name="Normal 4 3 2 2 5 2 4 3 2" xfId="55272" xr:uid="{00000000-0005-0000-0000-0000A0BB0000}"/>
    <cellStyle name="Normal 4 3 2 2 5 2 4 4" xfId="44148" xr:uid="{00000000-0005-0000-0000-0000A1BB0000}"/>
    <cellStyle name="Normal 4 3 2 2 5 2 5" xfId="12271" xr:uid="{00000000-0005-0000-0000-0000A2BB0000}"/>
    <cellStyle name="Normal 4 3 2 2 5 2 5 2" xfId="27340" xr:uid="{00000000-0005-0000-0000-0000A3BB0000}"/>
    <cellStyle name="Normal 4 3 2 2 5 2 5 2 2" xfId="59211" xr:uid="{00000000-0005-0000-0000-0000A4BB0000}"/>
    <cellStyle name="Normal 4 3 2 2 5 2 5 3" xfId="44150" xr:uid="{00000000-0005-0000-0000-0000A5BB0000}"/>
    <cellStyle name="Normal 4 3 2 2 5 2 6" xfId="19462" xr:uid="{00000000-0005-0000-0000-0000A6BB0000}"/>
    <cellStyle name="Normal 4 3 2 2 5 2 6 2" xfId="51333" xr:uid="{00000000-0005-0000-0000-0000A7BB0000}"/>
    <cellStyle name="Normal 4 3 2 2 5 2 7" xfId="44135" xr:uid="{00000000-0005-0000-0000-0000A8BB0000}"/>
    <cellStyle name="Normal 4 3 2 2 5 3" xfId="12272" xr:uid="{00000000-0005-0000-0000-0000A9BB0000}"/>
    <cellStyle name="Normal 4 3 2 2 5 3 2" xfId="12273" xr:uid="{00000000-0005-0000-0000-0000AABB0000}"/>
    <cellStyle name="Normal 4 3 2 2 5 3 2 2" xfId="12274" xr:uid="{00000000-0005-0000-0000-0000ABBB0000}"/>
    <cellStyle name="Normal 4 3 2 2 5 3 2 2 2" xfId="12275" xr:uid="{00000000-0005-0000-0000-0000ACBB0000}"/>
    <cellStyle name="Normal 4 3 2 2 5 3 2 2 2 2" xfId="31284" xr:uid="{00000000-0005-0000-0000-0000ADBB0000}"/>
    <cellStyle name="Normal 4 3 2 2 5 3 2 2 2 2 2" xfId="63155" xr:uid="{00000000-0005-0000-0000-0000AEBB0000}"/>
    <cellStyle name="Normal 4 3 2 2 5 3 2 2 2 3" xfId="44154" xr:uid="{00000000-0005-0000-0000-0000AFBB0000}"/>
    <cellStyle name="Normal 4 3 2 2 5 3 2 2 3" xfId="23406" xr:uid="{00000000-0005-0000-0000-0000B0BB0000}"/>
    <cellStyle name="Normal 4 3 2 2 5 3 2 2 3 2" xfId="55277" xr:uid="{00000000-0005-0000-0000-0000B1BB0000}"/>
    <cellStyle name="Normal 4 3 2 2 5 3 2 2 4" xfId="44153" xr:uid="{00000000-0005-0000-0000-0000B2BB0000}"/>
    <cellStyle name="Normal 4 3 2 2 5 3 2 3" xfId="12276" xr:uid="{00000000-0005-0000-0000-0000B3BB0000}"/>
    <cellStyle name="Normal 4 3 2 2 5 3 2 3 2" xfId="27345" xr:uid="{00000000-0005-0000-0000-0000B4BB0000}"/>
    <cellStyle name="Normal 4 3 2 2 5 3 2 3 2 2" xfId="59216" xr:uid="{00000000-0005-0000-0000-0000B5BB0000}"/>
    <cellStyle name="Normal 4 3 2 2 5 3 2 3 3" xfId="44155" xr:uid="{00000000-0005-0000-0000-0000B6BB0000}"/>
    <cellStyle name="Normal 4 3 2 2 5 3 2 4" xfId="19467" xr:uid="{00000000-0005-0000-0000-0000B7BB0000}"/>
    <cellStyle name="Normal 4 3 2 2 5 3 2 4 2" xfId="51338" xr:uid="{00000000-0005-0000-0000-0000B8BB0000}"/>
    <cellStyle name="Normal 4 3 2 2 5 3 2 5" xfId="44152" xr:uid="{00000000-0005-0000-0000-0000B9BB0000}"/>
    <cellStyle name="Normal 4 3 2 2 5 3 3" xfId="12277" xr:uid="{00000000-0005-0000-0000-0000BABB0000}"/>
    <cellStyle name="Normal 4 3 2 2 5 3 3 2" xfId="12278" xr:uid="{00000000-0005-0000-0000-0000BBBB0000}"/>
    <cellStyle name="Normal 4 3 2 2 5 3 3 2 2" xfId="31283" xr:uid="{00000000-0005-0000-0000-0000BCBB0000}"/>
    <cellStyle name="Normal 4 3 2 2 5 3 3 2 2 2" xfId="63154" xr:uid="{00000000-0005-0000-0000-0000BDBB0000}"/>
    <cellStyle name="Normal 4 3 2 2 5 3 3 2 3" xfId="44157" xr:uid="{00000000-0005-0000-0000-0000BEBB0000}"/>
    <cellStyle name="Normal 4 3 2 2 5 3 3 3" xfId="23405" xr:uid="{00000000-0005-0000-0000-0000BFBB0000}"/>
    <cellStyle name="Normal 4 3 2 2 5 3 3 3 2" xfId="55276" xr:uid="{00000000-0005-0000-0000-0000C0BB0000}"/>
    <cellStyle name="Normal 4 3 2 2 5 3 3 4" xfId="44156" xr:uid="{00000000-0005-0000-0000-0000C1BB0000}"/>
    <cellStyle name="Normal 4 3 2 2 5 3 4" xfId="12279" xr:uid="{00000000-0005-0000-0000-0000C2BB0000}"/>
    <cellStyle name="Normal 4 3 2 2 5 3 4 2" xfId="27344" xr:uid="{00000000-0005-0000-0000-0000C3BB0000}"/>
    <cellStyle name="Normal 4 3 2 2 5 3 4 2 2" xfId="59215" xr:uid="{00000000-0005-0000-0000-0000C4BB0000}"/>
    <cellStyle name="Normal 4 3 2 2 5 3 4 3" xfId="44158" xr:uid="{00000000-0005-0000-0000-0000C5BB0000}"/>
    <cellStyle name="Normal 4 3 2 2 5 3 5" xfId="19466" xr:uid="{00000000-0005-0000-0000-0000C6BB0000}"/>
    <cellStyle name="Normal 4 3 2 2 5 3 5 2" xfId="51337" xr:uid="{00000000-0005-0000-0000-0000C7BB0000}"/>
    <cellStyle name="Normal 4 3 2 2 5 3 6" xfId="44151" xr:uid="{00000000-0005-0000-0000-0000C8BB0000}"/>
    <cellStyle name="Normal 4 3 2 2 5 4" xfId="12280" xr:uid="{00000000-0005-0000-0000-0000C9BB0000}"/>
    <cellStyle name="Normal 4 3 2 2 5 4 2" xfId="12281" xr:uid="{00000000-0005-0000-0000-0000CABB0000}"/>
    <cellStyle name="Normal 4 3 2 2 5 4 2 2" xfId="12282" xr:uid="{00000000-0005-0000-0000-0000CBBB0000}"/>
    <cellStyle name="Normal 4 3 2 2 5 4 2 2 2" xfId="31285" xr:uid="{00000000-0005-0000-0000-0000CCBB0000}"/>
    <cellStyle name="Normal 4 3 2 2 5 4 2 2 2 2" xfId="63156" xr:uid="{00000000-0005-0000-0000-0000CDBB0000}"/>
    <cellStyle name="Normal 4 3 2 2 5 4 2 2 3" xfId="44161" xr:uid="{00000000-0005-0000-0000-0000CEBB0000}"/>
    <cellStyle name="Normal 4 3 2 2 5 4 2 3" xfId="23407" xr:uid="{00000000-0005-0000-0000-0000CFBB0000}"/>
    <cellStyle name="Normal 4 3 2 2 5 4 2 3 2" xfId="55278" xr:uid="{00000000-0005-0000-0000-0000D0BB0000}"/>
    <cellStyle name="Normal 4 3 2 2 5 4 2 4" xfId="44160" xr:uid="{00000000-0005-0000-0000-0000D1BB0000}"/>
    <cellStyle name="Normal 4 3 2 2 5 4 3" xfId="12283" xr:uid="{00000000-0005-0000-0000-0000D2BB0000}"/>
    <cellStyle name="Normal 4 3 2 2 5 4 3 2" xfId="27346" xr:uid="{00000000-0005-0000-0000-0000D3BB0000}"/>
    <cellStyle name="Normal 4 3 2 2 5 4 3 2 2" xfId="59217" xr:uid="{00000000-0005-0000-0000-0000D4BB0000}"/>
    <cellStyle name="Normal 4 3 2 2 5 4 3 3" xfId="44162" xr:uid="{00000000-0005-0000-0000-0000D5BB0000}"/>
    <cellStyle name="Normal 4 3 2 2 5 4 4" xfId="19468" xr:uid="{00000000-0005-0000-0000-0000D6BB0000}"/>
    <cellStyle name="Normal 4 3 2 2 5 4 4 2" xfId="51339" xr:uid="{00000000-0005-0000-0000-0000D7BB0000}"/>
    <cellStyle name="Normal 4 3 2 2 5 4 5" xfId="44159" xr:uid="{00000000-0005-0000-0000-0000D8BB0000}"/>
    <cellStyle name="Normal 4 3 2 2 5 5" xfId="12284" xr:uid="{00000000-0005-0000-0000-0000D9BB0000}"/>
    <cellStyle name="Normal 4 3 2 2 5 5 2" xfId="12285" xr:uid="{00000000-0005-0000-0000-0000DABB0000}"/>
    <cellStyle name="Normal 4 3 2 2 5 5 2 2" xfId="31278" xr:uid="{00000000-0005-0000-0000-0000DBBB0000}"/>
    <cellStyle name="Normal 4 3 2 2 5 5 2 2 2" xfId="63149" xr:uid="{00000000-0005-0000-0000-0000DCBB0000}"/>
    <cellStyle name="Normal 4 3 2 2 5 5 2 3" xfId="44164" xr:uid="{00000000-0005-0000-0000-0000DDBB0000}"/>
    <cellStyle name="Normal 4 3 2 2 5 5 3" xfId="23400" xr:uid="{00000000-0005-0000-0000-0000DEBB0000}"/>
    <cellStyle name="Normal 4 3 2 2 5 5 3 2" xfId="55271" xr:uid="{00000000-0005-0000-0000-0000DFBB0000}"/>
    <cellStyle name="Normal 4 3 2 2 5 5 4" xfId="44163" xr:uid="{00000000-0005-0000-0000-0000E0BB0000}"/>
    <cellStyle name="Normal 4 3 2 2 5 6" xfId="12286" xr:uid="{00000000-0005-0000-0000-0000E1BB0000}"/>
    <cellStyle name="Normal 4 3 2 2 5 6 2" xfId="27339" xr:uid="{00000000-0005-0000-0000-0000E2BB0000}"/>
    <cellStyle name="Normal 4 3 2 2 5 6 2 2" xfId="59210" xr:uid="{00000000-0005-0000-0000-0000E3BB0000}"/>
    <cellStyle name="Normal 4 3 2 2 5 6 3" xfId="44165" xr:uid="{00000000-0005-0000-0000-0000E4BB0000}"/>
    <cellStyle name="Normal 4 3 2 2 5 7" xfId="19461" xr:uid="{00000000-0005-0000-0000-0000E5BB0000}"/>
    <cellStyle name="Normal 4 3 2 2 5 7 2" xfId="51332" xr:uid="{00000000-0005-0000-0000-0000E6BB0000}"/>
    <cellStyle name="Normal 4 3 2 2 5 8" xfId="44134" xr:uid="{00000000-0005-0000-0000-0000E7BB0000}"/>
    <cellStyle name="Normal 4 3 2 2 6" xfId="12287" xr:uid="{00000000-0005-0000-0000-0000E8BB0000}"/>
    <cellStyle name="Normal 4 3 2 2 6 2" xfId="12288" xr:uid="{00000000-0005-0000-0000-0000E9BB0000}"/>
    <cellStyle name="Normal 4 3 2 2 6 2 2" xfId="12289" xr:uid="{00000000-0005-0000-0000-0000EABB0000}"/>
    <cellStyle name="Normal 4 3 2 2 6 2 2 2" xfId="12290" xr:uid="{00000000-0005-0000-0000-0000EBBB0000}"/>
    <cellStyle name="Normal 4 3 2 2 6 2 2 2 2" xfId="12291" xr:uid="{00000000-0005-0000-0000-0000ECBB0000}"/>
    <cellStyle name="Normal 4 3 2 2 6 2 2 2 2 2" xfId="31288" xr:uid="{00000000-0005-0000-0000-0000EDBB0000}"/>
    <cellStyle name="Normal 4 3 2 2 6 2 2 2 2 2 2" xfId="63159" xr:uid="{00000000-0005-0000-0000-0000EEBB0000}"/>
    <cellStyle name="Normal 4 3 2 2 6 2 2 2 2 3" xfId="44170" xr:uid="{00000000-0005-0000-0000-0000EFBB0000}"/>
    <cellStyle name="Normal 4 3 2 2 6 2 2 2 3" xfId="23410" xr:uid="{00000000-0005-0000-0000-0000F0BB0000}"/>
    <cellStyle name="Normal 4 3 2 2 6 2 2 2 3 2" xfId="55281" xr:uid="{00000000-0005-0000-0000-0000F1BB0000}"/>
    <cellStyle name="Normal 4 3 2 2 6 2 2 2 4" xfId="44169" xr:uid="{00000000-0005-0000-0000-0000F2BB0000}"/>
    <cellStyle name="Normal 4 3 2 2 6 2 2 3" xfId="12292" xr:uid="{00000000-0005-0000-0000-0000F3BB0000}"/>
    <cellStyle name="Normal 4 3 2 2 6 2 2 3 2" xfId="27349" xr:uid="{00000000-0005-0000-0000-0000F4BB0000}"/>
    <cellStyle name="Normal 4 3 2 2 6 2 2 3 2 2" xfId="59220" xr:uid="{00000000-0005-0000-0000-0000F5BB0000}"/>
    <cellStyle name="Normal 4 3 2 2 6 2 2 3 3" xfId="44171" xr:uid="{00000000-0005-0000-0000-0000F6BB0000}"/>
    <cellStyle name="Normal 4 3 2 2 6 2 2 4" xfId="19471" xr:uid="{00000000-0005-0000-0000-0000F7BB0000}"/>
    <cellStyle name="Normal 4 3 2 2 6 2 2 4 2" xfId="51342" xr:uid="{00000000-0005-0000-0000-0000F8BB0000}"/>
    <cellStyle name="Normal 4 3 2 2 6 2 2 5" xfId="44168" xr:uid="{00000000-0005-0000-0000-0000F9BB0000}"/>
    <cellStyle name="Normal 4 3 2 2 6 2 3" xfId="12293" xr:uid="{00000000-0005-0000-0000-0000FABB0000}"/>
    <cellStyle name="Normal 4 3 2 2 6 2 3 2" xfId="12294" xr:uid="{00000000-0005-0000-0000-0000FBBB0000}"/>
    <cellStyle name="Normal 4 3 2 2 6 2 3 2 2" xfId="31287" xr:uid="{00000000-0005-0000-0000-0000FCBB0000}"/>
    <cellStyle name="Normal 4 3 2 2 6 2 3 2 2 2" xfId="63158" xr:uid="{00000000-0005-0000-0000-0000FDBB0000}"/>
    <cellStyle name="Normal 4 3 2 2 6 2 3 2 3" xfId="44173" xr:uid="{00000000-0005-0000-0000-0000FEBB0000}"/>
    <cellStyle name="Normal 4 3 2 2 6 2 3 3" xfId="23409" xr:uid="{00000000-0005-0000-0000-0000FFBB0000}"/>
    <cellStyle name="Normal 4 3 2 2 6 2 3 3 2" xfId="55280" xr:uid="{00000000-0005-0000-0000-000000BC0000}"/>
    <cellStyle name="Normal 4 3 2 2 6 2 3 4" xfId="44172" xr:uid="{00000000-0005-0000-0000-000001BC0000}"/>
    <cellStyle name="Normal 4 3 2 2 6 2 4" xfId="12295" xr:uid="{00000000-0005-0000-0000-000002BC0000}"/>
    <cellStyle name="Normal 4 3 2 2 6 2 4 2" xfId="27348" xr:uid="{00000000-0005-0000-0000-000003BC0000}"/>
    <cellStyle name="Normal 4 3 2 2 6 2 4 2 2" xfId="59219" xr:uid="{00000000-0005-0000-0000-000004BC0000}"/>
    <cellStyle name="Normal 4 3 2 2 6 2 4 3" xfId="44174" xr:uid="{00000000-0005-0000-0000-000005BC0000}"/>
    <cellStyle name="Normal 4 3 2 2 6 2 5" xfId="19470" xr:uid="{00000000-0005-0000-0000-000006BC0000}"/>
    <cellStyle name="Normal 4 3 2 2 6 2 5 2" xfId="51341" xr:uid="{00000000-0005-0000-0000-000007BC0000}"/>
    <cellStyle name="Normal 4 3 2 2 6 2 6" xfId="44167" xr:uid="{00000000-0005-0000-0000-000008BC0000}"/>
    <cellStyle name="Normal 4 3 2 2 6 3" xfId="12296" xr:uid="{00000000-0005-0000-0000-000009BC0000}"/>
    <cellStyle name="Normal 4 3 2 2 6 3 2" xfId="12297" xr:uid="{00000000-0005-0000-0000-00000ABC0000}"/>
    <cellStyle name="Normal 4 3 2 2 6 3 2 2" xfId="12298" xr:uid="{00000000-0005-0000-0000-00000BBC0000}"/>
    <cellStyle name="Normal 4 3 2 2 6 3 2 2 2" xfId="31289" xr:uid="{00000000-0005-0000-0000-00000CBC0000}"/>
    <cellStyle name="Normal 4 3 2 2 6 3 2 2 2 2" xfId="63160" xr:uid="{00000000-0005-0000-0000-00000DBC0000}"/>
    <cellStyle name="Normal 4 3 2 2 6 3 2 2 3" xfId="44177" xr:uid="{00000000-0005-0000-0000-00000EBC0000}"/>
    <cellStyle name="Normal 4 3 2 2 6 3 2 3" xfId="23411" xr:uid="{00000000-0005-0000-0000-00000FBC0000}"/>
    <cellStyle name="Normal 4 3 2 2 6 3 2 3 2" xfId="55282" xr:uid="{00000000-0005-0000-0000-000010BC0000}"/>
    <cellStyle name="Normal 4 3 2 2 6 3 2 4" xfId="44176" xr:uid="{00000000-0005-0000-0000-000011BC0000}"/>
    <cellStyle name="Normal 4 3 2 2 6 3 3" xfId="12299" xr:uid="{00000000-0005-0000-0000-000012BC0000}"/>
    <cellStyle name="Normal 4 3 2 2 6 3 3 2" xfId="27350" xr:uid="{00000000-0005-0000-0000-000013BC0000}"/>
    <cellStyle name="Normal 4 3 2 2 6 3 3 2 2" xfId="59221" xr:uid="{00000000-0005-0000-0000-000014BC0000}"/>
    <cellStyle name="Normal 4 3 2 2 6 3 3 3" xfId="44178" xr:uid="{00000000-0005-0000-0000-000015BC0000}"/>
    <cellStyle name="Normal 4 3 2 2 6 3 4" xfId="19472" xr:uid="{00000000-0005-0000-0000-000016BC0000}"/>
    <cellStyle name="Normal 4 3 2 2 6 3 4 2" xfId="51343" xr:uid="{00000000-0005-0000-0000-000017BC0000}"/>
    <cellStyle name="Normal 4 3 2 2 6 3 5" xfId="44175" xr:uid="{00000000-0005-0000-0000-000018BC0000}"/>
    <cellStyle name="Normal 4 3 2 2 6 4" xfId="12300" xr:uid="{00000000-0005-0000-0000-000019BC0000}"/>
    <cellStyle name="Normal 4 3 2 2 6 4 2" xfId="12301" xr:uid="{00000000-0005-0000-0000-00001ABC0000}"/>
    <cellStyle name="Normal 4 3 2 2 6 4 2 2" xfId="31286" xr:uid="{00000000-0005-0000-0000-00001BBC0000}"/>
    <cellStyle name="Normal 4 3 2 2 6 4 2 2 2" xfId="63157" xr:uid="{00000000-0005-0000-0000-00001CBC0000}"/>
    <cellStyle name="Normal 4 3 2 2 6 4 2 3" xfId="44180" xr:uid="{00000000-0005-0000-0000-00001DBC0000}"/>
    <cellStyle name="Normal 4 3 2 2 6 4 3" xfId="23408" xr:uid="{00000000-0005-0000-0000-00001EBC0000}"/>
    <cellStyle name="Normal 4 3 2 2 6 4 3 2" xfId="55279" xr:uid="{00000000-0005-0000-0000-00001FBC0000}"/>
    <cellStyle name="Normal 4 3 2 2 6 4 4" xfId="44179" xr:uid="{00000000-0005-0000-0000-000020BC0000}"/>
    <cellStyle name="Normal 4 3 2 2 6 5" xfId="12302" xr:uid="{00000000-0005-0000-0000-000021BC0000}"/>
    <cellStyle name="Normal 4 3 2 2 6 5 2" xfId="27347" xr:uid="{00000000-0005-0000-0000-000022BC0000}"/>
    <cellStyle name="Normal 4 3 2 2 6 5 2 2" xfId="59218" xr:uid="{00000000-0005-0000-0000-000023BC0000}"/>
    <cellStyle name="Normal 4 3 2 2 6 5 3" xfId="44181" xr:uid="{00000000-0005-0000-0000-000024BC0000}"/>
    <cellStyle name="Normal 4 3 2 2 6 6" xfId="19469" xr:uid="{00000000-0005-0000-0000-000025BC0000}"/>
    <cellStyle name="Normal 4 3 2 2 6 6 2" xfId="51340" xr:uid="{00000000-0005-0000-0000-000026BC0000}"/>
    <cellStyle name="Normal 4 3 2 2 6 7" xfId="44166" xr:uid="{00000000-0005-0000-0000-000027BC0000}"/>
    <cellStyle name="Normal 4 3 2 2 7" xfId="12303" xr:uid="{00000000-0005-0000-0000-000028BC0000}"/>
    <cellStyle name="Normal 4 3 2 2 7 2" xfId="12304" xr:uid="{00000000-0005-0000-0000-000029BC0000}"/>
    <cellStyle name="Normal 4 3 2 2 7 2 2" xfId="12305" xr:uid="{00000000-0005-0000-0000-00002ABC0000}"/>
    <cellStyle name="Normal 4 3 2 2 7 2 2 2" xfId="12306" xr:uid="{00000000-0005-0000-0000-00002BBC0000}"/>
    <cellStyle name="Normal 4 3 2 2 7 2 2 2 2" xfId="31291" xr:uid="{00000000-0005-0000-0000-00002CBC0000}"/>
    <cellStyle name="Normal 4 3 2 2 7 2 2 2 2 2" xfId="63162" xr:uid="{00000000-0005-0000-0000-00002DBC0000}"/>
    <cellStyle name="Normal 4 3 2 2 7 2 2 2 3" xfId="44185" xr:uid="{00000000-0005-0000-0000-00002EBC0000}"/>
    <cellStyle name="Normal 4 3 2 2 7 2 2 3" xfId="23413" xr:uid="{00000000-0005-0000-0000-00002FBC0000}"/>
    <cellStyle name="Normal 4 3 2 2 7 2 2 3 2" xfId="55284" xr:uid="{00000000-0005-0000-0000-000030BC0000}"/>
    <cellStyle name="Normal 4 3 2 2 7 2 2 4" xfId="44184" xr:uid="{00000000-0005-0000-0000-000031BC0000}"/>
    <cellStyle name="Normal 4 3 2 2 7 2 3" xfId="12307" xr:uid="{00000000-0005-0000-0000-000032BC0000}"/>
    <cellStyle name="Normal 4 3 2 2 7 2 3 2" xfId="27352" xr:uid="{00000000-0005-0000-0000-000033BC0000}"/>
    <cellStyle name="Normal 4 3 2 2 7 2 3 2 2" xfId="59223" xr:uid="{00000000-0005-0000-0000-000034BC0000}"/>
    <cellStyle name="Normal 4 3 2 2 7 2 3 3" xfId="44186" xr:uid="{00000000-0005-0000-0000-000035BC0000}"/>
    <cellStyle name="Normal 4 3 2 2 7 2 4" xfId="19474" xr:uid="{00000000-0005-0000-0000-000036BC0000}"/>
    <cellStyle name="Normal 4 3 2 2 7 2 4 2" xfId="51345" xr:uid="{00000000-0005-0000-0000-000037BC0000}"/>
    <cellStyle name="Normal 4 3 2 2 7 2 5" xfId="44183" xr:uid="{00000000-0005-0000-0000-000038BC0000}"/>
    <cellStyle name="Normal 4 3 2 2 7 3" xfId="12308" xr:uid="{00000000-0005-0000-0000-000039BC0000}"/>
    <cellStyle name="Normal 4 3 2 2 7 3 2" xfId="12309" xr:uid="{00000000-0005-0000-0000-00003ABC0000}"/>
    <cellStyle name="Normal 4 3 2 2 7 3 2 2" xfId="31290" xr:uid="{00000000-0005-0000-0000-00003BBC0000}"/>
    <cellStyle name="Normal 4 3 2 2 7 3 2 2 2" xfId="63161" xr:uid="{00000000-0005-0000-0000-00003CBC0000}"/>
    <cellStyle name="Normal 4 3 2 2 7 3 2 3" xfId="44188" xr:uid="{00000000-0005-0000-0000-00003DBC0000}"/>
    <cellStyle name="Normal 4 3 2 2 7 3 3" xfId="23412" xr:uid="{00000000-0005-0000-0000-00003EBC0000}"/>
    <cellStyle name="Normal 4 3 2 2 7 3 3 2" xfId="55283" xr:uid="{00000000-0005-0000-0000-00003FBC0000}"/>
    <cellStyle name="Normal 4 3 2 2 7 3 4" xfId="44187" xr:uid="{00000000-0005-0000-0000-000040BC0000}"/>
    <cellStyle name="Normal 4 3 2 2 7 4" xfId="12310" xr:uid="{00000000-0005-0000-0000-000041BC0000}"/>
    <cellStyle name="Normal 4 3 2 2 7 4 2" xfId="27351" xr:uid="{00000000-0005-0000-0000-000042BC0000}"/>
    <cellStyle name="Normal 4 3 2 2 7 4 2 2" xfId="59222" xr:uid="{00000000-0005-0000-0000-000043BC0000}"/>
    <cellStyle name="Normal 4 3 2 2 7 4 3" xfId="44189" xr:uid="{00000000-0005-0000-0000-000044BC0000}"/>
    <cellStyle name="Normal 4 3 2 2 7 5" xfId="19473" xr:uid="{00000000-0005-0000-0000-000045BC0000}"/>
    <cellStyle name="Normal 4 3 2 2 7 5 2" xfId="51344" xr:uid="{00000000-0005-0000-0000-000046BC0000}"/>
    <cellStyle name="Normal 4 3 2 2 7 6" xfId="44182" xr:uid="{00000000-0005-0000-0000-000047BC0000}"/>
    <cellStyle name="Normal 4 3 2 2 8" xfId="12311" xr:uid="{00000000-0005-0000-0000-000048BC0000}"/>
    <cellStyle name="Normal 4 3 2 2 8 2" xfId="12312" xr:uid="{00000000-0005-0000-0000-000049BC0000}"/>
    <cellStyle name="Normal 4 3 2 2 8 2 2" xfId="12313" xr:uid="{00000000-0005-0000-0000-00004ABC0000}"/>
    <cellStyle name="Normal 4 3 2 2 8 2 2 2" xfId="31292" xr:uid="{00000000-0005-0000-0000-00004BBC0000}"/>
    <cellStyle name="Normal 4 3 2 2 8 2 2 2 2" xfId="63163" xr:uid="{00000000-0005-0000-0000-00004CBC0000}"/>
    <cellStyle name="Normal 4 3 2 2 8 2 2 3" xfId="44192" xr:uid="{00000000-0005-0000-0000-00004DBC0000}"/>
    <cellStyle name="Normal 4 3 2 2 8 2 3" xfId="23414" xr:uid="{00000000-0005-0000-0000-00004EBC0000}"/>
    <cellStyle name="Normal 4 3 2 2 8 2 3 2" xfId="55285" xr:uid="{00000000-0005-0000-0000-00004FBC0000}"/>
    <cellStyle name="Normal 4 3 2 2 8 2 4" xfId="44191" xr:uid="{00000000-0005-0000-0000-000050BC0000}"/>
    <cellStyle name="Normal 4 3 2 2 8 3" xfId="12314" xr:uid="{00000000-0005-0000-0000-000051BC0000}"/>
    <cellStyle name="Normal 4 3 2 2 8 3 2" xfId="27353" xr:uid="{00000000-0005-0000-0000-000052BC0000}"/>
    <cellStyle name="Normal 4 3 2 2 8 3 2 2" xfId="59224" xr:uid="{00000000-0005-0000-0000-000053BC0000}"/>
    <cellStyle name="Normal 4 3 2 2 8 3 3" xfId="44193" xr:uid="{00000000-0005-0000-0000-000054BC0000}"/>
    <cellStyle name="Normal 4 3 2 2 8 4" xfId="19475" xr:uid="{00000000-0005-0000-0000-000055BC0000}"/>
    <cellStyle name="Normal 4 3 2 2 8 4 2" xfId="51346" xr:uid="{00000000-0005-0000-0000-000056BC0000}"/>
    <cellStyle name="Normal 4 3 2 2 8 5" xfId="44190" xr:uid="{00000000-0005-0000-0000-000057BC0000}"/>
    <cellStyle name="Normal 4 3 2 2 9" xfId="12315" xr:uid="{00000000-0005-0000-0000-000058BC0000}"/>
    <cellStyle name="Normal 4 3 2 2 9 2" xfId="12316" xr:uid="{00000000-0005-0000-0000-000059BC0000}"/>
    <cellStyle name="Normal 4 3 2 2 9 2 2" xfId="28289" xr:uid="{00000000-0005-0000-0000-00005ABC0000}"/>
    <cellStyle name="Normal 4 3 2 2 9 2 2 2" xfId="60160" xr:uid="{00000000-0005-0000-0000-00005BBC0000}"/>
    <cellStyle name="Normal 4 3 2 2 9 2 3" xfId="44195" xr:uid="{00000000-0005-0000-0000-00005CBC0000}"/>
    <cellStyle name="Normal 4 3 2 2 9 3" xfId="20411" xr:uid="{00000000-0005-0000-0000-00005DBC0000}"/>
    <cellStyle name="Normal 4 3 2 2 9 3 2" xfId="52282" xr:uid="{00000000-0005-0000-0000-00005EBC0000}"/>
    <cellStyle name="Normal 4 3 2 2 9 4" xfId="44194" xr:uid="{00000000-0005-0000-0000-00005FBC0000}"/>
    <cellStyle name="Normal 4 3 2 3" xfId="12317" xr:uid="{00000000-0005-0000-0000-000060BC0000}"/>
    <cellStyle name="Normal 4 3 2 3 10" xfId="44196" xr:uid="{00000000-0005-0000-0000-000061BC0000}"/>
    <cellStyle name="Normal 4 3 2 3 2" xfId="12318" xr:uid="{00000000-0005-0000-0000-000062BC0000}"/>
    <cellStyle name="Normal 4 3 2 3 2 2" xfId="12319" xr:uid="{00000000-0005-0000-0000-000063BC0000}"/>
    <cellStyle name="Normal 4 3 2 3 2 2 2" xfId="12320" xr:uid="{00000000-0005-0000-0000-000064BC0000}"/>
    <cellStyle name="Normal 4 3 2 3 2 2 2 2" xfId="12321" xr:uid="{00000000-0005-0000-0000-000065BC0000}"/>
    <cellStyle name="Normal 4 3 2 3 2 2 2 2 2" xfId="12322" xr:uid="{00000000-0005-0000-0000-000066BC0000}"/>
    <cellStyle name="Normal 4 3 2 3 2 2 2 2 2 2" xfId="12323" xr:uid="{00000000-0005-0000-0000-000067BC0000}"/>
    <cellStyle name="Normal 4 3 2 3 2 2 2 2 2 2 2" xfId="12324" xr:uid="{00000000-0005-0000-0000-000068BC0000}"/>
    <cellStyle name="Normal 4 3 2 3 2 2 2 2 2 2 2 2" xfId="31296" xr:uid="{00000000-0005-0000-0000-000069BC0000}"/>
    <cellStyle name="Normal 4 3 2 3 2 2 2 2 2 2 2 2 2" xfId="63167" xr:uid="{00000000-0005-0000-0000-00006ABC0000}"/>
    <cellStyle name="Normal 4 3 2 3 2 2 2 2 2 2 2 3" xfId="44203" xr:uid="{00000000-0005-0000-0000-00006BBC0000}"/>
    <cellStyle name="Normal 4 3 2 3 2 2 2 2 2 2 3" xfId="23418" xr:uid="{00000000-0005-0000-0000-00006CBC0000}"/>
    <cellStyle name="Normal 4 3 2 3 2 2 2 2 2 2 3 2" xfId="55289" xr:uid="{00000000-0005-0000-0000-00006DBC0000}"/>
    <cellStyle name="Normal 4 3 2 3 2 2 2 2 2 2 4" xfId="44202" xr:uid="{00000000-0005-0000-0000-00006EBC0000}"/>
    <cellStyle name="Normal 4 3 2 3 2 2 2 2 2 3" xfId="12325" xr:uid="{00000000-0005-0000-0000-00006FBC0000}"/>
    <cellStyle name="Normal 4 3 2 3 2 2 2 2 2 3 2" xfId="27357" xr:uid="{00000000-0005-0000-0000-000070BC0000}"/>
    <cellStyle name="Normal 4 3 2 3 2 2 2 2 2 3 2 2" xfId="59228" xr:uid="{00000000-0005-0000-0000-000071BC0000}"/>
    <cellStyle name="Normal 4 3 2 3 2 2 2 2 2 3 3" xfId="44204" xr:uid="{00000000-0005-0000-0000-000072BC0000}"/>
    <cellStyle name="Normal 4 3 2 3 2 2 2 2 2 4" xfId="19479" xr:uid="{00000000-0005-0000-0000-000073BC0000}"/>
    <cellStyle name="Normal 4 3 2 3 2 2 2 2 2 4 2" xfId="51350" xr:uid="{00000000-0005-0000-0000-000074BC0000}"/>
    <cellStyle name="Normal 4 3 2 3 2 2 2 2 2 5" xfId="44201" xr:uid="{00000000-0005-0000-0000-000075BC0000}"/>
    <cellStyle name="Normal 4 3 2 3 2 2 2 2 3" xfId="12326" xr:uid="{00000000-0005-0000-0000-000076BC0000}"/>
    <cellStyle name="Normal 4 3 2 3 2 2 2 2 3 2" xfId="12327" xr:uid="{00000000-0005-0000-0000-000077BC0000}"/>
    <cellStyle name="Normal 4 3 2 3 2 2 2 2 3 2 2" xfId="31295" xr:uid="{00000000-0005-0000-0000-000078BC0000}"/>
    <cellStyle name="Normal 4 3 2 3 2 2 2 2 3 2 2 2" xfId="63166" xr:uid="{00000000-0005-0000-0000-000079BC0000}"/>
    <cellStyle name="Normal 4 3 2 3 2 2 2 2 3 2 3" xfId="44206" xr:uid="{00000000-0005-0000-0000-00007ABC0000}"/>
    <cellStyle name="Normal 4 3 2 3 2 2 2 2 3 3" xfId="23417" xr:uid="{00000000-0005-0000-0000-00007BBC0000}"/>
    <cellStyle name="Normal 4 3 2 3 2 2 2 2 3 3 2" xfId="55288" xr:uid="{00000000-0005-0000-0000-00007CBC0000}"/>
    <cellStyle name="Normal 4 3 2 3 2 2 2 2 3 4" xfId="44205" xr:uid="{00000000-0005-0000-0000-00007DBC0000}"/>
    <cellStyle name="Normal 4 3 2 3 2 2 2 2 4" xfId="12328" xr:uid="{00000000-0005-0000-0000-00007EBC0000}"/>
    <cellStyle name="Normal 4 3 2 3 2 2 2 2 4 2" xfId="27356" xr:uid="{00000000-0005-0000-0000-00007FBC0000}"/>
    <cellStyle name="Normal 4 3 2 3 2 2 2 2 4 2 2" xfId="59227" xr:uid="{00000000-0005-0000-0000-000080BC0000}"/>
    <cellStyle name="Normal 4 3 2 3 2 2 2 2 4 3" xfId="44207" xr:uid="{00000000-0005-0000-0000-000081BC0000}"/>
    <cellStyle name="Normal 4 3 2 3 2 2 2 2 5" xfId="19478" xr:uid="{00000000-0005-0000-0000-000082BC0000}"/>
    <cellStyle name="Normal 4 3 2 3 2 2 2 2 5 2" xfId="51349" xr:uid="{00000000-0005-0000-0000-000083BC0000}"/>
    <cellStyle name="Normal 4 3 2 3 2 2 2 2 6" xfId="44200" xr:uid="{00000000-0005-0000-0000-000084BC0000}"/>
    <cellStyle name="Normal 4 3 2 3 2 2 2 3" xfId="12329" xr:uid="{00000000-0005-0000-0000-000085BC0000}"/>
    <cellStyle name="Normal 4 3 2 3 2 2 2 3 2" xfId="12330" xr:uid="{00000000-0005-0000-0000-000086BC0000}"/>
    <cellStyle name="Normal 4 3 2 3 2 2 2 3 2 2" xfId="12331" xr:uid="{00000000-0005-0000-0000-000087BC0000}"/>
    <cellStyle name="Normal 4 3 2 3 2 2 2 3 2 2 2" xfId="31297" xr:uid="{00000000-0005-0000-0000-000088BC0000}"/>
    <cellStyle name="Normal 4 3 2 3 2 2 2 3 2 2 2 2" xfId="63168" xr:uid="{00000000-0005-0000-0000-000089BC0000}"/>
    <cellStyle name="Normal 4 3 2 3 2 2 2 3 2 2 3" xfId="44210" xr:uid="{00000000-0005-0000-0000-00008ABC0000}"/>
    <cellStyle name="Normal 4 3 2 3 2 2 2 3 2 3" xfId="23419" xr:uid="{00000000-0005-0000-0000-00008BBC0000}"/>
    <cellStyle name="Normal 4 3 2 3 2 2 2 3 2 3 2" xfId="55290" xr:uid="{00000000-0005-0000-0000-00008CBC0000}"/>
    <cellStyle name="Normal 4 3 2 3 2 2 2 3 2 4" xfId="44209" xr:uid="{00000000-0005-0000-0000-00008DBC0000}"/>
    <cellStyle name="Normal 4 3 2 3 2 2 2 3 3" xfId="12332" xr:uid="{00000000-0005-0000-0000-00008EBC0000}"/>
    <cellStyle name="Normal 4 3 2 3 2 2 2 3 3 2" xfId="27358" xr:uid="{00000000-0005-0000-0000-00008FBC0000}"/>
    <cellStyle name="Normal 4 3 2 3 2 2 2 3 3 2 2" xfId="59229" xr:uid="{00000000-0005-0000-0000-000090BC0000}"/>
    <cellStyle name="Normal 4 3 2 3 2 2 2 3 3 3" xfId="44211" xr:uid="{00000000-0005-0000-0000-000091BC0000}"/>
    <cellStyle name="Normal 4 3 2 3 2 2 2 3 4" xfId="19480" xr:uid="{00000000-0005-0000-0000-000092BC0000}"/>
    <cellStyle name="Normal 4 3 2 3 2 2 2 3 4 2" xfId="51351" xr:uid="{00000000-0005-0000-0000-000093BC0000}"/>
    <cellStyle name="Normal 4 3 2 3 2 2 2 3 5" xfId="44208" xr:uid="{00000000-0005-0000-0000-000094BC0000}"/>
    <cellStyle name="Normal 4 3 2 3 2 2 2 4" xfId="12333" xr:uid="{00000000-0005-0000-0000-000095BC0000}"/>
    <cellStyle name="Normal 4 3 2 3 2 2 2 4 2" xfId="12334" xr:uid="{00000000-0005-0000-0000-000096BC0000}"/>
    <cellStyle name="Normal 4 3 2 3 2 2 2 4 2 2" xfId="31294" xr:uid="{00000000-0005-0000-0000-000097BC0000}"/>
    <cellStyle name="Normal 4 3 2 3 2 2 2 4 2 2 2" xfId="63165" xr:uid="{00000000-0005-0000-0000-000098BC0000}"/>
    <cellStyle name="Normal 4 3 2 3 2 2 2 4 2 3" xfId="44213" xr:uid="{00000000-0005-0000-0000-000099BC0000}"/>
    <cellStyle name="Normal 4 3 2 3 2 2 2 4 3" xfId="23416" xr:uid="{00000000-0005-0000-0000-00009ABC0000}"/>
    <cellStyle name="Normal 4 3 2 3 2 2 2 4 3 2" xfId="55287" xr:uid="{00000000-0005-0000-0000-00009BBC0000}"/>
    <cellStyle name="Normal 4 3 2 3 2 2 2 4 4" xfId="44212" xr:uid="{00000000-0005-0000-0000-00009CBC0000}"/>
    <cellStyle name="Normal 4 3 2 3 2 2 2 5" xfId="12335" xr:uid="{00000000-0005-0000-0000-00009DBC0000}"/>
    <cellStyle name="Normal 4 3 2 3 2 2 2 5 2" xfId="27355" xr:uid="{00000000-0005-0000-0000-00009EBC0000}"/>
    <cellStyle name="Normal 4 3 2 3 2 2 2 5 2 2" xfId="59226" xr:uid="{00000000-0005-0000-0000-00009FBC0000}"/>
    <cellStyle name="Normal 4 3 2 3 2 2 2 5 3" xfId="44214" xr:uid="{00000000-0005-0000-0000-0000A0BC0000}"/>
    <cellStyle name="Normal 4 3 2 3 2 2 2 6" xfId="19477" xr:uid="{00000000-0005-0000-0000-0000A1BC0000}"/>
    <cellStyle name="Normal 4 3 2 3 2 2 2 6 2" xfId="51348" xr:uid="{00000000-0005-0000-0000-0000A2BC0000}"/>
    <cellStyle name="Normal 4 3 2 3 2 2 2 7" xfId="44199" xr:uid="{00000000-0005-0000-0000-0000A3BC0000}"/>
    <cellStyle name="Normal 4 3 2 3 2 2 3" xfId="12336" xr:uid="{00000000-0005-0000-0000-0000A4BC0000}"/>
    <cellStyle name="Normal 4 3 2 3 2 2 3 2" xfId="12337" xr:uid="{00000000-0005-0000-0000-0000A5BC0000}"/>
    <cellStyle name="Normal 4 3 2 3 2 2 3 2 2" xfId="12338" xr:uid="{00000000-0005-0000-0000-0000A6BC0000}"/>
    <cellStyle name="Normal 4 3 2 3 2 2 3 2 2 2" xfId="12339" xr:uid="{00000000-0005-0000-0000-0000A7BC0000}"/>
    <cellStyle name="Normal 4 3 2 3 2 2 3 2 2 2 2" xfId="31299" xr:uid="{00000000-0005-0000-0000-0000A8BC0000}"/>
    <cellStyle name="Normal 4 3 2 3 2 2 3 2 2 2 2 2" xfId="63170" xr:uid="{00000000-0005-0000-0000-0000A9BC0000}"/>
    <cellStyle name="Normal 4 3 2 3 2 2 3 2 2 2 3" xfId="44218" xr:uid="{00000000-0005-0000-0000-0000AABC0000}"/>
    <cellStyle name="Normal 4 3 2 3 2 2 3 2 2 3" xfId="23421" xr:uid="{00000000-0005-0000-0000-0000ABBC0000}"/>
    <cellStyle name="Normal 4 3 2 3 2 2 3 2 2 3 2" xfId="55292" xr:uid="{00000000-0005-0000-0000-0000ACBC0000}"/>
    <cellStyle name="Normal 4 3 2 3 2 2 3 2 2 4" xfId="44217" xr:uid="{00000000-0005-0000-0000-0000ADBC0000}"/>
    <cellStyle name="Normal 4 3 2 3 2 2 3 2 3" xfId="12340" xr:uid="{00000000-0005-0000-0000-0000AEBC0000}"/>
    <cellStyle name="Normal 4 3 2 3 2 2 3 2 3 2" xfId="27360" xr:uid="{00000000-0005-0000-0000-0000AFBC0000}"/>
    <cellStyle name="Normal 4 3 2 3 2 2 3 2 3 2 2" xfId="59231" xr:uid="{00000000-0005-0000-0000-0000B0BC0000}"/>
    <cellStyle name="Normal 4 3 2 3 2 2 3 2 3 3" xfId="44219" xr:uid="{00000000-0005-0000-0000-0000B1BC0000}"/>
    <cellStyle name="Normal 4 3 2 3 2 2 3 2 4" xfId="19482" xr:uid="{00000000-0005-0000-0000-0000B2BC0000}"/>
    <cellStyle name="Normal 4 3 2 3 2 2 3 2 4 2" xfId="51353" xr:uid="{00000000-0005-0000-0000-0000B3BC0000}"/>
    <cellStyle name="Normal 4 3 2 3 2 2 3 2 5" xfId="44216" xr:uid="{00000000-0005-0000-0000-0000B4BC0000}"/>
    <cellStyle name="Normal 4 3 2 3 2 2 3 3" xfId="12341" xr:uid="{00000000-0005-0000-0000-0000B5BC0000}"/>
    <cellStyle name="Normal 4 3 2 3 2 2 3 3 2" xfId="12342" xr:uid="{00000000-0005-0000-0000-0000B6BC0000}"/>
    <cellStyle name="Normal 4 3 2 3 2 2 3 3 2 2" xfId="31298" xr:uid="{00000000-0005-0000-0000-0000B7BC0000}"/>
    <cellStyle name="Normal 4 3 2 3 2 2 3 3 2 2 2" xfId="63169" xr:uid="{00000000-0005-0000-0000-0000B8BC0000}"/>
    <cellStyle name="Normal 4 3 2 3 2 2 3 3 2 3" xfId="44221" xr:uid="{00000000-0005-0000-0000-0000B9BC0000}"/>
    <cellStyle name="Normal 4 3 2 3 2 2 3 3 3" xfId="23420" xr:uid="{00000000-0005-0000-0000-0000BABC0000}"/>
    <cellStyle name="Normal 4 3 2 3 2 2 3 3 3 2" xfId="55291" xr:uid="{00000000-0005-0000-0000-0000BBBC0000}"/>
    <cellStyle name="Normal 4 3 2 3 2 2 3 3 4" xfId="44220" xr:uid="{00000000-0005-0000-0000-0000BCBC0000}"/>
    <cellStyle name="Normal 4 3 2 3 2 2 3 4" xfId="12343" xr:uid="{00000000-0005-0000-0000-0000BDBC0000}"/>
    <cellStyle name="Normal 4 3 2 3 2 2 3 4 2" xfId="27359" xr:uid="{00000000-0005-0000-0000-0000BEBC0000}"/>
    <cellStyle name="Normal 4 3 2 3 2 2 3 4 2 2" xfId="59230" xr:uid="{00000000-0005-0000-0000-0000BFBC0000}"/>
    <cellStyle name="Normal 4 3 2 3 2 2 3 4 3" xfId="44222" xr:uid="{00000000-0005-0000-0000-0000C0BC0000}"/>
    <cellStyle name="Normal 4 3 2 3 2 2 3 5" xfId="19481" xr:uid="{00000000-0005-0000-0000-0000C1BC0000}"/>
    <cellStyle name="Normal 4 3 2 3 2 2 3 5 2" xfId="51352" xr:uid="{00000000-0005-0000-0000-0000C2BC0000}"/>
    <cellStyle name="Normal 4 3 2 3 2 2 3 6" xfId="44215" xr:uid="{00000000-0005-0000-0000-0000C3BC0000}"/>
    <cellStyle name="Normal 4 3 2 3 2 2 4" xfId="12344" xr:uid="{00000000-0005-0000-0000-0000C4BC0000}"/>
    <cellStyle name="Normal 4 3 2 3 2 2 4 2" xfId="12345" xr:uid="{00000000-0005-0000-0000-0000C5BC0000}"/>
    <cellStyle name="Normal 4 3 2 3 2 2 4 2 2" xfId="12346" xr:uid="{00000000-0005-0000-0000-0000C6BC0000}"/>
    <cellStyle name="Normal 4 3 2 3 2 2 4 2 2 2" xfId="31300" xr:uid="{00000000-0005-0000-0000-0000C7BC0000}"/>
    <cellStyle name="Normal 4 3 2 3 2 2 4 2 2 2 2" xfId="63171" xr:uid="{00000000-0005-0000-0000-0000C8BC0000}"/>
    <cellStyle name="Normal 4 3 2 3 2 2 4 2 2 3" xfId="44225" xr:uid="{00000000-0005-0000-0000-0000C9BC0000}"/>
    <cellStyle name="Normal 4 3 2 3 2 2 4 2 3" xfId="23422" xr:uid="{00000000-0005-0000-0000-0000CABC0000}"/>
    <cellStyle name="Normal 4 3 2 3 2 2 4 2 3 2" xfId="55293" xr:uid="{00000000-0005-0000-0000-0000CBBC0000}"/>
    <cellStyle name="Normal 4 3 2 3 2 2 4 2 4" xfId="44224" xr:uid="{00000000-0005-0000-0000-0000CCBC0000}"/>
    <cellStyle name="Normal 4 3 2 3 2 2 4 3" xfId="12347" xr:uid="{00000000-0005-0000-0000-0000CDBC0000}"/>
    <cellStyle name="Normal 4 3 2 3 2 2 4 3 2" xfId="27361" xr:uid="{00000000-0005-0000-0000-0000CEBC0000}"/>
    <cellStyle name="Normal 4 3 2 3 2 2 4 3 2 2" xfId="59232" xr:uid="{00000000-0005-0000-0000-0000CFBC0000}"/>
    <cellStyle name="Normal 4 3 2 3 2 2 4 3 3" xfId="44226" xr:uid="{00000000-0005-0000-0000-0000D0BC0000}"/>
    <cellStyle name="Normal 4 3 2 3 2 2 4 4" xfId="19483" xr:uid="{00000000-0005-0000-0000-0000D1BC0000}"/>
    <cellStyle name="Normal 4 3 2 3 2 2 4 4 2" xfId="51354" xr:uid="{00000000-0005-0000-0000-0000D2BC0000}"/>
    <cellStyle name="Normal 4 3 2 3 2 2 4 5" xfId="44223" xr:uid="{00000000-0005-0000-0000-0000D3BC0000}"/>
    <cellStyle name="Normal 4 3 2 3 2 2 5" xfId="12348" xr:uid="{00000000-0005-0000-0000-0000D4BC0000}"/>
    <cellStyle name="Normal 4 3 2 3 2 2 5 2" xfId="12349" xr:uid="{00000000-0005-0000-0000-0000D5BC0000}"/>
    <cellStyle name="Normal 4 3 2 3 2 2 5 2 2" xfId="31293" xr:uid="{00000000-0005-0000-0000-0000D6BC0000}"/>
    <cellStyle name="Normal 4 3 2 3 2 2 5 2 2 2" xfId="63164" xr:uid="{00000000-0005-0000-0000-0000D7BC0000}"/>
    <cellStyle name="Normal 4 3 2 3 2 2 5 2 3" xfId="44228" xr:uid="{00000000-0005-0000-0000-0000D8BC0000}"/>
    <cellStyle name="Normal 4 3 2 3 2 2 5 3" xfId="23415" xr:uid="{00000000-0005-0000-0000-0000D9BC0000}"/>
    <cellStyle name="Normal 4 3 2 3 2 2 5 3 2" xfId="55286" xr:uid="{00000000-0005-0000-0000-0000DABC0000}"/>
    <cellStyle name="Normal 4 3 2 3 2 2 5 4" xfId="44227" xr:uid="{00000000-0005-0000-0000-0000DBBC0000}"/>
    <cellStyle name="Normal 4 3 2 3 2 2 6" xfId="12350" xr:uid="{00000000-0005-0000-0000-0000DCBC0000}"/>
    <cellStyle name="Normal 4 3 2 3 2 2 6 2" xfId="27354" xr:uid="{00000000-0005-0000-0000-0000DDBC0000}"/>
    <cellStyle name="Normal 4 3 2 3 2 2 6 2 2" xfId="59225" xr:uid="{00000000-0005-0000-0000-0000DEBC0000}"/>
    <cellStyle name="Normal 4 3 2 3 2 2 6 3" xfId="44229" xr:uid="{00000000-0005-0000-0000-0000DFBC0000}"/>
    <cellStyle name="Normal 4 3 2 3 2 2 7" xfId="19476" xr:uid="{00000000-0005-0000-0000-0000E0BC0000}"/>
    <cellStyle name="Normal 4 3 2 3 2 2 7 2" xfId="51347" xr:uid="{00000000-0005-0000-0000-0000E1BC0000}"/>
    <cellStyle name="Normal 4 3 2 3 2 2 8" xfId="44198" xr:uid="{00000000-0005-0000-0000-0000E2BC0000}"/>
    <cellStyle name="Normal 4 3 2 3 2 3" xfId="12351" xr:uid="{00000000-0005-0000-0000-0000E3BC0000}"/>
    <cellStyle name="Normal 4 3 2 3 2 3 2" xfId="12352" xr:uid="{00000000-0005-0000-0000-0000E4BC0000}"/>
    <cellStyle name="Normal 4 3 2 3 2 3 2 2" xfId="12353" xr:uid="{00000000-0005-0000-0000-0000E5BC0000}"/>
    <cellStyle name="Normal 4 3 2 3 2 3 2 2 2" xfId="12354" xr:uid="{00000000-0005-0000-0000-0000E6BC0000}"/>
    <cellStyle name="Normal 4 3 2 3 2 3 2 2 2 2" xfId="12355" xr:uid="{00000000-0005-0000-0000-0000E7BC0000}"/>
    <cellStyle name="Normal 4 3 2 3 2 3 2 2 2 2 2" xfId="31303" xr:uid="{00000000-0005-0000-0000-0000E8BC0000}"/>
    <cellStyle name="Normal 4 3 2 3 2 3 2 2 2 2 2 2" xfId="63174" xr:uid="{00000000-0005-0000-0000-0000E9BC0000}"/>
    <cellStyle name="Normal 4 3 2 3 2 3 2 2 2 2 3" xfId="44234" xr:uid="{00000000-0005-0000-0000-0000EABC0000}"/>
    <cellStyle name="Normal 4 3 2 3 2 3 2 2 2 3" xfId="23425" xr:uid="{00000000-0005-0000-0000-0000EBBC0000}"/>
    <cellStyle name="Normal 4 3 2 3 2 3 2 2 2 3 2" xfId="55296" xr:uid="{00000000-0005-0000-0000-0000ECBC0000}"/>
    <cellStyle name="Normal 4 3 2 3 2 3 2 2 2 4" xfId="44233" xr:uid="{00000000-0005-0000-0000-0000EDBC0000}"/>
    <cellStyle name="Normal 4 3 2 3 2 3 2 2 3" xfId="12356" xr:uid="{00000000-0005-0000-0000-0000EEBC0000}"/>
    <cellStyle name="Normal 4 3 2 3 2 3 2 2 3 2" xfId="27364" xr:uid="{00000000-0005-0000-0000-0000EFBC0000}"/>
    <cellStyle name="Normal 4 3 2 3 2 3 2 2 3 2 2" xfId="59235" xr:uid="{00000000-0005-0000-0000-0000F0BC0000}"/>
    <cellStyle name="Normal 4 3 2 3 2 3 2 2 3 3" xfId="44235" xr:uid="{00000000-0005-0000-0000-0000F1BC0000}"/>
    <cellStyle name="Normal 4 3 2 3 2 3 2 2 4" xfId="19486" xr:uid="{00000000-0005-0000-0000-0000F2BC0000}"/>
    <cellStyle name="Normal 4 3 2 3 2 3 2 2 4 2" xfId="51357" xr:uid="{00000000-0005-0000-0000-0000F3BC0000}"/>
    <cellStyle name="Normal 4 3 2 3 2 3 2 2 5" xfId="44232" xr:uid="{00000000-0005-0000-0000-0000F4BC0000}"/>
    <cellStyle name="Normal 4 3 2 3 2 3 2 3" xfId="12357" xr:uid="{00000000-0005-0000-0000-0000F5BC0000}"/>
    <cellStyle name="Normal 4 3 2 3 2 3 2 3 2" xfId="12358" xr:uid="{00000000-0005-0000-0000-0000F6BC0000}"/>
    <cellStyle name="Normal 4 3 2 3 2 3 2 3 2 2" xfId="31302" xr:uid="{00000000-0005-0000-0000-0000F7BC0000}"/>
    <cellStyle name="Normal 4 3 2 3 2 3 2 3 2 2 2" xfId="63173" xr:uid="{00000000-0005-0000-0000-0000F8BC0000}"/>
    <cellStyle name="Normal 4 3 2 3 2 3 2 3 2 3" xfId="44237" xr:uid="{00000000-0005-0000-0000-0000F9BC0000}"/>
    <cellStyle name="Normal 4 3 2 3 2 3 2 3 3" xfId="23424" xr:uid="{00000000-0005-0000-0000-0000FABC0000}"/>
    <cellStyle name="Normal 4 3 2 3 2 3 2 3 3 2" xfId="55295" xr:uid="{00000000-0005-0000-0000-0000FBBC0000}"/>
    <cellStyle name="Normal 4 3 2 3 2 3 2 3 4" xfId="44236" xr:uid="{00000000-0005-0000-0000-0000FCBC0000}"/>
    <cellStyle name="Normal 4 3 2 3 2 3 2 4" xfId="12359" xr:uid="{00000000-0005-0000-0000-0000FDBC0000}"/>
    <cellStyle name="Normal 4 3 2 3 2 3 2 4 2" xfId="27363" xr:uid="{00000000-0005-0000-0000-0000FEBC0000}"/>
    <cellStyle name="Normal 4 3 2 3 2 3 2 4 2 2" xfId="59234" xr:uid="{00000000-0005-0000-0000-0000FFBC0000}"/>
    <cellStyle name="Normal 4 3 2 3 2 3 2 4 3" xfId="44238" xr:uid="{00000000-0005-0000-0000-000000BD0000}"/>
    <cellStyle name="Normal 4 3 2 3 2 3 2 5" xfId="19485" xr:uid="{00000000-0005-0000-0000-000001BD0000}"/>
    <cellStyle name="Normal 4 3 2 3 2 3 2 5 2" xfId="51356" xr:uid="{00000000-0005-0000-0000-000002BD0000}"/>
    <cellStyle name="Normal 4 3 2 3 2 3 2 6" xfId="44231" xr:uid="{00000000-0005-0000-0000-000003BD0000}"/>
    <cellStyle name="Normal 4 3 2 3 2 3 3" xfId="12360" xr:uid="{00000000-0005-0000-0000-000004BD0000}"/>
    <cellStyle name="Normal 4 3 2 3 2 3 3 2" xfId="12361" xr:uid="{00000000-0005-0000-0000-000005BD0000}"/>
    <cellStyle name="Normal 4 3 2 3 2 3 3 2 2" xfId="12362" xr:uid="{00000000-0005-0000-0000-000006BD0000}"/>
    <cellStyle name="Normal 4 3 2 3 2 3 3 2 2 2" xfId="31304" xr:uid="{00000000-0005-0000-0000-000007BD0000}"/>
    <cellStyle name="Normal 4 3 2 3 2 3 3 2 2 2 2" xfId="63175" xr:uid="{00000000-0005-0000-0000-000008BD0000}"/>
    <cellStyle name="Normal 4 3 2 3 2 3 3 2 2 3" xfId="44241" xr:uid="{00000000-0005-0000-0000-000009BD0000}"/>
    <cellStyle name="Normal 4 3 2 3 2 3 3 2 3" xfId="23426" xr:uid="{00000000-0005-0000-0000-00000ABD0000}"/>
    <cellStyle name="Normal 4 3 2 3 2 3 3 2 3 2" xfId="55297" xr:uid="{00000000-0005-0000-0000-00000BBD0000}"/>
    <cellStyle name="Normal 4 3 2 3 2 3 3 2 4" xfId="44240" xr:uid="{00000000-0005-0000-0000-00000CBD0000}"/>
    <cellStyle name="Normal 4 3 2 3 2 3 3 3" xfId="12363" xr:uid="{00000000-0005-0000-0000-00000DBD0000}"/>
    <cellStyle name="Normal 4 3 2 3 2 3 3 3 2" xfId="27365" xr:uid="{00000000-0005-0000-0000-00000EBD0000}"/>
    <cellStyle name="Normal 4 3 2 3 2 3 3 3 2 2" xfId="59236" xr:uid="{00000000-0005-0000-0000-00000FBD0000}"/>
    <cellStyle name="Normal 4 3 2 3 2 3 3 3 3" xfId="44242" xr:uid="{00000000-0005-0000-0000-000010BD0000}"/>
    <cellStyle name="Normal 4 3 2 3 2 3 3 4" xfId="19487" xr:uid="{00000000-0005-0000-0000-000011BD0000}"/>
    <cellStyle name="Normal 4 3 2 3 2 3 3 4 2" xfId="51358" xr:uid="{00000000-0005-0000-0000-000012BD0000}"/>
    <cellStyle name="Normal 4 3 2 3 2 3 3 5" xfId="44239" xr:uid="{00000000-0005-0000-0000-000013BD0000}"/>
    <cellStyle name="Normal 4 3 2 3 2 3 4" xfId="12364" xr:uid="{00000000-0005-0000-0000-000014BD0000}"/>
    <cellStyle name="Normal 4 3 2 3 2 3 4 2" xfId="12365" xr:uid="{00000000-0005-0000-0000-000015BD0000}"/>
    <cellStyle name="Normal 4 3 2 3 2 3 4 2 2" xfId="31301" xr:uid="{00000000-0005-0000-0000-000016BD0000}"/>
    <cellStyle name="Normal 4 3 2 3 2 3 4 2 2 2" xfId="63172" xr:uid="{00000000-0005-0000-0000-000017BD0000}"/>
    <cellStyle name="Normal 4 3 2 3 2 3 4 2 3" xfId="44244" xr:uid="{00000000-0005-0000-0000-000018BD0000}"/>
    <cellStyle name="Normal 4 3 2 3 2 3 4 3" xfId="23423" xr:uid="{00000000-0005-0000-0000-000019BD0000}"/>
    <cellStyle name="Normal 4 3 2 3 2 3 4 3 2" xfId="55294" xr:uid="{00000000-0005-0000-0000-00001ABD0000}"/>
    <cellStyle name="Normal 4 3 2 3 2 3 4 4" xfId="44243" xr:uid="{00000000-0005-0000-0000-00001BBD0000}"/>
    <cellStyle name="Normal 4 3 2 3 2 3 5" xfId="12366" xr:uid="{00000000-0005-0000-0000-00001CBD0000}"/>
    <cellStyle name="Normal 4 3 2 3 2 3 5 2" xfId="27362" xr:uid="{00000000-0005-0000-0000-00001DBD0000}"/>
    <cellStyle name="Normal 4 3 2 3 2 3 5 2 2" xfId="59233" xr:uid="{00000000-0005-0000-0000-00001EBD0000}"/>
    <cellStyle name="Normal 4 3 2 3 2 3 5 3" xfId="44245" xr:uid="{00000000-0005-0000-0000-00001FBD0000}"/>
    <cellStyle name="Normal 4 3 2 3 2 3 6" xfId="19484" xr:uid="{00000000-0005-0000-0000-000020BD0000}"/>
    <cellStyle name="Normal 4 3 2 3 2 3 6 2" xfId="51355" xr:uid="{00000000-0005-0000-0000-000021BD0000}"/>
    <cellStyle name="Normal 4 3 2 3 2 3 7" xfId="44230" xr:uid="{00000000-0005-0000-0000-000022BD0000}"/>
    <cellStyle name="Normal 4 3 2 3 2 4" xfId="12367" xr:uid="{00000000-0005-0000-0000-000023BD0000}"/>
    <cellStyle name="Normal 4 3 2 3 2 4 2" xfId="12368" xr:uid="{00000000-0005-0000-0000-000024BD0000}"/>
    <cellStyle name="Normal 4 3 2 3 2 4 2 2" xfId="12369" xr:uid="{00000000-0005-0000-0000-000025BD0000}"/>
    <cellStyle name="Normal 4 3 2 3 2 4 2 2 2" xfId="12370" xr:uid="{00000000-0005-0000-0000-000026BD0000}"/>
    <cellStyle name="Normal 4 3 2 3 2 4 2 2 2 2" xfId="31306" xr:uid="{00000000-0005-0000-0000-000027BD0000}"/>
    <cellStyle name="Normal 4 3 2 3 2 4 2 2 2 2 2" xfId="63177" xr:uid="{00000000-0005-0000-0000-000028BD0000}"/>
    <cellStyle name="Normal 4 3 2 3 2 4 2 2 2 3" xfId="44249" xr:uid="{00000000-0005-0000-0000-000029BD0000}"/>
    <cellStyle name="Normal 4 3 2 3 2 4 2 2 3" xfId="23428" xr:uid="{00000000-0005-0000-0000-00002ABD0000}"/>
    <cellStyle name="Normal 4 3 2 3 2 4 2 2 3 2" xfId="55299" xr:uid="{00000000-0005-0000-0000-00002BBD0000}"/>
    <cellStyle name="Normal 4 3 2 3 2 4 2 2 4" xfId="44248" xr:uid="{00000000-0005-0000-0000-00002CBD0000}"/>
    <cellStyle name="Normal 4 3 2 3 2 4 2 3" xfId="12371" xr:uid="{00000000-0005-0000-0000-00002DBD0000}"/>
    <cellStyle name="Normal 4 3 2 3 2 4 2 3 2" xfId="27367" xr:uid="{00000000-0005-0000-0000-00002EBD0000}"/>
    <cellStyle name="Normal 4 3 2 3 2 4 2 3 2 2" xfId="59238" xr:uid="{00000000-0005-0000-0000-00002FBD0000}"/>
    <cellStyle name="Normal 4 3 2 3 2 4 2 3 3" xfId="44250" xr:uid="{00000000-0005-0000-0000-000030BD0000}"/>
    <cellStyle name="Normal 4 3 2 3 2 4 2 4" xfId="19489" xr:uid="{00000000-0005-0000-0000-000031BD0000}"/>
    <cellStyle name="Normal 4 3 2 3 2 4 2 4 2" xfId="51360" xr:uid="{00000000-0005-0000-0000-000032BD0000}"/>
    <cellStyle name="Normal 4 3 2 3 2 4 2 5" xfId="44247" xr:uid="{00000000-0005-0000-0000-000033BD0000}"/>
    <cellStyle name="Normal 4 3 2 3 2 4 3" xfId="12372" xr:uid="{00000000-0005-0000-0000-000034BD0000}"/>
    <cellStyle name="Normal 4 3 2 3 2 4 3 2" xfId="12373" xr:uid="{00000000-0005-0000-0000-000035BD0000}"/>
    <cellStyle name="Normal 4 3 2 3 2 4 3 2 2" xfId="31305" xr:uid="{00000000-0005-0000-0000-000036BD0000}"/>
    <cellStyle name="Normal 4 3 2 3 2 4 3 2 2 2" xfId="63176" xr:uid="{00000000-0005-0000-0000-000037BD0000}"/>
    <cellStyle name="Normal 4 3 2 3 2 4 3 2 3" xfId="44252" xr:uid="{00000000-0005-0000-0000-000038BD0000}"/>
    <cellStyle name="Normal 4 3 2 3 2 4 3 3" xfId="23427" xr:uid="{00000000-0005-0000-0000-000039BD0000}"/>
    <cellStyle name="Normal 4 3 2 3 2 4 3 3 2" xfId="55298" xr:uid="{00000000-0005-0000-0000-00003ABD0000}"/>
    <cellStyle name="Normal 4 3 2 3 2 4 3 4" xfId="44251" xr:uid="{00000000-0005-0000-0000-00003BBD0000}"/>
    <cellStyle name="Normal 4 3 2 3 2 4 4" xfId="12374" xr:uid="{00000000-0005-0000-0000-00003CBD0000}"/>
    <cellStyle name="Normal 4 3 2 3 2 4 4 2" xfId="27366" xr:uid="{00000000-0005-0000-0000-00003DBD0000}"/>
    <cellStyle name="Normal 4 3 2 3 2 4 4 2 2" xfId="59237" xr:uid="{00000000-0005-0000-0000-00003EBD0000}"/>
    <cellStyle name="Normal 4 3 2 3 2 4 4 3" xfId="44253" xr:uid="{00000000-0005-0000-0000-00003FBD0000}"/>
    <cellStyle name="Normal 4 3 2 3 2 4 5" xfId="19488" xr:uid="{00000000-0005-0000-0000-000040BD0000}"/>
    <cellStyle name="Normal 4 3 2 3 2 4 5 2" xfId="51359" xr:uid="{00000000-0005-0000-0000-000041BD0000}"/>
    <cellStyle name="Normal 4 3 2 3 2 4 6" xfId="44246" xr:uid="{00000000-0005-0000-0000-000042BD0000}"/>
    <cellStyle name="Normal 4 3 2 3 2 5" xfId="12375" xr:uid="{00000000-0005-0000-0000-000043BD0000}"/>
    <cellStyle name="Normal 4 3 2 3 2 5 2" xfId="12376" xr:uid="{00000000-0005-0000-0000-000044BD0000}"/>
    <cellStyle name="Normal 4 3 2 3 2 5 2 2" xfId="12377" xr:uid="{00000000-0005-0000-0000-000045BD0000}"/>
    <cellStyle name="Normal 4 3 2 3 2 5 2 2 2" xfId="31307" xr:uid="{00000000-0005-0000-0000-000046BD0000}"/>
    <cellStyle name="Normal 4 3 2 3 2 5 2 2 2 2" xfId="63178" xr:uid="{00000000-0005-0000-0000-000047BD0000}"/>
    <cellStyle name="Normal 4 3 2 3 2 5 2 2 3" xfId="44256" xr:uid="{00000000-0005-0000-0000-000048BD0000}"/>
    <cellStyle name="Normal 4 3 2 3 2 5 2 3" xfId="23429" xr:uid="{00000000-0005-0000-0000-000049BD0000}"/>
    <cellStyle name="Normal 4 3 2 3 2 5 2 3 2" xfId="55300" xr:uid="{00000000-0005-0000-0000-00004ABD0000}"/>
    <cellStyle name="Normal 4 3 2 3 2 5 2 4" xfId="44255" xr:uid="{00000000-0005-0000-0000-00004BBD0000}"/>
    <cellStyle name="Normal 4 3 2 3 2 5 3" xfId="12378" xr:uid="{00000000-0005-0000-0000-00004CBD0000}"/>
    <cellStyle name="Normal 4 3 2 3 2 5 3 2" xfId="27368" xr:uid="{00000000-0005-0000-0000-00004DBD0000}"/>
    <cellStyle name="Normal 4 3 2 3 2 5 3 2 2" xfId="59239" xr:uid="{00000000-0005-0000-0000-00004EBD0000}"/>
    <cellStyle name="Normal 4 3 2 3 2 5 3 3" xfId="44257" xr:uid="{00000000-0005-0000-0000-00004FBD0000}"/>
    <cellStyle name="Normal 4 3 2 3 2 5 4" xfId="19490" xr:uid="{00000000-0005-0000-0000-000050BD0000}"/>
    <cellStyle name="Normal 4 3 2 3 2 5 4 2" xfId="51361" xr:uid="{00000000-0005-0000-0000-000051BD0000}"/>
    <cellStyle name="Normal 4 3 2 3 2 5 5" xfId="44254" xr:uid="{00000000-0005-0000-0000-000052BD0000}"/>
    <cellStyle name="Normal 4 3 2 3 2 6" xfId="12379" xr:uid="{00000000-0005-0000-0000-000053BD0000}"/>
    <cellStyle name="Normal 4 3 2 3 2 6 2" xfId="12380" xr:uid="{00000000-0005-0000-0000-000054BD0000}"/>
    <cellStyle name="Normal 4 3 2 3 2 6 2 2" xfId="28436" xr:uid="{00000000-0005-0000-0000-000055BD0000}"/>
    <cellStyle name="Normal 4 3 2 3 2 6 2 2 2" xfId="60307" xr:uid="{00000000-0005-0000-0000-000056BD0000}"/>
    <cellStyle name="Normal 4 3 2 3 2 6 2 3" xfId="44259" xr:uid="{00000000-0005-0000-0000-000057BD0000}"/>
    <cellStyle name="Normal 4 3 2 3 2 6 3" xfId="20558" xr:uid="{00000000-0005-0000-0000-000058BD0000}"/>
    <cellStyle name="Normal 4 3 2 3 2 6 3 2" xfId="52429" xr:uid="{00000000-0005-0000-0000-000059BD0000}"/>
    <cellStyle name="Normal 4 3 2 3 2 6 4" xfId="44258" xr:uid="{00000000-0005-0000-0000-00005ABD0000}"/>
    <cellStyle name="Normal 4 3 2 3 2 7" xfId="12381" xr:uid="{00000000-0005-0000-0000-00005BBD0000}"/>
    <cellStyle name="Normal 4 3 2 3 2 7 2" xfId="24497" xr:uid="{00000000-0005-0000-0000-00005CBD0000}"/>
    <cellStyle name="Normal 4 3 2 3 2 7 2 2" xfId="56368" xr:uid="{00000000-0005-0000-0000-00005DBD0000}"/>
    <cellStyle name="Normal 4 3 2 3 2 7 3" xfId="44260" xr:uid="{00000000-0005-0000-0000-00005EBD0000}"/>
    <cellStyle name="Normal 4 3 2 3 2 8" xfId="16619" xr:uid="{00000000-0005-0000-0000-00005FBD0000}"/>
    <cellStyle name="Normal 4 3 2 3 2 8 2" xfId="48490" xr:uid="{00000000-0005-0000-0000-000060BD0000}"/>
    <cellStyle name="Normal 4 3 2 3 2 9" xfId="44197" xr:uid="{00000000-0005-0000-0000-000061BD0000}"/>
    <cellStyle name="Normal 4 3 2 3 3" xfId="12382" xr:uid="{00000000-0005-0000-0000-000062BD0000}"/>
    <cellStyle name="Normal 4 3 2 3 3 2" xfId="12383" xr:uid="{00000000-0005-0000-0000-000063BD0000}"/>
    <cellStyle name="Normal 4 3 2 3 3 2 2" xfId="12384" xr:uid="{00000000-0005-0000-0000-000064BD0000}"/>
    <cellStyle name="Normal 4 3 2 3 3 2 2 2" xfId="12385" xr:uid="{00000000-0005-0000-0000-000065BD0000}"/>
    <cellStyle name="Normal 4 3 2 3 3 2 2 2 2" xfId="12386" xr:uid="{00000000-0005-0000-0000-000066BD0000}"/>
    <cellStyle name="Normal 4 3 2 3 3 2 2 2 2 2" xfId="12387" xr:uid="{00000000-0005-0000-0000-000067BD0000}"/>
    <cellStyle name="Normal 4 3 2 3 3 2 2 2 2 2 2" xfId="31311" xr:uid="{00000000-0005-0000-0000-000068BD0000}"/>
    <cellStyle name="Normal 4 3 2 3 3 2 2 2 2 2 2 2" xfId="63182" xr:uid="{00000000-0005-0000-0000-000069BD0000}"/>
    <cellStyle name="Normal 4 3 2 3 3 2 2 2 2 2 3" xfId="44266" xr:uid="{00000000-0005-0000-0000-00006ABD0000}"/>
    <cellStyle name="Normal 4 3 2 3 3 2 2 2 2 3" xfId="23433" xr:uid="{00000000-0005-0000-0000-00006BBD0000}"/>
    <cellStyle name="Normal 4 3 2 3 3 2 2 2 2 3 2" xfId="55304" xr:uid="{00000000-0005-0000-0000-00006CBD0000}"/>
    <cellStyle name="Normal 4 3 2 3 3 2 2 2 2 4" xfId="44265" xr:uid="{00000000-0005-0000-0000-00006DBD0000}"/>
    <cellStyle name="Normal 4 3 2 3 3 2 2 2 3" xfId="12388" xr:uid="{00000000-0005-0000-0000-00006EBD0000}"/>
    <cellStyle name="Normal 4 3 2 3 3 2 2 2 3 2" xfId="27372" xr:uid="{00000000-0005-0000-0000-00006FBD0000}"/>
    <cellStyle name="Normal 4 3 2 3 3 2 2 2 3 2 2" xfId="59243" xr:uid="{00000000-0005-0000-0000-000070BD0000}"/>
    <cellStyle name="Normal 4 3 2 3 3 2 2 2 3 3" xfId="44267" xr:uid="{00000000-0005-0000-0000-000071BD0000}"/>
    <cellStyle name="Normal 4 3 2 3 3 2 2 2 4" xfId="19494" xr:uid="{00000000-0005-0000-0000-000072BD0000}"/>
    <cellStyle name="Normal 4 3 2 3 3 2 2 2 4 2" xfId="51365" xr:uid="{00000000-0005-0000-0000-000073BD0000}"/>
    <cellStyle name="Normal 4 3 2 3 3 2 2 2 5" xfId="44264" xr:uid="{00000000-0005-0000-0000-000074BD0000}"/>
    <cellStyle name="Normal 4 3 2 3 3 2 2 3" xfId="12389" xr:uid="{00000000-0005-0000-0000-000075BD0000}"/>
    <cellStyle name="Normal 4 3 2 3 3 2 2 3 2" xfId="12390" xr:uid="{00000000-0005-0000-0000-000076BD0000}"/>
    <cellStyle name="Normal 4 3 2 3 3 2 2 3 2 2" xfId="31310" xr:uid="{00000000-0005-0000-0000-000077BD0000}"/>
    <cellStyle name="Normal 4 3 2 3 3 2 2 3 2 2 2" xfId="63181" xr:uid="{00000000-0005-0000-0000-000078BD0000}"/>
    <cellStyle name="Normal 4 3 2 3 3 2 2 3 2 3" xfId="44269" xr:uid="{00000000-0005-0000-0000-000079BD0000}"/>
    <cellStyle name="Normal 4 3 2 3 3 2 2 3 3" xfId="23432" xr:uid="{00000000-0005-0000-0000-00007ABD0000}"/>
    <cellStyle name="Normal 4 3 2 3 3 2 2 3 3 2" xfId="55303" xr:uid="{00000000-0005-0000-0000-00007BBD0000}"/>
    <cellStyle name="Normal 4 3 2 3 3 2 2 3 4" xfId="44268" xr:uid="{00000000-0005-0000-0000-00007CBD0000}"/>
    <cellStyle name="Normal 4 3 2 3 3 2 2 4" xfId="12391" xr:uid="{00000000-0005-0000-0000-00007DBD0000}"/>
    <cellStyle name="Normal 4 3 2 3 3 2 2 4 2" xfId="27371" xr:uid="{00000000-0005-0000-0000-00007EBD0000}"/>
    <cellStyle name="Normal 4 3 2 3 3 2 2 4 2 2" xfId="59242" xr:uid="{00000000-0005-0000-0000-00007FBD0000}"/>
    <cellStyle name="Normal 4 3 2 3 3 2 2 4 3" xfId="44270" xr:uid="{00000000-0005-0000-0000-000080BD0000}"/>
    <cellStyle name="Normal 4 3 2 3 3 2 2 5" xfId="19493" xr:uid="{00000000-0005-0000-0000-000081BD0000}"/>
    <cellStyle name="Normal 4 3 2 3 3 2 2 5 2" xfId="51364" xr:uid="{00000000-0005-0000-0000-000082BD0000}"/>
    <cellStyle name="Normal 4 3 2 3 3 2 2 6" xfId="44263" xr:uid="{00000000-0005-0000-0000-000083BD0000}"/>
    <cellStyle name="Normal 4 3 2 3 3 2 3" xfId="12392" xr:uid="{00000000-0005-0000-0000-000084BD0000}"/>
    <cellStyle name="Normal 4 3 2 3 3 2 3 2" xfId="12393" xr:uid="{00000000-0005-0000-0000-000085BD0000}"/>
    <cellStyle name="Normal 4 3 2 3 3 2 3 2 2" xfId="12394" xr:uid="{00000000-0005-0000-0000-000086BD0000}"/>
    <cellStyle name="Normal 4 3 2 3 3 2 3 2 2 2" xfId="31312" xr:uid="{00000000-0005-0000-0000-000087BD0000}"/>
    <cellStyle name="Normal 4 3 2 3 3 2 3 2 2 2 2" xfId="63183" xr:uid="{00000000-0005-0000-0000-000088BD0000}"/>
    <cellStyle name="Normal 4 3 2 3 3 2 3 2 2 3" xfId="44273" xr:uid="{00000000-0005-0000-0000-000089BD0000}"/>
    <cellStyle name="Normal 4 3 2 3 3 2 3 2 3" xfId="23434" xr:uid="{00000000-0005-0000-0000-00008ABD0000}"/>
    <cellStyle name="Normal 4 3 2 3 3 2 3 2 3 2" xfId="55305" xr:uid="{00000000-0005-0000-0000-00008BBD0000}"/>
    <cellStyle name="Normal 4 3 2 3 3 2 3 2 4" xfId="44272" xr:uid="{00000000-0005-0000-0000-00008CBD0000}"/>
    <cellStyle name="Normal 4 3 2 3 3 2 3 3" xfId="12395" xr:uid="{00000000-0005-0000-0000-00008DBD0000}"/>
    <cellStyle name="Normal 4 3 2 3 3 2 3 3 2" xfId="27373" xr:uid="{00000000-0005-0000-0000-00008EBD0000}"/>
    <cellStyle name="Normal 4 3 2 3 3 2 3 3 2 2" xfId="59244" xr:uid="{00000000-0005-0000-0000-00008FBD0000}"/>
    <cellStyle name="Normal 4 3 2 3 3 2 3 3 3" xfId="44274" xr:uid="{00000000-0005-0000-0000-000090BD0000}"/>
    <cellStyle name="Normal 4 3 2 3 3 2 3 4" xfId="19495" xr:uid="{00000000-0005-0000-0000-000091BD0000}"/>
    <cellStyle name="Normal 4 3 2 3 3 2 3 4 2" xfId="51366" xr:uid="{00000000-0005-0000-0000-000092BD0000}"/>
    <cellStyle name="Normal 4 3 2 3 3 2 3 5" xfId="44271" xr:uid="{00000000-0005-0000-0000-000093BD0000}"/>
    <cellStyle name="Normal 4 3 2 3 3 2 4" xfId="12396" xr:uid="{00000000-0005-0000-0000-000094BD0000}"/>
    <cellStyle name="Normal 4 3 2 3 3 2 4 2" xfId="12397" xr:uid="{00000000-0005-0000-0000-000095BD0000}"/>
    <cellStyle name="Normal 4 3 2 3 3 2 4 2 2" xfId="31309" xr:uid="{00000000-0005-0000-0000-000096BD0000}"/>
    <cellStyle name="Normal 4 3 2 3 3 2 4 2 2 2" xfId="63180" xr:uid="{00000000-0005-0000-0000-000097BD0000}"/>
    <cellStyle name="Normal 4 3 2 3 3 2 4 2 3" xfId="44276" xr:uid="{00000000-0005-0000-0000-000098BD0000}"/>
    <cellStyle name="Normal 4 3 2 3 3 2 4 3" xfId="23431" xr:uid="{00000000-0005-0000-0000-000099BD0000}"/>
    <cellStyle name="Normal 4 3 2 3 3 2 4 3 2" xfId="55302" xr:uid="{00000000-0005-0000-0000-00009ABD0000}"/>
    <cellStyle name="Normal 4 3 2 3 3 2 4 4" xfId="44275" xr:uid="{00000000-0005-0000-0000-00009BBD0000}"/>
    <cellStyle name="Normal 4 3 2 3 3 2 5" xfId="12398" xr:uid="{00000000-0005-0000-0000-00009CBD0000}"/>
    <cellStyle name="Normal 4 3 2 3 3 2 5 2" xfId="27370" xr:uid="{00000000-0005-0000-0000-00009DBD0000}"/>
    <cellStyle name="Normal 4 3 2 3 3 2 5 2 2" xfId="59241" xr:uid="{00000000-0005-0000-0000-00009EBD0000}"/>
    <cellStyle name="Normal 4 3 2 3 3 2 5 3" xfId="44277" xr:uid="{00000000-0005-0000-0000-00009FBD0000}"/>
    <cellStyle name="Normal 4 3 2 3 3 2 6" xfId="19492" xr:uid="{00000000-0005-0000-0000-0000A0BD0000}"/>
    <cellStyle name="Normal 4 3 2 3 3 2 6 2" xfId="51363" xr:uid="{00000000-0005-0000-0000-0000A1BD0000}"/>
    <cellStyle name="Normal 4 3 2 3 3 2 7" xfId="44262" xr:uid="{00000000-0005-0000-0000-0000A2BD0000}"/>
    <cellStyle name="Normal 4 3 2 3 3 3" xfId="12399" xr:uid="{00000000-0005-0000-0000-0000A3BD0000}"/>
    <cellStyle name="Normal 4 3 2 3 3 3 2" xfId="12400" xr:uid="{00000000-0005-0000-0000-0000A4BD0000}"/>
    <cellStyle name="Normal 4 3 2 3 3 3 2 2" xfId="12401" xr:uid="{00000000-0005-0000-0000-0000A5BD0000}"/>
    <cellStyle name="Normal 4 3 2 3 3 3 2 2 2" xfId="12402" xr:uid="{00000000-0005-0000-0000-0000A6BD0000}"/>
    <cellStyle name="Normal 4 3 2 3 3 3 2 2 2 2" xfId="31314" xr:uid="{00000000-0005-0000-0000-0000A7BD0000}"/>
    <cellStyle name="Normal 4 3 2 3 3 3 2 2 2 2 2" xfId="63185" xr:uid="{00000000-0005-0000-0000-0000A8BD0000}"/>
    <cellStyle name="Normal 4 3 2 3 3 3 2 2 2 3" xfId="44281" xr:uid="{00000000-0005-0000-0000-0000A9BD0000}"/>
    <cellStyle name="Normal 4 3 2 3 3 3 2 2 3" xfId="23436" xr:uid="{00000000-0005-0000-0000-0000AABD0000}"/>
    <cellStyle name="Normal 4 3 2 3 3 3 2 2 3 2" xfId="55307" xr:uid="{00000000-0005-0000-0000-0000ABBD0000}"/>
    <cellStyle name="Normal 4 3 2 3 3 3 2 2 4" xfId="44280" xr:uid="{00000000-0005-0000-0000-0000ACBD0000}"/>
    <cellStyle name="Normal 4 3 2 3 3 3 2 3" xfId="12403" xr:uid="{00000000-0005-0000-0000-0000ADBD0000}"/>
    <cellStyle name="Normal 4 3 2 3 3 3 2 3 2" xfId="27375" xr:uid="{00000000-0005-0000-0000-0000AEBD0000}"/>
    <cellStyle name="Normal 4 3 2 3 3 3 2 3 2 2" xfId="59246" xr:uid="{00000000-0005-0000-0000-0000AFBD0000}"/>
    <cellStyle name="Normal 4 3 2 3 3 3 2 3 3" xfId="44282" xr:uid="{00000000-0005-0000-0000-0000B0BD0000}"/>
    <cellStyle name="Normal 4 3 2 3 3 3 2 4" xfId="19497" xr:uid="{00000000-0005-0000-0000-0000B1BD0000}"/>
    <cellStyle name="Normal 4 3 2 3 3 3 2 4 2" xfId="51368" xr:uid="{00000000-0005-0000-0000-0000B2BD0000}"/>
    <cellStyle name="Normal 4 3 2 3 3 3 2 5" xfId="44279" xr:uid="{00000000-0005-0000-0000-0000B3BD0000}"/>
    <cellStyle name="Normal 4 3 2 3 3 3 3" xfId="12404" xr:uid="{00000000-0005-0000-0000-0000B4BD0000}"/>
    <cellStyle name="Normal 4 3 2 3 3 3 3 2" xfId="12405" xr:uid="{00000000-0005-0000-0000-0000B5BD0000}"/>
    <cellStyle name="Normal 4 3 2 3 3 3 3 2 2" xfId="31313" xr:uid="{00000000-0005-0000-0000-0000B6BD0000}"/>
    <cellStyle name="Normal 4 3 2 3 3 3 3 2 2 2" xfId="63184" xr:uid="{00000000-0005-0000-0000-0000B7BD0000}"/>
    <cellStyle name="Normal 4 3 2 3 3 3 3 2 3" xfId="44284" xr:uid="{00000000-0005-0000-0000-0000B8BD0000}"/>
    <cellStyle name="Normal 4 3 2 3 3 3 3 3" xfId="23435" xr:uid="{00000000-0005-0000-0000-0000B9BD0000}"/>
    <cellStyle name="Normal 4 3 2 3 3 3 3 3 2" xfId="55306" xr:uid="{00000000-0005-0000-0000-0000BABD0000}"/>
    <cellStyle name="Normal 4 3 2 3 3 3 3 4" xfId="44283" xr:uid="{00000000-0005-0000-0000-0000BBBD0000}"/>
    <cellStyle name="Normal 4 3 2 3 3 3 4" xfId="12406" xr:uid="{00000000-0005-0000-0000-0000BCBD0000}"/>
    <cellStyle name="Normal 4 3 2 3 3 3 4 2" xfId="27374" xr:uid="{00000000-0005-0000-0000-0000BDBD0000}"/>
    <cellStyle name="Normal 4 3 2 3 3 3 4 2 2" xfId="59245" xr:uid="{00000000-0005-0000-0000-0000BEBD0000}"/>
    <cellStyle name="Normal 4 3 2 3 3 3 4 3" xfId="44285" xr:uid="{00000000-0005-0000-0000-0000BFBD0000}"/>
    <cellStyle name="Normal 4 3 2 3 3 3 5" xfId="19496" xr:uid="{00000000-0005-0000-0000-0000C0BD0000}"/>
    <cellStyle name="Normal 4 3 2 3 3 3 5 2" xfId="51367" xr:uid="{00000000-0005-0000-0000-0000C1BD0000}"/>
    <cellStyle name="Normal 4 3 2 3 3 3 6" xfId="44278" xr:uid="{00000000-0005-0000-0000-0000C2BD0000}"/>
    <cellStyle name="Normal 4 3 2 3 3 4" xfId="12407" xr:uid="{00000000-0005-0000-0000-0000C3BD0000}"/>
    <cellStyle name="Normal 4 3 2 3 3 4 2" xfId="12408" xr:uid="{00000000-0005-0000-0000-0000C4BD0000}"/>
    <cellStyle name="Normal 4 3 2 3 3 4 2 2" xfId="12409" xr:uid="{00000000-0005-0000-0000-0000C5BD0000}"/>
    <cellStyle name="Normal 4 3 2 3 3 4 2 2 2" xfId="31315" xr:uid="{00000000-0005-0000-0000-0000C6BD0000}"/>
    <cellStyle name="Normal 4 3 2 3 3 4 2 2 2 2" xfId="63186" xr:uid="{00000000-0005-0000-0000-0000C7BD0000}"/>
    <cellStyle name="Normal 4 3 2 3 3 4 2 2 3" xfId="44288" xr:uid="{00000000-0005-0000-0000-0000C8BD0000}"/>
    <cellStyle name="Normal 4 3 2 3 3 4 2 3" xfId="23437" xr:uid="{00000000-0005-0000-0000-0000C9BD0000}"/>
    <cellStyle name="Normal 4 3 2 3 3 4 2 3 2" xfId="55308" xr:uid="{00000000-0005-0000-0000-0000CABD0000}"/>
    <cellStyle name="Normal 4 3 2 3 3 4 2 4" xfId="44287" xr:uid="{00000000-0005-0000-0000-0000CBBD0000}"/>
    <cellStyle name="Normal 4 3 2 3 3 4 3" xfId="12410" xr:uid="{00000000-0005-0000-0000-0000CCBD0000}"/>
    <cellStyle name="Normal 4 3 2 3 3 4 3 2" xfId="27376" xr:uid="{00000000-0005-0000-0000-0000CDBD0000}"/>
    <cellStyle name="Normal 4 3 2 3 3 4 3 2 2" xfId="59247" xr:uid="{00000000-0005-0000-0000-0000CEBD0000}"/>
    <cellStyle name="Normal 4 3 2 3 3 4 3 3" xfId="44289" xr:uid="{00000000-0005-0000-0000-0000CFBD0000}"/>
    <cellStyle name="Normal 4 3 2 3 3 4 4" xfId="19498" xr:uid="{00000000-0005-0000-0000-0000D0BD0000}"/>
    <cellStyle name="Normal 4 3 2 3 3 4 4 2" xfId="51369" xr:uid="{00000000-0005-0000-0000-0000D1BD0000}"/>
    <cellStyle name="Normal 4 3 2 3 3 4 5" xfId="44286" xr:uid="{00000000-0005-0000-0000-0000D2BD0000}"/>
    <cellStyle name="Normal 4 3 2 3 3 5" xfId="12411" xr:uid="{00000000-0005-0000-0000-0000D3BD0000}"/>
    <cellStyle name="Normal 4 3 2 3 3 5 2" xfId="12412" xr:uid="{00000000-0005-0000-0000-0000D4BD0000}"/>
    <cellStyle name="Normal 4 3 2 3 3 5 2 2" xfId="31308" xr:uid="{00000000-0005-0000-0000-0000D5BD0000}"/>
    <cellStyle name="Normal 4 3 2 3 3 5 2 2 2" xfId="63179" xr:uid="{00000000-0005-0000-0000-0000D6BD0000}"/>
    <cellStyle name="Normal 4 3 2 3 3 5 2 3" xfId="44291" xr:uid="{00000000-0005-0000-0000-0000D7BD0000}"/>
    <cellStyle name="Normal 4 3 2 3 3 5 3" xfId="23430" xr:uid="{00000000-0005-0000-0000-0000D8BD0000}"/>
    <cellStyle name="Normal 4 3 2 3 3 5 3 2" xfId="55301" xr:uid="{00000000-0005-0000-0000-0000D9BD0000}"/>
    <cellStyle name="Normal 4 3 2 3 3 5 4" xfId="44290" xr:uid="{00000000-0005-0000-0000-0000DABD0000}"/>
    <cellStyle name="Normal 4 3 2 3 3 6" xfId="12413" xr:uid="{00000000-0005-0000-0000-0000DBBD0000}"/>
    <cellStyle name="Normal 4 3 2 3 3 6 2" xfId="27369" xr:uid="{00000000-0005-0000-0000-0000DCBD0000}"/>
    <cellStyle name="Normal 4 3 2 3 3 6 2 2" xfId="59240" xr:uid="{00000000-0005-0000-0000-0000DDBD0000}"/>
    <cellStyle name="Normal 4 3 2 3 3 6 3" xfId="44292" xr:uid="{00000000-0005-0000-0000-0000DEBD0000}"/>
    <cellStyle name="Normal 4 3 2 3 3 7" xfId="19491" xr:uid="{00000000-0005-0000-0000-0000DFBD0000}"/>
    <cellStyle name="Normal 4 3 2 3 3 7 2" xfId="51362" xr:uid="{00000000-0005-0000-0000-0000E0BD0000}"/>
    <cellStyle name="Normal 4 3 2 3 3 8" xfId="44261" xr:uid="{00000000-0005-0000-0000-0000E1BD0000}"/>
    <cellStyle name="Normal 4 3 2 3 4" xfId="12414" xr:uid="{00000000-0005-0000-0000-0000E2BD0000}"/>
    <cellStyle name="Normal 4 3 2 3 4 2" xfId="12415" xr:uid="{00000000-0005-0000-0000-0000E3BD0000}"/>
    <cellStyle name="Normal 4 3 2 3 4 2 2" xfId="12416" xr:uid="{00000000-0005-0000-0000-0000E4BD0000}"/>
    <cellStyle name="Normal 4 3 2 3 4 2 2 2" xfId="12417" xr:uid="{00000000-0005-0000-0000-0000E5BD0000}"/>
    <cellStyle name="Normal 4 3 2 3 4 2 2 2 2" xfId="12418" xr:uid="{00000000-0005-0000-0000-0000E6BD0000}"/>
    <cellStyle name="Normal 4 3 2 3 4 2 2 2 2 2" xfId="31318" xr:uid="{00000000-0005-0000-0000-0000E7BD0000}"/>
    <cellStyle name="Normal 4 3 2 3 4 2 2 2 2 2 2" xfId="63189" xr:uid="{00000000-0005-0000-0000-0000E8BD0000}"/>
    <cellStyle name="Normal 4 3 2 3 4 2 2 2 2 3" xfId="44297" xr:uid="{00000000-0005-0000-0000-0000E9BD0000}"/>
    <cellStyle name="Normal 4 3 2 3 4 2 2 2 3" xfId="23440" xr:uid="{00000000-0005-0000-0000-0000EABD0000}"/>
    <cellStyle name="Normal 4 3 2 3 4 2 2 2 3 2" xfId="55311" xr:uid="{00000000-0005-0000-0000-0000EBBD0000}"/>
    <cellStyle name="Normal 4 3 2 3 4 2 2 2 4" xfId="44296" xr:uid="{00000000-0005-0000-0000-0000ECBD0000}"/>
    <cellStyle name="Normal 4 3 2 3 4 2 2 3" xfId="12419" xr:uid="{00000000-0005-0000-0000-0000EDBD0000}"/>
    <cellStyle name="Normal 4 3 2 3 4 2 2 3 2" xfId="27379" xr:uid="{00000000-0005-0000-0000-0000EEBD0000}"/>
    <cellStyle name="Normal 4 3 2 3 4 2 2 3 2 2" xfId="59250" xr:uid="{00000000-0005-0000-0000-0000EFBD0000}"/>
    <cellStyle name="Normal 4 3 2 3 4 2 2 3 3" xfId="44298" xr:uid="{00000000-0005-0000-0000-0000F0BD0000}"/>
    <cellStyle name="Normal 4 3 2 3 4 2 2 4" xfId="19501" xr:uid="{00000000-0005-0000-0000-0000F1BD0000}"/>
    <cellStyle name="Normal 4 3 2 3 4 2 2 4 2" xfId="51372" xr:uid="{00000000-0005-0000-0000-0000F2BD0000}"/>
    <cellStyle name="Normal 4 3 2 3 4 2 2 5" xfId="44295" xr:uid="{00000000-0005-0000-0000-0000F3BD0000}"/>
    <cellStyle name="Normal 4 3 2 3 4 2 3" xfId="12420" xr:uid="{00000000-0005-0000-0000-0000F4BD0000}"/>
    <cellStyle name="Normal 4 3 2 3 4 2 3 2" xfId="12421" xr:uid="{00000000-0005-0000-0000-0000F5BD0000}"/>
    <cellStyle name="Normal 4 3 2 3 4 2 3 2 2" xfId="31317" xr:uid="{00000000-0005-0000-0000-0000F6BD0000}"/>
    <cellStyle name="Normal 4 3 2 3 4 2 3 2 2 2" xfId="63188" xr:uid="{00000000-0005-0000-0000-0000F7BD0000}"/>
    <cellStyle name="Normal 4 3 2 3 4 2 3 2 3" xfId="44300" xr:uid="{00000000-0005-0000-0000-0000F8BD0000}"/>
    <cellStyle name="Normal 4 3 2 3 4 2 3 3" xfId="23439" xr:uid="{00000000-0005-0000-0000-0000F9BD0000}"/>
    <cellStyle name="Normal 4 3 2 3 4 2 3 3 2" xfId="55310" xr:uid="{00000000-0005-0000-0000-0000FABD0000}"/>
    <cellStyle name="Normal 4 3 2 3 4 2 3 4" xfId="44299" xr:uid="{00000000-0005-0000-0000-0000FBBD0000}"/>
    <cellStyle name="Normal 4 3 2 3 4 2 4" xfId="12422" xr:uid="{00000000-0005-0000-0000-0000FCBD0000}"/>
    <cellStyle name="Normal 4 3 2 3 4 2 4 2" xfId="27378" xr:uid="{00000000-0005-0000-0000-0000FDBD0000}"/>
    <cellStyle name="Normal 4 3 2 3 4 2 4 2 2" xfId="59249" xr:uid="{00000000-0005-0000-0000-0000FEBD0000}"/>
    <cellStyle name="Normal 4 3 2 3 4 2 4 3" xfId="44301" xr:uid="{00000000-0005-0000-0000-0000FFBD0000}"/>
    <cellStyle name="Normal 4 3 2 3 4 2 5" xfId="19500" xr:uid="{00000000-0005-0000-0000-000000BE0000}"/>
    <cellStyle name="Normal 4 3 2 3 4 2 5 2" xfId="51371" xr:uid="{00000000-0005-0000-0000-000001BE0000}"/>
    <cellStyle name="Normal 4 3 2 3 4 2 6" xfId="44294" xr:uid="{00000000-0005-0000-0000-000002BE0000}"/>
    <cellStyle name="Normal 4 3 2 3 4 3" xfId="12423" xr:uid="{00000000-0005-0000-0000-000003BE0000}"/>
    <cellStyle name="Normal 4 3 2 3 4 3 2" xfId="12424" xr:uid="{00000000-0005-0000-0000-000004BE0000}"/>
    <cellStyle name="Normal 4 3 2 3 4 3 2 2" xfId="12425" xr:uid="{00000000-0005-0000-0000-000005BE0000}"/>
    <cellStyle name="Normal 4 3 2 3 4 3 2 2 2" xfId="31319" xr:uid="{00000000-0005-0000-0000-000006BE0000}"/>
    <cellStyle name="Normal 4 3 2 3 4 3 2 2 2 2" xfId="63190" xr:uid="{00000000-0005-0000-0000-000007BE0000}"/>
    <cellStyle name="Normal 4 3 2 3 4 3 2 2 3" xfId="44304" xr:uid="{00000000-0005-0000-0000-000008BE0000}"/>
    <cellStyle name="Normal 4 3 2 3 4 3 2 3" xfId="23441" xr:uid="{00000000-0005-0000-0000-000009BE0000}"/>
    <cellStyle name="Normal 4 3 2 3 4 3 2 3 2" xfId="55312" xr:uid="{00000000-0005-0000-0000-00000ABE0000}"/>
    <cellStyle name="Normal 4 3 2 3 4 3 2 4" xfId="44303" xr:uid="{00000000-0005-0000-0000-00000BBE0000}"/>
    <cellStyle name="Normal 4 3 2 3 4 3 3" xfId="12426" xr:uid="{00000000-0005-0000-0000-00000CBE0000}"/>
    <cellStyle name="Normal 4 3 2 3 4 3 3 2" xfId="27380" xr:uid="{00000000-0005-0000-0000-00000DBE0000}"/>
    <cellStyle name="Normal 4 3 2 3 4 3 3 2 2" xfId="59251" xr:uid="{00000000-0005-0000-0000-00000EBE0000}"/>
    <cellStyle name="Normal 4 3 2 3 4 3 3 3" xfId="44305" xr:uid="{00000000-0005-0000-0000-00000FBE0000}"/>
    <cellStyle name="Normal 4 3 2 3 4 3 4" xfId="19502" xr:uid="{00000000-0005-0000-0000-000010BE0000}"/>
    <cellStyle name="Normal 4 3 2 3 4 3 4 2" xfId="51373" xr:uid="{00000000-0005-0000-0000-000011BE0000}"/>
    <cellStyle name="Normal 4 3 2 3 4 3 5" xfId="44302" xr:uid="{00000000-0005-0000-0000-000012BE0000}"/>
    <cellStyle name="Normal 4 3 2 3 4 4" xfId="12427" xr:uid="{00000000-0005-0000-0000-000013BE0000}"/>
    <cellStyle name="Normal 4 3 2 3 4 4 2" xfId="12428" xr:uid="{00000000-0005-0000-0000-000014BE0000}"/>
    <cellStyle name="Normal 4 3 2 3 4 4 2 2" xfId="31316" xr:uid="{00000000-0005-0000-0000-000015BE0000}"/>
    <cellStyle name="Normal 4 3 2 3 4 4 2 2 2" xfId="63187" xr:uid="{00000000-0005-0000-0000-000016BE0000}"/>
    <cellStyle name="Normal 4 3 2 3 4 4 2 3" xfId="44307" xr:uid="{00000000-0005-0000-0000-000017BE0000}"/>
    <cellStyle name="Normal 4 3 2 3 4 4 3" xfId="23438" xr:uid="{00000000-0005-0000-0000-000018BE0000}"/>
    <cellStyle name="Normal 4 3 2 3 4 4 3 2" xfId="55309" xr:uid="{00000000-0005-0000-0000-000019BE0000}"/>
    <cellStyle name="Normal 4 3 2 3 4 4 4" xfId="44306" xr:uid="{00000000-0005-0000-0000-00001ABE0000}"/>
    <cellStyle name="Normal 4 3 2 3 4 5" xfId="12429" xr:uid="{00000000-0005-0000-0000-00001BBE0000}"/>
    <cellStyle name="Normal 4 3 2 3 4 5 2" xfId="27377" xr:uid="{00000000-0005-0000-0000-00001CBE0000}"/>
    <cellStyle name="Normal 4 3 2 3 4 5 2 2" xfId="59248" xr:uid="{00000000-0005-0000-0000-00001DBE0000}"/>
    <cellStyle name="Normal 4 3 2 3 4 5 3" xfId="44308" xr:uid="{00000000-0005-0000-0000-00001EBE0000}"/>
    <cellStyle name="Normal 4 3 2 3 4 6" xfId="19499" xr:uid="{00000000-0005-0000-0000-00001FBE0000}"/>
    <cellStyle name="Normal 4 3 2 3 4 6 2" xfId="51370" xr:uid="{00000000-0005-0000-0000-000020BE0000}"/>
    <cellStyle name="Normal 4 3 2 3 4 7" xfId="44293" xr:uid="{00000000-0005-0000-0000-000021BE0000}"/>
    <cellStyle name="Normal 4 3 2 3 5" xfId="12430" xr:uid="{00000000-0005-0000-0000-000022BE0000}"/>
    <cellStyle name="Normal 4 3 2 3 5 2" xfId="12431" xr:uid="{00000000-0005-0000-0000-000023BE0000}"/>
    <cellStyle name="Normal 4 3 2 3 5 2 2" xfId="12432" xr:uid="{00000000-0005-0000-0000-000024BE0000}"/>
    <cellStyle name="Normal 4 3 2 3 5 2 2 2" xfId="12433" xr:uid="{00000000-0005-0000-0000-000025BE0000}"/>
    <cellStyle name="Normal 4 3 2 3 5 2 2 2 2" xfId="31321" xr:uid="{00000000-0005-0000-0000-000026BE0000}"/>
    <cellStyle name="Normal 4 3 2 3 5 2 2 2 2 2" xfId="63192" xr:uid="{00000000-0005-0000-0000-000027BE0000}"/>
    <cellStyle name="Normal 4 3 2 3 5 2 2 2 3" xfId="44312" xr:uid="{00000000-0005-0000-0000-000028BE0000}"/>
    <cellStyle name="Normal 4 3 2 3 5 2 2 3" xfId="23443" xr:uid="{00000000-0005-0000-0000-000029BE0000}"/>
    <cellStyle name="Normal 4 3 2 3 5 2 2 3 2" xfId="55314" xr:uid="{00000000-0005-0000-0000-00002ABE0000}"/>
    <cellStyle name="Normal 4 3 2 3 5 2 2 4" xfId="44311" xr:uid="{00000000-0005-0000-0000-00002BBE0000}"/>
    <cellStyle name="Normal 4 3 2 3 5 2 3" xfId="12434" xr:uid="{00000000-0005-0000-0000-00002CBE0000}"/>
    <cellStyle name="Normal 4 3 2 3 5 2 3 2" xfId="27382" xr:uid="{00000000-0005-0000-0000-00002DBE0000}"/>
    <cellStyle name="Normal 4 3 2 3 5 2 3 2 2" xfId="59253" xr:uid="{00000000-0005-0000-0000-00002EBE0000}"/>
    <cellStyle name="Normal 4 3 2 3 5 2 3 3" xfId="44313" xr:uid="{00000000-0005-0000-0000-00002FBE0000}"/>
    <cellStyle name="Normal 4 3 2 3 5 2 4" xfId="19504" xr:uid="{00000000-0005-0000-0000-000030BE0000}"/>
    <cellStyle name="Normal 4 3 2 3 5 2 4 2" xfId="51375" xr:uid="{00000000-0005-0000-0000-000031BE0000}"/>
    <cellStyle name="Normal 4 3 2 3 5 2 5" xfId="44310" xr:uid="{00000000-0005-0000-0000-000032BE0000}"/>
    <cellStyle name="Normal 4 3 2 3 5 3" xfId="12435" xr:uid="{00000000-0005-0000-0000-000033BE0000}"/>
    <cellStyle name="Normal 4 3 2 3 5 3 2" xfId="12436" xr:uid="{00000000-0005-0000-0000-000034BE0000}"/>
    <cellStyle name="Normal 4 3 2 3 5 3 2 2" xfId="31320" xr:uid="{00000000-0005-0000-0000-000035BE0000}"/>
    <cellStyle name="Normal 4 3 2 3 5 3 2 2 2" xfId="63191" xr:uid="{00000000-0005-0000-0000-000036BE0000}"/>
    <cellStyle name="Normal 4 3 2 3 5 3 2 3" xfId="44315" xr:uid="{00000000-0005-0000-0000-000037BE0000}"/>
    <cellStyle name="Normal 4 3 2 3 5 3 3" xfId="23442" xr:uid="{00000000-0005-0000-0000-000038BE0000}"/>
    <cellStyle name="Normal 4 3 2 3 5 3 3 2" xfId="55313" xr:uid="{00000000-0005-0000-0000-000039BE0000}"/>
    <cellStyle name="Normal 4 3 2 3 5 3 4" xfId="44314" xr:uid="{00000000-0005-0000-0000-00003ABE0000}"/>
    <cellStyle name="Normal 4 3 2 3 5 4" xfId="12437" xr:uid="{00000000-0005-0000-0000-00003BBE0000}"/>
    <cellStyle name="Normal 4 3 2 3 5 4 2" xfId="27381" xr:uid="{00000000-0005-0000-0000-00003CBE0000}"/>
    <cellStyle name="Normal 4 3 2 3 5 4 2 2" xfId="59252" xr:uid="{00000000-0005-0000-0000-00003DBE0000}"/>
    <cellStyle name="Normal 4 3 2 3 5 4 3" xfId="44316" xr:uid="{00000000-0005-0000-0000-00003EBE0000}"/>
    <cellStyle name="Normal 4 3 2 3 5 5" xfId="19503" xr:uid="{00000000-0005-0000-0000-00003FBE0000}"/>
    <cellStyle name="Normal 4 3 2 3 5 5 2" xfId="51374" xr:uid="{00000000-0005-0000-0000-000040BE0000}"/>
    <cellStyle name="Normal 4 3 2 3 5 6" xfId="44309" xr:uid="{00000000-0005-0000-0000-000041BE0000}"/>
    <cellStyle name="Normal 4 3 2 3 6" xfId="12438" xr:uid="{00000000-0005-0000-0000-000042BE0000}"/>
    <cellStyle name="Normal 4 3 2 3 6 2" xfId="12439" xr:uid="{00000000-0005-0000-0000-000043BE0000}"/>
    <cellStyle name="Normal 4 3 2 3 6 2 2" xfId="12440" xr:uid="{00000000-0005-0000-0000-000044BE0000}"/>
    <cellStyle name="Normal 4 3 2 3 6 2 2 2" xfId="31322" xr:uid="{00000000-0005-0000-0000-000045BE0000}"/>
    <cellStyle name="Normal 4 3 2 3 6 2 2 2 2" xfId="63193" xr:uid="{00000000-0005-0000-0000-000046BE0000}"/>
    <cellStyle name="Normal 4 3 2 3 6 2 2 3" xfId="44319" xr:uid="{00000000-0005-0000-0000-000047BE0000}"/>
    <cellStyle name="Normal 4 3 2 3 6 2 3" xfId="23444" xr:uid="{00000000-0005-0000-0000-000048BE0000}"/>
    <cellStyle name="Normal 4 3 2 3 6 2 3 2" xfId="55315" xr:uid="{00000000-0005-0000-0000-000049BE0000}"/>
    <cellStyle name="Normal 4 3 2 3 6 2 4" xfId="44318" xr:uid="{00000000-0005-0000-0000-00004ABE0000}"/>
    <cellStyle name="Normal 4 3 2 3 6 3" xfId="12441" xr:uid="{00000000-0005-0000-0000-00004BBE0000}"/>
    <cellStyle name="Normal 4 3 2 3 6 3 2" xfId="27383" xr:uid="{00000000-0005-0000-0000-00004CBE0000}"/>
    <cellStyle name="Normal 4 3 2 3 6 3 2 2" xfId="59254" xr:uid="{00000000-0005-0000-0000-00004DBE0000}"/>
    <cellStyle name="Normal 4 3 2 3 6 3 3" xfId="44320" xr:uid="{00000000-0005-0000-0000-00004EBE0000}"/>
    <cellStyle name="Normal 4 3 2 3 6 4" xfId="19505" xr:uid="{00000000-0005-0000-0000-00004FBE0000}"/>
    <cellStyle name="Normal 4 3 2 3 6 4 2" xfId="51376" xr:uid="{00000000-0005-0000-0000-000050BE0000}"/>
    <cellStyle name="Normal 4 3 2 3 6 5" xfId="44317" xr:uid="{00000000-0005-0000-0000-000051BE0000}"/>
    <cellStyle name="Normal 4 3 2 3 7" xfId="12442" xr:uid="{00000000-0005-0000-0000-000052BE0000}"/>
    <cellStyle name="Normal 4 3 2 3 7 2" xfId="12443" xr:uid="{00000000-0005-0000-0000-000053BE0000}"/>
    <cellStyle name="Normal 4 3 2 3 7 2 2" xfId="28313" xr:uid="{00000000-0005-0000-0000-000054BE0000}"/>
    <cellStyle name="Normal 4 3 2 3 7 2 2 2" xfId="60184" xr:uid="{00000000-0005-0000-0000-000055BE0000}"/>
    <cellStyle name="Normal 4 3 2 3 7 2 3" xfId="44322" xr:uid="{00000000-0005-0000-0000-000056BE0000}"/>
    <cellStyle name="Normal 4 3 2 3 7 3" xfId="20435" xr:uid="{00000000-0005-0000-0000-000057BE0000}"/>
    <cellStyle name="Normal 4 3 2 3 7 3 2" xfId="52306" xr:uid="{00000000-0005-0000-0000-000058BE0000}"/>
    <cellStyle name="Normal 4 3 2 3 7 4" xfId="44321" xr:uid="{00000000-0005-0000-0000-000059BE0000}"/>
    <cellStyle name="Normal 4 3 2 3 8" xfId="12444" xr:uid="{00000000-0005-0000-0000-00005ABE0000}"/>
    <cellStyle name="Normal 4 3 2 3 8 2" xfId="24374" xr:uid="{00000000-0005-0000-0000-00005BBE0000}"/>
    <cellStyle name="Normal 4 3 2 3 8 2 2" xfId="56245" xr:uid="{00000000-0005-0000-0000-00005CBE0000}"/>
    <cellStyle name="Normal 4 3 2 3 8 3" xfId="44323" xr:uid="{00000000-0005-0000-0000-00005DBE0000}"/>
    <cellStyle name="Normal 4 3 2 3 9" xfId="16496" xr:uid="{00000000-0005-0000-0000-00005EBE0000}"/>
    <cellStyle name="Normal 4 3 2 3 9 2" xfId="48367" xr:uid="{00000000-0005-0000-0000-00005FBE0000}"/>
    <cellStyle name="Normal 4 3 2 4" xfId="12445" xr:uid="{00000000-0005-0000-0000-000060BE0000}"/>
    <cellStyle name="Normal 4 3 2 4 10" xfId="44324" xr:uid="{00000000-0005-0000-0000-000061BE0000}"/>
    <cellStyle name="Normal 4 3 2 4 2" xfId="12446" xr:uid="{00000000-0005-0000-0000-000062BE0000}"/>
    <cellStyle name="Normal 4 3 2 4 2 2" xfId="12447" xr:uid="{00000000-0005-0000-0000-000063BE0000}"/>
    <cellStyle name="Normal 4 3 2 4 2 2 2" xfId="12448" xr:uid="{00000000-0005-0000-0000-000064BE0000}"/>
    <cellStyle name="Normal 4 3 2 4 2 2 2 2" xfId="12449" xr:uid="{00000000-0005-0000-0000-000065BE0000}"/>
    <cellStyle name="Normal 4 3 2 4 2 2 2 2 2" xfId="12450" xr:uid="{00000000-0005-0000-0000-000066BE0000}"/>
    <cellStyle name="Normal 4 3 2 4 2 2 2 2 2 2" xfId="12451" xr:uid="{00000000-0005-0000-0000-000067BE0000}"/>
    <cellStyle name="Normal 4 3 2 4 2 2 2 2 2 2 2" xfId="12452" xr:uid="{00000000-0005-0000-0000-000068BE0000}"/>
    <cellStyle name="Normal 4 3 2 4 2 2 2 2 2 2 2 2" xfId="31326" xr:uid="{00000000-0005-0000-0000-000069BE0000}"/>
    <cellStyle name="Normal 4 3 2 4 2 2 2 2 2 2 2 2 2" xfId="63197" xr:uid="{00000000-0005-0000-0000-00006ABE0000}"/>
    <cellStyle name="Normal 4 3 2 4 2 2 2 2 2 2 2 3" xfId="44331" xr:uid="{00000000-0005-0000-0000-00006BBE0000}"/>
    <cellStyle name="Normal 4 3 2 4 2 2 2 2 2 2 3" xfId="23448" xr:uid="{00000000-0005-0000-0000-00006CBE0000}"/>
    <cellStyle name="Normal 4 3 2 4 2 2 2 2 2 2 3 2" xfId="55319" xr:uid="{00000000-0005-0000-0000-00006DBE0000}"/>
    <cellStyle name="Normal 4 3 2 4 2 2 2 2 2 2 4" xfId="44330" xr:uid="{00000000-0005-0000-0000-00006EBE0000}"/>
    <cellStyle name="Normal 4 3 2 4 2 2 2 2 2 3" xfId="12453" xr:uid="{00000000-0005-0000-0000-00006FBE0000}"/>
    <cellStyle name="Normal 4 3 2 4 2 2 2 2 2 3 2" xfId="27387" xr:uid="{00000000-0005-0000-0000-000070BE0000}"/>
    <cellStyle name="Normal 4 3 2 4 2 2 2 2 2 3 2 2" xfId="59258" xr:uid="{00000000-0005-0000-0000-000071BE0000}"/>
    <cellStyle name="Normal 4 3 2 4 2 2 2 2 2 3 3" xfId="44332" xr:uid="{00000000-0005-0000-0000-000072BE0000}"/>
    <cellStyle name="Normal 4 3 2 4 2 2 2 2 2 4" xfId="19509" xr:uid="{00000000-0005-0000-0000-000073BE0000}"/>
    <cellStyle name="Normal 4 3 2 4 2 2 2 2 2 4 2" xfId="51380" xr:uid="{00000000-0005-0000-0000-000074BE0000}"/>
    <cellStyle name="Normal 4 3 2 4 2 2 2 2 2 5" xfId="44329" xr:uid="{00000000-0005-0000-0000-000075BE0000}"/>
    <cellStyle name="Normal 4 3 2 4 2 2 2 2 3" xfId="12454" xr:uid="{00000000-0005-0000-0000-000076BE0000}"/>
    <cellStyle name="Normal 4 3 2 4 2 2 2 2 3 2" xfId="12455" xr:uid="{00000000-0005-0000-0000-000077BE0000}"/>
    <cellStyle name="Normal 4 3 2 4 2 2 2 2 3 2 2" xfId="31325" xr:uid="{00000000-0005-0000-0000-000078BE0000}"/>
    <cellStyle name="Normal 4 3 2 4 2 2 2 2 3 2 2 2" xfId="63196" xr:uid="{00000000-0005-0000-0000-000079BE0000}"/>
    <cellStyle name="Normal 4 3 2 4 2 2 2 2 3 2 3" xfId="44334" xr:uid="{00000000-0005-0000-0000-00007ABE0000}"/>
    <cellStyle name="Normal 4 3 2 4 2 2 2 2 3 3" xfId="23447" xr:uid="{00000000-0005-0000-0000-00007BBE0000}"/>
    <cellStyle name="Normal 4 3 2 4 2 2 2 2 3 3 2" xfId="55318" xr:uid="{00000000-0005-0000-0000-00007CBE0000}"/>
    <cellStyle name="Normal 4 3 2 4 2 2 2 2 3 4" xfId="44333" xr:uid="{00000000-0005-0000-0000-00007DBE0000}"/>
    <cellStyle name="Normal 4 3 2 4 2 2 2 2 4" xfId="12456" xr:uid="{00000000-0005-0000-0000-00007EBE0000}"/>
    <cellStyle name="Normal 4 3 2 4 2 2 2 2 4 2" xfId="27386" xr:uid="{00000000-0005-0000-0000-00007FBE0000}"/>
    <cellStyle name="Normal 4 3 2 4 2 2 2 2 4 2 2" xfId="59257" xr:uid="{00000000-0005-0000-0000-000080BE0000}"/>
    <cellStyle name="Normal 4 3 2 4 2 2 2 2 4 3" xfId="44335" xr:uid="{00000000-0005-0000-0000-000081BE0000}"/>
    <cellStyle name="Normal 4 3 2 4 2 2 2 2 5" xfId="19508" xr:uid="{00000000-0005-0000-0000-000082BE0000}"/>
    <cellStyle name="Normal 4 3 2 4 2 2 2 2 5 2" xfId="51379" xr:uid="{00000000-0005-0000-0000-000083BE0000}"/>
    <cellStyle name="Normal 4 3 2 4 2 2 2 2 6" xfId="44328" xr:uid="{00000000-0005-0000-0000-000084BE0000}"/>
    <cellStyle name="Normal 4 3 2 4 2 2 2 3" xfId="12457" xr:uid="{00000000-0005-0000-0000-000085BE0000}"/>
    <cellStyle name="Normal 4 3 2 4 2 2 2 3 2" xfId="12458" xr:uid="{00000000-0005-0000-0000-000086BE0000}"/>
    <cellStyle name="Normal 4 3 2 4 2 2 2 3 2 2" xfId="12459" xr:uid="{00000000-0005-0000-0000-000087BE0000}"/>
    <cellStyle name="Normal 4 3 2 4 2 2 2 3 2 2 2" xfId="31327" xr:uid="{00000000-0005-0000-0000-000088BE0000}"/>
    <cellStyle name="Normal 4 3 2 4 2 2 2 3 2 2 2 2" xfId="63198" xr:uid="{00000000-0005-0000-0000-000089BE0000}"/>
    <cellStyle name="Normal 4 3 2 4 2 2 2 3 2 2 3" xfId="44338" xr:uid="{00000000-0005-0000-0000-00008ABE0000}"/>
    <cellStyle name="Normal 4 3 2 4 2 2 2 3 2 3" xfId="23449" xr:uid="{00000000-0005-0000-0000-00008BBE0000}"/>
    <cellStyle name="Normal 4 3 2 4 2 2 2 3 2 3 2" xfId="55320" xr:uid="{00000000-0005-0000-0000-00008CBE0000}"/>
    <cellStyle name="Normal 4 3 2 4 2 2 2 3 2 4" xfId="44337" xr:uid="{00000000-0005-0000-0000-00008DBE0000}"/>
    <cellStyle name="Normal 4 3 2 4 2 2 2 3 3" xfId="12460" xr:uid="{00000000-0005-0000-0000-00008EBE0000}"/>
    <cellStyle name="Normal 4 3 2 4 2 2 2 3 3 2" xfId="27388" xr:uid="{00000000-0005-0000-0000-00008FBE0000}"/>
    <cellStyle name="Normal 4 3 2 4 2 2 2 3 3 2 2" xfId="59259" xr:uid="{00000000-0005-0000-0000-000090BE0000}"/>
    <cellStyle name="Normal 4 3 2 4 2 2 2 3 3 3" xfId="44339" xr:uid="{00000000-0005-0000-0000-000091BE0000}"/>
    <cellStyle name="Normal 4 3 2 4 2 2 2 3 4" xfId="19510" xr:uid="{00000000-0005-0000-0000-000092BE0000}"/>
    <cellStyle name="Normal 4 3 2 4 2 2 2 3 4 2" xfId="51381" xr:uid="{00000000-0005-0000-0000-000093BE0000}"/>
    <cellStyle name="Normal 4 3 2 4 2 2 2 3 5" xfId="44336" xr:uid="{00000000-0005-0000-0000-000094BE0000}"/>
    <cellStyle name="Normal 4 3 2 4 2 2 2 4" xfId="12461" xr:uid="{00000000-0005-0000-0000-000095BE0000}"/>
    <cellStyle name="Normal 4 3 2 4 2 2 2 4 2" xfId="12462" xr:uid="{00000000-0005-0000-0000-000096BE0000}"/>
    <cellStyle name="Normal 4 3 2 4 2 2 2 4 2 2" xfId="31324" xr:uid="{00000000-0005-0000-0000-000097BE0000}"/>
    <cellStyle name="Normal 4 3 2 4 2 2 2 4 2 2 2" xfId="63195" xr:uid="{00000000-0005-0000-0000-000098BE0000}"/>
    <cellStyle name="Normal 4 3 2 4 2 2 2 4 2 3" xfId="44341" xr:uid="{00000000-0005-0000-0000-000099BE0000}"/>
    <cellStyle name="Normal 4 3 2 4 2 2 2 4 3" xfId="23446" xr:uid="{00000000-0005-0000-0000-00009ABE0000}"/>
    <cellStyle name="Normal 4 3 2 4 2 2 2 4 3 2" xfId="55317" xr:uid="{00000000-0005-0000-0000-00009BBE0000}"/>
    <cellStyle name="Normal 4 3 2 4 2 2 2 4 4" xfId="44340" xr:uid="{00000000-0005-0000-0000-00009CBE0000}"/>
    <cellStyle name="Normal 4 3 2 4 2 2 2 5" xfId="12463" xr:uid="{00000000-0005-0000-0000-00009DBE0000}"/>
    <cellStyle name="Normal 4 3 2 4 2 2 2 5 2" xfId="27385" xr:uid="{00000000-0005-0000-0000-00009EBE0000}"/>
    <cellStyle name="Normal 4 3 2 4 2 2 2 5 2 2" xfId="59256" xr:uid="{00000000-0005-0000-0000-00009FBE0000}"/>
    <cellStyle name="Normal 4 3 2 4 2 2 2 5 3" xfId="44342" xr:uid="{00000000-0005-0000-0000-0000A0BE0000}"/>
    <cellStyle name="Normal 4 3 2 4 2 2 2 6" xfId="19507" xr:uid="{00000000-0005-0000-0000-0000A1BE0000}"/>
    <cellStyle name="Normal 4 3 2 4 2 2 2 6 2" xfId="51378" xr:uid="{00000000-0005-0000-0000-0000A2BE0000}"/>
    <cellStyle name="Normal 4 3 2 4 2 2 2 7" xfId="44327" xr:uid="{00000000-0005-0000-0000-0000A3BE0000}"/>
    <cellStyle name="Normal 4 3 2 4 2 2 3" xfId="12464" xr:uid="{00000000-0005-0000-0000-0000A4BE0000}"/>
    <cellStyle name="Normal 4 3 2 4 2 2 3 2" xfId="12465" xr:uid="{00000000-0005-0000-0000-0000A5BE0000}"/>
    <cellStyle name="Normal 4 3 2 4 2 2 3 2 2" xfId="12466" xr:uid="{00000000-0005-0000-0000-0000A6BE0000}"/>
    <cellStyle name="Normal 4 3 2 4 2 2 3 2 2 2" xfId="12467" xr:uid="{00000000-0005-0000-0000-0000A7BE0000}"/>
    <cellStyle name="Normal 4 3 2 4 2 2 3 2 2 2 2" xfId="31329" xr:uid="{00000000-0005-0000-0000-0000A8BE0000}"/>
    <cellStyle name="Normal 4 3 2 4 2 2 3 2 2 2 2 2" xfId="63200" xr:uid="{00000000-0005-0000-0000-0000A9BE0000}"/>
    <cellStyle name="Normal 4 3 2 4 2 2 3 2 2 2 3" xfId="44346" xr:uid="{00000000-0005-0000-0000-0000AABE0000}"/>
    <cellStyle name="Normal 4 3 2 4 2 2 3 2 2 3" xfId="23451" xr:uid="{00000000-0005-0000-0000-0000ABBE0000}"/>
    <cellStyle name="Normal 4 3 2 4 2 2 3 2 2 3 2" xfId="55322" xr:uid="{00000000-0005-0000-0000-0000ACBE0000}"/>
    <cellStyle name="Normal 4 3 2 4 2 2 3 2 2 4" xfId="44345" xr:uid="{00000000-0005-0000-0000-0000ADBE0000}"/>
    <cellStyle name="Normal 4 3 2 4 2 2 3 2 3" xfId="12468" xr:uid="{00000000-0005-0000-0000-0000AEBE0000}"/>
    <cellStyle name="Normal 4 3 2 4 2 2 3 2 3 2" xfId="27390" xr:uid="{00000000-0005-0000-0000-0000AFBE0000}"/>
    <cellStyle name="Normal 4 3 2 4 2 2 3 2 3 2 2" xfId="59261" xr:uid="{00000000-0005-0000-0000-0000B0BE0000}"/>
    <cellStyle name="Normal 4 3 2 4 2 2 3 2 3 3" xfId="44347" xr:uid="{00000000-0005-0000-0000-0000B1BE0000}"/>
    <cellStyle name="Normal 4 3 2 4 2 2 3 2 4" xfId="19512" xr:uid="{00000000-0005-0000-0000-0000B2BE0000}"/>
    <cellStyle name="Normal 4 3 2 4 2 2 3 2 4 2" xfId="51383" xr:uid="{00000000-0005-0000-0000-0000B3BE0000}"/>
    <cellStyle name="Normal 4 3 2 4 2 2 3 2 5" xfId="44344" xr:uid="{00000000-0005-0000-0000-0000B4BE0000}"/>
    <cellStyle name="Normal 4 3 2 4 2 2 3 3" xfId="12469" xr:uid="{00000000-0005-0000-0000-0000B5BE0000}"/>
    <cellStyle name="Normal 4 3 2 4 2 2 3 3 2" xfId="12470" xr:uid="{00000000-0005-0000-0000-0000B6BE0000}"/>
    <cellStyle name="Normal 4 3 2 4 2 2 3 3 2 2" xfId="31328" xr:uid="{00000000-0005-0000-0000-0000B7BE0000}"/>
    <cellStyle name="Normal 4 3 2 4 2 2 3 3 2 2 2" xfId="63199" xr:uid="{00000000-0005-0000-0000-0000B8BE0000}"/>
    <cellStyle name="Normal 4 3 2 4 2 2 3 3 2 3" xfId="44349" xr:uid="{00000000-0005-0000-0000-0000B9BE0000}"/>
    <cellStyle name="Normal 4 3 2 4 2 2 3 3 3" xfId="23450" xr:uid="{00000000-0005-0000-0000-0000BABE0000}"/>
    <cellStyle name="Normal 4 3 2 4 2 2 3 3 3 2" xfId="55321" xr:uid="{00000000-0005-0000-0000-0000BBBE0000}"/>
    <cellStyle name="Normal 4 3 2 4 2 2 3 3 4" xfId="44348" xr:uid="{00000000-0005-0000-0000-0000BCBE0000}"/>
    <cellStyle name="Normal 4 3 2 4 2 2 3 4" xfId="12471" xr:uid="{00000000-0005-0000-0000-0000BDBE0000}"/>
    <cellStyle name="Normal 4 3 2 4 2 2 3 4 2" xfId="27389" xr:uid="{00000000-0005-0000-0000-0000BEBE0000}"/>
    <cellStyle name="Normal 4 3 2 4 2 2 3 4 2 2" xfId="59260" xr:uid="{00000000-0005-0000-0000-0000BFBE0000}"/>
    <cellStyle name="Normal 4 3 2 4 2 2 3 4 3" xfId="44350" xr:uid="{00000000-0005-0000-0000-0000C0BE0000}"/>
    <cellStyle name="Normal 4 3 2 4 2 2 3 5" xfId="19511" xr:uid="{00000000-0005-0000-0000-0000C1BE0000}"/>
    <cellStyle name="Normal 4 3 2 4 2 2 3 5 2" xfId="51382" xr:uid="{00000000-0005-0000-0000-0000C2BE0000}"/>
    <cellStyle name="Normal 4 3 2 4 2 2 3 6" xfId="44343" xr:uid="{00000000-0005-0000-0000-0000C3BE0000}"/>
    <cellStyle name="Normal 4 3 2 4 2 2 4" xfId="12472" xr:uid="{00000000-0005-0000-0000-0000C4BE0000}"/>
    <cellStyle name="Normal 4 3 2 4 2 2 4 2" xfId="12473" xr:uid="{00000000-0005-0000-0000-0000C5BE0000}"/>
    <cellStyle name="Normal 4 3 2 4 2 2 4 2 2" xfId="12474" xr:uid="{00000000-0005-0000-0000-0000C6BE0000}"/>
    <cellStyle name="Normal 4 3 2 4 2 2 4 2 2 2" xfId="31330" xr:uid="{00000000-0005-0000-0000-0000C7BE0000}"/>
    <cellStyle name="Normal 4 3 2 4 2 2 4 2 2 2 2" xfId="63201" xr:uid="{00000000-0005-0000-0000-0000C8BE0000}"/>
    <cellStyle name="Normal 4 3 2 4 2 2 4 2 2 3" xfId="44353" xr:uid="{00000000-0005-0000-0000-0000C9BE0000}"/>
    <cellStyle name="Normal 4 3 2 4 2 2 4 2 3" xfId="23452" xr:uid="{00000000-0005-0000-0000-0000CABE0000}"/>
    <cellStyle name="Normal 4 3 2 4 2 2 4 2 3 2" xfId="55323" xr:uid="{00000000-0005-0000-0000-0000CBBE0000}"/>
    <cellStyle name="Normal 4 3 2 4 2 2 4 2 4" xfId="44352" xr:uid="{00000000-0005-0000-0000-0000CCBE0000}"/>
    <cellStyle name="Normal 4 3 2 4 2 2 4 3" xfId="12475" xr:uid="{00000000-0005-0000-0000-0000CDBE0000}"/>
    <cellStyle name="Normal 4 3 2 4 2 2 4 3 2" xfId="27391" xr:uid="{00000000-0005-0000-0000-0000CEBE0000}"/>
    <cellStyle name="Normal 4 3 2 4 2 2 4 3 2 2" xfId="59262" xr:uid="{00000000-0005-0000-0000-0000CFBE0000}"/>
    <cellStyle name="Normal 4 3 2 4 2 2 4 3 3" xfId="44354" xr:uid="{00000000-0005-0000-0000-0000D0BE0000}"/>
    <cellStyle name="Normal 4 3 2 4 2 2 4 4" xfId="19513" xr:uid="{00000000-0005-0000-0000-0000D1BE0000}"/>
    <cellStyle name="Normal 4 3 2 4 2 2 4 4 2" xfId="51384" xr:uid="{00000000-0005-0000-0000-0000D2BE0000}"/>
    <cellStyle name="Normal 4 3 2 4 2 2 4 5" xfId="44351" xr:uid="{00000000-0005-0000-0000-0000D3BE0000}"/>
    <cellStyle name="Normal 4 3 2 4 2 2 5" xfId="12476" xr:uid="{00000000-0005-0000-0000-0000D4BE0000}"/>
    <cellStyle name="Normal 4 3 2 4 2 2 5 2" xfId="12477" xr:uid="{00000000-0005-0000-0000-0000D5BE0000}"/>
    <cellStyle name="Normal 4 3 2 4 2 2 5 2 2" xfId="31323" xr:uid="{00000000-0005-0000-0000-0000D6BE0000}"/>
    <cellStyle name="Normal 4 3 2 4 2 2 5 2 2 2" xfId="63194" xr:uid="{00000000-0005-0000-0000-0000D7BE0000}"/>
    <cellStyle name="Normal 4 3 2 4 2 2 5 2 3" xfId="44356" xr:uid="{00000000-0005-0000-0000-0000D8BE0000}"/>
    <cellStyle name="Normal 4 3 2 4 2 2 5 3" xfId="23445" xr:uid="{00000000-0005-0000-0000-0000D9BE0000}"/>
    <cellStyle name="Normal 4 3 2 4 2 2 5 3 2" xfId="55316" xr:uid="{00000000-0005-0000-0000-0000DABE0000}"/>
    <cellStyle name="Normal 4 3 2 4 2 2 5 4" xfId="44355" xr:uid="{00000000-0005-0000-0000-0000DBBE0000}"/>
    <cellStyle name="Normal 4 3 2 4 2 2 6" xfId="12478" xr:uid="{00000000-0005-0000-0000-0000DCBE0000}"/>
    <cellStyle name="Normal 4 3 2 4 2 2 6 2" xfId="27384" xr:uid="{00000000-0005-0000-0000-0000DDBE0000}"/>
    <cellStyle name="Normal 4 3 2 4 2 2 6 2 2" xfId="59255" xr:uid="{00000000-0005-0000-0000-0000DEBE0000}"/>
    <cellStyle name="Normal 4 3 2 4 2 2 6 3" xfId="44357" xr:uid="{00000000-0005-0000-0000-0000DFBE0000}"/>
    <cellStyle name="Normal 4 3 2 4 2 2 7" xfId="19506" xr:uid="{00000000-0005-0000-0000-0000E0BE0000}"/>
    <cellStyle name="Normal 4 3 2 4 2 2 7 2" xfId="51377" xr:uid="{00000000-0005-0000-0000-0000E1BE0000}"/>
    <cellStyle name="Normal 4 3 2 4 2 2 8" xfId="44326" xr:uid="{00000000-0005-0000-0000-0000E2BE0000}"/>
    <cellStyle name="Normal 4 3 2 4 2 3" xfId="12479" xr:uid="{00000000-0005-0000-0000-0000E3BE0000}"/>
    <cellStyle name="Normal 4 3 2 4 2 3 2" xfId="12480" xr:uid="{00000000-0005-0000-0000-0000E4BE0000}"/>
    <cellStyle name="Normal 4 3 2 4 2 3 2 2" xfId="12481" xr:uid="{00000000-0005-0000-0000-0000E5BE0000}"/>
    <cellStyle name="Normal 4 3 2 4 2 3 2 2 2" xfId="12482" xr:uid="{00000000-0005-0000-0000-0000E6BE0000}"/>
    <cellStyle name="Normal 4 3 2 4 2 3 2 2 2 2" xfId="12483" xr:uid="{00000000-0005-0000-0000-0000E7BE0000}"/>
    <cellStyle name="Normal 4 3 2 4 2 3 2 2 2 2 2" xfId="31333" xr:uid="{00000000-0005-0000-0000-0000E8BE0000}"/>
    <cellStyle name="Normal 4 3 2 4 2 3 2 2 2 2 2 2" xfId="63204" xr:uid="{00000000-0005-0000-0000-0000E9BE0000}"/>
    <cellStyle name="Normal 4 3 2 4 2 3 2 2 2 2 3" xfId="44362" xr:uid="{00000000-0005-0000-0000-0000EABE0000}"/>
    <cellStyle name="Normal 4 3 2 4 2 3 2 2 2 3" xfId="23455" xr:uid="{00000000-0005-0000-0000-0000EBBE0000}"/>
    <cellStyle name="Normal 4 3 2 4 2 3 2 2 2 3 2" xfId="55326" xr:uid="{00000000-0005-0000-0000-0000ECBE0000}"/>
    <cellStyle name="Normal 4 3 2 4 2 3 2 2 2 4" xfId="44361" xr:uid="{00000000-0005-0000-0000-0000EDBE0000}"/>
    <cellStyle name="Normal 4 3 2 4 2 3 2 2 3" xfId="12484" xr:uid="{00000000-0005-0000-0000-0000EEBE0000}"/>
    <cellStyle name="Normal 4 3 2 4 2 3 2 2 3 2" xfId="27394" xr:uid="{00000000-0005-0000-0000-0000EFBE0000}"/>
    <cellStyle name="Normal 4 3 2 4 2 3 2 2 3 2 2" xfId="59265" xr:uid="{00000000-0005-0000-0000-0000F0BE0000}"/>
    <cellStyle name="Normal 4 3 2 4 2 3 2 2 3 3" xfId="44363" xr:uid="{00000000-0005-0000-0000-0000F1BE0000}"/>
    <cellStyle name="Normal 4 3 2 4 2 3 2 2 4" xfId="19516" xr:uid="{00000000-0005-0000-0000-0000F2BE0000}"/>
    <cellStyle name="Normal 4 3 2 4 2 3 2 2 4 2" xfId="51387" xr:uid="{00000000-0005-0000-0000-0000F3BE0000}"/>
    <cellStyle name="Normal 4 3 2 4 2 3 2 2 5" xfId="44360" xr:uid="{00000000-0005-0000-0000-0000F4BE0000}"/>
    <cellStyle name="Normal 4 3 2 4 2 3 2 3" xfId="12485" xr:uid="{00000000-0005-0000-0000-0000F5BE0000}"/>
    <cellStyle name="Normal 4 3 2 4 2 3 2 3 2" xfId="12486" xr:uid="{00000000-0005-0000-0000-0000F6BE0000}"/>
    <cellStyle name="Normal 4 3 2 4 2 3 2 3 2 2" xfId="31332" xr:uid="{00000000-0005-0000-0000-0000F7BE0000}"/>
    <cellStyle name="Normal 4 3 2 4 2 3 2 3 2 2 2" xfId="63203" xr:uid="{00000000-0005-0000-0000-0000F8BE0000}"/>
    <cellStyle name="Normal 4 3 2 4 2 3 2 3 2 3" xfId="44365" xr:uid="{00000000-0005-0000-0000-0000F9BE0000}"/>
    <cellStyle name="Normal 4 3 2 4 2 3 2 3 3" xfId="23454" xr:uid="{00000000-0005-0000-0000-0000FABE0000}"/>
    <cellStyle name="Normal 4 3 2 4 2 3 2 3 3 2" xfId="55325" xr:uid="{00000000-0005-0000-0000-0000FBBE0000}"/>
    <cellStyle name="Normal 4 3 2 4 2 3 2 3 4" xfId="44364" xr:uid="{00000000-0005-0000-0000-0000FCBE0000}"/>
    <cellStyle name="Normal 4 3 2 4 2 3 2 4" xfId="12487" xr:uid="{00000000-0005-0000-0000-0000FDBE0000}"/>
    <cellStyle name="Normal 4 3 2 4 2 3 2 4 2" xfId="27393" xr:uid="{00000000-0005-0000-0000-0000FEBE0000}"/>
    <cellStyle name="Normal 4 3 2 4 2 3 2 4 2 2" xfId="59264" xr:uid="{00000000-0005-0000-0000-0000FFBE0000}"/>
    <cellStyle name="Normal 4 3 2 4 2 3 2 4 3" xfId="44366" xr:uid="{00000000-0005-0000-0000-000000BF0000}"/>
    <cellStyle name="Normal 4 3 2 4 2 3 2 5" xfId="19515" xr:uid="{00000000-0005-0000-0000-000001BF0000}"/>
    <cellStyle name="Normal 4 3 2 4 2 3 2 5 2" xfId="51386" xr:uid="{00000000-0005-0000-0000-000002BF0000}"/>
    <cellStyle name="Normal 4 3 2 4 2 3 2 6" xfId="44359" xr:uid="{00000000-0005-0000-0000-000003BF0000}"/>
    <cellStyle name="Normal 4 3 2 4 2 3 3" xfId="12488" xr:uid="{00000000-0005-0000-0000-000004BF0000}"/>
    <cellStyle name="Normal 4 3 2 4 2 3 3 2" xfId="12489" xr:uid="{00000000-0005-0000-0000-000005BF0000}"/>
    <cellStyle name="Normal 4 3 2 4 2 3 3 2 2" xfId="12490" xr:uid="{00000000-0005-0000-0000-000006BF0000}"/>
    <cellStyle name="Normal 4 3 2 4 2 3 3 2 2 2" xfId="31334" xr:uid="{00000000-0005-0000-0000-000007BF0000}"/>
    <cellStyle name="Normal 4 3 2 4 2 3 3 2 2 2 2" xfId="63205" xr:uid="{00000000-0005-0000-0000-000008BF0000}"/>
    <cellStyle name="Normal 4 3 2 4 2 3 3 2 2 3" xfId="44369" xr:uid="{00000000-0005-0000-0000-000009BF0000}"/>
    <cellStyle name="Normal 4 3 2 4 2 3 3 2 3" xfId="23456" xr:uid="{00000000-0005-0000-0000-00000ABF0000}"/>
    <cellStyle name="Normal 4 3 2 4 2 3 3 2 3 2" xfId="55327" xr:uid="{00000000-0005-0000-0000-00000BBF0000}"/>
    <cellStyle name="Normal 4 3 2 4 2 3 3 2 4" xfId="44368" xr:uid="{00000000-0005-0000-0000-00000CBF0000}"/>
    <cellStyle name="Normal 4 3 2 4 2 3 3 3" xfId="12491" xr:uid="{00000000-0005-0000-0000-00000DBF0000}"/>
    <cellStyle name="Normal 4 3 2 4 2 3 3 3 2" xfId="27395" xr:uid="{00000000-0005-0000-0000-00000EBF0000}"/>
    <cellStyle name="Normal 4 3 2 4 2 3 3 3 2 2" xfId="59266" xr:uid="{00000000-0005-0000-0000-00000FBF0000}"/>
    <cellStyle name="Normal 4 3 2 4 2 3 3 3 3" xfId="44370" xr:uid="{00000000-0005-0000-0000-000010BF0000}"/>
    <cellStyle name="Normal 4 3 2 4 2 3 3 4" xfId="19517" xr:uid="{00000000-0005-0000-0000-000011BF0000}"/>
    <cellStyle name="Normal 4 3 2 4 2 3 3 4 2" xfId="51388" xr:uid="{00000000-0005-0000-0000-000012BF0000}"/>
    <cellStyle name="Normal 4 3 2 4 2 3 3 5" xfId="44367" xr:uid="{00000000-0005-0000-0000-000013BF0000}"/>
    <cellStyle name="Normal 4 3 2 4 2 3 4" xfId="12492" xr:uid="{00000000-0005-0000-0000-000014BF0000}"/>
    <cellStyle name="Normal 4 3 2 4 2 3 4 2" xfId="12493" xr:uid="{00000000-0005-0000-0000-000015BF0000}"/>
    <cellStyle name="Normal 4 3 2 4 2 3 4 2 2" xfId="31331" xr:uid="{00000000-0005-0000-0000-000016BF0000}"/>
    <cellStyle name="Normal 4 3 2 4 2 3 4 2 2 2" xfId="63202" xr:uid="{00000000-0005-0000-0000-000017BF0000}"/>
    <cellStyle name="Normal 4 3 2 4 2 3 4 2 3" xfId="44372" xr:uid="{00000000-0005-0000-0000-000018BF0000}"/>
    <cellStyle name="Normal 4 3 2 4 2 3 4 3" xfId="23453" xr:uid="{00000000-0005-0000-0000-000019BF0000}"/>
    <cellStyle name="Normal 4 3 2 4 2 3 4 3 2" xfId="55324" xr:uid="{00000000-0005-0000-0000-00001ABF0000}"/>
    <cellStyle name="Normal 4 3 2 4 2 3 4 4" xfId="44371" xr:uid="{00000000-0005-0000-0000-00001BBF0000}"/>
    <cellStyle name="Normal 4 3 2 4 2 3 5" xfId="12494" xr:uid="{00000000-0005-0000-0000-00001CBF0000}"/>
    <cellStyle name="Normal 4 3 2 4 2 3 5 2" xfId="27392" xr:uid="{00000000-0005-0000-0000-00001DBF0000}"/>
    <cellStyle name="Normal 4 3 2 4 2 3 5 2 2" xfId="59263" xr:uid="{00000000-0005-0000-0000-00001EBF0000}"/>
    <cellStyle name="Normal 4 3 2 4 2 3 5 3" xfId="44373" xr:uid="{00000000-0005-0000-0000-00001FBF0000}"/>
    <cellStyle name="Normal 4 3 2 4 2 3 6" xfId="19514" xr:uid="{00000000-0005-0000-0000-000020BF0000}"/>
    <cellStyle name="Normal 4 3 2 4 2 3 6 2" xfId="51385" xr:uid="{00000000-0005-0000-0000-000021BF0000}"/>
    <cellStyle name="Normal 4 3 2 4 2 3 7" xfId="44358" xr:uid="{00000000-0005-0000-0000-000022BF0000}"/>
    <cellStyle name="Normal 4 3 2 4 2 4" xfId="12495" xr:uid="{00000000-0005-0000-0000-000023BF0000}"/>
    <cellStyle name="Normal 4 3 2 4 2 4 2" xfId="12496" xr:uid="{00000000-0005-0000-0000-000024BF0000}"/>
    <cellStyle name="Normal 4 3 2 4 2 4 2 2" xfId="12497" xr:uid="{00000000-0005-0000-0000-000025BF0000}"/>
    <cellStyle name="Normal 4 3 2 4 2 4 2 2 2" xfId="12498" xr:uid="{00000000-0005-0000-0000-000026BF0000}"/>
    <cellStyle name="Normal 4 3 2 4 2 4 2 2 2 2" xfId="31336" xr:uid="{00000000-0005-0000-0000-000027BF0000}"/>
    <cellStyle name="Normal 4 3 2 4 2 4 2 2 2 2 2" xfId="63207" xr:uid="{00000000-0005-0000-0000-000028BF0000}"/>
    <cellStyle name="Normal 4 3 2 4 2 4 2 2 2 3" xfId="44377" xr:uid="{00000000-0005-0000-0000-000029BF0000}"/>
    <cellStyle name="Normal 4 3 2 4 2 4 2 2 3" xfId="23458" xr:uid="{00000000-0005-0000-0000-00002ABF0000}"/>
    <cellStyle name="Normal 4 3 2 4 2 4 2 2 3 2" xfId="55329" xr:uid="{00000000-0005-0000-0000-00002BBF0000}"/>
    <cellStyle name="Normal 4 3 2 4 2 4 2 2 4" xfId="44376" xr:uid="{00000000-0005-0000-0000-00002CBF0000}"/>
    <cellStyle name="Normal 4 3 2 4 2 4 2 3" xfId="12499" xr:uid="{00000000-0005-0000-0000-00002DBF0000}"/>
    <cellStyle name="Normal 4 3 2 4 2 4 2 3 2" xfId="27397" xr:uid="{00000000-0005-0000-0000-00002EBF0000}"/>
    <cellStyle name="Normal 4 3 2 4 2 4 2 3 2 2" xfId="59268" xr:uid="{00000000-0005-0000-0000-00002FBF0000}"/>
    <cellStyle name="Normal 4 3 2 4 2 4 2 3 3" xfId="44378" xr:uid="{00000000-0005-0000-0000-000030BF0000}"/>
    <cellStyle name="Normal 4 3 2 4 2 4 2 4" xfId="19519" xr:uid="{00000000-0005-0000-0000-000031BF0000}"/>
    <cellStyle name="Normal 4 3 2 4 2 4 2 4 2" xfId="51390" xr:uid="{00000000-0005-0000-0000-000032BF0000}"/>
    <cellStyle name="Normal 4 3 2 4 2 4 2 5" xfId="44375" xr:uid="{00000000-0005-0000-0000-000033BF0000}"/>
    <cellStyle name="Normal 4 3 2 4 2 4 3" xfId="12500" xr:uid="{00000000-0005-0000-0000-000034BF0000}"/>
    <cellStyle name="Normal 4 3 2 4 2 4 3 2" xfId="12501" xr:uid="{00000000-0005-0000-0000-000035BF0000}"/>
    <cellStyle name="Normal 4 3 2 4 2 4 3 2 2" xfId="31335" xr:uid="{00000000-0005-0000-0000-000036BF0000}"/>
    <cellStyle name="Normal 4 3 2 4 2 4 3 2 2 2" xfId="63206" xr:uid="{00000000-0005-0000-0000-000037BF0000}"/>
    <cellStyle name="Normal 4 3 2 4 2 4 3 2 3" xfId="44380" xr:uid="{00000000-0005-0000-0000-000038BF0000}"/>
    <cellStyle name="Normal 4 3 2 4 2 4 3 3" xfId="23457" xr:uid="{00000000-0005-0000-0000-000039BF0000}"/>
    <cellStyle name="Normal 4 3 2 4 2 4 3 3 2" xfId="55328" xr:uid="{00000000-0005-0000-0000-00003ABF0000}"/>
    <cellStyle name="Normal 4 3 2 4 2 4 3 4" xfId="44379" xr:uid="{00000000-0005-0000-0000-00003BBF0000}"/>
    <cellStyle name="Normal 4 3 2 4 2 4 4" xfId="12502" xr:uid="{00000000-0005-0000-0000-00003CBF0000}"/>
    <cellStyle name="Normal 4 3 2 4 2 4 4 2" xfId="27396" xr:uid="{00000000-0005-0000-0000-00003DBF0000}"/>
    <cellStyle name="Normal 4 3 2 4 2 4 4 2 2" xfId="59267" xr:uid="{00000000-0005-0000-0000-00003EBF0000}"/>
    <cellStyle name="Normal 4 3 2 4 2 4 4 3" xfId="44381" xr:uid="{00000000-0005-0000-0000-00003FBF0000}"/>
    <cellStyle name="Normal 4 3 2 4 2 4 5" xfId="19518" xr:uid="{00000000-0005-0000-0000-000040BF0000}"/>
    <cellStyle name="Normal 4 3 2 4 2 4 5 2" xfId="51389" xr:uid="{00000000-0005-0000-0000-000041BF0000}"/>
    <cellStyle name="Normal 4 3 2 4 2 4 6" xfId="44374" xr:uid="{00000000-0005-0000-0000-000042BF0000}"/>
    <cellStyle name="Normal 4 3 2 4 2 5" xfId="12503" xr:uid="{00000000-0005-0000-0000-000043BF0000}"/>
    <cellStyle name="Normal 4 3 2 4 2 5 2" xfId="12504" xr:uid="{00000000-0005-0000-0000-000044BF0000}"/>
    <cellStyle name="Normal 4 3 2 4 2 5 2 2" xfId="12505" xr:uid="{00000000-0005-0000-0000-000045BF0000}"/>
    <cellStyle name="Normal 4 3 2 4 2 5 2 2 2" xfId="31337" xr:uid="{00000000-0005-0000-0000-000046BF0000}"/>
    <cellStyle name="Normal 4 3 2 4 2 5 2 2 2 2" xfId="63208" xr:uid="{00000000-0005-0000-0000-000047BF0000}"/>
    <cellStyle name="Normal 4 3 2 4 2 5 2 2 3" xfId="44384" xr:uid="{00000000-0005-0000-0000-000048BF0000}"/>
    <cellStyle name="Normal 4 3 2 4 2 5 2 3" xfId="23459" xr:uid="{00000000-0005-0000-0000-000049BF0000}"/>
    <cellStyle name="Normal 4 3 2 4 2 5 2 3 2" xfId="55330" xr:uid="{00000000-0005-0000-0000-00004ABF0000}"/>
    <cellStyle name="Normal 4 3 2 4 2 5 2 4" xfId="44383" xr:uid="{00000000-0005-0000-0000-00004BBF0000}"/>
    <cellStyle name="Normal 4 3 2 4 2 5 3" xfId="12506" xr:uid="{00000000-0005-0000-0000-00004CBF0000}"/>
    <cellStyle name="Normal 4 3 2 4 2 5 3 2" xfId="27398" xr:uid="{00000000-0005-0000-0000-00004DBF0000}"/>
    <cellStyle name="Normal 4 3 2 4 2 5 3 2 2" xfId="59269" xr:uid="{00000000-0005-0000-0000-00004EBF0000}"/>
    <cellStyle name="Normal 4 3 2 4 2 5 3 3" xfId="44385" xr:uid="{00000000-0005-0000-0000-00004FBF0000}"/>
    <cellStyle name="Normal 4 3 2 4 2 5 4" xfId="19520" xr:uid="{00000000-0005-0000-0000-000050BF0000}"/>
    <cellStyle name="Normal 4 3 2 4 2 5 4 2" xfId="51391" xr:uid="{00000000-0005-0000-0000-000051BF0000}"/>
    <cellStyle name="Normal 4 3 2 4 2 5 5" xfId="44382" xr:uid="{00000000-0005-0000-0000-000052BF0000}"/>
    <cellStyle name="Normal 4 3 2 4 2 6" xfId="12507" xr:uid="{00000000-0005-0000-0000-000053BF0000}"/>
    <cellStyle name="Normal 4 3 2 4 2 6 2" xfId="12508" xr:uid="{00000000-0005-0000-0000-000054BF0000}"/>
    <cellStyle name="Normal 4 3 2 4 2 6 2 2" xfId="28477" xr:uid="{00000000-0005-0000-0000-000055BF0000}"/>
    <cellStyle name="Normal 4 3 2 4 2 6 2 2 2" xfId="60348" xr:uid="{00000000-0005-0000-0000-000056BF0000}"/>
    <cellStyle name="Normal 4 3 2 4 2 6 2 3" xfId="44387" xr:uid="{00000000-0005-0000-0000-000057BF0000}"/>
    <cellStyle name="Normal 4 3 2 4 2 6 3" xfId="20599" xr:uid="{00000000-0005-0000-0000-000058BF0000}"/>
    <cellStyle name="Normal 4 3 2 4 2 6 3 2" xfId="52470" xr:uid="{00000000-0005-0000-0000-000059BF0000}"/>
    <cellStyle name="Normal 4 3 2 4 2 6 4" xfId="44386" xr:uid="{00000000-0005-0000-0000-00005ABF0000}"/>
    <cellStyle name="Normal 4 3 2 4 2 7" xfId="12509" xr:uid="{00000000-0005-0000-0000-00005BBF0000}"/>
    <cellStyle name="Normal 4 3 2 4 2 7 2" xfId="24538" xr:uid="{00000000-0005-0000-0000-00005CBF0000}"/>
    <cellStyle name="Normal 4 3 2 4 2 7 2 2" xfId="56409" xr:uid="{00000000-0005-0000-0000-00005DBF0000}"/>
    <cellStyle name="Normal 4 3 2 4 2 7 3" xfId="44388" xr:uid="{00000000-0005-0000-0000-00005EBF0000}"/>
    <cellStyle name="Normal 4 3 2 4 2 8" xfId="16660" xr:uid="{00000000-0005-0000-0000-00005FBF0000}"/>
    <cellStyle name="Normal 4 3 2 4 2 8 2" xfId="48531" xr:uid="{00000000-0005-0000-0000-000060BF0000}"/>
    <cellStyle name="Normal 4 3 2 4 2 9" xfId="44325" xr:uid="{00000000-0005-0000-0000-000061BF0000}"/>
    <cellStyle name="Normal 4 3 2 4 3" xfId="12510" xr:uid="{00000000-0005-0000-0000-000062BF0000}"/>
    <cellStyle name="Normal 4 3 2 4 3 2" xfId="12511" xr:uid="{00000000-0005-0000-0000-000063BF0000}"/>
    <cellStyle name="Normal 4 3 2 4 3 2 2" xfId="12512" xr:uid="{00000000-0005-0000-0000-000064BF0000}"/>
    <cellStyle name="Normal 4 3 2 4 3 2 2 2" xfId="12513" xr:uid="{00000000-0005-0000-0000-000065BF0000}"/>
    <cellStyle name="Normal 4 3 2 4 3 2 2 2 2" xfId="12514" xr:uid="{00000000-0005-0000-0000-000066BF0000}"/>
    <cellStyle name="Normal 4 3 2 4 3 2 2 2 2 2" xfId="12515" xr:uid="{00000000-0005-0000-0000-000067BF0000}"/>
    <cellStyle name="Normal 4 3 2 4 3 2 2 2 2 2 2" xfId="31341" xr:uid="{00000000-0005-0000-0000-000068BF0000}"/>
    <cellStyle name="Normal 4 3 2 4 3 2 2 2 2 2 2 2" xfId="63212" xr:uid="{00000000-0005-0000-0000-000069BF0000}"/>
    <cellStyle name="Normal 4 3 2 4 3 2 2 2 2 2 3" xfId="44394" xr:uid="{00000000-0005-0000-0000-00006ABF0000}"/>
    <cellStyle name="Normal 4 3 2 4 3 2 2 2 2 3" xfId="23463" xr:uid="{00000000-0005-0000-0000-00006BBF0000}"/>
    <cellStyle name="Normal 4 3 2 4 3 2 2 2 2 3 2" xfId="55334" xr:uid="{00000000-0005-0000-0000-00006CBF0000}"/>
    <cellStyle name="Normal 4 3 2 4 3 2 2 2 2 4" xfId="44393" xr:uid="{00000000-0005-0000-0000-00006DBF0000}"/>
    <cellStyle name="Normal 4 3 2 4 3 2 2 2 3" xfId="12516" xr:uid="{00000000-0005-0000-0000-00006EBF0000}"/>
    <cellStyle name="Normal 4 3 2 4 3 2 2 2 3 2" xfId="27402" xr:uid="{00000000-0005-0000-0000-00006FBF0000}"/>
    <cellStyle name="Normal 4 3 2 4 3 2 2 2 3 2 2" xfId="59273" xr:uid="{00000000-0005-0000-0000-000070BF0000}"/>
    <cellStyle name="Normal 4 3 2 4 3 2 2 2 3 3" xfId="44395" xr:uid="{00000000-0005-0000-0000-000071BF0000}"/>
    <cellStyle name="Normal 4 3 2 4 3 2 2 2 4" xfId="19524" xr:uid="{00000000-0005-0000-0000-000072BF0000}"/>
    <cellStyle name="Normal 4 3 2 4 3 2 2 2 4 2" xfId="51395" xr:uid="{00000000-0005-0000-0000-000073BF0000}"/>
    <cellStyle name="Normal 4 3 2 4 3 2 2 2 5" xfId="44392" xr:uid="{00000000-0005-0000-0000-000074BF0000}"/>
    <cellStyle name="Normal 4 3 2 4 3 2 2 3" xfId="12517" xr:uid="{00000000-0005-0000-0000-000075BF0000}"/>
    <cellStyle name="Normal 4 3 2 4 3 2 2 3 2" xfId="12518" xr:uid="{00000000-0005-0000-0000-000076BF0000}"/>
    <cellStyle name="Normal 4 3 2 4 3 2 2 3 2 2" xfId="31340" xr:uid="{00000000-0005-0000-0000-000077BF0000}"/>
    <cellStyle name="Normal 4 3 2 4 3 2 2 3 2 2 2" xfId="63211" xr:uid="{00000000-0005-0000-0000-000078BF0000}"/>
    <cellStyle name="Normal 4 3 2 4 3 2 2 3 2 3" xfId="44397" xr:uid="{00000000-0005-0000-0000-000079BF0000}"/>
    <cellStyle name="Normal 4 3 2 4 3 2 2 3 3" xfId="23462" xr:uid="{00000000-0005-0000-0000-00007ABF0000}"/>
    <cellStyle name="Normal 4 3 2 4 3 2 2 3 3 2" xfId="55333" xr:uid="{00000000-0005-0000-0000-00007BBF0000}"/>
    <cellStyle name="Normal 4 3 2 4 3 2 2 3 4" xfId="44396" xr:uid="{00000000-0005-0000-0000-00007CBF0000}"/>
    <cellStyle name="Normal 4 3 2 4 3 2 2 4" xfId="12519" xr:uid="{00000000-0005-0000-0000-00007DBF0000}"/>
    <cellStyle name="Normal 4 3 2 4 3 2 2 4 2" xfId="27401" xr:uid="{00000000-0005-0000-0000-00007EBF0000}"/>
    <cellStyle name="Normal 4 3 2 4 3 2 2 4 2 2" xfId="59272" xr:uid="{00000000-0005-0000-0000-00007FBF0000}"/>
    <cellStyle name="Normal 4 3 2 4 3 2 2 4 3" xfId="44398" xr:uid="{00000000-0005-0000-0000-000080BF0000}"/>
    <cellStyle name="Normal 4 3 2 4 3 2 2 5" xfId="19523" xr:uid="{00000000-0005-0000-0000-000081BF0000}"/>
    <cellStyle name="Normal 4 3 2 4 3 2 2 5 2" xfId="51394" xr:uid="{00000000-0005-0000-0000-000082BF0000}"/>
    <cellStyle name="Normal 4 3 2 4 3 2 2 6" xfId="44391" xr:uid="{00000000-0005-0000-0000-000083BF0000}"/>
    <cellStyle name="Normal 4 3 2 4 3 2 3" xfId="12520" xr:uid="{00000000-0005-0000-0000-000084BF0000}"/>
    <cellStyle name="Normal 4 3 2 4 3 2 3 2" xfId="12521" xr:uid="{00000000-0005-0000-0000-000085BF0000}"/>
    <cellStyle name="Normal 4 3 2 4 3 2 3 2 2" xfId="12522" xr:uid="{00000000-0005-0000-0000-000086BF0000}"/>
    <cellStyle name="Normal 4 3 2 4 3 2 3 2 2 2" xfId="31342" xr:uid="{00000000-0005-0000-0000-000087BF0000}"/>
    <cellStyle name="Normal 4 3 2 4 3 2 3 2 2 2 2" xfId="63213" xr:uid="{00000000-0005-0000-0000-000088BF0000}"/>
    <cellStyle name="Normal 4 3 2 4 3 2 3 2 2 3" xfId="44401" xr:uid="{00000000-0005-0000-0000-000089BF0000}"/>
    <cellStyle name="Normal 4 3 2 4 3 2 3 2 3" xfId="23464" xr:uid="{00000000-0005-0000-0000-00008ABF0000}"/>
    <cellStyle name="Normal 4 3 2 4 3 2 3 2 3 2" xfId="55335" xr:uid="{00000000-0005-0000-0000-00008BBF0000}"/>
    <cellStyle name="Normal 4 3 2 4 3 2 3 2 4" xfId="44400" xr:uid="{00000000-0005-0000-0000-00008CBF0000}"/>
    <cellStyle name="Normal 4 3 2 4 3 2 3 3" xfId="12523" xr:uid="{00000000-0005-0000-0000-00008DBF0000}"/>
    <cellStyle name="Normal 4 3 2 4 3 2 3 3 2" xfId="27403" xr:uid="{00000000-0005-0000-0000-00008EBF0000}"/>
    <cellStyle name="Normal 4 3 2 4 3 2 3 3 2 2" xfId="59274" xr:uid="{00000000-0005-0000-0000-00008FBF0000}"/>
    <cellStyle name="Normal 4 3 2 4 3 2 3 3 3" xfId="44402" xr:uid="{00000000-0005-0000-0000-000090BF0000}"/>
    <cellStyle name="Normal 4 3 2 4 3 2 3 4" xfId="19525" xr:uid="{00000000-0005-0000-0000-000091BF0000}"/>
    <cellStyle name="Normal 4 3 2 4 3 2 3 4 2" xfId="51396" xr:uid="{00000000-0005-0000-0000-000092BF0000}"/>
    <cellStyle name="Normal 4 3 2 4 3 2 3 5" xfId="44399" xr:uid="{00000000-0005-0000-0000-000093BF0000}"/>
    <cellStyle name="Normal 4 3 2 4 3 2 4" xfId="12524" xr:uid="{00000000-0005-0000-0000-000094BF0000}"/>
    <cellStyle name="Normal 4 3 2 4 3 2 4 2" xfId="12525" xr:uid="{00000000-0005-0000-0000-000095BF0000}"/>
    <cellStyle name="Normal 4 3 2 4 3 2 4 2 2" xfId="31339" xr:uid="{00000000-0005-0000-0000-000096BF0000}"/>
    <cellStyle name="Normal 4 3 2 4 3 2 4 2 2 2" xfId="63210" xr:uid="{00000000-0005-0000-0000-000097BF0000}"/>
    <cellStyle name="Normal 4 3 2 4 3 2 4 2 3" xfId="44404" xr:uid="{00000000-0005-0000-0000-000098BF0000}"/>
    <cellStyle name="Normal 4 3 2 4 3 2 4 3" xfId="23461" xr:uid="{00000000-0005-0000-0000-000099BF0000}"/>
    <cellStyle name="Normal 4 3 2 4 3 2 4 3 2" xfId="55332" xr:uid="{00000000-0005-0000-0000-00009ABF0000}"/>
    <cellStyle name="Normal 4 3 2 4 3 2 4 4" xfId="44403" xr:uid="{00000000-0005-0000-0000-00009BBF0000}"/>
    <cellStyle name="Normal 4 3 2 4 3 2 5" xfId="12526" xr:uid="{00000000-0005-0000-0000-00009CBF0000}"/>
    <cellStyle name="Normal 4 3 2 4 3 2 5 2" xfId="27400" xr:uid="{00000000-0005-0000-0000-00009DBF0000}"/>
    <cellStyle name="Normal 4 3 2 4 3 2 5 2 2" xfId="59271" xr:uid="{00000000-0005-0000-0000-00009EBF0000}"/>
    <cellStyle name="Normal 4 3 2 4 3 2 5 3" xfId="44405" xr:uid="{00000000-0005-0000-0000-00009FBF0000}"/>
    <cellStyle name="Normal 4 3 2 4 3 2 6" xfId="19522" xr:uid="{00000000-0005-0000-0000-0000A0BF0000}"/>
    <cellStyle name="Normal 4 3 2 4 3 2 6 2" xfId="51393" xr:uid="{00000000-0005-0000-0000-0000A1BF0000}"/>
    <cellStyle name="Normal 4 3 2 4 3 2 7" xfId="44390" xr:uid="{00000000-0005-0000-0000-0000A2BF0000}"/>
    <cellStyle name="Normal 4 3 2 4 3 3" xfId="12527" xr:uid="{00000000-0005-0000-0000-0000A3BF0000}"/>
    <cellStyle name="Normal 4 3 2 4 3 3 2" xfId="12528" xr:uid="{00000000-0005-0000-0000-0000A4BF0000}"/>
    <cellStyle name="Normal 4 3 2 4 3 3 2 2" xfId="12529" xr:uid="{00000000-0005-0000-0000-0000A5BF0000}"/>
    <cellStyle name="Normal 4 3 2 4 3 3 2 2 2" xfId="12530" xr:uid="{00000000-0005-0000-0000-0000A6BF0000}"/>
    <cellStyle name="Normal 4 3 2 4 3 3 2 2 2 2" xfId="31344" xr:uid="{00000000-0005-0000-0000-0000A7BF0000}"/>
    <cellStyle name="Normal 4 3 2 4 3 3 2 2 2 2 2" xfId="63215" xr:uid="{00000000-0005-0000-0000-0000A8BF0000}"/>
    <cellStyle name="Normal 4 3 2 4 3 3 2 2 2 3" xfId="44409" xr:uid="{00000000-0005-0000-0000-0000A9BF0000}"/>
    <cellStyle name="Normal 4 3 2 4 3 3 2 2 3" xfId="23466" xr:uid="{00000000-0005-0000-0000-0000AABF0000}"/>
    <cellStyle name="Normal 4 3 2 4 3 3 2 2 3 2" xfId="55337" xr:uid="{00000000-0005-0000-0000-0000ABBF0000}"/>
    <cellStyle name="Normal 4 3 2 4 3 3 2 2 4" xfId="44408" xr:uid="{00000000-0005-0000-0000-0000ACBF0000}"/>
    <cellStyle name="Normal 4 3 2 4 3 3 2 3" xfId="12531" xr:uid="{00000000-0005-0000-0000-0000ADBF0000}"/>
    <cellStyle name="Normal 4 3 2 4 3 3 2 3 2" xfId="27405" xr:uid="{00000000-0005-0000-0000-0000AEBF0000}"/>
    <cellStyle name="Normal 4 3 2 4 3 3 2 3 2 2" xfId="59276" xr:uid="{00000000-0005-0000-0000-0000AFBF0000}"/>
    <cellStyle name="Normal 4 3 2 4 3 3 2 3 3" xfId="44410" xr:uid="{00000000-0005-0000-0000-0000B0BF0000}"/>
    <cellStyle name="Normal 4 3 2 4 3 3 2 4" xfId="19527" xr:uid="{00000000-0005-0000-0000-0000B1BF0000}"/>
    <cellStyle name="Normal 4 3 2 4 3 3 2 4 2" xfId="51398" xr:uid="{00000000-0005-0000-0000-0000B2BF0000}"/>
    <cellStyle name="Normal 4 3 2 4 3 3 2 5" xfId="44407" xr:uid="{00000000-0005-0000-0000-0000B3BF0000}"/>
    <cellStyle name="Normal 4 3 2 4 3 3 3" xfId="12532" xr:uid="{00000000-0005-0000-0000-0000B4BF0000}"/>
    <cellStyle name="Normal 4 3 2 4 3 3 3 2" xfId="12533" xr:uid="{00000000-0005-0000-0000-0000B5BF0000}"/>
    <cellStyle name="Normal 4 3 2 4 3 3 3 2 2" xfId="31343" xr:uid="{00000000-0005-0000-0000-0000B6BF0000}"/>
    <cellStyle name="Normal 4 3 2 4 3 3 3 2 2 2" xfId="63214" xr:uid="{00000000-0005-0000-0000-0000B7BF0000}"/>
    <cellStyle name="Normal 4 3 2 4 3 3 3 2 3" xfId="44412" xr:uid="{00000000-0005-0000-0000-0000B8BF0000}"/>
    <cellStyle name="Normal 4 3 2 4 3 3 3 3" xfId="23465" xr:uid="{00000000-0005-0000-0000-0000B9BF0000}"/>
    <cellStyle name="Normal 4 3 2 4 3 3 3 3 2" xfId="55336" xr:uid="{00000000-0005-0000-0000-0000BABF0000}"/>
    <cellStyle name="Normal 4 3 2 4 3 3 3 4" xfId="44411" xr:uid="{00000000-0005-0000-0000-0000BBBF0000}"/>
    <cellStyle name="Normal 4 3 2 4 3 3 4" xfId="12534" xr:uid="{00000000-0005-0000-0000-0000BCBF0000}"/>
    <cellStyle name="Normal 4 3 2 4 3 3 4 2" xfId="27404" xr:uid="{00000000-0005-0000-0000-0000BDBF0000}"/>
    <cellStyle name="Normal 4 3 2 4 3 3 4 2 2" xfId="59275" xr:uid="{00000000-0005-0000-0000-0000BEBF0000}"/>
    <cellStyle name="Normal 4 3 2 4 3 3 4 3" xfId="44413" xr:uid="{00000000-0005-0000-0000-0000BFBF0000}"/>
    <cellStyle name="Normal 4 3 2 4 3 3 5" xfId="19526" xr:uid="{00000000-0005-0000-0000-0000C0BF0000}"/>
    <cellStyle name="Normal 4 3 2 4 3 3 5 2" xfId="51397" xr:uid="{00000000-0005-0000-0000-0000C1BF0000}"/>
    <cellStyle name="Normal 4 3 2 4 3 3 6" xfId="44406" xr:uid="{00000000-0005-0000-0000-0000C2BF0000}"/>
    <cellStyle name="Normal 4 3 2 4 3 4" xfId="12535" xr:uid="{00000000-0005-0000-0000-0000C3BF0000}"/>
    <cellStyle name="Normal 4 3 2 4 3 4 2" xfId="12536" xr:uid="{00000000-0005-0000-0000-0000C4BF0000}"/>
    <cellStyle name="Normal 4 3 2 4 3 4 2 2" xfId="12537" xr:uid="{00000000-0005-0000-0000-0000C5BF0000}"/>
    <cellStyle name="Normal 4 3 2 4 3 4 2 2 2" xfId="31345" xr:uid="{00000000-0005-0000-0000-0000C6BF0000}"/>
    <cellStyle name="Normal 4 3 2 4 3 4 2 2 2 2" xfId="63216" xr:uid="{00000000-0005-0000-0000-0000C7BF0000}"/>
    <cellStyle name="Normal 4 3 2 4 3 4 2 2 3" xfId="44416" xr:uid="{00000000-0005-0000-0000-0000C8BF0000}"/>
    <cellStyle name="Normal 4 3 2 4 3 4 2 3" xfId="23467" xr:uid="{00000000-0005-0000-0000-0000C9BF0000}"/>
    <cellStyle name="Normal 4 3 2 4 3 4 2 3 2" xfId="55338" xr:uid="{00000000-0005-0000-0000-0000CABF0000}"/>
    <cellStyle name="Normal 4 3 2 4 3 4 2 4" xfId="44415" xr:uid="{00000000-0005-0000-0000-0000CBBF0000}"/>
    <cellStyle name="Normal 4 3 2 4 3 4 3" xfId="12538" xr:uid="{00000000-0005-0000-0000-0000CCBF0000}"/>
    <cellStyle name="Normal 4 3 2 4 3 4 3 2" xfId="27406" xr:uid="{00000000-0005-0000-0000-0000CDBF0000}"/>
    <cellStyle name="Normal 4 3 2 4 3 4 3 2 2" xfId="59277" xr:uid="{00000000-0005-0000-0000-0000CEBF0000}"/>
    <cellStyle name="Normal 4 3 2 4 3 4 3 3" xfId="44417" xr:uid="{00000000-0005-0000-0000-0000CFBF0000}"/>
    <cellStyle name="Normal 4 3 2 4 3 4 4" xfId="19528" xr:uid="{00000000-0005-0000-0000-0000D0BF0000}"/>
    <cellStyle name="Normal 4 3 2 4 3 4 4 2" xfId="51399" xr:uid="{00000000-0005-0000-0000-0000D1BF0000}"/>
    <cellStyle name="Normal 4 3 2 4 3 4 5" xfId="44414" xr:uid="{00000000-0005-0000-0000-0000D2BF0000}"/>
    <cellStyle name="Normal 4 3 2 4 3 5" xfId="12539" xr:uid="{00000000-0005-0000-0000-0000D3BF0000}"/>
    <cellStyle name="Normal 4 3 2 4 3 5 2" xfId="12540" xr:uid="{00000000-0005-0000-0000-0000D4BF0000}"/>
    <cellStyle name="Normal 4 3 2 4 3 5 2 2" xfId="31338" xr:uid="{00000000-0005-0000-0000-0000D5BF0000}"/>
    <cellStyle name="Normal 4 3 2 4 3 5 2 2 2" xfId="63209" xr:uid="{00000000-0005-0000-0000-0000D6BF0000}"/>
    <cellStyle name="Normal 4 3 2 4 3 5 2 3" xfId="44419" xr:uid="{00000000-0005-0000-0000-0000D7BF0000}"/>
    <cellStyle name="Normal 4 3 2 4 3 5 3" xfId="23460" xr:uid="{00000000-0005-0000-0000-0000D8BF0000}"/>
    <cellStyle name="Normal 4 3 2 4 3 5 3 2" xfId="55331" xr:uid="{00000000-0005-0000-0000-0000D9BF0000}"/>
    <cellStyle name="Normal 4 3 2 4 3 5 4" xfId="44418" xr:uid="{00000000-0005-0000-0000-0000DABF0000}"/>
    <cellStyle name="Normal 4 3 2 4 3 6" xfId="12541" xr:uid="{00000000-0005-0000-0000-0000DBBF0000}"/>
    <cellStyle name="Normal 4 3 2 4 3 6 2" xfId="27399" xr:uid="{00000000-0005-0000-0000-0000DCBF0000}"/>
    <cellStyle name="Normal 4 3 2 4 3 6 2 2" xfId="59270" xr:uid="{00000000-0005-0000-0000-0000DDBF0000}"/>
    <cellStyle name="Normal 4 3 2 4 3 6 3" xfId="44420" xr:uid="{00000000-0005-0000-0000-0000DEBF0000}"/>
    <cellStyle name="Normal 4 3 2 4 3 7" xfId="19521" xr:uid="{00000000-0005-0000-0000-0000DFBF0000}"/>
    <cellStyle name="Normal 4 3 2 4 3 7 2" xfId="51392" xr:uid="{00000000-0005-0000-0000-0000E0BF0000}"/>
    <cellStyle name="Normal 4 3 2 4 3 8" xfId="44389" xr:uid="{00000000-0005-0000-0000-0000E1BF0000}"/>
    <cellStyle name="Normal 4 3 2 4 4" xfId="12542" xr:uid="{00000000-0005-0000-0000-0000E2BF0000}"/>
    <cellStyle name="Normal 4 3 2 4 4 2" xfId="12543" xr:uid="{00000000-0005-0000-0000-0000E3BF0000}"/>
    <cellStyle name="Normal 4 3 2 4 4 2 2" xfId="12544" xr:uid="{00000000-0005-0000-0000-0000E4BF0000}"/>
    <cellStyle name="Normal 4 3 2 4 4 2 2 2" xfId="12545" xr:uid="{00000000-0005-0000-0000-0000E5BF0000}"/>
    <cellStyle name="Normal 4 3 2 4 4 2 2 2 2" xfId="12546" xr:uid="{00000000-0005-0000-0000-0000E6BF0000}"/>
    <cellStyle name="Normal 4 3 2 4 4 2 2 2 2 2" xfId="31348" xr:uid="{00000000-0005-0000-0000-0000E7BF0000}"/>
    <cellStyle name="Normal 4 3 2 4 4 2 2 2 2 2 2" xfId="63219" xr:uid="{00000000-0005-0000-0000-0000E8BF0000}"/>
    <cellStyle name="Normal 4 3 2 4 4 2 2 2 2 3" xfId="44425" xr:uid="{00000000-0005-0000-0000-0000E9BF0000}"/>
    <cellStyle name="Normal 4 3 2 4 4 2 2 2 3" xfId="23470" xr:uid="{00000000-0005-0000-0000-0000EABF0000}"/>
    <cellStyle name="Normal 4 3 2 4 4 2 2 2 3 2" xfId="55341" xr:uid="{00000000-0005-0000-0000-0000EBBF0000}"/>
    <cellStyle name="Normal 4 3 2 4 4 2 2 2 4" xfId="44424" xr:uid="{00000000-0005-0000-0000-0000ECBF0000}"/>
    <cellStyle name="Normal 4 3 2 4 4 2 2 3" xfId="12547" xr:uid="{00000000-0005-0000-0000-0000EDBF0000}"/>
    <cellStyle name="Normal 4 3 2 4 4 2 2 3 2" xfId="27409" xr:uid="{00000000-0005-0000-0000-0000EEBF0000}"/>
    <cellStyle name="Normal 4 3 2 4 4 2 2 3 2 2" xfId="59280" xr:uid="{00000000-0005-0000-0000-0000EFBF0000}"/>
    <cellStyle name="Normal 4 3 2 4 4 2 2 3 3" xfId="44426" xr:uid="{00000000-0005-0000-0000-0000F0BF0000}"/>
    <cellStyle name="Normal 4 3 2 4 4 2 2 4" xfId="19531" xr:uid="{00000000-0005-0000-0000-0000F1BF0000}"/>
    <cellStyle name="Normal 4 3 2 4 4 2 2 4 2" xfId="51402" xr:uid="{00000000-0005-0000-0000-0000F2BF0000}"/>
    <cellStyle name="Normal 4 3 2 4 4 2 2 5" xfId="44423" xr:uid="{00000000-0005-0000-0000-0000F3BF0000}"/>
    <cellStyle name="Normal 4 3 2 4 4 2 3" xfId="12548" xr:uid="{00000000-0005-0000-0000-0000F4BF0000}"/>
    <cellStyle name="Normal 4 3 2 4 4 2 3 2" xfId="12549" xr:uid="{00000000-0005-0000-0000-0000F5BF0000}"/>
    <cellStyle name="Normal 4 3 2 4 4 2 3 2 2" xfId="31347" xr:uid="{00000000-0005-0000-0000-0000F6BF0000}"/>
    <cellStyle name="Normal 4 3 2 4 4 2 3 2 2 2" xfId="63218" xr:uid="{00000000-0005-0000-0000-0000F7BF0000}"/>
    <cellStyle name="Normal 4 3 2 4 4 2 3 2 3" xfId="44428" xr:uid="{00000000-0005-0000-0000-0000F8BF0000}"/>
    <cellStyle name="Normal 4 3 2 4 4 2 3 3" xfId="23469" xr:uid="{00000000-0005-0000-0000-0000F9BF0000}"/>
    <cellStyle name="Normal 4 3 2 4 4 2 3 3 2" xfId="55340" xr:uid="{00000000-0005-0000-0000-0000FABF0000}"/>
    <cellStyle name="Normal 4 3 2 4 4 2 3 4" xfId="44427" xr:uid="{00000000-0005-0000-0000-0000FBBF0000}"/>
    <cellStyle name="Normal 4 3 2 4 4 2 4" xfId="12550" xr:uid="{00000000-0005-0000-0000-0000FCBF0000}"/>
    <cellStyle name="Normal 4 3 2 4 4 2 4 2" xfId="27408" xr:uid="{00000000-0005-0000-0000-0000FDBF0000}"/>
    <cellStyle name="Normal 4 3 2 4 4 2 4 2 2" xfId="59279" xr:uid="{00000000-0005-0000-0000-0000FEBF0000}"/>
    <cellStyle name="Normal 4 3 2 4 4 2 4 3" xfId="44429" xr:uid="{00000000-0005-0000-0000-0000FFBF0000}"/>
    <cellStyle name="Normal 4 3 2 4 4 2 5" xfId="19530" xr:uid="{00000000-0005-0000-0000-000000C00000}"/>
    <cellStyle name="Normal 4 3 2 4 4 2 5 2" xfId="51401" xr:uid="{00000000-0005-0000-0000-000001C00000}"/>
    <cellStyle name="Normal 4 3 2 4 4 2 6" xfId="44422" xr:uid="{00000000-0005-0000-0000-000002C00000}"/>
    <cellStyle name="Normal 4 3 2 4 4 3" xfId="12551" xr:uid="{00000000-0005-0000-0000-000003C00000}"/>
    <cellStyle name="Normal 4 3 2 4 4 3 2" xfId="12552" xr:uid="{00000000-0005-0000-0000-000004C00000}"/>
    <cellStyle name="Normal 4 3 2 4 4 3 2 2" xfId="12553" xr:uid="{00000000-0005-0000-0000-000005C00000}"/>
    <cellStyle name="Normal 4 3 2 4 4 3 2 2 2" xfId="31349" xr:uid="{00000000-0005-0000-0000-000006C00000}"/>
    <cellStyle name="Normal 4 3 2 4 4 3 2 2 2 2" xfId="63220" xr:uid="{00000000-0005-0000-0000-000007C00000}"/>
    <cellStyle name="Normal 4 3 2 4 4 3 2 2 3" xfId="44432" xr:uid="{00000000-0005-0000-0000-000008C00000}"/>
    <cellStyle name="Normal 4 3 2 4 4 3 2 3" xfId="23471" xr:uid="{00000000-0005-0000-0000-000009C00000}"/>
    <cellStyle name="Normal 4 3 2 4 4 3 2 3 2" xfId="55342" xr:uid="{00000000-0005-0000-0000-00000AC00000}"/>
    <cellStyle name="Normal 4 3 2 4 4 3 2 4" xfId="44431" xr:uid="{00000000-0005-0000-0000-00000BC00000}"/>
    <cellStyle name="Normal 4 3 2 4 4 3 3" xfId="12554" xr:uid="{00000000-0005-0000-0000-00000CC00000}"/>
    <cellStyle name="Normal 4 3 2 4 4 3 3 2" xfId="27410" xr:uid="{00000000-0005-0000-0000-00000DC00000}"/>
    <cellStyle name="Normal 4 3 2 4 4 3 3 2 2" xfId="59281" xr:uid="{00000000-0005-0000-0000-00000EC00000}"/>
    <cellStyle name="Normal 4 3 2 4 4 3 3 3" xfId="44433" xr:uid="{00000000-0005-0000-0000-00000FC00000}"/>
    <cellStyle name="Normal 4 3 2 4 4 3 4" xfId="19532" xr:uid="{00000000-0005-0000-0000-000010C00000}"/>
    <cellStyle name="Normal 4 3 2 4 4 3 4 2" xfId="51403" xr:uid="{00000000-0005-0000-0000-000011C00000}"/>
    <cellStyle name="Normal 4 3 2 4 4 3 5" xfId="44430" xr:uid="{00000000-0005-0000-0000-000012C00000}"/>
    <cellStyle name="Normal 4 3 2 4 4 4" xfId="12555" xr:uid="{00000000-0005-0000-0000-000013C00000}"/>
    <cellStyle name="Normal 4 3 2 4 4 4 2" xfId="12556" xr:uid="{00000000-0005-0000-0000-000014C00000}"/>
    <cellStyle name="Normal 4 3 2 4 4 4 2 2" xfId="31346" xr:uid="{00000000-0005-0000-0000-000015C00000}"/>
    <cellStyle name="Normal 4 3 2 4 4 4 2 2 2" xfId="63217" xr:uid="{00000000-0005-0000-0000-000016C00000}"/>
    <cellStyle name="Normal 4 3 2 4 4 4 2 3" xfId="44435" xr:uid="{00000000-0005-0000-0000-000017C00000}"/>
    <cellStyle name="Normal 4 3 2 4 4 4 3" xfId="23468" xr:uid="{00000000-0005-0000-0000-000018C00000}"/>
    <cellStyle name="Normal 4 3 2 4 4 4 3 2" xfId="55339" xr:uid="{00000000-0005-0000-0000-000019C00000}"/>
    <cellStyle name="Normal 4 3 2 4 4 4 4" xfId="44434" xr:uid="{00000000-0005-0000-0000-00001AC00000}"/>
    <cellStyle name="Normal 4 3 2 4 4 5" xfId="12557" xr:uid="{00000000-0005-0000-0000-00001BC00000}"/>
    <cellStyle name="Normal 4 3 2 4 4 5 2" xfId="27407" xr:uid="{00000000-0005-0000-0000-00001CC00000}"/>
    <cellStyle name="Normal 4 3 2 4 4 5 2 2" xfId="59278" xr:uid="{00000000-0005-0000-0000-00001DC00000}"/>
    <cellStyle name="Normal 4 3 2 4 4 5 3" xfId="44436" xr:uid="{00000000-0005-0000-0000-00001EC00000}"/>
    <cellStyle name="Normal 4 3 2 4 4 6" xfId="19529" xr:uid="{00000000-0005-0000-0000-00001FC00000}"/>
    <cellStyle name="Normal 4 3 2 4 4 6 2" xfId="51400" xr:uid="{00000000-0005-0000-0000-000020C00000}"/>
    <cellStyle name="Normal 4 3 2 4 4 7" xfId="44421" xr:uid="{00000000-0005-0000-0000-000021C00000}"/>
    <cellStyle name="Normal 4 3 2 4 5" xfId="12558" xr:uid="{00000000-0005-0000-0000-000022C00000}"/>
    <cellStyle name="Normal 4 3 2 4 5 2" xfId="12559" xr:uid="{00000000-0005-0000-0000-000023C00000}"/>
    <cellStyle name="Normal 4 3 2 4 5 2 2" xfId="12560" xr:uid="{00000000-0005-0000-0000-000024C00000}"/>
    <cellStyle name="Normal 4 3 2 4 5 2 2 2" xfId="12561" xr:uid="{00000000-0005-0000-0000-000025C00000}"/>
    <cellStyle name="Normal 4 3 2 4 5 2 2 2 2" xfId="31351" xr:uid="{00000000-0005-0000-0000-000026C00000}"/>
    <cellStyle name="Normal 4 3 2 4 5 2 2 2 2 2" xfId="63222" xr:uid="{00000000-0005-0000-0000-000027C00000}"/>
    <cellStyle name="Normal 4 3 2 4 5 2 2 2 3" xfId="44440" xr:uid="{00000000-0005-0000-0000-000028C00000}"/>
    <cellStyle name="Normal 4 3 2 4 5 2 2 3" xfId="23473" xr:uid="{00000000-0005-0000-0000-000029C00000}"/>
    <cellStyle name="Normal 4 3 2 4 5 2 2 3 2" xfId="55344" xr:uid="{00000000-0005-0000-0000-00002AC00000}"/>
    <cellStyle name="Normal 4 3 2 4 5 2 2 4" xfId="44439" xr:uid="{00000000-0005-0000-0000-00002BC00000}"/>
    <cellStyle name="Normal 4 3 2 4 5 2 3" xfId="12562" xr:uid="{00000000-0005-0000-0000-00002CC00000}"/>
    <cellStyle name="Normal 4 3 2 4 5 2 3 2" xfId="27412" xr:uid="{00000000-0005-0000-0000-00002DC00000}"/>
    <cellStyle name="Normal 4 3 2 4 5 2 3 2 2" xfId="59283" xr:uid="{00000000-0005-0000-0000-00002EC00000}"/>
    <cellStyle name="Normal 4 3 2 4 5 2 3 3" xfId="44441" xr:uid="{00000000-0005-0000-0000-00002FC00000}"/>
    <cellStyle name="Normal 4 3 2 4 5 2 4" xfId="19534" xr:uid="{00000000-0005-0000-0000-000030C00000}"/>
    <cellStyle name="Normal 4 3 2 4 5 2 4 2" xfId="51405" xr:uid="{00000000-0005-0000-0000-000031C00000}"/>
    <cellStyle name="Normal 4 3 2 4 5 2 5" xfId="44438" xr:uid="{00000000-0005-0000-0000-000032C00000}"/>
    <cellStyle name="Normal 4 3 2 4 5 3" xfId="12563" xr:uid="{00000000-0005-0000-0000-000033C00000}"/>
    <cellStyle name="Normal 4 3 2 4 5 3 2" xfId="12564" xr:uid="{00000000-0005-0000-0000-000034C00000}"/>
    <cellStyle name="Normal 4 3 2 4 5 3 2 2" xfId="31350" xr:uid="{00000000-0005-0000-0000-000035C00000}"/>
    <cellStyle name="Normal 4 3 2 4 5 3 2 2 2" xfId="63221" xr:uid="{00000000-0005-0000-0000-000036C00000}"/>
    <cellStyle name="Normal 4 3 2 4 5 3 2 3" xfId="44443" xr:uid="{00000000-0005-0000-0000-000037C00000}"/>
    <cellStyle name="Normal 4 3 2 4 5 3 3" xfId="23472" xr:uid="{00000000-0005-0000-0000-000038C00000}"/>
    <cellStyle name="Normal 4 3 2 4 5 3 3 2" xfId="55343" xr:uid="{00000000-0005-0000-0000-000039C00000}"/>
    <cellStyle name="Normal 4 3 2 4 5 3 4" xfId="44442" xr:uid="{00000000-0005-0000-0000-00003AC00000}"/>
    <cellStyle name="Normal 4 3 2 4 5 4" xfId="12565" xr:uid="{00000000-0005-0000-0000-00003BC00000}"/>
    <cellStyle name="Normal 4 3 2 4 5 4 2" xfId="27411" xr:uid="{00000000-0005-0000-0000-00003CC00000}"/>
    <cellStyle name="Normal 4 3 2 4 5 4 2 2" xfId="59282" xr:uid="{00000000-0005-0000-0000-00003DC00000}"/>
    <cellStyle name="Normal 4 3 2 4 5 4 3" xfId="44444" xr:uid="{00000000-0005-0000-0000-00003EC00000}"/>
    <cellStyle name="Normal 4 3 2 4 5 5" xfId="19533" xr:uid="{00000000-0005-0000-0000-00003FC00000}"/>
    <cellStyle name="Normal 4 3 2 4 5 5 2" xfId="51404" xr:uid="{00000000-0005-0000-0000-000040C00000}"/>
    <cellStyle name="Normal 4 3 2 4 5 6" xfId="44437" xr:uid="{00000000-0005-0000-0000-000041C00000}"/>
    <cellStyle name="Normal 4 3 2 4 6" xfId="12566" xr:uid="{00000000-0005-0000-0000-000042C00000}"/>
    <cellStyle name="Normal 4 3 2 4 6 2" xfId="12567" xr:uid="{00000000-0005-0000-0000-000043C00000}"/>
    <cellStyle name="Normal 4 3 2 4 6 2 2" xfId="12568" xr:uid="{00000000-0005-0000-0000-000044C00000}"/>
    <cellStyle name="Normal 4 3 2 4 6 2 2 2" xfId="31352" xr:uid="{00000000-0005-0000-0000-000045C00000}"/>
    <cellStyle name="Normal 4 3 2 4 6 2 2 2 2" xfId="63223" xr:uid="{00000000-0005-0000-0000-000046C00000}"/>
    <cellStyle name="Normal 4 3 2 4 6 2 2 3" xfId="44447" xr:uid="{00000000-0005-0000-0000-000047C00000}"/>
    <cellStyle name="Normal 4 3 2 4 6 2 3" xfId="23474" xr:uid="{00000000-0005-0000-0000-000048C00000}"/>
    <cellStyle name="Normal 4 3 2 4 6 2 3 2" xfId="55345" xr:uid="{00000000-0005-0000-0000-000049C00000}"/>
    <cellStyle name="Normal 4 3 2 4 6 2 4" xfId="44446" xr:uid="{00000000-0005-0000-0000-00004AC00000}"/>
    <cellStyle name="Normal 4 3 2 4 6 3" xfId="12569" xr:uid="{00000000-0005-0000-0000-00004BC00000}"/>
    <cellStyle name="Normal 4 3 2 4 6 3 2" xfId="27413" xr:uid="{00000000-0005-0000-0000-00004CC00000}"/>
    <cellStyle name="Normal 4 3 2 4 6 3 2 2" xfId="59284" xr:uid="{00000000-0005-0000-0000-00004DC00000}"/>
    <cellStyle name="Normal 4 3 2 4 6 3 3" xfId="44448" xr:uid="{00000000-0005-0000-0000-00004EC00000}"/>
    <cellStyle name="Normal 4 3 2 4 6 4" xfId="19535" xr:uid="{00000000-0005-0000-0000-00004FC00000}"/>
    <cellStyle name="Normal 4 3 2 4 6 4 2" xfId="51406" xr:uid="{00000000-0005-0000-0000-000050C00000}"/>
    <cellStyle name="Normal 4 3 2 4 6 5" xfId="44445" xr:uid="{00000000-0005-0000-0000-000051C00000}"/>
    <cellStyle name="Normal 4 3 2 4 7" xfId="12570" xr:uid="{00000000-0005-0000-0000-000052C00000}"/>
    <cellStyle name="Normal 4 3 2 4 7 2" xfId="12571" xr:uid="{00000000-0005-0000-0000-000053C00000}"/>
    <cellStyle name="Normal 4 3 2 4 7 2 2" xfId="28354" xr:uid="{00000000-0005-0000-0000-000054C00000}"/>
    <cellStyle name="Normal 4 3 2 4 7 2 2 2" xfId="60225" xr:uid="{00000000-0005-0000-0000-000055C00000}"/>
    <cellStyle name="Normal 4 3 2 4 7 2 3" xfId="44450" xr:uid="{00000000-0005-0000-0000-000056C00000}"/>
    <cellStyle name="Normal 4 3 2 4 7 3" xfId="20476" xr:uid="{00000000-0005-0000-0000-000057C00000}"/>
    <cellStyle name="Normal 4 3 2 4 7 3 2" xfId="52347" xr:uid="{00000000-0005-0000-0000-000058C00000}"/>
    <cellStyle name="Normal 4 3 2 4 7 4" xfId="44449" xr:uid="{00000000-0005-0000-0000-000059C00000}"/>
    <cellStyle name="Normal 4 3 2 4 8" xfId="12572" xr:uid="{00000000-0005-0000-0000-00005AC00000}"/>
    <cellStyle name="Normal 4 3 2 4 8 2" xfId="24415" xr:uid="{00000000-0005-0000-0000-00005BC00000}"/>
    <cellStyle name="Normal 4 3 2 4 8 2 2" xfId="56286" xr:uid="{00000000-0005-0000-0000-00005CC00000}"/>
    <cellStyle name="Normal 4 3 2 4 8 3" xfId="44451" xr:uid="{00000000-0005-0000-0000-00005DC00000}"/>
    <cellStyle name="Normal 4 3 2 4 9" xfId="16537" xr:uid="{00000000-0005-0000-0000-00005EC00000}"/>
    <cellStyle name="Normal 4 3 2 4 9 2" xfId="48408" xr:uid="{00000000-0005-0000-0000-00005FC00000}"/>
    <cellStyle name="Normal 4 3 2 5" xfId="12573" xr:uid="{00000000-0005-0000-0000-000060C00000}"/>
    <cellStyle name="Normal 4 3 2 5 2" xfId="12574" xr:uid="{00000000-0005-0000-0000-000061C00000}"/>
    <cellStyle name="Normal 4 3 2 5 2 2" xfId="12575" xr:uid="{00000000-0005-0000-0000-000062C00000}"/>
    <cellStyle name="Normal 4 3 2 5 2 2 2" xfId="12576" xr:uid="{00000000-0005-0000-0000-000063C00000}"/>
    <cellStyle name="Normal 4 3 2 5 2 2 2 2" xfId="12577" xr:uid="{00000000-0005-0000-0000-000064C00000}"/>
    <cellStyle name="Normal 4 3 2 5 2 2 2 2 2" xfId="12578" xr:uid="{00000000-0005-0000-0000-000065C00000}"/>
    <cellStyle name="Normal 4 3 2 5 2 2 2 2 2 2" xfId="12579" xr:uid="{00000000-0005-0000-0000-000066C00000}"/>
    <cellStyle name="Normal 4 3 2 5 2 2 2 2 2 2 2" xfId="31356" xr:uid="{00000000-0005-0000-0000-000067C00000}"/>
    <cellStyle name="Normal 4 3 2 5 2 2 2 2 2 2 2 2" xfId="63227" xr:uid="{00000000-0005-0000-0000-000068C00000}"/>
    <cellStyle name="Normal 4 3 2 5 2 2 2 2 2 2 3" xfId="44458" xr:uid="{00000000-0005-0000-0000-000069C00000}"/>
    <cellStyle name="Normal 4 3 2 5 2 2 2 2 2 3" xfId="23478" xr:uid="{00000000-0005-0000-0000-00006AC00000}"/>
    <cellStyle name="Normal 4 3 2 5 2 2 2 2 2 3 2" xfId="55349" xr:uid="{00000000-0005-0000-0000-00006BC00000}"/>
    <cellStyle name="Normal 4 3 2 5 2 2 2 2 2 4" xfId="44457" xr:uid="{00000000-0005-0000-0000-00006CC00000}"/>
    <cellStyle name="Normal 4 3 2 5 2 2 2 2 3" xfId="12580" xr:uid="{00000000-0005-0000-0000-00006DC00000}"/>
    <cellStyle name="Normal 4 3 2 5 2 2 2 2 3 2" xfId="27417" xr:uid="{00000000-0005-0000-0000-00006EC00000}"/>
    <cellStyle name="Normal 4 3 2 5 2 2 2 2 3 2 2" xfId="59288" xr:uid="{00000000-0005-0000-0000-00006FC00000}"/>
    <cellStyle name="Normal 4 3 2 5 2 2 2 2 3 3" xfId="44459" xr:uid="{00000000-0005-0000-0000-000070C00000}"/>
    <cellStyle name="Normal 4 3 2 5 2 2 2 2 4" xfId="19539" xr:uid="{00000000-0005-0000-0000-000071C00000}"/>
    <cellStyle name="Normal 4 3 2 5 2 2 2 2 4 2" xfId="51410" xr:uid="{00000000-0005-0000-0000-000072C00000}"/>
    <cellStyle name="Normal 4 3 2 5 2 2 2 2 5" xfId="44456" xr:uid="{00000000-0005-0000-0000-000073C00000}"/>
    <cellStyle name="Normal 4 3 2 5 2 2 2 3" xfId="12581" xr:uid="{00000000-0005-0000-0000-000074C00000}"/>
    <cellStyle name="Normal 4 3 2 5 2 2 2 3 2" xfId="12582" xr:uid="{00000000-0005-0000-0000-000075C00000}"/>
    <cellStyle name="Normal 4 3 2 5 2 2 2 3 2 2" xfId="31355" xr:uid="{00000000-0005-0000-0000-000076C00000}"/>
    <cellStyle name="Normal 4 3 2 5 2 2 2 3 2 2 2" xfId="63226" xr:uid="{00000000-0005-0000-0000-000077C00000}"/>
    <cellStyle name="Normal 4 3 2 5 2 2 2 3 2 3" xfId="44461" xr:uid="{00000000-0005-0000-0000-000078C00000}"/>
    <cellStyle name="Normal 4 3 2 5 2 2 2 3 3" xfId="23477" xr:uid="{00000000-0005-0000-0000-000079C00000}"/>
    <cellStyle name="Normal 4 3 2 5 2 2 2 3 3 2" xfId="55348" xr:uid="{00000000-0005-0000-0000-00007AC00000}"/>
    <cellStyle name="Normal 4 3 2 5 2 2 2 3 4" xfId="44460" xr:uid="{00000000-0005-0000-0000-00007BC00000}"/>
    <cellStyle name="Normal 4 3 2 5 2 2 2 4" xfId="12583" xr:uid="{00000000-0005-0000-0000-00007CC00000}"/>
    <cellStyle name="Normal 4 3 2 5 2 2 2 4 2" xfId="27416" xr:uid="{00000000-0005-0000-0000-00007DC00000}"/>
    <cellStyle name="Normal 4 3 2 5 2 2 2 4 2 2" xfId="59287" xr:uid="{00000000-0005-0000-0000-00007EC00000}"/>
    <cellStyle name="Normal 4 3 2 5 2 2 2 4 3" xfId="44462" xr:uid="{00000000-0005-0000-0000-00007FC00000}"/>
    <cellStyle name="Normal 4 3 2 5 2 2 2 5" xfId="19538" xr:uid="{00000000-0005-0000-0000-000080C00000}"/>
    <cellStyle name="Normal 4 3 2 5 2 2 2 5 2" xfId="51409" xr:uid="{00000000-0005-0000-0000-000081C00000}"/>
    <cellStyle name="Normal 4 3 2 5 2 2 2 6" xfId="44455" xr:uid="{00000000-0005-0000-0000-000082C00000}"/>
    <cellStyle name="Normal 4 3 2 5 2 2 3" xfId="12584" xr:uid="{00000000-0005-0000-0000-000083C00000}"/>
    <cellStyle name="Normal 4 3 2 5 2 2 3 2" xfId="12585" xr:uid="{00000000-0005-0000-0000-000084C00000}"/>
    <cellStyle name="Normal 4 3 2 5 2 2 3 2 2" xfId="12586" xr:uid="{00000000-0005-0000-0000-000085C00000}"/>
    <cellStyle name="Normal 4 3 2 5 2 2 3 2 2 2" xfId="31357" xr:uid="{00000000-0005-0000-0000-000086C00000}"/>
    <cellStyle name="Normal 4 3 2 5 2 2 3 2 2 2 2" xfId="63228" xr:uid="{00000000-0005-0000-0000-000087C00000}"/>
    <cellStyle name="Normal 4 3 2 5 2 2 3 2 2 3" xfId="44465" xr:uid="{00000000-0005-0000-0000-000088C00000}"/>
    <cellStyle name="Normal 4 3 2 5 2 2 3 2 3" xfId="23479" xr:uid="{00000000-0005-0000-0000-000089C00000}"/>
    <cellStyle name="Normal 4 3 2 5 2 2 3 2 3 2" xfId="55350" xr:uid="{00000000-0005-0000-0000-00008AC00000}"/>
    <cellStyle name="Normal 4 3 2 5 2 2 3 2 4" xfId="44464" xr:uid="{00000000-0005-0000-0000-00008BC00000}"/>
    <cellStyle name="Normal 4 3 2 5 2 2 3 3" xfId="12587" xr:uid="{00000000-0005-0000-0000-00008CC00000}"/>
    <cellStyle name="Normal 4 3 2 5 2 2 3 3 2" xfId="27418" xr:uid="{00000000-0005-0000-0000-00008DC00000}"/>
    <cellStyle name="Normal 4 3 2 5 2 2 3 3 2 2" xfId="59289" xr:uid="{00000000-0005-0000-0000-00008EC00000}"/>
    <cellStyle name="Normal 4 3 2 5 2 2 3 3 3" xfId="44466" xr:uid="{00000000-0005-0000-0000-00008FC00000}"/>
    <cellStyle name="Normal 4 3 2 5 2 2 3 4" xfId="19540" xr:uid="{00000000-0005-0000-0000-000090C00000}"/>
    <cellStyle name="Normal 4 3 2 5 2 2 3 4 2" xfId="51411" xr:uid="{00000000-0005-0000-0000-000091C00000}"/>
    <cellStyle name="Normal 4 3 2 5 2 2 3 5" xfId="44463" xr:uid="{00000000-0005-0000-0000-000092C00000}"/>
    <cellStyle name="Normal 4 3 2 5 2 2 4" xfId="12588" xr:uid="{00000000-0005-0000-0000-000093C00000}"/>
    <cellStyle name="Normal 4 3 2 5 2 2 4 2" xfId="12589" xr:uid="{00000000-0005-0000-0000-000094C00000}"/>
    <cellStyle name="Normal 4 3 2 5 2 2 4 2 2" xfId="31354" xr:uid="{00000000-0005-0000-0000-000095C00000}"/>
    <cellStyle name="Normal 4 3 2 5 2 2 4 2 2 2" xfId="63225" xr:uid="{00000000-0005-0000-0000-000096C00000}"/>
    <cellStyle name="Normal 4 3 2 5 2 2 4 2 3" xfId="44468" xr:uid="{00000000-0005-0000-0000-000097C00000}"/>
    <cellStyle name="Normal 4 3 2 5 2 2 4 3" xfId="23476" xr:uid="{00000000-0005-0000-0000-000098C00000}"/>
    <cellStyle name="Normal 4 3 2 5 2 2 4 3 2" xfId="55347" xr:uid="{00000000-0005-0000-0000-000099C00000}"/>
    <cellStyle name="Normal 4 3 2 5 2 2 4 4" xfId="44467" xr:uid="{00000000-0005-0000-0000-00009AC00000}"/>
    <cellStyle name="Normal 4 3 2 5 2 2 5" xfId="12590" xr:uid="{00000000-0005-0000-0000-00009BC00000}"/>
    <cellStyle name="Normal 4 3 2 5 2 2 5 2" xfId="27415" xr:uid="{00000000-0005-0000-0000-00009CC00000}"/>
    <cellStyle name="Normal 4 3 2 5 2 2 5 2 2" xfId="59286" xr:uid="{00000000-0005-0000-0000-00009DC00000}"/>
    <cellStyle name="Normal 4 3 2 5 2 2 5 3" xfId="44469" xr:uid="{00000000-0005-0000-0000-00009EC00000}"/>
    <cellStyle name="Normal 4 3 2 5 2 2 6" xfId="19537" xr:uid="{00000000-0005-0000-0000-00009FC00000}"/>
    <cellStyle name="Normal 4 3 2 5 2 2 6 2" xfId="51408" xr:uid="{00000000-0005-0000-0000-0000A0C00000}"/>
    <cellStyle name="Normal 4 3 2 5 2 2 7" xfId="44454" xr:uid="{00000000-0005-0000-0000-0000A1C00000}"/>
    <cellStyle name="Normal 4 3 2 5 2 3" xfId="12591" xr:uid="{00000000-0005-0000-0000-0000A2C00000}"/>
    <cellStyle name="Normal 4 3 2 5 2 3 2" xfId="12592" xr:uid="{00000000-0005-0000-0000-0000A3C00000}"/>
    <cellStyle name="Normal 4 3 2 5 2 3 2 2" xfId="12593" xr:uid="{00000000-0005-0000-0000-0000A4C00000}"/>
    <cellStyle name="Normal 4 3 2 5 2 3 2 2 2" xfId="12594" xr:uid="{00000000-0005-0000-0000-0000A5C00000}"/>
    <cellStyle name="Normal 4 3 2 5 2 3 2 2 2 2" xfId="31359" xr:uid="{00000000-0005-0000-0000-0000A6C00000}"/>
    <cellStyle name="Normal 4 3 2 5 2 3 2 2 2 2 2" xfId="63230" xr:uid="{00000000-0005-0000-0000-0000A7C00000}"/>
    <cellStyle name="Normal 4 3 2 5 2 3 2 2 2 3" xfId="44473" xr:uid="{00000000-0005-0000-0000-0000A8C00000}"/>
    <cellStyle name="Normal 4 3 2 5 2 3 2 2 3" xfId="23481" xr:uid="{00000000-0005-0000-0000-0000A9C00000}"/>
    <cellStyle name="Normal 4 3 2 5 2 3 2 2 3 2" xfId="55352" xr:uid="{00000000-0005-0000-0000-0000AAC00000}"/>
    <cellStyle name="Normal 4 3 2 5 2 3 2 2 4" xfId="44472" xr:uid="{00000000-0005-0000-0000-0000ABC00000}"/>
    <cellStyle name="Normal 4 3 2 5 2 3 2 3" xfId="12595" xr:uid="{00000000-0005-0000-0000-0000ACC00000}"/>
    <cellStyle name="Normal 4 3 2 5 2 3 2 3 2" xfId="27420" xr:uid="{00000000-0005-0000-0000-0000ADC00000}"/>
    <cellStyle name="Normal 4 3 2 5 2 3 2 3 2 2" xfId="59291" xr:uid="{00000000-0005-0000-0000-0000AEC00000}"/>
    <cellStyle name="Normal 4 3 2 5 2 3 2 3 3" xfId="44474" xr:uid="{00000000-0005-0000-0000-0000AFC00000}"/>
    <cellStyle name="Normal 4 3 2 5 2 3 2 4" xfId="19542" xr:uid="{00000000-0005-0000-0000-0000B0C00000}"/>
    <cellStyle name="Normal 4 3 2 5 2 3 2 4 2" xfId="51413" xr:uid="{00000000-0005-0000-0000-0000B1C00000}"/>
    <cellStyle name="Normal 4 3 2 5 2 3 2 5" xfId="44471" xr:uid="{00000000-0005-0000-0000-0000B2C00000}"/>
    <cellStyle name="Normal 4 3 2 5 2 3 3" xfId="12596" xr:uid="{00000000-0005-0000-0000-0000B3C00000}"/>
    <cellStyle name="Normal 4 3 2 5 2 3 3 2" xfId="12597" xr:uid="{00000000-0005-0000-0000-0000B4C00000}"/>
    <cellStyle name="Normal 4 3 2 5 2 3 3 2 2" xfId="31358" xr:uid="{00000000-0005-0000-0000-0000B5C00000}"/>
    <cellStyle name="Normal 4 3 2 5 2 3 3 2 2 2" xfId="63229" xr:uid="{00000000-0005-0000-0000-0000B6C00000}"/>
    <cellStyle name="Normal 4 3 2 5 2 3 3 2 3" xfId="44476" xr:uid="{00000000-0005-0000-0000-0000B7C00000}"/>
    <cellStyle name="Normal 4 3 2 5 2 3 3 3" xfId="23480" xr:uid="{00000000-0005-0000-0000-0000B8C00000}"/>
    <cellStyle name="Normal 4 3 2 5 2 3 3 3 2" xfId="55351" xr:uid="{00000000-0005-0000-0000-0000B9C00000}"/>
    <cellStyle name="Normal 4 3 2 5 2 3 3 4" xfId="44475" xr:uid="{00000000-0005-0000-0000-0000BAC00000}"/>
    <cellStyle name="Normal 4 3 2 5 2 3 4" xfId="12598" xr:uid="{00000000-0005-0000-0000-0000BBC00000}"/>
    <cellStyle name="Normal 4 3 2 5 2 3 4 2" xfId="27419" xr:uid="{00000000-0005-0000-0000-0000BCC00000}"/>
    <cellStyle name="Normal 4 3 2 5 2 3 4 2 2" xfId="59290" xr:uid="{00000000-0005-0000-0000-0000BDC00000}"/>
    <cellStyle name="Normal 4 3 2 5 2 3 4 3" xfId="44477" xr:uid="{00000000-0005-0000-0000-0000BEC00000}"/>
    <cellStyle name="Normal 4 3 2 5 2 3 5" xfId="19541" xr:uid="{00000000-0005-0000-0000-0000BFC00000}"/>
    <cellStyle name="Normal 4 3 2 5 2 3 5 2" xfId="51412" xr:uid="{00000000-0005-0000-0000-0000C0C00000}"/>
    <cellStyle name="Normal 4 3 2 5 2 3 6" xfId="44470" xr:uid="{00000000-0005-0000-0000-0000C1C00000}"/>
    <cellStyle name="Normal 4 3 2 5 2 4" xfId="12599" xr:uid="{00000000-0005-0000-0000-0000C2C00000}"/>
    <cellStyle name="Normal 4 3 2 5 2 4 2" xfId="12600" xr:uid="{00000000-0005-0000-0000-0000C3C00000}"/>
    <cellStyle name="Normal 4 3 2 5 2 4 2 2" xfId="12601" xr:uid="{00000000-0005-0000-0000-0000C4C00000}"/>
    <cellStyle name="Normal 4 3 2 5 2 4 2 2 2" xfId="31360" xr:uid="{00000000-0005-0000-0000-0000C5C00000}"/>
    <cellStyle name="Normal 4 3 2 5 2 4 2 2 2 2" xfId="63231" xr:uid="{00000000-0005-0000-0000-0000C6C00000}"/>
    <cellStyle name="Normal 4 3 2 5 2 4 2 2 3" xfId="44480" xr:uid="{00000000-0005-0000-0000-0000C7C00000}"/>
    <cellStyle name="Normal 4 3 2 5 2 4 2 3" xfId="23482" xr:uid="{00000000-0005-0000-0000-0000C8C00000}"/>
    <cellStyle name="Normal 4 3 2 5 2 4 2 3 2" xfId="55353" xr:uid="{00000000-0005-0000-0000-0000C9C00000}"/>
    <cellStyle name="Normal 4 3 2 5 2 4 2 4" xfId="44479" xr:uid="{00000000-0005-0000-0000-0000CAC00000}"/>
    <cellStyle name="Normal 4 3 2 5 2 4 3" xfId="12602" xr:uid="{00000000-0005-0000-0000-0000CBC00000}"/>
    <cellStyle name="Normal 4 3 2 5 2 4 3 2" xfId="27421" xr:uid="{00000000-0005-0000-0000-0000CCC00000}"/>
    <cellStyle name="Normal 4 3 2 5 2 4 3 2 2" xfId="59292" xr:uid="{00000000-0005-0000-0000-0000CDC00000}"/>
    <cellStyle name="Normal 4 3 2 5 2 4 3 3" xfId="44481" xr:uid="{00000000-0005-0000-0000-0000CEC00000}"/>
    <cellStyle name="Normal 4 3 2 5 2 4 4" xfId="19543" xr:uid="{00000000-0005-0000-0000-0000CFC00000}"/>
    <cellStyle name="Normal 4 3 2 5 2 4 4 2" xfId="51414" xr:uid="{00000000-0005-0000-0000-0000D0C00000}"/>
    <cellStyle name="Normal 4 3 2 5 2 4 5" xfId="44478" xr:uid="{00000000-0005-0000-0000-0000D1C00000}"/>
    <cellStyle name="Normal 4 3 2 5 2 5" xfId="12603" xr:uid="{00000000-0005-0000-0000-0000D2C00000}"/>
    <cellStyle name="Normal 4 3 2 5 2 5 2" xfId="12604" xr:uid="{00000000-0005-0000-0000-0000D3C00000}"/>
    <cellStyle name="Normal 4 3 2 5 2 5 2 2" xfId="31353" xr:uid="{00000000-0005-0000-0000-0000D4C00000}"/>
    <cellStyle name="Normal 4 3 2 5 2 5 2 2 2" xfId="63224" xr:uid="{00000000-0005-0000-0000-0000D5C00000}"/>
    <cellStyle name="Normal 4 3 2 5 2 5 2 3" xfId="44483" xr:uid="{00000000-0005-0000-0000-0000D6C00000}"/>
    <cellStyle name="Normal 4 3 2 5 2 5 3" xfId="23475" xr:uid="{00000000-0005-0000-0000-0000D7C00000}"/>
    <cellStyle name="Normal 4 3 2 5 2 5 3 2" xfId="55346" xr:uid="{00000000-0005-0000-0000-0000D8C00000}"/>
    <cellStyle name="Normal 4 3 2 5 2 5 4" xfId="44482" xr:uid="{00000000-0005-0000-0000-0000D9C00000}"/>
    <cellStyle name="Normal 4 3 2 5 2 6" xfId="12605" xr:uid="{00000000-0005-0000-0000-0000DAC00000}"/>
    <cellStyle name="Normal 4 3 2 5 2 6 2" xfId="27414" xr:uid="{00000000-0005-0000-0000-0000DBC00000}"/>
    <cellStyle name="Normal 4 3 2 5 2 6 2 2" xfId="59285" xr:uid="{00000000-0005-0000-0000-0000DCC00000}"/>
    <cellStyle name="Normal 4 3 2 5 2 6 3" xfId="44484" xr:uid="{00000000-0005-0000-0000-0000DDC00000}"/>
    <cellStyle name="Normal 4 3 2 5 2 7" xfId="19536" xr:uid="{00000000-0005-0000-0000-0000DEC00000}"/>
    <cellStyle name="Normal 4 3 2 5 2 7 2" xfId="51407" xr:uid="{00000000-0005-0000-0000-0000DFC00000}"/>
    <cellStyle name="Normal 4 3 2 5 2 8" xfId="44453" xr:uid="{00000000-0005-0000-0000-0000E0C00000}"/>
    <cellStyle name="Normal 4 3 2 5 3" xfId="12606" xr:uid="{00000000-0005-0000-0000-0000E1C00000}"/>
    <cellStyle name="Normal 4 3 2 5 3 2" xfId="12607" xr:uid="{00000000-0005-0000-0000-0000E2C00000}"/>
    <cellStyle name="Normal 4 3 2 5 3 2 2" xfId="12608" xr:uid="{00000000-0005-0000-0000-0000E3C00000}"/>
    <cellStyle name="Normal 4 3 2 5 3 2 2 2" xfId="12609" xr:uid="{00000000-0005-0000-0000-0000E4C00000}"/>
    <cellStyle name="Normal 4 3 2 5 3 2 2 2 2" xfId="12610" xr:uid="{00000000-0005-0000-0000-0000E5C00000}"/>
    <cellStyle name="Normal 4 3 2 5 3 2 2 2 2 2" xfId="31363" xr:uid="{00000000-0005-0000-0000-0000E6C00000}"/>
    <cellStyle name="Normal 4 3 2 5 3 2 2 2 2 2 2" xfId="63234" xr:uid="{00000000-0005-0000-0000-0000E7C00000}"/>
    <cellStyle name="Normal 4 3 2 5 3 2 2 2 2 3" xfId="44489" xr:uid="{00000000-0005-0000-0000-0000E8C00000}"/>
    <cellStyle name="Normal 4 3 2 5 3 2 2 2 3" xfId="23485" xr:uid="{00000000-0005-0000-0000-0000E9C00000}"/>
    <cellStyle name="Normal 4 3 2 5 3 2 2 2 3 2" xfId="55356" xr:uid="{00000000-0005-0000-0000-0000EAC00000}"/>
    <cellStyle name="Normal 4 3 2 5 3 2 2 2 4" xfId="44488" xr:uid="{00000000-0005-0000-0000-0000EBC00000}"/>
    <cellStyle name="Normal 4 3 2 5 3 2 2 3" xfId="12611" xr:uid="{00000000-0005-0000-0000-0000ECC00000}"/>
    <cellStyle name="Normal 4 3 2 5 3 2 2 3 2" xfId="27424" xr:uid="{00000000-0005-0000-0000-0000EDC00000}"/>
    <cellStyle name="Normal 4 3 2 5 3 2 2 3 2 2" xfId="59295" xr:uid="{00000000-0005-0000-0000-0000EEC00000}"/>
    <cellStyle name="Normal 4 3 2 5 3 2 2 3 3" xfId="44490" xr:uid="{00000000-0005-0000-0000-0000EFC00000}"/>
    <cellStyle name="Normal 4 3 2 5 3 2 2 4" xfId="19546" xr:uid="{00000000-0005-0000-0000-0000F0C00000}"/>
    <cellStyle name="Normal 4 3 2 5 3 2 2 4 2" xfId="51417" xr:uid="{00000000-0005-0000-0000-0000F1C00000}"/>
    <cellStyle name="Normal 4 3 2 5 3 2 2 5" xfId="44487" xr:uid="{00000000-0005-0000-0000-0000F2C00000}"/>
    <cellStyle name="Normal 4 3 2 5 3 2 3" xfId="12612" xr:uid="{00000000-0005-0000-0000-0000F3C00000}"/>
    <cellStyle name="Normal 4 3 2 5 3 2 3 2" xfId="12613" xr:uid="{00000000-0005-0000-0000-0000F4C00000}"/>
    <cellStyle name="Normal 4 3 2 5 3 2 3 2 2" xfId="31362" xr:uid="{00000000-0005-0000-0000-0000F5C00000}"/>
    <cellStyle name="Normal 4 3 2 5 3 2 3 2 2 2" xfId="63233" xr:uid="{00000000-0005-0000-0000-0000F6C00000}"/>
    <cellStyle name="Normal 4 3 2 5 3 2 3 2 3" xfId="44492" xr:uid="{00000000-0005-0000-0000-0000F7C00000}"/>
    <cellStyle name="Normal 4 3 2 5 3 2 3 3" xfId="23484" xr:uid="{00000000-0005-0000-0000-0000F8C00000}"/>
    <cellStyle name="Normal 4 3 2 5 3 2 3 3 2" xfId="55355" xr:uid="{00000000-0005-0000-0000-0000F9C00000}"/>
    <cellStyle name="Normal 4 3 2 5 3 2 3 4" xfId="44491" xr:uid="{00000000-0005-0000-0000-0000FAC00000}"/>
    <cellStyle name="Normal 4 3 2 5 3 2 4" xfId="12614" xr:uid="{00000000-0005-0000-0000-0000FBC00000}"/>
    <cellStyle name="Normal 4 3 2 5 3 2 4 2" xfId="27423" xr:uid="{00000000-0005-0000-0000-0000FCC00000}"/>
    <cellStyle name="Normal 4 3 2 5 3 2 4 2 2" xfId="59294" xr:uid="{00000000-0005-0000-0000-0000FDC00000}"/>
    <cellStyle name="Normal 4 3 2 5 3 2 4 3" xfId="44493" xr:uid="{00000000-0005-0000-0000-0000FEC00000}"/>
    <cellStyle name="Normal 4 3 2 5 3 2 5" xfId="19545" xr:uid="{00000000-0005-0000-0000-0000FFC00000}"/>
    <cellStyle name="Normal 4 3 2 5 3 2 5 2" xfId="51416" xr:uid="{00000000-0005-0000-0000-000000C10000}"/>
    <cellStyle name="Normal 4 3 2 5 3 2 6" xfId="44486" xr:uid="{00000000-0005-0000-0000-000001C10000}"/>
    <cellStyle name="Normal 4 3 2 5 3 3" xfId="12615" xr:uid="{00000000-0005-0000-0000-000002C10000}"/>
    <cellStyle name="Normal 4 3 2 5 3 3 2" xfId="12616" xr:uid="{00000000-0005-0000-0000-000003C10000}"/>
    <cellStyle name="Normal 4 3 2 5 3 3 2 2" xfId="12617" xr:uid="{00000000-0005-0000-0000-000004C10000}"/>
    <cellStyle name="Normal 4 3 2 5 3 3 2 2 2" xfId="31364" xr:uid="{00000000-0005-0000-0000-000005C10000}"/>
    <cellStyle name="Normal 4 3 2 5 3 3 2 2 2 2" xfId="63235" xr:uid="{00000000-0005-0000-0000-000006C10000}"/>
    <cellStyle name="Normal 4 3 2 5 3 3 2 2 3" xfId="44496" xr:uid="{00000000-0005-0000-0000-000007C10000}"/>
    <cellStyle name="Normal 4 3 2 5 3 3 2 3" xfId="23486" xr:uid="{00000000-0005-0000-0000-000008C10000}"/>
    <cellStyle name="Normal 4 3 2 5 3 3 2 3 2" xfId="55357" xr:uid="{00000000-0005-0000-0000-000009C10000}"/>
    <cellStyle name="Normal 4 3 2 5 3 3 2 4" xfId="44495" xr:uid="{00000000-0005-0000-0000-00000AC10000}"/>
    <cellStyle name="Normal 4 3 2 5 3 3 3" xfId="12618" xr:uid="{00000000-0005-0000-0000-00000BC10000}"/>
    <cellStyle name="Normal 4 3 2 5 3 3 3 2" xfId="27425" xr:uid="{00000000-0005-0000-0000-00000CC10000}"/>
    <cellStyle name="Normal 4 3 2 5 3 3 3 2 2" xfId="59296" xr:uid="{00000000-0005-0000-0000-00000DC10000}"/>
    <cellStyle name="Normal 4 3 2 5 3 3 3 3" xfId="44497" xr:uid="{00000000-0005-0000-0000-00000EC10000}"/>
    <cellStyle name="Normal 4 3 2 5 3 3 4" xfId="19547" xr:uid="{00000000-0005-0000-0000-00000FC10000}"/>
    <cellStyle name="Normal 4 3 2 5 3 3 4 2" xfId="51418" xr:uid="{00000000-0005-0000-0000-000010C10000}"/>
    <cellStyle name="Normal 4 3 2 5 3 3 5" xfId="44494" xr:uid="{00000000-0005-0000-0000-000011C10000}"/>
    <cellStyle name="Normal 4 3 2 5 3 4" xfId="12619" xr:uid="{00000000-0005-0000-0000-000012C10000}"/>
    <cellStyle name="Normal 4 3 2 5 3 4 2" xfId="12620" xr:uid="{00000000-0005-0000-0000-000013C10000}"/>
    <cellStyle name="Normal 4 3 2 5 3 4 2 2" xfId="31361" xr:uid="{00000000-0005-0000-0000-000014C10000}"/>
    <cellStyle name="Normal 4 3 2 5 3 4 2 2 2" xfId="63232" xr:uid="{00000000-0005-0000-0000-000015C10000}"/>
    <cellStyle name="Normal 4 3 2 5 3 4 2 3" xfId="44499" xr:uid="{00000000-0005-0000-0000-000016C10000}"/>
    <cellStyle name="Normal 4 3 2 5 3 4 3" xfId="23483" xr:uid="{00000000-0005-0000-0000-000017C10000}"/>
    <cellStyle name="Normal 4 3 2 5 3 4 3 2" xfId="55354" xr:uid="{00000000-0005-0000-0000-000018C10000}"/>
    <cellStyle name="Normal 4 3 2 5 3 4 4" xfId="44498" xr:uid="{00000000-0005-0000-0000-000019C10000}"/>
    <cellStyle name="Normal 4 3 2 5 3 5" xfId="12621" xr:uid="{00000000-0005-0000-0000-00001AC10000}"/>
    <cellStyle name="Normal 4 3 2 5 3 5 2" xfId="27422" xr:uid="{00000000-0005-0000-0000-00001BC10000}"/>
    <cellStyle name="Normal 4 3 2 5 3 5 2 2" xfId="59293" xr:uid="{00000000-0005-0000-0000-00001CC10000}"/>
    <cellStyle name="Normal 4 3 2 5 3 5 3" xfId="44500" xr:uid="{00000000-0005-0000-0000-00001DC10000}"/>
    <cellStyle name="Normal 4 3 2 5 3 6" xfId="19544" xr:uid="{00000000-0005-0000-0000-00001EC10000}"/>
    <cellStyle name="Normal 4 3 2 5 3 6 2" xfId="51415" xr:uid="{00000000-0005-0000-0000-00001FC10000}"/>
    <cellStyle name="Normal 4 3 2 5 3 7" xfId="44485" xr:uid="{00000000-0005-0000-0000-000020C10000}"/>
    <cellStyle name="Normal 4 3 2 5 4" xfId="12622" xr:uid="{00000000-0005-0000-0000-000021C10000}"/>
    <cellStyle name="Normal 4 3 2 5 4 2" xfId="12623" xr:uid="{00000000-0005-0000-0000-000022C10000}"/>
    <cellStyle name="Normal 4 3 2 5 4 2 2" xfId="12624" xr:uid="{00000000-0005-0000-0000-000023C10000}"/>
    <cellStyle name="Normal 4 3 2 5 4 2 2 2" xfId="12625" xr:uid="{00000000-0005-0000-0000-000024C10000}"/>
    <cellStyle name="Normal 4 3 2 5 4 2 2 2 2" xfId="31366" xr:uid="{00000000-0005-0000-0000-000025C10000}"/>
    <cellStyle name="Normal 4 3 2 5 4 2 2 2 2 2" xfId="63237" xr:uid="{00000000-0005-0000-0000-000026C10000}"/>
    <cellStyle name="Normal 4 3 2 5 4 2 2 2 3" xfId="44504" xr:uid="{00000000-0005-0000-0000-000027C10000}"/>
    <cellStyle name="Normal 4 3 2 5 4 2 2 3" xfId="23488" xr:uid="{00000000-0005-0000-0000-000028C10000}"/>
    <cellStyle name="Normal 4 3 2 5 4 2 2 3 2" xfId="55359" xr:uid="{00000000-0005-0000-0000-000029C10000}"/>
    <cellStyle name="Normal 4 3 2 5 4 2 2 4" xfId="44503" xr:uid="{00000000-0005-0000-0000-00002AC10000}"/>
    <cellStyle name="Normal 4 3 2 5 4 2 3" xfId="12626" xr:uid="{00000000-0005-0000-0000-00002BC10000}"/>
    <cellStyle name="Normal 4 3 2 5 4 2 3 2" xfId="27427" xr:uid="{00000000-0005-0000-0000-00002CC10000}"/>
    <cellStyle name="Normal 4 3 2 5 4 2 3 2 2" xfId="59298" xr:uid="{00000000-0005-0000-0000-00002DC10000}"/>
    <cellStyle name="Normal 4 3 2 5 4 2 3 3" xfId="44505" xr:uid="{00000000-0005-0000-0000-00002EC10000}"/>
    <cellStyle name="Normal 4 3 2 5 4 2 4" xfId="19549" xr:uid="{00000000-0005-0000-0000-00002FC10000}"/>
    <cellStyle name="Normal 4 3 2 5 4 2 4 2" xfId="51420" xr:uid="{00000000-0005-0000-0000-000030C10000}"/>
    <cellStyle name="Normal 4 3 2 5 4 2 5" xfId="44502" xr:uid="{00000000-0005-0000-0000-000031C10000}"/>
    <cellStyle name="Normal 4 3 2 5 4 3" xfId="12627" xr:uid="{00000000-0005-0000-0000-000032C10000}"/>
    <cellStyle name="Normal 4 3 2 5 4 3 2" xfId="12628" xr:uid="{00000000-0005-0000-0000-000033C10000}"/>
    <cellStyle name="Normal 4 3 2 5 4 3 2 2" xfId="31365" xr:uid="{00000000-0005-0000-0000-000034C10000}"/>
    <cellStyle name="Normal 4 3 2 5 4 3 2 2 2" xfId="63236" xr:uid="{00000000-0005-0000-0000-000035C10000}"/>
    <cellStyle name="Normal 4 3 2 5 4 3 2 3" xfId="44507" xr:uid="{00000000-0005-0000-0000-000036C10000}"/>
    <cellStyle name="Normal 4 3 2 5 4 3 3" xfId="23487" xr:uid="{00000000-0005-0000-0000-000037C10000}"/>
    <cellStyle name="Normal 4 3 2 5 4 3 3 2" xfId="55358" xr:uid="{00000000-0005-0000-0000-000038C10000}"/>
    <cellStyle name="Normal 4 3 2 5 4 3 4" xfId="44506" xr:uid="{00000000-0005-0000-0000-000039C10000}"/>
    <cellStyle name="Normal 4 3 2 5 4 4" xfId="12629" xr:uid="{00000000-0005-0000-0000-00003AC10000}"/>
    <cellStyle name="Normal 4 3 2 5 4 4 2" xfId="27426" xr:uid="{00000000-0005-0000-0000-00003BC10000}"/>
    <cellStyle name="Normal 4 3 2 5 4 4 2 2" xfId="59297" xr:uid="{00000000-0005-0000-0000-00003CC10000}"/>
    <cellStyle name="Normal 4 3 2 5 4 4 3" xfId="44508" xr:uid="{00000000-0005-0000-0000-00003DC10000}"/>
    <cellStyle name="Normal 4 3 2 5 4 5" xfId="19548" xr:uid="{00000000-0005-0000-0000-00003EC10000}"/>
    <cellStyle name="Normal 4 3 2 5 4 5 2" xfId="51419" xr:uid="{00000000-0005-0000-0000-00003FC10000}"/>
    <cellStyle name="Normal 4 3 2 5 4 6" xfId="44501" xr:uid="{00000000-0005-0000-0000-000040C10000}"/>
    <cellStyle name="Normal 4 3 2 5 5" xfId="12630" xr:uid="{00000000-0005-0000-0000-000041C10000}"/>
    <cellStyle name="Normal 4 3 2 5 5 2" xfId="12631" xr:uid="{00000000-0005-0000-0000-000042C10000}"/>
    <cellStyle name="Normal 4 3 2 5 5 2 2" xfId="12632" xr:uid="{00000000-0005-0000-0000-000043C10000}"/>
    <cellStyle name="Normal 4 3 2 5 5 2 2 2" xfId="31367" xr:uid="{00000000-0005-0000-0000-000044C10000}"/>
    <cellStyle name="Normal 4 3 2 5 5 2 2 2 2" xfId="63238" xr:uid="{00000000-0005-0000-0000-000045C10000}"/>
    <cellStyle name="Normal 4 3 2 5 5 2 2 3" xfId="44511" xr:uid="{00000000-0005-0000-0000-000046C10000}"/>
    <cellStyle name="Normal 4 3 2 5 5 2 3" xfId="23489" xr:uid="{00000000-0005-0000-0000-000047C10000}"/>
    <cellStyle name="Normal 4 3 2 5 5 2 3 2" xfId="55360" xr:uid="{00000000-0005-0000-0000-000048C10000}"/>
    <cellStyle name="Normal 4 3 2 5 5 2 4" xfId="44510" xr:uid="{00000000-0005-0000-0000-000049C10000}"/>
    <cellStyle name="Normal 4 3 2 5 5 3" xfId="12633" xr:uid="{00000000-0005-0000-0000-00004AC10000}"/>
    <cellStyle name="Normal 4 3 2 5 5 3 2" xfId="27428" xr:uid="{00000000-0005-0000-0000-00004BC10000}"/>
    <cellStyle name="Normal 4 3 2 5 5 3 2 2" xfId="59299" xr:uid="{00000000-0005-0000-0000-00004CC10000}"/>
    <cellStyle name="Normal 4 3 2 5 5 3 3" xfId="44512" xr:uid="{00000000-0005-0000-0000-00004DC10000}"/>
    <cellStyle name="Normal 4 3 2 5 5 4" xfId="19550" xr:uid="{00000000-0005-0000-0000-00004EC10000}"/>
    <cellStyle name="Normal 4 3 2 5 5 4 2" xfId="51421" xr:uid="{00000000-0005-0000-0000-00004FC10000}"/>
    <cellStyle name="Normal 4 3 2 5 5 5" xfId="44509" xr:uid="{00000000-0005-0000-0000-000050C10000}"/>
    <cellStyle name="Normal 4 3 2 5 6" xfId="12634" xr:uid="{00000000-0005-0000-0000-000051C10000}"/>
    <cellStyle name="Normal 4 3 2 5 6 2" xfId="12635" xr:uid="{00000000-0005-0000-0000-000052C10000}"/>
    <cellStyle name="Normal 4 3 2 5 6 2 2" xfId="28395" xr:uid="{00000000-0005-0000-0000-000053C10000}"/>
    <cellStyle name="Normal 4 3 2 5 6 2 2 2" xfId="60266" xr:uid="{00000000-0005-0000-0000-000054C10000}"/>
    <cellStyle name="Normal 4 3 2 5 6 2 3" xfId="44514" xr:uid="{00000000-0005-0000-0000-000055C10000}"/>
    <cellStyle name="Normal 4 3 2 5 6 3" xfId="20517" xr:uid="{00000000-0005-0000-0000-000056C10000}"/>
    <cellStyle name="Normal 4 3 2 5 6 3 2" xfId="52388" xr:uid="{00000000-0005-0000-0000-000057C10000}"/>
    <cellStyle name="Normal 4 3 2 5 6 4" xfId="44513" xr:uid="{00000000-0005-0000-0000-000058C10000}"/>
    <cellStyle name="Normal 4 3 2 5 7" xfId="12636" xr:uid="{00000000-0005-0000-0000-000059C10000}"/>
    <cellStyle name="Normal 4 3 2 5 7 2" xfId="24456" xr:uid="{00000000-0005-0000-0000-00005AC10000}"/>
    <cellStyle name="Normal 4 3 2 5 7 2 2" xfId="56327" xr:uid="{00000000-0005-0000-0000-00005BC10000}"/>
    <cellStyle name="Normal 4 3 2 5 7 3" xfId="44515" xr:uid="{00000000-0005-0000-0000-00005CC10000}"/>
    <cellStyle name="Normal 4 3 2 5 8" xfId="16578" xr:uid="{00000000-0005-0000-0000-00005DC10000}"/>
    <cellStyle name="Normal 4 3 2 5 8 2" xfId="48449" xr:uid="{00000000-0005-0000-0000-00005EC10000}"/>
    <cellStyle name="Normal 4 3 2 5 9" xfId="44452" xr:uid="{00000000-0005-0000-0000-00005FC10000}"/>
    <cellStyle name="Normal 4 3 2 6" xfId="12637" xr:uid="{00000000-0005-0000-0000-000060C10000}"/>
    <cellStyle name="Normal 4 3 2 6 2" xfId="12638" xr:uid="{00000000-0005-0000-0000-000061C10000}"/>
    <cellStyle name="Normal 4 3 2 6 2 2" xfId="12639" xr:uid="{00000000-0005-0000-0000-000062C10000}"/>
    <cellStyle name="Normal 4 3 2 6 2 2 2" xfId="12640" xr:uid="{00000000-0005-0000-0000-000063C10000}"/>
    <cellStyle name="Normal 4 3 2 6 2 2 2 2" xfId="12641" xr:uid="{00000000-0005-0000-0000-000064C10000}"/>
    <cellStyle name="Normal 4 3 2 6 2 2 2 2 2" xfId="12642" xr:uid="{00000000-0005-0000-0000-000065C10000}"/>
    <cellStyle name="Normal 4 3 2 6 2 2 2 2 2 2" xfId="31370" xr:uid="{00000000-0005-0000-0000-000066C10000}"/>
    <cellStyle name="Normal 4 3 2 6 2 2 2 2 2 2 2" xfId="63241" xr:uid="{00000000-0005-0000-0000-000067C10000}"/>
    <cellStyle name="Normal 4 3 2 6 2 2 2 2 2 3" xfId="44521" xr:uid="{00000000-0005-0000-0000-000068C10000}"/>
    <cellStyle name="Normal 4 3 2 6 2 2 2 2 3" xfId="23492" xr:uid="{00000000-0005-0000-0000-000069C10000}"/>
    <cellStyle name="Normal 4 3 2 6 2 2 2 2 3 2" xfId="55363" xr:uid="{00000000-0005-0000-0000-00006AC10000}"/>
    <cellStyle name="Normal 4 3 2 6 2 2 2 2 4" xfId="44520" xr:uid="{00000000-0005-0000-0000-00006BC10000}"/>
    <cellStyle name="Normal 4 3 2 6 2 2 2 3" xfId="12643" xr:uid="{00000000-0005-0000-0000-00006CC10000}"/>
    <cellStyle name="Normal 4 3 2 6 2 2 2 3 2" xfId="27431" xr:uid="{00000000-0005-0000-0000-00006DC10000}"/>
    <cellStyle name="Normal 4 3 2 6 2 2 2 3 2 2" xfId="59302" xr:uid="{00000000-0005-0000-0000-00006EC10000}"/>
    <cellStyle name="Normal 4 3 2 6 2 2 2 3 3" xfId="44522" xr:uid="{00000000-0005-0000-0000-00006FC10000}"/>
    <cellStyle name="Normal 4 3 2 6 2 2 2 4" xfId="19553" xr:uid="{00000000-0005-0000-0000-000070C10000}"/>
    <cellStyle name="Normal 4 3 2 6 2 2 2 4 2" xfId="51424" xr:uid="{00000000-0005-0000-0000-000071C10000}"/>
    <cellStyle name="Normal 4 3 2 6 2 2 2 5" xfId="44519" xr:uid="{00000000-0005-0000-0000-000072C10000}"/>
    <cellStyle name="Normal 4 3 2 6 2 2 3" xfId="12644" xr:uid="{00000000-0005-0000-0000-000073C10000}"/>
    <cellStyle name="Normal 4 3 2 6 2 2 3 2" xfId="12645" xr:uid="{00000000-0005-0000-0000-000074C10000}"/>
    <cellStyle name="Normal 4 3 2 6 2 2 3 2 2" xfId="31369" xr:uid="{00000000-0005-0000-0000-000075C10000}"/>
    <cellStyle name="Normal 4 3 2 6 2 2 3 2 2 2" xfId="63240" xr:uid="{00000000-0005-0000-0000-000076C10000}"/>
    <cellStyle name="Normal 4 3 2 6 2 2 3 2 3" xfId="44524" xr:uid="{00000000-0005-0000-0000-000077C10000}"/>
    <cellStyle name="Normal 4 3 2 6 2 2 3 3" xfId="23491" xr:uid="{00000000-0005-0000-0000-000078C10000}"/>
    <cellStyle name="Normal 4 3 2 6 2 2 3 3 2" xfId="55362" xr:uid="{00000000-0005-0000-0000-000079C10000}"/>
    <cellStyle name="Normal 4 3 2 6 2 2 3 4" xfId="44523" xr:uid="{00000000-0005-0000-0000-00007AC10000}"/>
    <cellStyle name="Normal 4 3 2 6 2 2 4" xfId="12646" xr:uid="{00000000-0005-0000-0000-00007BC10000}"/>
    <cellStyle name="Normal 4 3 2 6 2 2 4 2" xfId="27430" xr:uid="{00000000-0005-0000-0000-00007CC10000}"/>
    <cellStyle name="Normal 4 3 2 6 2 2 4 2 2" xfId="59301" xr:uid="{00000000-0005-0000-0000-00007DC10000}"/>
    <cellStyle name="Normal 4 3 2 6 2 2 4 3" xfId="44525" xr:uid="{00000000-0005-0000-0000-00007EC10000}"/>
    <cellStyle name="Normal 4 3 2 6 2 2 5" xfId="19552" xr:uid="{00000000-0005-0000-0000-00007FC10000}"/>
    <cellStyle name="Normal 4 3 2 6 2 2 5 2" xfId="51423" xr:uid="{00000000-0005-0000-0000-000080C10000}"/>
    <cellStyle name="Normal 4 3 2 6 2 2 6" xfId="44518" xr:uid="{00000000-0005-0000-0000-000081C10000}"/>
    <cellStyle name="Normal 4 3 2 6 2 3" xfId="12647" xr:uid="{00000000-0005-0000-0000-000082C10000}"/>
    <cellStyle name="Normal 4 3 2 6 2 3 2" xfId="12648" xr:uid="{00000000-0005-0000-0000-000083C10000}"/>
    <cellStyle name="Normal 4 3 2 6 2 3 2 2" xfId="12649" xr:uid="{00000000-0005-0000-0000-000084C10000}"/>
    <cellStyle name="Normal 4 3 2 6 2 3 2 2 2" xfId="31371" xr:uid="{00000000-0005-0000-0000-000085C10000}"/>
    <cellStyle name="Normal 4 3 2 6 2 3 2 2 2 2" xfId="63242" xr:uid="{00000000-0005-0000-0000-000086C10000}"/>
    <cellStyle name="Normal 4 3 2 6 2 3 2 2 3" xfId="44528" xr:uid="{00000000-0005-0000-0000-000087C10000}"/>
    <cellStyle name="Normal 4 3 2 6 2 3 2 3" xfId="23493" xr:uid="{00000000-0005-0000-0000-000088C10000}"/>
    <cellStyle name="Normal 4 3 2 6 2 3 2 3 2" xfId="55364" xr:uid="{00000000-0005-0000-0000-000089C10000}"/>
    <cellStyle name="Normal 4 3 2 6 2 3 2 4" xfId="44527" xr:uid="{00000000-0005-0000-0000-00008AC10000}"/>
    <cellStyle name="Normal 4 3 2 6 2 3 3" xfId="12650" xr:uid="{00000000-0005-0000-0000-00008BC10000}"/>
    <cellStyle name="Normal 4 3 2 6 2 3 3 2" xfId="27432" xr:uid="{00000000-0005-0000-0000-00008CC10000}"/>
    <cellStyle name="Normal 4 3 2 6 2 3 3 2 2" xfId="59303" xr:uid="{00000000-0005-0000-0000-00008DC10000}"/>
    <cellStyle name="Normal 4 3 2 6 2 3 3 3" xfId="44529" xr:uid="{00000000-0005-0000-0000-00008EC10000}"/>
    <cellStyle name="Normal 4 3 2 6 2 3 4" xfId="19554" xr:uid="{00000000-0005-0000-0000-00008FC10000}"/>
    <cellStyle name="Normal 4 3 2 6 2 3 4 2" xfId="51425" xr:uid="{00000000-0005-0000-0000-000090C10000}"/>
    <cellStyle name="Normal 4 3 2 6 2 3 5" xfId="44526" xr:uid="{00000000-0005-0000-0000-000091C10000}"/>
    <cellStyle name="Normal 4 3 2 6 2 4" xfId="12651" xr:uid="{00000000-0005-0000-0000-000092C10000}"/>
    <cellStyle name="Normal 4 3 2 6 2 4 2" xfId="12652" xr:uid="{00000000-0005-0000-0000-000093C10000}"/>
    <cellStyle name="Normal 4 3 2 6 2 4 2 2" xfId="31368" xr:uid="{00000000-0005-0000-0000-000094C10000}"/>
    <cellStyle name="Normal 4 3 2 6 2 4 2 2 2" xfId="63239" xr:uid="{00000000-0005-0000-0000-000095C10000}"/>
    <cellStyle name="Normal 4 3 2 6 2 4 2 3" xfId="44531" xr:uid="{00000000-0005-0000-0000-000096C10000}"/>
    <cellStyle name="Normal 4 3 2 6 2 4 3" xfId="23490" xr:uid="{00000000-0005-0000-0000-000097C10000}"/>
    <cellStyle name="Normal 4 3 2 6 2 4 3 2" xfId="55361" xr:uid="{00000000-0005-0000-0000-000098C10000}"/>
    <cellStyle name="Normal 4 3 2 6 2 4 4" xfId="44530" xr:uid="{00000000-0005-0000-0000-000099C10000}"/>
    <cellStyle name="Normal 4 3 2 6 2 5" xfId="12653" xr:uid="{00000000-0005-0000-0000-00009AC10000}"/>
    <cellStyle name="Normal 4 3 2 6 2 5 2" xfId="27429" xr:uid="{00000000-0005-0000-0000-00009BC10000}"/>
    <cellStyle name="Normal 4 3 2 6 2 5 2 2" xfId="59300" xr:uid="{00000000-0005-0000-0000-00009CC10000}"/>
    <cellStyle name="Normal 4 3 2 6 2 5 3" xfId="44532" xr:uid="{00000000-0005-0000-0000-00009DC10000}"/>
    <cellStyle name="Normal 4 3 2 6 2 6" xfId="19551" xr:uid="{00000000-0005-0000-0000-00009EC10000}"/>
    <cellStyle name="Normal 4 3 2 6 2 6 2" xfId="51422" xr:uid="{00000000-0005-0000-0000-00009FC10000}"/>
    <cellStyle name="Normal 4 3 2 6 2 7" xfId="44517" xr:uid="{00000000-0005-0000-0000-0000A0C10000}"/>
    <cellStyle name="Normal 4 3 2 6 3" xfId="12654" xr:uid="{00000000-0005-0000-0000-0000A1C10000}"/>
    <cellStyle name="Normal 4 3 2 6 3 2" xfId="12655" xr:uid="{00000000-0005-0000-0000-0000A2C10000}"/>
    <cellStyle name="Normal 4 3 2 6 3 2 2" xfId="12656" xr:uid="{00000000-0005-0000-0000-0000A3C10000}"/>
    <cellStyle name="Normal 4 3 2 6 3 2 2 2" xfId="12657" xr:uid="{00000000-0005-0000-0000-0000A4C10000}"/>
    <cellStyle name="Normal 4 3 2 6 3 2 2 2 2" xfId="31373" xr:uid="{00000000-0005-0000-0000-0000A5C10000}"/>
    <cellStyle name="Normal 4 3 2 6 3 2 2 2 2 2" xfId="63244" xr:uid="{00000000-0005-0000-0000-0000A6C10000}"/>
    <cellStyle name="Normal 4 3 2 6 3 2 2 2 3" xfId="44536" xr:uid="{00000000-0005-0000-0000-0000A7C10000}"/>
    <cellStyle name="Normal 4 3 2 6 3 2 2 3" xfId="23495" xr:uid="{00000000-0005-0000-0000-0000A8C10000}"/>
    <cellStyle name="Normal 4 3 2 6 3 2 2 3 2" xfId="55366" xr:uid="{00000000-0005-0000-0000-0000A9C10000}"/>
    <cellStyle name="Normal 4 3 2 6 3 2 2 4" xfId="44535" xr:uid="{00000000-0005-0000-0000-0000AAC10000}"/>
    <cellStyle name="Normal 4 3 2 6 3 2 3" xfId="12658" xr:uid="{00000000-0005-0000-0000-0000ABC10000}"/>
    <cellStyle name="Normal 4 3 2 6 3 2 3 2" xfId="27434" xr:uid="{00000000-0005-0000-0000-0000ACC10000}"/>
    <cellStyle name="Normal 4 3 2 6 3 2 3 2 2" xfId="59305" xr:uid="{00000000-0005-0000-0000-0000ADC10000}"/>
    <cellStyle name="Normal 4 3 2 6 3 2 3 3" xfId="44537" xr:uid="{00000000-0005-0000-0000-0000AEC10000}"/>
    <cellStyle name="Normal 4 3 2 6 3 2 4" xfId="19556" xr:uid="{00000000-0005-0000-0000-0000AFC10000}"/>
    <cellStyle name="Normal 4 3 2 6 3 2 4 2" xfId="51427" xr:uid="{00000000-0005-0000-0000-0000B0C10000}"/>
    <cellStyle name="Normal 4 3 2 6 3 2 5" xfId="44534" xr:uid="{00000000-0005-0000-0000-0000B1C10000}"/>
    <cellStyle name="Normal 4 3 2 6 3 3" xfId="12659" xr:uid="{00000000-0005-0000-0000-0000B2C10000}"/>
    <cellStyle name="Normal 4 3 2 6 3 3 2" xfId="12660" xr:uid="{00000000-0005-0000-0000-0000B3C10000}"/>
    <cellStyle name="Normal 4 3 2 6 3 3 2 2" xfId="31372" xr:uid="{00000000-0005-0000-0000-0000B4C10000}"/>
    <cellStyle name="Normal 4 3 2 6 3 3 2 2 2" xfId="63243" xr:uid="{00000000-0005-0000-0000-0000B5C10000}"/>
    <cellStyle name="Normal 4 3 2 6 3 3 2 3" xfId="44539" xr:uid="{00000000-0005-0000-0000-0000B6C10000}"/>
    <cellStyle name="Normal 4 3 2 6 3 3 3" xfId="23494" xr:uid="{00000000-0005-0000-0000-0000B7C10000}"/>
    <cellStyle name="Normal 4 3 2 6 3 3 3 2" xfId="55365" xr:uid="{00000000-0005-0000-0000-0000B8C10000}"/>
    <cellStyle name="Normal 4 3 2 6 3 3 4" xfId="44538" xr:uid="{00000000-0005-0000-0000-0000B9C10000}"/>
    <cellStyle name="Normal 4 3 2 6 3 4" xfId="12661" xr:uid="{00000000-0005-0000-0000-0000BAC10000}"/>
    <cellStyle name="Normal 4 3 2 6 3 4 2" xfId="27433" xr:uid="{00000000-0005-0000-0000-0000BBC10000}"/>
    <cellStyle name="Normal 4 3 2 6 3 4 2 2" xfId="59304" xr:uid="{00000000-0005-0000-0000-0000BCC10000}"/>
    <cellStyle name="Normal 4 3 2 6 3 4 3" xfId="44540" xr:uid="{00000000-0005-0000-0000-0000BDC10000}"/>
    <cellStyle name="Normal 4 3 2 6 3 5" xfId="19555" xr:uid="{00000000-0005-0000-0000-0000BEC10000}"/>
    <cellStyle name="Normal 4 3 2 6 3 5 2" xfId="51426" xr:uid="{00000000-0005-0000-0000-0000BFC10000}"/>
    <cellStyle name="Normal 4 3 2 6 3 6" xfId="44533" xr:uid="{00000000-0005-0000-0000-0000C0C10000}"/>
    <cellStyle name="Normal 4 3 2 6 4" xfId="12662" xr:uid="{00000000-0005-0000-0000-0000C1C10000}"/>
    <cellStyle name="Normal 4 3 2 6 4 2" xfId="12663" xr:uid="{00000000-0005-0000-0000-0000C2C10000}"/>
    <cellStyle name="Normal 4 3 2 6 4 2 2" xfId="12664" xr:uid="{00000000-0005-0000-0000-0000C3C10000}"/>
    <cellStyle name="Normal 4 3 2 6 4 2 2 2" xfId="31374" xr:uid="{00000000-0005-0000-0000-0000C4C10000}"/>
    <cellStyle name="Normal 4 3 2 6 4 2 2 2 2" xfId="63245" xr:uid="{00000000-0005-0000-0000-0000C5C10000}"/>
    <cellStyle name="Normal 4 3 2 6 4 2 2 3" xfId="44543" xr:uid="{00000000-0005-0000-0000-0000C6C10000}"/>
    <cellStyle name="Normal 4 3 2 6 4 2 3" xfId="23496" xr:uid="{00000000-0005-0000-0000-0000C7C10000}"/>
    <cellStyle name="Normal 4 3 2 6 4 2 3 2" xfId="55367" xr:uid="{00000000-0005-0000-0000-0000C8C10000}"/>
    <cellStyle name="Normal 4 3 2 6 4 2 4" xfId="44542" xr:uid="{00000000-0005-0000-0000-0000C9C10000}"/>
    <cellStyle name="Normal 4 3 2 6 4 3" xfId="12665" xr:uid="{00000000-0005-0000-0000-0000CAC10000}"/>
    <cellStyle name="Normal 4 3 2 6 4 3 2" xfId="27435" xr:uid="{00000000-0005-0000-0000-0000CBC10000}"/>
    <cellStyle name="Normal 4 3 2 6 4 3 2 2" xfId="59306" xr:uid="{00000000-0005-0000-0000-0000CCC10000}"/>
    <cellStyle name="Normal 4 3 2 6 4 3 3" xfId="44544" xr:uid="{00000000-0005-0000-0000-0000CDC10000}"/>
    <cellStyle name="Normal 4 3 2 6 4 4" xfId="19557" xr:uid="{00000000-0005-0000-0000-0000CEC10000}"/>
    <cellStyle name="Normal 4 3 2 6 4 4 2" xfId="51428" xr:uid="{00000000-0005-0000-0000-0000CFC10000}"/>
    <cellStyle name="Normal 4 3 2 6 4 5" xfId="44541" xr:uid="{00000000-0005-0000-0000-0000D0C10000}"/>
    <cellStyle name="Normal 4 3 2 6 5" xfId="12666" xr:uid="{00000000-0005-0000-0000-0000D1C10000}"/>
    <cellStyle name="Normal 4 3 2 6 5 2" xfId="12667" xr:uid="{00000000-0005-0000-0000-0000D2C10000}"/>
    <cellStyle name="Normal 4 3 2 6 5 2 2" xfId="28272" xr:uid="{00000000-0005-0000-0000-0000D3C10000}"/>
    <cellStyle name="Normal 4 3 2 6 5 2 2 2" xfId="60143" xr:uid="{00000000-0005-0000-0000-0000D4C10000}"/>
    <cellStyle name="Normal 4 3 2 6 5 2 3" xfId="44546" xr:uid="{00000000-0005-0000-0000-0000D5C10000}"/>
    <cellStyle name="Normal 4 3 2 6 5 3" xfId="20394" xr:uid="{00000000-0005-0000-0000-0000D6C10000}"/>
    <cellStyle name="Normal 4 3 2 6 5 3 2" xfId="52265" xr:uid="{00000000-0005-0000-0000-0000D7C10000}"/>
    <cellStyle name="Normal 4 3 2 6 5 4" xfId="44545" xr:uid="{00000000-0005-0000-0000-0000D8C10000}"/>
    <cellStyle name="Normal 4 3 2 6 6" xfId="12668" xr:uid="{00000000-0005-0000-0000-0000D9C10000}"/>
    <cellStyle name="Normal 4 3 2 6 6 2" xfId="24333" xr:uid="{00000000-0005-0000-0000-0000DAC10000}"/>
    <cellStyle name="Normal 4 3 2 6 6 2 2" xfId="56204" xr:uid="{00000000-0005-0000-0000-0000DBC10000}"/>
    <cellStyle name="Normal 4 3 2 6 6 3" xfId="44547" xr:uid="{00000000-0005-0000-0000-0000DCC10000}"/>
    <cellStyle name="Normal 4 3 2 6 7" xfId="16455" xr:uid="{00000000-0005-0000-0000-0000DDC10000}"/>
    <cellStyle name="Normal 4 3 2 6 7 2" xfId="48326" xr:uid="{00000000-0005-0000-0000-0000DEC10000}"/>
    <cellStyle name="Normal 4 3 2 6 8" xfId="44516" xr:uid="{00000000-0005-0000-0000-0000DFC10000}"/>
    <cellStyle name="Normal 4 3 2 7" xfId="12669" xr:uid="{00000000-0005-0000-0000-0000E0C10000}"/>
    <cellStyle name="Normal 4 3 2 7 2" xfId="12670" xr:uid="{00000000-0005-0000-0000-0000E1C10000}"/>
    <cellStyle name="Normal 4 3 2 7 2 2" xfId="12671" xr:uid="{00000000-0005-0000-0000-0000E2C10000}"/>
    <cellStyle name="Normal 4 3 2 7 2 2 2" xfId="12672" xr:uid="{00000000-0005-0000-0000-0000E3C10000}"/>
    <cellStyle name="Normal 4 3 2 7 2 2 2 2" xfId="12673" xr:uid="{00000000-0005-0000-0000-0000E4C10000}"/>
    <cellStyle name="Normal 4 3 2 7 2 2 2 2 2" xfId="31377" xr:uid="{00000000-0005-0000-0000-0000E5C10000}"/>
    <cellStyle name="Normal 4 3 2 7 2 2 2 2 2 2" xfId="63248" xr:uid="{00000000-0005-0000-0000-0000E6C10000}"/>
    <cellStyle name="Normal 4 3 2 7 2 2 2 2 3" xfId="44552" xr:uid="{00000000-0005-0000-0000-0000E7C10000}"/>
    <cellStyle name="Normal 4 3 2 7 2 2 2 3" xfId="23499" xr:uid="{00000000-0005-0000-0000-0000E8C10000}"/>
    <cellStyle name="Normal 4 3 2 7 2 2 2 3 2" xfId="55370" xr:uid="{00000000-0005-0000-0000-0000E9C10000}"/>
    <cellStyle name="Normal 4 3 2 7 2 2 2 4" xfId="44551" xr:uid="{00000000-0005-0000-0000-0000EAC10000}"/>
    <cellStyle name="Normal 4 3 2 7 2 2 3" xfId="12674" xr:uid="{00000000-0005-0000-0000-0000EBC10000}"/>
    <cellStyle name="Normal 4 3 2 7 2 2 3 2" xfId="27438" xr:uid="{00000000-0005-0000-0000-0000ECC10000}"/>
    <cellStyle name="Normal 4 3 2 7 2 2 3 2 2" xfId="59309" xr:uid="{00000000-0005-0000-0000-0000EDC10000}"/>
    <cellStyle name="Normal 4 3 2 7 2 2 3 3" xfId="44553" xr:uid="{00000000-0005-0000-0000-0000EEC10000}"/>
    <cellStyle name="Normal 4 3 2 7 2 2 4" xfId="19560" xr:uid="{00000000-0005-0000-0000-0000EFC10000}"/>
    <cellStyle name="Normal 4 3 2 7 2 2 4 2" xfId="51431" xr:uid="{00000000-0005-0000-0000-0000F0C10000}"/>
    <cellStyle name="Normal 4 3 2 7 2 2 5" xfId="44550" xr:uid="{00000000-0005-0000-0000-0000F1C10000}"/>
    <cellStyle name="Normal 4 3 2 7 2 3" xfId="12675" xr:uid="{00000000-0005-0000-0000-0000F2C10000}"/>
    <cellStyle name="Normal 4 3 2 7 2 3 2" xfId="12676" xr:uid="{00000000-0005-0000-0000-0000F3C10000}"/>
    <cellStyle name="Normal 4 3 2 7 2 3 2 2" xfId="31376" xr:uid="{00000000-0005-0000-0000-0000F4C10000}"/>
    <cellStyle name="Normal 4 3 2 7 2 3 2 2 2" xfId="63247" xr:uid="{00000000-0005-0000-0000-0000F5C10000}"/>
    <cellStyle name="Normal 4 3 2 7 2 3 2 3" xfId="44555" xr:uid="{00000000-0005-0000-0000-0000F6C10000}"/>
    <cellStyle name="Normal 4 3 2 7 2 3 3" xfId="23498" xr:uid="{00000000-0005-0000-0000-0000F7C10000}"/>
    <cellStyle name="Normal 4 3 2 7 2 3 3 2" xfId="55369" xr:uid="{00000000-0005-0000-0000-0000F8C10000}"/>
    <cellStyle name="Normal 4 3 2 7 2 3 4" xfId="44554" xr:uid="{00000000-0005-0000-0000-0000F9C10000}"/>
    <cellStyle name="Normal 4 3 2 7 2 4" xfId="12677" xr:uid="{00000000-0005-0000-0000-0000FAC10000}"/>
    <cellStyle name="Normal 4 3 2 7 2 4 2" xfId="27437" xr:uid="{00000000-0005-0000-0000-0000FBC10000}"/>
    <cellStyle name="Normal 4 3 2 7 2 4 2 2" xfId="59308" xr:uid="{00000000-0005-0000-0000-0000FCC10000}"/>
    <cellStyle name="Normal 4 3 2 7 2 4 3" xfId="44556" xr:uid="{00000000-0005-0000-0000-0000FDC10000}"/>
    <cellStyle name="Normal 4 3 2 7 2 5" xfId="19559" xr:uid="{00000000-0005-0000-0000-0000FEC10000}"/>
    <cellStyle name="Normal 4 3 2 7 2 5 2" xfId="51430" xr:uid="{00000000-0005-0000-0000-0000FFC10000}"/>
    <cellStyle name="Normal 4 3 2 7 2 6" xfId="44549" xr:uid="{00000000-0005-0000-0000-000000C20000}"/>
    <cellStyle name="Normal 4 3 2 7 3" xfId="12678" xr:uid="{00000000-0005-0000-0000-000001C20000}"/>
    <cellStyle name="Normal 4 3 2 7 3 2" xfId="12679" xr:uid="{00000000-0005-0000-0000-000002C20000}"/>
    <cellStyle name="Normal 4 3 2 7 3 2 2" xfId="12680" xr:uid="{00000000-0005-0000-0000-000003C20000}"/>
    <cellStyle name="Normal 4 3 2 7 3 2 2 2" xfId="31378" xr:uid="{00000000-0005-0000-0000-000004C20000}"/>
    <cellStyle name="Normal 4 3 2 7 3 2 2 2 2" xfId="63249" xr:uid="{00000000-0005-0000-0000-000005C20000}"/>
    <cellStyle name="Normal 4 3 2 7 3 2 2 3" xfId="44559" xr:uid="{00000000-0005-0000-0000-000006C20000}"/>
    <cellStyle name="Normal 4 3 2 7 3 2 3" xfId="23500" xr:uid="{00000000-0005-0000-0000-000007C20000}"/>
    <cellStyle name="Normal 4 3 2 7 3 2 3 2" xfId="55371" xr:uid="{00000000-0005-0000-0000-000008C20000}"/>
    <cellStyle name="Normal 4 3 2 7 3 2 4" xfId="44558" xr:uid="{00000000-0005-0000-0000-000009C20000}"/>
    <cellStyle name="Normal 4 3 2 7 3 3" xfId="12681" xr:uid="{00000000-0005-0000-0000-00000AC20000}"/>
    <cellStyle name="Normal 4 3 2 7 3 3 2" xfId="27439" xr:uid="{00000000-0005-0000-0000-00000BC20000}"/>
    <cellStyle name="Normal 4 3 2 7 3 3 2 2" xfId="59310" xr:uid="{00000000-0005-0000-0000-00000CC20000}"/>
    <cellStyle name="Normal 4 3 2 7 3 3 3" xfId="44560" xr:uid="{00000000-0005-0000-0000-00000DC20000}"/>
    <cellStyle name="Normal 4 3 2 7 3 4" xfId="19561" xr:uid="{00000000-0005-0000-0000-00000EC20000}"/>
    <cellStyle name="Normal 4 3 2 7 3 4 2" xfId="51432" xr:uid="{00000000-0005-0000-0000-00000FC20000}"/>
    <cellStyle name="Normal 4 3 2 7 3 5" xfId="44557" xr:uid="{00000000-0005-0000-0000-000010C20000}"/>
    <cellStyle name="Normal 4 3 2 7 4" xfId="12682" xr:uid="{00000000-0005-0000-0000-000011C20000}"/>
    <cellStyle name="Normal 4 3 2 7 4 2" xfId="12683" xr:uid="{00000000-0005-0000-0000-000012C20000}"/>
    <cellStyle name="Normal 4 3 2 7 4 2 2" xfId="31375" xr:uid="{00000000-0005-0000-0000-000013C20000}"/>
    <cellStyle name="Normal 4 3 2 7 4 2 2 2" xfId="63246" xr:uid="{00000000-0005-0000-0000-000014C20000}"/>
    <cellStyle name="Normal 4 3 2 7 4 2 3" xfId="44562" xr:uid="{00000000-0005-0000-0000-000015C20000}"/>
    <cellStyle name="Normal 4 3 2 7 4 3" xfId="23497" xr:uid="{00000000-0005-0000-0000-000016C20000}"/>
    <cellStyle name="Normal 4 3 2 7 4 3 2" xfId="55368" xr:uid="{00000000-0005-0000-0000-000017C20000}"/>
    <cellStyle name="Normal 4 3 2 7 4 4" xfId="44561" xr:uid="{00000000-0005-0000-0000-000018C20000}"/>
    <cellStyle name="Normal 4 3 2 7 5" xfId="12684" xr:uid="{00000000-0005-0000-0000-000019C20000}"/>
    <cellStyle name="Normal 4 3 2 7 5 2" xfId="27436" xr:uid="{00000000-0005-0000-0000-00001AC20000}"/>
    <cellStyle name="Normal 4 3 2 7 5 2 2" xfId="59307" xr:uid="{00000000-0005-0000-0000-00001BC20000}"/>
    <cellStyle name="Normal 4 3 2 7 5 3" xfId="44563" xr:uid="{00000000-0005-0000-0000-00001CC20000}"/>
    <cellStyle name="Normal 4 3 2 7 6" xfId="19558" xr:uid="{00000000-0005-0000-0000-00001DC20000}"/>
    <cellStyle name="Normal 4 3 2 7 6 2" xfId="51429" xr:uid="{00000000-0005-0000-0000-00001EC20000}"/>
    <cellStyle name="Normal 4 3 2 7 7" xfId="44548" xr:uid="{00000000-0005-0000-0000-00001FC20000}"/>
    <cellStyle name="Normal 4 3 2 8" xfId="12685" xr:uid="{00000000-0005-0000-0000-000020C20000}"/>
    <cellStyle name="Normal 4 3 2 8 2" xfId="12686" xr:uid="{00000000-0005-0000-0000-000021C20000}"/>
    <cellStyle name="Normal 4 3 2 8 2 2" xfId="12687" xr:uid="{00000000-0005-0000-0000-000022C20000}"/>
    <cellStyle name="Normal 4 3 2 8 2 2 2" xfId="12688" xr:uid="{00000000-0005-0000-0000-000023C20000}"/>
    <cellStyle name="Normal 4 3 2 8 2 2 2 2" xfId="31380" xr:uid="{00000000-0005-0000-0000-000024C20000}"/>
    <cellStyle name="Normal 4 3 2 8 2 2 2 2 2" xfId="63251" xr:uid="{00000000-0005-0000-0000-000025C20000}"/>
    <cellStyle name="Normal 4 3 2 8 2 2 2 3" xfId="44567" xr:uid="{00000000-0005-0000-0000-000026C20000}"/>
    <cellStyle name="Normal 4 3 2 8 2 2 3" xfId="23502" xr:uid="{00000000-0005-0000-0000-000027C20000}"/>
    <cellStyle name="Normal 4 3 2 8 2 2 3 2" xfId="55373" xr:uid="{00000000-0005-0000-0000-000028C20000}"/>
    <cellStyle name="Normal 4 3 2 8 2 2 4" xfId="44566" xr:uid="{00000000-0005-0000-0000-000029C20000}"/>
    <cellStyle name="Normal 4 3 2 8 2 3" xfId="12689" xr:uid="{00000000-0005-0000-0000-00002AC20000}"/>
    <cellStyle name="Normal 4 3 2 8 2 3 2" xfId="27441" xr:uid="{00000000-0005-0000-0000-00002BC20000}"/>
    <cellStyle name="Normal 4 3 2 8 2 3 2 2" xfId="59312" xr:uid="{00000000-0005-0000-0000-00002CC20000}"/>
    <cellStyle name="Normal 4 3 2 8 2 3 3" xfId="44568" xr:uid="{00000000-0005-0000-0000-00002DC20000}"/>
    <cellStyle name="Normal 4 3 2 8 2 4" xfId="19563" xr:uid="{00000000-0005-0000-0000-00002EC20000}"/>
    <cellStyle name="Normal 4 3 2 8 2 4 2" xfId="51434" xr:uid="{00000000-0005-0000-0000-00002FC20000}"/>
    <cellStyle name="Normal 4 3 2 8 2 5" xfId="44565" xr:uid="{00000000-0005-0000-0000-000030C20000}"/>
    <cellStyle name="Normal 4 3 2 8 3" xfId="12690" xr:uid="{00000000-0005-0000-0000-000031C20000}"/>
    <cellStyle name="Normal 4 3 2 8 3 2" xfId="12691" xr:uid="{00000000-0005-0000-0000-000032C20000}"/>
    <cellStyle name="Normal 4 3 2 8 3 2 2" xfId="31379" xr:uid="{00000000-0005-0000-0000-000033C20000}"/>
    <cellStyle name="Normal 4 3 2 8 3 2 2 2" xfId="63250" xr:uid="{00000000-0005-0000-0000-000034C20000}"/>
    <cellStyle name="Normal 4 3 2 8 3 2 3" xfId="44570" xr:uid="{00000000-0005-0000-0000-000035C20000}"/>
    <cellStyle name="Normal 4 3 2 8 3 3" xfId="23501" xr:uid="{00000000-0005-0000-0000-000036C20000}"/>
    <cellStyle name="Normal 4 3 2 8 3 3 2" xfId="55372" xr:uid="{00000000-0005-0000-0000-000037C20000}"/>
    <cellStyle name="Normal 4 3 2 8 3 4" xfId="44569" xr:uid="{00000000-0005-0000-0000-000038C20000}"/>
    <cellStyle name="Normal 4 3 2 8 4" xfId="12692" xr:uid="{00000000-0005-0000-0000-000039C20000}"/>
    <cellStyle name="Normal 4 3 2 8 4 2" xfId="27440" xr:uid="{00000000-0005-0000-0000-00003AC20000}"/>
    <cellStyle name="Normal 4 3 2 8 4 2 2" xfId="59311" xr:uid="{00000000-0005-0000-0000-00003BC20000}"/>
    <cellStyle name="Normal 4 3 2 8 4 3" xfId="44571" xr:uid="{00000000-0005-0000-0000-00003CC20000}"/>
    <cellStyle name="Normal 4 3 2 8 5" xfId="19562" xr:uid="{00000000-0005-0000-0000-00003DC20000}"/>
    <cellStyle name="Normal 4 3 2 8 5 2" xfId="51433" xr:uid="{00000000-0005-0000-0000-00003EC20000}"/>
    <cellStyle name="Normal 4 3 2 8 6" xfId="44564" xr:uid="{00000000-0005-0000-0000-00003FC20000}"/>
    <cellStyle name="Normal 4 3 2 9" xfId="12693" xr:uid="{00000000-0005-0000-0000-000040C20000}"/>
    <cellStyle name="Normal 4 3 2 9 2" xfId="12694" xr:uid="{00000000-0005-0000-0000-000041C20000}"/>
    <cellStyle name="Normal 4 3 2 9 2 2" xfId="12695" xr:uid="{00000000-0005-0000-0000-000042C20000}"/>
    <cellStyle name="Normal 4 3 2 9 2 2 2" xfId="31381" xr:uid="{00000000-0005-0000-0000-000043C20000}"/>
    <cellStyle name="Normal 4 3 2 9 2 2 2 2" xfId="63252" xr:uid="{00000000-0005-0000-0000-000044C20000}"/>
    <cellStyle name="Normal 4 3 2 9 2 2 3" xfId="44574" xr:uid="{00000000-0005-0000-0000-000045C20000}"/>
    <cellStyle name="Normal 4 3 2 9 2 3" xfId="23503" xr:uid="{00000000-0005-0000-0000-000046C20000}"/>
    <cellStyle name="Normal 4 3 2 9 2 3 2" xfId="55374" xr:uid="{00000000-0005-0000-0000-000047C20000}"/>
    <cellStyle name="Normal 4 3 2 9 2 4" xfId="44573" xr:uid="{00000000-0005-0000-0000-000048C20000}"/>
    <cellStyle name="Normal 4 3 2 9 3" xfId="12696" xr:uid="{00000000-0005-0000-0000-000049C20000}"/>
    <cellStyle name="Normal 4 3 2 9 3 2" xfId="27442" xr:uid="{00000000-0005-0000-0000-00004AC20000}"/>
    <cellStyle name="Normal 4 3 2 9 3 2 2" xfId="59313" xr:uid="{00000000-0005-0000-0000-00004BC20000}"/>
    <cellStyle name="Normal 4 3 2 9 3 3" xfId="44575" xr:uid="{00000000-0005-0000-0000-00004CC20000}"/>
    <cellStyle name="Normal 4 3 2 9 4" xfId="19564" xr:uid="{00000000-0005-0000-0000-00004DC20000}"/>
    <cellStyle name="Normal 4 3 2 9 4 2" xfId="51435" xr:uid="{00000000-0005-0000-0000-00004EC20000}"/>
    <cellStyle name="Normal 4 3 2 9 5" xfId="44572" xr:uid="{00000000-0005-0000-0000-00004FC20000}"/>
    <cellStyle name="Normal 4 3 3" xfId="12697" xr:uid="{00000000-0005-0000-0000-000050C20000}"/>
    <cellStyle name="Normal 4 3 3 10" xfId="12698" xr:uid="{00000000-0005-0000-0000-000051C20000}"/>
    <cellStyle name="Normal 4 3 3 10 2" xfId="24317" xr:uid="{00000000-0005-0000-0000-000052C20000}"/>
    <cellStyle name="Normal 4 3 3 10 2 2" xfId="56188" xr:uid="{00000000-0005-0000-0000-000053C20000}"/>
    <cellStyle name="Normal 4 3 3 10 3" xfId="44577" xr:uid="{00000000-0005-0000-0000-000054C20000}"/>
    <cellStyle name="Normal 4 3 3 11" xfId="16439" xr:uid="{00000000-0005-0000-0000-000055C20000}"/>
    <cellStyle name="Normal 4 3 3 11 2" xfId="48310" xr:uid="{00000000-0005-0000-0000-000056C20000}"/>
    <cellStyle name="Normal 4 3 3 12" xfId="44576" xr:uid="{00000000-0005-0000-0000-000057C20000}"/>
    <cellStyle name="Normal 4 3 3 2" xfId="12699" xr:uid="{00000000-0005-0000-0000-000058C20000}"/>
    <cellStyle name="Normal 4 3 3 2 10" xfId="44578" xr:uid="{00000000-0005-0000-0000-000059C20000}"/>
    <cellStyle name="Normal 4 3 3 2 2" xfId="12700" xr:uid="{00000000-0005-0000-0000-00005AC20000}"/>
    <cellStyle name="Normal 4 3 3 2 2 2" xfId="12701" xr:uid="{00000000-0005-0000-0000-00005BC20000}"/>
    <cellStyle name="Normal 4 3 3 2 2 2 2" xfId="12702" xr:uid="{00000000-0005-0000-0000-00005CC20000}"/>
    <cellStyle name="Normal 4 3 3 2 2 2 2 2" xfId="12703" xr:uid="{00000000-0005-0000-0000-00005DC20000}"/>
    <cellStyle name="Normal 4 3 3 2 2 2 2 2 2" xfId="12704" xr:uid="{00000000-0005-0000-0000-00005EC20000}"/>
    <cellStyle name="Normal 4 3 3 2 2 2 2 2 2 2" xfId="12705" xr:uid="{00000000-0005-0000-0000-00005FC20000}"/>
    <cellStyle name="Normal 4 3 3 2 2 2 2 2 2 2 2" xfId="12706" xr:uid="{00000000-0005-0000-0000-000060C20000}"/>
    <cellStyle name="Normal 4 3 3 2 2 2 2 2 2 2 2 2" xfId="31385" xr:uid="{00000000-0005-0000-0000-000061C20000}"/>
    <cellStyle name="Normal 4 3 3 2 2 2 2 2 2 2 2 2 2" xfId="63256" xr:uid="{00000000-0005-0000-0000-000062C20000}"/>
    <cellStyle name="Normal 4 3 3 2 2 2 2 2 2 2 2 3" xfId="44585" xr:uid="{00000000-0005-0000-0000-000063C20000}"/>
    <cellStyle name="Normal 4 3 3 2 2 2 2 2 2 2 3" xfId="23507" xr:uid="{00000000-0005-0000-0000-000064C20000}"/>
    <cellStyle name="Normal 4 3 3 2 2 2 2 2 2 2 3 2" xfId="55378" xr:uid="{00000000-0005-0000-0000-000065C20000}"/>
    <cellStyle name="Normal 4 3 3 2 2 2 2 2 2 2 4" xfId="44584" xr:uid="{00000000-0005-0000-0000-000066C20000}"/>
    <cellStyle name="Normal 4 3 3 2 2 2 2 2 2 3" xfId="12707" xr:uid="{00000000-0005-0000-0000-000067C20000}"/>
    <cellStyle name="Normal 4 3 3 2 2 2 2 2 2 3 2" xfId="27446" xr:uid="{00000000-0005-0000-0000-000068C20000}"/>
    <cellStyle name="Normal 4 3 3 2 2 2 2 2 2 3 2 2" xfId="59317" xr:uid="{00000000-0005-0000-0000-000069C20000}"/>
    <cellStyle name="Normal 4 3 3 2 2 2 2 2 2 3 3" xfId="44586" xr:uid="{00000000-0005-0000-0000-00006AC20000}"/>
    <cellStyle name="Normal 4 3 3 2 2 2 2 2 2 4" xfId="19568" xr:uid="{00000000-0005-0000-0000-00006BC20000}"/>
    <cellStyle name="Normal 4 3 3 2 2 2 2 2 2 4 2" xfId="51439" xr:uid="{00000000-0005-0000-0000-00006CC20000}"/>
    <cellStyle name="Normal 4 3 3 2 2 2 2 2 2 5" xfId="44583" xr:uid="{00000000-0005-0000-0000-00006DC20000}"/>
    <cellStyle name="Normal 4 3 3 2 2 2 2 2 3" xfId="12708" xr:uid="{00000000-0005-0000-0000-00006EC20000}"/>
    <cellStyle name="Normal 4 3 3 2 2 2 2 2 3 2" xfId="12709" xr:uid="{00000000-0005-0000-0000-00006FC20000}"/>
    <cellStyle name="Normal 4 3 3 2 2 2 2 2 3 2 2" xfId="31384" xr:uid="{00000000-0005-0000-0000-000070C20000}"/>
    <cellStyle name="Normal 4 3 3 2 2 2 2 2 3 2 2 2" xfId="63255" xr:uid="{00000000-0005-0000-0000-000071C20000}"/>
    <cellStyle name="Normal 4 3 3 2 2 2 2 2 3 2 3" xfId="44588" xr:uid="{00000000-0005-0000-0000-000072C20000}"/>
    <cellStyle name="Normal 4 3 3 2 2 2 2 2 3 3" xfId="23506" xr:uid="{00000000-0005-0000-0000-000073C20000}"/>
    <cellStyle name="Normal 4 3 3 2 2 2 2 2 3 3 2" xfId="55377" xr:uid="{00000000-0005-0000-0000-000074C20000}"/>
    <cellStyle name="Normal 4 3 3 2 2 2 2 2 3 4" xfId="44587" xr:uid="{00000000-0005-0000-0000-000075C20000}"/>
    <cellStyle name="Normal 4 3 3 2 2 2 2 2 4" xfId="12710" xr:uid="{00000000-0005-0000-0000-000076C20000}"/>
    <cellStyle name="Normal 4 3 3 2 2 2 2 2 4 2" xfId="27445" xr:uid="{00000000-0005-0000-0000-000077C20000}"/>
    <cellStyle name="Normal 4 3 3 2 2 2 2 2 4 2 2" xfId="59316" xr:uid="{00000000-0005-0000-0000-000078C20000}"/>
    <cellStyle name="Normal 4 3 3 2 2 2 2 2 4 3" xfId="44589" xr:uid="{00000000-0005-0000-0000-000079C20000}"/>
    <cellStyle name="Normal 4 3 3 2 2 2 2 2 5" xfId="19567" xr:uid="{00000000-0005-0000-0000-00007AC20000}"/>
    <cellStyle name="Normal 4 3 3 2 2 2 2 2 5 2" xfId="51438" xr:uid="{00000000-0005-0000-0000-00007BC20000}"/>
    <cellStyle name="Normal 4 3 3 2 2 2 2 2 6" xfId="44582" xr:uid="{00000000-0005-0000-0000-00007CC20000}"/>
    <cellStyle name="Normal 4 3 3 2 2 2 2 3" xfId="12711" xr:uid="{00000000-0005-0000-0000-00007DC20000}"/>
    <cellStyle name="Normal 4 3 3 2 2 2 2 3 2" xfId="12712" xr:uid="{00000000-0005-0000-0000-00007EC20000}"/>
    <cellStyle name="Normal 4 3 3 2 2 2 2 3 2 2" xfId="12713" xr:uid="{00000000-0005-0000-0000-00007FC20000}"/>
    <cellStyle name="Normal 4 3 3 2 2 2 2 3 2 2 2" xfId="31386" xr:uid="{00000000-0005-0000-0000-000080C20000}"/>
    <cellStyle name="Normal 4 3 3 2 2 2 2 3 2 2 2 2" xfId="63257" xr:uid="{00000000-0005-0000-0000-000081C20000}"/>
    <cellStyle name="Normal 4 3 3 2 2 2 2 3 2 2 3" xfId="44592" xr:uid="{00000000-0005-0000-0000-000082C20000}"/>
    <cellStyle name="Normal 4 3 3 2 2 2 2 3 2 3" xfId="23508" xr:uid="{00000000-0005-0000-0000-000083C20000}"/>
    <cellStyle name="Normal 4 3 3 2 2 2 2 3 2 3 2" xfId="55379" xr:uid="{00000000-0005-0000-0000-000084C20000}"/>
    <cellStyle name="Normal 4 3 3 2 2 2 2 3 2 4" xfId="44591" xr:uid="{00000000-0005-0000-0000-000085C20000}"/>
    <cellStyle name="Normal 4 3 3 2 2 2 2 3 3" xfId="12714" xr:uid="{00000000-0005-0000-0000-000086C20000}"/>
    <cellStyle name="Normal 4 3 3 2 2 2 2 3 3 2" xfId="27447" xr:uid="{00000000-0005-0000-0000-000087C20000}"/>
    <cellStyle name="Normal 4 3 3 2 2 2 2 3 3 2 2" xfId="59318" xr:uid="{00000000-0005-0000-0000-000088C20000}"/>
    <cellStyle name="Normal 4 3 3 2 2 2 2 3 3 3" xfId="44593" xr:uid="{00000000-0005-0000-0000-000089C20000}"/>
    <cellStyle name="Normal 4 3 3 2 2 2 2 3 4" xfId="19569" xr:uid="{00000000-0005-0000-0000-00008AC20000}"/>
    <cellStyle name="Normal 4 3 3 2 2 2 2 3 4 2" xfId="51440" xr:uid="{00000000-0005-0000-0000-00008BC20000}"/>
    <cellStyle name="Normal 4 3 3 2 2 2 2 3 5" xfId="44590" xr:uid="{00000000-0005-0000-0000-00008CC20000}"/>
    <cellStyle name="Normal 4 3 3 2 2 2 2 4" xfId="12715" xr:uid="{00000000-0005-0000-0000-00008DC20000}"/>
    <cellStyle name="Normal 4 3 3 2 2 2 2 4 2" xfId="12716" xr:uid="{00000000-0005-0000-0000-00008EC20000}"/>
    <cellStyle name="Normal 4 3 3 2 2 2 2 4 2 2" xfId="31383" xr:uid="{00000000-0005-0000-0000-00008FC20000}"/>
    <cellStyle name="Normal 4 3 3 2 2 2 2 4 2 2 2" xfId="63254" xr:uid="{00000000-0005-0000-0000-000090C20000}"/>
    <cellStyle name="Normal 4 3 3 2 2 2 2 4 2 3" xfId="44595" xr:uid="{00000000-0005-0000-0000-000091C20000}"/>
    <cellStyle name="Normal 4 3 3 2 2 2 2 4 3" xfId="23505" xr:uid="{00000000-0005-0000-0000-000092C20000}"/>
    <cellStyle name="Normal 4 3 3 2 2 2 2 4 3 2" xfId="55376" xr:uid="{00000000-0005-0000-0000-000093C20000}"/>
    <cellStyle name="Normal 4 3 3 2 2 2 2 4 4" xfId="44594" xr:uid="{00000000-0005-0000-0000-000094C20000}"/>
    <cellStyle name="Normal 4 3 3 2 2 2 2 5" xfId="12717" xr:uid="{00000000-0005-0000-0000-000095C20000}"/>
    <cellStyle name="Normal 4 3 3 2 2 2 2 5 2" xfId="27444" xr:uid="{00000000-0005-0000-0000-000096C20000}"/>
    <cellStyle name="Normal 4 3 3 2 2 2 2 5 2 2" xfId="59315" xr:uid="{00000000-0005-0000-0000-000097C20000}"/>
    <cellStyle name="Normal 4 3 3 2 2 2 2 5 3" xfId="44596" xr:uid="{00000000-0005-0000-0000-000098C20000}"/>
    <cellStyle name="Normal 4 3 3 2 2 2 2 6" xfId="19566" xr:uid="{00000000-0005-0000-0000-000099C20000}"/>
    <cellStyle name="Normal 4 3 3 2 2 2 2 6 2" xfId="51437" xr:uid="{00000000-0005-0000-0000-00009AC20000}"/>
    <cellStyle name="Normal 4 3 3 2 2 2 2 7" xfId="44581" xr:uid="{00000000-0005-0000-0000-00009BC20000}"/>
    <cellStyle name="Normal 4 3 3 2 2 2 3" xfId="12718" xr:uid="{00000000-0005-0000-0000-00009CC20000}"/>
    <cellStyle name="Normal 4 3 3 2 2 2 3 2" xfId="12719" xr:uid="{00000000-0005-0000-0000-00009DC20000}"/>
    <cellStyle name="Normal 4 3 3 2 2 2 3 2 2" xfId="12720" xr:uid="{00000000-0005-0000-0000-00009EC20000}"/>
    <cellStyle name="Normal 4 3 3 2 2 2 3 2 2 2" xfId="12721" xr:uid="{00000000-0005-0000-0000-00009FC20000}"/>
    <cellStyle name="Normal 4 3 3 2 2 2 3 2 2 2 2" xfId="31388" xr:uid="{00000000-0005-0000-0000-0000A0C20000}"/>
    <cellStyle name="Normal 4 3 3 2 2 2 3 2 2 2 2 2" xfId="63259" xr:uid="{00000000-0005-0000-0000-0000A1C20000}"/>
    <cellStyle name="Normal 4 3 3 2 2 2 3 2 2 2 3" xfId="44600" xr:uid="{00000000-0005-0000-0000-0000A2C20000}"/>
    <cellStyle name="Normal 4 3 3 2 2 2 3 2 2 3" xfId="23510" xr:uid="{00000000-0005-0000-0000-0000A3C20000}"/>
    <cellStyle name="Normal 4 3 3 2 2 2 3 2 2 3 2" xfId="55381" xr:uid="{00000000-0005-0000-0000-0000A4C20000}"/>
    <cellStyle name="Normal 4 3 3 2 2 2 3 2 2 4" xfId="44599" xr:uid="{00000000-0005-0000-0000-0000A5C20000}"/>
    <cellStyle name="Normal 4 3 3 2 2 2 3 2 3" xfId="12722" xr:uid="{00000000-0005-0000-0000-0000A6C20000}"/>
    <cellStyle name="Normal 4 3 3 2 2 2 3 2 3 2" xfId="27449" xr:uid="{00000000-0005-0000-0000-0000A7C20000}"/>
    <cellStyle name="Normal 4 3 3 2 2 2 3 2 3 2 2" xfId="59320" xr:uid="{00000000-0005-0000-0000-0000A8C20000}"/>
    <cellStyle name="Normal 4 3 3 2 2 2 3 2 3 3" xfId="44601" xr:uid="{00000000-0005-0000-0000-0000A9C20000}"/>
    <cellStyle name="Normal 4 3 3 2 2 2 3 2 4" xfId="19571" xr:uid="{00000000-0005-0000-0000-0000AAC20000}"/>
    <cellStyle name="Normal 4 3 3 2 2 2 3 2 4 2" xfId="51442" xr:uid="{00000000-0005-0000-0000-0000ABC20000}"/>
    <cellStyle name="Normal 4 3 3 2 2 2 3 2 5" xfId="44598" xr:uid="{00000000-0005-0000-0000-0000ACC20000}"/>
    <cellStyle name="Normal 4 3 3 2 2 2 3 3" xfId="12723" xr:uid="{00000000-0005-0000-0000-0000ADC20000}"/>
    <cellStyle name="Normal 4 3 3 2 2 2 3 3 2" xfId="12724" xr:uid="{00000000-0005-0000-0000-0000AEC20000}"/>
    <cellStyle name="Normal 4 3 3 2 2 2 3 3 2 2" xfId="31387" xr:uid="{00000000-0005-0000-0000-0000AFC20000}"/>
    <cellStyle name="Normal 4 3 3 2 2 2 3 3 2 2 2" xfId="63258" xr:uid="{00000000-0005-0000-0000-0000B0C20000}"/>
    <cellStyle name="Normal 4 3 3 2 2 2 3 3 2 3" xfId="44603" xr:uid="{00000000-0005-0000-0000-0000B1C20000}"/>
    <cellStyle name="Normal 4 3 3 2 2 2 3 3 3" xfId="23509" xr:uid="{00000000-0005-0000-0000-0000B2C20000}"/>
    <cellStyle name="Normal 4 3 3 2 2 2 3 3 3 2" xfId="55380" xr:uid="{00000000-0005-0000-0000-0000B3C20000}"/>
    <cellStyle name="Normal 4 3 3 2 2 2 3 3 4" xfId="44602" xr:uid="{00000000-0005-0000-0000-0000B4C20000}"/>
    <cellStyle name="Normal 4 3 3 2 2 2 3 4" xfId="12725" xr:uid="{00000000-0005-0000-0000-0000B5C20000}"/>
    <cellStyle name="Normal 4 3 3 2 2 2 3 4 2" xfId="27448" xr:uid="{00000000-0005-0000-0000-0000B6C20000}"/>
    <cellStyle name="Normal 4 3 3 2 2 2 3 4 2 2" xfId="59319" xr:uid="{00000000-0005-0000-0000-0000B7C20000}"/>
    <cellStyle name="Normal 4 3 3 2 2 2 3 4 3" xfId="44604" xr:uid="{00000000-0005-0000-0000-0000B8C20000}"/>
    <cellStyle name="Normal 4 3 3 2 2 2 3 5" xfId="19570" xr:uid="{00000000-0005-0000-0000-0000B9C20000}"/>
    <cellStyle name="Normal 4 3 3 2 2 2 3 5 2" xfId="51441" xr:uid="{00000000-0005-0000-0000-0000BAC20000}"/>
    <cellStyle name="Normal 4 3 3 2 2 2 3 6" xfId="44597" xr:uid="{00000000-0005-0000-0000-0000BBC20000}"/>
    <cellStyle name="Normal 4 3 3 2 2 2 4" xfId="12726" xr:uid="{00000000-0005-0000-0000-0000BCC20000}"/>
    <cellStyle name="Normal 4 3 3 2 2 2 4 2" xfId="12727" xr:uid="{00000000-0005-0000-0000-0000BDC20000}"/>
    <cellStyle name="Normal 4 3 3 2 2 2 4 2 2" xfId="12728" xr:uid="{00000000-0005-0000-0000-0000BEC20000}"/>
    <cellStyle name="Normal 4 3 3 2 2 2 4 2 2 2" xfId="31389" xr:uid="{00000000-0005-0000-0000-0000BFC20000}"/>
    <cellStyle name="Normal 4 3 3 2 2 2 4 2 2 2 2" xfId="63260" xr:uid="{00000000-0005-0000-0000-0000C0C20000}"/>
    <cellStyle name="Normal 4 3 3 2 2 2 4 2 2 3" xfId="44607" xr:uid="{00000000-0005-0000-0000-0000C1C20000}"/>
    <cellStyle name="Normal 4 3 3 2 2 2 4 2 3" xfId="23511" xr:uid="{00000000-0005-0000-0000-0000C2C20000}"/>
    <cellStyle name="Normal 4 3 3 2 2 2 4 2 3 2" xfId="55382" xr:uid="{00000000-0005-0000-0000-0000C3C20000}"/>
    <cellStyle name="Normal 4 3 3 2 2 2 4 2 4" xfId="44606" xr:uid="{00000000-0005-0000-0000-0000C4C20000}"/>
    <cellStyle name="Normal 4 3 3 2 2 2 4 3" xfId="12729" xr:uid="{00000000-0005-0000-0000-0000C5C20000}"/>
    <cellStyle name="Normal 4 3 3 2 2 2 4 3 2" xfId="27450" xr:uid="{00000000-0005-0000-0000-0000C6C20000}"/>
    <cellStyle name="Normal 4 3 3 2 2 2 4 3 2 2" xfId="59321" xr:uid="{00000000-0005-0000-0000-0000C7C20000}"/>
    <cellStyle name="Normal 4 3 3 2 2 2 4 3 3" xfId="44608" xr:uid="{00000000-0005-0000-0000-0000C8C20000}"/>
    <cellStyle name="Normal 4 3 3 2 2 2 4 4" xfId="19572" xr:uid="{00000000-0005-0000-0000-0000C9C20000}"/>
    <cellStyle name="Normal 4 3 3 2 2 2 4 4 2" xfId="51443" xr:uid="{00000000-0005-0000-0000-0000CAC20000}"/>
    <cellStyle name="Normal 4 3 3 2 2 2 4 5" xfId="44605" xr:uid="{00000000-0005-0000-0000-0000CBC20000}"/>
    <cellStyle name="Normal 4 3 3 2 2 2 5" xfId="12730" xr:uid="{00000000-0005-0000-0000-0000CCC20000}"/>
    <cellStyle name="Normal 4 3 3 2 2 2 5 2" xfId="12731" xr:uid="{00000000-0005-0000-0000-0000CDC20000}"/>
    <cellStyle name="Normal 4 3 3 2 2 2 5 2 2" xfId="31382" xr:uid="{00000000-0005-0000-0000-0000CEC20000}"/>
    <cellStyle name="Normal 4 3 3 2 2 2 5 2 2 2" xfId="63253" xr:uid="{00000000-0005-0000-0000-0000CFC20000}"/>
    <cellStyle name="Normal 4 3 3 2 2 2 5 2 3" xfId="44610" xr:uid="{00000000-0005-0000-0000-0000D0C20000}"/>
    <cellStyle name="Normal 4 3 3 2 2 2 5 3" xfId="23504" xr:uid="{00000000-0005-0000-0000-0000D1C20000}"/>
    <cellStyle name="Normal 4 3 3 2 2 2 5 3 2" xfId="55375" xr:uid="{00000000-0005-0000-0000-0000D2C20000}"/>
    <cellStyle name="Normal 4 3 3 2 2 2 5 4" xfId="44609" xr:uid="{00000000-0005-0000-0000-0000D3C20000}"/>
    <cellStyle name="Normal 4 3 3 2 2 2 6" xfId="12732" xr:uid="{00000000-0005-0000-0000-0000D4C20000}"/>
    <cellStyle name="Normal 4 3 3 2 2 2 6 2" xfId="27443" xr:uid="{00000000-0005-0000-0000-0000D5C20000}"/>
    <cellStyle name="Normal 4 3 3 2 2 2 6 2 2" xfId="59314" xr:uid="{00000000-0005-0000-0000-0000D6C20000}"/>
    <cellStyle name="Normal 4 3 3 2 2 2 6 3" xfId="44611" xr:uid="{00000000-0005-0000-0000-0000D7C20000}"/>
    <cellStyle name="Normal 4 3 3 2 2 2 7" xfId="19565" xr:uid="{00000000-0005-0000-0000-0000D8C20000}"/>
    <cellStyle name="Normal 4 3 3 2 2 2 7 2" xfId="51436" xr:uid="{00000000-0005-0000-0000-0000D9C20000}"/>
    <cellStyle name="Normal 4 3 3 2 2 2 8" xfId="44580" xr:uid="{00000000-0005-0000-0000-0000DAC20000}"/>
    <cellStyle name="Normal 4 3 3 2 2 3" xfId="12733" xr:uid="{00000000-0005-0000-0000-0000DBC20000}"/>
    <cellStyle name="Normal 4 3 3 2 2 3 2" xfId="12734" xr:uid="{00000000-0005-0000-0000-0000DCC20000}"/>
    <cellStyle name="Normal 4 3 3 2 2 3 2 2" xfId="12735" xr:uid="{00000000-0005-0000-0000-0000DDC20000}"/>
    <cellStyle name="Normal 4 3 3 2 2 3 2 2 2" xfId="12736" xr:uid="{00000000-0005-0000-0000-0000DEC20000}"/>
    <cellStyle name="Normal 4 3 3 2 2 3 2 2 2 2" xfId="12737" xr:uid="{00000000-0005-0000-0000-0000DFC20000}"/>
    <cellStyle name="Normal 4 3 3 2 2 3 2 2 2 2 2" xfId="31392" xr:uid="{00000000-0005-0000-0000-0000E0C20000}"/>
    <cellStyle name="Normal 4 3 3 2 2 3 2 2 2 2 2 2" xfId="63263" xr:uid="{00000000-0005-0000-0000-0000E1C20000}"/>
    <cellStyle name="Normal 4 3 3 2 2 3 2 2 2 2 3" xfId="44616" xr:uid="{00000000-0005-0000-0000-0000E2C20000}"/>
    <cellStyle name="Normal 4 3 3 2 2 3 2 2 2 3" xfId="23514" xr:uid="{00000000-0005-0000-0000-0000E3C20000}"/>
    <cellStyle name="Normal 4 3 3 2 2 3 2 2 2 3 2" xfId="55385" xr:uid="{00000000-0005-0000-0000-0000E4C20000}"/>
    <cellStyle name="Normal 4 3 3 2 2 3 2 2 2 4" xfId="44615" xr:uid="{00000000-0005-0000-0000-0000E5C20000}"/>
    <cellStyle name="Normal 4 3 3 2 2 3 2 2 3" xfId="12738" xr:uid="{00000000-0005-0000-0000-0000E6C20000}"/>
    <cellStyle name="Normal 4 3 3 2 2 3 2 2 3 2" xfId="27453" xr:uid="{00000000-0005-0000-0000-0000E7C20000}"/>
    <cellStyle name="Normal 4 3 3 2 2 3 2 2 3 2 2" xfId="59324" xr:uid="{00000000-0005-0000-0000-0000E8C20000}"/>
    <cellStyle name="Normal 4 3 3 2 2 3 2 2 3 3" xfId="44617" xr:uid="{00000000-0005-0000-0000-0000E9C20000}"/>
    <cellStyle name="Normal 4 3 3 2 2 3 2 2 4" xfId="19575" xr:uid="{00000000-0005-0000-0000-0000EAC20000}"/>
    <cellStyle name="Normal 4 3 3 2 2 3 2 2 4 2" xfId="51446" xr:uid="{00000000-0005-0000-0000-0000EBC20000}"/>
    <cellStyle name="Normal 4 3 3 2 2 3 2 2 5" xfId="44614" xr:uid="{00000000-0005-0000-0000-0000ECC20000}"/>
    <cellStyle name="Normal 4 3 3 2 2 3 2 3" xfId="12739" xr:uid="{00000000-0005-0000-0000-0000EDC20000}"/>
    <cellStyle name="Normal 4 3 3 2 2 3 2 3 2" xfId="12740" xr:uid="{00000000-0005-0000-0000-0000EEC20000}"/>
    <cellStyle name="Normal 4 3 3 2 2 3 2 3 2 2" xfId="31391" xr:uid="{00000000-0005-0000-0000-0000EFC20000}"/>
    <cellStyle name="Normal 4 3 3 2 2 3 2 3 2 2 2" xfId="63262" xr:uid="{00000000-0005-0000-0000-0000F0C20000}"/>
    <cellStyle name="Normal 4 3 3 2 2 3 2 3 2 3" xfId="44619" xr:uid="{00000000-0005-0000-0000-0000F1C20000}"/>
    <cellStyle name="Normal 4 3 3 2 2 3 2 3 3" xfId="23513" xr:uid="{00000000-0005-0000-0000-0000F2C20000}"/>
    <cellStyle name="Normal 4 3 3 2 2 3 2 3 3 2" xfId="55384" xr:uid="{00000000-0005-0000-0000-0000F3C20000}"/>
    <cellStyle name="Normal 4 3 3 2 2 3 2 3 4" xfId="44618" xr:uid="{00000000-0005-0000-0000-0000F4C20000}"/>
    <cellStyle name="Normal 4 3 3 2 2 3 2 4" xfId="12741" xr:uid="{00000000-0005-0000-0000-0000F5C20000}"/>
    <cellStyle name="Normal 4 3 3 2 2 3 2 4 2" xfId="27452" xr:uid="{00000000-0005-0000-0000-0000F6C20000}"/>
    <cellStyle name="Normal 4 3 3 2 2 3 2 4 2 2" xfId="59323" xr:uid="{00000000-0005-0000-0000-0000F7C20000}"/>
    <cellStyle name="Normal 4 3 3 2 2 3 2 4 3" xfId="44620" xr:uid="{00000000-0005-0000-0000-0000F8C20000}"/>
    <cellStyle name="Normal 4 3 3 2 2 3 2 5" xfId="19574" xr:uid="{00000000-0005-0000-0000-0000F9C20000}"/>
    <cellStyle name="Normal 4 3 3 2 2 3 2 5 2" xfId="51445" xr:uid="{00000000-0005-0000-0000-0000FAC20000}"/>
    <cellStyle name="Normal 4 3 3 2 2 3 2 6" xfId="44613" xr:uid="{00000000-0005-0000-0000-0000FBC20000}"/>
    <cellStyle name="Normal 4 3 3 2 2 3 3" xfId="12742" xr:uid="{00000000-0005-0000-0000-0000FCC20000}"/>
    <cellStyle name="Normal 4 3 3 2 2 3 3 2" xfId="12743" xr:uid="{00000000-0005-0000-0000-0000FDC20000}"/>
    <cellStyle name="Normal 4 3 3 2 2 3 3 2 2" xfId="12744" xr:uid="{00000000-0005-0000-0000-0000FEC20000}"/>
    <cellStyle name="Normal 4 3 3 2 2 3 3 2 2 2" xfId="31393" xr:uid="{00000000-0005-0000-0000-0000FFC20000}"/>
    <cellStyle name="Normal 4 3 3 2 2 3 3 2 2 2 2" xfId="63264" xr:uid="{00000000-0005-0000-0000-000000C30000}"/>
    <cellStyle name="Normal 4 3 3 2 2 3 3 2 2 3" xfId="44623" xr:uid="{00000000-0005-0000-0000-000001C30000}"/>
    <cellStyle name="Normal 4 3 3 2 2 3 3 2 3" xfId="23515" xr:uid="{00000000-0005-0000-0000-000002C30000}"/>
    <cellStyle name="Normal 4 3 3 2 2 3 3 2 3 2" xfId="55386" xr:uid="{00000000-0005-0000-0000-000003C30000}"/>
    <cellStyle name="Normal 4 3 3 2 2 3 3 2 4" xfId="44622" xr:uid="{00000000-0005-0000-0000-000004C30000}"/>
    <cellStyle name="Normal 4 3 3 2 2 3 3 3" xfId="12745" xr:uid="{00000000-0005-0000-0000-000005C30000}"/>
    <cellStyle name="Normal 4 3 3 2 2 3 3 3 2" xfId="27454" xr:uid="{00000000-0005-0000-0000-000006C30000}"/>
    <cellStyle name="Normal 4 3 3 2 2 3 3 3 2 2" xfId="59325" xr:uid="{00000000-0005-0000-0000-000007C30000}"/>
    <cellStyle name="Normal 4 3 3 2 2 3 3 3 3" xfId="44624" xr:uid="{00000000-0005-0000-0000-000008C30000}"/>
    <cellStyle name="Normal 4 3 3 2 2 3 3 4" xfId="19576" xr:uid="{00000000-0005-0000-0000-000009C30000}"/>
    <cellStyle name="Normal 4 3 3 2 2 3 3 4 2" xfId="51447" xr:uid="{00000000-0005-0000-0000-00000AC30000}"/>
    <cellStyle name="Normal 4 3 3 2 2 3 3 5" xfId="44621" xr:uid="{00000000-0005-0000-0000-00000BC30000}"/>
    <cellStyle name="Normal 4 3 3 2 2 3 4" xfId="12746" xr:uid="{00000000-0005-0000-0000-00000CC30000}"/>
    <cellStyle name="Normal 4 3 3 2 2 3 4 2" xfId="12747" xr:uid="{00000000-0005-0000-0000-00000DC30000}"/>
    <cellStyle name="Normal 4 3 3 2 2 3 4 2 2" xfId="31390" xr:uid="{00000000-0005-0000-0000-00000EC30000}"/>
    <cellStyle name="Normal 4 3 3 2 2 3 4 2 2 2" xfId="63261" xr:uid="{00000000-0005-0000-0000-00000FC30000}"/>
    <cellStyle name="Normal 4 3 3 2 2 3 4 2 3" xfId="44626" xr:uid="{00000000-0005-0000-0000-000010C30000}"/>
    <cellStyle name="Normal 4 3 3 2 2 3 4 3" xfId="23512" xr:uid="{00000000-0005-0000-0000-000011C30000}"/>
    <cellStyle name="Normal 4 3 3 2 2 3 4 3 2" xfId="55383" xr:uid="{00000000-0005-0000-0000-000012C30000}"/>
    <cellStyle name="Normal 4 3 3 2 2 3 4 4" xfId="44625" xr:uid="{00000000-0005-0000-0000-000013C30000}"/>
    <cellStyle name="Normal 4 3 3 2 2 3 5" xfId="12748" xr:uid="{00000000-0005-0000-0000-000014C30000}"/>
    <cellStyle name="Normal 4 3 3 2 2 3 5 2" xfId="27451" xr:uid="{00000000-0005-0000-0000-000015C30000}"/>
    <cellStyle name="Normal 4 3 3 2 2 3 5 2 2" xfId="59322" xr:uid="{00000000-0005-0000-0000-000016C30000}"/>
    <cellStyle name="Normal 4 3 3 2 2 3 5 3" xfId="44627" xr:uid="{00000000-0005-0000-0000-000017C30000}"/>
    <cellStyle name="Normal 4 3 3 2 2 3 6" xfId="19573" xr:uid="{00000000-0005-0000-0000-000018C30000}"/>
    <cellStyle name="Normal 4 3 3 2 2 3 6 2" xfId="51444" xr:uid="{00000000-0005-0000-0000-000019C30000}"/>
    <cellStyle name="Normal 4 3 3 2 2 3 7" xfId="44612" xr:uid="{00000000-0005-0000-0000-00001AC30000}"/>
    <cellStyle name="Normal 4 3 3 2 2 4" xfId="12749" xr:uid="{00000000-0005-0000-0000-00001BC30000}"/>
    <cellStyle name="Normal 4 3 3 2 2 4 2" xfId="12750" xr:uid="{00000000-0005-0000-0000-00001CC30000}"/>
    <cellStyle name="Normal 4 3 3 2 2 4 2 2" xfId="12751" xr:uid="{00000000-0005-0000-0000-00001DC30000}"/>
    <cellStyle name="Normal 4 3 3 2 2 4 2 2 2" xfId="12752" xr:uid="{00000000-0005-0000-0000-00001EC30000}"/>
    <cellStyle name="Normal 4 3 3 2 2 4 2 2 2 2" xfId="31395" xr:uid="{00000000-0005-0000-0000-00001FC30000}"/>
    <cellStyle name="Normal 4 3 3 2 2 4 2 2 2 2 2" xfId="63266" xr:uid="{00000000-0005-0000-0000-000020C30000}"/>
    <cellStyle name="Normal 4 3 3 2 2 4 2 2 2 3" xfId="44631" xr:uid="{00000000-0005-0000-0000-000021C30000}"/>
    <cellStyle name="Normal 4 3 3 2 2 4 2 2 3" xfId="23517" xr:uid="{00000000-0005-0000-0000-000022C30000}"/>
    <cellStyle name="Normal 4 3 3 2 2 4 2 2 3 2" xfId="55388" xr:uid="{00000000-0005-0000-0000-000023C30000}"/>
    <cellStyle name="Normal 4 3 3 2 2 4 2 2 4" xfId="44630" xr:uid="{00000000-0005-0000-0000-000024C30000}"/>
    <cellStyle name="Normal 4 3 3 2 2 4 2 3" xfId="12753" xr:uid="{00000000-0005-0000-0000-000025C30000}"/>
    <cellStyle name="Normal 4 3 3 2 2 4 2 3 2" xfId="27456" xr:uid="{00000000-0005-0000-0000-000026C30000}"/>
    <cellStyle name="Normal 4 3 3 2 2 4 2 3 2 2" xfId="59327" xr:uid="{00000000-0005-0000-0000-000027C30000}"/>
    <cellStyle name="Normal 4 3 3 2 2 4 2 3 3" xfId="44632" xr:uid="{00000000-0005-0000-0000-000028C30000}"/>
    <cellStyle name="Normal 4 3 3 2 2 4 2 4" xfId="19578" xr:uid="{00000000-0005-0000-0000-000029C30000}"/>
    <cellStyle name="Normal 4 3 3 2 2 4 2 4 2" xfId="51449" xr:uid="{00000000-0005-0000-0000-00002AC30000}"/>
    <cellStyle name="Normal 4 3 3 2 2 4 2 5" xfId="44629" xr:uid="{00000000-0005-0000-0000-00002BC30000}"/>
    <cellStyle name="Normal 4 3 3 2 2 4 3" xfId="12754" xr:uid="{00000000-0005-0000-0000-00002CC30000}"/>
    <cellStyle name="Normal 4 3 3 2 2 4 3 2" xfId="12755" xr:uid="{00000000-0005-0000-0000-00002DC30000}"/>
    <cellStyle name="Normal 4 3 3 2 2 4 3 2 2" xfId="31394" xr:uid="{00000000-0005-0000-0000-00002EC30000}"/>
    <cellStyle name="Normal 4 3 3 2 2 4 3 2 2 2" xfId="63265" xr:uid="{00000000-0005-0000-0000-00002FC30000}"/>
    <cellStyle name="Normal 4 3 3 2 2 4 3 2 3" xfId="44634" xr:uid="{00000000-0005-0000-0000-000030C30000}"/>
    <cellStyle name="Normal 4 3 3 2 2 4 3 3" xfId="23516" xr:uid="{00000000-0005-0000-0000-000031C30000}"/>
    <cellStyle name="Normal 4 3 3 2 2 4 3 3 2" xfId="55387" xr:uid="{00000000-0005-0000-0000-000032C30000}"/>
    <cellStyle name="Normal 4 3 3 2 2 4 3 4" xfId="44633" xr:uid="{00000000-0005-0000-0000-000033C30000}"/>
    <cellStyle name="Normal 4 3 3 2 2 4 4" xfId="12756" xr:uid="{00000000-0005-0000-0000-000034C30000}"/>
    <cellStyle name="Normal 4 3 3 2 2 4 4 2" xfId="27455" xr:uid="{00000000-0005-0000-0000-000035C30000}"/>
    <cellStyle name="Normal 4 3 3 2 2 4 4 2 2" xfId="59326" xr:uid="{00000000-0005-0000-0000-000036C30000}"/>
    <cellStyle name="Normal 4 3 3 2 2 4 4 3" xfId="44635" xr:uid="{00000000-0005-0000-0000-000037C30000}"/>
    <cellStyle name="Normal 4 3 3 2 2 4 5" xfId="19577" xr:uid="{00000000-0005-0000-0000-000038C30000}"/>
    <cellStyle name="Normal 4 3 3 2 2 4 5 2" xfId="51448" xr:uid="{00000000-0005-0000-0000-000039C30000}"/>
    <cellStyle name="Normal 4 3 3 2 2 4 6" xfId="44628" xr:uid="{00000000-0005-0000-0000-00003AC30000}"/>
    <cellStyle name="Normal 4 3 3 2 2 5" xfId="12757" xr:uid="{00000000-0005-0000-0000-00003BC30000}"/>
    <cellStyle name="Normal 4 3 3 2 2 5 2" xfId="12758" xr:uid="{00000000-0005-0000-0000-00003CC30000}"/>
    <cellStyle name="Normal 4 3 3 2 2 5 2 2" xfId="12759" xr:uid="{00000000-0005-0000-0000-00003DC30000}"/>
    <cellStyle name="Normal 4 3 3 2 2 5 2 2 2" xfId="31396" xr:uid="{00000000-0005-0000-0000-00003EC30000}"/>
    <cellStyle name="Normal 4 3 3 2 2 5 2 2 2 2" xfId="63267" xr:uid="{00000000-0005-0000-0000-00003FC30000}"/>
    <cellStyle name="Normal 4 3 3 2 2 5 2 2 3" xfId="44638" xr:uid="{00000000-0005-0000-0000-000040C30000}"/>
    <cellStyle name="Normal 4 3 3 2 2 5 2 3" xfId="23518" xr:uid="{00000000-0005-0000-0000-000041C30000}"/>
    <cellStyle name="Normal 4 3 3 2 2 5 2 3 2" xfId="55389" xr:uid="{00000000-0005-0000-0000-000042C30000}"/>
    <cellStyle name="Normal 4 3 3 2 2 5 2 4" xfId="44637" xr:uid="{00000000-0005-0000-0000-000043C30000}"/>
    <cellStyle name="Normal 4 3 3 2 2 5 3" xfId="12760" xr:uid="{00000000-0005-0000-0000-000044C30000}"/>
    <cellStyle name="Normal 4 3 3 2 2 5 3 2" xfId="27457" xr:uid="{00000000-0005-0000-0000-000045C30000}"/>
    <cellStyle name="Normal 4 3 3 2 2 5 3 2 2" xfId="59328" xr:uid="{00000000-0005-0000-0000-000046C30000}"/>
    <cellStyle name="Normal 4 3 3 2 2 5 3 3" xfId="44639" xr:uid="{00000000-0005-0000-0000-000047C30000}"/>
    <cellStyle name="Normal 4 3 3 2 2 5 4" xfId="19579" xr:uid="{00000000-0005-0000-0000-000048C30000}"/>
    <cellStyle name="Normal 4 3 3 2 2 5 4 2" xfId="51450" xr:uid="{00000000-0005-0000-0000-000049C30000}"/>
    <cellStyle name="Normal 4 3 3 2 2 5 5" xfId="44636" xr:uid="{00000000-0005-0000-0000-00004AC30000}"/>
    <cellStyle name="Normal 4 3 3 2 2 6" xfId="12761" xr:uid="{00000000-0005-0000-0000-00004BC30000}"/>
    <cellStyle name="Normal 4 3 3 2 2 6 2" xfId="12762" xr:uid="{00000000-0005-0000-0000-00004CC30000}"/>
    <cellStyle name="Normal 4 3 3 2 2 6 2 2" xfId="28461" xr:uid="{00000000-0005-0000-0000-00004DC30000}"/>
    <cellStyle name="Normal 4 3 3 2 2 6 2 2 2" xfId="60332" xr:uid="{00000000-0005-0000-0000-00004EC30000}"/>
    <cellStyle name="Normal 4 3 3 2 2 6 2 3" xfId="44641" xr:uid="{00000000-0005-0000-0000-00004FC30000}"/>
    <cellStyle name="Normal 4 3 3 2 2 6 3" xfId="20583" xr:uid="{00000000-0005-0000-0000-000050C30000}"/>
    <cellStyle name="Normal 4 3 3 2 2 6 3 2" xfId="52454" xr:uid="{00000000-0005-0000-0000-000051C30000}"/>
    <cellStyle name="Normal 4 3 3 2 2 6 4" xfId="44640" xr:uid="{00000000-0005-0000-0000-000052C30000}"/>
    <cellStyle name="Normal 4 3 3 2 2 7" xfId="12763" xr:uid="{00000000-0005-0000-0000-000053C30000}"/>
    <cellStyle name="Normal 4 3 3 2 2 7 2" xfId="24522" xr:uid="{00000000-0005-0000-0000-000054C30000}"/>
    <cellStyle name="Normal 4 3 3 2 2 7 2 2" xfId="56393" xr:uid="{00000000-0005-0000-0000-000055C30000}"/>
    <cellStyle name="Normal 4 3 3 2 2 7 3" xfId="44642" xr:uid="{00000000-0005-0000-0000-000056C30000}"/>
    <cellStyle name="Normal 4 3 3 2 2 8" xfId="16644" xr:uid="{00000000-0005-0000-0000-000057C30000}"/>
    <cellStyle name="Normal 4 3 3 2 2 8 2" xfId="48515" xr:uid="{00000000-0005-0000-0000-000058C30000}"/>
    <cellStyle name="Normal 4 3 3 2 2 9" xfId="44579" xr:uid="{00000000-0005-0000-0000-000059C30000}"/>
    <cellStyle name="Normal 4 3 3 2 3" xfId="12764" xr:uid="{00000000-0005-0000-0000-00005AC30000}"/>
    <cellStyle name="Normal 4 3 3 2 3 2" xfId="12765" xr:uid="{00000000-0005-0000-0000-00005BC30000}"/>
    <cellStyle name="Normal 4 3 3 2 3 2 2" xfId="12766" xr:uid="{00000000-0005-0000-0000-00005CC30000}"/>
    <cellStyle name="Normal 4 3 3 2 3 2 2 2" xfId="12767" xr:uid="{00000000-0005-0000-0000-00005DC30000}"/>
    <cellStyle name="Normal 4 3 3 2 3 2 2 2 2" xfId="12768" xr:uid="{00000000-0005-0000-0000-00005EC30000}"/>
    <cellStyle name="Normal 4 3 3 2 3 2 2 2 2 2" xfId="12769" xr:uid="{00000000-0005-0000-0000-00005FC30000}"/>
    <cellStyle name="Normal 4 3 3 2 3 2 2 2 2 2 2" xfId="31400" xr:uid="{00000000-0005-0000-0000-000060C30000}"/>
    <cellStyle name="Normal 4 3 3 2 3 2 2 2 2 2 2 2" xfId="63271" xr:uid="{00000000-0005-0000-0000-000061C30000}"/>
    <cellStyle name="Normal 4 3 3 2 3 2 2 2 2 2 3" xfId="44648" xr:uid="{00000000-0005-0000-0000-000062C30000}"/>
    <cellStyle name="Normal 4 3 3 2 3 2 2 2 2 3" xfId="23522" xr:uid="{00000000-0005-0000-0000-000063C30000}"/>
    <cellStyle name="Normal 4 3 3 2 3 2 2 2 2 3 2" xfId="55393" xr:uid="{00000000-0005-0000-0000-000064C30000}"/>
    <cellStyle name="Normal 4 3 3 2 3 2 2 2 2 4" xfId="44647" xr:uid="{00000000-0005-0000-0000-000065C30000}"/>
    <cellStyle name="Normal 4 3 3 2 3 2 2 2 3" xfId="12770" xr:uid="{00000000-0005-0000-0000-000066C30000}"/>
    <cellStyle name="Normal 4 3 3 2 3 2 2 2 3 2" xfId="27461" xr:uid="{00000000-0005-0000-0000-000067C30000}"/>
    <cellStyle name="Normal 4 3 3 2 3 2 2 2 3 2 2" xfId="59332" xr:uid="{00000000-0005-0000-0000-000068C30000}"/>
    <cellStyle name="Normal 4 3 3 2 3 2 2 2 3 3" xfId="44649" xr:uid="{00000000-0005-0000-0000-000069C30000}"/>
    <cellStyle name="Normal 4 3 3 2 3 2 2 2 4" xfId="19583" xr:uid="{00000000-0005-0000-0000-00006AC30000}"/>
    <cellStyle name="Normal 4 3 3 2 3 2 2 2 4 2" xfId="51454" xr:uid="{00000000-0005-0000-0000-00006BC30000}"/>
    <cellStyle name="Normal 4 3 3 2 3 2 2 2 5" xfId="44646" xr:uid="{00000000-0005-0000-0000-00006CC30000}"/>
    <cellStyle name="Normal 4 3 3 2 3 2 2 3" xfId="12771" xr:uid="{00000000-0005-0000-0000-00006DC30000}"/>
    <cellStyle name="Normal 4 3 3 2 3 2 2 3 2" xfId="12772" xr:uid="{00000000-0005-0000-0000-00006EC30000}"/>
    <cellStyle name="Normal 4 3 3 2 3 2 2 3 2 2" xfId="31399" xr:uid="{00000000-0005-0000-0000-00006FC30000}"/>
    <cellStyle name="Normal 4 3 3 2 3 2 2 3 2 2 2" xfId="63270" xr:uid="{00000000-0005-0000-0000-000070C30000}"/>
    <cellStyle name="Normal 4 3 3 2 3 2 2 3 2 3" xfId="44651" xr:uid="{00000000-0005-0000-0000-000071C30000}"/>
    <cellStyle name="Normal 4 3 3 2 3 2 2 3 3" xfId="23521" xr:uid="{00000000-0005-0000-0000-000072C30000}"/>
    <cellStyle name="Normal 4 3 3 2 3 2 2 3 3 2" xfId="55392" xr:uid="{00000000-0005-0000-0000-000073C30000}"/>
    <cellStyle name="Normal 4 3 3 2 3 2 2 3 4" xfId="44650" xr:uid="{00000000-0005-0000-0000-000074C30000}"/>
    <cellStyle name="Normal 4 3 3 2 3 2 2 4" xfId="12773" xr:uid="{00000000-0005-0000-0000-000075C30000}"/>
    <cellStyle name="Normal 4 3 3 2 3 2 2 4 2" xfId="27460" xr:uid="{00000000-0005-0000-0000-000076C30000}"/>
    <cellStyle name="Normal 4 3 3 2 3 2 2 4 2 2" xfId="59331" xr:uid="{00000000-0005-0000-0000-000077C30000}"/>
    <cellStyle name="Normal 4 3 3 2 3 2 2 4 3" xfId="44652" xr:uid="{00000000-0005-0000-0000-000078C30000}"/>
    <cellStyle name="Normal 4 3 3 2 3 2 2 5" xfId="19582" xr:uid="{00000000-0005-0000-0000-000079C30000}"/>
    <cellStyle name="Normal 4 3 3 2 3 2 2 5 2" xfId="51453" xr:uid="{00000000-0005-0000-0000-00007AC30000}"/>
    <cellStyle name="Normal 4 3 3 2 3 2 2 6" xfId="44645" xr:uid="{00000000-0005-0000-0000-00007BC30000}"/>
    <cellStyle name="Normal 4 3 3 2 3 2 3" xfId="12774" xr:uid="{00000000-0005-0000-0000-00007CC30000}"/>
    <cellStyle name="Normal 4 3 3 2 3 2 3 2" xfId="12775" xr:uid="{00000000-0005-0000-0000-00007DC30000}"/>
    <cellStyle name="Normal 4 3 3 2 3 2 3 2 2" xfId="12776" xr:uid="{00000000-0005-0000-0000-00007EC30000}"/>
    <cellStyle name="Normal 4 3 3 2 3 2 3 2 2 2" xfId="31401" xr:uid="{00000000-0005-0000-0000-00007FC30000}"/>
    <cellStyle name="Normal 4 3 3 2 3 2 3 2 2 2 2" xfId="63272" xr:uid="{00000000-0005-0000-0000-000080C30000}"/>
    <cellStyle name="Normal 4 3 3 2 3 2 3 2 2 3" xfId="44655" xr:uid="{00000000-0005-0000-0000-000081C30000}"/>
    <cellStyle name="Normal 4 3 3 2 3 2 3 2 3" xfId="23523" xr:uid="{00000000-0005-0000-0000-000082C30000}"/>
    <cellStyle name="Normal 4 3 3 2 3 2 3 2 3 2" xfId="55394" xr:uid="{00000000-0005-0000-0000-000083C30000}"/>
    <cellStyle name="Normal 4 3 3 2 3 2 3 2 4" xfId="44654" xr:uid="{00000000-0005-0000-0000-000084C30000}"/>
    <cellStyle name="Normal 4 3 3 2 3 2 3 3" xfId="12777" xr:uid="{00000000-0005-0000-0000-000085C30000}"/>
    <cellStyle name="Normal 4 3 3 2 3 2 3 3 2" xfId="27462" xr:uid="{00000000-0005-0000-0000-000086C30000}"/>
    <cellStyle name="Normal 4 3 3 2 3 2 3 3 2 2" xfId="59333" xr:uid="{00000000-0005-0000-0000-000087C30000}"/>
    <cellStyle name="Normal 4 3 3 2 3 2 3 3 3" xfId="44656" xr:uid="{00000000-0005-0000-0000-000088C30000}"/>
    <cellStyle name="Normal 4 3 3 2 3 2 3 4" xfId="19584" xr:uid="{00000000-0005-0000-0000-000089C30000}"/>
    <cellStyle name="Normal 4 3 3 2 3 2 3 4 2" xfId="51455" xr:uid="{00000000-0005-0000-0000-00008AC30000}"/>
    <cellStyle name="Normal 4 3 3 2 3 2 3 5" xfId="44653" xr:uid="{00000000-0005-0000-0000-00008BC30000}"/>
    <cellStyle name="Normal 4 3 3 2 3 2 4" xfId="12778" xr:uid="{00000000-0005-0000-0000-00008CC30000}"/>
    <cellStyle name="Normal 4 3 3 2 3 2 4 2" xfId="12779" xr:uid="{00000000-0005-0000-0000-00008DC30000}"/>
    <cellStyle name="Normal 4 3 3 2 3 2 4 2 2" xfId="31398" xr:uid="{00000000-0005-0000-0000-00008EC30000}"/>
    <cellStyle name="Normal 4 3 3 2 3 2 4 2 2 2" xfId="63269" xr:uid="{00000000-0005-0000-0000-00008FC30000}"/>
    <cellStyle name="Normal 4 3 3 2 3 2 4 2 3" xfId="44658" xr:uid="{00000000-0005-0000-0000-000090C30000}"/>
    <cellStyle name="Normal 4 3 3 2 3 2 4 3" xfId="23520" xr:uid="{00000000-0005-0000-0000-000091C30000}"/>
    <cellStyle name="Normal 4 3 3 2 3 2 4 3 2" xfId="55391" xr:uid="{00000000-0005-0000-0000-000092C30000}"/>
    <cellStyle name="Normal 4 3 3 2 3 2 4 4" xfId="44657" xr:uid="{00000000-0005-0000-0000-000093C30000}"/>
    <cellStyle name="Normal 4 3 3 2 3 2 5" xfId="12780" xr:uid="{00000000-0005-0000-0000-000094C30000}"/>
    <cellStyle name="Normal 4 3 3 2 3 2 5 2" xfId="27459" xr:uid="{00000000-0005-0000-0000-000095C30000}"/>
    <cellStyle name="Normal 4 3 3 2 3 2 5 2 2" xfId="59330" xr:uid="{00000000-0005-0000-0000-000096C30000}"/>
    <cellStyle name="Normal 4 3 3 2 3 2 5 3" xfId="44659" xr:uid="{00000000-0005-0000-0000-000097C30000}"/>
    <cellStyle name="Normal 4 3 3 2 3 2 6" xfId="19581" xr:uid="{00000000-0005-0000-0000-000098C30000}"/>
    <cellStyle name="Normal 4 3 3 2 3 2 6 2" xfId="51452" xr:uid="{00000000-0005-0000-0000-000099C30000}"/>
    <cellStyle name="Normal 4 3 3 2 3 2 7" xfId="44644" xr:uid="{00000000-0005-0000-0000-00009AC30000}"/>
    <cellStyle name="Normal 4 3 3 2 3 3" xfId="12781" xr:uid="{00000000-0005-0000-0000-00009BC30000}"/>
    <cellStyle name="Normal 4 3 3 2 3 3 2" xfId="12782" xr:uid="{00000000-0005-0000-0000-00009CC30000}"/>
    <cellStyle name="Normal 4 3 3 2 3 3 2 2" xfId="12783" xr:uid="{00000000-0005-0000-0000-00009DC30000}"/>
    <cellStyle name="Normal 4 3 3 2 3 3 2 2 2" xfId="12784" xr:uid="{00000000-0005-0000-0000-00009EC30000}"/>
    <cellStyle name="Normal 4 3 3 2 3 3 2 2 2 2" xfId="31403" xr:uid="{00000000-0005-0000-0000-00009FC30000}"/>
    <cellStyle name="Normal 4 3 3 2 3 3 2 2 2 2 2" xfId="63274" xr:uid="{00000000-0005-0000-0000-0000A0C30000}"/>
    <cellStyle name="Normal 4 3 3 2 3 3 2 2 2 3" xfId="44663" xr:uid="{00000000-0005-0000-0000-0000A1C30000}"/>
    <cellStyle name="Normal 4 3 3 2 3 3 2 2 3" xfId="23525" xr:uid="{00000000-0005-0000-0000-0000A2C30000}"/>
    <cellStyle name="Normal 4 3 3 2 3 3 2 2 3 2" xfId="55396" xr:uid="{00000000-0005-0000-0000-0000A3C30000}"/>
    <cellStyle name="Normal 4 3 3 2 3 3 2 2 4" xfId="44662" xr:uid="{00000000-0005-0000-0000-0000A4C30000}"/>
    <cellStyle name="Normal 4 3 3 2 3 3 2 3" xfId="12785" xr:uid="{00000000-0005-0000-0000-0000A5C30000}"/>
    <cellStyle name="Normal 4 3 3 2 3 3 2 3 2" xfId="27464" xr:uid="{00000000-0005-0000-0000-0000A6C30000}"/>
    <cellStyle name="Normal 4 3 3 2 3 3 2 3 2 2" xfId="59335" xr:uid="{00000000-0005-0000-0000-0000A7C30000}"/>
    <cellStyle name="Normal 4 3 3 2 3 3 2 3 3" xfId="44664" xr:uid="{00000000-0005-0000-0000-0000A8C30000}"/>
    <cellStyle name="Normal 4 3 3 2 3 3 2 4" xfId="19586" xr:uid="{00000000-0005-0000-0000-0000A9C30000}"/>
    <cellStyle name="Normal 4 3 3 2 3 3 2 4 2" xfId="51457" xr:uid="{00000000-0005-0000-0000-0000AAC30000}"/>
    <cellStyle name="Normal 4 3 3 2 3 3 2 5" xfId="44661" xr:uid="{00000000-0005-0000-0000-0000ABC30000}"/>
    <cellStyle name="Normal 4 3 3 2 3 3 3" xfId="12786" xr:uid="{00000000-0005-0000-0000-0000ACC30000}"/>
    <cellStyle name="Normal 4 3 3 2 3 3 3 2" xfId="12787" xr:uid="{00000000-0005-0000-0000-0000ADC30000}"/>
    <cellStyle name="Normal 4 3 3 2 3 3 3 2 2" xfId="31402" xr:uid="{00000000-0005-0000-0000-0000AEC30000}"/>
    <cellStyle name="Normal 4 3 3 2 3 3 3 2 2 2" xfId="63273" xr:uid="{00000000-0005-0000-0000-0000AFC30000}"/>
    <cellStyle name="Normal 4 3 3 2 3 3 3 2 3" xfId="44666" xr:uid="{00000000-0005-0000-0000-0000B0C30000}"/>
    <cellStyle name="Normal 4 3 3 2 3 3 3 3" xfId="23524" xr:uid="{00000000-0005-0000-0000-0000B1C30000}"/>
    <cellStyle name="Normal 4 3 3 2 3 3 3 3 2" xfId="55395" xr:uid="{00000000-0005-0000-0000-0000B2C30000}"/>
    <cellStyle name="Normal 4 3 3 2 3 3 3 4" xfId="44665" xr:uid="{00000000-0005-0000-0000-0000B3C30000}"/>
    <cellStyle name="Normal 4 3 3 2 3 3 4" xfId="12788" xr:uid="{00000000-0005-0000-0000-0000B4C30000}"/>
    <cellStyle name="Normal 4 3 3 2 3 3 4 2" xfId="27463" xr:uid="{00000000-0005-0000-0000-0000B5C30000}"/>
    <cellStyle name="Normal 4 3 3 2 3 3 4 2 2" xfId="59334" xr:uid="{00000000-0005-0000-0000-0000B6C30000}"/>
    <cellStyle name="Normal 4 3 3 2 3 3 4 3" xfId="44667" xr:uid="{00000000-0005-0000-0000-0000B7C30000}"/>
    <cellStyle name="Normal 4 3 3 2 3 3 5" xfId="19585" xr:uid="{00000000-0005-0000-0000-0000B8C30000}"/>
    <cellStyle name="Normal 4 3 3 2 3 3 5 2" xfId="51456" xr:uid="{00000000-0005-0000-0000-0000B9C30000}"/>
    <cellStyle name="Normal 4 3 3 2 3 3 6" xfId="44660" xr:uid="{00000000-0005-0000-0000-0000BAC30000}"/>
    <cellStyle name="Normal 4 3 3 2 3 4" xfId="12789" xr:uid="{00000000-0005-0000-0000-0000BBC30000}"/>
    <cellStyle name="Normal 4 3 3 2 3 4 2" xfId="12790" xr:uid="{00000000-0005-0000-0000-0000BCC30000}"/>
    <cellStyle name="Normal 4 3 3 2 3 4 2 2" xfId="12791" xr:uid="{00000000-0005-0000-0000-0000BDC30000}"/>
    <cellStyle name="Normal 4 3 3 2 3 4 2 2 2" xfId="31404" xr:uid="{00000000-0005-0000-0000-0000BEC30000}"/>
    <cellStyle name="Normal 4 3 3 2 3 4 2 2 2 2" xfId="63275" xr:uid="{00000000-0005-0000-0000-0000BFC30000}"/>
    <cellStyle name="Normal 4 3 3 2 3 4 2 2 3" xfId="44670" xr:uid="{00000000-0005-0000-0000-0000C0C30000}"/>
    <cellStyle name="Normal 4 3 3 2 3 4 2 3" xfId="23526" xr:uid="{00000000-0005-0000-0000-0000C1C30000}"/>
    <cellStyle name="Normal 4 3 3 2 3 4 2 3 2" xfId="55397" xr:uid="{00000000-0005-0000-0000-0000C2C30000}"/>
    <cellStyle name="Normal 4 3 3 2 3 4 2 4" xfId="44669" xr:uid="{00000000-0005-0000-0000-0000C3C30000}"/>
    <cellStyle name="Normal 4 3 3 2 3 4 3" xfId="12792" xr:uid="{00000000-0005-0000-0000-0000C4C30000}"/>
    <cellStyle name="Normal 4 3 3 2 3 4 3 2" xfId="27465" xr:uid="{00000000-0005-0000-0000-0000C5C30000}"/>
    <cellStyle name="Normal 4 3 3 2 3 4 3 2 2" xfId="59336" xr:uid="{00000000-0005-0000-0000-0000C6C30000}"/>
    <cellStyle name="Normal 4 3 3 2 3 4 3 3" xfId="44671" xr:uid="{00000000-0005-0000-0000-0000C7C30000}"/>
    <cellStyle name="Normal 4 3 3 2 3 4 4" xfId="19587" xr:uid="{00000000-0005-0000-0000-0000C8C30000}"/>
    <cellStyle name="Normal 4 3 3 2 3 4 4 2" xfId="51458" xr:uid="{00000000-0005-0000-0000-0000C9C30000}"/>
    <cellStyle name="Normal 4 3 3 2 3 4 5" xfId="44668" xr:uid="{00000000-0005-0000-0000-0000CAC30000}"/>
    <cellStyle name="Normal 4 3 3 2 3 5" xfId="12793" xr:uid="{00000000-0005-0000-0000-0000CBC30000}"/>
    <cellStyle name="Normal 4 3 3 2 3 5 2" xfId="12794" xr:uid="{00000000-0005-0000-0000-0000CCC30000}"/>
    <cellStyle name="Normal 4 3 3 2 3 5 2 2" xfId="31397" xr:uid="{00000000-0005-0000-0000-0000CDC30000}"/>
    <cellStyle name="Normal 4 3 3 2 3 5 2 2 2" xfId="63268" xr:uid="{00000000-0005-0000-0000-0000CEC30000}"/>
    <cellStyle name="Normal 4 3 3 2 3 5 2 3" xfId="44673" xr:uid="{00000000-0005-0000-0000-0000CFC30000}"/>
    <cellStyle name="Normal 4 3 3 2 3 5 3" xfId="23519" xr:uid="{00000000-0005-0000-0000-0000D0C30000}"/>
    <cellStyle name="Normal 4 3 3 2 3 5 3 2" xfId="55390" xr:uid="{00000000-0005-0000-0000-0000D1C30000}"/>
    <cellStyle name="Normal 4 3 3 2 3 5 4" xfId="44672" xr:uid="{00000000-0005-0000-0000-0000D2C30000}"/>
    <cellStyle name="Normal 4 3 3 2 3 6" xfId="12795" xr:uid="{00000000-0005-0000-0000-0000D3C30000}"/>
    <cellStyle name="Normal 4 3 3 2 3 6 2" xfId="27458" xr:uid="{00000000-0005-0000-0000-0000D4C30000}"/>
    <cellStyle name="Normal 4 3 3 2 3 6 2 2" xfId="59329" xr:uid="{00000000-0005-0000-0000-0000D5C30000}"/>
    <cellStyle name="Normal 4 3 3 2 3 6 3" xfId="44674" xr:uid="{00000000-0005-0000-0000-0000D6C30000}"/>
    <cellStyle name="Normal 4 3 3 2 3 7" xfId="19580" xr:uid="{00000000-0005-0000-0000-0000D7C30000}"/>
    <cellStyle name="Normal 4 3 3 2 3 7 2" xfId="51451" xr:uid="{00000000-0005-0000-0000-0000D8C30000}"/>
    <cellStyle name="Normal 4 3 3 2 3 8" xfId="44643" xr:uid="{00000000-0005-0000-0000-0000D9C30000}"/>
    <cellStyle name="Normal 4 3 3 2 4" xfId="12796" xr:uid="{00000000-0005-0000-0000-0000DAC30000}"/>
    <cellStyle name="Normal 4 3 3 2 4 2" xfId="12797" xr:uid="{00000000-0005-0000-0000-0000DBC30000}"/>
    <cellStyle name="Normal 4 3 3 2 4 2 2" xfId="12798" xr:uid="{00000000-0005-0000-0000-0000DCC30000}"/>
    <cellStyle name="Normal 4 3 3 2 4 2 2 2" xfId="12799" xr:uid="{00000000-0005-0000-0000-0000DDC30000}"/>
    <cellStyle name="Normal 4 3 3 2 4 2 2 2 2" xfId="12800" xr:uid="{00000000-0005-0000-0000-0000DEC30000}"/>
    <cellStyle name="Normal 4 3 3 2 4 2 2 2 2 2" xfId="31407" xr:uid="{00000000-0005-0000-0000-0000DFC30000}"/>
    <cellStyle name="Normal 4 3 3 2 4 2 2 2 2 2 2" xfId="63278" xr:uid="{00000000-0005-0000-0000-0000E0C30000}"/>
    <cellStyle name="Normal 4 3 3 2 4 2 2 2 2 3" xfId="44679" xr:uid="{00000000-0005-0000-0000-0000E1C30000}"/>
    <cellStyle name="Normal 4 3 3 2 4 2 2 2 3" xfId="23529" xr:uid="{00000000-0005-0000-0000-0000E2C30000}"/>
    <cellStyle name="Normal 4 3 3 2 4 2 2 2 3 2" xfId="55400" xr:uid="{00000000-0005-0000-0000-0000E3C30000}"/>
    <cellStyle name="Normal 4 3 3 2 4 2 2 2 4" xfId="44678" xr:uid="{00000000-0005-0000-0000-0000E4C30000}"/>
    <cellStyle name="Normal 4 3 3 2 4 2 2 3" xfId="12801" xr:uid="{00000000-0005-0000-0000-0000E5C30000}"/>
    <cellStyle name="Normal 4 3 3 2 4 2 2 3 2" xfId="27468" xr:uid="{00000000-0005-0000-0000-0000E6C30000}"/>
    <cellStyle name="Normal 4 3 3 2 4 2 2 3 2 2" xfId="59339" xr:uid="{00000000-0005-0000-0000-0000E7C30000}"/>
    <cellStyle name="Normal 4 3 3 2 4 2 2 3 3" xfId="44680" xr:uid="{00000000-0005-0000-0000-0000E8C30000}"/>
    <cellStyle name="Normal 4 3 3 2 4 2 2 4" xfId="19590" xr:uid="{00000000-0005-0000-0000-0000E9C30000}"/>
    <cellStyle name="Normal 4 3 3 2 4 2 2 4 2" xfId="51461" xr:uid="{00000000-0005-0000-0000-0000EAC30000}"/>
    <cellStyle name="Normal 4 3 3 2 4 2 2 5" xfId="44677" xr:uid="{00000000-0005-0000-0000-0000EBC30000}"/>
    <cellStyle name="Normal 4 3 3 2 4 2 3" xfId="12802" xr:uid="{00000000-0005-0000-0000-0000ECC30000}"/>
    <cellStyle name="Normal 4 3 3 2 4 2 3 2" xfId="12803" xr:uid="{00000000-0005-0000-0000-0000EDC30000}"/>
    <cellStyle name="Normal 4 3 3 2 4 2 3 2 2" xfId="31406" xr:uid="{00000000-0005-0000-0000-0000EEC30000}"/>
    <cellStyle name="Normal 4 3 3 2 4 2 3 2 2 2" xfId="63277" xr:uid="{00000000-0005-0000-0000-0000EFC30000}"/>
    <cellStyle name="Normal 4 3 3 2 4 2 3 2 3" xfId="44682" xr:uid="{00000000-0005-0000-0000-0000F0C30000}"/>
    <cellStyle name="Normal 4 3 3 2 4 2 3 3" xfId="23528" xr:uid="{00000000-0005-0000-0000-0000F1C30000}"/>
    <cellStyle name="Normal 4 3 3 2 4 2 3 3 2" xfId="55399" xr:uid="{00000000-0005-0000-0000-0000F2C30000}"/>
    <cellStyle name="Normal 4 3 3 2 4 2 3 4" xfId="44681" xr:uid="{00000000-0005-0000-0000-0000F3C30000}"/>
    <cellStyle name="Normal 4 3 3 2 4 2 4" xfId="12804" xr:uid="{00000000-0005-0000-0000-0000F4C30000}"/>
    <cellStyle name="Normal 4 3 3 2 4 2 4 2" xfId="27467" xr:uid="{00000000-0005-0000-0000-0000F5C30000}"/>
    <cellStyle name="Normal 4 3 3 2 4 2 4 2 2" xfId="59338" xr:uid="{00000000-0005-0000-0000-0000F6C30000}"/>
    <cellStyle name="Normal 4 3 3 2 4 2 4 3" xfId="44683" xr:uid="{00000000-0005-0000-0000-0000F7C30000}"/>
    <cellStyle name="Normal 4 3 3 2 4 2 5" xfId="19589" xr:uid="{00000000-0005-0000-0000-0000F8C30000}"/>
    <cellStyle name="Normal 4 3 3 2 4 2 5 2" xfId="51460" xr:uid="{00000000-0005-0000-0000-0000F9C30000}"/>
    <cellStyle name="Normal 4 3 3 2 4 2 6" xfId="44676" xr:uid="{00000000-0005-0000-0000-0000FAC30000}"/>
    <cellStyle name="Normal 4 3 3 2 4 3" xfId="12805" xr:uid="{00000000-0005-0000-0000-0000FBC30000}"/>
    <cellStyle name="Normal 4 3 3 2 4 3 2" xfId="12806" xr:uid="{00000000-0005-0000-0000-0000FCC30000}"/>
    <cellStyle name="Normal 4 3 3 2 4 3 2 2" xfId="12807" xr:uid="{00000000-0005-0000-0000-0000FDC30000}"/>
    <cellStyle name="Normal 4 3 3 2 4 3 2 2 2" xfId="31408" xr:uid="{00000000-0005-0000-0000-0000FEC30000}"/>
    <cellStyle name="Normal 4 3 3 2 4 3 2 2 2 2" xfId="63279" xr:uid="{00000000-0005-0000-0000-0000FFC30000}"/>
    <cellStyle name="Normal 4 3 3 2 4 3 2 2 3" xfId="44686" xr:uid="{00000000-0005-0000-0000-000000C40000}"/>
    <cellStyle name="Normal 4 3 3 2 4 3 2 3" xfId="23530" xr:uid="{00000000-0005-0000-0000-000001C40000}"/>
    <cellStyle name="Normal 4 3 3 2 4 3 2 3 2" xfId="55401" xr:uid="{00000000-0005-0000-0000-000002C40000}"/>
    <cellStyle name="Normal 4 3 3 2 4 3 2 4" xfId="44685" xr:uid="{00000000-0005-0000-0000-000003C40000}"/>
    <cellStyle name="Normal 4 3 3 2 4 3 3" xfId="12808" xr:uid="{00000000-0005-0000-0000-000004C40000}"/>
    <cellStyle name="Normal 4 3 3 2 4 3 3 2" xfId="27469" xr:uid="{00000000-0005-0000-0000-000005C40000}"/>
    <cellStyle name="Normal 4 3 3 2 4 3 3 2 2" xfId="59340" xr:uid="{00000000-0005-0000-0000-000006C40000}"/>
    <cellStyle name="Normal 4 3 3 2 4 3 3 3" xfId="44687" xr:uid="{00000000-0005-0000-0000-000007C40000}"/>
    <cellStyle name="Normal 4 3 3 2 4 3 4" xfId="19591" xr:uid="{00000000-0005-0000-0000-000008C40000}"/>
    <cellStyle name="Normal 4 3 3 2 4 3 4 2" xfId="51462" xr:uid="{00000000-0005-0000-0000-000009C40000}"/>
    <cellStyle name="Normal 4 3 3 2 4 3 5" xfId="44684" xr:uid="{00000000-0005-0000-0000-00000AC40000}"/>
    <cellStyle name="Normal 4 3 3 2 4 4" xfId="12809" xr:uid="{00000000-0005-0000-0000-00000BC40000}"/>
    <cellStyle name="Normal 4 3 3 2 4 4 2" xfId="12810" xr:uid="{00000000-0005-0000-0000-00000CC40000}"/>
    <cellStyle name="Normal 4 3 3 2 4 4 2 2" xfId="31405" xr:uid="{00000000-0005-0000-0000-00000DC40000}"/>
    <cellStyle name="Normal 4 3 3 2 4 4 2 2 2" xfId="63276" xr:uid="{00000000-0005-0000-0000-00000EC40000}"/>
    <cellStyle name="Normal 4 3 3 2 4 4 2 3" xfId="44689" xr:uid="{00000000-0005-0000-0000-00000FC40000}"/>
    <cellStyle name="Normal 4 3 3 2 4 4 3" xfId="23527" xr:uid="{00000000-0005-0000-0000-000010C40000}"/>
    <cellStyle name="Normal 4 3 3 2 4 4 3 2" xfId="55398" xr:uid="{00000000-0005-0000-0000-000011C40000}"/>
    <cellStyle name="Normal 4 3 3 2 4 4 4" xfId="44688" xr:uid="{00000000-0005-0000-0000-000012C40000}"/>
    <cellStyle name="Normal 4 3 3 2 4 5" xfId="12811" xr:uid="{00000000-0005-0000-0000-000013C40000}"/>
    <cellStyle name="Normal 4 3 3 2 4 5 2" xfId="27466" xr:uid="{00000000-0005-0000-0000-000014C40000}"/>
    <cellStyle name="Normal 4 3 3 2 4 5 2 2" xfId="59337" xr:uid="{00000000-0005-0000-0000-000015C40000}"/>
    <cellStyle name="Normal 4 3 3 2 4 5 3" xfId="44690" xr:uid="{00000000-0005-0000-0000-000016C40000}"/>
    <cellStyle name="Normal 4 3 3 2 4 6" xfId="19588" xr:uid="{00000000-0005-0000-0000-000017C40000}"/>
    <cellStyle name="Normal 4 3 3 2 4 6 2" xfId="51459" xr:uid="{00000000-0005-0000-0000-000018C40000}"/>
    <cellStyle name="Normal 4 3 3 2 4 7" xfId="44675" xr:uid="{00000000-0005-0000-0000-000019C40000}"/>
    <cellStyle name="Normal 4 3 3 2 5" xfId="12812" xr:uid="{00000000-0005-0000-0000-00001AC40000}"/>
    <cellStyle name="Normal 4 3 3 2 5 2" xfId="12813" xr:uid="{00000000-0005-0000-0000-00001BC40000}"/>
    <cellStyle name="Normal 4 3 3 2 5 2 2" xfId="12814" xr:uid="{00000000-0005-0000-0000-00001CC40000}"/>
    <cellStyle name="Normal 4 3 3 2 5 2 2 2" xfId="12815" xr:uid="{00000000-0005-0000-0000-00001DC40000}"/>
    <cellStyle name="Normal 4 3 3 2 5 2 2 2 2" xfId="31410" xr:uid="{00000000-0005-0000-0000-00001EC40000}"/>
    <cellStyle name="Normal 4 3 3 2 5 2 2 2 2 2" xfId="63281" xr:uid="{00000000-0005-0000-0000-00001FC40000}"/>
    <cellStyle name="Normal 4 3 3 2 5 2 2 2 3" xfId="44694" xr:uid="{00000000-0005-0000-0000-000020C40000}"/>
    <cellStyle name="Normal 4 3 3 2 5 2 2 3" xfId="23532" xr:uid="{00000000-0005-0000-0000-000021C40000}"/>
    <cellStyle name="Normal 4 3 3 2 5 2 2 3 2" xfId="55403" xr:uid="{00000000-0005-0000-0000-000022C40000}"/>
    <cellStyle name="Normal 4 3 3 2 5 2 2 4" xfId="44693" xr:uid="{00000000-0005-0000-0000-000023C40000}"/>
    <cellStyle name="Normal 4 3 3 2 5 2 3" xfId="12816" xr:uid="{00000000-0005-0000-0000-000024C40000}"/>
    <cellStyle name="Normal 4 3 3 2 5 2 3 2" xfId="27471" xr:uid="{00000000-0005-0000-0000-000025C40000}"/>
    <cellStyle name="Normal 4 3 3 2 5 2 3 2 2" xfId="59342" xr:uid="{00000000-0005-0000-0000-000026C40000}"/>
    <cellStyle name="Normal 4 3 3 2 5 2 3 3" xfId="44695" xr:uid="{00000000-0005-0000-0000-000027C40000}"/>
    <cellStyle name="Normal 4 3 3 2 5 2 4" xfId="19593" xr:uid="{00000000-0005-0000-0000-000028C40000}"/>
    <cellStyle name="Normal 4 3 3 2 5 2 4 2" xfId="51464" xr:uid="{00000000-0005-0000-0000-000029C40000}"/>
    <cellStyle name="Normal 4 3 3 2 5 2 5" xfId="44692" xr:uid="{00000000-0005-0000-0000-00002AC40000}"/>
    <cellStyle name="Normal 4 3 3 2 5 3" xfId="12817" xr:uid="{00000000-0005-0000-0000-00002BC40000}"/>
    <cellStyle name="Normal 4 3 3 2 5 3 2" xfId="12818" xr:uid="{00000000-0005-0000-0000-00002CC40000}"/>
    <cellStyle name="Normal 4 3 3 2 5 3 2 2" xfId="31409" xr:uid="{00000000-0005-0000-0000-00002DC40000}"/>
    <cellStyle name="Normal 4 3 3 2 5 3 2 2 2" xfId="63280" xr:uid="{00000000-0005-0000-0000-00002EC40000}"/>
    <cellStyle name="Normal 4 3 3 2 5 3 2 3" xfId="44697" xr:uid="{00000000-0005-0000-0000-00002FC40000}"/>
    <cellStyle name="Normal 4 3 3 2 5 3 3" xfId="23531" xr:uid="{00000000-0005-0000-0000-000030C40000}"/>
    <cellStyle name="Normal 4 3 3 2 5 3 3 2" xfId="55402" xr:uid="{00000000-0005-0000-0000-000031C40000}"/>
    <cellStyle name="Normal 4 3 3 2 5 3 4" xfId="44696" xr:uid="{00000000-0005-0000-0000-000032C40000}"/>
    <cellStyle name="Normal 4 3 3 2 5 4" xfId="12819" xr:uid="{00000000-0005-0000-0000-000033C40000}"/>
    <cellStyle name="Normal 4 3 3 2 5 4 2" xfId="27470" xr:uid="{00000000-0005-0000-0000-000034C40000}"/>
    <cellStyle name="Normal 4 3 3 2 5 4 2 2" xfId="59341" xr:uid="{00000000-0005-0000-0000-000035C40000}"/>
    <cellStyle name="Normal 4 3 3 2 5 4 3" xfId="44698" xr:uid="{00000000-0005-0000-0000-000036C40000}"/>
    <cellStyle name="Normal 4 3 3 2 5 5" xfId="19592" xr:uid="{00000000-0005-0000-0000-000037C40000}"/>
    <cellStyle name="Normal 4 3 3 2 5 5 2" xfId="51463" xr:uid="{00000000-0005-0000-0000-000038C40000}"/>
    <cellStyle name="Normal 4 3 3 2 5 6" xfId="44691" xr:uid="{00000000-0005-0000-0000-000039C40000}"/>
    <cellStyle name="Normal 4 3 3 2 6" xfId="12820" xr:uid="{00000000-0005-0000-0000-00003AC40000}"/>
    <cellStyle name="Normal 4 3 3 2 6 2" xfId="12821" xr:uid="{00000000-0005-0000-0000-00003BC40000}"/>
    <cellStyle name="Normal 4 3 3 2 6 2 2" xfId="12822" xr:uid="{00000000-0005-0000-0000-00003CC40000}"/>
    <cellStyle name="Normal 4 3 3 2 6 2 2 2" xfId="31411" xr:uid="{00000000-0005-0000-0000-00003DC40000}"/>
    <cellStyle name="Normal 4 3 3 2 6 2 2 2 2" xfId="63282" xr:uid="{00000000-0005-0000-0000-00003EC40000}"/>
    <cellStyle name="Normal 4 3 3 2 6 2 2 3" xfId="44701" xr:uid="{00000000-0005-0000-0000-00003FC40000}"/>
    <cellStyle name="Normal 4 3 3 2 6 2 3" xfId="23533" xr:uid="{00000000-0005-0000-0000-000040C40000}"/>
    <cellStyle name="Normal 4 3 3 2 6 2 3 2" xfId="55404" xr:uid="{00000000-0005-0000-0000-000041C40000}"/>
    <cellStyle name="Normal 4 3 3 2 6 2 4" xfId="44700" xr:uid="{00000000-0005-0000-0000-000042C40000}"/>
    <cellStyle name="Normal 4 3 3 2 6 3" xfId="12823" xr:uid="{00000000-0005-0000-0000-000043C40000}"/>
    <cellStyle name="Normal 4 3 3 2 6 3 2" xfId="27472" xr:uid="{00000000-0005-0000-0000-000044C40000}"/>
    <cellStyle name="Normal 4 3 3 2 6 3 2 2" xfId="59343" xr:uid="{00000000-0005-0000-0000-000045C40000}"/>
    <cellStyle name="Normal 4 3 3 2 6 3 3" xfId="44702" xr:uid="{00000000-0005-0000-0000-000046C40000}"/>
    <cellStyle name="Normal 4 3 3 2 6 4" xfId="19594" xr:uid="{00000000-0005-0000-0000-000047C40000}"/>
    <cellStyle name="Normal 4 3 3 2 6 4 2" xfId="51465" xr:uid="{00000000-0005-0000-0000-000048C40000}"/>
    <cellStyle name="Normal 4 3 3 2 6 5" xfId="44699" xr:uid="{00000000-0005-0000-0000-000049C40000}"/>
    <cellStyle name="Normal 4 3 3 2 7" xfId="12824" xr:uid="{00000000-0005-0000-0000-00004AC40000}"/>
    <cellStyle name="Normal 4 3 3 2 7 2" xfId="12825" xr:uid="{00000000-0005-0000-0000-00004BC40000}"/>
    <cellStyle name="Normal 4 3 3 2 7 2 2" xfId="28338" xr:uid="{00000000-0005-0000-0000-00004CC40000}"/>
    <cellStyle name="Normal 4 3 3 2 7 2 2 2" xfId="60209" xr:uid="{00000000-0005-0000-0000-00004DC40000}"/>
    <cellStyle name="Normal 4 3 3 2 7 2 3" xfId="44704" xr:uid="{00000000-0005-0000-0000-00004EC40000}"/>
    <cellStyle name="Normal 4 3 3 2 7 3" xfId="20460" xr:uid="{00000000-0005-0000-0000-00004FC40000}"/>
    <cellStyle name="Normal 4 3 3 2 7 3 2" xfId="52331" xr:uid="{00000000-0005-0000-0000-000050C40000}"/>
    <cellStyle name="Normal 4 3 3 2 7 4" xfId="44703" xr:uid="{00000000-0005-0000-0000-000051C40000}"/>
    <cellStyle name="Normal 4 3 3 2 8" xfId="12826" xr:uid="{00000000-0005-0000-0000-000052C40000}"/>
    <cellStyle name="Normal 4 3 3 2 8 2" xfId="24399" xr:uid="{00000000-0005-0000-0000-000053C40000}"/>
    <cellStyle name="Normal 4 3 3 2 8 2 2" xfId="56270" xr:uid="{00000000-0005-0000-0000-000054C40000}"/>
    <cellStyle name="Normal 4 3 3 2 8 3" xfId="44705" xr:uid="{00000000-0005-0000-0000-000055C40000}"/>
    <cellStyle name="Normal 4 3 3 2 9" xfId="16521" xr:uid="{00000000-0005-0000-0000-000056C40000}"/>
    <cellStyle name="Normal 4 3 3 2 9 2" xfId="48392" xr:uid="{00000000-0005-0000-0000-000057C40000}"/>
    <cellStyle name="Normal 4 3 3 3" xfId="12827" xr:uid="{00000000-0005-0000-0000-000058C40000}"/>
    <cellStyle name="Normal 4 3 3 3 10" xfId="44706" xr:uid="{00000000-0005-0000-0000-000059C40000}"/>
    <cellStyle name="Normal 4 3 3 3 2" xfId="12828" xr:uid="{00000000-0005-0000-0000-00005AC40000}"/>
    <cellStyle name="Normal 4 3 3 3 2 2" xfId="12829" xr:uid="{00000000-0005-0000-0000-00005BC40000}"/>
    <cellStyle name="Normal 4 3 3 3 2 2 2" xfId="12830" xr:uid="{00000000-0005-0000-0000-00005CC40000}"/>
    <cellStyle name="Normal 4 3 3 3 2 2 2 2" xfId="12831" xr:uid="{00000000-0005-0000-0000-00005DC40000}"/>
    <cellStyle name="Normal 4 3 3 3 2 2 2 2 2" xfId="12832" xr:uid="{00000000-0005-0000-0000-00005EC40000}"/>
    <cellStyle name="Normal 4 3 3 3 2 2 2 2 2 2" xfId="12833" xr:uid="{00000000-0005-0000-0000-00005FC40000}"/>
    <cellStyle name="Normal 4 3 3 3 2 2 2 2 2 2 2" xfId="12834" xr:uid="{00000000-0005-0000-0000-000060C40000}"/>
    <cellStyle name="Normal 4 3 3 3 2 2 2 2 2 2 2 2" xfId="31415" xr:uid="{00000000-0005-0000-0000-000061C40000}"/>
    <cellStyle name="Normal 4 3 3 3 2 2 2 2 2 2 2 2 2" xfId="63286" xr:uid="{00000000-0005-0000-0000-000062C40000}"/>
    <cellStyle name="Normal 4 3 3 3 2 2 2 2 2 2 2 3" xfId="44713" xr:uid="{00000000-0005-0000-0000-000063C40000}"/>
    <cellStyle name="Normal 4 3 3 3 2 2 2 2 2 2 3" xfId="23537" xr:uid="{00000000-0005-0000-0000-000064C40000}"/>
    <cellStyle name="Normal 4 3 3 3 2 2 2 2 2 2 3 2" xfId="55408" xr:uid="{00000000-0005-0000-0000-000065C40000}"/>
    <cellStyle name="Normal 4 3 3 3 2 2 2 2 2 2 4" xfId="44712" xr:uid="{00000000-0005-0000-0000-000066C40000}"/>
    <cellStyle name="Normal 4 3 3 3 2 2 2 2 2 3" xfId="12835" xr:uid="{00000000-0005-0000-0000-000067C40000}"/>
    <cellStyle name="Normal 4 3 3 3 2 2 2 2 2 3 2" xfId="27476" xr:uid="{00000000-0005-0000-0000-000068C40000}"/>
    <cellStyle name="Normal 4 3 3 3 2 2 2 2 2 3 2 2" xfId="59347" xr:uid="{00000000-0005-0000-0000-000069C40000}"/>
    <cellStyle name="Normal 4 3 3 3 2 2 2 2 2 3 3" xfId="44714" xr:uid="{00000000-0005-0000-0000-00006AC40000}"/>
    <cellStyle name="Normal 4 3 3 3 2 2 2 2 2 4" xfId="19598" xr:uid="{00000000-0005-0000-0000-00006BC40000}"/>
    <cellStyle name="Normal 4 3 3 3 2 2 2 2 2 4 2" xfId="51469" xr:uid="{00000000-0005-0000-0000-00006CC40000}"/>
    <cellStyle name="Normal 4 3 3 3 2 2 2 2 2 5" xfId="44711" xr:uid="{00000000-0005-0000-0000-00006DC40000}"/>
    <cellStyle name="Normal 4 3 3 3 2 2 2 2 3" xfId="12836" xr:uid="{00000000-0005-0000-0000-00006EC40000}"/>
    <cellStyle name="Normal 4 3 3 3 2 2 2 2 3 2" xfId="12837" xr:uid="{00000000-0005-0000-0000-00006FC40000}"/>
    <cellStyle name="Normal 4 3 3 3 2 2 2 2 3 2 2" xfId="31414" xr:uid="{00000000-0005-0000-0000-000070C40000}"/>
    <cellStyle name="Normal 4 3 3 3 2 2 2 2 3 2 2 2" xfId="63285" xr:uid="{00000000-0005-0000-0000-000071C40000}"/>
    <cellStyle name="Normal 4 3 3 3 2 2 2 2 3 2 3" xfId="44716" xr:uid="{00000000-0005-0000-0000-000072C40000}"/>
    <cellStyle name="Normal 4 3 3 3 2 2 2 2 3 3" xfId="23536" xr:uid="{00000000-0005-0000-0000-000073C40000}"/>
    <cellStyle name="Normal 4 3 3 3 2 2 2 2 3 3 2" xfId="55407" xr:uid="{00000000-0005-0000-0000-000074C40000}"/>
    <cellStyle name="Normal 4 3 3 3 2 2 2 2 3 4" xfId="44715" xr:uid="{00000000-0005-0000-0000-000075C40000}"/>
    <cellStyle name="Normal 4 3 3 3 2 2 2 2 4" xfId="12838" xr:uid="{00000000-0005-0000-0000-000076C40000}"/>
    <cellStyle name="Normal 4 3 3 3 2 2 2 2 4 2" xfId="27475" xr:uid="{00000000-0005-0000-0000-000077C40000}"/>
    <cellStyle name="Normal 4 3 3 3 2 2 2 2 4 2 2" xfId="59346" xr:uid="{00000000-0005-0000-0000-000078C40000}"/>
    <cellStyle name="Normal 4 3 3 3 2 2 2 2 4 3" xfId="44717" xr:uid="{00000000-0005-0000-0000-000079C40000}"/>
    <cellStyle name="Normal 4 3 3 3 2 2 2 2 5" xfId="19597" xr:uid="{00000000-0005-0000-0000-00007AC40000}"/>
    <cellStyle name="Normal 4 3 3 3 2 2 2 2 5 2" xfId="51468" xr:uid="{00000000-0005-0000-0000-00007BC40000}"/>
    <cellStyle name="Normal 4 3 3 3 2 2 2 2 6" xfId="44710" xr:uid="{00000000-0005-0000-0000-00007CC40000}"/>
    <cellStyle name="Normal 4 3 3 3 2 2 2 3" xfId="12839" xr:uid="{00000000-0005-0000-0000-00007DC40000}"/>
    <cellStyle name="Normal 4 3 3 3 2 2 2 3 2" xfId="12840" xr:uid="{00000000-0005-0000-0000-00007EC40000}"/>
    <cellStyle name="Normal 4 3 3 3 2 2 2 3 2 2" xfId="12841" xr:uid="{00000000-0005-0000-0000-00007FC40000}"/>
    <cellStyle name="Normal 4 3 3 3 2 2 2 3 2 2 2" xfId="31416" xr:uid="{00000000-0005-0000-0000-000080C40000}"/>
    <cellStyle name="Normal 4 3 3 3 2 2 2 3 2 2 2 2" xfId="63287" xr:uid="{00000000-0005-0000-0000-000081C40000}"/>
    <cellStyle name="Normal 4 3 3 3 2 2 2 3 2 2 3" xfId="44720" xr:uid="{00000000-0005-0000-0000-000082C40000}"/>
    <cellStyle name="Normal 4 3 3 3 2 2 2 3 2 3" xfId="23538" xr:uid="{00000000-0005-0000-0000-000083C40000}"/>
    <cellStyle name="Normal 4 3 3 3 2 2 2 3 2 3 2" xfId="55409" xr:uid="{00000000-0005-0000-0000-000084C40000}"/>
    <cellStyle name="Normal 4 3 3 3 2 2 2 3 2 4" xfId="44719" xr:uid="{00000000-0005-0000-0000-000085C40000}"/>
    <cellStyle name="Normal 4 3 3 3 2 2 2 3 3" xfId="12842" xr:uid="{00000000-0005-0000-0000-000086C40000}"/>
    <cellStyle name="Normal 4 3 3 3 2 2 2 3 3 2" xfId="27477" xr:uid="{00000000-0005-0000-0000-000087C40000}"/>
    <cellStyle name="Normal 4 3 3 3 2 2 2 3 3 2 2" xfId="59348" xr:uid="{00000000-0005-0000-0000-000088C40000}"/>
    <cellStyle name="Normal 4 3 3 3 2 2 2 3 3 3" xfId="44721" xr:uid="{00000000-0005-0000-0000-000089C40000}"/>
    <cellStyle name="Normal 4 3 3 3 2 2 2 3 4" xfId="19599" xr:uid="{00000000-0005-0000-0000-00008AC40000}"/>
    <cellStyle name="Normal 4 3 3 3 2 2 2 3 4 2" xfId="51470" xr:uid="{00000000-0005-0000-0000-00008BC40000}"/>
    <cellStyle name="Normal 4 3 3 3 2 2 2 3 5" xfId="44718" xr:uid="{00000000-0005-0000-0000-00008CC40000}"/>
    <cellStyle name="Normal 4 3 3 3 2 2 2 4" xfId="12843" xr:uid="{00000000-0005-0000-0000-00008DC40000}"/>
    <cellStyle name="Normal 4 3 3 3 2 2 2 4 2" xfId="12844" xr:uid="{00000000-0005-0000-0000-00008EC40000}"/>
    <cellStyle name="Normal 4 3 3 3 2 2 2 4 2 2" xfId="31413" xr:uid="{00000000-0005-0000-0000-00008FC40000}"/>
    <cellStyle name="Normal 4 3 3 3 2 2 2 4 2 2 2" xfId="63284" xr:uid="{00000000-0005-0000-0000-000090C40000}"/>
    <cellStyle name="Normal 4 3 3 3 2 2 2 4 2 3" xfId="44723" xr:uid="{00000000-0005-0000-0000-000091C40000}"/>
    <cellStyle name="Normal 4 3 3 3 2 2 2 4 3" xfId="23535" xr:uid="{00000000-0005-0000-0000-000092C40000}"/>
    <cellStyle name="Normal 4 3 3 3 2 2 2 4 3 2" xfId="55406" xr:uid="{00000000-0005-0000-0000-000093C40000}"/>
    <cellStyle name="Normal 4 3 3 3 2 2 2 4 4" xfId="44722" xr:uid="{00000000-0005-0000-0000-000094C40000}"/>
    <cellStyle name="Normal 4 3 3 3 2 2 2 5" xfId="12845" xr:uid="{00000000-0005-0000-0000-000095C40000}"/>
    <cellStyle name="Normal 4 3 3 3 2 2 2 5 2" xfId="27474" xr:uid="{00000000-0005-0000-0000-000096C40000}"/>
    <cellStyle name="Normal 4 3 3 3 2 2 2 5 2 2" xfId="59345" xr:uid="{00000000-0005-0000-0000-000097C40000}"/>
    <cellStyle name="Normal 4 3 3 3 2 2 2 5 3" xfId="44724" xr:uid="{00000000-0005-0000-0000-000098C40000}"/>
    <cellStyle name="Normal 4 3 3 3 2 2 2 6" xfId="19596" xr:uid="{00000000-0005-0000-0000-000099C40000}"/>
    <cellStyle name="Normal 4 3 3 3 2 2 2 6 2" xfId="51467" xr:uid="{00000000-0005-0000-0000-00009AC40000}"/>
    <cellStyle name="Normal 4 3 3 3 2 2 2 7" xfId="44709" xr:uid="{00000000-0005-0000-0000-00009BC40000}"/>
    <cellStyle name="Normal 4 3 3 3 2 2 3" xfId="12846" xr:uid="{00000000-0005-0000-0000-00009CC40000}"/>
    <cellStyle name="Normal 4 3 3 3 2 2 3 2" xfId="12847" xr:uid="{00000000-0005-0000-0000-00009DC40000}"/>
    <cellStyle name="Normal 4 3 3 3 2 2 3 2 2" xfId="12848" xr:uid="{00000000-0005-0000-0000-00009EC40000}"/>
    <cellStyle name="Normal 4 3 3 3 2 2 3 2 2 2" xfId="12849" xr:uid="{00000000-0005-0000-0000-00009FC40000}"/>
    <cellStyle name="Normal 4 3 3 3 2 2 3 2 2 2 2" xfId="31418" xr:uid="{00000000-0005-0000-0000-0000A0C40000}"/>
    <cellStyle name="Normal 4 3 3 3 2 2 3 2 2 2 2 2" xfId="63289" xr:uid="{00000000-0005-0000-0000-0000A1C40000}"/>
    <cellStyle name="Normal 4 3 3 3 2 2 3 2 2 2 3" xfId="44728" xr:uid="{00000000-0005-0000-0000-0000A2C40000}"/>
    <cellStyle name="Normal 4 3 3 3 2 2 3 2 2 3" xfId="23540" xr:uid="{00000000-0005-0000-0000-0000A3C40000}"/>
    <cellStyle name="Normal 4 3 3 3 2 2 3 2 2 3 2" xfId="55411" xr:uid="{00000000-0005-0000-0000-0000A4C40000}"/>
    <cellStyle name="Normal 4 3 3 3 2 2 3 2 2 4" xfId="44727" xr:uid="{00000000-0005-0000-0000-0000A5C40000}"/>
    <cellStyle name="Normal 4 3 3 3 2 2 3 2 3" xfId="12850" xr:uid="{00000000-0005-0000-0000-0000A6C40000}"/>
    <cellStyle name="Normal 4 3 3 3 2 2 3 2 3 2" xfId="27479" xr:uid="{00000000-0005-0000-0000-0000A7C40000}"/>
    <cellStyle name="Normal 4 3 3 3 2 2 3 2 3 2 2" xfId="59350" xr:uid="{00000000-0005-0000-0000-0000A8C40000}"/>
    <cellStyle name="Normal 4 3 3 3 2 2 3 2 3 3" xfId="44729" xr:uid="{00000000-0005-0000-0000-0000A9C40000}"/>
    <cellStyle name="Normal 4 3 3 3 2 2 3 2 4" xfId="19601" xr:uid="{00000000-0005-0000-0000-0000AAC40000}"/>
    <cellStyle name="Normal 4 3 3 3 2 2 3 2 4 2" xfId="51472" xr:uid="{00000000-0005-0000-0000-0000ABC40000}"/>
    <cellStyle name="Normal 4 3 3 3 2 2 3 2 5" xfId="44726" xr:uid="{00000000-0005-0000-0000-0000ACC40000}"/>
    <cellStyle name="Normal 4 3 3 3 2 2 3 3" xfId="12851" xr:uid="{00000000-0005-0000-0000-0000ADC40000}"/>
    <cellStyle name="Normal 4 3 3 3 2 2 3 3 2" xfId="12852" xr:uid="{00000000-0005-0000-0000-0000AEC40000}"/>
    <cellStyle name="Normal 4 3 3 3 2 2 3 3 2 2" xfId="31417" xr:uid="{00000000-0005-0000-0000-0000AFC40000}"/>
    <cellStyle name="Normal 4 3 3 3 2 2 3 3 2 2 2" xfId="63288" xr:uid="{00000000-0005-0000-0000-0000B0C40000}"/>
    <cellStyle name="Normal 4 3 3 3 2 2 3 3 2 3" xfId="44731" xr:uid="{00000000-0005-0000-0000-0000B1C40000}"/>
    <cellStyle name="Normal 4 3 3 3 2 2 3 3 3" xfId="23539" xr:uid="{00000000-0005-0000-0000-0000B2C40000}"/>
    <cellStyle name="Normal 4 3 3 3 2 2 3 3 3 2" xfId="55410" xr:uid="{00000000-0005-0000-0000-0000B3C40000}"/>
    <cellStyle name="Normal 4 3 3 3 2 2 3 3 4" xfId="44730" xr:uid="{00000000-0005-0000-0000-0000B4C40000}"/>
    <cellStyle name="Normal 4 3 3 3 2 2 3 4" xfId="12853" xr:uid="{00000000-0005-0000-0000-0000B5C40000}"/>
    <cellStyle name="Normal 4 3 3 3 2 2 3 4 2" xfId="27478" xr:uid="{00000000-0005-0000-0000-0000B6C40000}"/>
    <cellStyle name="Normal 4 3 3 3 2 2 3 4 2 2" xfId="59349" xr:uid="{00000000-0005-0000-0000-0000B7C40000}"/>
    <cellStyle name="Normal 4 3 3 3 2 2 3 4 3" xfId="44732" xr:uid="{00000000-0005-0000-0000-0000B8C40000}"/>
    <cellStyle name="Normal 4 3 3 3 2 2 3 5" xfId="19600" xr:uid="{00000000-0005-0000-0000-0000B9C40000}"/>
    <cellStyle name="Normal 4 3 3 3 2 2 3 5 2" xfId="51471" xr:uid="{00000000-0005-0000-0000-0000BAC40000}"/>
    <cellStyle name="Normal 4 3 3 3 2 2 3 6" xfId="44725" xr:uid="{00000000-0005-0000-0000-0000BBC40000}"/>
    <cellStyle name="Normal 4 3 3 3 2 2 4" xfId="12854" xr:uid="{00000000-0005-0000-0000-0000BCC40000}"/>
    <cellStyle name="Normal 4 3 3 3 2 2 4 2" xfId="12855" xr:uid="{00000000-0005-0000-0000-0000BDC40000}"/>
    <cellStyle name="Normal 4 3 3 3 2 2 4 2 2" xfId="12856" xr:uid="{00000000-0005-0000-0000-0000BEC40000}"/>
    <cellStyle name="Normal 4 3 3 3 2 2 4 2 2 2" xfId="31419" xr:uid="{00000000-0005-0000-0000-0000BFC40000}"/>
    <cellStyle name="Normal 4 3 3 3 2 2 4 2 2 2 2" xfId="63290" xr:uid="{00000000-0005-0000-0000-0000C0C40000}"/>
    <cellStyle name="Normal 4 3 3 3 2 2 4 2 2 3" xfId="44735" xr:uid="{00000000-0005-0000-0000-0000C1C40000}"/>
    <cellStyle name="Normal 4 3 3 3 2 2 4 2 3" xfId="23541" xr:uid="{00000000-0005-0000-0000-0000C2C40000}"/>
    <cellStyle name="Normal 4 3 3 3 2 2 4 2 3 2" xfId="55412" xr:uid="{00000000-0005-0000-0000-0000C3C40000}"/>
    <cellStyle name="Normal 4 3 3 3 2 2 4 2 4" xfId="44734" xr:uid="{00000000-0005-0000-0000-0000C4C40000}"/>
    <cellStyle name="Normal 4 3 3 3 2 2 4 3" xfId="12857" xr:uid="{00000000-0005-0000-0000-0000C5C40000}"/>
    <cellStyle name="Normal 4 3 3 3 2 2 4 3 2" xfId="27480" xr:uid="{00000000-0005-0000-0000-0000C6C40000}"/>
    <cellStyle name="Normal 4 3 3 3 2 2 4 3 2 2" xfId="59351" xr:uid="{00000000-0005-0000-0000-0000C7C40000}"/>
    <cellStyle name="Normal 4 3 3 3 2 2 4 3 3" xfId="44736" xr:uid="{00000000-0005-0000-0000-0000C8C40000}"/>
    <cellStyle name="Normal 4 3 3 3 2 2 4 4" xfId="19602" xr:uid="{00000000-0005-0000-0000-0000C9C40000}"/>
    <cellStyle name="Normal 4 3 3 3 2 2 4 4 2" xfId="51473" xr:uid="{00000000-0005-0000-0000-0000CAC40000}"/>
    <cellStyle name="Normal 4 3 3 3 2 2 4 5" xfId="44733" xr:uid="{00000000-0005-0000-0000-0000CBC40000}"/>
    <cellStyle name="Normal 4 3 3 3 2 2 5" xfId="12858" xr:uid="{00000000-0005-0000-0000-0000CCC40000}"/>
    <cellStyle name="Normal 4 3 3 3 2 2 5 2" xfId="12859" xr:uid="{00000000-0005-0000-0000-0000CDC40000}"/>
    <cellStyle name="Normal 4 3 3 3 2 2 5 2 2" xfId="31412" xr:uid="{00000000-0005-0000-0000-0000CEC40000}"/>
    <cellStyle name="Normal 4 3 3 3 2 2 5 2 2 2" xfId="63283" xr:uid="{00000000-0005-0000-0000-0000CFC40000}"/>
    <cellStyle name="Normal 4 3 3 3 2 2 5 2 3" xfId="44738" xr:uid="{00000000-0005-0000-0000-0000D0C40000}"/>
    <cellStyle name="Normal 4 3 3 3 2 2 5 3" xfId="23534" xr:uid="{00000000-0005-0000-0000-0000D1C40000}"/>
    <cellStyle name="Normal 4 3 3 3 2 2 5 3 2" xfId="55405" xr:uid="{00000000-0005-0000-0000-0000D2C40000}"/>
    <cellStyle name="Normal 4 3 3 3 2 2 5 4" xfId="44737" xr:uid="{00000000-0005-0000-0000-0000D3C40000}"/>
    <cellStyle name="Normal 4 3 3 3 2 2 6" xfId="12860" xr:uid="{00000000-0005-0000-0000-0000D4C40000}"/>
    <cellStyle name="Normal 4 3 3 3 2 2 6 2" xfId="27473" xr:uid="{00000000-0005-0000-0000-0000D5C40000}"/>
    <cellStyle name="Normal 4 3 3 3 2 2 6 2 2" xfId="59344" xr:uid="{00000000-0005-0000-0000-0000D6C40000}"/>
    <cellStyle name="Normal 4 3 3 3 2 2 6 3" xfId="44739" xr:uid="{00000000-0005-0000-0000-0000D7C40000}"/>
    <cellStyle name="Normal 4 3 3 3 2 2 7" xfId="19595" xr:uid="{00000000-0005-0000-0000-0000D8C40000}"/>
    <cellStyle name="Normal 4 3 3 3 2 2 7 2" xfId="51466" xr:uid="{00000000-0005-0000-0000-0000D9C40000}"/>
    <cellStyle name="Normal 4 3 3 3 2 2 8" xfId="44708" xr:uid="{00000000-0005-0000-0000-0000DAC40000}"/>
    <cellStyle name="Normal 4 3 3 3 2 3" xfId="12861" xr:uid="{00000000-0005-0000-0000-0000DBC40000}"/>
    <cellStyle name="Normal 4 3 3 3 2 3 2" xfId="12862" xr:uid="{00000000-0005-0000-0000-0000DCC40000}"/>
    <cellStyle name="Normal 4 3 3 3 2 3 2 2" xfId="12863" xr:uid="{00000000-0005-0000-0000-0000DDC40000}"/>
    <cellStyle name="Normal 4 3 3 3 2 3 2 2 2" xfId="12864" xr:uid="{00000000-0005-0000-0000-0000DEC40000}"/>
    <cellStyle name="Normal 4 3 3 3 2 3 2 2 2 2" xfId="12865" xr:uid="{00000000-0005-0000-0000-0000DFC40000}"/>
    <cellStyle name="Normal 4 3 3 3 2 3 2 2 2 2 2" xfId="31422" xr:uid="{00000000-0005-0000-0000-0000E0C40000}"/>
    <cellStyle name="Normal 4 3 3 3 2 3 2 2 2 2 2 2" xfId="63293" xr:uid="{00000000-0005-0000-0000-0000E1C40000}"/>
    <cellStyle name="Normal 4 3 3 3 2 3 2 2 2 2 3" xfId="44744" xr:uid="{00000000-0005-0000-0000-0000E2C40000}"/>
    <cellStyle name="Normal 4 3 3 3 2 3 2 2 2 3" xfId="23544" xr:uid="{00000000-0005-0000-0000-0000E3C40000}"/>
    <cellStyle name="Normal 4 3 3 3 2 3 2 2 2 3 2" xfId="55415" xr:uid="{00000000-0005-0000-0000-0000E4C40000}"/>
    <cellStyle name="Normal 4 3 3 3 2 3 2 2 2 4" xfId="44743" xr:uid="{00000000-0005-0000-0000-0000E5C40000}"/>
    <cellStyle name="Normal 4 3 3 3 2 3 2 2 3" xfId="12866" xr:uid="{00000000-0005-0000-0000-0000E6C40000}"/>
    <cellStyle name="Normal 4 3 3 3 2 3 2 2 3 2" xfId="27483" xr:uid="{00000000-0005-0000-0000-0000E7C40000}"/>
    <cellStyle name="Normal 4 3 3 3 2 3 2 2 3 2 2" xfId="59354" xr:uid="{00000000-0005-0000-0000-0000E8C40000}"/>
    <cellStyle name="Normal 4 3 3 3 2 3 2 2 3 3" xfId="44745" xr:uid="{00000000-0005-0000-0000-0000E9C40000}"/>
    <cellStyle name="Normal 4 3 3 3 2 3 2 2 4" xfId="19605" xr:uid="{00000000-0005-0000-0000-0000EAC40000}"/>
    <cellStyle name="Normal 4 3 3 3 2 3 2 2 4 2" xfId="51476" xr:uid="{00000000-0005-0000-0000-0000EBC40000}"/>
    <cellStyle name="Normal 4 3 3 3 2 3 2 2 5" xfId="44742" xr:uid="{00000000-0005-0000-0000-0000ECC40000}"/>
    <cellStyle name="Normal 4 3 3 3 2 3 2 3" xfId="12867" xr:uid="{00000000-0005-0000-0000-0000EDC40000}"/>
    <cellStyle name="Normal 4 3 3 3 2 3 2 3 2" xfId="12868" xr:uid="{00000000-0005-0000-0000-0000EEC40000}"/>
    <cellStyle name="Normal 4 3 3 3 2 3 2 3 2 2" xfId="31421" xr:uid="{00000000-0005-0000-0000-0000EFC40000}"/>
    <cellStyle name="Normal 4 3 3 3 2 3 2 3 2 2 2" xfId="63292" xr:uid="{00000000-0005-0000-0000-0000F0C40000}"/>
    <cellStyle name="Normal 4 3 3 3 2 3 2 3 2 3" xfId="44747" xr:uid="{00000000-0005-0000-0000-0000F1C40000}"/>
    <cellStyle name="Normal 4 3 3 3 2 3 2 3 3" xfId="23543" xr:uid="{00000000-0005-0000-0000-0000F2C40000}"/>
    <cellStyle name="Normal 4 3 3 3 2 3 2 3 3 2" xfId="55414" xr:uid="{00000000-0005-0000-0000-0000F3C40000}"/>
    <cellStyle name="Normal 4 3 3 3 2 3 2 3 4" xfId="44746" xr:uid="{00000000-0005-0000-0000-0000F4C40000}"/>
    <cellStyle name="Normal 4 3 3 3 2 3 2 4" xfId="12869" xr:uid="{00000000-0005-0000-0000-0000F5C40000}"/>
    <cellStyle name="Normal 4 3 3 3 2 3 2 4 2" xfId="27482" xr:uid="{00000000-0005-0000-0000-0000F6C40000}"/>
    <cellStyle name="Normal 4 3 3 3 2 3 2 4 2 2" xfId="59353" xr:uid="{00000000-0005-0000-0000-0000F7C40000}"/>
    <cellStyle name="Normal 4 3 3 3 2 3 2 4 3" xfId="44748" xr:uid="{00000000-0005-0000-0000-0000F8C40000}"/>
    <cellStyle name="Normal 4 3 3 3 2 3 2 5" xfId="19604" xr:uid="{00000000-0005-0000-0000-0000F9C40000}"/>
    <cellStyle name="Normal 4 3 3 3 2 3 2 5 2" xfId="51475" xr:uid="{00000000-0005-0000-0000-0000FAC40000}"/>
    <cellStyle name="Normal 4 3 3 3 2 3 2 6" xfId="44741" xr:uid="{00000000-0005-0000-0000-0000FBC40000}"/>
    <cellStyle name="Normal 4 3 3 3 2 3 3" xfId="12870" xr:uid="{00000000-0005-0000-0000-0000FCC40000}"/>
    <cellStyle name="Normal 4 3 3 3 2 3 3 2" xfId="12871" xr:uid="{00000000-0005-0000-0000-0000FDC40000}"/>
    <cellStyle name="Normal 4 3 3 3 2 3 3 2 2" xfId="12872" xr:uid="{00000000-0005-0000-0000-0000FEC40000}"/>
    <cellStyle name="Normal 4 3 3 3 2 3 3 2 2 2" xfId="31423" xr:uid="{00000000-0005-0000-0000-0000FFC40000}"/>
    <cellStyle name="Normal 4 3 3 3 2 3 3 2 2 2 2" xfId="63294" xr:uid="{00000000-0005-0000-0000-000000C50000}"/>
    <cellStyle name="Normal 4 3 3 3 2 3 3 2 2 3" xfId="44751" xr:uid="{00000000-0005-0000-0000-000001C50000}"/>
    <cellStyle name="Normal 4 3 3 3 2 3 3 2 3" xfId="23545" xr:uid="{00000000-0005-0000-0000-000002C50000}"/>
    <cellStyle name="Normal 4 3 3 3 2 3 3 2 3 2" xfId="55416" xr:uid="{00000000-0005-0000-0000-000003C50000}"/>
    <cellStyle name="Normal 4 3 3 3 2 3 3 2 4" xfId="44750" xr:uid="{00000000-0005-0000-0000-000004C50000}"/>
    <cellStyle name="Normal 4 3 3 3 2 3 3 3" xfId="12873" xr:uid="{00000000-0005-0000-0000-000005C50000}"/>
    <cellStyle name="Normal 4 3 3 3 2 3 3 3 2" xfId="27484" xr:uid="{00000000-0005-0000-0000-000006C50000}"/>
    <cellStyle name="Normal 4 3 3 3 2 3 3 3 2 2" xfId="59355" xr:uid="{00000000-0005-0000-0000-000007C50000}"/>
    <cellStyle name="Normal 4 3 3 3 2 3 3 3 3" xfId="44752" xr:uid="{00000000-0005-0000-0000-000008C50000}"/>
    <cellStyle name="Normal 4 3 3 3 2 3 3 4" xfId="19606" xr:uid="{00000000-0005-0000-0000-000009C50000}"/>
    <cellStyle name="Normal 4 3 3 3 2 3 3 4 2" xfId="51477" xr:uid="{00000000-0005-0000-0000-00000AC50000}"/>
    <cellStyle name="Normal 4 3 3 3 2 3 3 5" xfId="44749" xr:uid="{00000000-0005-0000-0000-00000BC50000}"/>
    <cellStyle name="Normal 4 3 3 3 2 3 4" xfId="12874" xr:uid="{00000000-0005-0000-0000-00000CC50000}"/>
    <cellStyle name="Normal 4 3 3 3 2 3 4 2" xfId="12875" xr:uid="{00000000-0005-0000-0000-00000DC50000}"/>
    <cellStyle name="Normal 4 3 3 3 2 3 4 2 2" xfId="31420" xr:uid="{00000000-0005-0000-0000-00000EC50000}"/>
    <cellStyle name="Normal 4 3 3 3 2 3 4 2 2 2" xfId="63291" xr:uid="{00000000-0005-0000-0000-00000FC50000}"/>
    <cellStyle name="Normal 4 3 3 3 2 3 4 2 3" xfId="44754" xr:uid="{00000000-0005-0000-0000-000010C50000}"/>
    <cellStyle name="Normal 4 3 3 3 2 3 4 3" xfId="23542" xr:uid="{00000000-0005-0000-0000-000011C50000}"/>
    <cellStyle name="Normal 4 3 3 3 2 3 4 3 2" xfId="55413" xr:uid="{00000000-0005-0000-0000-000012C50000}"/>
    <cellStyle name="Normal 4 3 3 3 2 3 4 4" xfId="44753" xr:uid="{00000000-0005-0000-0000-000013C50000}"/>
    <cellStyle name="Normal 4 3 3 3 2 3 5" xfId="12876" xr:uid="{00000000-0005-0000-0000-000014C50000}"/>
    <cellStyle name="Normal 4 3 3 3 2 3 5 2" xfId="27481" xr:uid="{00000000-0005-0000-0000-000015C50000}"/>
    <cellStyle name="Normal 4 3 3 3 2 3 5 2 2" xfId="59352" xr:uid="{00000000-0005-0000-0000-000016C50000}"/>
    <cellStyle name="Normal 4 3 3 3 2 3 5 3" xfId="44755" xr:uid="{00000000-0005-0000-0000-000017C50000}"/>
    <cellStyle name="Normal 4 3 3 3 2 3 6" xfId="19603" xr:uid="{00000000-0005-0000-0000-000018C50000}"/>
    <cellStyle name="Normal 4 3 3 3 2 3 6 2" xfId="51474" xr:uid="{00000000-0005-0000-0000-000019C50000}"/>
    <cellStyle name="Normal 4 3 3 3 2 3 7" xfId="44740" xr:uid="{00000000-0005-0000-0000-00001AC50000}"/>
    <cellStyle name="Normal 4 3 3 3 2 4" xfId="12877" xr:uid="{00000000-0005-0000-0000-00001BC50000}"/>
    <cellStyle name="Normal 4 3 3 3 2 4 2" xfId="12878" xr:uid="{00000000-0005-0000-0000-00001CC50000}"/>
    <cellStyle name="Normal 4 3 3 3 2 4 2 2" xfId="12879" xr:uid="{00000000-0005-0000-0000-00001DC50000}"/>
    <cellStyle name="Normal 4 3 3 3 2 4 2 2 2" xfId="12880" xr:uid="{00000000-0005-0000-0000-00001EC50000}"/>
    <cellStyle name="Normal 4 3 3 3 2 4 2 2 2 2" xfId="31425" xr:uid="{00000000-0005-0000-0000-00001FC50000}"/>
    <cellStyle name="Normal 4 3 3 3 2 4 2 2 2 2 2" xfId="63296" xr:uid="{00000000-0005-0000-0000-000020C50000}"/>
    <cellStyle name="Normal 4 3 3 3 2 4 2 2 2 3" xfId="44759" xr:uid="{00000000-0005-0000-0000-000021C50000}"/>
    <cellStyle name="Normal 4 3 3 3 2 4 2 2 3" xfId="23547" xr:uid="{00000000-0005-0000-0000-000022C50000}"/>
    <cellStyle name="Normal 4 3 3 3 2 4 2 2 3 2" xfId="55418" xr:uid="{00000000-0005-0000-0000-000023C50000}"/>
    <cellStyle name="Normal 4 3 3 3 2 4 2 2 4" xfId="44758" xr:uid="{00000000-0005-0000-0000-000024C50000}"/>
    <cellStyle name="Normal 4 3 3 3 2 4 2 3" xfId="12881" xr:uid="{00000000-0005-0000-0000-000025C50000}"/>
    <cellStyle name="Normal 4 3 3 3 2 4 2 3 2" xfId="27486" xr:uid="{00000000-0005-0000-0000-000026C50000}"/>
    <cellStyle name="Normal 4 3 3 3 2 4 2 3 2 2" xfId="59357" xr:uid="{00000000-0005-0000-0000-000027C50000}"/>
    <cellStyle name="Normal 4 3 3 3 2 4 2 3 3" xfId="44760" xr:uid="{00000000-0005-0000-0000-000028C50000}"/>
    <cellStyle name="Normal 4 3 3 3 2 4 2 4" xfId="19608" xr:uid="{00000000-0005-0000-0000-000029C50000}"/>
    <cellStyle name="Normal 4 3 3 3 2 4 2 4 2" xfId="51479" xr:uid="{00000000-0005-0000-0000-00002AC50000}"/>
    <cellStyle name="Normal 4 3 3 3 2 4 2 5" xfId="44757" xr:uid="{00000000-0005-0000-0000-00002BC50000}"/>
    <cellStyle name="Normal 4 3 3 3 2 4 3" xfId="12882" xr:uid="{00000000-0005-0000-0000-00002CC50000}"/>
    <cellStyle name="Normal 4 3 3 3 2 4 3 2" xfId="12883" xr:uid="{00000000-0005-0000-0000-00002DC50000}"/>
    <cellStyle name="Normal 4 3 3 3 2 4 3 2 2" xfId="31424" xr:uid="{00000000-0005-0000-0000-00002EC50000}"/>
    <cellStyle name="Normal 4 3 3 3 2 4 3 2 2 2" xfId="63295" xr:uid="{00000000-0005-0000-0000-00002FC50000}"/>
    <cellStyle name="Normal 4 3 3 3 2 4 3 2 3" xfId="44762" xr:uid="{00000000-0005-0000-0000-000030C50000}"/>
    <cellStyle name="Normal 4 3 3 3 2 4 3 3" xfId="23546" xr:uid="{00000000-0005-0000-0000-000031C50000}"/>
    <cellStyle name="Normal 4 3 3 3 2 4 3 3 2" xfId="55417" xr:uid="{00000000-0005-0000-0000-000032C50000}"/>
    <cellStyle name="Normal 4 3 3 3 2 4 3 4" xfId="44761" xr:uid="{00000000-0005-0000-0000-000033C50000}"/>
    <cellStyle name="Normal 4 3 3 3 2 4 4" xfId="12884" xr:uid="{00000000-0005-0000-0000-000034C50000}"/>
    <cellStyle name="Normal 4 3 3 3 2 4 4 2" xfId="27485" xr:uid="{00000000-0005-0000-0000-000035C50000}"/>
    <cellStyle name="Normal 4 3 3 3 2 4 4 2 2" xfId="59356" xr:uid="{00000000-0005-0000-0000-000036C50000}"/>
    <cellStyle name="Normal 4 3 3 3 2 4 4 3" xfId="44763" xr:uid="{00000000-0005-0000-0000-000037C50000}"/>
    <cellStyle name="Normal 4 3 3 3 2 4 5" xfId="19607" xr:uid="{00000000-0005-0000-0000-000038C50000}"/>
    <cellStyle name="Normal 4 3 3 3 2 4 5 2" xfId="51478" xr:uid="{00000000-0005-0000-0000-000039C50000}"/>
    <cellStyle name="Normal 4 3 3 3 2 4 6" xfId="44756" xr:uid="{00000000-0005-0000-0000-00003AC50000}"/>
    <cellStyle name="Normal 4 3 3 3 2 5" xfId="12885" xr:uid="{00000000-0005-0000-0000-00003BC50000}"/>
    <cellStyle name="Normal 4 3 3 3 2 5 2" xfId="12886" xr:uid="{00000000-0005-0000-0000-00003CC50000}"/>
    <cellStyle name="Normal 4 3 3 3 2 5 2 2" xfId="12887" xr:uid="{00000000-0005-0000-0000-00003DC50000}"/>
    <cellStyle name="Normal 4 3 3 3 2 5 2 2 2" xfId="31426" xr:uid="{00000000-0005-0000-0000-00003EC50000}"/>
    <cellStyle name="Normal 4 3 3 3 2 5 2 2 2 2" xfId="63297" xr:uid="{00000000-0005-0000-0000-00003FC50000}"/>
    <cellStyle name="Normal 4 3 3 3 2 5 2 2 3" xfId="44766" xr:uid="{00000000-0005-0000-0000-000040C50000}"/>
    <cellStyle name="Normal 4 3 3 3 2 5 2 3" xfId="23548" xr:uid="{00000000-0005-0000-0000-000041C50000}"/>
    <cellStyle name="Normal 4 3 3 3 2 5 2 3 2" xfId="55419" xr:uid="{00000000-0005-0000-0000-000042C50000}"/>
    <cellStyle name="Normal 4 3 3 3 2 5 2 4" xfId="44765" xr:uid="{00000000-0005-0000-0000-000043C50000}"/>
    <cellStyle name="Normal 4 3 3 3 2 5 3" xfId="12888" xr:uid="{00000000-0005-0000-0000-000044C50000}"/>
    <cellStyle name="Normal 4 3 3 3 2 5 3 2" xfId="27487" xr:uid="{00000000-0005-0000-0000-000045C50000}"/>
    <cellStyle name="Normal 4 3 3 3 2 5 3 2 2" xfId="59358" xr:uid="{00000000-0005-0000-0000-000046C50000}"/>
    <cellStyle name="Normal 4 3 3 3 2 5 3 3" xfId="44767" xr:uid="{00000000-0005-0000-0000-000047C50000}"/>
    <cellStyle name="Normal 4 3 3 3 2 5 4" xfId="19609" xr:uid="{00000000-0005-0000-0000-000048C50000}"/>
    <cellStyle name="Normal 4 3 3 3 2 5 4 2" xfId="51480" xr:uid="{00000000-0005-0000-0000-000049C50000}"/>
    <cellStyle name="Normal 4 3 3 3 2 5 5" xfId="44764" xr:uid="{00000000-0005-0000-0000-00004AC50000}"/>
    <cellStyle name="Normal 4 3 3 3 2 6" xfId="12889" xr:uid="{00000000-0005-0000-0000-00004BC50000}"/>
    <cellStyle name="Normal 4 3 3 3 2 6 2" xfId="12890" xr:uid="{00000000-0005-0000-0000-00004CC50000}"/>
    <cellStyle name="Normal 4 3 3 3 2 6 2 2" xfId="28502" xr:uid="{00000000-0005-0000-0000-00004DC50000}"/>
    <cellStyle name="Normal 4 3 3 3 2 6 2 2 2" xfId="60373" xr:uid="{00000000-0005-0000-0000-00004EC50000}"/>
    <cellStyle name="Normal 4 3 3 3 2 6 2 3" xfId="44769" xr:uid="{00000000-0005-0000-0000-00004FC50000}"/>
    <cellStyle name="Normal 4 3 3 3 2 6 3" xfId="20624" xr:uid="{00000000-0005-0000-0000-000050C50000}"/>
    <cellStyle name="Normal 4 3 3 3 2 6 3 2" xfId="52495" xr:uid="{00000000-0005-0000-0000-000051C50000}"/>
    <cellStyle name="Normal 4 3 3 3 2 6 4" xfId="44768" xr:uid="{00000000-0005-0000-0000-000052C50000}"/>
    <cellStyle name="Normal 4 3 3 3 2 7" xfId="12891" xr:uid="{00000000-0005-0000-0000-000053C50000}"/>
    <cellStyle name="Normal 4 3 3 3 2 7 2" xfId="24563" xr:uid="{00000000-0005-0000-0000-000054C50000}"/>
    <cellStyle name="Normal 4 3 3 3 2 7 2 2" xfId="56434" xr:uid="{00000000-0005-0000-0000-000055C50000}"/>
    <cellStyle name="Normal 4 3 3 3 2 7 3" xfId="44770" xr:uid="{00000000-0005-0000-0000-000056C50000}"/>
    <cellStyle name="Normal 4 3 3 3 2 8" xfId="16685" xr:uid="{00000000-0005-0000-0000-000057C50000}"/>
    <cellStyle name="Normal 4 3 3 3 2 8 2" xfId="48556" xr:uid="{00000000-0005-0000-0000-000058C50000}"/>
    <cellStyle name="Normal 4 3 3 3 2 9" xfId="44707" xr:uid="{00000000-0005-0000-0000-000059C50000}"/>
    <cellStyle name="Normal 4 3 3 3 3" xfId="12892" xr:uid="{00000000-0005-0000-0000-00005AC50000}"/>
    <cellStyle name="Normal 4 3 3 3 3 2" xfId="12893" xr:uid="{00000000-0005-0000-0000-00005BC50000}"/>
    <cellStyle name="Normal 4 3 3 3 3 2 2" xfId="12894" xr:uid="{00000000-0005-0000-0000-00005CC50000}"/>
    <cellStyle name="Normal 4 3 3 3 3 2 2 2" xfId="12895" xr:uid="{00000000-0005-0000-0000-00005DC50000}"/>
    <cellStyle name="Normal 4 3 3 3 3 2 2 2 2" xfId="12896" xr:uid="{00000000-0005-0000-0000-00005EC50000}"/>
    <cellStyle name="Normal 4 3 3 3 3 2 2 2 2 2" xfId="12897" xr:uid="{00000000-0005-0000-0000-00005FC50000}"/>
    <cellStyle name="Normal 4 3 3 3 3 2 2 2 2 2 2" xfId="31430" xr:uid="{00000000-0005-0000-0000-000060C50000}"/>
    <cellStyle name="Normal 4 3 3 3 3 2 2 2 2 2 2 2" xfId="63301" xr:uid="{00000000-0005-0000-0000-000061C50000}"/>
    <cellStyle name="Normal 4 3 3 3 3 2 2 2 2 2 3" xfId="44776" xr:uid="{00000000-0005-0000-0000-000062C50000}"/>
    <cellStyle name="Normal 4 3 3 3 3 2 2 2 2 3" xfId="23552" xr:uid="{00000000-0005-0000-0000-000063C50000}"/>
    <cellStyle name="Normal 4 3 3 3 3 2 2 2 2 3 2" xfId="55423" xr:uid="{00000000-0005-0000-0000-000064C50000}"/>
    <cellStyle name="Normal 4 3 3 3 3 2 2 2 2 4" xfId="44775" xr:uid="{00000000-0005-0000-0000-000065C50000}"/>
    <cellStyle name="Normal 4 3 3 3 3 2 2 2 3" xfId="12898" xr:uid="{00000000-0005-0000-0000-000066C50000}"/>
    <cellStyle name="Normal 4 3 3 3 3 2 2 2 3 2" xfId="27491" xr:uid="{00000000-0005-0000-0000-000067C50000}"/>
    <cellStyle name="Normal 4 3 3 3 3 2 2 2 3 2 2" xfId="59362" xr:uid="{00000000-0005-0000-0000-000068C50000}"/>
    <cellStyle name="Normal 4 3 3 3 3 2 2 2 3 3" xfId="44777" xr:uid="{00000000-0005-0000-0000-000069C50000}"/>
    <cellStyle name="Normal 4 3 3 3 3 2 2 2 4" xfId="19613" xr:uid="{00000000-0005-0000-0000-00006AC50000}"/>
    <cellStyle name="Normal 4 3 3 3 3 2 2 2 4 2" xfId="51484" xr:uid="{00000000-0005-0000-0000-00006BC50000}"/>
    <cellStyle name="Normal 4 3 3 3 3 2 2 2 5" xfId="44774" xr:uid="{00000000-0005-0000-0000-00006CC50000}"/>
    <cellStyle name="Normal 4 3 3 3 3 2 2 3" xfId="12899" xr:uid="{00000000-0005-0000-0000-00006DC50000}"/>
    <cellStyle name="Normal 4 3 3 3 3 2 2 3 2" xfId="12900" xr:uid="{00000000-0005-0000-0000-00006EC50000}"/>
    <cellStyle name="Normal 4 3 3 3 3 2 2 3 2 2" xfId="31429" xr:uid="{00000000-0005-0000-0000-00006FC50000}"/>
    <cellStyle name="Normal 4 3 3 3 3 2 2 3 2 2 2" xfId="63300" xr:uid="{00000000-0005-0000-0000-000070C50000}"/>
    <cellStyle name="Normal 4 3 3 3 3 2 2 3 2 3" xfId="44779" xr:uid="{00000000-0005-0000-0000-000071C50000}"/>
    <cellStyle name="Normal 4 3 3 3 3 2 2 3 3" xfId="23551" xr:uid="{00000000-0005-0000-0000-000072C50000}"/>
    <cellStyle name="Normal 4 3 3 3 3 2 2 3 3 2" xfId="55422" xr:uid="{00000000-0005-0000-0000-000073C50000}"/>
    <cellStyle name="Normal 4 3 3 3 3 2 2 3 4" xfId="44778" xr:uid="{00000000-0005-0000-0000-000074C50000}"/>
    <cellStyle name="Normal 4 3 3 3 3 2 2 4" xfId="12901" xr:uid="{00000000-0005-0000-0000-000075C50000}"/>
    <cellStyle name="Normal 4 3 3 3 3 2 2 4 2" xfId="27490" xr:uid="{00000000-0005-0000-0000-000076C50000}"/>
    <cellStyle name="Normal 4 3 3 3 3 2 2 4 2 2" xfId="59361" xr:uid="{00000000-0005-0000-0000-000077C50000}"/>
    <cellStyle name="Normal 4 3 3 3 3 2 2 4 3" xfId="44780" xr:uid="{00000000-0005-0000-0000-000078C50000}"/>
    <cellStyle name="Normal 4 3 3 3 3 2 2 5" xfId="19612" xr:uid="{00000000-0005-0000-0000-000079C50000}"/>
    <cellStyle name="Normal 4 3 3 3 3 2 2 5 2" xfId="51483" xr:uid="{00000000-0005-0000-0000-00007AC50000}"/>
    <cellStyle name="Normal 4 3 3 3 3 2 2 6" xfId="44773" xr:uid="{00000000-0005-0000-0000-00007BC50000}"/>
    <cellStyle name="Normal 4 3 3 3 3 2 3" xfId="12902" xr:uid="{00000000-0005-0000-0000-00007CC50000}"/>
    <cellStyle name="Normal 4 3 3 3 3 2 3 2" xfId="12903" xr:uid="{00000000-0005-0000-0000-00007DC50000}"/>
    <cellStyle name="Normal 4 3 3 3 3 2 3 2 2" xfId="12904" xr:uid="{00000000-0005-0000-0000-00007EC50000}"/>
    <cellStyle name="Normal 4 3 3 3 3 2 3 2 2 2" xfId="31431" xr:uid="{00000000-0005-0000-0000-00007FC50000}"/>
    <cellStyle name="Normal 4 3 3 3 3 2 3 2 2 2 2" xfId="63302" xr:uid="{00000000-0005-0000-0000-000080C50000}"/>
    <cellStyle name="Normal 4 3 3 3 3 2 3 2 2 3" xfId="44783" xr:uid="{00000000-0005-0000-0000-000081C50000}"/>
    <cellStyle name="Normal 4 3 3 3 3 2 3 2 3" xfId="23553" xr:uid="{00000000-0005-0000-0000-000082C50000}"/>
    <cellStyle name="Normal 4 3 3 3 3 2 3 2 3 2" xfId="55424" xr:uid="{00000000-0005-0000-0000-000083C50000}"/>
    <cellStyle name="Normal 4 3 3 3 3 2 3 2 4" xfId="44782" xr:uid="{00000000-0005-0000-0000-000084C50000}"/>
    <cellStyle name="Normal 4 3 3 3 3 2 3 3" xfId="12905" xr:uid="{00000000-0005-0000-0000-000085C50000}"/>
    <cellStyle name="Normal 4 3 3 3 3 2 3 3 2" xfId="27492" xr:uid="{00000000-0005-0000-0000-000086C50000}"/>
    <cellStyle name="Normal 4 3 3 3 3 2 3 3 2 2" xfId="59363" xr:uid="{00000000-0005-0000-0000-000087C50000}"/>
    <cellStyle name="Normal 4 3 3 3 3 2 3 3 3" xfId="44784" xr:uid="{00000000-0005-0000-0000-000088C50000}"/>
    <cellStyle name="Normal 4 3 3 3 3 2 3 4" xfId="19614" xr:uid="{00000000-0005-0000-0000-000089C50000}"/>
    <cellStyle name="Normal 4 3 3 3 3 2 3 4 2" xfId="51485" xr:uid="{00000000-0005-0000-0000-00008AC50000}"/>
    <cellStyle name="Normal 4 3 3 3 3 2 3 5" xfId="44781" xr:uid="{00000000-0005-0000-0000-00008BC50000}"/>
    <cellStyle name="Normal 4 3 3 3 3 2 4" xfId="12906" xr:uid="{00000000-0005-0000-0000-00008CC50000}"/>
    <cellStyle name="Normal 4 3 3 3 3 2 4 2" xfId="12907" xr:uid="{00000000-0005-0000-0000-00008DC50000}"/>
    <cellStyle name="Normal 4 3 3 3 3 2 4 2 2" xfId="31428" xr:uid="{00000000-0005-0000-0000-00008EC50000}"/>
    <cellStyle name="Normal 4 3 3 3 3 2 4 2 2 2" xfId="63299" xr:uid="{00000000-0005-0000-0000-00008FC50000}"/>
    <cellStyle name="Normal 4 3 3 3 3 2 4 2 3" xfId="44786" xr:uid="{00000000-0005-0000-0000-000090C50000}"/>
    <cellStyle name="Normal 4 3 3 3 3 2 4 3" xfId="23550" xr:uid="{00000000-0005-0000-0000-000091C50000}"/>
    <cellStyle name="Normal 4 3 3 3 3 2 4 3 2" xfId="55421" xr:uid="{00000000-0005-0000-0000-000092C50000}"/>
    <cellStyle name="Normal 4 3 3 3 3 2 4 4" xfId="44785" xr:uid="{00000000-0005-0000-0000-000093C50000}"/>
    <cellStyle name="Normal 4 3 3 3 3 2 5" xfId="12908" xr:uid="{00000000-0005-0000-0000-000094C50000}"/>
    <cellStyle name="Normal 4 3 3 3 3 2 5 2" xfId="27489" xr:uid="{00000000-0005-0000-0000-000095C50000}"/>
    <cellStyle name="Normal 4 3 3 3 3 2 5 2 2" xfId="59360" xr:uid="{00000000-0005-0000-0000-000096C50000}"/>
    <cellStyle name="Normal 4 3 3 3 3 2 5 3" xfId="44787" xr:uid="{00000000-0005-0000-0000-000097C50000}"/>
    <cellStyle name="Normal 4 3 3 3 3 2 6" xfId="19611" xr:uid="{00000000-0005-0000-0000-000098C50000}"/>
    <cellStyle name="Normal 4 3 3 3 3 2 6 2" xfId="51482" xr:uid="{00000000-0005-0000-0000-000099C50000}"/>
    <cellStyle name="Normal 4 3 3 3 3 2 7" xfId="44772" xr:uid="{00000000-0005-0000-0000-00009AC50000}"/>
    <cellStyle name="Normal 4 3 3 3 3 3" xfId="12909" xr:uid="{00000000-0005-0000-0000-00009BC50000}"/>
    <cellStyle name="Normal 4 3 3 3 3 3 2" xfId="12910" xr:uid="{00000000-0005-0000-0000-00009CC50000}"/>
    <cellStyle name="Normal 4 3 3 3 3 3 2 2" xfId="12911" xr:uid="{00000000-0005-0000-0000-00009DC50000}"/>
    <cellStyle name="Normal 4 3 3 3 3 3 2 2 2" xfId="12912" xr:uid="{00000000-0005-0000-0000-00009EC50000}"/>
    <cellStyle name="Normal 4 3 3 3 3 3 2 2 2 2" xfId="31433" xr:uid="{00000000-0005-0000-0000-00009FC50000}"/>
    <cellStyle name="Normal 4 3 3 3 3 3 2 2 2 2 2" xfId="63304" xr:uid="{00000000-0005-0000-0000-0000A0C50000}"/>
    <cellStyle name="Normal 4 3 3 3 3 3 2 2 2 3" xfId="44791" xr:uid="{00000000-0005-0000-0000-0000A1C50000}"/>
    <cellStyle name="Normal 4 3 3 3 3 3 2 2 3" xfId="23555" xr:uid="{00000000-0005-0000-0000-0000A2C50000}"/>
    <cellStyle name="Normal 4 3 3 3 3 3 2 2 3 2" xfId="55426" xr:uid="{00000000-0005-0000-0000-0000A3C50000}"/>
    <cellStyle name="Normal 4 3 3 3 3 3 2 2 4" xfId="44790" xr:uid="{00000000-0005-0000-0000-0000A4C50000}"/>
    <cellStyle name="Normal 4 3 3 3 3 3 2 3" xfId="12913" xr:uid="{00000000-0005-0000-0000-0000A5C50000}"/>
    <cellStyle name="Normal 4 3 3 3 3 3 2 3 2" xfId="27494" xr:uid="{00000000-0005-0000-0000-0000A6C50000}"/>
    <cellStyle name="Normal 4 3 3 3 3 3 2 3 2 2" xfId="59365" xr:uid="{00000000-0005-0000-0000-0000A7C50000}"/>
    <cellStyle name="Normal 4 3 3 3 3 3 2 3 3" xfId="44792" xr:uid="{00000000-0005-0000-0000-0000A8C50000}"/>
    <cellStyle name="Normal 4 3 3 3 3 3 2 4" xfId="19616" xr:uid="{00000000-0005-0000-0000-0000A9C50000}"/>
    <cellStyle name="Normal 4 3 3 3 3 3 2 4 2" xfId="51487" xr:uid="{00000000-0005-0000-0000-0000AAC50000}"/>
    <cellStyle name="Normal 4 3 3 3 3 3 2 5" xfId="44789" xr:uid="{00000000-0005-0000-0000-0000ABC50000}"/>
    <cellStyle name="Normal 4 3 3 3 3 3 3" xfId="12914" xr:uid="{00000000-0005-0000-0000-0000ACC50000}"/>
    <cellStyle name="Normal 4 3 3 3 3 3 3 2" xfId="12915" xr:uid="{00000000-0005-0000-0000-0000ADC50000}"/>
    <cellStyle name="Normal 4 3 3 3 3 3 3 2 2" xfId="31432" xr:uid="{00000000-0005-0000-0000-0000AEC50000}"/>
    <cellStyle name="Normal 4 3 3 3 3 3 3 2 2 2" xfId="63303" xr:uid="{00000000-0005-0000-0000-0000AFC50000}"/>
    <cellStyle name="Normal 4 3 3 3 3 3 3 2 3" xfId="44794" xr:uid="{00000000-0005-0000-0000-0000B0C50000}"/>
    <cellStyle name="Normal 4 3 3 3 3 3 3 3" xfId="23554" xr:uid="{00000000-0005-0000-0000-0000B1C50000}"/>
    <cellStyle name="Normal 4 3 3 3 3 3 3 3 2" xfId="55425" xr:uid="{00000000-0005-0000-0000-0000B2C50000}"/>
    <cellStyle name="Normal 4 3 3 3 3 3 3 4" xfId="44793" xr:uid="{00000000-0005-0000-0000-0000B3C50000}"/>
    <cellStyle name="Normal 4 3 3 3 3 3 4" xfId="12916" xr:uid="{00000000-0005-0000-0000-0000B4C50000}"/>
    <cellStyle name="Normal 4 3 3 3 3 3 4 2" xfId="27493" xr:uid="{00000000-0005-0000-0000-0000B5C50000}"/>
    <cellStyle name="Normal 4 3 3 3 3 3 4 2 2" xfId="59364" xr:uid="{00000000-0005-0000-0000-0000B6C50000}"/>
    <cellStyle name="Normal 4 3 3 3 3 3 4 3" xfId="44795" xr:uid="{00000000-0005-0000-0000-0000B7C50000}"/>
    <cellStyle name="Normal 4 3 3 3 3 3 5" xfId="19615" xr:uid="{00000000-0005-0000-0000-0000B8C50000}"/>
    <cellStyle name="Normal 4 3 3 3 3 3 5 2" xfId="51486" xr:uid="{00000000-0005-0000-0000-0000B9C50000}"/>
    <cellStyle name="Normal 4 3 3 3 3 3 6" xfId="44788" xr:uid="{00000000-0005-0000-0000-0000BAC50000}"/>
    <cellStyle name="Normal 4 3 3 3 3 4" xfId="12917" xr:uid="{00000000-0005-0000-0000-0000BBC50000}"/>
    <cellStyle name="Normal 4 3 3 3 3 4 2" xfId="12918" xr:uid="{00000000-0005-0000-0000-0000BCC50000}"/>
    <cellStyle name="Normal 4 3 3 3 3 4 2 2" xfId="12919" xr:uid="{00000000-0005-0000-0000-0000BDC50000}"/>
    <cellStyle name="Normal 4 3 3 3 3 4 2 2 2" xfId="31434" xr:uid="{00000000-0005-0000-0000-0000BEC50000}"/>
    <cellStyle name="Normal 4 3 3 3 3 4 2 2 2 2" xfId="63305" xr:uid="{00000000-0005-0000-0000-0000BFC50000}"/>
    <cellStyle name="Normal 4 3 3 3 3 4 2 2 3" xfId="44798" xr:uid="{00000000-0005-0000-0000-0000C0C50000}"/>
    <cellStyle name="Normal 4 3 3 3 3 4 2 3" xfId="23556" xr:uid="{00000000-0005-0000-0000-0000C1C50000}"/>
    <cellStyle name="Normal 4 3 3 3 3 4 2 3 2" xfId="55427" xr:uid="{00000000-0005-0000-0000-0000C2C50000}"/>
    <cellStyle name="Normal 4 3 3 3 3 4 2 4" xfId="44797" xr:uid="{00000000-0005-0000-0000-0000C3C50000}"/>
    <cellStyle name="Normal 4 3 3 3 3 4 3" xfId="12920" xr:uid="{00000000-0005-0000-0000-0000C4C50000}"/>
    <cellStyle name="Normal 4 3 3 3 3 4 3 2" xfId="27495" xr:uid="{00000000-0005-0000-0000-0000C5C50000}"/>
    <cellStyle name="Normal 4 3 3 3 3 4 3 2 2" xfId="59366" xr:uid="{00000000-0005-0000-0000-0000C6C50000}"/>
    <cellStyle name="Normal 4 3 3 3 3 4 3 3" xfId="44799" xr:uid="{00000000-0005-0000-0000-0000C7C50000}"/>
    <cellStyle name="Normal 4 3 3 3 3 4 4" xfId="19617" xr:uid="{00000000-0005-0000-0000-0000C8C50000}"/>
    <cellStyle name="Normal 4 3 3 3 3 4 4 2" xfId="51488" xr:uid="{00000000-0005-0000-0000-0000C9C50000}"/>
    <cellStyle name="Normal 4 3 3 3 3 4 5" xfId="44796" xr:uid="{00000000-0005-0000-0000-0000CAC50000}"/>
    <cellStyle name="Normal 4 3 3 3 3 5" xfId="12921" xr:uid="{00000000-0005-0000-0000-0000CBC50000}"/>
    <cellStyle name="Normal 4 3 3 3 3 5 2" xfId="12922" xr:uid="{00000000-0005-0000-0000-0000CCC50000}"/>
    <cellStyle name="Normal 4 3 3 3 3 5 2 2" xfId="31427" xr:uid="{00000000-0005-0000-0000-0000CDC50000}"/>
    <cellStyle name="Normal 4 3 3 3 3 5 2 2 2" xfId="63298" xr:uid="{00000000-0005-0000-0000-0000CEC50000}"/>
    <cellStyle name="Normal 4 3 3 3 3 5 2 3" xfId="44801" xr:uid="{00000000-0005-0000-0000-0000CFC50000}"/>
    <cellStyle name="Normal 4 3 3 3 3 5 3" xfId="23549" xr:uid="{00000000-0005-0000-0000-0000D0C50000}"/>
    <cellStyle name="Normal 4 3 3 3 3 5 3 2" xfId="55420" xr:uid="{00000000-0005-0000-0000-0000D1C50000}"/>
    <cellStyle name="Normal 4 3 3 3 3 5 4" xfId="44800" xr:uid="{00000000-0005-0000-0000-0000D2C50000}"/>
    <cellStyle name="Normal 4 3 3 3 3 6" xfId="12923" xr:uid="{00000000-0005-0000-0000-0000D3C50000}"/>
    <cellStyle name="Normal 4 3 3 3 3 6 2" xfId="27488" xr:uid="{00000000-0005-0000-0000-0000D4C50000}"/>
    <cellStyle name="Normal 4 3 3 3 3 6 2 2" xfId="59359" xr:uid="{00000000-0005-0000-0000-0000D5C50000}"/>
    <cellStyle name="Normal 4 3 3 3 3 6 3" xfId="44802" xr:uid="{00000000-0005-0000-0000-0000D6C50000}"/>
    <cellStyle name="Normal 4 3 3 3 3 7" xfId="19610" xr:uid="{00000000-0005-0000-0000-0000D7C50000}"/>
    <cellStyle name="Normal 4 3 3 3 3 7 2" xfId="51481" xr:uid="{00000000-0005-0000-0000-0000D8C50000}"/>
    <cellStyle name="Normal 4 3 3 3 3 8" xfId="44771" xr:uid="{00000000-0005-0000-0000-0000D9C50000}"/>
    <cellStyle name="Normal 4 3 3 3 4" xfId="12924" xr:uid="{00000000-0005-0000-0000-0000DAC50000}"/>
    <cellStyle name="Normal 4 3 3 3 4 2" xfId="12925" xr:uid="{00000000-0005-0000-0000-0000DBC50000}"/>
    <cellStyle name="Normal 4 3 3 3 4 2 2" xfId="12926" xr:uid="{00000000-0005-0000-0000-0000DCC50000}"/>
    <cellStyle name="Normal 4 3 3 3 4 2 2 2" xfId="12927" xr:uid="{00000000-0005-0000-0000-0000DDC50000}"/>
    <cellStyle name="Normal 4 3 3 3 4 2 2 2 2" xfId="12928" xr:uid="{00000000-0005-0000-0000-0000DEC50000}"/>
    <cellStyle name="Normal 4 3 3 3 4 2 2 2 2 2" xfId="31437" xr:uid="{00000000-0005-0000-0000-0000DFC50000}"/>
    <cellStyle name="Normal 4 3 3 3 4 2 2 2 2 2 2" xfId="63308" xr:uid="{00000000-0005-0000-0000-0000E0C50000}"/>
    <cellStyle name="Normal 4 3 3 3 4 2 2 2 2 3" xfId="44807" xr:uid="{00000000-0005-0000-0000-0000E1C50000}"/>
    <cellStyle name="Normal 4 3 3 3 4 2 2 2 3" xfId="23559" xr:uid="{00000000-0005-0000-0000-0000E2C50000}"/>
    <cellStyle name="Normal 4 3 3 3 4 2 2 2 3 2" xfId="55430" xr:uid="{00000000-0005-0000-0000-0000E3C50000}"/>
    <cellStyle name="Normal 4 3 3 3 4 2 2 2 4" xfId="44806" xr:uid="{00000000-0005-0000-0000-0000E4C50000}"/>
    <cellStyle name="Normal 4 3 3 3 4 2 2 3" xfId="12929" xr:uid="{00000000-0005-0000-0000-0000E5C50000}"/>
    <cellStyle name="Normal 4 3 3 3 4 2 2 3 2" xfId="27498" xr:uid="{00000000-0005-0000-0000-0000E6C50000}"/>
    <cellStyle name="Normal 4 3 3 3 4 2 2 3 2 2" xfId="59369" xr:uid="{00000000-0005-0000-0000-0000E7C50000}"/>
    <cellStyle name="Normal 4 3 3 3 4 2 2 3 3" xfId="44808" xr:uid="{00000000-0005-0000-0000-0000E8C50000}"/>
    <cellStyle name="Normal 4 3 3 3 4 2 2 4" xfId="19620" xr:uid="{00000000-0005-0000-0000-0000E9C50000}"/>
    <cellStyle name="Normal 4 3 3 3 4 2 2 4 2" xfId="51491" xr:uid="{00000000-0005-0000-0000-0000EAC50000}"/>
    <cellStyle name="Normal 4 3 3 3 4 2 2 5" xfId="44805" xr:uid="{00000000-0005-0000-0000-0000EBC50000}"/>
    <cellStyle name="Normal 4 3 3 3 4 2 3" xfId="12930" xr:uid="{00000000-0005-0000-0000-0000ECC50000}"/>
    <cellStyle name="Normal 4 3 3 3 4 2 3 2" xfId="12931" xr:uid="{00000000-0005-0000-0000-0000EDC50000}"/>
    <cellStyle name="Normal 4 3 3 3 4 2 3 2 2" xfId="31436" xr:uid="{00000000-0005-0000-0000-0000EEC50000}"/>
    <cellStyle name="Normal 4 3 3 3 4 2 3 2 2 2" xfId="63307" xr:uid="{00000000-0005-0000-0000-0000EFC50000}"/>
    <cellStyle name="Normal 4 3 3 3 4 2 3 2 3" xfId="44810" xr:uid="{00000000-0005-0000-0000-0000F0C50000}"/>
    <cellStyle name="Normal 4 3 3 3 4 2 3 3" xfId="23558" xr:uid="{00000000-0005-0000-0000-0000F1C50000}"/>
    <cellStyle name="Normal 4 3 3 3 4 2 3 3 2" xfId="55429" xr:uid="{00000000-0005-0000-0000-0000F2C50000}"/>
    <cellStyle name="Normal 4 3 3 3 4 2 3 4" xfId="44809" xr:uid="{00000000-0005-0000-0000-0000F3C50000}"/>
    <cellStyle name="Normal 4 3 3 3 4 2 4" xfId="12932" xr:uid="{00000000-0005-0000-0000-0000F4C50000}"/>
    <cellStyle name="Normal 4 3 3 3 4 2 4 2" xfId="27497" xr:uid="{00000000-0005-0000-0000-0000F5C50000}"/>
    <cellStyle name="Normal 4 3 3 3 4 2 4 2 2" xfId="59368" xr:uid="{00000000-0005-0000-0000-0000F6C50000}"/>
    <cellStyle name="Normal 4 3 3 3 4 2 4 3" xfId="44811" xr:uid="{00000000-0005-0000-0000-0000F7C50000}"/>
    <cellStyle name="Normal 4 3 3 3 4 2 5" xfId="19619" xr:uid="{00000000-0005-0000-0000-0000F8C50000}"/>
    <cellStyle name="Normal 4 3 3 3 4 2 5 2" xfId="51490" xr:uid="{00000000-0005-0000-0000-0000F9C50000}"/>
    <cellStyle name="Normal 4 3 3 3 4 2 6" xfId="44804" xr:uid="{00000000-0005-0000-0000-0000FAC50000}"/>
    <cellStyle name="Normal 4 3 3 3 4 3" xfId="12933" xr:uid="{00000000-0005-0000-0000-0000FBC50000}"/>
    <cellStyle name="Normal 4 3 3 3 4 3 2" xfId="12934" xr:uid="{00000000-0005-0000-0000-0000FCC50000}"/>
    <cellStyle name="Normal 4 3 3 3 4 3 2 2" xfId="12935" xr:uid="{00000000-0005-0000-0000-0000FDC50000}"/>
    <cellStyle name="Normal 4 3 3 3 4 3 2 2 2" xfId="31438" xr:uid="{00000000-0005-0000-0000-0000FEC50000}"/>
    <cellStyle name="Normal 4 3 3 3 4 3 2 2 2 2" xfId="63309" xr:uid="{00000000-0005-0000-0000-0000FFC50000}"/>
    <cellStyle name="Normal 4 3 3 3 4 3 2 2 3" xfId="44814" xr:uid="{00000000-0005-0000-0000-000000C60000}"/>
    <cellStyle name="Normal 4 3 3 3 4 3 2 3" xfId="23560" xr:uid="{00000000-0005-0000-0000-000001C60000}"/>
    <cellStyle name="Normal 4 3 3 3 4 3 2 3 2" xfId="55431" xr:uid="{00000000-0005-0000-0000-000002C60000}"/>
    <cellStyle name="Normal 4 3 3 3 4 3 2 4" xfId="44813" xr:uid="{00000000-0005-0000-0000-000003C60000}"/>
    <cellStyle name="Normal 4 3 3 3 4 3 3" xfId="12936" xr:uid="{00000000-0005-0000-0000-000004C60000}"/>
    <cellStyle name="Normal 4 3 3 3 4 3 3 2" xfId="27499" xr:uid="{00000000-0005-0000-0000-000005C60000}"/>
    <cellStyle name="Normal 4 3 3 3 4 3 3 2 2" xfId="59370" xr:uid="{00000000-0005-0000-0000-000006C60000}"/>
    <cellStyle name="Normal 4 3 3 3 4 3 3 3" xfId="44815" xr:uid="{00000000-0005-0000-0000-000007C60000}"/>
    <cellStyle name="Normal 4 3 3 3 4 3 4" xfId="19621" xr:uid="{00000000-0005-0000-0000-000008C60000}"/>
    <cellStyle name="Normal 4 3 3 3 4 3 4 2" xfId="51492" xr:uid="{00000000-0005-0000-0000-000009C60000}"/>
    <cellStyle name="Normal 4 3 3 3 4 3 5" xfId="44812" xr:uid="{00000000-0005-0000-0000-00000AC60000}"/>
    <cellStyle name="Normal 4 3 3 3 4 4" xfId="12937" xr:uid="{00000000-0005-0000-0000-00000BC60000}"/>
    <cellStyle name="Normal 4 3 3 3 4 4 2" xfId="12938" xr:uid="{00000000-0005-0000-0000-00000CC60000}"/>
    <cellStyle name="Normal 4 3 3 3 4 4 2 2" xfId="31435" xr:uid="{00000000-0005-0000-0000-00000DC60000}"/>
    <cellStyle name="Normal 4 3 3 3 4 4 2 2 2" xfId="63306" xr:uid="{00000000-0005-0000-0000-00000EC60000}"/>
    <cellStyle name="Normal 4 3 3 3 4 4 2 3" xfId="44817" xr:uid="{00000000-0005-0000-0000-00000FC60000}"/>
    <cellStyle name="Normal 4 3 3 3 4 4 3" xfId="23557" xr:uid="{00000000-0005-0000-0000-000010C60000}"/>
    <cellStyle name="Normal 4 3 3 3 4 4 3 2" xfId="55428" xr:uid="{00000000-0005-0000-0000-000011C60000}"/>
    <cellStyle name="Normal 4 3 3 3 4 4 4" xfId="44816" xr:uid="{00000000-0005-0000-0000-000012C60000}"/>
    <cellStyle name="Normal 4 3 3 3 4 5" xfId="12939" xr:uid="{00000000-0005-0000-0000-000013C60000}"/>
    <cellStyle name="Normal 4 3 3 3 4 5 2" xfId="27496" xr:uid="{00000000-0005-0000-0000-000014C60000}"/>
    <cellStyle name="Normal 4 3 3 3 4 5 2 2" xfId="59367" xr:uid="{00000000-0005-0000-0000-000015C60000}"/>
    <cellStyle name="Normal 4 3 3 3 4 5 3" xfId="44818" xr:uid="{00000000-0005-0000-0000-000016C60000}"/>
    <cellStyle name="Normal 4 3 3 3 4 6" xfId="19618" xr:uid="{00000000-0005-0000-0000-000017C60000}"/>
    <cellStyle name="Normal 4 3 3 3 4 6 2" xfId="51489" xr:uid="{00000000-0005-0000-0000-000018C60000}"/>
    <cellStyle name="Normal 4 3 3 3 4 7" xfId="44803" xr:uid="{00000000-0005-0000-0000-000019C60000}"/>
    <cellStyle name="Normal 4 3 3 3 5" xfId="12940" xr:uid="{00000000-0005-0000-0000-00001AC60000}"/>
    <cellStyle name="Normal 4 3 3 3 5 2" xfId="12941" xr:uid="{00000000-0005-0000-0000-00001BC60000}"/>
    <cellStyle name="Normal 4 3 3 3 5 2 2" xfId="12942" xr:uid="{00000000-0005-0000-0000-00001CC60000}"/>
    <cellStyle name="Normal 4 3 3 3 5 2 2 2" xfId="12943" xr:uid="{00000000-0005-0000-0000-00001DC60000}"/>
    <cellStyle name="Normal 4 3 3 3 5 2 2 2 2" xfId="31440" xr:uid="{00000000-0005-0000-0000-00001EC60000}"/>
    <cellStyle name="Normal 4 3 3 3 5 2 2 2 2 2" xfId="63311" xr:uid="{00000000-0005-0000-0000-00001FC60000}"/>
    <cellStyle name="Normal 4 3 3 3 5 2 2 2 3" xfId="44822" xr:uid="{00000000-0005-0000-0000-000020C60000}"/>
    <cellStyle name="Normal 4 3 3 3 5 2 2 3" xfId="23562" xr:uid="{00000000-0005-0000-0000-000021C60000}"/>
    <cellStyle name="Normal 4 3 3 3 5 2 2 3 2" xfId="55433" xr:uid="{00000000-0005-0000-0000-000022C60000}"/>
    <cellStyle name="Normal 4 3 3 3 5 2 2 4" xfId="44821" xr:uid="{00000000-0005-0000-0000-000023C60000}"/>
    <cellStyle name="Normal 4 3 3 3 5 2 3" xfId="12944" xr:uid="{00000000-0005-0000-0000-000024C60000}"/>
    <cellStyle name="Normal 4 3 3 3 5 2 3 2" xfId="27501" xr:uid="{00000000-0005-0000-0000-000025C60000}"/>
    <cellStyle name="Normal 4 3 3 3 5 2 3 2 2" xfId="59372" xr:uid="{00000000-0005-0000-0000-000026C60000}"/>
    <cellStyle name="Normal 4 3 3 3 5 2 3 3" xfId="44823" xr:uid="{00000000-0005-0000-0000-000027C60000}"/>
    <cellStyle name="Normal 4 3 3 3 5 2 4" xfId="19623" xr:uid="{00000000-0005-0000-0000-000028C60000}"/>
    <cellStyle name="Normal 4 3 3 3 5 2 4 2" xfId="51494" xr:uid="{00000000-0005-0000-0000-000029C60000}"/>
    <cellStyle name="Normal 4 3 3 3 5 2 5" xfId="44820" xr:uid="{00000000-0005-0000-0000-00002AC60000}"/>
    <cellStyle name="Normal 4 3 3 3 5 3" xfId="12945" xr:uid="{00000000-0005-0000-0000-00002BC60000}"/>
    <cellStyle name="Normal 4 3 3 3 5 3 2" xfId="12946" xr:uid="{00000000-0005-0000-0000-00002CC60000}"/>
    <cellStyle name="Normal 4 3 3 3 5 3 2 2" xfId="31439" xr:uid="{00000000-0005-0000-0000-00002DC60000}"/>
    <cellStyle name="Normal 4 3 3 3 5 3 2 2 2" xfId="63310" xr:uid="{00000000-0005-0000-0000-00002EC60000}"/>
    <cellStyle name="Normal 4 3 3 3 5 3 2 3" xfId="44825" xr:uid="{00000000-0005-0000-0000-00002FC60000}"/>
    <cellStyle name="Normal 4 3 3 3 5 3 3" xfId="23561" xr:uid="{00000000-0005-0000-0000-000030C60000}"/>
    <cellStyle name="Normal 4 3 3 3 5 3 3 2" xfId="55432" xr:uid="{00000000-0005-0000-0000-000031C60000}"/>
    <cellStyle name="Normal 4 3 3 3 5 3 4" xfId="44824" xr:uid="{00000000-0005-0000-0000-000032C60000}"/>
    <cellStyle name="Normal 4 3 3 3 5 4" xfId="12947" xr:uid="{00000000-0005-0000-0000-000033C60000}"/>
    <cellStyle name="Normal 4 3 3 3 5 4 2" xfId="27500" xr:uid="{00000000-0005-0000-0000-000034C60000}"/>
    <cellStyle name="Normal 4 3 3 3 5 4 2 2" xfId="59371" xr:uid="{00000000-0005-0000-0000-000035C60000}"/>
    <cellStyle name="Normal 4 3 3 3 5 4 3" xfId="44826" xr:uid="{00000000-0005-0000-0000-000036C60000}"/>
    <cellStyle name="Normal 4 3 3 3 5 5" xfId="19622" xr:uid="{00000000-0005-0000-0000-000037C60000}"/>
    <cellStyle name="Normal 4 3 3 3 5 5 2" xfId="51493" xr:uid="{00000000-0005-0000-0000-000038C60000}"/>
    <cellStyle name="Normal 4 3 3 3 5 6" xfId="44819" xr:uid="{00000000-0005-0000-0000-000039C60000}"/>
    <cellStyle name="Normal 4 3 3 3 6" xfId="12948" xr:uid="{00000000-0005-0000-0000-00003AC60000}"/>
    <cellStyle name="Normal 4 3 3 3 6 2" xfId="12949" xr:uid="{00000000-0005-0000-0000-00003BC60000}"/>
    <cellStyle name="Normal 4 3 3 3 6 2 2" xfId="12950" xr:uid="{00000000-0005-0000-0000-00003CC60000}"/>
    <cellStyle name="Normal 4 3 3 3 6 2 2 2" xfId="31441" xr:uid="{00000000-0005-0000-0000-00003DC60000}"/>
    <cellStyle name="Normal 4 3 3 3 6 2 2 2 2" xfId="63312" xr:uid="{00000000-0005-0000-0000-00003EC60000}"/>
    <cellStyle name="Normal 4 3 3 3 6 2 2 3" xfId="44829" xr:uid="{00000000-0005-0000-0000-00003FC60000}"/>
    <cellStyle name="Normal 4 3 3 3 6 2 3" xfId="23563" xr:uid="{00000000-0005-0000-0000-000040C60000}"/>
    <cellStyle name="Normal 4 3 3 3 6 2 3 2" xfId="55434" xr:uid="{00000000-0005-0000-0000-000041C60000}"/>
    <cellStyle name="Normal 4 3 3 3 6 2 4" xfId="44828" xr:uid="{00000000-0005-0000-0000-000042C60000}"/>
    <cellStyle name="Normal 4 3 3 3 6 3" xfId="12951" xr:uid="{00000000-0005-0000-0000-000043C60000}"/>
    <cellStyle name="Normal 4 3 3 3 6 3 2" xfId="27502" xr:uid="{00000000-0005-0000-0000-000044C60000}"/>
    <cellStyle name="Normal 4 3 3 3 6 3 2 2" xfId="59373" xr:uid="{00000000-0005-0000-0000-000045C60000}"/>
    <cellStyle name="Normal 4 3 3 3 6 3 3" xfId="44830" xr:uid="{00000000-0005-0000-0000-000046C60000}"/>
    <cellStyle name="Normal 4 3 3 3 6 4" xfId="19624" xr:uid="{00000000-0005-0000-0000-000047C60000}"/>
    <cellStyle name="Normal 4 3 3 3 6 4 2" xfId="51495" xr:uid="{00000000-0005-0000-0000-000048C60000}"/>
    <cellStyle name="Normal 4 3 3 3 6 5" xfId="44827" xr:uid="{00000000-0005-0000-0000-000049C60000}"/>
    <cellStyle name="Normal 4 3 3 3 7" xfId="12952" xr:uid="{00000000-0005-0000-0000-00004AC60000}"/>
    <cellStyle name="Normal 4 3 3 3 7 2" xfId="12953" xr:uid="{00000000-0005-0000-0000-00004BC60000}"/>
    <cellStyle name="Normal 4 3 3 3 7 2 2" xfId="28379" xr:uid="{00000000-0005-0000-0000-00004CC60000}"/>
    <cellStyle name="Normal 4 3 3 3 7 2 2 2" xfId="60250" xr:uid="{00000000-0005-0000-0000-00004DC60000}"/>
    <cellStyle name="Normal 4 3 3 3 7 2 3" xfId="44832" xr:uid="{00000000-0005-0000-0000-00004EC60000}"/>
    <cellStyle name="Normal 4 3 3 3 7 3" xfId="20501" xr:uid="{00000000-0005-0000-0000-00004FC60000}"/>
    <cellStyle name="Normal 4 3 3 3 7 3 2" xfId="52372" xr:uid="{00000000-0005-0000-0000-000050C60000}"/>
    <cellStyle name="Normal 4 3 3 3 7 4" xfId="44831" xr:uid="{00000000-0005-0000-0000-000051C60000}"/>
    <cellStyle name="Normal 4 3 3 3 8" xfId="12954" xr:uid="{00000000-0005-0000-0000-000052C60000}"/>
    <cellStyle name="Normal 4 3 3 3 8 2" xfId="24440" xr:uid="{00000000-0005-0000-0000-000053C60000}"/>
    <cellStyle name="Normal 4 3 3 3 8 2 2" xfId="56311" xr:uid="{00000000-0005-0000-0000-000054C60000}"/>
    <cellStyle name="Normal 4 3 3 3 8 3" xfId="44833" xr:uid="{00000000-0005-0000-0000-000055C60000}"/>
    <cellStyle name="Normal 4 3 3 3 9" xfId="16562" xr:uid="{00000000-0005-0000-0000-000056C60000}"/>
    <cellStyle name="Normal 4 3 3 3 9 2" xfId="48433" xr:uid="{00000000-0005-0000-0000-000057C60000}"/>
    <cellStyle name="Normal 4 3 3 4" xfId="12955" xr:uid="{00000000-0005-0000-0000-000058C60000}"/>
    <cellStyle name="Normal 4 3 3 4 2" xfId="12956" xr:uid="{00000000-0005-0000-0000-000059C60000}"/>
    <cellStyle name="Normal 4 3 3 4 2 2" xfId="12957" xr:uid="{00000000-0005-0000-0000-00005AC60000}"/>
    <cellStyle name="Normal 4 3 3 4 2 2 2" xfId="12958" xr:uid="{00000000-0005-0000-0000-00005BC60000}"/>
    <cellStyle name="Normal 4 3 3 4 2 2 2 2" xfId="12959" xr:uid="{00000000-0005-0000-0000-00005CC60000}"/>
    <cellStyle name="Normal 4 3 3 4 2 2 2 2 2" xfId="12960" xr:uid="{00000000-0005-0000-0000-00005DC60000}"/>
    <cellStyle name="Normal 4 3 3 4 2 2 2 2 2 2" xfId="12961" xr:uid="{00000000-0005-0000-0000-00005EC60000}"/>
    <cellStyle name="Normal 4 3 3 4 2 2 2 2 2 2 2" xfId="31445" xr:uid="{00000000-0005-0000-0000-00005FC60000}"/>
    <cellStyle name="Normal 4 3 3 4 2 2 2 2 2 2 2 2" xfId="63316" xr:uid="{00000000-0005-0000-0000-000060C60000}"/>
    <cellStyle name="Normal 4 3 3 4 2 2 2 2 2 2 3" xfId="44840" xr:uid="{00000000-0005-0000-0000-000061C60000}"/>
    <cellStyle name="Normal 4 3 3 4 2 2 2 2 2 3" xfId="23567" xr:uid="{00000000-0005-0000-0000-000062C60000}"/>
    <cellStyle name="Normal 4 3 3 4 2 2 2 2 2 3 2" xfId="55438" xr:uid="{00000000-0005-0000-0000-000063C60000}"/>
    <cellStyle name="Normal 4 3 3 4 2 2 2 2 2 4" xfId="44839" xr:uid="{00000000-0005-0000-0000-000064C60000}"/>
    <cellStyle name="Normal 4 3 3 4 2 2 2 2 3" xfId="12962" xr:uid="{00000000-0005-0000-0000-000065C60000}"/>
    <cellStyle name="Normal 4 3 3 4 2 2 2 2 3 2" xfId="27506" xr:uid="{00000000-0005-0000-0000-000066C60000}"/>
    <cellStyle name="Normal 4 3 3 4 2 2 2 2 3 2 2" xfId="59377" xr:uid="{00000000-0005-0000-0000-000067C60000}"/>
    <cellStyle name="Normal 4 3 3 4 2 2 2 2 3 3" xfId="44841" xr:uid="{00000000-0005-0000-0000-000068C60000}"/>
    <cellStyle name="Normal 4 3 3 4 2 2 2 2 4" xfId="19628" xr:uid="{00000000-0005-0000-0000-000069C60000}"/>
    <cellStyle name="Normal 4 3 3 4 2 2 2 2 4 2" xfId="51499" xr:uid="{00000000-0005-0000-0000-00006AC60000}"/>
    <cellStyle name="Normal 4 3 3 4 2 2 2 2 5" xfId="44838" xr:uid="{00000000-0005-0000-0000-00006BC60000}"/>
    <cellStyle name="Normal 4 3 3 4 2 2 2 3" xfId="12963" xr:uid="{00000000-0005-0000-0000-00006CC60000}"/>
    <cellStyle name="Normal 4 3 3 4 2 2 2 3 2" xfId="12964" xr:uid="{00000000-0005-0000-0000-00006DC60000}"/>
    <cellStyle name="Normal 4 3 3 4 2 2 2 3 2 2" xfId="31444" xr:uid="{00000000-0005-0000-0000-00006EC60000}"/>
    <cellStyle name="Normal 4 3 3 4 2 2 2 3 2 2 2" xfId="63315" xr:uid="{00000000-0005-0000-0000-00006FC60000}"/>
    <cellStyle name="Normal 4 3 3 4 2 2 2 3 2 3" xfId="44843" xr:uid="{00000000-0005-0000-0000-000070C60000}"/>
    <cellStyle name="Normal 4 3 3 4 2 2 2 3 3" xfId="23566" xr:uid="{00000000-0005-0000-0000-000071C60000}"/>
    <cellStyle name="Normal 4 3 3 4 2 2 2 3 3 2" xfId="55437" xr:uid="{00000000-0005-0000-0000-000072C60000}"/>
    <cellStyle name="Normal 4 3 3 4 2 2 2 3 4" xfId="44842" xr:uid="{00000000-0005-0000-0000-000073C60000}"/>
    <cellStyle name="Normal 4 3 3 4 2 2 2 4" xfId="12965" xr:uid="{00000000-0005-0000-0000-000074C60000}"/>
    <cellStyle name="Normal 4 3 3 4 2 2 2 4 2" xfId="27505" xr:uid="{00000000-0005-0000-0000-000075C60000}"/>
    <cellStyle name="Normal 4 3 3 4 2 2 2 4 2 2" xfId="59376" xr:uid="{00000000-0005-0000-0000-000076C60000}"/>
    <cellStyle name="Normal 4 3 3 4 2 2 2 4 3" xfId="44844" xr:uid="{00000000-0005-0000-0000-000077C60000}"/>
    <cellStyle name="Normal 4 3 3 4 2 2 2 5" xfId="19627" xr:uid="{00000000-0005-0000-0000-000078C60000}"/>
    <cellStyle name="Normal 4 3 3 4 2 2 2 5 2" xfId="51498" xr:uid="{00000000-0005-0000-0000-000079C60000}"/>
    <cellStyle name="Normal 4 3 3 4 2 2 2 6" xfId="44837" xr:uid="{00000000-0005-0000-0000-00007AC60000}"/>
    <cellStyle name="Normal 4 3 3 4 2 2 3" xfId="12966" xr:uid="{00000000-0005-0000-0000-00007BC60000}"/>
    <cellStyle name="Normal 4 3 3 4 2 2 3 2" xfId="12967" xr:uid="{00000000-0005-0000-0000-00007CC60000}"/>
    <cellStyle name="Normal 4 3 3 4 2 2 3 2 2" xfId="12968" xr:uid="{00000000-0005-0000-0000-00007DC60000}"/>
    <cellStyle name="Normal 4 3 3 4 2 2 3 2 2 2" xfId="31446" xr:uid="{00000000-0005-0000-0000-00007EC60000}"/>
    <cellStyle name="Normal 4 3 3 4 2 2 3 2 2 2 2" xfId="63317" xr:uid="{00000000-0005-0000-0000-00007FC60000}"/>
    <cellStyle name="Normal 4 3 3 4 2 2 3 2 2 3" xfId="44847" xr:uid="{00000000-0005-0000-0000-000080C60000}"/>
    <cellStyle name="Normal 4 3 3 4 2 2 3 2 3" xfId="23568" xr:uid="{00000000-0005-0000-0000-000081C60000}"/>
    <cellStyle name="Normal 4 3 3 4 2 2 3 2 3 2" xfId="55439" xr:uid="{00000000-0005-0000-0000-000082C60000}"/>
    <cellStyle name="Normal 4 3 3 4 2 2 3 2 4" xfId="44846" xr:uid="{00000000-0005-0000-0000-000083C60000}"/>
    <cellStyle name="Normal 4 3 3 4 2 2 3 3" xfId="12969" xr:uid="{00000000-0005-0000-0000-000084C60000}"/>
    <cellStyle name="Normal 4 3 3 4 2 2 3 3 2" xfId="27507" xr:uid="{00000000-0005-0000-0000-000085C60000}"/>
    <cellStyle name="Normal 4 3 3 4 2 2 3 3 2 2" xfId="59378" xr:uid="{00000000-0005-0000-0000-000086C60000}"/>
    <cellStyle name="Normal 4 3 3 4 2 2 3 3 3" xfId="44848" xr:uid="{00000000-0005-0000-0000-000087C60000}"/>
    <cellStyle name="Normal 4 3 3 4 2 2 3 4" xfId="19629" xr:uid="{00000000-0005-0000-0000-000088C60000}"/>
    <cellStyle name="Normal 4 3 3 4 2 2 3 4 2" xfId="51500" xr:uid="{00000000-0005-0000-0000-000089C60000}"/>
    <cellStyle name="Normal 4 3 3 4 2 2 3 5" xfId="44845" xr:uid="{00000000-0005-0000-0000-00008AC60000}"/>
    <cellStyle name="Normal 4 3 3 4 2 2 4" xfId="12970" xr:uid="{00000000-0005-0000-0000-00008BC60000}"/>
    <cellStyle name="Normal 4 3 3 4 2 2 4 2" xfId="12971" xr:uid="{00000000-0005-0000-0000-00008CC60000}"/>
    <cellStyle name="Normal 4 3 3 4 2 2 4 2 2" xfId="31443" xr:uid="{00000000-0005-0000-0000-00008DC60000}"/>
    <cellStyle name="Normal 4 3 3 4 2 2 4 2 2 2" xfId="63314" xr:uid="{00000000-0005-0000-0000-00008EC60000}"/>
    <cellStyle name="Normal 4 3 3 4 2 2 4 2 3" xfId="44850" xr:uid="{00000000-0005-0000-0000-00008FC60000}"/>
    <cellStyle name="Normal 4 3 3 4 2 2 4 3" xfId="23565" xr:uid="{00000000-0005-0000-0000-000090C60000}"/>
    <cellStyle name="Normal 4 3 3 4 2 2 4 3 2" xfId="55436" xr:uid="{00000000-0005-0000-0000-000091C60000}"/>
    <cellStyle name="Normal 4 3 3 4 2 2 4 4" xfId="44849" xr:uid="{00000000-0005-0000-0000-000092C60000}"/>
    <cellStyle name="Normal 4 3 3 4 2 2 5" xfId="12972" xr:uid="{00000000-0005-0000-0000-000093C60000}"/>
    <cellStyle name="Normal 4 3 3 4 2 2 5 2" xfId="27504" xr:uid="{00000000-0005-0000-0000-000094C60000}"/>
    <cellStyle name="Normal 4 3 3 4 2 2 5 2 2" xfId="59375" xr:uid="{00000000-0005-0000-0000-000095C60000}"/>
    <cellStyle name="Normal 4 3 3 4 2 2 5 3" xfId="44851" xr:uid="{00000000-0005-0000-0000-000096C60000}"/>
    <cellStyle name="Normal 4 3 3 4 2 2 6" xfId="19626" xr:uid="{00000000-0005-0000-0000-000097C60000}"/>
    <cellStyle name="Normal 4 3 3 4 2 2 6 2" xfId="51497" xr:uid="{00000000-0005-0000-0000-000098C60000}"/>
    <cellStyle name="Normal 4 3 3 4 2 2 7" xfId="44836" xr:uid="{00000000-0005-0000-0000-000099C60000}"/>
    <cellStyle name="Normal 4 3 3 4 2 3" xfId="12973" xr:uid="{00000000-0005-0000-0000-00009AC60000}"/>
    <cellStyle name="Normal 4 3 3 4 2 3 2" xfId="12974" xr:uid="{00000000-0005-0000-0000-00009BC60000}"/>
    <cellStyle name="Normal 4 3 3 4 2 3 2 2" xfId="12975" xr:uid="{00000000-0005-0000-0000-00009CC60000}"/>
    <cellStyle name="Normal 4 3 3 4 2 3 2 2 2" xfId="12976" xr:uid="{00000000-0005-0000-0000-00009DC60000}"/>
    <cellStyle name="Normal 4 3 3 4 2 3 2 2 2 2" xfId="31448" xr:uid="{00000000-0005-0000-0000-00009EC60000}"/>
    <cellStyle name="Normal 4 3 3 4 2 3 2 2 2 2 2" xfId="63319" xr:uid="{00000000-0005-0000-0000-00009FC60000}"/>
    <cellStyle name="Normal 4 3 3 4 2 3 2 2 2 3" xfId="44855" xr:uid="{00000000-0005-0000-0000-0000A0C60000}"/>
    <cellStyle name="Normal 4 3 3 4 2 3 2 2 3" xfId="23570" xr:uid="{00000000-0005-0000-0000-0000A1C60000}"/>
    <cellStyle name="Normal 4 3 3 4 2 3 2 2 3 2" xfId="55441" xr:uid="{00000000-0005-0000-0000-0000A2C60000}"/>
    <cellStyle name="Normal 4 3 3 4 2 3 2 2 4" xfId="44854" xr:uid="{00000000-0005-0000-0000-0000A3C60000}"/>
    <cellStyle name="Normal 4 3 3 4 2 3 2 3" xfId="12977" xr:uid="{00000000-0005-0000-0000-0000A4C60000}"/>
    <cellStyle name="Normal 4 3 3 4 2 3 2 3 2" xfId="27509" xr:uid="{00000000-0005-0000-0000-0000A5C60000}"/>
    <cellStyle name="Normal 4 3 3 4 2 3 2 3 2 2" xfId="59380" xr:uid="{00000000-0005-0000-0000-0000A6C60000}"/>
    <cellStyle name="Normal 4 3 3 4 2 3 2 3 3" xfId="44856" xr:uid="{00000000-0005-0000-0000-0000A7C60000}"/>
    <cellStyle name="Normal 4 3 3 4 2 3 2 4" xfId="19631" xr:uid="{00000000-0005-0000-0000-0000A8C60000}"/>
    <cellStyle name="Normal 4 3 3 4 2 3 2 4 2" xfId="51502" xr:uid="{00000000-0005-0000-0000-0000A9C60000}"/>
    <cellStyle name="Normal 4 3 3 4 2 3 2 5" xfId="44853" xr:uid="{00000000-0005-0000-0000-0000AAC60000}"/>
    <cellStyle name="Normal 4 3 3 4 2 3 3" xfId="12978" xr:uid="{00000000-0005-0000-0000-0000ABC60000}"/>
    <cellStyle name="Normal 4 3 3 4 2 3 3 2" xfId="12979" xr:uid="{00000000-0005-0000-0000-0000ACC60000}"/>
    <cellStyle name="Normal 4 3 3 4 2 3 3 2 2" xfId="31447" xr:uid="{00000000-0005-0000-0000-0000ADC60000}"/>
    <cellStyle name="Normal 4 3 3 4 2 3 3 2 2 2" xfId="63318" xr:uid="{00000000-0005-0000-0000-0000AEC60000}"/>
    <cellStyle name="Normal 4 3 3 4 2 3 3 2 3" xfId="44858" xr:uid="{00000000-0005-0000-0000-0000AFC60000}"/>
    <cellStyle name="Normal 4 3 3 4 2 3 3 3" xfId="23569" xr:uid="{00000000-0005-0000-0000-0000B0C60000}"/>
    <cellStyle name="Normal 4 3 3 4 2 3 3 3 2" xfId="55440" xr:uid="{00000000-0005-0000-0000-0000B1C60000}"/>
    <cellStyle name="Normal 4 3 3 4 2 3 3 4" xfId="44857" xr:uid="{00000000-0005-0000-0000-0000B2C60000}"/>
    <cellStyle name="Normal 4 3 3 4 2 3 4" xfId="12980" xr:uid="{00000000-0005-0000-0000-0000B3C60000}"/>
    <cellStyle name="Normal 4 3 3 4 2 3 4 2" xfId="27508" xr:uid="{00000000-0005-0000-0000-0000B4C60000}"/>
    <cellStyle name="Normal 4 3 3 4 2 3 4 2 2" xfId="59379" xr:uid="{00000000-0005-0000-0000-0000B5C60000}"/>
    <cellStyle name="Normal 4 3 3 4 2 3 4 3" xfId="44859" xr:uid="{00000000-0005-0000-0000-0000B6C60000}"/>
    <cellStyle name="Normal 4 3 3 4 2 3 5" xfId="19630" xr:uid="{00000000-0005-0000-0000-0000B7C60000}"/>
    <cellStyle name="Normal 4 3 3 4 2 3 5 2" xfId="51501" xr:uid="{00000000-0005-0000-0000-0000B8C60000}"/>
    <cellStyle name="Normal 4 3 3 4 2 3 6" xfId="44852" xr:uid="{00000000-0005-0000-0000-0000B9C60000}"/>
    <cellStyle name="Normal 4 3 3 4 2 4" xfId="12981" xr:uid="{00000000-0005-0000-0000-0000BAC60000}"/>
    <cellStyle name="Normal 4 3 3 4 2 4 2" xfId="12982" xr:uid="{00000000-0005-0000-0000-0000BBC60000}"/>
    <cellStyle name="Normal 4 3 3 4 2 4 2 2" xfId="12983" xr:uid="{00000000-0005-0000-0000-0000BCC60000}"/>
    <cellStyle name="Normal 4 3 3 4 2 4 2 2 2" xfId="31449" xr:uid="{00000000-0005-0000-0000-0000BDC60000}"/>
    <cellStyle name="Normal 4 3 3 4 2 4 2 2 2 2" xfId="63320" xr:uid="{00000000-0005-0000-0000-0000BEC60000}"/>
    <cellStyle name="Normal 4 3 3 4 2 4 2 2 3" xfId="44862" xr:uid="{00000000-0005-0000-0000-0000BFC60000}"/>
    <cellStyle name="Normal 4 3 3 4 2 4 2 3" xfId="23571" xr:uid="{00000000-0005-0000-0000-0000C0C60000}"/>
    <cellStyle name="Normal 4 3 3 4 2 4 2 3 2" xfId="55442" xr:uid="{00000000-0005-0000-0000-0000C1C60000}"/>
    <cellStyle name="Normal 4 3 3 4 2 4 2 4" xfId="44861" xr:uid="{00000000-0005-0000-0000-0000C2C60000}"/>
    <cellStyle name="Normal 4 3 3 4 2 4 3" xfId="12984" xr:uid="{00000000-0005-0000-0000-0000C3C60000}"/>
    <cellStyle name="Normal 4 3 3 4 2 4 3 2" xfId="27510" xr:uid="{00000000-0005-0000-0000-0000C4C60000}"/>
    <cellStyle name="Normal 4 3 3 4 2 4 3 2 2" xfId="59381" xr:uid="{00000000-0005-0000-0000-0000C5C60000}"/>
    <cellStyle name="Normal 4 3 3 4 2 4 3 3" xfId="44863" xr:uid="{00000000-0005-0000-0000-0000C6C60000}"/>
    <cellStyle name="Normal 4 3 3 4 2 4 4" xfId="19632" xr:uid="{00000000-0005-0000-0000-0000C7C60000}"/>
    <cellStyle name="Normal 4 3 3 4 2 4 4 2" xfId="51503" xr:uid="{00000000-0005-0000-0000-0000C8C60000}"/>
    <cellStyle name="Normal 4 3 3 4 2 4 5" xfId="44860" xr:uid="{00000000-0005-0000-0000-0000C9C60000}"/>
    <cellStyle name="Normal 4 3 3 4 2 5" xfId="12985" xr:uid="{00000000-0005-0000-0000-0000CAC60000}"/>
    <cellStyle name="Normal 4 3 3 4 2 5 2" xfId="12986" xr:uid="{00000000-0005-0000-0000-0000CBC60000}"/>
    <cellStyle name="Normal 4 3 3 4 2 5 2 2" xfId="31442" xr:uid="{00000000-0005-0000-0000-0000CCC60000}"/>
    <cellStyle name="Normal 4 3 3 4 2 5 2 2 2" xfId="63313" xr:uid="{00000000-0005-0000-0000-0000CDC60000}"/>
    <cellStyle name="Normal 4 3 3 4 2 5 2 3" xfId="44865" xr:uid="{00000000-0005-0000-0000-0000CEC60000}"/>
    <cellStyle name="Normal 4 3 3 4 2 5 3" xfId="23564" xr:uid="{00000000-0005-0000-0000-0000CFC60000}"/>
    <cellStyle name="Normal 4 3 3 4 2 5 3 2" xfId="55435" xr:uid="{00000000-0005-0000-0000-0000D0C60000}"/>
    <cellStyle name="Normal 4 3 3 4 2 5 4" xfId="44864" xr:uid="{00000000-0005-0000-0000-0000D1C60000}"/>
    <cellStyle name="Normal 4 3 3 4 2 6" xfId="12987" xr:uid="{00000000-0005-0000-0000-0000D2C60000}"/>
    <cellStyle name="Normal 4 3 3 4 2 6 2" xfId="27503" xr:uid="{00000000-0005-0000-0000-0000D3C60000}"/>
    <cellStyle name="Normal 4 3 3 4 2 6 2 2" xfId="59374" xr:uid="{00000000-0005-0000-0000-0000D4C60000}"/>
    <cellStyle name="Normal 4 3 3 4 2 6 3" xfId="44866" xr:uid="{00000000-0005-0000-0000-0000D5C60000}"/>
    <cellStyle name="Normal 4 3 3 4 2 7" xfId="19625" xr:uid="{00000000-0005-0000-0000-0000D6C60000}"/>
    <cellStyle name="Normal 4 3 3 4 2 7 2" xfId="51496" xr:uid="{00000000-0005-0000-0000-0000D7C60000}"/>
    <cellStyle name="Normal 4 3 3 4 2 8" xfId="44835" xr:uid="{00000000-0005-0000-0000-0000D8C60000}"/>
    <cellStyle name="Normal 4 3 3 4 3" xfId="12988" xr:uid="{00000000-0005-0000-0000-0000D9C60000}"/>
    <cellStyle name="Normal 4 3 3 4 3 2" xfId="12989" xr:uid="{00000000-0005-0000-0000-0000DAC60000}"/>
    <cellStyle name="Normal 4 3 3 4 3 2 2" xfId="12990" xr:uid="{00000000-0005-0000-0000-0000DBC60000}"/>
    <cellStyle name="Normal 4 3 3 4 3 2 2 2" xfId="12991" xr:uid="{00000000-0005-0000-0000-0000DCC60000}"/>
    <cellStyle name="Normal 4 3 3 4 3 2 2 2 2" xfId="12992" xr:uid="{00000000-0005-0000-0000-0000DDC60000}"/>
    <cellStyle name="Normal 4 3 3 4 3 2 2 2 2 2" xfId="31452" xr:uid="{00000000-0005-0000-0000-0000DEC60000}"/>
    <cellStyle name="Normal 4 3 3 4 3 2 2 2 2 2 2" xfId="63323" xr:uid="{00000000-0005-0000-0000-0000DFC60000}"/>
    <cellStyle name="Normal 4 3 3 4 3 2 2 2 2 3" xfId="44871" xr:uid="{00000000-0005-0000-0000-0000E0C60000}"/>
    <cellStyle name="Normal 4 3 3 4 3 2 2 2 3" xfId="23574" xr:uid="{00000000-0005-0000-0000-0000E1C60000}"/>
    <cellStyle name="Normal 4 3 3 4 3 2 2 2 3 2" xfId="55445" xr:uid="{00000000-0005-0000-0000-0000E2C60000}"/>
    <cellStyle name="Normal 4 3 3 4 3 2 2 2 4" xfId="44870" xr:uid="{00000000-0005-0000-0000-0000E3C60000}"/>
    <cellStyle name="Normal 4 3 3 4 3 2 2 3" xfId="12993" xr:uid="{00000000-0005-0000-0000-0000E4C60000}"/>
    <cellStyle name="Normal 4 3 3 4 3 2 2 3 2" xfId="27513" xr:uid="{00000000-0005-0000-0000-0000E5C60000}"/>
    <cellStyle name="Normal 4 3 3 4 3 2 2 3 2 2" xfId="59384" xr:uid="{00000000-0005-0000-0000-0000E6C60000}"/>
    <cellStyle name="Normal 4 3 3 4 3 2 2 3 3" xfId="44872" xr:uid="{00000000-0005-0000-0000-0000E7C60000}"/>
    <cellStyle name="Normal 4 3 3 4 3 2 2 4" xfId="19635" xr:uid="{00000000-0005-0000-0000-0000E8C60000}"/>
    <cellStyle name="Normal 4 3 3 4 3 2 2 4 2" xfId="51506" xr:uid="{00000000-0005-0000-0000-0000E9C60000}"/>
    <cellStyle name="Normal 4 3 3 4 3 2 2 5" xfId="44869" xr:uid="{00000000-0005-0000-0000-0000EAC60000}"/>
    <cellStyle name="Normal 4 3 3 4 3 2 3" xfId="12994" xr:uid="{00000000-0005-0000-0000-0000EBC60000}"/>
    <cellStyle name="Normal 4 3 3 4 3 2 3 2" xfId="12995" xr:uid="{00000000-0005-0000-0000-0000ECC60000}"/>
    <cellStyle name="Normal 4 3 3 4 3 2 3 2 2" xfId="31451" xr:uid="{00000000-0005-0000-0000-0000EDC60000}"/>
    <cellStyle name="Normal 4 3 3 4 3 2 3 2 2 2" xfId="63322" xr:uid="{00000000-0005-0000-0000-0000EEC60000}"/>
    <cellStyle name="Normal 4 3 3 4 3 2 3 2 3" xfId="44874" xr:uid="{00000000-0005-0000-0000-0000EFC60000}"/>
    <cellStyle name="Normal 4 3 3 4 3 2 3 3" xfId="23573" xr:uid="{00000000-0005-0000-0000-0000F0C60000}"/>
    <cellStyle name="Normal 4 3 3 4 3 2 3 3 2" xfId="55444" xr:uid="{00000000-0005-0000-0000-0000F1C60000}"/>
    <cellStyle name="Normal 4 3 3 4 3 2 3 4" xfId="44873" xr:uid="{00000000-0005-0000-0000-0000F2C60000}"/>
    <cellStyle name="Normal 4 3 3 4 3 2 4" xfId="12996" xr:uid="{00000000-0005-0000-0000-0000F3C60000}"/>
    <cellStyle name="Normal 4 3 3 4 3 2 4 2" xfId="27512" xr:uid="{00000000-0005-0000-0000-0000F4C60000}"/>
    <cellStyle name="Normal 4 3 3 4 3 2 4 2 2" xfId="59383" xr:uid="{00000000-0005-0000-0000-0000F5C60000}"/>
    <cellStyle name="Normal 4 3 3 4 3 2 4 3" xfId="44875" xr:uid="{00000000-0005-0000-0000-0000F6C60000}"/>
    <cellStyle name="Normal 4 3 3 4 3 2 5" xfId="19634" xr:uid="{00000000-0005-0000-0000-0000F7C60000}"/>
    <cellStyle name="Normal 4 3 3 4 3 2 5 2" xfId="51505" xr:uid="{00000000-0005-0000-0000-0000F8C60000}"/>
    <cellStyle name="Normal 4 3 3 4 3 2 6" xfId="44868" xr:uid="{00000000-0005-0000-0000-0000F9C60000}"/>
    <cellStyle name="Normal 4 3 3 4 3 3" xfId="12997" xr:uid="{00000000-0005-0000-0000-0000FAC60000}"/>
    <cellStyle name="Normal 4 3 3 4 3 3 2" xfId="12998" xr:uid="{00000000-0005-0000-0000-0000FBC60000}"/>
    <cellStyle name="Normal 4 3 3 4 3 3 2 2" xfId="12999" xr:uid="{00000000-0005-0000-0000-0000FCC60000}"/>
    <cellStyle name="Normal 4 3 3 4 3 3 2 2 2" xfId="31453" xr:uid="{00000000-0005-0000-0000-0000FDC60000}"/>
    <cellStyle name="Normal 4 3 3 4 3 3 2 2 2 2" xfId="63324" xr:uid="{00000000-0005-0000-0000-0000FEC60000}"/>
    <cellStyle name="Normal 4 3 3 4 3 3 2 2 3" xfId="44878" xr:uid="{00000000-0005-0000-0000-0000FFC60000}"/>
    <cellStyle name="Normal 4 3 3 4 3 3 2 3" xfId="23575" xr:uid="{00000000-0005-0000-0000-000000C70000}"/>
    <cellStyle name="Normal 4 3 3 4 3 3 2 3 2" xfId="55446" xr:uid="{00000000-0005-0000-0000-000001C70000}"/>
    <cellStyle name="Normal 4 3 3 4 3 3 2 4" xfId="44877" xr:uid="{00000000-0005-0000-0000-000002C70000}"/>
    <cellStyle name="Normal 4 3 3 4 3 3 3" xfId="13000" xr:uid="{00000000-0005-0000-0000-000003C70000}"/>
    <cellStyle name="Normal 4 3 3 4 3 3 3 2" xfId="27514" xr:uid="{00000000-0005-0000-0000-000004C70000}"/>
    <cellStyle name="Normal 4 3 3 4 3 3 3 2 2" xfId="59385" xr:uid="{00000000-0005-0000-0000-000005C70000}"/>
    <cellStyle name="Normal 4 3 3 4 3 3 3 3" xfId="44879" xr:uid="{00000000-0005-0000-0000-000006C70000}"/>
    <cellStyle name="Normal 4 3 3 4 3 3 4" xfId="19636" xr:uid="{00000000-0005-0000-0000-000007C70000}"/>
    <cellStyle name="Normal 4 3 3 4 3 3 4 2" xfId="51507" xr:uid="{00000000-0005-0000-0000-000008C70000}"/>
    <cellStyle name="Normal 4 3 3 4 3 3 5" xfId="44876" xr:uid="{00000000-0005-0000-0000-000009C70000}"/>
    <cellStyle name="Normal 4 3 3 4 3 4" xfId="13001" xr:uid="{00000000-0005-0000-0000-00000AC70000}"/>
    <cellStyle name="Normal 4 3 3 4 3 4 2" xfId="13002" xr:uid="{00000000-0005-0000-0000-00000BC70000}"/>
    <cellStyle name="Normal 4 3 3 4 3 4 2 2" xfId="31450" xr:uid="{00000000-0005-0000-0000-00000CC70000}"/>
    <cellStyle name="Normal 4 3 3 4 3 4 2 2 2" xfId="63321" xr:uid="{00000000-0005-0000-0000-00000DC70000}"/>
    <cellStyle name="Normal 4 3 3 4 3 4 2 3" xfId="44881" xr:uid="{00000000-0005-0000-0000-00000EC70000}"/>
    <cellStyle name="Normal 4 3 3 4 3 4 3" xfId="23572" xr:uid="{00000000-0005-0000-0000-00000FC70000}"/>
    <cellStyle name="Normal 4 3 3 4 3 4 3 2" xfId="55443" xr:uid="{00000000-0005-0000-0000-000010C70000}"/>
    <cellStyle name="Normal 4 3 3 4 3 4 4" xfId="44880" xr:uid="{00000000-0005-0000-0000-000011C70000}"/>
    <cellStyle name="Normal 4 3 3 4 3 5" xfId="13003" xr:uid="{00000000-0005-0000-0000-000012C70000}"/>
    <cellStyle name="Normal 4 3 3 4 3 5 2" xfId="27511" xr:uid="{00000000-0005-0000-0000-000013C70000}"/>
    <cellStyle name="Normal 4 3 3 4 3 5 2 2" xfId="59382" xr:uid="{00000000-0005-0000-0000-000014C70000}"/>
    <cellStyle name="Normal 4 3 3 4 3 5 3" xfId="44882" xr:uid="{00000000-0005-0000-0000-000015C70000}"/>
    <cellStyle name="Normal 4 3 3 4 3 6" xfId="19633" xr:uid="{00000000-0005-0000-0000-000016C70000}"/>
    <cellStyle name="Normal 4 3 3 4 3 6 2" xfId="51504" xr:uid="{00000000-0005-0000-0000-000017C70000}"/>
    <cellStyle name="Normal 4 3 3 4 3 7" xfId="44867" xr:uid="{00000000-0005-0000-0000-000018C70000}"/>
    <cellStyle name="Normal 4 3 3 4 4" xfId="13004" xr:uid="{00000000-0005-0000-0000-000019C70000}"/>
    <cellStyle name="Normal 4 3 3 4 4 2" xfId="13005" xr:uid="{00000000-0005-0000-0000-00001AC70000}"/>
    <cellStyle name="Normal 4 3 3 4 4 2 2" xfId="13006" xr:uid="{00000000-0005-0000-0000-00001BC70000}"/>
    <cellStyle name="Normal 4 3 3 4 4 2 2 2" xfId="13007" xr:uid="{00000000-0005-0000-0000-00001CC70000}"/>
    <cellStyle name="Normal 4 3 3 4 4 2 2 2 2" xfId="31455" xr:uid="{00000000-0005-0000-0000-00001DC70000}"/>
    <cellStyle name="Normal 4 3 3 4 4 2 2 2 2 2" xfId="63326" xr:uid="{00000000-0005-0000-0000-00001EC70000}"/>
    <cellStyle name="Normal 4 3 3 4 4 2 2 2 3" xfId="44886" xr:uid="{00000000-0005-0000-0000-00001FC70000}"/>
    <cellStyle name="Normal 4 3 3 4 4 2 2 3" xfId="23577" xr:uid="{00000000-0005-0000-0000-000020C70000}"/>
    <cellStyle name="Normal 4 3 3 4 4 2 2 3 2" xfId="55448" xr:uid="{00000000-0005-0000-0000-000021C70000}"/>
    <cellStyle name="Normal 4 3 3 4 4 2 2 4" xfId="44885" xr:uid="{00000000-0005-0000-0000-000022C70000}"/>
    <cellStyle name="Normal 4 3 3 4 4 2 3" xfId="13008" xr:uid="{00000000-0005-0000-0000-000023C70000}"/>
    <cellStyle name="Normal 4 3 3 4 4 2 3 2" xfId="27516" xr:uid="{00000000-0005-0000-0000-000024C70000}"/>
    <cellStyle name="Normal 4 3 3 4 4 2 3 2 2" xfId="59387" xr:uid="{00000000-0005-0000-0000-000025C70000}"/>
    <cellStyle name="Normal 4 3 3 4 4 2 3 3" xfId="44887" xr:uid="{00000000-0005-0000-0000-000026C70000}"/>
    <cellStyle name="Normal 4 3 3 4 4 2 4" xfId="19638" xr:uid="{00000000-0005-0000-0000-000027C70000}"/>
    <cellStyle name="Normal 4 3 3 4 4 2 4 2" xfId="51509" xr:uid="{00000000-0005-0000-0000-000028C70000}"/>
    <cellStyle name="Normal 4 3 3 4 4 2 5" xfId="44884" xr:uid="{00000000-0005-0000-0000-000029C70000}"/>
    <cellStyle name="Normal 4 3 3 4 4 3" xfId="13009" xr:uid="{00000000-0005-0000-0000-00002AC70000}"/>
    <cellStyle name="Normal 4 3 3 4 4 3 2" xfId="13010" xr:uid="{00000000-0005-0000-0000-00002BC70000}"/>
    <cellStyle name="Normal 4 3 3 4 4 3 2 2" xfId="31454" xr:uid="{00000000-0005-0000-0000-00002CC70000}"/>
    <cellStyle name="Normal 4 3 3 4 4 3 2 2 2" xfId="63325" xr:uid="{00000000-0005-0000-0000-00002DC70000}"/>
    <cellStyle name="Normal 4 3 3 4 4 3 2 3" xfId="44889" xr:uid="{00000000-0005-0000-0000-00002EC70000}"/>
    <cellStyle name="Normal 4 3 3 4 4 3 3" xfId="23576" xr:uid="{00000000-0005-0000-0000-00002FC70000}"/>
    <cellStyle name="Normal 4 3 3 4 4 3 3 2" xfId="55447" xr:uid="{00000000-0005-0000-0000-000030C70000}"/>
    <cellStyle name="Normal 4 3 3 4 4 3 4" xfId="44888" xr:uid="{00000000-0005-0000-0000-000031C70000}"/>
    <cellStyle name="Normal 4 3 3 4 4 4" xfId="13011" xr:uid="{00000000-0005-0000-0000-000032C70000}"/>
    <cellStyle name="Normal 4 3 3 4 4 4 2" xfId="27515" xr:uid="{00000000-0005-0000-0000-000033C70000}"/>
    <cellStyle name="Normal 4 3 3 4 4 4 2 2" xfId="59386" xr:uid="{00000000-0005-0000-0000-000034C70000}"/>
    <cellStyle name="Normal 4 3 3 4 4 4 3" xfId="44890" xr:uid="{00000000-0005-0000-0000-000035C70000}"/>
    <cellStyle name="Normal 4 3 3 4 4 5" xfId="19637" xr:uid="{00000000-0005-0000-0000-000036C70000}"/>
    <cellStyle name="Normal 4 3 3 4 4 5 2" xfId="51508" xr:uid="{00000000-0005-0000-0000-000037C70000}"/>
    <cellStyle name="Normal 4 3 3 4 4 6" xfId="44883" xr:uid="{00000000-0005-0000-0000-000038C70000}"/>
    <cellStyle name="Normal 4 3 3 4 5" xfId="13012" xr:uid="{00000000-0005-0000-0000-000039C70000}"/>
    <cellStyle name="Normal 4 3 3 4 5 2" xfId="13013" xr:uid="{00000000-0005-0000-0000-00003AC70000}"/>
    <cellStyle name="Normal 4 3 3 4 5 2 2" xfId="13014" xr:uid="{00000000-0005-0000-0000-00003BC70000}"/>
    <cellStyle name="Normal 4 3 3 4 5 2 2 2" xfId="31456" xr:uid="{00000000-0005-0000-0000-00003CC70000}"/>
    <cellStyle name="Normal 4 3 3 4 5 2 2 2 2" xfId="63327" xr:uid="{00000000-0005-0000-0000-00003DC70000}"/>
    <cellStyle name="Normal 4 3 3 4 5 2 2 3" xfId="44893" xr:uid="{00000000-0005-0000-0000-00003EC70000}"/>
    <cellStyle name="Normal 4 3 3 4 5 2 3" xfId="23578" xr:uid="{00000000-0005-0000-0000-00003FC70000}"/>
    <cellStyle name="Normal 4 3 3 4 5 2 3 2" xfId="55449" xr:uid="{00000000-0005-0000-0000-000040C70000}"/>
    <cellStyle name="Normal 4 3 3 4 5 2 4" xfId="44892" xr:uid="{00000000-0005-0000-0000-000041C70000}"/>
    <cellStyle name="Normal 4 3 3 4 5 3" xfId="13015" xr:uid="{00000000-0005-0000-0000-000042C70000}"/>
    <cellStyle name="Normal 4 3 3 4 5 3 2" xfId="27517" xr:uid="{00000000-0005-0000-0000-000043C70000}"/>
    <cellStyle name="Normal 4 3 3 4 5 3 2 2" xfId="59388" xr:uid="{00000000-0005-0000-0000-000044C70000}"/>
    <cellStyle name="Normal 4 3 3 4 5 3 3" xfId="44894" xr:uid="{00000000-0005-0000-0000-000045C70000}"/>
    <cellStyle name="Normal 4 3 3 4 5 4" xfId="19639" xr:uid="{00000000-0005-0000-0000-000046C70000}"/>
    <cellStyle name="Normal 4 3 3 4 5 4 2" xfId="51510" xr:uid="{00000000-0005-0000-0000-000047C70000}"/>
    <cellStyle name="Normal 4 3 3 4 5 5" xfId="44891" xr:uid="{00000000-0005-0000-0000-000048C70000}"/>
    <cellStyle name="Normal 4 3 3 4 6" xfId="13016" xr:uid="{00000000-0005-0000-0000-000049C70000}"/>
    <cellStyle name="Normal 4 3 3 4 6 2" xfId="13017" xr:uid="{00000000-0005-0000-0000-00004AC70000}"/>
    <cellStyle name="Normal 4 3 3 4 6 2 2" xfId="28420" xr:uid="{00000000-0005-0000-0000-00004BC70000}"/>
    <cellStyle name="Normal 4 3 3 4 6 2 2 2" xfId="60291" xr:uid="{00000000-0005-0000-0000-00004CC70000}"/>
    <cellStyle name="Normal 4 3 3 4 6 2 3" xfId="44896" xr:uid="{00000000-0005-0000-0000-00004DC70000}"/>
    <cellStyle name="Normal 4 3 3 4 6 3" xfId="20542" xr:uid="{00000000-0005-0000-0000-00004EC70000}"/>
    <cellStyle name="Normal 4 3 3 4 6 3 2" xfId="52413" xr:uid="{00000000-0005-0000-0000-00004FC70000}"/>
    <cellStyle name="Normal 4 3 3 4 6 4" xfId="44895" xr:uid="{00000000-0005-0000-0000-000050C70000}"/>
    <cellStyle name="Normal 4 3 3 4 7" xfId="13018" xr:uid="{00000000-0005-0000-0000-000051C70000}"/>
    <cellStyle name="Normal 4 3 3 4 7 2" xfId="24481" xr:uid="{00000000-0005-0000-0000-000052C70000}"/>
    <cellStyle name="Normal 4 3 3 4 7 2 2" xfId="56352" xr:uid="{00000000-0005-0000-0000-000053C70000}"/>
    <cellStyle name="Normal 4 3 3 4 7 3" xfId="44897" xr:uid="{00000000-0005-0000-0000-000054C70000}"/>
    <cellStyle name="Normal 4 3 3 4 8" xfId="16603" xr:uid="{00000000-0005-0000-0000-000055C70000}"/>
    <cellStyle name="Normal 4 3 3 4 8 2" xfId="48474" xr:uid="{00000000-0005-0000-0000-000056C70000}"/>
    <cellStyle name="Normal 4 3 3 4 9" xfId="44834" xr:uid="{00000000-0005-0000-0000-000057C70000}"/>
    <cellStyle name="Normal 4 3 3 5" xfId="13019" xr:uid="{00000000-0005-0000-0000-000058C70000}"/>
    <cellStyle name="Normal 4 3 3 5 2" xfId="13020" xr:uid="{00000000-0005-0000-0000-000059C70000}"/>
    <cellStyle name="Normal 4 3 3 5 2 2" xfId="13021" xr:uid="{00000000-0005-0000-0000-00005AC70000}"/>
    <cellStyle name="Normal 4 3 3 5 2 2 2" xfId="13022" xr:uid="{00000000-0005-0000-0000-00005BC70000}"/>
    <cellStyle name="Normal 4 3 3 5 2 2 2 2" xfId="13023" xr:uid="{00000000-0005-0000-0000-00005CC70000}"/>
    <cellStyle name="Normal 4 3 3 5 2 2 2 2 2" xfId="13024" xr:uid="{00000000-0005-0000-0000-00005DC70000}"/>
    <cellStyle name="Normal 4 3 3 5 2 2 2 2 2 2" xfId="31459" xr:uid="{00000000-0005-0000-0000-00005EC70000}"/>
    <cellStyle name="Normal 4 3 3 5 2 2 2 2 2 2 2" xfId="63330" xr:uid="{00000000-0005-0000-0000-00005FC70000}"/>
    <cellStyle name="Normal 4 3 3 5 2 2 2 2 2 3" xfId="44903" xr:uid="{00000000-0005-0000-0000-000060C70000}"/>
    <cellStyle name="Normal 4 3 3 5 2 2 2 2 3" xfId="23581" xr:uid="{00000000-0005-0000-0000-000061C70000}"/>
    <cellStyle name="Normal 4 3 3 5 2 2 2 2 3 2" xfId="55452" xr:uid="{00000000-0005-0000-0000-000062C70000}"/>
    <cellStyle name="Normal 4 3 3 5 2 2 2 2 4" xfId="44902" xr:uid="{00000000-0005-0000-0000-000063C70000}"/>
    <cellStyle name="Normal 4 3 3 5 2 2 2 3" xfId="13025" xr:uid="{00000000-0005-0000-0000-000064C70000}"/>
    <cellStyle name="Normal 4 3 3 5 2 2 2 3 2" xfId="27520" xr:uid="{00000000-0005-0000-0000-000065C70000}"/>
    <cellStyle name="Normal 4 3 3 5 2 2 2 3 2 2" xfId="59391" xr:uid="{00000000-0005-0000-0000-000066C70000}"/>
    <cellStyle name="Normal 4 3 3 5 2 2 2 3 3" xfId="44904" xr:uid="{00000000-0005-0000-0000-000067C70000}"/>
    <cellStyle name="Normal 4 3 3 5 2 2 2 4" xfId="19642" xr:uid="{00000000-0005-0000-0000-000068C70000}"/>
    <cellStyle name="Normal 4 3 3 5 2 2 2 4 2" xfId="51513" xr:uid="{00000000-0005-0000-0000-000069C70000}"/>
    <cellStyle name="Normal 4 3 3 5 2 2 2 5" xfId="44901" xr:uid="{00000000-0005-0000-0000-00006AC70000}"/>
    <cellStyle name="Normal 4 3 3 5 2 2 3" xfId="13026" xr:uid="{00000000-0005-0000-0000-00006BC70000}"/>
    <cellStyle name="Normal 4 3 3 5 2 2 3 2" xfId="13027" xr:uid="{00000000-0005-0000-0000-00006CC70000}"/>
    <cellStyle name="Normal 4 3 3 5 2 2 3 2 2" xfId="31458" xr:uid="{00000000-0005-0000-0000-00006DC70000}"/>
    <cellStyle name="Normal 4 3 3 5 2 2 3 2 2 2" xfId="63329" xr:uid="{00000000-0005-0000-0000-00006EC70000}"/>
    <cellStyle name="Normal 4 3 3 5 2 2 3 2 3" xfId="44906" xr:uid="{00000000-0005-0000-0000-00006FC70000}"/>
    <cellStyle name="Normal 4 3 3 5 2 2 3 3" xfId="23580" xr:uid="{00000000-0005-0000-0000-000070C70000}"/>
    <cellStyle name="Normal 4 3 3 5 2 2 3 3 2" xfId="55451" xr:uid="{00000000-0005-0000-0000-000071C70000}"/>
    <cellStyle name="Normal 4 3 3 5 2 2 3 4" xfId="44905" xr:uid="{00000000-0005-0000-0000-000072C70000}"/>
    <cellStyle name="Normal 4 3 3 5 2 2 4" xfId="13028" xr:uid="{00000000-0005-0000-0000-000073C70000}"/>
    <cellStyle name="Normal 4 3 3 5 2 2 4 2" xfId="27519" xr:uid="{00000000-0005-0000-0000-000074C70000}"/>
    <cellStyle name="Normal 4 3 3 5 2 2 4 2 2" xfId="59390" xr:uid="{00000000-0005-0000-0000-000075C70000}"/>
    <cellStyle name="Normal 4 3 3 5 2 2 4 3" xfId="44907" xr:uid="{00000000-0005-0000-0000-000076C70000}"/>
    <cellStyle name="Normal 4 3 3 5 2 2 5" xfId="19641" xr:uid="{00000000-0005-0000-0000-000077C70000}"/>
    <cellStyle name="Normal 4 3 3 5 2 2 5 2" xfId="51512" xr:uid="{00000000-0005-0000-0000-000078C70000}"/>
    <cellStyle name="Normal 4 3 3 5 2 2 6" xfId="44900" xr:uid="{00000000-0005-0000-0000-000079C70000}"/>
    <cellStyle name="Normal 4 3 3 5 2 3" xfId="13029" xr:uid="{00000000-0005-0000-0000-00007AC70000}"/>
    <cellStyle name="Normal 4 3 3 5 2 3 2" xfId="13030" xr:uid="{00000000-0005-0000-0000-00007BC70000}"/>
    <cellStyle name="Normal 4 3 3 5 2 3 2 2" xfId="13031" xr:uid="{00000000-0005-0000-0000-00007CC70000}"/>
    <cellStyle name="Normal 4 3 3 5 2 3 2 2 2" xfId="31460" xr:uid="{00000000-0005-0000-0000-00007DC70000}"/>
    <cellStyle name="Normal 4 3 3 5 2 3 2 2 2 2" xfId="63331" xr:uid="{00000000-0005-0000-0000-00007EC70000}"/>
    <cellStyle name="Normal 4 3 3 5 2 3 2 2 3" xfId="44910" xr:uid="{00000000-0005-0000-0000-00007FC70000}"/>
    <cellStyle name="Normal 4 3 3 5 2 3 2 3" xfId="23582" xr:uid="{00000000-0005-0000-0000-000080C70000}"/>
    <cellStyle name="Normal 4 3 3 5 2 3 2 3 2" xfId="55453" xr:uid="{00000000-0005-0000-0000-000081C70000}"/>
    <cellStyle name="Normal 4 3 3 5 2 3 2 4" xfId="44909" xr:uid="{00000000-0005-0000-0000-000082C70000}"/>
    <cellStyle name="Normal 4 3 3 5 2 3 3" xfId="13032" xr:uid="{00000000-0005-0000-0000-000083C70000}"/>
    <cellStyle name="Normal 4 3 3 5 2 3 3 2" xfId="27521" xr:uid="{00000000-0005-0000-0000-000084C70000}"/>
    <cellStyle name="Normal 4 3 3 5 2 3 3 2 2" xfId="59392" xr:uid="{00000000-0005-0000-0000-000085C70000}"/>
    <cellStyle name="Normal 4 3 3 5 2 3 3 3" xfId="44911" xr:uid="{00000000-0005-0000-0000-000086C70000}"/>
    <cellStyle name="Normal 4 3 3 5 2 3 4" xfId="19643" xr:uid="{00000000-0005-0000-0000-000087C70000}"/>
    <cellStyle name="Normal 4 3 3 5 2 3 4 2" xfId="51514" xr:uid="{00000000-0005-0000-0000-000088C70000}"/>
    <cellStyle name="Normal 4 3 3 5 2 3 5" xfId="44908" xr:uid="{00000000-0005-0000-0000-000089C70000}"/>
    <cellStyle name="Normal 4 3 3 5 2 4" xfId="13033" xr:uid="{00000000-0005-0000-0000-00008AC70000}"/>
    <cellStyle name="Normal 4 3 3 5 2 4 2" xfId="13034" xr:uid="{00000000-0005-0000-0000-00008BC70000}"/>
    <cellStyle name="Normal 4 3 3 5 2 4 2 2" xfId="31457" xr:uid="{00000000-0005-0000-0000-00008CC70000}"/>
    <cellStyle name="Normal 4 3 3 5 2 4 2 2 2" xfId="63328" xr:uid="{00000000-0005-0000-0000-00008DC70000}"/>
    <cellStyle name="Normal 4 3 3 5 2 4 2 3" xfId="44913" xr:uid="{00000000-0005-0000-0000-00008EC70000}"/>
    <cellStyle name="Normal 4 3 3 5 2 4 3" xfId="23579" xr:uid="{00000000-0005-0000-0000-00008FC70000}"/>
    <cellStyle name="Normal 4 3 3 5 2 4 3 2" xfId="55450" xr:uid="{00000000-0005-0000-0000-000090C70000}"/>
    <cellStyle name="Normal 4 3 3 5 2 4 4" xfId="44912" xr:uid="{00000000-0005-0000-0000-000091C70000}"/>
    <cellStyle name="Normal 4 3 3 5 2 5" xfId="13035" xr:uid="{00000000-0005-0000-0000-000092C70000}"/>
    <cellStyle name="Normal 4 3 3 5 2 5 2" xfId="27518" xr:uid="{00000000-0005-0000-0000-000093C70000}"/>
    <cellStyle name="Normal 4 3 3 5 2 5 2 2" xfId="59389" xr:uid="{00000000-0005-0000-0000-000094C70000}"/>
    <cellStyle name="Normal 4 3 3 5 2 5 3" xfId="44914" xr:uid="{00000000-0005-0000-0000-000095C70000}"/>
    <cellStyle name="Normal 4 3 3 5 2 6" xfId="19640" xr:uid="{00000000-0005-0000-0000-000096C70000}"/>
    <cellStyle name="Normal 4 3 3 5 2 6 2" xfId="51511" xr:uid="{00000000-0005-0000-0000-000097C70000}"/>
    <cellStyle name="Normal 4 3 3 5 2 7" xfId="44899" xr:uid="{00000000-0005-0000-0000-000098C70000}"/>
    <cellStyle name="Normal 4 3 3 5 3" xfId="13036" xr:uid="{00000000-0005-0000-0000-000099C70000}"/>
    <cellStyle name="Normal 4 3 3 5 3 2" xfId="13037" xr:uid="{00000000-0005-0000-0000-00009AC70000}"/>
    <cellStyle name="Normal 4 3 3 5 3 2 2" xfId="13038" xr:uid="{00000000-0005-0000-0000-00009BC70000}"/>
    <cellStyle name="Normal 4 3 3 5 3 2 2 2" xfId="13039" xr:uid="{00000000-0005-0000-0000-00009CC70000}"/>
    <cellStyle name="Normal 4 3 3 5 3 2 2 2 2" xfId="31462" xr:uid="{00000000-0005-0000-0000-00009DC70000}"/>
    <cellStyle name="Normal 4 3 3 5 3 2 2 2 2 2" xfId="63333" xr:uid="{00000000-0005-0000-0000-00009EC70000}"/>
    <cellStyle name="Normal 4 3 3 5 3 2 2 2 3" xfId="44918" xr:uid="{00000000-0005-0000-0000-00009FC70000}"/>
    <cellStyle name="Normal 4 3 3 5 3 2 2 3" xfId="23584" xr:uid="{00000000-0005-0000-0000-0000A0C70000}"/>
    <cellStyle name="Normal 4 3 3 5 3 2 2 3 2" xfId="55455" xr:uid="{00000000-0005-0000-0000-0000A1C70000}"/>
    <cellStyle name="Normal 4 3 3 5 3 2 2 4" xfId="44917" xr:uid="{00000000-0005-0000-0000-0000A2C70000}"/>
    <cellStyle name="Normal 4 3 3 5 3 2 3" xfId="13040" xr:uid="{00000000-0005-0000-0000-0000A3C70000}"/>
    <cellStyle name="Normal 4 3 3 5 3 2 3 2" xfId="27523" xr:uid="{00000000-0005-0000-0000-0000A4C70000}"/>
    <cellStyle name="Normal 4 3 3 5 3 2 3 2 2" xfId="59394" xr:uid="{00000000-0005-0000-0000-0000A5C70000}"/>
    <cellStyle name="Normal 4 3 3 5 3 2 3 3" xfId="44919" xr:uid="{00000000-0005-0000-0000-0000A6C70000}"/>
    <cellStyle name="Normal 4 3 3 5 3 2 4" xfId="19645" xr:uid="{00000000-0005-0000-0000-0000A7C70000}"/>
    <cellStyle name="Normal 4 3 3 5 3 2 4 2" xfId="51516" xr:uid="{00000000-0005-0000-0000-0000A8C70000}"/>
    <cellStyle name="Normal 4 3 3 5 3 2 5" xfId="44916" xr:uid="{00000000-0005-0000-0000-0000A9C70000}"/>
    <cellStyle name="Normal 4 3 3 5 3 3" xfId="13041" xr:uid="{00000000-0005-0000-0000-0000AAC70000}"/>
    <cellStyle name="Normal 4 3 3 5 3 3 2" xfId="13042" xr:uid="{00000000-0005-0000-0000-0000ABC70000}"/>
    <cellStyle name="Normal 4 3 3 5 3 3 2 2" xfId="31461" xr:uid="{00000000-0005-0000-0000-0000ACC70000}"/>
    <cellStyle name="Normal 4 3 3 5 3 3 2 2 2" xfId="63332" xr:uid="{00000000-0005-0000-0000-0000ADC70000}"/>
    <cellStyle name="Normal 4 3 3 5 3 3 2 3" xfId="44921" xr:uid="{00000000-0005-0000-0000-0000AEC70000}"/>
    <cellStyle name="Normal 4 3 3 5 3 3 3" xfId="23583" xr:uid="{00000000-0005-0000-0000-0000AFC70000}"/>
    <cellStyle name="Normal 4 3 3 5 3 3 3 2" xfId="55454" xr:uid="{00000000-0005-0000-0000-0000B0C70000}"/>
    <cellStyle name="Normal 4 3 3 5 3 3 4" xfId="44920" xr:uid="{00000000-0005-0000-0000-0000B1C70000}"/>
    <cellStyle name="Normal 4 3 3 5 3 4" xfId="13043" xr:uid="{00000000-0005-0000-0000-0000B2C70000}"/>
    <cellStyle name="Normal 4 3 3 5 3 4 2" xfId="27522" xr:uid="{00000000-0005-0000-0000-0000B3C70000}"/>
    <cellStyle name="Normal 4 3 3 5 3 4 2 2" xfId="59393" xr:uid="{00000000-0005-0000-0000-0000B4C70000}"/>
    <cellStyle name="Normal 4 3 3 5 3 4 3" xfId="44922" xr:uid="{00000000-0005-0000-0000-0000B5C70000}"/>
    <cellStyle name="Normal 4 3 3 5 3 5" xfId="19644" xr:uid="{00000000-0005-0000-0000-0000B6C70000}"/>
    <cellStyle name="Normal 4 3 3 5 3 5 2" xfId="51515" xr:uid="{00000000-0005-0000-0000-0000B7C70000}"/>
    <cellStyle name="Normal 4 3 3 5 3 6" xfId="44915" xr:uid="{00000000-0005-0000-0000-0000B8C70000}"/>
    <cellStyle name="Normal 4 3 3 5 4" xfId="13044" xr:uid="{00000000-0005-0000-0000-0000B9C70000}"/>
    <cellStyle name="Normal 4 3 3 5 4 2" xfId="13045" xr:uid="{00000000-0005-0000-0000-0000BAC70000}"/>
    <cellStyle name="Normal 4 3 3 5 4 2 2" xfId="13046" xr:uid="{00000000-0005-0000-0000-0000BBC70000}"/>
    <cellStyle name="Normal 4 3 3 5 4 2 2 2" xfId="31463" xr:uid="{00000000-0005-0000-0000-0000BCC70000}"/>
    <cellStyle name="Normal 4 3 3 5 4 2 2 2 2" xfId="63334" xr:uid="{00000000-0005-0000-0000-0000BDC70000}"/>
    <cellStyle name="Normal 4 3 3 5 4 2 2 3" xfId="44925" xr:uid="{00000000-0005-0000-0000-0000BEC70000}"/>
    <cellStyle name="Normal 4 3 3 5 4 2 3" xfId="23585" xr:uid="{00000000-0005-0000-0000-0000BFC70000}"/>
    <cellStyle name="Normal 4 3 3 5 4 2 3 2" xfId="55456" xr:uid="{00000000-0005-0000-0000-0000C0C70000}"/>
    <cellStyle name="Normal 4 3 3 5 4 2 4" xfId="44924" xr:uid="{00000000-0005-0000-0000-0000C1C70000}"/>
    <cellStyle name="Normal 4 3 3 5 4 3" xfId="13047" xr:uid="{00000000-0005-0000-0000-0000C2C70000}"/>
    <cellStyle name="Normal 4 3 3 5 4 3 2" xfId="27524" xr:uid="{00000000-0005-0000-0000-0000C3C70000}"/>
    <cellStyle name="Normal 4 3 3 5 4 3 2 2" xfId="59395" xr:uid="{00000000-0005-0000-0000-0000C4C70000}"/>
    <cellStyle name="Normal 4 3 3 5 4 3 3" xfId="44926" xr:uid="{00000000-0005-0000-0000-0000C5C70000}"/>
    <cellStyle name="Normal 4 3 3 5 4 4" xfId="19646" xr:uid="{00000000-0005-0000-0000-0000C6C70000}"/>
    <cellStyle name="Normal 4 3 3 5 4 4 2" xfId="51517" xr:uid="{00000000-0005-0000-0000-0000C7C70000}"/>
    <cellStyle name="Normal 4 3 3 5 4 5" xfId="44923" xr:uid="{00000000-0005-0000-0000-0000C8C70000}"/>
    <cellStyle name="Normal 4 3 3 5 5" xfId="13048" xr:uid="{00000000-0005-0000-0000-0000C9C70000}"/>
    <cellStyle name="Normal 4 3 3 5 5 2" xfId="13049" xr:uid="{00000000-0005-0000-0000-0000CAC70000}"/>
    <cellStyle name="Normal 4 3 3 5 5 2 2" xfId="28297" xr:uid="{00000000-0005-0000-0000-0000CBC70000}"/>
    <cellStyle name="Normal 4 3 3 5 5 2 2 2" xfId="60168" xr:uid="{00000000-0005-0000-0000-0000CCC70000}"/>
    <cellStyle name="Normal 4 3 3 5 5 2 3" xfId="44928" xr:uid="{00000000-0005-0000-0000-0000CDC70000}"/>
    <cellStyle name="Normal 4 3 3 5 5 3" xfId="20419" xr:uid="{00000000-0005-0000-0000-0000CEC70000}"/>
    <cellStyle name="Normal 4 3 3 5 5 3 2" xfId="52290" xr:uid="{00000000-0005-0000-0000-0000CFC70000}"/>
    <cellStyle name="Normal 4 3 3 5 5 4" xfId="44927" xr:uid="{00000000-0005-0000-0000-0000D0C70000}"/>
    <cellStyle name="Normal 4 3 3 5 6" xfId="13050" xr:uid="{00000000-0005-0000-0000-0000D1C70000}"/>
    <cellStyle name="Normal 4 3 3 5 6 2" xfId="24358" xr:uid="{00000000-0005-0000-0000-0000D2C70000}"/>
    <cellStyle name="Normal 4 3 3 5 6 2 2" xfId="56229" xr:uid="{00000000-0005-0000-0000-0000D3C70000}"/>
    <cellStyle name="Normal 4 3 3 5 6 3" xfId="44929" xr:uid="{00000000-0005-0000-0000-0000D4C70000}"/>
    <cellStyle name="Normal 4 3 3 5 7" xfId="16480" xr:uid="{00000000-0005-0000-0000-0000D5C70000}"/>
    <cellStyle name="Normal 4 3 3 5 7 2" xfId="48351" xr:uid="{00000000-0005-0000-0000-0000D6C70000}"/>
    <cellStyle name="Normal 4 3 3 5 8" xfId="44898" xr:uid="{00000000-0005-0000-0000-0000D7C70000}"/>
    <cellStyle name="Normal 4 3 3 6" xfId="13051" xr:uid="{00000000-0005-0000-0000-0000D8C70000}"/>
    <cellStyle name="Normal 4 3 3 6 2" xfId="13052" xr:uid="{00000000-0005-0000-0000-0000D9C70000}"/>
    <cellStyle name="Normal 4 3 3 6 2 2" xfId="13053" xr:uid="{00000000-0005-0000-0000-0000DAC70000}"/>
    <cellStyle name="Normal 4 3 3 6 2 2 2" xfId="13054" xr:uid="{00000000-0005-0000-0000-0000DBC70000}"/>
    <cellStyle name="Normal 4 3 3 6 2 2 2 2" xfId="13055" xr:uid="{00000000-0005-0000-0000-0000DCC70000}"/>
    <cellStyle name="Normal 4 3 3 6 2 2 2 2 2" xfId="31466" xr:uid="{00000000-0005-0000-0000-0000DDC70000}"/>
    <cellStyle name="Normal 4 3 3 6 2 2 2 2 2 2" xfId="63337" xr:uid="{00000000-0005-0000-0000-0000DEC70000}"/>
    <cellStyle name="Normal 4 3 3 6 2 2 2 2 3" xfId="44934" xr:uid="{00000000-0005-0000-0000-0000DFC70000}"/>
    <cellStyle name="Normal 4 3 3 6 2 2 2 3" xfId="23588" xr:uid="{00000000-0005-0000-0000-0000E0C70000}"/>
    <cellStyle name="Normal 4 3 3 6 2 2 2 3 2" xfId="55459" xr:uid="{00000000-0005-0000-0000-0000E1C70000}"/>
    <cellStyle name="Normal 4 3 3 6 2 2 2 4" xfId="44933" xr:uid="{00000000-0005-0000-0000-0000E2C70000}"/>
    <cellStyle name="Normal 4 3 3 6 2 2 3" xfId="13056" xr:uid="{00000000-0005-0000-0000-0000E3C70000}"/>
    <cellStyle name="Normal 4 3 3 6 2 2 3 2" xfId="27527" xr:uid="{00000000-0005-0000-0000-0000E4C70000}"/>
    <cellStyle name="Normal 4 3 3 6 2 2 3 2 2" xfId="59398" xr:uid="{00000000-0005-0000-0000-0000E5C70000}"/>
    <cellStyle name="Normal 4 3 3 6 2 2 3 3" xfId="44935" xr:uid="{00000000-0005-0000-0000-0000E6C70000}"/>
    <cellStyle name="Normal 4 3 3 6 2 2 4" xfId="19649" xr:uid="{00000000-0005-0000-0000-0000E7C70000}"/>
    <cellStyle name="Normal 4 3 3 6 2 2 4 2" xfId="51520" xr:uid="{00000000-0005-0000-0000-0000E8C70000}"/>
    <cellStyle name="Normal 4 3 3 6 2 2 5" xfId="44932" xr:uid="{00000000-0005-0000-0000-0000E9C70000}"/>
    <cellStyle name="Normal 4 3 3 6 2 3" xfId="13057" xr:uid="{00000000-0005-0000-0000-0000EAC70000}"/>
    <cellStyle name="Normal 4 3 3 6 2 3 2" xfId="13058" xr:uid="{00000000-0005-0000-0000-0000EBC70000}"/>
    <cellStyle name="Normal 4 3 3 6 2 3 2 2" xfId="31465" xr:uid="{00000000-0005-0000-0000-0000ECC70000}"/>
    <cellStyle name="Normal 4 3 3 6 2 3 2 2 2" xfId="63336" xr:uid="{00000000-0005-0000-0000-0000EDC70000}"/>
    <cellStyle name="Normal 4 3 3 6 2 3 2 3" xfId="44937" xr:uid="{00000000-0005-0000-0000-0000EEC70000}"/>
    <cellStyle name="Normal 4 3 3 6 2 3 3" xfId="23587" xr:uid="{00000000-0005-0000-0000-0000EFC70000}"/>
    <cellStyle name="Normal 4 3 3 6 2 3 3 2" xfId="55458" xr:uid="{00000000-0005-0000-0000-0000F0C70000}"/>
    <cellStyle name="Normal 4 3 3 6 2 3 4" xfId="44936" xr:uid="{00000000-0005-0000-0000-0000F1C70000}"/>
    <cellStyle name="Normal 4 3 3 6 2 4" xfId="13059" xr:uid="{00000000-0005-0000-0000-0000F2C70000}"/>
    <cellStyle name="Normal 4 3 3 6 2 4 2" xfId="27526" xr:uid="{00000000-0005-0000-0000-0000F3C70000}"/>
    <cellStyle name="Normal 4 3 3 6 2 4 2 2" xfId="59397" xr:uid="{00000000-0005-0000-0000-0000F4C70000}"/>
    <cellStyle name="Normal 4 3 3 6 2 4 3" xfId="44938" xr:uid="{00000000-0005-0000-0000-0000F5C70000}"/>
    <cellStyle name="Normal 4 3 3 6 2 5" xfId="19648" xr:uid="{00000000-0005-0000-0000-0000F6C70000}"/>
    <cellStyle name="Normal 4 3 3 6 2 5 2" xfId="51519" xr:uid="{00000000-0005-0000-0000-0000F7C70000}"/>
    <cellStyle name="Normal 4 3 3 6 2 6" xfId="44931" xr:uid="{00000000-0005-0000-0000-0000F8C70000}"/>
    <cellStyle name="Normal 4 3 3 6 3" xfId="13060" xr:uid="{00000000-0005-0000-0000-0000F9C70000}"/>
    <cellStyle name="Normal 4 3 3 6 3 2" xfId="13061" xr:uid="{00000000-0005-0000-0000-0000FAC70000}"/>
    <cellStyle name="Normal 4 3 3 6 3 2 2" xfId="13062" xr:uid="{00000000-0005-0000-0000-0000FBC70000}"/>
    <cellStyle name="Normal 4 3 3 6 3 2 2 2" xfId="31467" xr:uid="{00000000-0005-0000-0000-0000FCC70000}"/>
    <cellStyle name="Normal 4 3 3 6 3 2 2 2 2" xfId="63338" xr:uid="{00000000-0005-0000-0000-0000FDC70000}"/>
    <cellStyle name="Normal 4 3 3 6 3 2 2 3" xfId="44941" xr:uid="{00000000-0005-0000-0000-0000FEC70000}"/>
    <cellStyle name="Normal 4 3 3 6 3 2 3" xfId="23589" xr:uid="{00000000-0005-0000-0000-0000FFC70000}"/>
    <cellStyle name="Normal 4 3 3 6 3 2 3 2" xfId="55460" xr:uid="{00000000-0005-0000-0000-000000C80000}"/>
    <cellStyle name="Normal 4 3 3 6 3 2 4" xfId="44940" xr:uid="{00000000-0005-0000-0000-000001C80000}"/>
    <cellStyle name="Normal 4 3 3 6 3 3" xfId="13063" xr:uid="{00000000-0005-0000-0000-000002C80000}"/>
    <cellStyle name="Normal 4 3 3 6 3 3 2" xfId="27528" xr:uid="{00000000-0005-0000-0000-000003C80000}"/>
    <cellStyle name="Normal 4 3 3 6 3 3 2 2" xfId="59399" xr:uid="{00000000-0005-0000-0000-000004C80000}"/>
    <cellStyle name="Normal 4 3 3 6 3 3 3" xfId="44942" xr:uid="{00000000-0005-0000-0000-000005C80000}"/>
    <cellStyle name="Normal 4 3 3 6 3 4" xfId="19650" xr:uid="{00000000-0005-0000-0000-000006C80000}"/>
    <cellStyle name="Normal 4 3 3 6 3 4 2" xfId="51521" xr:uid="{00000000-0005-0000-0000-000007C80000}"/>
    <cellStyle name="Normal 4 3 3 6 3 5" xfId="44939" xr:uid="{00000000-0005-0000-0000-000008C80000}"/>
    <cellStyle name="Normal 4 3 3 6 4" xfId="13064" xr:uid="{00000000-0005-0000-0000-000009C80000}"/>
    <cellStyle name="Normal 4 3 3 6 4 2" xfId="13065" xr:uid="{00000000-0005-0000-0000-00000AC80000}"/>
    <cellStyle name="Normal 4 3 3 6 4 2 2" xfId="31464" xr:uid="{00000000-0005-0000-0000-00000BC80000}"/>
    <cellStyle name="Normal 4 3 3 6 4 2 2 2" xfId="63335" xr:uid="{00000000-0005-0000-0000-00000CC80000}"/>
    <cellStyle name="Normal 4 3 3 6 4 2 3" xfId="44944" xr:uid="{00000000-0005-0000-0000-00000DC80000}"/>
    <cellStyle name="Normal 4 3 3 6 4 3" xfId="23586" xr:uid="{00000000-0005-0000-0000-00000EC80000}"/>
    <cellStyle name="Normal 4 3 3 6 4 3 2" xfId="55457" xr:uid="{00000000-0005-0000-0000-00000FC80000}"/>
    <cellStyle name="Normal 4 3 3 6 4 4" xfId="44943" xr:uid="{00000000-0005-0000-0000-000010C80000}"/>
    <cellStyle name="Normal 4 3 3 6 5" xfId="13066" xr:uid="{00000000-0005-0000-0000-000011C80000}"/>
    <cellStyle name="Normal 4 3 3 6 5 2" xfId="27525" xr:uid="{00000000-0005-0000-0000-000012C80000}"/>
    <cellStyle name="Normal 4 3 3 6 5 2 2" xfId="59396" xr:uid="{00000000-0005-0000-0000-000013C80000}"/>
    <cellStyle name="Normal 4 3 3 6 5 3" xfId="44945" xr:uid="{00000000-0005-0000-0000-000014C80000}"/>
    <cellStyle name="Normal 4 3 3 6 6" xfId="19647" xr:uid="{00000000-0005-0000-0000-000015C80000}"/>
    <cellStyle name="Normal 4 3 3 6 6 2" xfId="51518" xr:uid="{00000000-0005-0000-0000-000016C80000}"/>
    <cellStyle name="Normal 4 3 3 6 7" xfId="44930" xr:uid="{00000000-0005-0000-0000-000017C80000}"/>
    <cellStyle name="Normal 4 3 3 7" xfId="13067" xr:uid="{00000000-0005-0000-0000-000018C80000}"/>
    <cellStyle name="Normal 4 3 3 7 2" xfId="13068" xr:uid="{00000000-0005-0000-0000-000019C80000}"/>
    <cellStyle name="Normal 4 3 3 7 2 2" xfId="13069" xr:uid="{00000000-0005-0000-0000-00001AC80000}"/>
    <cellStyle name="Normal 4 3 3 7 2 2 2" xfId="13070" xr:uid="{00000000-0005-0000-0000-00001BC80000}"/>
    <cellStyle name="Normal 4 3 3 7 2 2 2 2" xfId="31469" xr:uid="{00000000-0005-0000-0000-00001CC80000}"/>
    <cellStyle name="Normal 4 3 3 7 2 2 2 2 2" xfId="63340" xr:uid="{00000000-0005-0000-0000-00001DC80000}"/>
    <cellStyle name="Normal 4 3 3 7 2 2 2 3" xfId="44949" xr:uid="{00000000-0005-0000-0000-00001EC80000}"/>
    <cellStyle name="Normal 4 3 3 7 2 2 3" xfId="23591" xr:uid="{00000000-0005-0000-0000-00001FC80000}"/>
    <cellStyle name="Normal 4 3 3 7 2 2 3 2" xfId="55462" xr:uid="{00000000-0005-0000-0000-000020C80000}"/>
    <cellStyle name="Normal 4 3 3 7 2 2 4" xfId="44948" xr:uid="{00000000-0005-0000-0000-000021C80000}"/>
    <cellStyle name="Normal 4 3 3 7 2 3" xfId="13071" xr:uid="{00000000-0005-0000-0000-000022C80000}"/>
    <cellStyle name="Normal 4 3 3 7 2 3 2" xfId="27530" xr:uid="{00000000-0005-0000-0000-000023C80000}"/>
    <cellStyle name="Normal 4 3 3 7 2 3 2 2" xfId="59401" xr:uid="{00000000-0005-0000-0000-000024C80000}"/>
    <cellStyle name="Normal 4 3 3 7 2 3 3" xfId="44950" xr:uid="{00000000-0005-0000-0000-000025C80000}"/>
    <cellStyle name="Normal 4 3 3 7 2 4" xfId="19652" xr:uid="{00000000-0005-0000-0000-000026C80000}"/>
    <cellStyle name="Normal 4 3 3 7 2 4 2" xfId="51523" xr:uid="{00000000-0005-0000-0000-000027C80000}"/>
    <cellStyle name="Normal 4 3 3 7 2 5" xfId="44947" xr:uid="{00000000-0005-0000-0000-000028C80000}"/>
    <cellStyle name="Normal 4 3 3 7 3" xfId="13072" xr:uid="{00000000-0005-0000-0000-000029C80000}"/>
    <cellStyle name="Normal 4 3 3 7 3 2" xfId="13073" xr:uid="{00000000-0005-0000-0000-00002AC80000}"/>
    <cellStyle name="Normal 4 3 3 7 3 2 2" xfId="31468" xr:uid="{00000000-0005-0000-0000-00002BC80000}"/>
    <cellStyle name="Normal 4 3 3 7 3 2 2 2" xfId="63339" xr:uid="{00000000-0005-0000-0000-00002CC80000}"/>
    <cellStyle name="Normal 4 3 3 7 3 2 3" xfId="44952" xr:uid="{00000000-0005-0000-0000-00002DC80000}"/>
    <cellStyle name="Normal 4 3 3 7 3 3" xfId="23590" xr:uid="{00000000-0005-0000-0000-00002EC80000}"/>
    <cellStyle name="Normal 4 3 3 7 3 3 2" xfId="55461" xr:uid="{00000000-0005-0000-0000-00002FC80000}"/>
    <cellStyle name="Normal 4 3 3 7 3 4" xfId="44951" xr:uid="{00000000-0005-0000-0000-000030C80000}"/>
    <cellStyle name="Normal 4 3 3 7 4" xfId="13074" xr:uid="{00000000-0005-0000-0000-000031C80000}"/>
    <cellStyle name="Normal 4 3 3 7 4 2" xfId="27529" xr:uid="{00000000-0005-0000-0000-000032C80000}"/>
    <cellStyle name="Normal 4 3 3 7 4 2 2" xfId="59400" xr:uid="{00000000-0005-0000-0000-000033C80000}"/>
    <cellStyle name="Normal 4 3 3 7 4 3" xfId="44953" xr:uid="{00000000-0005-0000-0000-000034C80000}"/>
    <cellStyle name="Normal 4 3 3 7 5" xfId="19651" xr:uid="{00000000-0005-0000-0000-000035C80000}"/>
    <cellStyle name="Normal 4 3 3 7 5 2" xfId="51522" xr:uid="{00000000-0005-0000-0000-000036C80000}"/>
    <cellStyle name="Normal 4 3 3 7 6" xfId="44946" xr:uid="{00000000-0005-0000-0000-000037C80000}"/>
    <cellStyle name="Normal 4 3 3 8" xfId="13075" xr:uid="{00000000-0005-0000-0000-000038C80000}"/>
    <cellStyle name="Normal 4 3 3 8 2" xfId="13076" xr:uid="{00000000-0005-0000-0000-000039C80000}"/>
    <cellStyle name="Normal 4 3 3 8 2 2" xfId="13077" xr:uid="{00000000-0005-0000-0000-00003AC80000}"/>
    <cellStyle name="Normal 4 3 3 8 2 2 2" xfId="31470" xr:uid="{00000000-0005-0000-0000-00003BC80000}"/>
    <cellStyle name="Normal 4 3 3 8 2 2 2 2" xfId="63341" xr:uid="{00000000-0005-0000-0000-00003CC80000}"/>
    <cellStyle name="Normal 4 3 3 8 2 2 3" xfId="44956" xr:uid="{00000000-0005-0000-0000-00003DC80000}"/>
    <cellStyle name="Normal 4 3 3 8 2 3" xfId="23592" xr:uid="{00000000-0005-0000-0000-00003EC80000}"/>
    <cellStyle name="Normal 4 3 3 8 2 3 2" xfId="55463" xr:uid="{00000000-0005-0000-0000-00003FC80000}"/>
    <cellStyle name="Normal 4 3 3 8 2 4" xfId="44955" xr:uid="{00000000-0005-0000-0000-000040C80000}"/>
    <cellStyle name="Normal 4 3 3 8 3" xfId="13078" xr:uid="{00000000-0005-0000-0000-000041C80000}"/>
    <cellStyle name="Normal 4 3 3 8 3 2" xfId="27531" xr:uid="{00000000-0005-0000-0000-000042C80000}"/>
    <cellStyle name="Normal 4 3 3 8 3 2 2" xfId="59402" xr:uid="{00000000-0005-0000-0000-000043C80000}"/>
    <cellStyle name="Normal 4 3 3 8 3 3" xfId="44957" xr:uid="{00000000-0005-0000-0000-000044C80000}"/>
    <cellStyle name="Normal 4 3 3 8 4" xfId="19653" xr:uid="{00000000-0005-0000-0000-000045C80000}"/>
    <cellStyle name="Normal 4 3 3 8 4 2" xfId="51524" xr:uid="{00000000-0005-0000-0000-000046C80000}"/>
    <cellStyle name="Normal 4 3 3 8 5" xfId="44954" xr:uid="{00000000-0005-0000-0000-000047C80000}"/>
    <cellStyle name="Normal 4 3 3 9" xfId="13079" xr:uid="{00000000-0005-0000-0000-000048C80000}"/>
    <cellStyle name="Normal 4 3 3 9 2" xfId="13080" xr:uid="{00000000-0005-0000-0000-000049C80000}"/>
    <cellStyle name="Normal 4 3 3 9 2 2" xfId="28256" xr:uid="{00000000-0005-0000-0000-00004AC80000}"/>
    <cellStyle name="Normal 4 3 3 9 2 2 2" xfId="60127" xr:uid="{00000000-0005-0000-0000-00004BC80000}"/>
    <cellStyle name="Normal 4 3 3 9 2 3" xfId="44959" xr:uid="{00000000-0005-0000-0000-00004CC80000}"/>
    <cellStyle name="Normal 4 3 3 9 3" xfId="20378" xr:uid="{00000000-0005-0000-0000-00004DC80000}"/>
    <cellStyle name="Normal 4 3 3 9 3 2" xfId="52249" xr:uid="{00000000-0005-0000-0000-00004EC80000}"/>
    <cellStyle name="Normal 4 3 3 9 4" xfId="44958" xr:uid="{00000000-0005-0000-0000-00004FC80000}"/>
    <cellStyle name="Normal 4 3 4" xfId="13081" xr:uid="{00000000-0005-0000-0000-000050C80000}"/>
    <cellStyle name="Normal 4 3 4 10" xfId="13082" xr:uid="{00000000-0005-0000-0000-000051C80000}"/>
    <cellStyle name="Normal 4 3 4 10 2" xfId="24342" xr:uid="{00000000-0005-0000-0000-000052C80000}"/>
    <cellStyle name="Normal 4 3 4 10 2 2" xfId="56213" xr:uid="{00000000-0005-0000-0000-000053C80000}"/>
    <cellStyle name="Normal 4 3 4 10 3" xfId="44961" xr:uid="{00000000-0005-0000-0000-000054C80000}"/>
    <cellStyle name="Normal 4 3 4 11" xfId="16464" xr:uid="{00000000-0005-0000-0000-000055C80000}"/>
    <cellStyle name="Normal 4 3 4 11 2" xfId="48335" xr:uid="{00000000-0005-0000-0000-000056C80000}"/>
    <cellStyle name="Normal 4 3 4 12" xfId="44960" xr:uid="{00000000-0005-0000-0000-000057C80000}"/>
    <cellStyle name="Normal 4 3 4 2" xfId="13083" xr:uid="{00000000-0005-0000-0000-000058C80000}"/>
    <cellStyle name="Normal 4 3 4 2 10" xfId="44962" xr:uid="{00000000-0005-0000-0000-000059C80000}"/>
    <cellStyle name="Normal 4 3 4 2 2" xfId="13084" xr:uid="{00000000-0005-0000-0000-00005AC80000}"/>
    <cellStyle name="Normal 4 3 4 2 2 2" xfId="13085" xr:uid="{00000000-0005-0000-0000-00005BC80000}"/>
    <cellStyle name="Normal 4 3 4 2 2 2 2" xfId="13086" xr:uid="{00000000-0005-0000-0000-00005CC80000}"/>
    <cellStyle name="Normal 4 3 4 2 2 2 2 2" xfId="13087" xr:uid="{00000000-0005-0000-0000-00005DC80000}"/>
    <cellStyle name="Normal 4 3 4 2 2 2 2 2 2" xfId="13088" xr:uid="{00000000-0005-0000-0000-00005EC80000}"/>
    <cellStyle name="Normal 4 3 4 2 2 2 2 2 2 2" xfId="13089" xr:uid="{00000000-0005-0000-0000-00005FC80000}"/>
    <cellStyle name="Normal 4 3 4 2 2 2 2 2 2 2 2" xfId="13090" xr:uid="{00000000-0005-0000-0000-000060C80000}"/>
    <cellStyle name="Normal 4 3 4 2 2 2 2 2 2 2 2 2" xfId="31474" xr:uid="{00000000-0005-0000-0000-000061C80000}"/>
    <cellStyle name="Normal 4 3 4 2 2 2 2 2 2 2 2 2 2" xfId="63345" xr:uid="{00000000-0005-0000-0000-000062C80000}"/>
    <cellStyle name="Normal 4 3 4 2 2 2 2 2 2 2 2 3" xfId="44969" xr:uid="{00000000-0005-0000-0000-000063C80000}"/>
    <cellStyle name="Normal 4 3 4 2 2 2 2 2 2 2 3" xfId="23596" xr:uid="{00000000-0005-0000-0000-000064C80000}"/>
    <cellStyle name="Normal 4 3 4 2 2 2 2 2 2 2 3 2" xfId="55467" xr:uid="{00000000-0005-0000-0000-000065C80000}"/>
    <cellStyle name="Normal 4 3 4 2 2 2 2 2 2 2 4" xfId="44968" xr:uid="{00000000-0005-0000-0000-000066C80000}"/>
    <cellStyle name="Normal 4 3 4 2 2 2 2 2 2 3" xfId="13091" xr:uid="{00000000-0005-0000-0000-000067C80000}"/>
    <cellStyle name="Normal 4 3 4 2 2 2 2 2 2 3 2" xfId="27535" xr:uid="{00000000-0005-0000-0000-000068C80000}"/>
    <cellStyle name="Normal 4 3 4 2 2 2 2 2 2 3 2 2" xfId="59406" xr:uid="{00000000-0005-0000-0000-000069C80000}"/>
    <cellStyle name="Normal 4 3 4 2 2 2 2 2 2 3 3" xfId="44970" xr:uid="{00000000-0005-0000-0000-00006AC80000}"/>
    <cellStyle name="Normal 4 3 4 2 2 2 2 2 2 4" xfId="19657" xr:uid="{00000000-0005-0000-0000-00006BC80000}"/>
    <cellStyle name="Normal 4 3 4 2 2 2 2 2 2 4 2" xfId="51528" xr:uid="{00000000-0005-0000-0000-00006CC80000}"/>
    <cellStyle name="Normal 4 3 4 2 2 2 2 2 2 5" xfId="44967" xr:uid="{00000000-0005-0000-0000-00006DC80000}"/>
    <cellStyle name="Normal 4 3 4 2 2 2 2 2 3" xfId="13092" xr:uid="{00000000-0005-0000-0000-00006EC80000}"/>
    <cellStyle name="Normal 4 3 4 2 2 2 2 2 3 2" xfId="13093" xr:uid="{00000000-0005-0000-0000-00006FC80000}"/>
    <cellStyle name="Normal 4 3 4 2 2 2 2 2 3 2 2" xfId="31473" xr:uid="{00000000-0005-0000-0000-000070C80000}"/>
    <cellStyle name="Normal 4 3 4 2 2 2 2 2 3 2 2 2" xfId="63344" xr:uid="{00000000-0005-0000-0000-000071C80000}"/>
    <cellStyle name="Normal 4 3 4 2 2 2 2 2 3 2 3" xfId="44972" xr:uid="{00000000-0005-0000-0000-000072C80000}"/>
    <cellStyle name="Normal 4 3 4 2 2 2 2 2 3 3" xfId="23595" xr:uid="{00000000-0005-0000-0000-000073C80000}"/>
    <cellStyle name="Normal 4 3 4 2 2 2 2 2 3 3 2" xfId="55466" xr:uid="{00000000-0005-0000-0000-000074C80000}"/>
    <cellStyle name="Normal 4 3 4 2 2 2 2 2 3 4" xfId="44971" xr:uid="{00000000-0005-0000-0000-000075C80000}"/>
    <cellStyle name="Normal 4 3 4 2 2 2 2 2 4" xfId="13094" xr:uid="{00000000-0005-0000-0000-000076C80000}"/>
    <cellStyle name="Normal 4 3 4 2 2 2 2 2 4 2" xfId="27534" xr:uid="{00000000-0005-0000-0000-000077C80000}"/>
    <cellStyle name="Normal 4 3 4 2 2 2 2 2 4 2 2" xfId="59405" xr:uid="{00000000-0005-0000-0000-000078C80000}"/>
    <cellStyle name="Normal 4 3 4 2 2 2 2 2 4 3" xfId="44973" xr:uid="{00000000-0005-0000-0000-000079C80000}"/>
    <cellStyle name="Normal 4 3 4 2 2 2 2 2 5" xfId="19656" xr:uid="{00000000-0005-0000-0000-00007AC80000}"/>
    <cellStyle name="Normal 4 3 4 2 2 2 2 2 5 2" xfId="51527" xr:uid="{00000000-0005-0000-0000-00007BC80000}"/>
    <cellStyle name="Normal 4 3 4 2 2 2 2 2 6" xfId="44966" xr:uid="{00000000-0005-0000-0000-00007CC80000}"/>
    <cellStyle name="Normal 4 3 4 2 2 2 2 3" xfId="13095" xr:uid="{00000000-0005-0000-0000-00007DC80000}"/>
    <cellStyle name="Normal 4 3 4 2 2 2 2 3 2" xfId="13096" xr:uid="{00000000-0005-0000-0000-00007EC80000}"/>
    <cellStyle name="Normal 4 3 4 2 2 2 2 3 2 2" xfId="13097" xr:uid="{00000000-0005-0000-0000-00007FC80000}"/>
    <cellStyle name="Normal 4 3 4 2 2 2 2 3 2 2 2" xfId="31475" xr:uid="{00000000-0005-0000-0000-000080C80000}"/>
    <cellStyle name="Normal 4 3 4 2 2 2 2 3 2 2 2 2" xfId="63346" xr:uid="{00000000-0005-0000-0000-000081C80000}"/>
    <cellStyle name="Normal 4 3 4 2 2 2 2 3 2 2 3" xfId="44976" xr:uid="{00000000-0005-0000-0000-000082C80000}"/>
    <cellStyle name="Normal 4 3 4 2 2 2 2 3 2 3" xfId="23597" xr:uid="{00000000-0005-0000-0000-000083C80000}"/>
    <cellStyle name="Normal 4 3 4 2 2 2 2 3 2 3 2" xfId="55468" xr:uid="{00000000-0005-0000-0000-000084C80000}"/>
    <cellStyle name="Normal 4 3 4 2 2 2 2 3 2 4" xfId="44975" xr:uid="{00000000-0005-0000-0000-000085C80000}"/>
    <cellStyle name="Normal 4 3 4 2 2 2 2 3 3" xfId="13098" xr:uid="{00000000-0005-0000-0000-000086C80000}"/>
    <cellStyle name="Normal 4 3 4 2 2 2 2 3 3 2" xfId="27536" xr:uid="{00000000-0005-0000-0000-000087C80000}"/>
    <cellStyle name="Normal 4 3 4 2 2 2 2 3 3 2 2" xfId="59407" xr:uid="{00000000-0005-0000-0000-000088C80000}"/>
    <cellStyle name="Normal 4 3 4 2 2 2 2 3 3 3" xfId="44977" xr:uid="{00000000-0005-0000-0000-000089C80000}"/>
    <cellStyle name="Normal 4 3 4 2 2 2 2 3 4" xfId="19658" xr:uid="{00000000-0005-0000-0000-00008AC80000}"/>
    <cellStyle name="Normal 4 3 4 2 2 2 2 3 4 2" xfId="51529" xr:uid="{00000000-0005-0000-0000-00008BC80000}"/>
    <cellStyle name="Normal 4 3 4 2 2 2 2 3 5" xfId="44974" xr:uid="{00000000-0005-0000-0000-00008CC80000}"/>
    <cellStyle name="Normal 4 3 4 2 2 2 2 4" xfId="13099" xr:uid="{00000000-0005-0000-0000-00008DC80000}"/>
    <cellStyle name="Normal 4 3 4 2 2 2 2 4 2" xfId="13100" xr:uid="{00000000-0005-0000-0000-00008EC80000}"/>
    <cellStyle name="Normal 4 3 4 2 2 2 2 4 2 2" xfId="31472" xr:uid="{00000000-0005-0000-0000-00008FC80000}"/>
    <cellStyle name="Normal 4 3 4 2 2 2 2 4 2 2 2" xfId="63343" xr:uid="{00000000-0005-0000-0000-000090C80000}"/>
    <cellStyle name="Normal 4 3 4 2 2 2 2 4 2 3" xfId="44979" xr:uid="{00000000-0005-0000-0000-000091C80000}"/>
    <cellStyle name="Normal 4 3 4 2 2 2 2 4 3" xfId="23594" xr:uid="{00000000-0005-0000-0000-000092C80000}"/>
    <cellStyle name="Normal 4 3 4 2 2 2 2 4 3 2" xfId="55465" xr:uid="{00000000-0005-0000-0000-000093C80000}"/>
    <cellStyle name="Normal 4 3 4 2 2 2 2 4 4" xfId="44978" xr:uid="{00000000-0005-0000-0000-000094C80000}"/>
    <cellStyle name="Normal 4 3 4 2 2 2 2 5" xfId="13101" xr:uid="{00000000-0005-0000-0000-000095C80000}"/>
    <cellStyle name="Normal 4 3 4 2 2 2 2 5 2" xfId="27533" xr:uid="{00000000-0005-0000-0000-000096C80000}"/>
    <cellStyle name="Normal 4 3 4 2 2 2 2 5 2 2" xfId="59404" xr:uid="{00000000-0005-0000-0000-000097C80000}"/>
    <cellStyle name="Normal 4 3 4 2 2 2 2 5 3" xfId="44980" xr:uid="{00000000-0005-0000-0000-000098C80000}"/>
    <cellStyle name="Normal 4 3 4 2 2 2 2 6" xfId="19655" xr:uid="{00000000-0005-0000-0000-000099C80000}"/>
    <cellStyle name="Normal 4 3 4 2 2 2 2 6 2" xfId="51526" xr:uid="{00000000-0005-0000-0000-00009AC80000}"/>
    <cellStyle name="Normal 4 3 4 2 2 2 2 7" xfId="44965" xr:uid="{00000000-0005-0000-0000-00009BC80000}"/>
    <cellStyle name="Normal 4 3 4 2 2 2 3" xfId="13102" xr:uid="{00000000-0005-0000-0000-00009CC80000}"/>
    <cellStyle name="Normal 4 3 4 2 2 2 3 2" xfId="13103" xr:uid="{00000000-0005-0000-0000-00009DC80000}"/>
    <cellStyle name="Normal 4 3 4 2 2 2 3 2 2" xfId="13104" xr:uid="{00000000-0005-0000-0000-00009EC80000}"/>
    <cellStyle name="Normal 4 3 4 2 2 2 3 2 2 2" xfId="13105" xr:uid="{00000000-0005-0000-0000-00009FC80000}"/>
    <cellStyle name="Normal 4 3 4 2 2 2 3 2 2 2 2" xfId="31477" xr:uid="{00000000-0005-0000-0000-0000A0C80000}"/>
    <cellStyle name="Normal 4 3 4 2 2 2 3 2 2 2 2 2" xfId="63348" xr:uid="{00000000-0005-0000-0000-0000A1C80000}"/>
    <cellStyle name="Normal 4 3 4 2 2 2 3 2 2 2 3" xfId="44984" xr:uid="{00000000-0005-0000-0000-0000A2C80000}"/>
    <cellStyle name="Normal 4 3 4 2 2 2 3 2 2 3" xfId="23599" xr:uid="{00000000-0005-0000-0000-0000A3C80000}"/>
    <cellStyle name="Normal 4 3 4 2 2 2 3 2 2 3 2" xfId="55470" xr:uid="{00000000-0005-0000-0000-0000A4C80000}"/>
    <cellStyle name="Normal 4 3 4 2 2 2 3 2 2 4" xfId="44983" xr:uid="{00000000-0005-0000-0000-0000A5C80000}"/>
    <cellStyle name="Normal 4 3 4 2 2 2 3 2 3" xfId="13106" xr:uid="{00000000-0005-0000-0000-0000A6C80000}"/>
    <cellStyle name="Normal 4 3 4 2 2 2 3 2 3 2" xfId="27538" xr:uid="{00000000-0005-0000-0000-0000A7C80000}"/>
    <cellStyle name="Normal 4 3 4 2 2 2 3 2 3 2 2" xfId="59409" xr:uid="{00000000-0005-0000-0000-0000A8C80000}"/>
    <cellStyle name="Normal 4 3 4 2 2 2 3 2 3 3" xfId="44985" xr:uid="{00000000-0005-0000-0000-0000A9C80000}"/>
    <cellStyle name="Normal 4 3 4 2 2 2 3 2 4" xfId="19660" xr:uid="{00000000-0005-0000-0000-0000AAC80000}"/>
    <cellStyle name="Normal 4 3 4 2 2 2 3 2 4 2" xfId="51531" xr:uid="{00000000-0005-0000-0000-0000ABC80000}"/>
    <cellStyle name="Normal 4 3 4 2 2 2 3 2 5" xfId="44982" xr:uid="{00000000-0005-0000-0000-0000ACC80000}"/>
    <cellStyle name="Normal 4 3 4 2 2 2 3 3" xfId="13107" xr:uid="{00000000-0005-0000-0000-0000ADC80000}"/>
    <cellStyle name="Normal 4 3 4 2 2 2 3 3 2" xfId="13108" xr:uid="{00000000-0005-0000-0000-0000AEC80000}"/>
    <cellStyle name="Normal 4 3 4 2 2 2 3 3 2 2" xfId="31476" xr:uid="{00000000-0005-0000-0000-0000AFC80000}"/>
    <cellStyle name="Normal 4 3 4 2 2 2 3 3 2 2 2" xfId="63347" xr:uid="{00000000-0005-0000-0000-0000B0C80000}"/>
    <cellStyle name="Normal 4 3 4 2 2 2 3 3 2 3" xfId="44987" xr:uid="{00000000-0005-0000-0000-0000B1C80000}"/>
    <cellStyle name="Normal 4 3 4 2 2 2 3 3 3" xfId="23598" xr:uid="{00000000-0005-0000-0000-0000B2C80000}"/>
    <cellStyle name="Normal 4 3 4 2 2 2 3 3 3 2" xfId="55469" xr:uid="{00000000-0005-0000-0000-0000B3C80000}"/>
    <cellStyle name="Normal 4 3 4 2 2 2 3 3 4" xfId="44986" xr:uid="{00000000-0005-0000-0000-0000B4C80000}"/>
    <cellStyle name="Normal 4 3 4 2 2 2 3 4" xfId="13109" xr:uid="{00000000-0005-0000-0000-0000B5C80000}"/>
    <cellStyle name="Normal 4 3 4 2 2 2 3 4 2" xfId="27537" xr:uid="{00000000-0005-0000-0000-0000B6C80000}"/>
    <cellStyle name="Normal 4 3 4 2 2 2 3 4 2 2" xfId="59408" xr:uid="{00000000-0005-0000-0000-0000B7C80000}"/>
    <cellStyle name="Normal 4 3 4 2 2 2 3 4 3" xfId="44988" xr:uid="{00000000-0005-0000-0000-0000B8C80000}"/>
    <cellStyle name="Normal 4 3 4 2 2 2 3 5" xfId="19659" xr:uid="{00000000-0005-0000-0000-0000B9C80000}"/>
    <cellStyle name="Normal 4 3 4 2 2 2 3 5 2" xfId="51530" xr:uid="{00000000-0005-0000-0000-0000BAC80000}"/>
    <cellStyle name="Normal 4 3 4 2 2 2 3 6" xfId="44981" xr:uid="{00000000-0005-0000-0000-0000BBC80000}"/>
    <cellStyle name="Normal 4 3 4 2 2 2 4" xfId="13110" xr:uid="{00000000-0005-0000-0000-0000BCC80000}"/>
    <cellStyle name="Normal 4 3 4 2 2 2 4 2" xfId="13111" xr:uid="{00000000-0005-0000-0000-0000BDC80000}"/>
    <cellStyle name="Normal 4 3 4 2 2 2 4 2 2" xfId="13112" xr:uid="{00000000-0005-0000-0000-0000BEC80000}"/>
    <cellStyle name="Normal 4 3 4 2 2 2 4 2 2 2" xfId="31478" xr:uid="{00000000-0005-0000-0000-0000BFC80000}"/>
    <cellStyle name="Normal 4 3 4 2 2 2 4 2 2 2 2" xfId="63349" xr:uid="{00000000-0005-0000-0000-0000C0C80000}"/>
    <cellStyle name="Normal 4 3 4 2 2 2 4 2 2 3" xfId="44991" xr:uid="{00000000-0005-0000-0000-0000C1C80000}"/>
    <cellStyle name="Normal 4 3 4 2 2 2 4 2 3" xfId="23600" xr:uid="{00000000-0005-0000-0000-0000C2C80000}"/>
    <cellStyle name="Normal 4 3 4 2 2 2 4 2 3 2" xfId="55471" xr:uid="{00000000-0005-0000-0000-0000C3C80000}"/>
    <cellStyle name="Normal 4 3 4 2 2 2 4 2 4" xfId="44990" xr:uid="{00000000-0005-0000-0000-0000C4C80000}"/>
    <cellStyle name="Normal 4 3 4 2 2 2 4 3" xfId="13113" xr:uid="{00000000-0005-0000-0000-0000C5C80000}"/>
    <cellStyle name="Normal 4 3 4 2 2 2 4 3 2" xfId="27539" xr:uid="{00000000-0005-0000-0000-0000C6C80000}"/>
    <cellStyle name="Normal 4 3 4 2 2 2 4 3 2 2" xfId="59410" xr:uid="{00000000-0005-0000-0000-0000C7C80000}"/>
    <cellStyle name="Normal 4 3 4 2 2 2 4 3 3" xfId="44992" xr:uid="{00000000-0005-0000-0000-0000C8C80000}"/>
    <cellStyle name="Normal 4 3 4 2 2 2 4 4" xfId="19661" xr:uid="{00000000-0005-0000-0000-0000C9C80000}"/>
    <cellStyle name="Normal 4 3 4 2 2 2 4 4 2" xfId="51532" xr:uid="{00000000-0005-0000-0000-0000CAC80000}"/>
    <cellStyle name="Normal 4 3 4 2 2 2 4 5" xfId="44989" xr:uid="{00000000-0005-0000-0000-0000CBC80000}"/>
    <cellStyle name="Normal 4 3 4 2 2 2 5" xfId="13114" xr:uid="{00000000-0005-0000-0000-0000CCC80000}"/>
    <cellStyle name="Normal 4 3 4 2 2 2 5 2" xfId="13115" xr:uid="{00000000-0005-0000-0000-0000CDC80000}"/>
    <cellStyle name="Normal 4 3 4 2 2 2 5 2 2" xfId="31471" xr:uid="{00000000-0005-0000-0000-0000CEC80000}"/>
    <cellStyle name="Normal 4 3 4 2 2 2 5 2 2 2" xfId="63342" xr:uid="{00000000-0005-0000-0000-0000CFC80000}"/>
    <cellStyle name="Normal 4 3 4 2 2 2 5 2 3" xfId="44994" xr:uid="{00000000-0005-0000-0000-0000D0C80000}"/>
    <cellStyle name="Normal 4 3 4 2 2 2 5 3" xfId="23593" xr:uid="{00000000-0005-0000-0000-0000D1C80000}"/>
    <cellStyle name="Normal 4 3 4 2 2 2 5 3 2" xfId="55464" xr:uid="{00000000-0005-0000-0000-0000D2C80000}"/>
    <cellStyle name="Normal 4 3 4 2 2 2 5 4" xfId="44993" xr:uid="{00000000-0005-0000-0000-0000D3C80000}"/>
    <cellStyle name="Normal 4 3 4 2 2 2 6" xfId="13116" xr:uid="{00000000-0005-0000-0000-0000D4C80000}"/>
    <cellStyle name="Normal 4 3 4 2 2 2 6 2" xfId="27532" xr:uid="{00000000-0005-0000-0000-0000D5C80000}"/>
    <cellStyle name="Normal 4 3 4 2 2 2 6 2 2" xfId="59403" xr:uid="{00000000-0005-0000-0000-0000D6C80000}"/>
    <cellStyle name="Normal 4 3 4 2 2 2 6 3" xfId="44995" xr:uid="{00000000-0005-0000-0000-0000D7C80000}"/>
    <cellStyle name="Normal 4 3 4 2 2 2 7" xfId="19654" xr:uid="{00000000-0005-0000-0000-0000D8C80000}"/>
    <cellStyle name="Normal 4 3 4 2 2 2 7 2" xfId="51525" xr:uid="{00000000-0005-0000-0000-0000D9C80000}"/>
    <cellStyle name="Normal 4 3 4 2 2 2 8" xfId="44964" xr:uid="{00000000-0005-0000-0000-0000DAC80000}"/>
    <cellStyle name="Normal 4 3 4 2 2 3" xfId="13117" xr:uid="{00000000-0005-0000-0000-0000DBC80000}"/>
    <cellStyle name="Normal 4 3 4 2 2 3 2" xfId="13118" xr:uid="{00000000-0005-0000-0000-0000DCC80000}"/>
    <cellStyle name="Normal 4 3 4 2 2 3 2 2" xfId="13119" xr:uid="{00000000-0005-0000-0000-0000DDC80000}"/>
    <cellStyle name="Normal 4 3 4 2 2 3 2 2 2" xfId="13120" xr:uid="{00000000-0005-0000-0000-0000DEC80000}"/>
    <cellStyle name="Normal 4 3 4 2 2 3 2 2 2 2" xfId="13121" xr:uid="{00000000-0005-0000-0000-0000DFC80000}"/>
    <cellStyle name="Normal 4 3 4 2 2 3 2 2 2 2 2" xfId="31481" xr:uid="{00000000-0005-0000-0000-0000E0C80000}"/>
    <cellStyle name="Normal 4 3 4 2 2 3 2 2 2 2 2 2" xfId="63352" xr:uid="{00000000-0005-0000-0000-0000E1C80000}"/>
    <cellStyle name="Normal 4 3 4 2 2 3 2 2 2 2 3" xfId="45000" xr:uid="{00000000-0005-0000-0000-0000E2C80000}"/>
    <cellStyle name="Normal 4 3 4 2 2 3 2 2 2 3" xfId="23603" xr:uid="{00000000-0005-0000-0000-0000E3C80000}"/>
    <cellStyle name="Normal 4 3 4 2 2 3 2 2 2 3 2" xfId="55474" xr:uid="{00000000-0005-0000-0000-0000E4C80000}"/>
    <cellStyle name="Normal 4 3 4 2 2 3 2 2 2 4" xfId="44999" xr:uid="{00000000-0005-0000-0000-0000E5C80000}"/>
    <cellStyle name="Normal 4 3 4 2 2 3 2 2 3" xfId="13122" xr:uid="{00000000-0005-0000-0000-0000E6C80000}"/>
    <cellStyle name="Normal 4 3 4 2 2 3 2 2 3 2" xfId="27542" xr:uid="{00000000-0005-0000-0000-0000E7C80000}"/>
    <cellStyle name="Normal 4 3 4 2 2 3 2 2 3 2 2" xfId="59413" xr:uid="{00000000-0005-0000-0000-0000E8C80000}"/>
    <cellStyle name="Normal 4 3 4 2 2 3 2 2 3 3" xfId="45001" xr:uid="{00000000-0005-0000-0000-0000E9C80000}"/>
    <cellStyle name="Normal 4 3 4 2 2 3 2 2 4" xfId="19664" xr:uid="{00000000-0005-0000-0000-0000EAC80000}"/>
    <cellStyle name="Normal 4 3 4 2 2 3 2 2 4 2" xfId="51535" xr:uid="{00000000-0005-0000-0000-0000EBC80000}"/>
    <cellStyle name="Normal 4 3 4 2 2 3 2 2 5" xfId="44998" xr:uid="{00000000-0005-0000-0000-0000ECC80000}"/>
    <cellStyle name="Normal 4 3 4 2 2 3 2 3" xfId="13123" xr:uid="{00000000-0005-0000-0000-0000EDC80000}"/>
    <cellStyle name="Normal 4 3 4 2 2 3 2 3 2" xfId="13124" xr:uid="{00000000-0005-0000-0000-0000EEC80000}"/>
    <cellStyle name="Normal 4 3 4 2 2 3 2 3 2 2" xfId="31480" xr:uid="{00000000-0005-0000-0000-0000EFC80000}"/>
    <cellStyle name="Normal 4 3 4 2 2 3 2 3 2 2 2" xfId="63351" xr:uid="{00000000-0005-0000-0000-0000F0C80000}"/>
    <cellStyle name="Normal 4 3 4 2 2 3 2 3 2 3" xfId="45003" xr:uid="{00000000-0005-0000-0000-0000F1C80000}"/>
    <cellStyle name="Normal 4 3 4 2 2 3 2 3 3" xfId="23602" xr:uid="{00000000-0005-0000-0000-0000F2C80000}"/>
    <cellStyle name="Normal 4 3 4 2 2 3 2 3 3 2" xfId="55473" xr:uid="{00000000-0005-0000-0000-0000F3C80000}"/>
    <cellStyle name="Normal 4 3 4 2 2 3 2 3 4" xfId="45002" xr:uid="{00000000-0005-0000-0000-0000F4C80000}"/>
    <cellStyle name="Normal 4 3 4 2 2 3 2 4" xfId="13125" xr:uid="{00000000-0005-0000-0000-0000F5C80000}"/>
    <cellStyle name="Normal 4 3 4 2 2 3 2 4 2" xfId="27541" xr:uid="{00000000-0005-0000-0000-0000F6C80000}"/>
    <cellStyle name="Normal 4 3 4 2 2 3 2 4 2 2" xfId="59412" xr:uid="{00000000-0005-0000-0000-0000F7C80000}"/>
    <cellStyle name="Normal 4 3 4 2 2 3 2 4 3" xfId="45004" xr:uid="{00000000-0005-0000-0000-0000F8C80000}"/>
    <cellStyle name="Normal 4 3 4 2 2 3 2 5" xfId="19663" xr:uid="{00000000-0005-0000-0000-0000F9C80000}"/>
    <cellStyle name="Normal 4 3 4 2 2 3 2 5 2" xfId="51534" xr:uid="{00000000-0005-0000-0000-0000FAC80000}"/>
    <cellStyle name="Normal 4 3 4 2 2 3 2 6" xfId="44997" xr:uid="{00000000-0005-0000-0000-0000FBC80000}"/>
    <cellStyle name="Normal 4 3 4 2 2 3 3" xfId="13126" xr:uid="{00000000-0005-0000-0000-0000FCC80000}"/>
    <cellStyle name="Normal 4 3 4 2 2 3 3 2" xfId="13127" xr:uid="{00000000-0005-0000-0000-0000FDC80000}"/>
    <cellStyle name="Normal 4 3 4 2 2 3 3 2 2" xfId="13128" xr:uid="{00000000-0005-0000-0000-0000FEC80000}"/>
    <cellStyle name="Normal 4 3 4 2 2 3 3 2 2 2" xfId="31482" xr:uid="{00000000-0005-0000-0000-0000FFC80000}"/>
    <cellStyle name="Normal 4 3 4 2 2 3 3 2 2 2 2" xfId="63353" xr:uid="{00000000-0005-0000-0000-000000C90000}"/>
    <cellStyle name="Normal 4 3 4 2 2 3 3 2 2 3" xfId="45007" xr:uid="{00000000-0005-0000-0000-000001C90000}"/>
    <cellStyle name="Normal 4 3 4 2 2 3 3 2 3" xfId="23604" xr:uid="{00000000-0005-0000-0000-000002C90000}"/>
    <cellStyle name="Normal 4 3 4 2 2 3 3 2 3 2" xfId="55475" xr:uid="{00000000-0005-0000-0000-000003C90000}"/>
    <cellStyle name="Normal 4 3 4 2 2 3 3 2 4" xfId="45006" xr:uid="{00000000-0005-0000-0000-000004C90000}"/>
    <cellStyle name="Normal 4 3 4 2 2 3 3 3" xfId="13129" xr:uid="{00000000-0005-0000-0000-000005C90000}"/>
    <cellStyle name="Normal 4 3 4 2 2 3 3 3 2" xfId="27543" xr:uid="{00000000-0005-0000-0000-000006C90000}"/>
    <cellStyle name="Normal 4 3 4 2 2 3 3 3 2 2" xfId="59414" xr:uid="{00000000-0005-0000-0000-000007C90000}"/>
    <cellStyle name="Normal 4 3 4 2 2 3 3 3 3" xfId="45008" xr:uid="{00000000-0005-0000-0000-000008C90000}"/>
    <cellStyle name="Normal 4 3 4 2 2 3 3 4" xfId="19665" xr:uid="{00000000-0005-0000-0000-000009C90000}"/>
    <cellStyle name="Normal 4 3 4 2 2 3 3 4 2" xfId="51536" xr:uid="{00000000-0005-0000-0000-00000AC90000}"/>
    <cellStyle name="Normal 4 3 4 2 2 3 3 5" xfId="45005" xr:uid="{00000000-0005-0000-0000-00000BC90000}"/>
    <cellStyle name="Normal 4 3 4 2 2 3 4" xfId="13130" xr:uid="{00000000-0005-0000-0000-00000CC90000}"/>
    <cellStyle name="Normal 4 3 4 2 2 3 4 2" xfId="13131" xr:uid="{00000000-0005-0000-0000-00000DC90000}"/>
    <cellStyle name="Normal 4 3 4 2 2 3 4 2 2" xfId="31479" xr:uid="{00000000-0005-0000-0000-00000EC90000}"/>
    <cellStyle name="Normal 4 3 4 2 2 3 4 2 2 2" xfId="63350" xr:uid="{00000000-0005-0000-0000-00000FC90000}"/>
    <cellStyle name="Normal 4 3 4 2 2 3 4 2 3" xfId="45010" xr:uid="{00000000-0005-0000-0000-000010C90000}"/>
    <cellStyle name="Normal 4 3 4 2 2 3 4 3" xfId="23601" xr:uid="{00000000-0005-0000-0000-000011C90000}"/>
    <cellStyle name="Normal 4 3 4 2 2 3 4 3 2" xfId="55472" xr:uid="{00000000-0005-0000-0000-000012C90000}"/>
    <cellStyle name="Normal 4 3 4 2 2 3 4 4" xfId="45009" xr:uid="{00000000-0005-0000-0000-000013C90000}"/>
    <cellStyle name="Normal 4 3 4 2 2 3 5" xfId="13132" xr:uid="{00000000-0005-0000-0000-000014C90000}"/>
    <cellStyle name="Normal 4 3 4 2 2 3 5 2" xfId="27540" xr:uid="{00000000-0005-0000-0000-000015C90000}"/>
    <cellStyle name="Normal 4 3 4 2 2 3 5 2 2" xfId="59411" xr:uid="{00000000-0005-0000-0000-000016C90000}"/>
    <cellStyle name="Normal 4 3 4 2 2 3 5 3" xfId="45011" xr:uid="{00000000-0005-0000-0000-000017C90000}"/>
    <cellStyle name="Normal 4 3 4 2 2 3 6" xfId="19662" xr:uid="{00000000-0005-0000-0000-000018C90000}"/>
    <cellStyle name="Normal 4 3 4 2 2 3 6 2" xfId="51533" xr:uid="{00000000-0005-0000-0000-000019C90000}"/>
    <cellStyle name="Normal 4 3 4 2 2 3 7" xfId="44996" xr:uid="{00000000-0005-0000-0000-00001AC90000}"/>
    <cellStyle name="Normal 4 3 4 2 2 4" xfId="13133" xr:uid="{00000000-0005-0000-0000-00001BC90000}"/>
    <cellStyle name="Normal 4 3 4 2 2 4 2" xfId="13134" xr:uid="{00000000-0005-0000-0000-00001CC90000}"/>
    <cellStyle name="Normal 4 3 4 2 2 4 2 2" xfId="13135" xr:uid="{00000000-0005-0000-0000-00001DC90000}"/>
    <cellStyle name="Normal 4 3 4 2 2 4 2 2 2" xfId="13136" xr:uid="{00000000-0005-0000-0000-00001EC90000}"/>
    <cellStyle name="Normal 4 3 4 2 2 4 2 2 2 2" xfId="31484" xr:uid="{00000000-0005-0000-0000-00001FC90000}"/>
    <cellStyle name="Normal 4 3 4 2 2 4 2 2 2 2 2" xfId="63355" xr:uid="{00000000-0005-0000-0000-000020C90000}"/>
    <cellStyle name="Normal 4 3 4 2 2 4 2 2 2 3" xfId="45015" xr:uid="{00000000-0005-0000-0000-000021C90000}"/>
    <cellStyle name="Normal 4 3 4 2 2 4 2 2 3" xfId="23606" xr:uid="{00000000-0005-0000-0000-000022C90000}"/>
    <cellStyle name="Normal 4 3 4 2 2 4 2 2 3 2" xfId="55477" xr:uid="{00000000-0005-0000-0000-000023C90000}"/>
    <cellStyle name="Normal 4 3 4 2 2 4 2 2 4" xfId="45014" xr:uid="{00000000-0005-0000-0000-000024C90000}"/>
    <cellStyle name="Normal 4 3 4 2 2 4 2 3" xfId="13137" xr:uid="{00000000-0005-0000-0000-000025C90000}"/>
    <cellStyle name="Normal 4 3 4 2 2 4 2 3 2" xfId="27545" xr:uid="{00000000-0005-0000-0000-000026C90000}"/>
    <cellStyle name="Normal 4 3 4 2 2 4 2 3 2 2" xfId="59416" xr:uid="{00000000-0005-0000-0000-000027C90000}"/>
    <cellStyle name="Normal 4 3 4 2 2 4 2 3 3" xfId="45016" xr:uid="{00000000-0005-0000-0000-000028C90000}"/>
    <cellStyle name="Normal 4 3 4 2 2 4 2 4" xfId="19667" xr:uid="{00000000-0005-0000-0000-000029C90000}"/>
    <cellStyle name="Normal 4 3 4 2 2 4 2 4 2" xfId="51538" xr:uid="{00000000-0005-0000-0000-00002AC90000}"/>
    <cellStyle name="Normal 4 3 4 2 2 4 2 5" xfId="45013" xr:uid="{00000000-0005-0000-0000-00002BC90000}"/>
    <cellStyle name="Normal 4 3 4 2 2 4 3" xfId="13138" xr:uid="{00000000-0005-0000-0000-00002CC90000}"/>
    <cellStyle name="Normal 4 3 4 2 2 4 3 2" xfId="13139" xr:uid="{00000000-0005-0000-0000-00002DC90000}"/>
    <cellStyle name="Normal 4 3 4 2 2 4 3 2 2" xfId="31483" xr:uid="{00000000-0005-0000-0000-00002EC90000}"/>
    <cellStyle name="Normal 4 3 4 2 2 4 3 2 2 2" xfId="63354" xr:uid="{00000000-0005-0000-0000-00002FC90000}"/>
    <cellStyle name="Normal 4 3 4 2 2 4 3 2 3" xfId="45018" xr:uid="{00000000-0005-0000-0000-000030C90000}"/>
    <cellStyle name="Normal 4 3 4 2 2 4 3 3" xfId="23605" xr:uid="{00000000-0005-0000-0000-000031C90000}"/>
    <cellStyle name="Normal 4 3 4 2 2 4 3 3 2" xfId="55476" xr:uid="{00000000-0005-0000-0000-000032C90000}"/>
    <cellStyle name="Normal 4 3 4 2 2 4 3 4" xfId="45017" xr:uid="{00000000-0005-0000-0000-000033C90000}"/>
    <cellStyle name="Normal 4 3 4 2 2 4 4" xfId="13140" xr:uid="{00000000-0005-0000-0000-000034C90000}"/>
    <cellStyle name="Normal 4 3 4 2 2 4 4 2" xfId="27544" xr:uid="{00000000-0005-0000-0000-000035C90000}"/>
    <cellStyle name="Normal 4 3 4 2 2 4 4 2 2" xfId="59415" xr:uid="{00000000-0005-0000-0000-000036C90000}"/>
    <cellStyle name="Normal 4 3 4 2 2 4 4 3" xfId="45019" xr:uid="{00000000-0005-0000-0000-000037C90000}"/>
    <cellStyle name="Normal 4 3 4 2 2 4 5" xfId="19666" xr:uid="{00000000-0005-0000-0000-000038C90000}"/>
    <cellStyle name="Normal 4 3 4 2 2 4 5 2" xfId="51537" xr:uid="{00000000-0005-0000-0000-000039C90000}"/>
    <cellStyle name="Normal 4 3 4 2 2 4 6" xfId="45012" xr:uid="{00000000-0005-0000-0000-00003AC90000}"/>
    <cellStyle name="Normal 4 3 4 2 2 5" xfId="13141" xr:uid="{00000000-0005-0000-0000-00003BC90000}"/>
    <cellStyle name="Normal 4 3 4 2 2 5 2" xfId="13142" xr:uid="{00000000-0005-0000-0000-00003CC90000}"/>
    <cellStyle name="Normal 4 3 4 2 2 5 2 2" xfId="13143" xr:uid="{00000000-0005-0000-0000-00003DC90000}"/>
    <cellStyle name="Normal 4 3 4 2 2 5 2 2 2" xfId="31485" xr:uid="{00000000-0005-0000-0000-00003EC90000}"/>
    <cellStyle name="Normal 4 3 4 2 2 5 2 2 2 2" xfId="63356" xr:uid="{00000000-0005-0000-0000-00003FC90000}"/>
    <cellStyle name="Normal 4 3 4 2 2 5 2 2 3" xfId="45022" xr:uid="{00000000-0005-0000-0000-000040C90000}"/>
    <cellStyle name="Normal 4 3 4 2 2 5 2 3" xfId="23607" xr:uid="{00000000-0005-0000-0000-000041C90000}"/>
    <cellStyle name="Normal 4 3 4 2 2 5 2 3 2" xfId="55478" xr:uid="{00000000-0005-0000-0000-000042C90000}"/>
    <cellStyle name="Normal 4 3 4 2 2 5 2 4" xfId="45021" xr:uid="{00000000-0005-0000-0000-000043C90000}"/>
    <cellStyle name="Normal 4 3 4 2 2 5 3" xfId="13144" xr:uid="{00000000-0005-0000-0000-000044C90000}"/>
    <cellStyle name="Normal 4 3 4 2 2 5 3 2" xfId="27546" xr:uid="{00000000-0005-0000-0000-000045C90000}"/>
    <cellStyle name="Normal 4 3 4 2 2 5 3 2 2" xfId="59417" xr:uid="{00000000-0005-0000-0000-000046C90000}"/>
    <cellStyle name="Normal 4 3 4 2 2 5 3 3" xfId="45023" xr:uid="{00000000-0005-0000-0000-000047C90000}"/>
    <cellStyle name="Normal 4 3 4 2 2 5 4" xfId="19668" xr:uid="{00000000-0005-0000-0000-000048C90000}"/>
    <cellStyle name="Normal 4 3 4 2 2 5 4 2" xfId="51539" xr:uid="{00000000-0005-0000-0000-000049C90000}"/>
    <cellStyle name="Normal 4 3 4 2 2 5 5" xfId="45020" xr:uid="{00000000-0005-0000-0000-00004AC90000}"/>
    <cellStyle name="Normal 4 3 4 2 2 6" xfId="13145" xr:uid="{00000000-0005-0000-0000-00004BC90000}"/>
    <cellStyle name="Normal 4 3 4 2 2 6 2" xfId="13146" xr:uid="{00000000-0005-0000-0000-00004CC90000}"/>
    <cellStyle name="Normal 4 3 4 2 2 6 2 2" xfId="28445" xr:uid="{00000000-0005-0000-0000-00004DC90000}"/>
    <cellStyle name="Normal 4 3 4 2 2 6 2 2 2" xfId="60316" xr:uid="{00000000-0005-0000-0000-00004EC90000}"/>
    <cellStyle name="Normal 4 3 4 2 2 6 2 3" xfId="45025" xr:uid="{00000000-0005-0000-0000-00004FC90000}"/>
    <cellStyle name="Normal 4 3 4 2 2 6 3" xfId="20567" xr:uid="{00000000-0005-0000-0000-000050C90000}"/>
    <cellStyle name="Normal 4 3 4 2 2 6 3 2" xfId="52438" xr:uid="{00000000-0005-0000-0000-000051C90000}"/>
    <cellStyle name="Normal 4 3 4 2 2 6 4" xfId="45024" xr:uid="{00000000-0005-0000-0000-000052C90000}"/>
    <cellStyle name="Normal 4 3 4 2 2 7" xfId="13147" xr:uid="{00000000-0005-0000-0000-000053C90000}"/>
    <cellStyle name="Normal 4 3 4 2 2 7 2" xfId="24506" xr:uid="{00000000-0005-0000-0000-000054C90000}"/>
    <cellStyle name="Normal 4 3 4 2 2 7 2 2" xfId="56377" xr:uid="{00000000-0005-0000-0000-000055C90000}"/>
    <cellStyle name="Normal 4 3 4 2 2 7 3" xfId="45026" xr:uid="{00000000-0005-0000-0000-000056C90000}"/>
    <cellStyle name="Normal 4 3 4 2 2 8" xfId="16628" xr:uid="{00000000-0005-0000-0000-000057C90000}"/>
    <cellStyle name="Normal 4 3 4 2 2 8 2" xfId="48499" xr:uid="{00000000-0005-0000-0000-000058C90000}"/>
    <cellStyle name="Normal 4 3 4 2 2 9" xfId="44963" xr:uid="{00000000-0005-0000-0000-000059C90000}"/>
    <cellStyle name="Normal 4 3 4 2 3" xfId="13148" xr:uid="{00000000-0005-0000-0000-00005AC90000}"/>
    <cellStyle name="Normal 4 3 4 2 3 2" xfId="13149" xr:uid="{00000000-0005-0000-0000-00005BC90000}"/>
    <cellStyle name="Normal 4 3 4 2 3 2 2" xfId="13150" xr:uid="{00000000-0005-0000-0000-00005CC90000}"/>
    <cellStyle name="Normal 4 3 4 2 3 2 2 2" xfId="13151" xr:uid="{00000000-0005-0000-0000-00005DC90000}"/>
    <cellStyle name="Normal 4 3 4 2 3 2 2 2 2" xfId="13152" xr:uid="{00000000-0005-0000-0000-00005EC90000}"/>
    <cellStyle name="Normal 4 3 4 2 3 2 2 2 2 2" xfId="13153" xr:uid="{00000000-0005-0000-0000-00005FC90000}"/>
    <cellStyle name="Normal 4 3 4 2 3 2 2 2 2 2 2" xfId="31489" xr:uid="{00000000-0005-0000-0000-000060C90000}"/>
    <cellStyle name="Normal 4 3 4 2 3 2 2 2 2 2 2 2" xfId="63360" xr:uid="{00000000-0005-0000-0000-000061C90000}"/>
    <cellStyle name="Normal 4 3 4 2 3 2 2 2 2 2 3" xfId="45032" xr:uid="{00000000-0005-0000-0000-000062C90000}"/>
    <cellStyle name="Normal 4 3 4 2 3 2 2 2 2 3" xfId="23611" xr:uid="{00000000-0005-0000-0000-000063C90000}"/>
    <cellStyle name="Normal 4 3 4 2 3 2 2 2 2 3 2" xfId="55482" xr:uid="{00000000-0005-0000-0000-000064C90000}"/>
    <cellStyle name="Normal 4 3 4 2 3 2 2 2 2 4" xfId="45031" xr:uid="{00000000-0005-0000-0000-000065C90000}"/>
    <cellStyle name="Normal 4 3 4 2 3 2 2 2 3" xfId="13154" xr:uid="{00000000-0005-0000-0000-000066C90000}"/>
    <cellStyle name="Normal 4 3 4 2 3 2 2 2 3 2" xfId="27550" xr:uid="{00000000-0005-0000-0000-000067C90000}"/>
    <cellStyle name="Normal 4 3 4 2 3 2 2 2 3 2 2" xfId="59421" xr:uid="{00000000-0005-0000-0000-000068C90000}"/>
    <cellStyle name="Normal 4 3 4 2 3 2 2 2 3 3" xfId="45033" xr:uid="{00000000-0005-0000-0000-000069C90000}"/>
    <cellStyle name="Normal 4 3 4 2 3 2 2 2 4" xfId="19672" xr:uid="{00000000-0005-0000-0000-00006AC90000}"/>
    <cellStyle name="Normal 4 3 4 2 3 2 2 2 4 2" xfId="51543" xr:uid="{00000000-0005-0000-0000-00006BC90000}"/>
    <cellStyle name="Normal 4 3 4 2 3 2 2 2 5" xfId="45030" xr:uid="{00000000-0005-0000-0000-00006CC90000}"/>
    <cellStyle name="Normal 4 3 4 2 3 2 2 3" xfId="13155" xr:uid="{00000000-0005-0000-0000-00006DC90000}"/>
    <cellStyle name="Normal 4 3 4 2 3 2 2 3 2" xfId="13156" xr:uid="{00000000-0005-0000-0000-00006EC90000}"/>
    <cellStyle name="Normal 4 3 4 2 3 2 2 3 2 2" xfId="31488" xr:uid="{00000000-0005-0000-0000-00006FC90000}"/>
    <cellStyle name="Normal 4 3 4 2 3 2 2 3 2 2 2" xfId="63359" xr:uid="{00000000-0005-0000-0000-000070C90000}"/>
    <cellStyle name="Normal 4 3 4 2 3 2 2 3 2 3" xfId="45035" xr:uid="{00000000-0005-0000-0000-000071C90000}"/>
    <cellStyle name="Normal 4 3 4 2 3 2 2 3 3" xfId="23610" xr:uid="{00000000-0005-0000-0000-000072C90000}"/>
    <cellStyle name="Normal 4 3 4 2 3 2 2 3 3 2" xfId="55481" xr:uid="{00000000-0005-0000-0000-000073C90000}"/>
    <cellStyle name="Normal 4 3 4 2 3 2 2 3 4" xfId="45034" xr:uid="{00000000-0005-0000-0000-000074C90000}"/>
    <cellStyle name="Normal 4 3 4 2 3 2 2 4" xfId="13157" xr:uid="{00000000-0005-0000-0000-000075C90000}"/>
    <cellStyle name="Normal 4 3 4 2 3 2 2 4 2" xfId="27549" xr:uid="{00000000-0005-0000-0000-000076C90000}"/>
    <cellStyle name="Normal 4 3 4 2 3 2 2 4 2 2" xfId="59420" xr:uid="{00000000-0005-0000-0000-000077C90000}"/>
    <cellStyle name="Normal 4 3 4 2 3 2 2 4 3" xfId="45036" xr:uid="{00000000-0005-0000-0000-000078C90000}"/>
    <cellStyle name="Normal 4 3 4 2 3 2 2 5" xfId="19671" xr:uid="{00000000-0005-0000-0000-000079C90000}"/>
    <cellStyle name="Normal 4 3 4 2 3 2 2 5 2" xfId="51542" xr:uid="{00000000-0005-0000-0000-00007AC90000}"/>
    <cellStyle name="Normal 4 3 4 2 3 2 2 6" xfId="45029" xr:uid="{00000000-0005-0000-0000-00007BC90000}"/>
    <cellStyle name="Normal 4 3 4 2 3 2 3" xfId="13158" xr:uid="{00000000-0005-0000-0000-00007CC90000}"/>
    <cellStyle name="Normal 4 3 4 2 3 2 3 2" xfId="13159" xr:uid="{00000000-0005-0000-0000-00007DC90000}"/>
    <cellStyle name="Normal 4 3 4 2 3 2 3 2 2" xfId="13160" xr:uid="{00000000-0005-0000-0000-00007EC90000}"/>
    <cellStyle name="Normal 4 3 4 2 3 2 3 2 2 2" xfId="31490" xr:uid="{00000000-0005-0000-0000-00007FC90000}"/>
    <cellStyle name="Normal 4 3 4 2 3 2 3 2 2 2 2" xfId="63361" xr:uid="{00000000-0005-0000-0000-000080C90000}"/>
    <cellStyle name="Normal 4 3 4 2 3 2 3 2 2 3" xfId="45039" xr:uid="{00000000-0005-0000-0000-000081C90000}"/>
    <cellStyle name="Normal 4 3 4 2 3 2 3 2 3" xfId="23612" xr:uid="{00000000-0005-0000-0000-000082C90000}"/>
    <cellStyle name="Normal 4 3 4 2 3 2 3 2 3 2" xfId="55483" xr:uid="{00000000-0005-0000-0000-000083C90000}"/>
    <cellStyle name="Normal 4 3 4 2 3 2 3 2 4" xfId="45038" xr:uid="{00000000-0005-0000-0000-000084C90000}"/>
    <cellStyle name="Normal 4 3 4 2 3 2 3 3" xfId="13161" xr:uid="{00000000-0005-0000-0000-000085C90000}"/>
    <cellStyle name="Normal 4 3 4 2 3 2 3 3 2" xfId="27551" xr:uid="{00000000-0005-0000-0000-000086C90000}"/>
    <cellStyle name="Normal 4 3 4 2 3 2 3 3 2 2" xfId="59422" xr:uid="{00000000-0005-0000-0000-000087C90000}"/>
    <cellStyle name="Normal 4 3 4 2 3 2 3 3 3" xfId="45040" xr:uid="{00000000-0005-0000-0000-000088C90000}"/>
    <cellStyle name="Normal 4 3 4 2 3 2 3 4" xfId="19673" xr:uid="{00000000-0005-0000-0000-000089C90000}"/>
    <cellStyle name="Normal 4 3 4 2 3 2 3 4 2" xfId="51544" xr:uid="{00000000-0005-0000-0000-00008AC90000}"/>
    <cellStyle name="Normal 4 3 4 2 3 2 3 5" xfId="45037" xr:uid="{00000000-0005-0000-0000-00008BC90000}"/>
    <cellStyle name="Normal 4 3 4 2 3 2 4" xfId="13162" xr:uid="{00000000-0005-0000-0000-00008CC90000}"/>
    <cellStyle name="Normal 4 3 4 2 3 2 4 2" xfId="13163" xr:uid="{00000000-0005-0000-0000-00008DC90000}"/>
    <cellStyle name="Normal 4 3 4 2 3 2 4 2 2" xfId="31487" xr:uid="{00000000-0005-0000-0000-00008EC90000}"/>
    <cellStyle name="Normal 4 3 4 2 3 2 4 2 2 2" xfId="63358" xr:uid="{00000000-0005-0000-0000-00008FC90000}"/>
    <cellStyle name="Normal 4 3 4 2 3 2 4 2 3" xfId="45042" xr:uid="{00000000-0005-0000-0000-000090C90000}"/>
    <cellStyle name="Normal 4 3 4 2 3 2 4 3" xfId="23609" xr:uid="{00000000-0005-0000-0000-000091C90000}"/>
    <cellStyle name="Normal 4 3 4 2 3 2 4 3 2" xfId="55480" xr:uid="{00000000-0005-0000-0000-000092C90000}"/>
    <cellStyle name="Normal 4 3 4 2 3 2 4 4" xfId="45041" xr:uid="{00000000-0005-0000-0000-000093C90000}"/>
    <cellStyle name="Normal 4 3 4 2 3 2 5" xfId="13164" xr:uid="{00000000-0005-0000-0000-000094C90000}"/>
    <cellStyle name="Normal 4 3 4 2 3 2 5 2" xfId="27548" xr:uid="{00000000-0005-0000-0000-000095C90000}"/>
    <cellStyle name="Normal 4 3 4 2 3 2 5 2 2" xfId="59419" xr:uid="{00000000-0005-0000-0000-000096C90000}"/>
    <cellStyle name="Normal 4 3 4 2 3 2 5 3" xfId="45043" xr:uid="{00000000-0005-0000-0000-000097C90000}"/>
    <cellStyle name="Normal 4 3 4 2 3 2 6" xfId="19670" xr:uid="{00000000-0005-0000-0000-000098C90000}"/>
    <cellStyle name="Normal 4 3 4 2 3 2 6 2" xfId="51541" xr:uid="{00000000-0005-0000-0000-000099C90000}"/>
    <cellStyle name="Normal 4 3 4 2 3 2 7" xfId="45028" xr:uid="{00000000-0005-0000-0000-00009AC90000}"/>
    <cellStyle name="Normal 4 3 4 2 3 3" xfId="13165" xr:uid="{00000000-0005-0000-0000-00009BC90000}"/>
    <cellStyle name="Normal 4 3 4 2 3 3 2" xfId="13166" xr:uid="{00000000-0005-0000-0000-00009CC90000}"/>
    <cellStyle name="Normal 4 3 4 2 3 3 2 2" xfId="13167" xr:uid="{00000000-0005-0000-0000-00009DC90000}"/>
    <cellStyle name="Normal 4 3 4 2 3 3 2 2 2" xfId="13168" xr:uid="{00000000-0005-0000-0000-00009EC90000}"/>
    <cellStyle name="Normal 4 3 4 2 3 3 2 2 2 2" xfId="31492" xr:uid="{00000000-0005-0000-0000-00009FC90000}"/>
    <cellStyle name="Normal 4 3 4 2 3 3 2 2 2 2 2" xfId="63363" xr:uid="{00000000-0005-0000-0000-0000A0C90000}"/>
    <cellStyle name="Normal 4 3 4 2 3 3 2 2 2 3" xfId="45047" xr:uid="{00000000-0005-0000-0000-0000A1C90000}"/>
    <cellStyle name="Normal 4 3 4 2 3 3 2 2 3" xfId="23614" xr:uid="{00000000-0005-0000-0000-0000A2C90000}"/>
    <cellStyle name="Normal 4 3 4 2 3 3 2 2 3 2" xfId="55485" xr:uid="{00000000-0005-0000-0000-0000A3C90000}"/>
    <cellStyle name="Normal 4 3 4 2 3 3 2 2 4" xfId="45046" xr:uid="{00000000-0005-0000-0000-0000A4C90000}"/>
    <cellStyle name="Normal 4 3 4 2 3 3 2 3" xfId="13169" xr:uid="{00000000-0005-0000-0000-0000A5C90000}"/>
    <cellStyle name="Normal 4 3 4 2 3 3 2 3 2" xfId="27553" xr:uid="{00000000-0005-0000-0000-0000A6C90000}"/>
    <cellStyle name="Normal 4 3 4 2 3 3 2 3 2 2" xfId="59424" xr:uid="{00000000-0005-0000-0000-0000A7C90000}"/>
    <cellStyle name="Normal 4 3 4 2 3 3 2 3 3" xfId="45048" xr:uid="{00000000-0005-0000-0000-0000A8C90000}"/>
    <cellStyle name="Normal 4 3 4 2 3 3 2 4" xfId="19675" xr:uid="{00000000-0005-0000-0000-0000A9C90000}"/>
    <cellStyle name="Normal 4 3 4 2 3 3 2 4 2" xfId="51546" xr:uid="{00000000-0005-0000-0000-0000AAC90000}"/>
    <cellStyle name="Normal 4 3 4 2 3 3 2 5" xfId="45045" xr:uid="{00000000-0005-0000-0000-0000ABC90000}"/>
    <cellStyle name="Normal 4 3 4 2 3 3 3" xfId="13170" xr:uid="{00000000-0005-0000-0000-0000ACC90000}"/>
    <cellStyle name="Normal 4 3 4 2 3 3 3 2" xfId="13171" xr:uid="{00000000-0005-0000-0000-0000ADC90000}"/>
    <cellStyle name="Normal 4 3 4 2 3 3 3 2 2" xfId="31491" xr:uid="{00000000-0005-0000-0000-0000AEC90000}"/>
    <cellStyle name="Normal 4 3 4 2 3 3 3 2 2 2" xfId="63362" xr:uid="{00000000-0005-0000-0000-0000AFC90000}"/>
    <cellStyle name="Normal 4 3 4 2 3 3 3 2 3" xfId="45050" xr:uid="{00000000-0005-0000-0000-0000B0C90000}"/>
    <cellStyle name="Normal 4 3 4 2 3 3 3 3" xfId="23613" xr:uid="{00000000-0005-0000-0000-0000B1C90000}"/>
    <cellStyle name="Normal 4 3 4 2 3 3 3 3 2" xfId="55484" xr:uid="{00000000-0005-0000-0000-0000B2C90000}"/>
    <cellStyle name="Normal 4 3 4 2 3 3 3 4" xfId="45049" xr:uid="{00000000-0005-0000-0000-0000B3C90000}"/>
    <cellStyle name="Normal 4 3 4 2 3 3 4" xfId="13172" xr:uid="{00000000-0005-0000-0000-0000B4C90000}"/>
    <cellStyle name="Normal 4 3 4 2 3 3 4 2" xfId="27552" xr:uid="{00000000-0005-0000-0000-0000B5C90000}"/>
    <cellStyle name="Normal 4 3 4 2 3 3 4 2 2" xfId="59423" xr:uid="{00000000-0005-0000-0000-0000B6C90000}"/>
    <cellStyle name="Normal 4 3 4 2 3 3 4 3" xfId="45051" xr:uid="{00000000-0005-0000-0000-0000B7C90000}"/>
    <cellStyle name="Normal 4 3 4 2 3 3 5" xfId="19674" xr:uid="{00000000-0005-0000-0000-0000B8C90000}"/>
    <cellStyle name="Normal 4 3 4 2 3 3 5 2" xfId="51545" xr:uid="{00000000-0005-0000-0000-0000B9C90000}"/>
    <cellStyle name="Normal 4 3 4 2 3 3 6" xfId="45044" xr:uid="{00000000-0005-0000-0000-0000BAC90000}"/>
    <cellStyle name="Normal 4 3 4 2 3 4" xfId="13173" xr:uid="{00000000-0005-0000-0000-0000BBC90000}"/>
    <cellStyle name="Normal 4 3 4 2 3 4 2" xfId="13174" xr:uid="{00000000-0005-0000-0000-0000BCC90000}"/>
    <cellStyle name="Normal 4 3 4 2 3 4 2 2" xfId="13175" xr:uid="{00000000-0005-0000-0000-0000BDC90000}"/>
    <cellStyle name="Normal 4 3 4 2 3 4 2 2 2" xfId="31493" xr:uid="{00000000-0005-0000-0000-0000BEC90000}"/>
    <cellStyle name="Normal 4 3 4 2 3 4 2 2 2 2" xfId="63364" xr:uid="{00000000-0005-0000-0000-0000BFC90000}"/>
    <cellStyle name="Normal 4 3 4 2 3 4 2 2 3" xfId="45054" xr:uid="{00000000-0005-0000-0000-0000C0C90000}"/>
    <cellStyle name="Normal 4 3 4 2 3 4 2 3" xfId="23615" xr:uid="{00000000-0005-0000-0000-0000C1C90000}"/>
    <cellStyle name="Normal 4 3 4 2 3 4 2 3 2" xfId="55486" xr:uid="{00000000-0005-0000-0000-0000C2C90000}"/>
    <cellStyle name="Normal 4 3 4 2 3 4 2 4" xfId="45053" xr:uid="{00000000-0005-0000-0000-0000C3C90000}"/>
    <cellStyle name="Normal 4 3 4 2 3 4 3" xfId="13176" xr:uid="{00000000-0005-0000-0000-0000C4C90000}"/>
    <cellStyle name="Normal 4 3 4 2 3 4 3 2" xfId="27554" xr:uid="{00000000-0005-0000-0000-0000C5C90000}"/>
    <cellStyle name="Normal 4 3 4 2 3 4 3 2 2" xfId="59425" xr:uid="{00000000-0005-0000-0000-0000C6C90000}"/>
    <cellStyle name="Normal 4 3 4 2 3 4 3 3" xfId="45055" xr:uid="{00000000-0005-0000-0000-0000C7C90000}"/>
    <cellStyle name="Normal 4 3 4 2 3 4 4" xfId="19676" xr:uid="{00000000-0005-0000-0000-0000C8C90000}"/>
    <cellStyle name="Normal 4 3 4 2 3 4 4 2" xfId="51547" xr:uid="{00000000-0005-0000-0000-0000C9C90000}"/>
    <cellStyle name="Normal 4 3 4 2 3 4 5" xfId="45052" xr:uid="{00000000-0005-0000-0000-0000CAC90000}"/>
    <cellStyle name="Normal 4 3 4 2 3 5" xfId="13177" xr:uid="{00000000-0005-0000-0000-0000CBC90000}"/>
    <cellStyle name="Normal 4 3 4 2 3 5 2" xfId="13178" xr:uid="{00000000-0005-0000-0000-0000CCC90000}"/>
    <cellStyle name="Normal 4 3 4 2 3 5 2 2" xfId="31486" xr:uid="{00000000-0005-0000-0000-0000CDC90000}"/>
    <cellStyle name="Normal 4 3 4 2 3 5 2 2 2" xfId="63357" xr:uid="{00000000-0005-0000-0000-0000CEC90000}"/>
    <cellStyle name="Normal 4 3 4 2 3 5 2 3" xfId="45057" xr:uid="{00000000-0005-0000-0000-0000CFC90000}"/>
    <cellStyle name="Normal 4 3 4 2 3 5 3" xfId="23608" xr:uid="{00000000-0005-0000-0000-0000D0C90000}"/>
    <cellStyle name="Normal 4 3 4 2 3 5 3 2" xfId="55479" xr:uid="{00000000-0005-0000-0000-0000D1C90000}"/>
    <cellStyle name="Normal 4 3 4 2 3 5 4" xfId="45056" xr:uid="{00000000-0005-0000-0000-0000D2C90000}"/>
    <cellStyle name="Normal 4 3 4 2 3 6" xfId="13179" xr:uid="{00000000-0005-0000-0000-0000D3C90000}"/>
    <cellStyle name="Normal 4 3 4 2 3 6 2" xfId="27547" xr:uid="{00000000-0005-0000-0000-0000D4C90000}"/>
    <cellStyle name="Normal 4 3 4 2 3 6 2 2" xfId="59418" xr:uid="{00000000-0005-0000-0000-0000D5C90000}"/>
    <cellStyle name="Normal 4 3 4 2 3 6 3" xfId="45058" xr:uid="{00000000-0005-0000-0000-0000D6C90000}"/>
    <cellStyle name="Normal 4 3 4 2 3 7" xfId="19669" xr:uid="{00000000-0005-0000-0000-0000D7C90000}"/>
    <cellStyle name="Normal 4 3 4 2 3 7 2" xfId="51540" xr:uid="{00000000-0005-0000-0000-0000D8C90000}"/>
    <cellStyle name="Normal 4 3 4 2 3 8" xfId="45027" xr:uid="{00000000-0005-0000-0000-0000D9C90000}"/>
    <cellStyle name="Normal 4 3 4 2 4" xfId="13180" xr:uid="{00000000-0005-0000-0000-0000DAC90000}"/>
    <cellStyle name="Normal 4 3 4 2 4 2" xfId="13181" xr:uid="{00000000-0005-0000-0000-0000DBC90000}"/>
    <cellStyle name="Normal 4 3 4 2 4 2 2" xfId="13182" xr:uid="{00000000-0005-0000-0000-0000DCC90000}"/>
    <cellStyle name="Normal 4 3 4 2 4 2 2 2" xfId="13183" xr:uid="{00000000-0005-0000-0000-0000DDC90000}"/>
    <cellStyle name="Normal 4 3 4 2 4 2 2 2 2" xfId="13184" xr:uid="{00000000-0005-0000-0000-0000DEC90000}"/>
    <cellStyle name="Normal 4 3 4 2 4 2 2 2 2 2" xfId="31496" xr:uid="{00000000-0005-0000-0000-0000DFC90000}"/>
    <cellStyle name="Normal 4 3 4 2 4 2 2 2 2 2 2" xfId="63367" xr:uid="{00000000-0005-0000-0000-0000E0C90000}"/>
    <cellStyle name="Normal 4 3 4 2 4 2 2 2 2 3" xfId="45063" xr:uid="{00000000-0005-0000-0000-0000E1C90000}"/>
    <cellStyle name="Normal 4 3 4 2 4 2 2 2 3" xfId="23618" xr:uid="{00000000-0005-0000-0000-0000E2C90000}"/>
    <cellStyle name="Normal 4 3 4 2 4 2 2 2 3 2" xfId="55489" xr:uid="{00000000-0005-0000-0000-0000E3C90000}"/>
    <cellStyle name="Normal 4 3 4 2 4 2 2 2 4" xfId="45062" xr:uid="{00000000-0005-0000-0000-0000E4C90000}"/>
    <cellStyle name="Normal 4 3 4 2 4 2 2 3" xfId="13185" xr:uid="{00000000-0005-0000-0000-0000E5C90000}"/>
    <cellStyle name="Normal 4 3 4 2 4 2 2 3 2" xfId="27557" xr:uid="{00000000-0005-0000-0000-0000E6C90000}"/>
    <cellStyle name="Normal 4 3 4 2 4 2 2 3 2 2" xfId="59428" xr:uid="{00000000-0005-0000-0000-0000E7C90000}"/>
    <cellStyle name="Normal 4 3 4 2 4 2 2 3 3" xfId="45064" xr:uid="{00000000-0005-0000-0000-0000E8C90000}"/>
    <cellStyle name="Normal 4 3 4 2 4 2 2 4" xfId="19679" xr:uid="{00000000-0005-0000-0000-0000E9C90000}"/>
    <cellStyle name="Normal 4 3 4 2 4 2 2 4 2" xfId="51550" xr:uid="{00000000-0005-0000-0000-0000EAC90000}"/>
    <cellStyle name="Normal 4 3 4 2 4 2 2 5" xfId="45061" xr:uid="{00000000-0005-0000-0000-0000EBC90000}"/>
    <cellStyle name="Normal 4 3 4 2 4 2 3" xfId="13186" xr:uid="{00000000-0005-0000-0000-0000ECC90000}"/>
    <cellStyle name="Normal 4 3 4 2 4 2 3 2" xfId="13187" xr:uid="{00000000-0005-0000-0000-0000EDC90000}"/>
    <cellStyle name="Normal 4 3 4 2 4 2 3 2 2" xfId="31495" xr:uid="{00000000-0005-0000-0000-0000EEC90000}"/>
    <cellStyle name="Normal 4 3 4 2 4 2 3 2 2 2" xfId="63366" xr:uid="{00000000-0005-0000-0000-0000EFC90000}"/>
    <cellStyle name="Normal 4 3 4 2 4 2 3 2 3" xfId="45066" xr:uid="{00000000-0005-0000-0000-0000F0C90000}"/>
    <cellStyle name="Normal 4 3 4 2 4 2 3 3" xfId="23617" xr:uid="{00000000-0005-0000-0000-0000F1C90000}"/>
    <cellStyle name="Normal 4 3 4 2 4 2 3 3 2" xfId="55488" xr:uid="{00000000-0005-0000-0000-0000F2C90000}"/>
    <cellStyle name="Normal 4 3 4 2 4 2 3 4" xfId="45065" xr:uid="{00000000-0005-0000-0000-0000F3C90000}"/>
    <cellStyle name="Normal 4 3 4 2 4 2 4" xfId="13188" xr:uid="{00000000-0005-0000-0000-0000F4C90000}"/>
    <cellStyle name="Normal 4 3 4 2 4 2 4 2" xfId="27556" xr:uid="{00000000-0005-0000-0000-0000F5C90000}"/>
    <cellStyle name="Normal 4 3 4 2 4 2 4 2 2" xfId="59427" xr:uid="{00000000-0005-0000-0000-0000F6C90000}"/>
    <cellStyle name="Normal 4 3 4 2 4 2 4 3" xfId="45067" xr:uid="{00000000-0005-0000-0000-0000F7C90000}"/>
    <cellStyle name="Normal 4 3 4 2 4 2 5" xfId="19678" xr:uid="{00000000-0005-0000-0000-0000F8C90000}"/>
    <cellStyle name="Normal 4 3 4 2 4 2 5 2" xfId="51549" xr:uid="{00000000-0005-0000-0000-0000F9C90000}"/>
    <cellStyle name="Normal 4 3 4 2 4 2 6" xfId="45060" xr:uid="{00000000-0005-0000-0000-0000FAC90000}"/>
    <cellStyle name="Normal 4 3 4 2 4 3" xfId="13189" xr:uid="{00000000-0005-0000-0000-0000FBC90000}"/>
    <cellStyle name="Normal 4 3 4 2 4 3 2" xfId="13190" xr:uid="{00000000-0005-0000-0000-0000FCC90000}"/>
    <cellStyle name="Normal 4 3 4 2 4 3 2 2" xfId="13191" xr:uid="{00000000-0005-0000-0000-0000FDC90000}"/>
    <cellStyle name="Normal 4 3 4 2 4 3 2 2 2" xfId="31497" xr:uid="{00000000-0005-0000-0000-0000FEC90000}"/>
    <cellStyle name="Normal 4 3 4 2 4 3 2 2 2 2" xfId="63368" xr:uid="{00000000-0005-0000-0000-0000FFC90000}"/>
    <cellStyle name="Normal 4 3 4 2 4 3 2 2 3" xfId="45070" xr:uid="{00000000-0005-0000-0000-000000CA0000}"/>
    <cellStyle name="Normal 4 3 4 2 4 3 2 3" xfId="23619" xr:uid="{00000000-0005-0000-0000-000001CA0000}"/>
    <cellStyle name="Normal 4 3 4 2 4 3 2 3 2" xfId="55490" xr:uid="{00000000-0005-0000-0000-000002CA0000}"/>
    <cellStyle name="Normal 4 3 4 2 4 3 2 4" xfId="45069" xr:uid="{00000000-0005-0000-0000-000003CA0000}"/>
    <cellStyle name="Normal 4 3 4 2 4 3 3" xfId="13192" xr:uid="{00000000-0005-0000-0000-000004CA0000}"/>
    <cellStyle name="Normal 4 3 4 2 4 3 3 2" xfId="27558" xr:uid="{00000000-0005-0000-0000-000005CA0000}"/>
    <cellStyle name="Normal 4 3 4 2 4 3 3 2 2" xfId="59429" xr:uid="{00000000-0005-0000-0000-000006CA0000}"/>
    <cellStyle name="Normal 4 3 4 2 4 3 3 3" xfId="45071" xr:uid="{00000000-0005-0000-0000-000007CA0000}"/>
    <cellStyle name="Normal 4 3 4 2 4 3 4" xfId="19680" xr:uid="{00000000-0005-0000-0000-000008CA0000}"/>
    <cellStyle name="Normal 4 3 4 2 4 3 4 2" xfId="51551" xr:uid="{00000000-0005-0000-0000-000009CA0000}"/>
    <cellStyle name="Normal 4 3 4 2 4 3 5" xfId="45068" xr:uid="{00000000-0005-0000-0000-00000ACA0000}"/>
    <cellStyle name="Normal 4 3 4 2 4 4" xfId="13193" xr:uid="{00000000-0005-0000-0000-00000BCA0000}"/>
    <cellStyle name="Normal 4 3 4 2 4 4 2" xfId="13194" xr:uid="{00000000-0005-0000-0000-00000CCA0000}"/>
    <cellStyle name="Normal 4 3 4 2 4 4 2 2" xfId="31494" xr:uid="{00000000-0005-0000-0000-00000DCA0000}"/>
    <cellStyle name="Normal 4 3 4 2 4 4 2 2 2" xfId="63365" xr:uid="{00000000-0005-0000-0000-00000ECA0000}"/>
    <cellStyle name="Normal 4 3 4 2 4 4 2 3" xfId="45073" xr:uid="{00000000-0005-0000-0000-00000FCA0000}"/>
    <cellStyle name="Normal 4 3 4 2 4 4 3" xfId="23616" xr:uid="{00000000-0005-0000-0000-000010CA0000}"/>
    <cellStyle name="Normal 4 3 4 2 4 4 3 2" xfId="55487" xr:uid="{00000000-0005-0000-0000-000011CA0000}"/>
    <cellStyle name="Normal 4 3 4 2 4 4 4" xfId="45072" xr:uid="{00000000-0005-0000-0000-000012CA0000}"/>
    <cellStyle name="Normal 4 3 4 2 4 5" xfId="13195" xr:uid="{00000000-0005-0000-0000-000013CA0000}"/>
    <cellStyle name="Normal 4 3 4 2 4 5 2" xfId="27555" xr:uid="{00000000-0005-0000-0000-000014CA0000}"/>
    <cellStyle name="Normal 4 3 4 2 4 5 2 2" xfId="59426" xr:uid="{00000000-0005-0000-0000-000015CA0000}"/>
    <cellStyle name="Normal 4 3 4 2 4 5 3" xfId="45074" xr:uid="{00000000-0005-0000-0000-000016CA0000}"/>
    <cellStyle name="Normal 4 3 4 2 4 6" xfId="19677" xr:uid="{00000000-0005-0000-0000-000017CA0000}"/>
    <cellStyle name="Normal 4 3 4 2 4 6 2" xfId="51548" xr:uid="{00000000-0005-0000-0000-000018CA0000}"/>
    <cellStyle name="Normal 4 3 4 2 4 7" xfId="45059" xr:uid="{00000000-0005-0000-0000-000019CA0000}"/>
    <cellStyle name="Normal 4 3 4 2 5" xfId="13196" xr:uid="{00000000-0005-0000-0000-00001ACA0000}"/>
    <cellStyle name="Normal 4 3 4 2 5 2" xfId="13197" xr:uid="{00000000-0005-0000-0000-00001BCA0000}"/>
    <cellStyle name="Normal 4 3 4 2 5 2 2" xfId="13198" xr:uid="{00000000-0005-0000-0000-00001CCA0000}"/>
    <cellStyle name="Normal 4 3 4 2 5 2 2 2" xfId="13199" xr:uid="{00000000-0005-0000-0000-00001DCA0000}"/>
    <cellStyle name="Normal 4 3 4 2 5 2 2 2 2" xfId="31499" xr:uid="{00000000-0005-0000-0000-00001ECA0000}"/>
    <cellStyle name="Normal 4 3 4 2 5 2 2 2 2 2" xfId="63370" xr:uid="{00000000-0005-0000-0000-00001FCA0000}"/>
    <cellStyle name="Normal 4 3 4 2 5 2 2 2 3" xfId="45078" xr:uid="{00000000-0005-0000-0000-000020CA0000}"/>
    <cellStyle name="Normal 4 3 4 2 5 2 2 3" xfId="23621" xr:uid="{00000000-0005-0000-0000-000021CA0000}"/>
    <cellStyle name="Normal 4 3 4 2 5 2 2 3 2" xfId="55492" xr:uid="{00000000-0005-0000-0000-000022CA0000}"/>
    <cellStyle name="Normal 4 3 4 2 5 2 2 4" xfId="45077" xr:uid="{00000000-0005-0000-0000-000023CA0000}"/>
    <cellStyle name="Normal 4 3 4 2 5 2 3" xfId="13200" xr:uid="{00000000-0005-0000-0000-000024CA0000}"/>
    <cellStyle name="Normal 4 3 4 2 5 2 3 2" xfId="27560" xr:uid="{00000000-0005-0000-0000-000025CA0000}"/>
    <cellStyle name="Normal 4 3 4 2 5 2 3 2 2" xfId="59431" xr:uid="{00000000-0005-0000-0000-000026CA0000}"/>
    <cellStyle name="Normal 4 3 4 2 5 2 3 3" xfId="45079" xr:uid="{00000000-0005-0000-0000-000027CA0000}"/>
    <cellStyle name="Normal 4 3 4 2 5 2 4" xfId="19682" xr:uid="{00000000-0005-0000-0000-000028CA0000}"/>
    <cellStyle name="Normal 4 3 4 2 5 2 4 2" xfId="51553" xr:uid="{00000000-0005-0000-0000-000029CA0000}"/>
    <cellStyle name="Normal 4 3 4 2 5 2 5" xfId="45076" xr:uid="{00000000-0005-0000-0000-00002ACA0000}"/>
    <cellStyle name="Normal 4 3 4 2 5 3" xfId="13201" xr:uid="{00000000-0005-0000-0000-00002BCA0000}"/>
    <cellStyle name="Normal 4 3 4 2 5 3 2" xfId="13202" xr:uid="{00000000-0005-0000-0000-00002CCA0000}"/>
    <cellStyle name="Normal 4 3 4 2 5 3 2 2" xfId="31498" xr:uid="{00000000-0005-0000-0000-00002DCA0000}"/>
    <cellStyle name="Normal 4 3 4 2 5 3 2 2 2" xfId="63369" xr:uid="{00000000-0005-0000-0000-00002ECA0000}"/>
    <cellStyle name="Normal 4 3 4 2 5 3 2 3" xfId="45081" xr:uid="{00000000-0005-0000-0000-00002FCA0000}"/>
    <cellStyle name="Normal 4 3 4 2 5 3 3" xfId="23620" xr:uid="{00000000-0005-0000-0000-000030CA0000}"/>
    <cellStyle name="Normal 4 3 4 2 5 3 3 2" xfId="55491" xr:uid="{00000000-0005-0000-0000-000031CA0000}"/>
    <cellStyle name="Normal 4 3 4 2 5 3 4" xfId="45080" xr:uid="{00000000-0005-0000-0000-000032CA0000}"/>
    <cellStyle name="Normal 4 3 4 2 5 4" xfId="13203" xr:uid="{00000000-0005-0000-0000-000033CA0000}"/>
    <cellStyle name="Normal 4 3 4 2 5 4 2" xfId="27559" xr:uid="{00000000-0005-0000-0000-000034CA0000}"/>
    <cellStyle name="Normal 4 3 4 2 5 4 2 2" xfId="59430" xr:uid="{00000000-0005-0000-0000-000035CA0000}"/>
    <cellStyle name="Normal 4 3 4 2 5 4 3" xfId="45082" xr:uid="{00000000-0005-0000-0000-000036CA0000}"/>
    <cellStyle name="Normal 4 3 4 2 5 5" xfId="19681" xr:uid="{00000000-0005-0000-0000-000037CA0000}"/>
    <cellStyle name="Normal 4 3 4 2 5 5 2" xfId="51552" xr:uid="{00000000-0005-0000-0000-000038CA0000}"/>
    <cellStyle name="Normal 4 3 4 2 5 6" xfId="45075" xr:uid="{00000000-0005-0000-0000-000039CA0000}"/>
    <cellStyle name="Normal 4 3 4 2 6" xfId="13204" xr:uid="{00000000-0005-0000-0000-00003ACA0000}"/>
    <cellStyle name="Normal 4 3 4 2 6 2" xfId="13205" xr:uid="{00000000-0005-0000-0000-00003BCA0000}"/>
    <cellStyle name="Normal 4 3 4 2 6 2 2" xfId="13206" xr:uid="{00000000-0005-0000-0000-00003CCA0000}"/>
    <cellStyle name="Normal 4 3 4 2 6 2 2 2" xfId="31500" xr:uid="{00000000-0005-0000-0000-00003DCA0000}"/>
    <cellStyle name="Normal 4 3 4 2 6 2 2 2 2" xfId="63371" xr:uid="{00000000-0005-0000-0000-00003ECA0000}"/>
    <cellStyle name="Normal 4 3 4 2 6 2 2 3" xfId="45085" xr:uid="{00000000-0005-0000-0000-00003FCA0000}"/>
    <cellStyle name="Normal 4 3 4 2 6 2 3" xfId="23622" xr:uid="{00000000-0005-0000-0000-000040CA0000}"/>
    <cellStyle name="Normal 4 3 4 2 6 2 3 2" xfId="55493" xr:uid="{00000000-0005-0000-0000-000041CA0000}"/>
    <cellStyle name="Normal 4 3 4 2 6 2 4" xfId="45084" xr:uid="{00000000-0005-0000-0000-000042CA0000}"/>
    <cellStyle name="Normal 4 3 4 2 6 3" xfId="13207" xr:uid="{00000000-0005-0000-0000-000043CA0000}"/>
    <cellStyle name="Normal 4 3 4 2 6 3 2" xfId="27561" xr:uid="{00000000-0005-0000-0000-000044CA0000}"/>
    <cellStyle name="Normal 4 3 4 2 6 3 2 2" xfId="59432" xr:uid="{00000000-0005-0000-0000-000045CA0000}"/>
    <cellStyle name="Normal 4 3 4 2 6 3 3" xfId="45086" xr:uid="{00000000-0005-0000-0000-000046CA0000}"/>
    <cellStyle name="Normal 4 3 4 2 6 4" xfId="19683" xr:uid="{00000000-0005-0000-0000-000047CA0000}"/>
    <cellStyle name="Normal 4 3 4 2 6 4 2" xfId="51554" xr:uid="{00000000-0005-0000-0000-000048CA0000}"/>
    <cellStyle name="Normal 4 3 4 2 6 5" xfId="45083" xr:uid="{00000000-0005-0000-0000-000049CA0000}"/>
    <cellStyle name="Normal 4 3 4 2 7" xfId="13208" xr:uid="{00000000-0005-0000-0000-00004ACA0000}"/>
    <cellStyle name="Normal 4 3 4 2 7 2" xfId="13209" xr:uid="{00000000-0005-0000-0000-00004BCA0000}"/>
    <cellStyle name="Normal 4 3 4 2 7 2 2" xfId="28322" xr:uid="{00000000-0005-0000-0000-00004CCA0000}"/>
    <cellStyle name="Normal 4 3 4 2 7 2 2 2" xfId="60193" xr:uid="{00000000-0005-0000-0000-00004DCA0000}"/>
    <cellStyle name="Normal 4 3 4 2 7 2 3" xfId="45088" xr:uid="{00000000-0005-0000-0000-00004ECA0000}"/>
    <cellStyle name="Normal 4 3 4 2 7 3" xfId="20444" xr:uid="{00000000-0005-0000-0000-00004FCA0000}"/>
    <cellStyle name="Normal 4 3 4 2 7 3 2" xfId="52315" xr:uid="{00000000-0005-0000-0000-000050CA0000}"/>
    <cellStyle name="Normal 4 3 4 2 7 4" xfId="45087" xr:uid="{00000000-0005-0000-0000-000051CA0000}"/>
    <cellStyle name="Normal 4 3 4 2 8" xfId="13210" xr:uid="{00000000-0005-0000-0000-000052CA0000}"/>
    <cellStyle name="Normal 4 3 4 2 8 2" xfId="24383" xr:uid="{00000000-0005-0000-0000-000053CA0000}"/>
    <cellStyle name="Normal 4 3 4 2 8 2 2" xfId="56254" xr:uid="{00000000-0005-0000-0000-000054CA0000}"/>
    <cellStyle name="Normal 4 3 4 2 8 3" xfId="45089" xr:uid="{00000000-0005-0000-0000-000055CA0000}"/>
    <cellStyle name="Normal 4 3 4 2 9" xfId="16505" xr:uid="{00000000-0005-0000-0000-000056CA0000}"/>
    <cellStyle name="Normal 4 3 4 2 9 2" xfId="48376" xr:uid="{00000000-0005-0000-0000-000057CA0000}"/>
    <cellStyle name="Normal 4 3 4 3" xfId="13211" xr:uid="{00000000-0005-0000-0000-000058CA0000}"/>
    <cellStyle name="Normal 4 3 4 3 10" xfId="45090" xr:uid="{00000000-0005-0000-0000-000059CA0000}"/>
    <cellStyle name="Normal 4 3 4 3 2" xfId="13212" xr:uid="{00000000-0005-0000-0000-00005ACA0000}"/>
    <cellStyle name="Normal 4 3 4 3 2 2" xfId="13213" xr:uid="{00000000-0005-0000-0000-00005BCA0000}"/>
    <cellStyle name="Normal 4 3 4 3 2 2 2" xfId="13214" xr:uid="{00000000-0005-0000-0000-00005CCA0000}"/>
    <cellStyle name="Normal 4 3 4 3 2 2 2 2" xfId="13215" xr:uid="{00000000-0005-0000-0000-00005DCA0000}"/>
    <cellStyle name="Normal 4 3 4 3 2 2 2 2 2" xfId="13216" xr:uid="{00000000-0005-0000-0000-00005ECA0000}"/>
    <cellStyle name="Normal 4 3 4 3 2 2 2 2 2 2" xfId="13217" xr:uid="{00000000-0005-0000-0000-00005FCA0000}"/>
    <cellStyle name="Normal 4 3 4 3 2 2 2 2 2 2 2" xfId="13218" xr:uid="{00000000-0005-0000-0000-000060CA0000}"/>
    <cellStyle name="Normal 4 3 4 3 2 2 2 2 2 2 2 2" xfId="31504" xr:uid="{00000000-0005-0000-0000-000061CA0000}"/>
    <cellStyle name="Normal 4 3 4 3 2 2 2 2 2 2 2 2 2" xfId="63375" xr:uid="{00000000-0005-0000-0000-000062CA0000}"/>
    <cellStyle name="Normal 4 3 4 3 2 2 2 2 2 2 2 3" xfId="45097" xr:uid="{00000000-0005-0000-0000-000063CA0000}"/>
    <cellStyle name="Normal 4 3 4 3 2 2 2 2 2 2 3" xfId="23626" xr:uid="{00000000-0005-0000-0000-000064CA0000}"/>
    <cellStyle name="Normal 4 3 4 3 2 2 2 2 2 2 3 2" xfId="55497" xr:uid="{00000000-0005-0000-0000-000065CA0000}"/>
    <cellStyle name="Normal 4 3 4 3 2 2 2 2 2 2 4" xfId="45096" xr:uid="{00000000-0005-0000-0000-000066CA0000}"/>
    <cellStyle name="Normal 4 3 4 3 2 2 2 2 2 3" xfId="13219" xr:uid="{00000000-0005-0000-0000-000067CA0000}"/>
    <cellStyle name="Normal 4 3 4 3 2 2 2 2 2 3 2" xfId="27565" xr:uid="{00000000-0005-0000-0000-000068CA0000}"/>
    <cellStyle name="Normal 4 3 4 3 2 2 2 2 2 3 2 2" xfId="59436" xr:uid="{00000000-0005-0000-0000-000069CA0000}"/>
    <cellStyle name="Normal 4 3 4 3 2 2 2 2 2 3 3" xfId="45098" xr:uid="{00000000-0005-0000-0000-00006ACA0000}"/>
    <cellStyle name="Normal 4 3 4 3 2 2 2 2 2 4" xfId="19687" xr:uid="{00000000-0005-0000-0000-00006BCA0000}"/>
    <cellStyle name="Normal 4 3 4 3 2 2 2 2 2 4 2" xfId="51558" xr:uid="{00000000-0005-0000-0000-00006CCA0000}"/>
    <cellStyle name="Normal 4 3 4 3 2 2 2 2 2 5" xfId="45095" xr:uid="{00000000-0005-0000-0000-00006DCA0000}"/>
    <cellStyle name="Normal 4 3 4 3 2 2 2 2 3" xfId="13220" xr:uid="{00000000-0005-0000-0000-00006ECA0000}"/>
    <cellStyle name="Normal 4 3 4 3 2 2 2 2 3 2" xfId="13221" xr:uid="{00000000-0005-0000-0000-00006FCA0000}"/>
    <cellStyle name="Normal 4 3 4 3 2 2 2 2 3 2 2" xfId="31503" xr:uid="{00000000-0005-0000-0000-000070CA0000}"/>
    <cellStyle name="Normal 4 3 4 3 2 2 2 2 3 2 2 2" xfId="63374" xr:uid="{00000000-0005-0000-0000-000071CA0000}"/>
    <cellStyle name="Normal 4 3 4 3 2 2 2 2 3 2 3" xfId="45100" xr:uid="{00000000-0005-0000-0000-000072CA0000}"/>
    <cellStyle name="Normal 4 3 4 3 2 2 2 2 3 3" xfId="23625" xr:uid="{00000000-0005-0000-0000-000073CA0000}"/>
    <cellStyle name="Normal 4 3 4 3 2 2 2 2 3 3 2" xfId="55496" xr:uid="{00000000-0005-0000-0000-000074CA0000}"/>
    <cellStyle name="Normal 4 3 4 3 2 2 2 2 3 4" xfId="45099" xr:uid="{00000000-0005-0000-0000-000075CA0000}"/>
    <cellStyle name="Normal 4 3 4 3 2 2 2 2 4" xfId="13222" xr:uid="{00000000-0005-0000-0000-000076CA0000}"/>
    <cellStyle name="Normal 4 3 4 3 2 2 2 2 4 2" xfId="27564" xr:uid="{00000000-0005-0000-0000-000077CA0000}"/>
    <cellStyle name="Normal 4 3 4 3 2 2 2 2 4 2 2" xfId="59435" xr:uid="{00000000-0005-0000-0000-000078CA0000}"/>
    <cellStyle name="Normal 4 3 4 3 2 2 2 2 4 3" xfId="45101" xr:uid="{00000000-0005-0000-0000-000079CA0000}"/>
    <cellStyle name="Normal 4 3 4 3 2 2 2 2 5" xfId="19686" xr:uid="{00000000-0005-0000-0000-00007ACA0000}"/>
    <cellStyle name="Normal 4 3 4 3 2 2 2 2 5 2" xfId="51557" xr:uid="{00000000-0005-0000-0000-00007BCA0000}"/>
    <cellStyle name="Normal 4 3 4 3 2 2 2 2 6" xfId="45094" xr:uid="{00000000-0005-0000-0000-00007CCA0000}"/>
    <cellStyle name="Normal 4 3 4 3 2 2 2 3" xfId="13223" xr:uid="{00000000-0005-0000-0000-00007DCA0000}"/>
    <cellStyle name="Normal 4 3 4 3 2 2 2 3 2" xfId="13224" xr:uid="{00000000-0005-0000-0000-00007ECA0000}"/>
    <cellStyle name="Normal 4 3 4 3 2 2 2 3 2 2" xfId="13225" xr:uid="{00000000-0005-0000-0000-00007FCA0000}"/>
    <cellStyle name="Normal 4 3 4 3 2 2 2 3 2 2 2" xfId="31505" xr:uid="{00000000-0005-0000-0000-000080CA0000}"/>
    <cellStyle name="Normal 4 3 4 3 2 2 2 3 2 2 2 2" xfId="63376" xr:uid="{00000000-0005-0000-0000-000081CA0000}"/>
    <cellStyle name="Normal 4 3 4 3 2 2 2 3 2 2 3" xfId="45104" xr:uid="{00000000-0005-0000-0000-000082CA0000}"/>
    <cellStyle name="Normal 4 3 4 3 2 2 2 3 2 3" xfId="23627" xr:uid="{00000000-0005-0000-0000-000083CA0000}"/>
    <cellStyle name="Normal 4 3 4 3 2 2 2 3 2 3 2" xfId="55498" xr:uid="{00000000-0005-0000-0000-000084CA0000}"/>
    <cellStyle name="Normal 4 3 4 3 2 2 2 3 2 4" xfId="45103" xr:uid="{00000000-0005-0000-0000-000085CA0000}"/>
    <cellStyle name="Normal 4 3 4 3 2 2 2 3 3" xfId="13226" xr:uid="{00000000-0005-0000-0000-000086CA0000}"/>
    <cellStyle name="Normal 4 3 4 3 2 2 2 3 3 2" xfId="27566" xr:uid="{00000000-0005-0000-0000-000087CA0000}"/>
    <cellStyle name="Normal 4 3 4 3 2 2 2 3 3 2 2" xfId="59437" xr:uid="{00000000-0005-0000-0000-000088CA0000}"/>
    <cellStyle name="Normal 4 3 4 3 2 2 2 3 3 3" xfId="45105" xr:uid="{00000000-0005-0000-0000-000089CA0000}"/>
    <cellStyle name="Normal 4 3 4 3 2 2 2 3 4" xfId="19688" xr:uid="{00000000-0005-0000-0000-00008ACA0000}"/>
    <cellStyle name="Normal 4 3 4 3 2 2 2 3 4 2" xfId="51559" xr:uid="{00000000-0005-0000-0000-00008BCA0000}"/>
    <cellStyle name="Normal 4 3 4 3 2 2 2 3 5" xfId="45102" xr:uid="{00000000-0005-0000-0000-00008CCA0000}"/>
    <cellStyle name="Normal 4 3 4 3 2 2 2 4" xfId="13227" xr:uid="{00000000-0005-0000-0000-00008DCA0000}"/>
    <cellStyle name="Normal 4 3 4 3 2 2 2 4 2" xfId="13228" xr:uid="{00000000-0005-0000-0000-00008ECA0000}"/>
    <cellStyle name="Normal 4 3 4 3 2 2 2 4 2 2" xfId="31502" xr:uid="{00000000-0005-0000-0000-00008FCA0000}"/>
    <cellStyle name="Normal 4 3 4 3 2 2 2 4 2 2 2" xfId="63373" xr:uid="{00000000-0005-0000-0000-000090CA0000}"/>
    <cellStyle name="Normal 4 3 4 3 2 2 2 4 2 3" xfId="45107" xr:uid="{00000000-0005-0000-0000-000091CA0000}"/>
    <cellStyle name="Normal 4 3 4 3 2 2 2 4 3" xfId="23624" xr:uid="{00000000-0005-0000-0000-000092CA0000}"/>
    <cellStyle name="Normal 4 3 4 3 2 2 2 4 3 2" xfId="55495" xr:uid="{00000000-0005-0000-0000-000093CA0000}"/>
    <cellStyle name="Normal 4 3 4 3 2 2 2 4 4" xfId="45106" xr:uid="{00000000-0005-0000-0000-000094CA0000}"/>
    <cellStyle name="Normal 4 3 4 3 2 2 2 5" xfId="13229" xr:uid="{00000000-0005-0000-0000-000095CA0000}"/>
    <cellStyle name="Normal 4 3 4 3 2 2 2 5 2" xfId="27563" xr:uid="{00000000-0005-0000-0000-000096CA0000}"/>
    <cellStyle name="Normal 4 3 4 3 2 2 2 5 2 2" xfId="59434" xr:uid="{00000000-0005-0000-0000-000097CA0000}"/>
    <cellStyle name="Normal 4 3 4 3 2 2 2 5 3" xfId="45108" xr:uid="{00000000-0005-0000-0000-000098CA0000}"/>
    <cellStyle name="Normal 4 3 4 3 2 2 2 6" xfId="19685" xr:uid="{00000000-0005-0000-0000-000099CA0000}"/>
    <cellStyle name="Normal 4 3 4 3 2 2 2 6 2" xfId="51556" xr:uid="{00000000-0005-0000-0000-00009ACA0000}"/>
    <cellStyle name="Normal 4 3 4 3 2 2 2 7" xfId="45093" xr:uid="{00000000-0005-0000-0000-00009BCA0000}"/>
    <cellStyle name="Normal 4 3 4 3 2 2 3" xfId="13230" xr:uid="{00000000-0005-0000-0000-00009CCA0000}"/>
    <cellStyle name="Normal 4 3 4 3 2 2 3 2" xfId="13231" xr:uid="{00000000-0005-0000-0000-00009DCA0000}"/>
    <cellStyle name="Normal 4 3 4 3 2 2 3 2 2" xfId="13232" xr:uid="{00000000-0005-0000-0000-00009ECA0000}"/>
    <cellStyle name="Normal 4 3 4 3 2 2 3 2 2 2" xfId="13233" xr:uid="{00000000-0005-0000-0000-00009FCA0000}"/>
    <cellStyle name="Normal 4 3 4 3 2 2 3 2 2 2 2" xfId="31507" xr:uid="{00000000-0005-0000-0000-0000A0CA0000}"/>
    <cellStyle name="Normal 4 3 4 3 2 2 3 2 2 2 2 2" xfId="63378" xr:uid="{00000000-0005-0000-0000-0000A1CA0000}"/>
    <cellStyle name="Normal 4 3 4 3 2 2 3 2 2 2 3" xfId="45112" xr:uid="{00000000-0005-0000-0000-0000A2CA0000}"/>
    <cellStyle name="Normal 4 3 4 3 2 2 3 2 2 3" xfId="23629" xr:uid="{00000000-0005-0000-0000-0000A3CA0000}"/>
    <cellStyle name="Normal 4 3 4 3 2 2 3 2 2 3 2" xfId="55500" xr:uid="{00000000-0005-0000-0000-0000A4CA0000}"/>
    <cellStyle name="Normal 4 3 4 3 2 2 3 2 2 4" xfId="45111" xr:uid="{00000000-0005-0000-0000-0000A5CA0000}"/>
    <cellStyle name="Normal 4 3 4 3 2 2 3 2 3" xfId="13234" xr:uid="{00000000-0005-0000-0000-0000A6CA0000}"/>
    <cellStyle name="Normal 4 3 4 3 2 2 3 2 3 2" xfId="27568" xr:uid="{00000000-0005-0000-0000-0000A7CA0000}"/>
    <cellStyle name="Normal 4 3 4 3 2 2 3 2 3 2 2" xfId="59439" xr:uid="{00000000-0005-0000-0000-0000A8CA0000}"/>
    <cellStyle name="Normal 4 3 4 3 2 2 3 2 3 3" xfId="45113" xr:uid="{00000000-0005-0000-0000-0000A9CA0000}"/>
    <cellStyle name="Normal 4 3 4 3 2 2 3 2 4" xfId="19690" xr:uid="{00000000-0005-0000-0000-0000AACA0000}"/>
    <cellStyle name="Normal 4 3 4 3 2 2 3 2 4 2" xfId="51561" xr:uid="{00000000-0005-0000-0000-0000ABCA0000}"/>
    <cellStyle name="Normal 4 3 4 3 2 2 3 2 5" xfId="45110" xr:uid="{00000000-0005-0000-0000-0000ACCA0000}"/>
    <cellStyle name="Normal 4 3 4 3 2 2 3 3" xfId="13235" xr:uid="{00000000-0005-0000-0000-0000ADCA0000}"/>
    <cellStyle name="Normal 4 3 4 3 2 2 3 3 2" xfId="13236" xr:uid="{00000000-0005-0000-0000-0000AECA0000}"/>
    <cellStyle name="Normal 4 3 4 3 2 2 3 3 2 2" xfId="31506" xr:uid="{00000000-0005-0000-0000-0000AFCA0000}"/>
    <cellStyle name="Normal 4 3 4 3 2 2 3 3 2 2 2" xfId="63377" xr:uid="{00000000-0005-0000-0000-0000B0CA0000}"/>
    <cellStyle name="Normal 4 3 4 3 2 2 3 3 2 3" xfId="45115" xr:uid="{00000000-0005-0000-0000-0000B1CA0000}"/>
    <cellStyle name="Normal 4 3 4 3 2 2 3 3 3" xfId="23628" xr:uid="{00000000-0005-0000-0000-0000B2CA0000}"/>
    <cellStyle name="Normal 4 3 4 3 2 2 3 3 3 2" xfId="55499" xr:uid="{00000000-0005-0000-0000-0000B3CA0000}"/>
    <cellStyle name="Normal 4 3 4 3 2 2 3 3 4" xfId="45114" xr:uid="{00000000-0005-0000-0000-0000B4CA0000}"/>
    <cellStyle name="Normal 4 3 4 3 2 2 3 4" xfId="13237" xr:uid="{00000000-0005-0000-0000-0000B5CA0000}"/>
    <cellStyle name="Normal 4 3 4 3 2 2 3 4 2" xfId="27567" xr:uid="{00000000-0005-0000-0000-0000B6CA0000}"/>
    <cellStyle name="Normal 4 3 4 3 2 2 3 4 2 2" xfId="59438" xr:uid="{00000000-0005-0000-0000-0000B7CA0000}"/>
    <cellStyle name="Normal 4 3 4 3 2 2 3 4 3" xfId="45116" xr:uid="{00000000-0005-0000-0000-0000B8CA0000}"/>
    <cellStyle name="Normal 4 3 4 3 2 2 3 5" xfId="19689" xr:uid="{00000000-0005-0000-0000-0000B9CA0000}"/>
    <cellStyle name="Normal 4 3 4 3 2 2 3 5 2" xfId="51560" xr:uid="{00000000-0005-0000-0000-0000BACA0000}"/>
    <cellStyle name="Normal 4 3 4 3 2 2 3 6" xfId="45109" xr:uid="{00000000-0005-0000-0000-0000BBCA0000}"/>
    <cellStyle name="Normal 4 3 4 3 2 2 4" xfId="13238" xr:uid="{00000000-0005-0000-0000-0000BCCA0000}"/>
    <cellStyle name="Normal 4 3 4 3 2 2 4 2" xfId="13239" xr:uid="{00000000-0005-0000-0000-0000BDCA0000}"/>
    <cellStyle name="Normal 4 3 4 3 2 2 4 2 2" xfId="13240" xr:uid="{00000000-0005-0000-0000-0000BECA0000}"/>
    <cellStyle name="Normal 4 3 4 3 2 2 4 2 2 2" xfId="31508" xr:uid="{00000000-0005-0000-0000-0000BFCA0000}"/>
    <cellStyle name="Normal 4 3 4 3 2 2 4 2 2 2 2" xfId="63379" xr:uid="{00000000-0005-0000-0000-0000C0CA0000}"/>
    <cellStyle name="Normal 4 3 4 3 2 2 4 2 2 3" xfId="45119" xr:uid="{00000000-0005-0000-0000-0000C1CA0000}"/>
    <cellStyle name="Normal 4 3 4 3 2 2 4 2 3" xfId="23630" xr:uid="{00000000-0005-0000-0000-0000C2CA0000}"/>
    <cellStyle name="Normal 4 3 4 3 2 2 4 2 3 2" xfId="55501" xr:uid="{00000000-0005-0000-0000-0000C3CA0000}"/>
    <cellStyle name="Normal 4 3 4 3 2 2 4 2 4" xfId="45118" xr:uid="{00000000-0005-0000-0000-0000C4CA0000}"/>
    <cellStyle name="Normal 4 3 4 3 2 2 4 3" xfId="13241" xr:uid="{00000000-0005-0000-0000-0000C5CA0000}"/>
    <cellStyle name="Normal 4 3 4 3 2 2 4 3 2" xfId="27569" xr:uid="{00000000-0005-0000-0000-0000C6CA0000}"/>
    <cellStyle name="Normal 4 3 4 3 2 2 4 3 2 2" xfId="59440" xr:uid="{00000000-0005-0000-0000-0000C7CA0000}"/>
    <cellStyle name="Normal 4 3 4 3 2 2 4 3 3" xfId="45120" xr:uid="{00000000-0005-0000-0000-0000C8CA0000}"/>
    <cellStyle name="Normal 4 3 4 3 2 2 4 4" xfId="19691" xr:uid="{00000000-0005-0000-0000-0000C9CA0000}"/>
    <cellStyle name="Normal 4 3 4 3 2 2 4 4 2" xfId="51562" xr:uid="{00000000-0005-0000-0000-0000CACA0000}"/>
    <cellStyle name="Normal 4 3 4 3 2 2 4 5" xfId="45117" xr:uid="{00000000-0005-0000-0000-0000CBCA0000}"/>
    <cellStyle name="Normal 4 3 4 3 2 2 5" xfId="13242" xr:uid="{00000000-0005-0000-0000-0000CCCA0000}"/>
    <cellStyle name="Normal 4 3 4 3 2 2 5 2" xfId="13243" xr:uid="{00000000-0005-0000-0000-0000CDCA0000}"/>
    <cellStyle name="Normal 4 3 4 3 2 2 5 2 2" xfId="31501" xr:uid="{00000000-0005-0000-0000-0000CECA0000}"/>
    <cellStyle name="Normal 4 3 4 3 2 2 5 2 2 2" xfId="63372" xr:uid="{00000000-0005-0000-0000-0000CFCA0000}"/>
    <cellStyle name="Normal 4 3 4 3 2 2 5 2 3" xfId="45122" xr:uid="{00000000-0005-0000-0000-0000D0CA0000}"/>
    <cellStyle name="Normal 4 3 4 3 2 2 5 3" xfId="23623" xr:uid="{00000000-0005-0000-0000-0000D1CA0000}"/>
    <cellStyle name="Normal 4 3 4 3 2 2 5 3 2" xfId="55494" xr:uid="{00000000-0005-0000-0000-0000D2CA0000}"/>
    <cellStyle name="Normal 4 3 4 3 2 2 5 4" xfId="45121" xr:uid="{00000000-0005-0000-0000-0000D3CA0000}"/>
    <cellStyle name="Normal 4 3 4 3 2 2 6" xfId="13244" xr:uid="{00000000-0005-0000-0000-0000D4CA0000}"/>
    <cellStyle name="Normal 4 3 4 3 2 2 6 2" xfId="27562" xr:uid="{00000000-0005-0000-0000-0000D5CA0000}"/>
    <cellStyle name="Normal 4 3 4 3 2 2 6 2 2" xfId="59433" xr:uid="{00000000-0005-0000-0000-0000D6CA0000}"/>
    <cellStyle name="Normal 4 3 4 3 2 2 6 3" xfId="45123" xr:uid="{00000000-0005-0000-0000-0000D7CA0000}"/>
    <cellStyle name="Normal 4 3 4 3 2 2 7" xfId="19684" xr:uid="{00000000-0005-0000-0000-0000D8CA0000}"/>
    <cellStyle name="Normal 4 3 4 3 2 2 7 2" xfId="51555" xr:uid="{00000000-0005-0000-0000-0000D9CA0000}"/>
    <cellStyle name="Normal 4 3 4 3 2 2 8" xfId="45092" xr:uid="{00000000-0005-0000-0000-0000DACA0000}"/>
    <cellStyle name="Normal 4 3 4 3 2 3" xfId="13245" xr:uid="{00000000-0005-0000-0000-0000DBCA0000}"/>
    <cellStyle name="Normal 4 3 4 3 2 3 2" xfId="13246" xr:uid="{00000000-0005-0000-0000-0000DCCA0000}"/>
    <cellStyle name="Normal 4 3 4 3 2 3 2 2" xfId="13247" xr:uid="{00000000-0005-0000-0000-0000DDCA0000}"/>
    <cellStyle name="Normal 4 3 4 3 2 3 2 2 2" xfId="13248" xr:uid="{00000000-0005-0000-0000-0000DECA0000}"/>
    <cellStyle name="Normal 4 3 4 3 2 3 2 2 2 2" xfId="13249" xr:uid="{00000000-0005-0000-0000-0000DFCA0000}"/>
    <cellStyle name="Normal 4 3 4 3 2 3 2 2 2 2 2" xfId="31511" xr:uid="{00000000-0005-0000-0000-0000E0CA0000}"/>
    <cellStyle name="Normal 4 3 4 3 2 3 2 2 2 2 2 2" xfId="63382" xr:uid="{00000000-0005-0000-0000-0000E1CA0000}"/>
    <cellStyle name="Normal 4 3 4 3 2 3 2 2 2 2 3" xfId="45128" xr:uid="{00000000-0005-0000-0000-0000E2CA0000}"/>
    <cellStyle name="Normal 4 3 4 3 2 3 2 2 2 3" xfId="23633" xr:uid="{00000000-0005-0000-0000-0000E3CA0000}"/>
    <cellStyle name="Normal 4 3 4 3 2 3 2 2 2 3 2" xfId="55504" xr:uid="{00000000-0005-0000-0000-0000E4CA0000}"/>
    <cellStyle name="Normal 4 3 4 3 2 3 2 2 2 4" xfId="45127" xr:uid="{00000000-0005-0000-0000-0000E5CA0000}"/>
    <cellStyle name="Normal 4 3 4 3 2 3 2 2 3" xfId="13250" xr:uid="{00000000-0005-0000-0000-0000E6CA0000}"/>
    <cellStyle name="Normal 4 3 4 3 2 3 2 2 3 2" xfId="27572" xr:uid="{00000000-0005-0000-0000-0000E7CA0000}"/>
    <cellStyle name="Normal 4 3 4 3 2 3 2 2 3 2 2" xfId="59443" xr:uid="{00000000-0005-0000-0000-0000E8CA0000}"/>
    <cellStyle name="Normal 4 3 4 3 2 3 2 2 3 3" xfId="45129" xr:uid="{00000000-0005-0000-0000-0000E9CA0000}"/>
    <cellStyle name="Normal 4 3 4 3 2 3 2 2 4" xfId="19694" xr:uid="{00000000-0005-0000-0000-0000EACA0000}"/>
    <cellStyle name="Normal 4 3 4 3 2 3 2 2 4 2" xfId="51565" xr:uid="{00000000-0005-0000-0000-0000EBCA0000}"/>
    <cellStyle name="Normal 4 3 4 3 2 3 2 2 5" xfId="45126" xr:uid="{00000000-0005-0000-0000-0000ECCA0000}"/>
    <cellStyle name="Normal 4 3 4 3 2 3 2 3" xfId="13251" xr:uid="{00000000-0005-0000-0000-0000EDCA0000}"/>
    <cellStyle name="Normal 4 3 4 3 2 3 2 3 2" xfId="13252" xr:uid="{00000000-0005-0000-0000-0000EECA0000}"/>
    <cellStyle name="Normal 4 3 4 3 2 3 2 3 2 2" xfId="31510" xr:uid="{00000000-0005-0000-0000-0000EFCA0000}"/>
    <cellStyle name="Normal 4 3 4 3 2 3 2 3 2 2 2" xfId="63381" xr:uid="{00000000-0005-0000-0000-0000F0CA0000}"/>
    <cellStyle name="Normal 4 3 4 3 2 3 2 3 2 3" xfId="45131" xr:uid="{00000000-0005-0000-0000-0000F1CA0000}"/>
    <cellStyle name="Normal 4 3 4 3 2 3 2 3 3" xfId="23632" xr:uid="{00000000-0005-0000-0000-0000F2CA0000}"/>
    <cellStyle name="Normal 4 3 4 3 2 3 2 3 3 2" xfId="55503" xr:uid="{00000000-0005-0000-0000-0000F3CA0000}"/>
    <cellStyle name="Normal 4 3 4 3 2 3 2 3 4" xfId="45130" xr:uid="{00000000-0005-0000-0000-0000F4CA0000}"/>
    <cellStyle name="Normal 4 3 4 3 2 3 2 4" xfId="13253" xr:uid="{00000000-0005-0000-0000-0000F5CA0000}"/>
    <cellStyle name="Normal 4 3 4 3 2 3 2 4 2" xfId="27571" xr:uid="{00000000-0005-0000-0000-0000F6CA0000}"/>
    <cellStyle name="Normal 4 3 4 3 2 3 2 4 2 2" xfId="59442" xr:uid="{00000000-0005-0000-0000-0000F7CA0000}"/>
    <cellStyle name="Normal 4 3 4 3 2 3 2 4 3" xfId="45132" xr:uid="{00000000-0005-0000-0000-0000F8CA0000}"/>
    <cellStyle name="Normal 4 3 4 3 2 3 2 5" xfId="19693" xr:uid="{00000000-0005-0000-0000-0000F9CA0000}"/>
    <cellStyle name="Normal 4 3 4 3 2 3 2 5 2" xfId="51564" xr:uid="{00000000-0005-0000-0000-0000FACA0000}"/>
    <cellStyle name="Normal 4 3 4 3 2 3 2 6" xfId="45125" xr:uid="{00000000-0005-0000-0000-0000FBCA0000}"/>
    <cellStyle name="Normal 4 3 4 3 2 3 3" xfId="13254" xr:uid="{00000000-0005-0000-0000-0000FCCA0000}"/>
    <cellStyle name="Normal 4 3 4 3 2 3 3 2" xfId="13255" xr:uid="{00000000-0005-0000-0000-0000FDCA0000}"/>
    <cellStyle name="Normal 4 3 4 3 2 3 3 2 2" xfId="13256" xr:uid="{00000000-0005-0000-0000-0000FECA0000}"/>
    <cellStyle name="Normal 4 3 4 3 2 3 3 2 2 2" xfId="31512" xr:uid="{00000000-0005-0000-0000-0000FFCA0000}"/>
    <cellStyle name="Normal 4 3 4 3 2 3 3 2 2 2 2" xfId="63383" xr:uid="{00000000-0005-0000-0000-000000CB0000}"/>
    <cellStyle name="Normal 4 3 4 3 2 3 3 2 2 3" xfId="45135" xr:uid="{00000000-0005-0000-0000-000001CB0000}"/>
    <cellStyle name="Normal 4 3 4 3 2 3 3 2 3" xfId="23634" xr:uid="{00000000-0005-0000-0000-000002CB0000}"/>
    <cellStyle name="Normal 4 3 4 3 2 3 3 2 3 2" xfId="55505" xr:uid="{00000000-0005-0000-0000-000003CB0000}"/>
    <cellStyle name="Normal 4 3 4 3 2 3 3 2 4" xfId="45134" xr:uid="{00000000-0005-0000-0000-000004CB0000}"/>
    <cellStyle name="Normal 4 3 4 3 2 3 3 3" xfId="13257" xr:uid="{00000000-0005-0000-0000-000005CB0000}"/>
    <cellStyle name="Normal 4 3 4 3 2 3 3 3 2" xfId="27573" xr:uid="{00000000-0005-0000-0000-000006CB0000}"/>
    <cellStyle name="Normal 4 3 4 3 2 3 3 3 2 2" xfId="59444" xr:uid="{00000000-0005-0000-0000-000007CB0000}"/>
    <cellStyle name="Normal 4 3 4 3 2 3 3 3 3" xfId="45136" xr:uid="{00000000-0005-0000-0000-000008CB0000}"/>
    <cellStyle name="Normal 4 3 4 3 2 3 3 4" xfId="19695" xr:uid="{00000000-0005-0000-0000-000009CB0000}"/>
    <cellStyle name="Normal 4 3 4 3 2 3 3 4 2" xfId="51566" xr:uid="{00000000-0005-0000-0000-00000ACB0000}"/>
    <cellStyle name="Normal 4 3 4 3 2 3 3 5" xfId="45133" xr:uid="{00000000-0005-0000-0000-00000BCB0000}"/>
    <cellStyle name="Normal 4 3 4 3 2 3 4" xfId="13258" xr:uid="{00000000-0005-0000-0000-00000CCB0000}"/>
    <cellStyle name="Normal 4 3 4 3 2 3 4 2" xfId="13259" xr:uid="{00000000-0005-0000-0000-00000DCB0000}"/>
    <cellStyle name="Normal 4 3 4 3 2 3 4 2 2" xfId="31509" xr:uid="{00000000-0005-0000-0000-00000ECB0000}"/>
    <cellStyle name="Normal 4 3 4 3 2 3 4 2 2 2" xfId="63380" xr:uid="{00000000-0005-0000-0000-00000FCB0000}"/>
    <cellStyle name="Normal 4 3 4 3 2 3 4 2 3" xfId="45138" xr:uid="{00000000-0005-0000-0000-000010CB0000}"/>
    <cellStyle name="Normal 4 3 4 3 2 3 4 3" xfId="23631" xr:uid="{00000000-0005-0000-0000-000011CB0000}"/>
    <cellStyle name="Normal 4 3 4 3 2 3 4 3 2" xfId="55502" xr:uid="{00000000-0005-0000-0000-000012CB0000}"/>
    <cellStyle name="Normal 4 3 4 3 2 3 4 4" xfId="45137" xr:uid="{00000000-0005-0000-0000-000013CB0000}"/>
    <cellStyle name="Normal 4 3 4 3 2 3 5" xfId="13260" xr:uid="{00000000-0005-0000-0000-000014CB0000}"/>
    <cellStyle name="Normal 4 3 4 3 2 3 5 2" xfId="27570" xr:uid="{00000000-0005-0000-0000-000015CB0000}"/>
    <cellStyle name="Normal 4 3 4 3 2 3 5 2 2" xfId="59441" xr:uid="{00000000-0005-0000-0000-000016CB0000}"/>
    <cellStyle name="Normal 4 3 4 3 2 3 5 3" xfId="45139" xr:uid="{00000000-0005-0000-0000-000017CB0000}"/>
    <cellStyle name="Normal 4 3 4 3 2 3 6" xfId="19692" xr:uid="{00000000-0005-0000-0000-000018CB0000}"/>
    <cellStyle name="Normal 4 3 4 3 2 3 6 2" xfId="51563" xr:uid="{00000000-0005-0000-0000-000019CB0000}"/>
    <cellStyle name="Normal 4 3 4 3 2 3 7" xfId="45124" xr:uid="{00000000-0005-0000-0000-00001ACB0000}"/>
    <cellStyle name="Normal 4 3 4 3 2 4" xfId="13261" xr:uid="{00000000-0005-0000-0000-00001BCB0000}"/>
    <cellStyle name="Normal 4 3 4 3 2 4 2" xfId="13262" xr:uid="{00000000-0005-0000-0000-00001CCB0000}"/>
    <cellStyle name="Normal 4 3 4 3 2 4 2 2" xfId="13263" xr:uid="{00000000-0005-0000-0000-00001DCB0000}"/>
    <cellStyle name="Normal 4 3 4 3 2 4 2 2 2" xfId="13264" xr:uid="{00000000-0005-0000-0000-00001ECB0000}"/>
    <cellStyle name="Normal 4 3 4 3 2 4 2 2 2 2" xfId="31514" xr:uid="{00000000-0005-0000-0000-00001FCB0000}"/>
    <cellStyle name="Normal 4 3 4 3 2 4 2 2 2 2 2" xfId="63385" xr:uid="{00000000-0005-0000-0000-000020CB0000}"/>
    <cellStyle name="Normal 4 3 4 3 2 4 2 2 2 3" xfId="45143" xr:uid="{00000000-0005-0000-0000-000021CB0000}"/>
    <cellStyle name="Normal 4 3 4 3 2 4 2 2 3" xfId="23636" xr:uid="{00000000-0005-0000-0000-000022CB0000}"/>
    <cellStyle name="Normal 4 3 4 3 2 4 2 2 3 2" xfId="55507" xr:uid="{00000000-0005-0000-0000-000023CB0000}"/>
    <cellStyle name="Normal 4 3 4 3 2 4 2 2 4" xfId="45142" xr:uid="{00000000-0005-0000-0000-000024CB0000}"/>
    <cellStyle name="Normal 4 3 4 3 2 4 2 3" xfId="13265" xr:uid="{00000000-0005-0000-0000-000025CB0000}"/>
    <cellStyle name="Normal 4 3 4 3 2 4 2 3 2" xfId="27575" xr:uid="{00000000-0005-0000-0000-000026CB0000}"/>
    <cellStyle name="Normal 4 3 4 3 2 4 2 3 2 2" xfId="59446" xr:uid="{00000000-0005-0000-0000-000027CB0000}"/>
    <cellStyle name="Normal 4 3 4 3 2 4 2 3 3" xfId="45144" xr:uid="{00000000-0005-0000-0000-000028CB0000}"/>
    <cellStyle name="Normal 4 3 4 3 2 4 2 4" xfId="19697" xr:uid="{00000000-0005-0000-0000-000029CB0000}"/>
    <cellStyle name="Normal 4 3 4 3 2 4 2 4 2" xfId="51568" xr:uid="{00000000-0005-0000-0000-00002ACB0000}"/>
    <cellStyle name="Normal 4 3 4 3 2 4 2 5" xfId="45141" xr:uid="{00000000-0005-0000-0000-00002BCB0000}"/>
    <cellStyle name="Normal 4 3 4 3 2 4 3" xfId="13266" xr:uid="{00000000-0005-0000-0000-00002CCB0000}"/>
    <cellStyle name="Normal 4 3 4 3 2 4 3 2" xfId="13267" xr:uid="{00000000-0005-0000-0000-00002DCB0000}"/>
    <cellStyle name="Normal 4 3 4 3 2 4 3 2 2" xfId="31513" xr:uid="{00000000-0005-0000-0000-00002ECB0000}"/>
    <cellStyle name="Normal 4 3 4 3 2 4 3 2 2 2" xfId="63384" xr:uid="{00000000-0005-0000-0000-00002FCB0000}"/>
    <cellStyle name="Normal 4 3 4 3 2 4 3 2 3" xfId="45146" xr:uid="{00000000-0005-0000-0000-000030CB0000}"/>
    <cellStyle name="Normal 4 3 4 3 2 4 3 3" xfId="23635" xr:uid="{00000000-0005-0000-0000-000031CB0000}"/>
    <cellStyle name="Normal 4 3 4 3 2 4 3 3 2" xfId="55506" xr:uid="{00000000-0005-0000-0000-000032CB0000}"/>
    <cellStyle name="Normal 4 3 4 3 2 4 3 4" xfId="45145" xr:uid="{00000000-0005-0000-0000-000033CB0000}"/>
    <cellStyle name="Normal 4 3 4 3 2 4 4" xfId="13268" xr:uid="{00000000-0005-0000-0000-000034CB0000}"/>
    <cellStyle name="Normal 4 3 4 3 2 4 4 2" xfId="27574" xr:uid="{00000000-0005-0000-0000-000035CB0000}"/>
    <cellStyle name="Normal 4 3 4 3 2 4 4 2 2" xfId="59445" xr:uid="{00000000-0005-0000-0000-000036CB0000}"/>
    <cellStyle name="Normal 4 3 4 3 2 4 4 3" xfId="45147" xr:uid="{00000000-0005-0000-0000-000037CB0000}"/>
    <cellStyle name="Normal 4 3 4 3 2 4 5" xfId="19696" xr:uid="{00000000-0005-0000-0000-000038CB0000}"/>
    <cellStyle name="Normal 4 3 4 3 2 4 5 2" xfId="51567" xr:uid="{00000000-0005-0000-0000-000039CB0000}"/>
    <cellStyle name="Normal 4 3 4 3 2 4 6" xfId="45140" xr:uid="{00000000-0005-0000-0000-00003ACB0000}"/>
    <cellStyle name="Normal 4 3 4 3 2 5" xfId="13269" xr:uid="{00000000-0005-0000-0000-00003BCB0000}"/>
    <cellStyle name="Normal 4 3 4 3 2 5 2" xfId="13270" xr:uid="{00000000-0005-0000-0000-00003CCB0000}"/>
    <cellStyle name="Normal 4 3 4 3 2 5 2 2" xfId="13271" xr:uid="{00000000-0005-0000-0000-00003DCB0000}"/>
    <cellStyle name="Normal 4 3 4 3 2 5 2 2 2" xfId="31515" xr:uid="{00000000-0005-0000-0000-00003ECB0000}"/>
    <cellStyle name="Normal 4 3 4 3 2 5 2 2 2 2" xfId="63386" xr:uid="{00000000-0005-0000-0000-00003FCB0000}"/>
    <cellStyle name="Normal 4 3 4 3 2 5 2 2 3" xfId="45150" xr:uid="{00000000-0005-0000-0000-000040CB0000}"/>
    <cellStyle name="Normal 4 3 4 3 2 5 2 3" xfId="23637" xr:uid="{00000000-0005-0000-0000-000041CB0000}"/>
    <cellStyle name="Normal 4 3 4 3 2 5 2 3 2" xfId="55508" xr:uid="{00000000-0005-0000-0000-000042CB0000}"/>
    <cellStyle name="Normal 4 3 4 3 2 5 2 4" xfId="45149" xr:uid="{00000000-0005-0000-0000-000043CB0000}"/>
    <cellStyle name="Normal 4 3 4 3 2 5 3" xfId="13272" xr:uid="{00000000-0005-0000-0000-000044CB0000}"/>
    <cellStyle name="Normal 4 3 4 3 2 5 3 2" xfId="27576" xr:uid="{00000000-0005-0000-0000-000045CB0000}"/>
    <cellStyle name="Normal 4 3 4 3 2 5 3 2 2" xfId="59447" xr:uid="{00000000-0005-0000-0000-000046CB0000}"/>
    <cellStyle name="Normal 4 3 4 3 2 5 3 3" xfId="45151" xr:uid="{00000000-0005-0000-0000-000047CB0000}"/>
    <cellStyle name="Normal 4 3 4 3 2 5 4" xfId="19698" xr:uid="{00000000-0005-0000-0000-000048CB0000}"/>
    <cellStyle name="Normal 4 3 4 3 2 5 4 2" xfId="51569" xr:uid="{00000000-0005-0000-0000-000049CB0000}"/>
    <cellStyle name="Normal 4 3 4 3 2 5 5" xfId="45148" xr:uid="{00000000-0005-0000-0000-00004ACB0000}"/>
    <cellStyle name="Normal 4 3 4 3 2 6" xfId="13273" xr:uid="{00000000-0005-0000-0000-00004BCB0000}"/>
    <cellStyle name="Normal 4 3 4 3 2 6 2" xfId="13274" xr:uid="{00000000-0005-0000-0000-00004CCB0000}"/>
    <cellStyle name="Normal 4 3 4 3 2 6 2 2" xfId="28486" xr:uid="{00000000-0005-0000-0000-00004DCB0000}"/>
    <cellStyle name="Normal 4 3 4 3 2 6 2 2 2" xfId="60357" xr:uid="{00000000-0005-0000-0000-00004ECB0000}"/>
    <cellStyle name="Normal 4 3 4 3 2 6 2 3" xfId="45153" xr:uid="{00000000-0005-0000-0000-00004FCB0000}"/>
    <cellStyle name="Normal 4 3 4 3 2 6 3" xfId="20608" xr:uid="{00000000-0005-0000-0000-000050CB0000}"/>
    <cellStyle name="Normal 4 3 4 3 2 6 3 2" xfId="52479" xr:uid="{00000000-0005-0000-0000-000051CB0000}"/>
    <cellStyle name="Normal 4 3 4 3 2 6 4" xfId="45152" xr:uid="{00000000-0005-0000-0000-000052CB0000}"/>
    <cellStyle name="Normal 4 3 4 3 2 7" xfId="13275" xr:uid="{00000000-0005-0000-0000-000053CB0000}"/>
    <cellStyle name="Normal 4 3 4 3 2 7 2" xfId="24547" xr:uid="{00000000-0005-0000-0000-000054CB0000}"/>
    <cellStyle name="Normal 4 3 4 3 2 7 2 2" xfId="56418" xr:uid="{00000000-0005-0000-0000-000055CB0000}"/>
    <cellStyle name="Normal 4 3 4 3 2 7 3" xfId="45154" xr:uid="{00000000-0005-0000-0000-000056CB0000}"/>
    <cellStyle name="Normal 4 3 4 3 2 8" xfId="16669" xr:uid="{00000000-0005-0000-0000-000057CB0000}"/>
    <cellStyle name="Normal 4 3 4 3 2 8 2" xfId="48540" xr:uid="{00000000-0005-0000-0000-000058CB0000}"/>
    <cellStyle name="Normal 4 3 4 3 2 9" xfId="45091" xr:uid="{00000000-0005-0000-0000-000059CB0000}"/>
    <cellStyle name="Normal 4 3 4 3 3" xfId="13276" xr:uid="{00000000-0005-0000-0000-00005ACB0000}"/>
    <cellStyle name="Normal 4 3 4 3 3 2" xfId="13277" xr:uid="{00000000-0005-0000-0000-00005BCB0000}"/>
    <cellStyle name="Normal 4 3 4 3 3 2 2" xfId="13278" xr:uid="{00000000-0005-0000-0000-00005CCB0000}"/>
    <cellStyle name="Normal 4 3 4 3 3 2 2 2" xfId="13279" xr:uid="{00000000-0005-0000-0000-00005DCB0000}"/>
    <cellStyle name="Normal 4 3 4 3 3 2 2 2 2" xfId="13280" xr:uid="{00000000-0005-0000-0000-00005ECB0000}"/>
    <cellStyle name="Normal 4 3 4 3 3 2 2 2 2 2" xfId="13281" xr:uid="{00000000-0005-0000-0000-00005FCB0000}"/>
    <cellStyle name="Normal 4 3 4 3 3 2 2 2 2 2 2" xfId="31519" xr:uid="{00000000-0005-0000-0000-000060CB0000}"/>
    <cellStyle name="Normal 4 3 4 3 3 2 2 2 2 2 2 2" xfId="63390" xr:uid="{00000000-0005-0000-0000-000061CB0000}"/>
    <cellStyle name="Normal 4 3 4 3 3 2 2 2 2 2 3" xfId="45160" xr:uid="{00000000-0005-0000-0000-000062CB0000}"/>
    <cellStyle name="Normal 4 3 4 3 3 2 2 2 2 3" xfId="23641" xr:uid="{00000000-0005-0000-0000-000063CB0000}"/>
    <cellStyle name="Normal 4 3 4 3 3 2 2 2 2 3 2" xfId="55512" xr:uid="{00000000-0005-0000-0000-000064CB0000}"/>
    <cellStyle name="Normal 4 3 4 3 3 2 2 2 2 4" xfId="45159" xr:uid="{00000000-0005-0000-0000-000065CB0000}"/>
    <cellStyle name="Normal 4 3 4 3 3 2 2 2 3" xfId="13282" xr:uid="{00000000-0005-0000-0000-000066CB0000}"/>
    <cellStyle name="Normal 4 3 4 3 3 2 2 2 3 2" xfId="27580" xr:uid="{00000000-0005-0000-0000-000067CB0000}"/>
    <cellStyle name="Normal 4 3 4 3 3 2 2 2 3 2 2" xfId="59451" xr:uid="{00000000-0005-0000-0000-000068CB0000}"/>
    <cellStyle name="Normal 4 3 4 3 3 2 2 2 3 3" xfId="45161" xr:uid="{00000000-0005-0000-0000-000069CB0000}"/>
    <cellStyle name="Normal 4 3 4 3 3 2 2 2 4" xfId="19702" xr:uid="{00000000-0005-0000-0000-00006ACB0000}"/>
    <cellStyle name="Normal 4 3 4 3 3 2 2 2 4 2" xfId="51573" xr:uid="{00000000-0005-0000-0000-00006BCB0000}"/>
    <cellStyle name="Normal 4 3 4 3 3 2 2 2 5" xfId="45158" xr:uid="{00000000-0005-0000-0000-00006CCB0000}"/>
    <cellStyle name="Normal 4 3 4 3 3 2 2 3" xfId="13283" xr:uid="{00000000-0005-0000-0000-00006DCB0000}"/>
    <cellStyle name="Normal 4 3 4 3 3 2 2 3 2" xfId="13284" xr:uid="{00000000-0005-0000-0000-00006ECB0000}"/>
    <cellStyle name="Normal 4 3 4 3 3 2 2 3 2 2" xfId="31518" xr:uid="{00000000-0005-0000-0000-00006FCB0000}"/>
    <cellStyle name="Normal 4 3 4 3 3 2 2 3 2 2 2" xfId="63389" xr:uid="{00000000-0005-0000-0000-000070CB0000}"/>
    <cellStyle name="Normal 4 3 4 3 3 2 2 3 2 3" xfId="45163" xr:uid="{00000000-0005-0000-0000-000071CB0000}"/>
    <cellStyle name="Normal 4 3 4 3 3 2 2 3 3" xfId="23640" xr:uid="{00000000-0005-0000-0000-000072CB0000}"/>
    <cellStyle name="Normal 4 3 4 3 3 2 2 3 3 2" xfId="55511" xr:uid="{00000000-0005-0000-0000-000073CB0000}"/>
    <cellStyle name="Normal 4 3 4 3 3 2 2 3 4" xfId="45162" xr:uid="{00000000-0005-0000-0000-000074CB0000}"/>
    <cellStyle name="Normal 4 3 4 3 3 2 2 4" xfId="13285" xr:uid="{00000000-0005-0000-0000-000075CB0000}"/>
    <cellStyle name="Normal 4 3 4 3 3 2 2 4 2" xfId="27579" xr:uid="{00000000-0005-0000-0000-000076CB0000}"/>
    <cellStyle name="Normal 4 3 4 3 3 2 2 4 2 2" xfId="59450" xr:uid="{00000000-0005-0000-0000-000077CB0000}"/>
    <cellStyle name="Normal 4 3 4 3 3 2 2 4 3" xfId="45164" xr:uid="{00000000-0005-0000-0000-000078CB0000}"/>
    <cellStyle name="Normal 4 3 4 3 3 2 2 5" xfId="19701" xr:uid="{00000000-0005-0000-0000-000079CB0000}"/>
    <cellStyle name="Normal 4 3 4 3 3 2 2 5 2" xfId="51572" xr:uid="{00000000-0005-0000-0000-00007ACB0000}"/>
    <cellStyle name="Normal 4 3 4 3 3 2 2 6" xfId="45157" xr:uid="{00000000-0005-0000-0000-00007BCB0000}"/>
    <cellStyle name="Normal 4 3 4 3 3 2 3" xfId="13286" xr:uid="{00000000-0005-0000-0000-00007CCB0000}"/>
    <cellStyle name="Normal 4 3 4 3 3 2 3 2" xfId="13287" xr:uid="{00000000-0005-0000-0000-00007DCB0000}"/>
    <cellStyle name="Normal 4 3 4 3 3 2 3 2 2" xfId="13288" xr:uid="{00000000-0005-0000-0000-00007ECB0000}"/>
    <cellStyle name="Normal 4 3 4 3 3 2 3 2 2 2" xfId="31520" xr:uid="{00000000-0005-0000-0000-00007FCB0000}"/>
    <cellStyle name="Normal 4 3 4 3 3 2 3 2 2 2 2" xfId="63391" xr:uid="{00000000-0005-0000-0000-000080CB0000}"/>
    <cellStyle name="Normal 4 3 4 3 3 2 3 2 2 3" xfId="45167" xr:uid="{00000000-0005-0000-0000-000081CB0000}"/>
    <cellStyle name="Normal 4 3 4 3 3 2 3 2 3" xfId="23642" xr:uid="{00000000-0005-0000-0000-000082CB0000}"/>
    <cellStyle name="Normal 4 3 4 3 3 2 3 2 3 2" xfId="55513" xr:uid="{00000000-0005-0000-0000-000083CB0000}"/>
    <cellStyle name="Normal 4 3 4 3 3 2 3 2 4" xfId="45166" xr:uid="{00000000-0005-0000-0000-000084CB0000}"/>
    <cellStyle name="Normal 4 3 4 3 3 2 3 3" xfId="13289" xr:uid="{00000000-0005-0000-0000-000085CB0000}"/>
    <cellStyle name="Normal 4 3 4 3 3 2 3 3 2" xfId="27581" xr:uid="{00000000-0005-0000-0000-000086CB0000}"/>
    <cellStyle name="Normal 4 3 4 3 3 2 3 3 2 2" xfId="59452" xr:uid="{00000000-0005-0000-0000-000087CB0000}"/>
    <cellStyle name="Normal 4 3 4 3 3 2 3 3 3" xfId="45168" xr:uid="{00000000-0005-0000-0000-000088CB0000}"/>
    <cellStyle name="Normal 4 3 4 3 3 2 3 4" xfId="19703" xr:uid="{00000000-0005-0000-0000-000089CB0000}"/>
    <cellStyle name="Normal 4 3 4 3 3 2 3 4 2" xfId="51574" xr:uid="{00000000-0005-0000-0000-00008ACB0000}"/>
    <cellStyle name="Normal 4 3 4 3 3 2 3 5" xfId="45165" xr:uid="{00000000-0005-0000-0000-00008BCB0000}"/>
    <cellStyle name="Normal 4 3 4 3 3 2 4" xfId="13290" xr:uid="{00000000-0005-0000-0000-00008CCB0000}"/>
    <cellStyle name="Normal 4 3 4 3 3 2 4 2" xfId="13291" xr:uid="{00000000-0005-0000-0000-00008DCB0000}"/>
    <cellStyle name="Normal 4 3 4 3 3 2 4 2 2" xfId="31517" xr:uid="{00000000-0005-0000-0000-00008ECB0000}"/>
    <cellStyle name="Normal 4 3 4 3 3 2 4 2 2 2" xfId="63388" xr:uid="{00000000-0005-0000-0000-00008FCB0000}"/>
    <cellStyle name="Normal 4 3 4 3 3 2 4 2 3" xfId="45170" xr:uid="{00000000-0005-0000-0000-000090CB0000}"/>
    <cellStyle name="Normal 4 3 4 3 3 2 4 3" xfId="23639" xr:uid="{00000000-0005-0000-0000-000091CB0000}"/>
    <cellStyle name="Normal 4 3 4 3 3 2 4 3 2" xfId="55510" xr:uid="{00000000-0005-0000-0000-000092CB0000}"/>
    <cellStyle name="Normal 4 3 4 3 3 2 4 4" xfId="45169" xr:uid="{00000000-0005-0000-0000-000093CB0000}"/>
    <cellStyle name="Normal 4 3 4 3 3 2 5" xfId="13292" xr:uid="{00000000-0005-0000-0000-000094CB0000}"/>
    <cellStyle name="Normal 4 3 4 3 3 2 5 2" xfId="27578" xr:uid="{00000000-0005-0000-0000-000095CB0000}"/>
    <cellStyle name="Normal 4 3 4 3 3 2 5 2 2" xfId="59449" xr:uid="{00000000-0005-0000-0000-000096CB0000}"/>
    <cellStyle name="Normal 4 3 4 3 3 2 5 3" xfId="45171" xr:uid="{00000000-0005-0000-0000-000097CB0000}"/>
    <cellStyle name="Normal 4 3 4 3 3 2 6" xfId="19700" xr:uid="{00000000-0005-0000-0000-000098CB0000}"/>
    <cellStyle name="Normal 4 3 4 3 3 2 6 2" xfId="51571" xr:uid="{00000000-0005-0000-0000-000099CB0000}"/>
    <cellStyle name="Normal 4 3 4 3 3 2 7" xfId="45156" xr:uid="{00000000-0005-0000-0000-00009ACB0000}"/>
    <cellStyle name="Normal 4 3 4 3 3 3" xfId="13293" xr:uid="{00000000-0005-0000-0000-00009BCB0000}"/>
    <cellStyle name="Normal 4 3 4 3 3 3 2" xfId="13294" xr:uid="{00000000-0005-0000-0000-00009CCB0000}"/>
    <cellStyle name="Normal 4 3 4 3 3 3 2 2" xfId="13295" xr:uid="{00000000-0005-0000-0000-00009DCB0000}"/>
    <cellStyle name="Normal 4 3 4 3 3 3 2 2 2" xfId="13296" xr:uid="{00000000-0005-0000-0000-00009ECB0000}"/>
    <cellStyle name="Normal 4 3 4 3 3 3 2 2 2 2" xfId="31522" xr:uid="{00000000-0005-0000-0000-00009FCB0000}"/>
    <cellStyle name="Normal 4 3 4 3 3 3 2 2 2 2 2" xfId="63393" xr:uid="{00000000-0005-0000-0000-0000A0CB0000}"/>
    <cellStyle name="Normal 4 3 4 3 3 3 2 2 2 3" xfId="45175" xr:uid="{00000000-0005-0000-0000-0000A1CB0000}"/>
    <cellStyle name="Normal 4 3 4 3 3 3 2 2 3" xfId="23644" xr:uid="{00000000-0005-0000-0000-0000A2CB0000}"/>
    <cellStyle name="Normal 4 3 4 3 3 3 2 2 3 2" xfId="55515" xr:uid="{00000000-0005-0000-0000-0000A3CB0000}"/>
    <cellStyle name="Normal 4 3 4 3 3 3 2 2 4" xfId="45174" xr:uid="{00000000-0005-0000-0000-0000A4CB0000}"/>
    <cellStyle name="Normal 4 3 4 3 3 3 2 3" xfId="13297" xr:uid="{00000000-0005-0000-0000-0000A5CB0000}"/>
    <cellStyle name="Normal 4 3 4 3 3 3 2 3 2" xfId="27583" xr:uid="{00000000-0005-0000-0000-0000A6CB0000}"/>
    <cellStyle name="Normal 4 3 4 3 3 3 2 3 2 2" xfId="59454" xr:uid="{00000000-0005-0000-0000-0000A7CB0000}"/>
    <cellStyle name="Normal 4 3 4 3 3 3 2 3 3" xfId="45176" xr:uid="{00000000-0005-0000-0000-0000A8CB0000}"/>
    <cellStyle name="Normal 4 3 4 3 3 3 2 4" xfId="19705" xr:uid="{00000000-0005-0000-0000-0000A9CB0000}"/>
    <cellStyle name="Normal 4 3 4 3 3 3 2 4 2" xfId="51576" xr:uid="{00000000-0005-0000-0000-0000AACB0000}"/>
    <cellStyle name="Normal 4 3 4 3 3 3 2 5" xfId="45173" xr:uid="{00000000-0005-0000-0000-0000ABCB0000}"/>
    <cellStyle name="Normal 4 3 4 3 3 3 3" xfId="13298" xr:uid="{00000000-0005-0000-0000-0000ACCB0000}"/>
    <cellStyle name="Normal 4 3 4 3 3 3 3 2" xfId="13299" xr:uid="{00000000-0005-0000-0000-0000ADCB0000}"/>
    <cellStyle name="Normal 4 3 4 3 3 3 3 2 2" xfId="31521" xr:uid="{00000000-0005-0000-0000-0000AECB0000}"/>
    <cellStyle name="Normal 4 3 4 3 3 3 3 2 2 2" xfId="63392" xr:uid="{00000000-0005-0000-0000-0000AFCB0000}"/>
    <cellStyle name="Normal 4 3 4 3 3 3 3 2 3" xfId="45178" xr:uid="{00000000-0005-0000-0000-0000B0CB0000}"/>
    <cellStyle name="Normal 4 3 4 3 3 3 3 3" xfId="23643" xr:uid="{00000000-0005-0000-0000-0000B1CB0000}"/>
    <cellStyle name="Normal 4 3 4 3 3 3 3 3 2" xfId="55514" xr:uid="{00000000-0005-0000-0000-0000B2CB0000}"/>
    <cellStyle name="Normal 4 3 4 3 3 3 3 4" xfId="45177" xr:uid="{00000000-0005-0000-0000-0000B3CB0000}"/>
    <cellStyle name="Normal 4 3 4 3 3 3 4" xfId="13300" xr:uid="{00000000-0005-0000-0000-0000B4CB0000}"/>
    <cellStyle name="Normal 4 3 4 3 3 3 4 2" xfId="27582" xr:uid="{00000000-0005-0000-0000-0000B5CB0000}"/>
    <cellStyle name="Normal 4 3 4 3 3 3 4 2 2" xfId="59453" xr:uid="{00000000-0005-0000-0000-0000B6CB0000}"/>
    <cellStyle name="Normal 4 3 4 3 3 3 4 3" xfId="45179" xr:uid="{00000000-0005-0000-0000-0000B7CB0000}"/>
    <cellStyle name="Normal 4 3 4 3 3 3 5" xfId="19704" xr:uid="{00000000-0005-0000-0000-0000B8CB0000}"/>
    <cellStyle name="Normal 4 3 4 3 3 3 5 2" xfId="51575" xr:uid="{00000000-0005-0000-0000-0000B9CB0000}"/>
    <cellStyle name="Normal 4 3 4 3 3 3 6" xfId="45172" xr:uid="{00000000-0005-0000-0000-0000BACB0000}"/>
    <cellStyle name="Normal 4 3 4 3 3 4" xfId="13301" xr:uid="{00000000-0005-0000-0000-0000BBCB0000}"/>
    <cellStyle name="Normal 4 3 4 3 3 4 2" xfId="13302" xr:uid="{00000000-0005-0000-0000-0000BCCB0000}"/>
    <cellStyle name="Normal 4 3 4 3 3 4 2 2" xfId="13303" xr:uid="{00000000-0005-0000-0000-0000BDCB0000}"/>
    <cellStyle name="Normal 4 3 4 3 3 4 2 2 2" xfId="31523" xr:uid="{00000000-0005-0000-0000-0000BECB0000}"/>
    <cellStyle name="Normal 4 3 4 3 3 4 2 2 2 2" xfId="63394" xr:uid="{00000000-0005-0000-0000-0000BFCB0000}"/>
    <cellStyle name="Normal 4 3 4 3 3 4 2 2 3" xfId="45182" xr:uid="{00000000-0005-0000-0000-0000C0CB0000}"/>
    <cellStyle name="Normal 4 3 4 3 3 4 2 3" xfId="23645" xr:uid="{00000000-0005-0000-0000-0000C1CB0000}"/>
    <cellStyle name="Normal 4 3 4 3 3 4 2 3 2" xfId="55516" xr:uid="{00000000-0005-0000-0000-0000C2CB0000}"/>
    <cellStyle name="Normal 4 3 4 3 3 4 2 4" xfId="45181" xr:uid="{00000000-0005-0000-0000-0000C3CB0000}"/>
    <cellStyle name="Normal 4 3 4 3 3 4 3" xfId="13304" xr:uid="{00000000-0005-0000-0000-0000C4CB0000}"/>
    <cellStyle name="Normal 4 3 4 3 3 4 3 2" xfId="27584" xr:uid="{00000000-0005-0000-0000-0000C5CB0000}"/>
    <cellStyle name="Normal 4 3 4 3 3 4 3 2 2" xfId="59455" xr:uid="{00000000-0005-0000-0000-0000C6CB0000}"/>
    <cellStyle name="Normal 4 3 4 3 3 4 3 3" xfId="45183" xr:uid="{00000000-0005-0000-0000-0000C7CB0000}"/>
    <cellStyle name="Normal 4 3 4 3 3 4 4" xfId="19706" xr:uid="{00000000-0005-0000-0000-0000C8CB0000}"/>
    <cellStyle name="Normal 4 3 4 3 3 4 4 2" xfId="51577" xr:uid="{00000000-0005-0000-0000-0000C9CB0000}"/>
    <cellStyle name="Normal 4 3 4 3 3 4 5" xfId="45180" xr:uid="{00000000-0005-0000-0000-0000CACB0000}"/>
    <cellStyle name="Normal 4 3 4 3 3 5" xfId="13305" xr:uid="{00000000-0005-0000-0000-0000CBCB0000}"/>
    <cellStyle name="Normal 4 3 4 3 3 5 2" xfId="13306" xr:uid="{00000000-0005-0000-0000-0000CCCB0000}"/>
    <cellStyle name="Normal 4 3 4 3 3 5 2 2" xfId="31516" xr:uid="{00000000-0005-0000-0000-0000CDCB0000}"/>
    <cellStyle name="Normal 4 3 4 3 3 5 2 2 2" xfId="63387" xr:uid="{00000000-0005-0000-0000-0000CECB0000}"/>
    <cellStyle name="Normal 4 3 4 3 3 5 2 3" xfId="45185" xr:uid="{00000000-0005-0000-0000-0000CFCB0000}"/>
    <cellStyle name="Normal 4 3 4 3 3 5 3" xfId="23638" xr:uid="{00000000-0005-0000-0000-0000D0CB0000}"/>
    <cellStyle name="Normal 4 3 4 3 3 5 3 2" xfId="55509" xr:uid="{00000000-0005-0000-0000-0000D1CB0000}"/>
    <cellStyle name="Normal 4 3 4 3 3 5 4" xfId="45184" xr:uid="{00000000-0005-0000-0000-0000D2CB0000}"/>
    <cellStyle name="Normal 4 3 4 3 3 6" xfId="13307" xr:uid="{00000000-0005-0000-0000-0000D3CB0000}"/>
    <cellStyle name="Normal 4 3 4 3 3 6 2" xfId="27577" xr:uid="{00000000-0005-0000-0000-0000D4CB0000}"/>
    <cellStyle name="Normal 4 3 4 3 3 6 2 2" xfId="59448" xr:uid="{00000000-0005-0000-0000-0000D5CB0000}"/>
    <cellStyle name="Normal 4 3 4 3 3 6 3" xfId="45186" xr:uid="{00000000-0005-0000-0000-0000D6CB0000}"/>
    <cellStyle name="Normal 4 3 4 3 3 7" xfId="19699" xr:uid="{00000000-0005-0000-0000-0000D7CB0000}"/>
    <cellStyle name="Normal 4 3 4 3 3 7 2" xfId="51570" xr:uid="{00000000-0005-0000-0000-0000D8CB0000}"/>
    <cellStyle name="Normal 4 3 4 3 3 8" xfId="45155" xr:uid="{00000000-0005-0000-0000-0000D9CB0000}"/>
    <cellStyle name="Normal 4 3 4 3 4" xfId="13308" xr:uid="{00000000-0005-0000-0000-0000DACB0000}"/>
    <cellStyle name="Normal 4 3 4 3 4 2" xfId="13309" xr:uid="{00000000-0005-0000-0000-0000DBCB0000}"/>
    <cellStyle name="Normal 4 3 4 3 4 2 2" xfId="13310" xr:uid="{00000000-0005-0000-0000-0000DCCB0000}"/>
    <cellStyle name="Normal 4 3 4 3 4 2 2 2" xfId="13311" xr:uid="{00000000-0005-0000-0000-0000DDCB0000}"/>
    <cellStyle name="Normal 4 3 4 3 4 2 2 2 2" xfId="13312" xr:uid="{00000000-0005-0000-0000-0000DECB0000}"/>
    <cellStyle name="Normal 4 3 4 3 4 2 2 2 2 2" xfId="31526" xr:uid="{00000000-0005-0000-0000-0000DFCB0000}"/>
    <cellStyle name="Normal 4 3 4 3 4 2 2 2 2 2 2" xfId="63397" xr:uid="{00000000-0005-0000-0000-0000E0CB0000}"/>
    <cellStyle name="Normal 4 3 4 3 4 2 2 2 2 3" xfId="45191" xr:uid="{00000000-0005-0000-0000-0000E1CB0000}"/>
    <cellStyle name="Normal 4 3 4 3 4 2 2 2 3" xfId="23648" xr:uid="{00000000-0005-0000-0000-0000E2CB0000}"/>
    <cellStyle name="Normal 4 3 4 3 4 2 2 2 3 2" xfId="55519" xr:uid="{00000000-0005-0000-0000-0000E3CB0000}"/>
    <cellStyle name="Normal 4 3 4 3 4 2 2 2 4" xfId="45190" xr:uid="{00000000-0005-0000-0000-0000E4CB0000}"/>
    <cellStyle name="Normal 4 3 4 3 4 2 2 3" xfId="13313" xr:uid="{00000000-0005-0000-0000-0000E5CB0000}"/>
    <cellStyle name="Normal 4 3 4 3 4 2 2 3 2" xfId="27587" xr:uid="{00000000-0005-0000-0000-0000E6CB0000}"/>
    <cellStyle name="Normal 4 3 4 3 4 2 2 3 2 2" xfId="59458" xr:uid="{00000000-0005-0000-0000-0000E7CB0000}"/>
    <cellStyle name="Normal 4 3 4 3 4 2 2 3 3" xfId="45192" xr:uid="{00000000-0005-0000-0000-0000E8CB0000}"/>
    <cellStyle name="Normal 4 3 4 3 4 2 2 4" xfId="19709" xr:uid="{00000000-0005-0000-0000-0000E9CB0000}"/>
    <cellStyle name="Normal 4 3 4 3 4 2 2 4 2" xfId="51580" xr:uid="{00000000-0005-0000-0000-0000EACB0000}"/>
    <cellStyle name="Normal 4 3 4 3 4 2 2 5" xfId="45189" xr:uid="{00000000-0005-0000-0000-0000EBCB0000}"/>
    <cellStyle name="Normal 4 3 4 3 4 2 3" xfId="13314" xr:uid="{00000000-0005-0000-0000-0000ECCB0000}"/>
    <cellStyle name="Normal 4 3 4 3 4 2 3 2" xfId="13315" xr:uid="{00000000-0005-0000-0000-0000EDCB0000}"/>
    <cellStyle name="Normal 4 3 4 3 4 2 3 2 2" xfId="31525" xr:uid="{00000000-0005-0000-0000-0000EECB0000}"/>
    <cellStyle name="Normal 4 3 4 3 4 2 3 2 2 2" xfId="63396" xr:uid="{00000000-0005-0000-0000-0000EFCB0000}"/>
    <cellStyle name="Normal 4 3 4 3 4 2 3 2 3" xfId="45194" xr:uid="{00000000-0005-0000-0000-0000F0CB0000}"/>
    <cellStyle name="Normal 4 3 4 3 4 2 3 3" xfId="23647" xr:uid="{00000000-0005-0000-0000-0000F1CB0000}"/>
    <cellStyle name="Normal 4 3 4 3 4 2 3 3 2" xfId="55518" xr:uid="{00000000-0005-0000-0000-0000F2CB0000}"/>
    <cellStyle name="Normal 4 3 4 3 4 2 3 4" xfId="45193" xr:uid="{00000000-0005-0000-0000-0000F3CB0000}"/>
    <cellStyle name="Normal 4 3 4 3 4 2 4" xfId="13316" xr:uid="{00000000-0005-0000-0000-0000F4CB0000}"/>
    <cellStyle name="Normal 4 3 4 3 4 2 4 2" xfId="27586" xr:uid="{00000000-0005-0000-0000-0000F5CB0000}"/>
    <cellStyle name="Normal 4 3 4 3 4 2 4 2 2" xfId="59457" xr:uid="{00000000-0005-0000-0000-0000F6CB0000}"/>
    <cellStyle name="Normal 4 3 4 3 4 2 4 3" xfId="45195" xr:uid="{00000000-0005-0000-0000-0000F7CB0000}"/>
    <cellStyle name="Normal 4 3 4 3 4 2 5" xfId="19708" xr:uid="{00000000-0005-0000-0000-0000F8CB0000}"/>
    <cellStyle name="Normal 4 3 4 3 4 2 5 2" xfId="51579" xr:uid="{00000000-0005-0000-0000-0000F9CB0000}"/>
    <cellStyle name="Normal 4 3 4 3 4 2 6" xfId="45188" xr:uid="{00000000-0005-0000-0000-0000FACB0000}"/>
    <cellStyle name="Normal 4 3 4 3 4 3" xfId="13317" xr:uid="{00000000-0005-0000-0000-0000FBCB0000}"/>
    <cellStyle name="Normal 4 3 4 3 4 3 2" xfId="13318" xr:uid="{00000000-0005-0000-0000-0000FCCB0000}"/>
    <cellStyle name="Normal 4 3 4 3 4 3 2 2" xfId="13319" xr:uid="{00000000-0005-0000-0000-0000FDCB0000}"/>
    <cellStyle name="Normal 4 3 4 3 4 3 2 2 2" xfId="31527" xr:uid="{00000000-0005-0000-0000-0000FECB0000}"/>
    <cellStyle name="Normal 4 3 4 3 4 3 2 2 2 2" xfId="63398" xr:uid="{00000000-0005-0000-0000-0000FFCB0000}"/>
    <cellStyle name="Normal 4 3 4 3 4 3 2 2 3" xfId="45198" xr:uid="{00000000-0005-0000-0000-000000CC0000}"/>
    <cellStyle name="Normal 4 3 4 3 4 3 2 3" xfId="23649" xr:uid="{00000000-0005-0000-0000-000001CC0000}"/>
    <cellStyle name="Normal 4 3 4 3 4 3 2 3 2" xfId="55520" xr:uid="{00000000-0005-0000-0000-000002CC0000}"/>
    <cellStyle name="Normal 4 3 4 3 4 3 2 4" xfId="45197" xr:uid="{00000000-0005-0000-0000-000003CC0000}"/>
    <cellStyle name="Normal 4 3 4 3 4 3 3" xfId="13320" xr:uid="{00000000-0005-0000-0000-000004CC0000}"/>
    <cellStyle name="Normal 4 3 4 3 4 3 3 2" xfId="27588" xr:uid="{00000000-0005-0000-0000-000005CC0000}"/>
    <cellStyle name="Normal 4 3 4 3 4 3 3 2 2" xfId="59459" xr:uid="{00000000-0005-0000-0000-000006CC0000}"/>
    <cellStyle name="Normal 4 3 4 3 4 3 3 3" xfId="45199" xr:uid="{00000000-0005-0000-0000-000007CC0000}"/>
    <cellStyle name="Normal 4 3 4 3 4 3 4" xfId="19710" xr:uid="{00000000-0005-0000-0000-000008CC0000}"/>
    <cellStyle name="Normal 4 3 4 3 4 3 4 2" xfId="51581" xr:uid="{00000000-0005-0000-0000-000009CC0000}"/>
    <cellStyle name="Normal 4 3 4 3 4 3 5" xfId="45196" xr:uid="{00000000-0005-0000-0000-00000ACC0000}"/>
    <cellStyle name="Normal 4 3 4 3 4 4" xfId="13321" xr:uid="{00000000-0005-0000-0000-00000BCC0000}"/>
    <cellStyle name="Normal 4 3 4 3 4 4 2" xfId="13322" xr:uid="{00000000-0005-0000-0000-00000CCC0000}"/>
    <cellStyle name="Normal 4 3 4 3 4 4 2 2" xfId="31524" xr:uid="{00000000-0005-0000-0000-00000DCC0000}"/>
    <cellStyle name="Normal 4 3 4 3 4 4 2 2 2" xfId="63395" xr:uid="{00000000-0005-0000-0000-00000ECC0000}"/>
    <cellStyle name="Normal 4 3 4 3 4 4 2 3" xfId="45201" xr:uid="{00000000-0005-0000-0000-00000FCC0000}"/>
    <cellStyle name="Normal 4 3 4 3 4 4 3" xfId="23646" xr:uid="{00000000-0005-0000-0000-000010CC0000}"/>
    <cellStyle name="Normal 4 3 4 3 4 4 3 2" xfId="55517" xr:uid="{00000000-0005-0000-0000-000011CC0000}"/>
    <cellStyle name="Normal 4 3 4 3 4 4 4" xfId="45200" xr:uid="{00000000-0005-0000-0000-000012CC0000}"/>
    <cellStyle name="Normal 4 3 4 3 4 5" xfId="13323" xr:uid="{00000000-0005-0000-0000-000013CC0000}"/>
    <cellStyle name="Normal 4 3 4 3 4 5 2" xfId="27585" xr:uid="{00000000-0005-0000-0000-000014CC0000}"/>
    <cellStyle name="Normal 4 3 4 3 4 5 2 2" xfId="59456" xr:uid="{00000000-0005-0000-0000-000015CC0000}"/>
    <cellStyle name="Normal 4 3 4 3 4 5 3" xfId="45202" xr:uid="{00000000-0005-0000-0000-000016CC0000}"/>
    <cellStyle name="Normal 4 3 4 3 4 6" xfId="19707" xr:uid="{00000000-0005-0000-0000-000017CC0000}"/>
    <cellStyle name="Normal 4 3 4 3 4 6 2" xfId="51578" xr:uid="{00000000-0005-0000-0000-000018CC0000}"/>
    <cellStyle name="Normal 4 3 4 3 4 7" xfId="45187" xr:uid="{00000000-0005-0000-0000-000019CC0000}"/>
    <cellStyle name="Normal 4 3 4 3 5" xfId="13324" xr:uid="{00000000-0005-0000-0000-00001ACC0000}"/>
    <cellStyle name="Normal 4 3 4 3 5 2" xfId="13325" xr:uid="{00000000-0005-0000-0000-00001BCC0000}"/>
    <cellStyle name="Normal 4 3 4 3 5 2 2" xfId="13326" xr:uid="{00000000-0005-0000-0000-00001CCC0000}"/>
    <cellStyle name="Normal 4 3 4 3 5 2 2 2" xfId="13327" xr:uid="{00000000-0005-0000-0000-00001DCC0000}"/>
    <cellStyle name="Normal 4 3 4 3 5 2 2 2 2" xfId="31529" xr:uid="{00000000-0005-0000-0000-00001ECC0000}"/>
    <cellStyle name="Normal 4 3 4 3 5 2 2 2 2 2" xfId="63400" xr:uid="{00000000-0005-0000-0000-00001FCC0000}"/>
    <cellStyle name="Normal 4 3 4 3 5 2 2 2 3" xfId="45206" xr:uid="{00000000-0005-0000-0000-000020CC0000}"/>
    <cellStyle name="Normal 4 3 4 3 5 2 2 3" xfId="23651" xr:uid="{00000000-0005-0000-0000-000021CC0000}"/>
    <cellStyle name="Normal 4 3 4 3 5 2 2 3 2" xfId="55522" xr:uid="{00000000-0005-0000-0000-000022CC0000}"/>
    <cellStyle name="Normal 4 3 4 3 5 2 2 4" xfId="45205" xr:uid="{00000000-0005-0000-0000-000023CC0000}"/>
    <cellStyle name="Normal 4 3 4 3 5 2 3" xfId="13328" xr:uid="{00000000-0005-0000-0000-000024CC0000}"/>
    <cellStyle name="Normal 4 3 4 3 5 2 3 2" xfId="27590" xr:uid="{00000000-0005-0000-0000-000025CC0000}"/>
    <cellStyle name="Normal 4 3 4 3 5 2 3 2 2" xfId="59461" xr:uid="{00000000-0005-0000-0000-000026CC0000}"/>
    <cellStyle name="Normal 4 3 4 3 5 2 3 3" xfId="45207" xr:uid="{00000000-0005-0000-0000-000027CC0000}"/>
    <cellStyle name="Normal 4 3 4 3 5 2 4" xfId="19712" xr:uid="{00000000-0005-0000-0000-000028CC0000}"/>
    <cellStyle name="Normal 4 3 4 3 5 2 4 2" xfId="51583" xr:uid="{00000000-0005-0000-0000-000029CC0000}"/>
    <cellStyle name="Normal 4 3 4 3 5 2 5" xfId="45204" xr:uid="{00000000-0005-0000-0000-00002ACC0000}"/>
    <cellStyle name="Normal 4 3 4 3 5 3" xfId="13329" xr:uid="{00000000-0005-0000-0000-00002BCC0000}"/>
    <cellStyle name="Normal 4 3 4 3 5 3 2" xfId="13330" xr:uid="{00000000-0005-0000-0000-00002CCC0000}"/>
    <cellStyle name="Normal 4 3 4 3 5 3 2 2" xfId="31528" xr:uid="{00000000-0005-0000-0000-00002DCC0000}"/>
    <cellStyle name="Normal 4 3 4 3 5 3 2 2 2" xfId="63399" xr:uid="{00000000-0005-0000-0000-00002ECC0000}"/>
    <cellStyle name="Normal 4 3 4 3 5 3 2 3" xfId="45209" xr:uid="{00000000-0005-0000-0000-00002FCC0000}"/>
    <cellStyle name="Normal 4 3 4 3 5 3 3" xfId="23650" xr:uid="{00000000-0005-0000-0000-000030CC0000}"/>
    <cellStyle name="Normal 4 3 4 3 5 3 3 2" xfId="55521" xr:uid="{00000000-0005-0000-0000-000031CC0000}"/>
    <cellStyle name="Normal 4 3 4 3 5 3 4" xfId="45208" xr:uid="{00000000-0005-0000-0000-000032CC0000}"/>
    <cellStyle name="Normal 4 3 4 3 5 4" xfId="13331" xr:uid="{00000000-0005-0000-0000-000033CC0000}"/>
    <cellStyle name="Normal 4 3 4 3 5 4 2" xfId="27589" xr:uid="{00000000-0005-0000-0000-000034CC0000}"/>
    <cellStyle name="Normal 4 3 4 3 5 4 2 2" xfId="59460" xr:uid="{00000000-0005-0000-0000-000035CC0000}"/>
    <cellStyle name="Normal 4 3 4 3 5 4 3" xfId="45210" xr:uid="{00000000-0005-0000-0000-000036CC0000}"/>
    <cellStyle name="Normal 4 3 4 3 5 5" xfId="19711" xr:uid="{00000000-0005-0000-0000-000037CC0000}"/>
    <cellStyle name="Normal 4 3 4 3 5 5 2" xfId="51582" xr:uid="{00000000-0005-0000-0000-000038CC0000}"/>
    <cellStyle name="Normal 4 3 4 3 5 6" xfId="45203" xr:uid="{00000000-0005-0000-0000-000039CC0000}"/>
    <cellStyle name="Normal 4 3 4 3 6" xfId="13332" xr:uid="{00000000-0005-0000-0000-00003ACC0000}"/>
    <cellStyle name="Normal 4 3 4 3 6 2" xfId="13333" xr:uid="{00000000-0005-0000-0000-00003BCC0000}"/>
    <cellStyle name="Normal 4 3 4 3 6 2 2" xfId="13334" xr:uid="{00000000-0005-0000-0000-00003CCC0000}"/>
    <cellStyle name="Normal 4 3 4 3 6 2 2 2" xfId="31530" xr:uid="{00000000-0005-0000-0000-00003DCC0000}"/>
    <cellStyle name="Normal 4 3 4 3 6 2 2 2 2" xfId="63401" xr:uid="{00000000-0005-0000-0000-00003ECC0000}"/>
    <cellStyle name="Normal 4 3 4 3 6 2 2 3" xfId="45213" xr:uid="{00000000-0005-0000-0000-00003FCC0000}"/>
    <cellStyle name="Normal 4 3 4 3 6 2 3" xfId="23652" xr:uid="{00000000-0005-0000-0000-000040CC0000}"/>
    <cellStyle name="Normal 4 3 4 3 6 2 3 2" xfId="55523" xr:uid="{00000000-0005-0000-0000-000041CC0000}"/>
    <cellStyle name="Normal 4 3 4 3 6 2 4" xfId="45212" xr:uid="{00000000-0005-0000-0000-000042CC0000}"/>
    <cellStyle name="Normal 4 3 4 3 6 3" xfId="13335" xr:uid="{00000000-0005-0000-0000-000043CC0000}"/>
    <cellStyle name="Normal 4 3 4 3 6 3 2" xfId="27591" xr:uid="{00000000-0005-0000-0000-000044CC0000}"/>
    <cellStyle name="Normal 4 3 4 3 6 3 2 2" xfId="59462" xr:uid="{00000000-0005-0000-0000-000045CC0000}"/>
    <cellStyle name="Normal 4 3 4 3 6 3 3" xfId="45214" xr:uid="{00000000-0005-0000-0000-000046CC0000}"/>
    <cellStyle name="Normal 4 3 4 3 6 4" xfId="19713" xr:uid="{00000000-0005-0000-0000-000047CC0000}"/>
    <cellStyle name="Normal 4 3 4 3 6 4 2" xfId="51584" xr:uid="{00000000-0005-0000-0000-000048CC0000}"/>
    <cellStyle name="Normal 4 3 4 3 6 5" xfId="45211" xr:uid="{00000000-0005-0000-0000-000049CC0000}"/>
    <cellStyle name="Normal 4 3 4 3 7" xfId="13336" xr:uid="{00000000-0005-0000-0000-00004ACC0000}"/>
    <cellStyle name="Normal 4 3 4 3 7 2" xfId="13337" xr:uid="{00000000-0005-0000-0000-00004BCC0000}"/>
    <cellStyle name="Normal 4 3 4 3 7 2 2" xfId="28363" xr:uid="{00000000-0005-0000-0000-00004CCC0000}"/>
    <cellStyle name="Normal 4 3 4 3 7 2 2 2" xfId="60234" xr:uid="{00000000-0005-0000-0000-00004DCC0000}"/>
    <cellStyle name="Normal 4 3 4 3 7 2 3" xfId="45216" xr:uid="{00000000-0005-0000-0000-00004ECC0000}"/>
    <cellStyle name="Normal 4 3 4 3 7 3" xfId="20485" xr:uid="{00000000-0005-0000-0000-00004FCC0000}"/>
    <cellStyle name="Normal 4 3 4 3 7 3 2" xfId="52356" xr:uid="{00000000-0005-0000-0000-000050CC0000}"/>
    <cellStyle name="Normal 4 3 4 3 7 4" xfId="45215" xr:uid="{00000000-0005-0000-0000-000051CC0000}"/>
    <cellStyle name="Normal 4 3 4 3 8" xfId="13338" xr:uid="{00000000-0005-0000-0000-000052CC0000}"/>
    <cellStyle name="Normal 4 3 4 3 8 2" xfId="24424" xr:uid="{00000000-0005-0000-0000-000053CC0000}"/>
    <cellStyle name="Normal 4 3 4 3 8 2 2" xfId="56295" xr:uid="{00000000-0005-0000-0000-000054CC0000}"/>
    <cellStyle name="Normal 4 3 4 3 8 3" xfId="45217" xr:uid="{00000000-0005-0000-0000-000055CC0000}"/>
    <cellStyle name="Normal 4 3 4 3 9" xfId="16546" xr:uid="{00000000-0005-0000-0000-000056CC0000}"/>
    <cellStyle name="Normal 4 3 4 3 9 2" xfId="48417" xr:uid="{00000000-0005-0000-0000-000057CC0000}"/>
    <cellStyle name="Normal 4 3 4 4" xfId="13339" xr:uid="{00000000-0005-0000-0000-000058CC0000}"/>
    <cellStyle name="Normal 4 3 4 4 2" xfId="13340" xr:uid="{00000000-0005-0000-0000-000059CC0000}"/>
    <cellStyle name="Normal 4 3 4 4 2 2" xfId="13341" xr:uid="{00000000-0005-0000-0000-00005ACC0000}"/>
    <cellStyle name="Normal 4 3 4 4 2 2 2" xfId="13342" xr:uid="{00000000-0005-0000-0000-00005BCC0000}"/>
    <cellStyle name="Normal 4 3 4 4 2 2 2 2" xfId="13343" xr:uid="{00000000-0005-0000-0000-00005CCC0000}"/>
    <cellStyle name="Normal 4 3 4 4 2 2 2 2 2" xfId="13344" xr:uid="{00000000-0005-0000-0000-00005DCC0000}"/>
    <cellStyle name="Normal 4 3 4 4 2 2 2 2 2 2" xfId="13345" xr:uid="{00000000-0005-0000-0000-00005ECC0000}"/>
    <cellStyle name="Normal 4 3 4 4 2 2 2 2 2 2 2" xfId="31534" xr:uid="{00000000-0005-0000-0000-00005FCC0000}"/>
    <cellStyle name="Normal 4 3 4 4 2 2 2 2 2 2 2 2" xfId="63405" xr:uid="{00000000-0005-0000-0000-000060CC0000}"/>
    <cellStyle name="Normal 4 3 4 4 2 2 2 2 2 2 3" xfId="45224" xr:uid="{00000000-0005-0000-0000-000061CC0000}"/>
    <cellStyle name="Normal 4 3 4 4 2 2 2 2 2 3" xfId="23656" xr:uid="{00000000-0005-0000-0000-000062CC0000}"/>
    <cellStyle name="Normal 4 3 4 4 2 2 2 2 2 3 2" xfId="55527" xr:uid="{00000000-0005-0000-0000-000063CC0000}"/>
    <cellStyle name="Normal 4 3 4 4 2 2 2 2 2 4" xfId="45223" xr:uid="{00000000-0005-0000-0000-000064CC0000}"/>
    <cellStyle name="Normal 4 3 4 4 2 2 2 2 3" xfId="13346" xr:uid="{00000000-0005-0000-0000-000065CC0000}"/>
    <cellStyle name="Normal 4 3 4 4 2 2 2 2 3 2" xfId="27595" xr:uid="{00000000-0005-0000-0000-000066CC0000}"/>
    <cellStyle name="Normal 4 3 4 4 2 2 2 2 3 2 2" xfId="59466" xr:uid="{00000000-0005-0000-0000-000067CC0000}"/>
    <cellStyle name="Normal 4 3 4 4 2 2 2 2 3 3" xfId="45225" xr:uid="{00000000-0005-0000-0000-000068CC0000}"/>
    <cellStyle name="Normal 4 3 4 4 2 2 2 2 4" xfId="19717" xr:uid="{00000000-0005-0000-0000-000069CC0000}"/>
    <cellStyle name="Normal 4 3 4 4 2 2 2 2 4 2" xfId="51588" xr:uid="{00000000-0005-0000-0000-00006ACC0000}"/>
    <cellStyle name="Normal 4 3 4 4 2 2 2 2 5" xfId="45222" xr:uid="{00000000-0005-0000-0000-00006BCC0000}"/>
    <cellStyle name="Normal 4 3 4 4 2 2 2 3" xfId="13347" xr:uid="{00000000-0005-0000-0000-00006CCC0000}"/>
    <cellStyle name="Normal 4 3 4 4 2 2 2 3 2" xfId="13348" xr:uid="{00000000-0005-0000-0000-00006DCC0000}"/>
    <cellStyle name="Normal 4 3 4 4 2 2 2 3 2 2" xfId="31533" xr:uid="{00000000-0005-0000-0000-00006ECC0000}"/>
    <cellStyle name="Normal 4 3 4 4 2 2 2 3 2 2 2" xfId="63404" xr:uid="{00000000-0005-0000-0000-00006FCC0000}"/>
    <cellStyle name="Normal 4 3 4 4 2 2 2 3 2 3" xfId="45227" xr:uid="{00000000-0005-0000-0000-000070CC0000}"/>
    <cellStyle name="Normal 4 3 4 4 2 2 2 3 3" xfId="23655" xr:uid="{00000000-0005-0000-0000-000071CC0000}"/>
    <cellStyle name="Normal 4 3 4 4 2 2 2 3 3 2" xfId="55526" xr:uid="{00000000-0005-0000-0000-000072CC0000}"/>
    <cellStyle name="Normal 4 3 4 4 2 2 2 3 4" xfId="45226" xr:uid="{00000000-0005-0000-0000-000073CC0000}"/>
    <cellStyle name="Normal 4 3 4 4 2 2 2 4" xfId="13349" xr:uid="{00000000-0005-0000-0000-000074CC0000}"/>
    <cellStyle name="Normal 4 3 4 4 2 2 2 4 2" xfId="27594" xr:uid="{00000000-0005-0000-0000-000075CC0000}"/>
    <cellStyle name="Normal 4 3 4 4 2 2 2 4 2 2" xfId="59465" xr:uid="{00000000-0005-0000-0000-000076CC0000}"/>
    <cellStyle name="Normal 4 3 4 4 2 2 2 4 3" xfId="45228" xr:uid="{00000000-0005-0000-0000-000077CC0000}"/>
    <cellStyle name="Normal 4 3 4 4 2 2 2 5" xfId="19716" xr:uid="{00000000-0005-0000-0000-000078CC0000}"/>
    <cellStyle name="Normal 4 3 4 4 2 2 2 5 2" xfId="51587" xr:uid="{00000000-0005-0000-0000-000079CC0000}"/>
    <cellStyle name="Normal 4 3 4 4 2 2 2 6" xfId="45221" xr:uid="{00000000-0005-0000-0000-00007ACC0000}"/>
    <cellStyle name="Normal 4 3 4 4 2 2 3" xfId="13350" xr:uid="{00000000-0005-0000-0000-00007BCC0000}"/>
    <cellStyle name="Normal 4 3 4 4 2 2 3 2" xfId="13351" xr:uid="{00000000-0005-0000-0000-00007CCC0000}"/>
    <cellStyle name="Normal 4 3 4 4 2 2 3 2 2" xfId="13352" xr:uid="{00000000-0005-0000-0000-00007DCC0000}"/>
    <cellStyle name="Normal 4 3 4 4 2 2 3 2 2 2" xfId="31535" xr:uid="{00000000-0005-0000-0000-00007ECC0000}"/>
    <cellStyle name="Normal 4 3 4 4 2 2 3 2 2 2 2" xfId="63406" xr:uid="{00000000-0005-0000-0000-00007FCC0000}"/>
    <cellStyle name="Normal 4 3 4 4 2 2 3 2 2 3" xfId="45231" xr:uid="{00000000-0005-0000-0000-000080CC0000}"/>
    <cellStyle name="Normal 4 3 4 4 2 2 3 2 3" xfId="23657" xr:uid="{00000000-0005-0000-0000-000081CC0000}"/>
    <cellStyle name="Normal 4 3 4 4 2 2 3 2 3 2" xfId="55528" xr:uid="{00000000-0005-0000-0000-000082CC0000}"/>
    <cellStyle name="Normal 4 3 4 4 2 2 3 2 4" xfId="45230" xr:uid="{00000000-0005-0000-0000-000083CC0000}"/>
    <cellStyle name="Normal 4 3 4 4 2 2 3 3" xfId="13353" xr:uid="{00000000-0005-0000-0000-000084CC0000}"/>
    <cellStyle name="Normal 4 3 4 4 2 2 3 3 2" xfId="27596" xr:uid="{00000000-0005-0000-0000-000085CC0000}"/>
    <cellStyle name="Normal 4 3 4 4 2 2 3 3 2 2" xfId="59467" xr:uid="{00000000-0005-0000-0000-000086CC0000}"/>
    <cellStyle name="Normal 4 3 4 4 2 2 3 3 3" xfId="45232" xr:uid="{00000000-0005-0000-0000-000087CC0000}"/>
    <cellStyle name="Normal 4 3 4 4 2 2 3 4" xfId="19718" xr:uid="{00000000-0005-0000-0000-000088CC0000}"/>
    <cellStyle name="Normal 4 3 4 4 2 2 3 4 2" xfId="51589" xr:uid="{00000000-0005-0000-0000-000089CC0000}"/>
    <cellStyle name="Normal 4 3 4 4 2 2 3 5" xfId="45229" xr:uid="{00000000-0005-0000-0000-00008ACC0000}"/>
    <cellStyle name="Normal 4 3 4 4 2 2 4" xfId="13354" xr:uid="{00000000-0005-0000-0000-00008BCC0000}"/>
    <cellStyle name="Normal 4 3 4 4 2 2 4 2" xfId="13355" xr:uid="{00000000-0005-0000-0000-00008CCC0000}"/>
    <cellStyle name="Normal 4 3 4 4 2 2 4 2 2" xfId="31532" xr:uid="{00000000-0005-0000-0000-00008DCC0000}"/>
    <cellStyle name="Normal 4 3 4 4 2 2 4 2 2 2" xfId="63403" xr:uid="{00000000-0005-0000-0000-00008ECC0000}"/>
    <cellStyle name="Normal 4 3 4 4 2 2 4 2 3" xfId="45234" xr:uid="{00000000-0005-0000-0000-00008FCC0000}"/>
    <cellStyle name="Normal 4 3 4 4 2 2 4 3" xfId="23654" xr:uid="{00000000-0005-0000-0000-000090CC0000}"/>
    <cellStyle name="Normal 4 3 4 4 2 2 4 3 2" xfId="55525" xr:uid="{00000000-0005-0000-0000-000091CC0000}"/>
    <cellStyle name="Normal 4 3 4 4 2 2 4 4" xfId="45233" xr:uid="{00000000-0005-0000-0000-000092CC0000}"/>
    <cellStyle name="Normal 4 3 4 4 2 2 5" xfId="13356" xr:uid="{00000000-0005-0000-0000-000093CC0000}"/>
    <cellStyle name="Normal 4 3 4 4 2 2 5 2" xfId="27593" xr:uid="{00000000-0005-0000-0000-000094CC0000}"/>
    <cellStyle name="Normal 4 3 4 4 2 2 5 2 2" xfId="59464" xr:uid="{00000000-0005-0000-0000-000095CC0000}"/>
    <cellStyle name="Normal 4 3 4 4 2 2 5 3" xfId="45235" xr:uid="{00000000-0005-0000-0000-000096CC0000}"/>
    <cellStyle name="Normal 4 3 4 4 2 2 6" xfId="19715" xr:uid="{00000000-0005-0000-0000-000097CC0000}"/>
    <cellStyle name="Normal 4 3 4 4 2 2 6 2" xfId="51586" xr:uid="{00000000-0005-0000-0000-000098CC0000}"/>
    <cellStyle name="Normal 4 3 4 4 2 2 7" xfId="45220" xr:uid="{00000000-0005-0000-0000-000099CC0000}"/>
    <cellStyle name="Normal 4 3 4 4 2 3" xfId="13357" xr:uid="{00000000-0005-0000-0000-00009ACC0000}"/>
    <cellStyle name="Normal 4 3 4 4 2 3 2" xfId="13358" xr:uid="{00000000-0005-0000-0000-00009BCC0000}"/>
    <cellStyle name="Normal 4 3 4 4 2 3 2 2" xfId="13359" xr:uid="{00000000-0005-0000-0000-00009CCC0000}"/>
    <cellStyle name="Normal 4 3 4 4 2 3 2 2 2" xfId="13360" xr:uid="{00000000-0005-0000-0000-00009DCC0000}"/>
    <cellStyle name="Normal 4 3 4 4 2 3 2 2 2 2" xfId="31537" xr:uid="{00000000-0005-0000-0000-00009ECC0000}"/>
    <cellStyle name="Normal 4 3 4 4 2 3 2 2 2 2 2" xfId="63408" xr:uid="{00000000-0005-0000-0000-00009FCC0000}"/>
    <cellStyle name="Normal 4 3 4 4 2 3 2 2 2 3" xfId="45239" xr:uid="{00000000-0005-0000-0000-0000A0CC0000}"/>
    <cellStyle name="Normal 4 3 4 4 2 3 2 2 3" xfId="23659" xr:uid="{00000000-0005-0000-0000-0000A1CC0000}"/>
    <cellStyle name="Normal 4 3 4 4 2 3 2 2 3 2" xfId="55530" xr:uid="{00000000-0005-0000-0000-0000A2CC0000}"/>
    <cellStyle name="Normal 4 3 4 4 2 3 2 2 4" xfId="45238" xr:uid="{00000000-0005-0000-0000-0000A3CC0000}"/>
    <cellStyle name="Normal 4 3 4 4 2 3 2 3" xfId="13361" xr:uid="{00000000-0005-0000-0000-0000A4CC0000}"/>
    <cellStyle name="Normal 4 3 4 4 2 3 2 3 2" xfId="27598" xr:uid="{00000000-0005-0000-0000-0000A5CC0000}"/>
    <cellStyle name="Normal 4 3 4 4 2 3 2 3 2 2" xfId="59469" xr:uid="{00000000-0005-0000-0000-0000A6CC0000}"/>
    <cellStyle name="Normal 4 3 4 4 2 3 2 3 3" xfId="45240" xr:uid="{00000000-0005-0000-0000-0000A7CC0000}"/>
    <cellStyle name="Normal 4 3 4 4 2 3 2 4" xfId="19720" xr:uid="{00000000-0005-0000-0000-0000A8CC0000}"/>
    <cellStyle name="Normal 4 3 4 4 2 3 2 4 2" xfId="51591" xr:uid="{00000000-0005-0000-0000-0000A9CC0000}"/>
    <cellStyle name="Normal 4 3 4 4 2 3 2 5" xfId="45237" xr:uid="{00000000-0005-0000-0000-0000AACC0000}"/>
    <cellStyle name="Normal 4 3 4 4 2 3 3" xfId="13362" xr:uid="{00000000-0005-0000-0000-0000ABCC0000}"/>
    <cellStyle name="Normal 4 3 4 4 2 3 3 2" xfId="13363" xr:uid="{00000000-0005-0000-0000-0000ACCC0000}"/>
    <cellStyle name="Normal 4 3 4 4 2 3 3 2 2" xfId="31536" xr:uid="{00000000-0005-0000-0000-0000ADCC0000}"/>
    <cellStyle name="Normal 4 3 4 4 2 3 3 2 2 2" xfId="63407" xr:uid="{00000000-0005-0000-0000-0000AECC0000}"/>
    <cellStyle name="Normal 4 3 4 4 2 3 3 2 3" xfId="45242" xr:uid="{00000000-0005-0000-0000-0000AFCC0000}"/>
    <cellStyle name="Normal 4 3 4 4 2 3 3 3" xfId="23658" xr:uid="{00000000-0005-0000-0000-0000B0CC0000}"/>
    <cellStyle name="Normal 4 3 4 4 2 3 3 3 2" xfId="55529" xr:uid="{00000000-0005-0000-0000-0000B1CC0000}"/>
    <cellStyle name="Normal 4 3 4 4 2 3 3 4" xfId="45241" xr:uid="{00000000-0005-0000-0000-0000B2CC0000}"/>
    <cellStyle name="Normal 4 3 4 4 2 3 4" xfId="13364" xr:uid="{00000000-0005-0000-0000-0000B3CC0000}"/>
    <cellStyle name="Normal 4 3 4 4 2 3 4 2" xfId="27597" xr:uid="{00000000-0005-0000-0000-0000B4CC0000}"/>
    <cellStyle name="Normal 4 3 4 4 2 3 4 2 2" xfId="59468" xr:uid="{00000000-0005-0000-0000-0000B5CC0000}"/>
    <cellStyle name="Normal 4 3 4 4 2 3 4 3" xfId="45243" xr:uid="{00000000-0005-0000-0000-0000B6CC0000}"/>
    <cellStyle name="Normal 4 3 4 4 2 3 5" xfId="19719" xr:uid="{00000000-0005-0000-0000-0000B7CC0000}"/>
    <cellStyle name="Normal 4 3 4 4 2 3 5 2" xfId="51590" xr:uid="{00000000-0005-0000-0000-0000B8CC0000}"/>
    <cellStyle name="Normal 4 3 4 4 2 3 6" xfId="45236" xr:uid="{00000000-0005-0000-0000-0000B9CC0000}"/>
    <cellStyle name="Normal 4 3 4 4 2 4" xfId="13365" xr:uid="{00000000-0005-0000-0000-0000BACC0000}"/>
    <cellStyle name="Normal 4 3 4 4 2 4 2" xfId="13366" xr:uid="{00000000-0005-0000-0000-0000BBCC0000}"/>
    <cellStyle name="Normal 4 3 4 4 2 4 2 2" xfId="13367" xr:uid="{00000000-0005-0000-0000-0000BCCC0000}"/>
    <cellStyle name="Normal 4 3 4 4 2 4 2 2 2" xfId="31538" xr:uid="{00000000-0005-0000-0000-0000BDCC0000}"/>
    <cellStyle name="Normal 4 3 4 4 2 4 2 2 2 2" xfId="63409" xr:uid="{00000000-0005-0000-0000-0000BECC0000}"/>
    <cellStyle name="Normal 4 3 4 4 2 4 2 2 3" xfId="45246" xr:uid="{00000000-0005-0000-0000-0000BFCC0000}"/>
    <cellStyle name="Normal 4 3 4 4 2 4 2 3" xfId="23660" xr:uid="{00000000-0005-0000-0000-0000C0CC0000}"/>
    <cellStyle name="Normal 4 3 4 4 2 4 2 3 2" xfId="55531" xr:uid="{00000000-0005-0000-0000-0000C1CC0000}"/>
    <cellStyle name="Normal 4 3 4 4 2 4 2 4" xfId="45245" xr:uid="{00000000-0005-0000-0000-0000C2CC0000}"/>
    <cellStyle name="Normal 4 3 4 4 2 4 3" xfId="13368" xr:uid="{00000000-0005-0000-0000-0000C3CC0000}"/>
    <cellStyle name="Normal 4 3 4 4 2 4 3 2" xfId="27599" xr:uid="{00000000-0005-0000-0000-0000C4CC0000}"/>
    <cellStyle name="Normal 4 3 4 4 2 4 3 2 2" xfId="59470" xr:uid="{00000000-0005-0000-0000-0000C5CC0000}"/>
    <cellStyle name="Normal 4 3 4 4 2 4 3 3" xfId="45247" xr:uid="{00000000-0005-0000-0000-0000C6CC0000}"/>
    <cellStyle name="Normal 4 3 4 4 2 4 4" xfId="19721" xr:uid="{00000000-0005-0000-0000-0000C7CC0000}"/>
    <cellStyle name="Normal 4 3 4 4 2 4 4 2" xfId="51592" xr:uid="{00000000-0005-0000-0000-0000C8CC0000}"/>
    <cellStyle name="Normal 4 3 4 4 2 4 5" xfId="45244" xr:uid="{00000000-0005-0000-0000-0000C9CC0000}"/>
    <cellStyle name="Normal 4 3 4 4 2 5" xfId="13369" xr:uid="{00000000-0005-0000-0000-0000CACC0000}"/>
    <cellStyle name="Normal 4 3 4 4 2 5 2" xfId="13370" xr:uid="{00000000-0005-0000-0000-0000CBCC0000}"/>
    <cellStyle name="Normal 4 3 4 4 2 5 2 2" xfId="31531" xr:uid="{00000000-0005-0000-0000-0000CCCC0000}"/>
    <cellStyle name="Normal 4 3 4 4 2 5 2 2 2" xfId="63402" xr:uid="{00000000-0005-0000-0000-0000CDCC0000}"/>
    <cellStyle name="Normal 4 3 4 4 2 5 2 3" xfId="45249" xr:uid="{00000000-0005-0000-0000-0000CECC0000}"/>
    <cellStyle name="Normal 4 3 4 4 2 5 3" xfId="23653" xr:uid="{00000000-0005-0000-0000-0000CFCC0000}"/>
    <cellStyle name="Normal 4 3 4 4 2 5 3 2" xfId="55524" xr:uid="{00000000-0005-0000-0000-0000D0CC0000}"/>
    <cellStyle name="Normal 4 3 4 4 2 5 4" xfId="45248" xr:uid="{00000000-0005-0000-0000-0000D1CC0000}"/>
    <cellStyle name="Normal 4 3 4 4 2 6" xfId="13371" xr:uid="{00000000-0005-0000-0000-0000D2CC0000}"/>
    <cellStyle name="Normal 4 3 4 4 2 6 2" xfId="27592" xr:uid="{00000000-0005-0000-0000-0000D3CC0000}"/>
    <cellStyle name="Normal 4 3 4 4 2 6 2 2" xfId="59463" xr:uid="{00000000-0005-0000-0000-0000D4CC0000}"/>
    <cellStyle name="Normal 4 3 4 4 2 6 3" xfId="45250" xr:uid="{00000000-0005-0000-0000-0000D5CC0000}"/>
    <cellStyle name="Normal 4 3 4 4 2 7" xfId="19714" xr:uid="{00000000-0005-0000-0000-0000D6CC0000}"/>
    <cellStyle name="Normal 4 3 4 4 2 7 2" xfId="51585" xr:uid="{00000000-0005-0000-0000-0000D7CC0000}"/>
    <cellStyle name="Normal 4 3 4 4 2 8" xfId="45219" xr:uid="{00000000-0005-0000-0000-0000D8CC0000}"/>
    <cellStyle name="Normal 4 3 4 4 3" xfId="13372" xr:uid="{00000000-0005-0000-0000-0000D9CC0000}"/>
    <cellStyle name="Normal 4 3 4 4 3 2" xfId="13373" xr:uid="{00000000-0005-0000-0000-0000DACC0000}"/>
    <cellStyle name="Normal 4 3 4 4 3 2 2" xfId="13374" xr:uid="{00000000-0005-0000-0000-0000DBCC0000}"/>
    <cellStyle name="Normal 4 3 4 4 3 2 2 2" xfId="13375" xr:uid="{00000000-0005-0000-0000-0000DCCC0000}"/>
    <cellStyle name="Normal 4 3 4 4 3 2 2 2 2" xfId="13376" xr:uid="{00000000-0005-0000-0000-0000DDCC0000}"/>
    <cellStyle name="Normal 4 3 4 4 3 2 2 2 2 2" xfId="31541" xr:uid="{00000000-0005-0000-0000-0000DECC0000}"/>
    <cellStyle name="Normal 4 3 4 4 3 2 2 2 2 2 2" xfId="63412" xr:uid="{00000000-0005-0000-0000-0000DFCC0000}"/>
    <cellStyle name="Normal 4 3 4 4 3 2 2 2 2 3" xfId="45255" xr:uid="{00000000-0005-0000-0000-0000E0CC0000}"/>
    <cellStyle name="Normal 4 3 4 4 3 2 2 2 3" xfId="23663" xr:uid="{00000000-0005-0000-0000-0000E1CC0000}"/>
    <cellStyle name="Normal 4 3 4 4 3 2 2 2 3 2" xfId="55534" xr:uid="{00000000-0005-0000-0000-0000E2CC0000}"/>
    <cellStyle name="Normal 4 3 4 4 3 2 2 2 4" xfId="45254" xr:uid="{00000000-0005-0000-0000-0000E3CC0000}"/>
    <cellStyle name="Normal 4 3 4 4 3 2 2 3" xfId="13377" xr:uid="{00000000-0005-0000-0000-0000E4CC0000}"/>
    <cellStyle name="Normal 4 3 4 4 3 2 2 3 2" xfId="27602" xr:uid="{00000000-0005-0000-0000-0000E5CC0000}"/>
    <cellStyle name="Normal 4 3 4 4 3 2 2 3 2 2" xfId="59473" xr:uid="{00000000-0005-0000-0000-0000E6CC0000}"/>
    <cellStyle name="Normal 4 3 4 4 3 2 2 3 3" xfId="45256" xr:uid="{00000000-0005-0000-0000-0000E7CC0000}"/>
    <cellStyle name="Normal 4 3 4 4 3 2 2 4" xfId="19724" xr:uid="{00000000-0005-0000-0000-0000E8CC0000}"/>
    <cellStyle name="Normal 4 3 4 4 3 2 2 4 2" xfId="51595" xr:uid="{00000000-0005-0000-0000-0000E9CC0000}"/>
    <cellStyle name="Normal 4 3 4 4 3 2 2 5" xfId="45253" xr:uid="{00000000-0005-0000-0000-0000EACC0000}"/>
    <cellStyle name="Normal 4 3 4 4 3 2 3" xfId="13378" xr:uid="{00000000-0005-0000-0000-0000EBCC0000}"/>
    <cellStyle name="Normal 4 3 4 4 3 2 3 2" xfId="13379" xr:uid="{00000000-0005-0000-0000-0000ECCC0000}"/>
    <cellStyle name="Normal 4 3 4 4 3 2 3 2 2" xfId="31540" xr:uid="{00000000-0005-0000-0000-0000EDCC0000}"/>
    <cellStyle name="Normal 4 3 4 4 3 2 3 2 2 2" xfId="63411" xr:uid="{00000000-0005-0000-0000-0000EECC0000}"/>
    <cellStyle name="Normal 4 3 4 4 3 2 3 2 3" xfId="45258" xr:uid="{00000000-0005-0000-0000-0000EFCC0000}"/>
    <cellStyle name="Normal 4 3 4 4 3 2 3 3" xfId="23662" xr:uid="{00000000-0005-0000-0000-0000F0CC0000}"/>
    <cellStyle name="Normal 4 3 4 4 3 2 3 3 2" xfId="55533" xr:uid="{00000000-0005-0000-0000-0000F1CC0000}"/>
    <cellStyle name="Normal 4 3 4 4 3 2 3 4" xfId="45257" xr:uid="{00000000-0005-0000-0000-0000F2CC0000}"/>
    <cellStyle name="Normal 4 3 4 4 3 2 4" xfId="13380" xr:uid="{00000000-0005-0000-0000-0000F3CC0000}"/>
    <cellStyle name="Normal 4 3 4 4 3 2 4 2" xfId="27601" xr:uid="{00000000-0005-0000-0000-0000F4CC0000}"/>
    <cellStyle name="Normal 4 3 4 4 3 2 4 2 2" xfId="59472" xr:uid="{00000000-0005-0000-0000-0000F5CC0000}"/>
    <cellStyle name="Normal 4 3 4 4 3 2 4 3" xfId="45259" xr:uid="{00000000-0005-0000-0000-0000F6CC0000}"/>
    <cellStyle name="Normal 4 3 4 4 3 2 5" xfId="19723" xr:uid="{00000000-0005-0000-0000-0000F7CC0000}"/>
    <cellStyle name="Normal 4 3 4 4 3 2 5 2" xfId="51594" xr:uid="{00000000-0005-0000-0000-0000F8CC0000}"/>
    <cellStyle name="Normal 4 3 4 4 3 2 6" xfId="45252" xr:uid="{00000000-0005-0000-0000-0000F9CC0000}"/>
    <cellStyle name="Normal 4 3 4 4 3 3" xfId="13381" xr:uid="{00000000-0005-0000-0000-0000FACC0000}"/>
    <cellStyle name="Normal 4 3 4 4 3 3 2" xfId="13382" xr:uid="{00000000-0005-0000-0000-0000FBCC0000}"/>
    <cellStyle name="Normal 4 3 4 4 3 3 2 2" xfId="13383" xr:uid="{00000000-0005-0000-0000-0000FCCC0000}"/>
    <cellStyle name="Normal 4 3 4 4 3 3 2 2 2" xfId="31542" xr:uid="{00000000-0005-0000-0000-0000FDCC0000}"/>
    <cellStyle name="Normal 4 3 4 4 3 3 2 2 2 2" xfId="63413" xr:uid="{00000000-0005-0000-0000-0000FECC0000}"/>
    <cellStyle name="Normal 4 3 4 4 3 3 2 2 3" xfId="45262" xr:uid="{00000000-0005-0000-0000-0000FFCC0000}"/>
    <cellStyle name="Normal 4 3 4 4 3 3 2 3" xfId="23664" xr:uid="{00000000-0005-0000-0000-000000CD0000}"/>
    <cellStyle name="Normal 4 3 4 4 3 3 2 3 2" xfId="55535" xr:uid="{00000000-0005-0000-0000-000001CD0000}"/>
    <cellStyle name="Normal 4 3 4 4 3 3 2 4" xfId="45261" xr:uid="{00000000-0005-0000-0000-000002CD0000}"/>
    <cellStyle name="Normal 4 3 4 4 3 3 3" xfId="13384" xr:uid="{00000000-0005-0000-0000-000003CD0000}"/>
    <cellStyle name="Normal 4 3 4 4 3 3 3 2" xfId="27603" xr:uid="{00000000-0005-0000-0000-000004CD0000}"/>
    <cellStyle name="Normal 4 3 4 4 3 3 3 2 2" xfId="59474" xr:uid="{00000000-0005-0000-0000-000005CD0000}"/>
    <cellStyle name="Normal 4 3 4 4 3 3 3 3" xfId="45263" xr:uid="{00000000-0005-0000-0000-000006CD0000}"/>
    <cellStyle name="Normal 4 3 4 4 3 3 4" xfId="19725" xr:uid="{00000000-0005-0000-0000-000007CD0000}"/>
    <cellStyle name="Normal 4 3 4 4 3 3 4 2" xfId="51596" xr:uid="{00000000-0005-0000-0000-000008CD0000}"/>
    <cellStyle name="Normal 4 3 4 4 3 3 5" xfId="45260" xr:uid="{00000000-0005-0000-0000-000009CD0000}"/>
    <cellStyle name="Normal 4 3 4 4 3 4" xfId="13385" xr:uid="{00000000-0005-0000-0000-00000ACD0000}"/>
    <cellStyle name="Normal 4 3 4 4 3 4 2" xfId="13386" xr:uid="{00000000-0005-0000-0000-00000BCD0000}"/>
    <cellStyle name="Normal 4 3 4 4 3 4 2 2" xfId="31539" xr:uid="{00000000-0005-0000-0000-00000CCD0000}"/>
    <cellStyle name="Normal 4 3 4 4 3 4 2 2 2" xfId="63410" xr:uid="{00000000-0005-0000-0000-00000DCD0000}"/>
    <cellStyle name="Normal 4 3 4 4 3 4 2 3" xfId="45265" xr:uid="{00000000-0005-0000-0000-00000ECD0000}"/>
    <cellStyle name="Normal 4 3 4 4 3 4 3" xfId="23661" xr:uid="{00000000-0005-0000-0000-00000FCD0000}"/>
    <cellStyle name="Normal 4 3 4 4 3 4 3 2" xfId="55532" xr:uid="{00000000-0005-0000-0000-000010CD0000}"/>
    <cellStyle name="Normal 4 3 4 4 3 4 4" xfId="45264" xr:uid="{00000000-0005-0000-0000-000011CD0000}"/>
    <cellStyle name="Normal 4 3 4 4 3 5" xfId="13387" xr:uid="{00000000-0005-0000-0000-000012CD0000}"/>
    <cellStyle name="Normal 4 3 4 4 3 5 2" xfId="27600" xr:uid="{00000000-0005-0000-0000-000013CD0000}"/>
    <cellStyle name="Normal 4 3 4 4 3 5 2 2" xfId="59471" xr:uid="{00000000-0005-0000-0000-000014CD0000}"/>
    <cellStyle name="Normal 4 3 4 4 3 5 3" xfId="45266" xr:uid="{00000000-0005-0000-0000-000015CD0000}"/>
    <cellStyle name="Normal 4 3 4 4 3 6" xfId="19722" xr:uid="{00000000-0005-0000-0000-000016CD0000}"/>
    <cellStyle name="Normal 4 3 4 4 3 6 2" xfId="51593" xr:uid="{00000000-0005-0000-0000-000017CD0000}"/>
    <cellStyle name="Normal 4 3 4 4 3 7" xfId="45251" xr:uid="{00000000-0005-0000-0000-000018CD0000}"/>
    <cellStyle name="Normal 4 3 4 4 4" xfId="13388" xr:uid="{00000000-0005-0000-0000-000019CD0000}"/>
    <cellStyle name="Normal 4 3 4 4 4 2" xfId="13389" xr:uid="{00000000-0005-0000-0000-00001ACD0000}"/>
    <cellStyle name="Normal 4 3 4 4 4 2 2" xfId="13390" xr:uid="{00000000-0005-0000-0000-00001BCD0000}"/>
    <cellStyle name="Normal 4 3 4 4 4 2 2 2" xfId="13391" xr:uid="{00000000-0005-0000-0000-00001CCD0000}"/>
    <cellStyle name="Normal 4 3 4 4 4 2 2 2 2" xfId="31544" xr:uid="{00000000-0005-0000-0000-00001DCD0000}"/>
    <cellStyle name="Normal 4 3 4 4 4 2 2 2 2 2" xfId="63415" xr:uid="{00000000-0005-0000-0000-00001ECD0000}"/>
    <cellStyle name="Normal 4 3 4 4 4 2 2 2 3" xfId="45270" xr:uid="{00000000-0005-0000-0000-00001FCD0000}"/>
    <cellStyle name="Normal 4 3 4 4 4 2 2 3" xfId="23666" xr:uid="{00000000-0005-0000-0000-000020CD0000}"/>
    <cellStyle name="Normal 4 3 4 4 4 2 2 3 2" xfId="55537" xr:uid="{00000000-0005-0000-0000-000021CD0000}"/>
    <cellStyle name="Normal 4 3 4 4 4 2 2 4" xfId="45269" xr:uid="{00000000-0005-0000-0000-000022CD0000}"/>
    <cellStyle name="Normal 4 3 4 4 4 2 3" xfId="13392" xr:uid="{00000000-0005-0000-0000-000023CD0000}"/>
    <cellStyle name="Normal 4 3 4 4 4 2 3 2" xfId="27605" xr:uid="{00000000-0005-0000-0000-000024CD0000}"/>
    <cellStyle name="Normal 4 3 4 4 4 2 3 2 2" xfId="59476" xr:uid="{00000000-0005-0000-0000-000025CD0000}"/>
    <cellStyle name="Normal 4 3 4 4 4 2 3 3" xfId="45271" xr:uid="{00000000-0005-0000-0000-000026CD0000}"/>
    <cellStyle name="Normal 4 3 4 4 4 2 4" xfId="19727" xr:uid="{00000000-0005-0000-0000-000027CD0000}"/>
    <cellStyle name="Normal 4 3 4 4 4 2 4 2" xfId="51598" xr:uid="{00000000-0005-0000-0000-000028CD0000}"/>
    <cellStyle name="Normal 4 3 4 4 4 2 5" xfId="45268" xr:uid="{00000000-0005-0000-0000-000029CD0000}"/>
    <cellStyle name="Normal 4 3 4 4 4 3" xfId="13393" xr:uid="{00000000-0005-0000-0000-00002ACD0000}"/>
    <cellStyle name="Normal 4 3 4 4 4 3 2" xfId="13394" xr:uid="{00000000-0005-0000-0000-00002BCD0000}"/>
    <cellStyle name="Normal 4 3 4 4 4 3 2 2" xfId="31543" xr:uid="{00000000-0005-0000-0000-00002CCD0000}"/>
    <cellStyle name="Normal 4 3 4 4 4 3 2 2 2" xfId="63414" xr:uid="{00000000-0005-0000-0000-00002DCD0000}"/>
    <cellStyle name="Normal 4 3 4 4 4 3 2 3" xfId="45273" xr:uid="{00000000-0005-0000-0000-00002ECD0000}"/>
    <cellStyle name="Normal 4 3 4 4 4 3 3" xfId="23665" xr:uid="{00000000-0005-0000-0000-00002FCD0000}"/>
    <cellStyle name="Normal 4 3 4 4 4 3 3 2" xfId="55536" xr:uid="{00000000-0005-0000-0000-000030CD0000}"/>
    <cellStyle name="Normal 4 3 4 4 4 3 4" xfId="45272" xr:uid="{00000000-0005-0000-0000-000031CD0000}"/>
    <cellStyle name="Normal 4 3 4 4 4 4" xfId="13395" xr:uid="{00000000-0005-0000-0000-000032CD0000}"/>
    <cellStyle name="Normal 4 3 4 4 4 4 2" xfId="27604" xr:uid="{00000000-0005-0000-0000-000033CD0000}"/>
    <cellStyle name="Normal 4 3 4 4 4 4 2 2" xfId="59475" xr:uid="{00000000-0005-0000-0000-000034CD0000}"/>
    <cellStyle name="Normal 4 3 4 4 4 4 3" xfId="45274" xr:uid="{00000000-0005-0000-0000-000035CD0000}"/>
    <cellStyle name="Normal 4 3 4 4 4 5" xfId="19726" xr:uid="{00000000-0005-0000-0000-000036CD0000}"/>
    <cellStyle name="Normal 4 3 4 4 4 5 2" xfId="51597" xr:uid="{00000000-0005-0000-0000-000037CD0000}"/>
    <cellStyle name="Normal 4 3 4 4 4 6" xfId="45267" xr:uid="{00000000-0005-0000-0000-000038CD0000}"/>
    <cellStyle name="Normal 4 3 4 4 5" xfId="13396" xr:uid="{00000000-0005-0000-0000-000039CD0000}"/>
    <cellStyle name="Normal 4 3 4 4 5 2" xfId="13397" xr:uid="{00000000-0005-0000-0000-00003ACD0000}"/>
    <cellStyle name="Normal 4 3 4 4 5 2 2" xfId="13398" xr:uid="{00000000-0005-0000-0000-00003BCD0000}"/>
    <cellStyle name="Normal 4 3 4 4 5 2 2 2" xfId="31545" xr:uid="{00000000-0005-0000-0000-00003CCD0000}"/>
    <cellStyle name="Normal 4 3 4 4 5 2 2 2 2" xfId="63416" xr:uid="{00000000-0005-0000-0000-00003DCD0000}"/>
    <cellStyle name="Normal 4 3 4 4 5 2 2 3" xfId="45277" xr:uid="{00000000-0005-0000-0000-00003ECD0000}"/>
    <cellStyle name="Normal 4 3 4 4 5 2 3" xfId="23667" xr:uid="{00000000-0005-0000-0000-00003FCD0000}"/>
    <cellStyle name="Normal 4 3 4 4 5 2 3 2" xfId="55538" xr:uid="{00000000-0005-0000-0000-000040CD0000}"/>
    <cellStyle name="Normal 4 3 4 4 5 2 4" xfId="45276" xr:uid="{00000000-0005-0000-0000-000041CD0000}"/>
    <cellStyle name="Normal 4 3 4 4 5 3" xfId="13399" xr:uid="{00000000-0005-0000-0000-000042CD0000}"/>
    <cellStyle name="Normal 4 3 4 4 5 3 2" xfId="27606" xr:uid="{00000000-0005-0000-0000-000043CD0000}"/>
    <cellStyle name="Normal 4 3 4 4 5 3 2 2" xfId="59477" xr:uid="{00000000-0005-0000-0000-000044CD0000}"/>
    <cellStyle name="Normal 4 3 4 4 5 3 3" xfId="45278" xr:uid="{00000000-0005-0000-0000-000045CD0000}"/>
    <cellStyle name="Normal 4 3 4 4 5 4" xfId="19728" xr:uid="{00000000-0005-0000-0000-000046CD0000}"/>
    <cellStyle name="Normal 4 3 4 4 5 4 2" xfId="51599" xr:uid="{00000000-0005-0000-0000-000047CD0000}"/>
    <cellStyle name="Normal 4 3 4 4 5 5" xfId="45275" xr:uid="{00000000-0005-0000-0000-000048CD0000}"/>
    <cellStyle name="Normal 4 3 4 4 6" xfId="13400" xr:uid="{00000000-0005-0000-0000-000049CD0000}"/>
    <cellStyle name="Normal 4 3 4 4 6 2" xfId="13401" xr:uid="{00000000-0005-0000-0000-00004ACD0000}"/>
    <cellStyle name="Normal 4 3 4 4 6 2 2" xfId="28404" xr:uid="{00000000-0005-0000-0000-00004BCD0000}"/>
    <cellStyle name="Normal 4 3 4 4 6 2 2 2" xfId="60275" xr:uid="{00000000-0005-0000-0000-00004CCD0000}"/>
    <cellStyle name="Normal 4 3 4 4 6 2 3" xfId="45280" xr:uid="{00000000-0005-0000-0000-00004DCD0000}"/>
    <cellStyle name="Normal 4 3 4 4 6 3" xfId="20526" xr:uid="{00000000-0005-0000-0000-00004ECD0000}"/>
    <cellStyle name="Normal 4 3 4 4 6 3 2" xfId="52397" xr:uid="{00000000-0005-0000-0000-00004FCD0000}"/>
    <cellStyle name="Normal 4 3 4 4 6 4" xfId="45279" xr:uid="{00000000-0005-0000-0000-000050CD0000}"/>
    <cellStyle name="Normal 4 3 4 4 7" xfId="13402" xr:uid="{00000000-0005-0000-0000-000051CD0000}"/>
    <cellStyle name="Normal 4 3 4 4 7 2" xfId="24465" xr:uid="{00000000-0005-0000-0000-000052CD0000}"/>
    <cellStyle name="Normal 4 3 4 4 7 2 2" xfId="56336" xr:uid="{00000000-0005-0000-0000-000053CD0000}"/>
    <cellStyle name="Normal 4 3 4 4 7 3" xfId="45281" xr:uid="{00000000-0005-0000-0000-000054CD0000}"/>
    <cellStyle name="Normal 4 3 4 4 8" xfId="16587" xr:uid="{00000000-0005-0000-0000-000055CD0000}"/>
    <cellStyle name="Normal 4 3 4 4 8 2" xfId="48458" xr:uid="{00000000-0005-0000-0000-000056CD0000}"/>
    <cellStyle name="Normal 4 3 4 4 9" xfId="45218" xr:uid="{00000000-0005-0000-0000-000057CD0000}"/>
    <cellStyle name="Normal 4 3 4 5" xfId="13403" xr:uid="{00000000-0005-0000-0000-000058CD0000}"/>
    <cellStyle name="Normal 4 3 4 5 2" xfId="13404" xr:uid="{00000000-0005-0000-0000-000059CD0000}"/>
    <cellStyle name="Normal 4 3 4 5 2 2" xfId="13405" xr:uid="{00000000-0005-0000-0000-00005ACD0000}"/>
    <cellStyle name="Normal 4 3 4 5 2 2 2" xfId="13406" xr:uid="{00000000-0005-0000-0000-00005BCD0000}"/>
    <cellStyle name="Normal 4 3 4 5 2 2 2 2" xfId="13407" xr:uid="{00000000-0005-0000-0000-00005CCD0000}"/>
    <cellStyle name="Normal 4 3 4 5 2 2 2 2 2" xfId="13408" xr:uid="{00000000-0005-0000-0000-00005DCD0000}"/>
    <cellStyle name="Normal 4 3 4 5 2 2 2 2 2 2" xfId="31549" xr:uid="{00000000-0005-0000-0000-00005ECD0000}"/>
    <cellStyle name="Normal 4 3 4 5 2 2 2 2 2 2 2" xfId="63420" xr:uid="{00000000-0005-0000-0000-00005FCD0000}"/>
    <cellStyle name="Normal 4 3 4 5 2 2 2 2 2 3" xfId="45287" xr:uid="{00000000-0005-0000-0000-000060CD0000}"/>
    <cellStyle name="Normal 4 3 4 5 2 2 2 2 3" xfId="23671" xr:uid="{00000000-0005-0000-0000-000061CD0000}"/>
    <cellStyle name="Normal 4 3 4 5 2 2 2 2 3 2" xfId="55542" xr:uid="{00000000-0005-0000-0000-000062CD0000}"/>
    <cellStyle name="Normal 4 3 4 5 2 2 2 2 4" xfId="45286" xr:uid="{00000000-0005-0000-0000-000063CD0000}"/>
    <cellStyle name="Normal 4 3 4 5 2 2 2 3" xfId="13409" xr:uid="{00000000-0005-0000-0000-000064CD0000}"/>
    <cellStyle name="Normal 4 3 4 5 2 2 2 3 2" xfId="27610" xr:uid="{00000000-0005-0000-0000-000065CD0000}"/>
    <cellStyle name="Normal 4 3 4 5 2 2 2 3 2 2" xfId="59481" xr:uid="{00000000-0005-0000-0000-000066CD0000}"/>
    <cellStyle name="Normal 4 3 4 5 2 2 2 3 3" xfId="45288" xr:uid="{00000000-0005-0000-0000-000067CD0000}"/>
    <cellStyle name="Normal 4 3 4 5 2 2 2 4" xfId="19732" xr:uid="{00000000-0005-0000-0000-000068CD0000}"/>
    <cellStyle name="Normal 4 3 4 5 2 2 2 4 2" xfId="51603" xr:uid="{00000000-0005-0000-0000-000069CD0000}"/>
    <cellStyle name="Normal 4 3 4 5 2 2 2 5" xfId="45285" xr:uid="{00000000-0005-0000-0000-00006ACD0000}"/>
    <cellStyle name="Normal 4 3 4 5 2 2 3" xfId="13410" xr:uid="{00000000-0005-0000-0000-00006BCD0000}"/>
    <cellStyle name="Normal 4 3 4 5 2 2 3 2" xfId="13411" xr:uid="{00000000-0005-0000-0000-00006CCD0000}"/>
    <cellStyle name="Normal 4 3 4 5 2 2 3 2 2" xfId="31548" xr:uid="{00000000-0005-0000-0000-00006DCD0000}"/>
    <cellStyle name="Normal 4 3 4 5 2 2 3 2 2 2" xfId="63419" xr:uid="{00000000-0005-0000-0000-00006ECD0000}"/>
    <cellStyle name="Normal 4 3 4 5 2 2 3 2 3" xfId="45290" xr:uid="{00000000-0005-0000-0000-00006FCD0000}"/>
    <cellStyle name="Normal 4 3 4 5 2 2 3 3" xfId="23670" xr:uid="{00000000-0005-0000-0000-000070CD0000}"/>
    <cellStyle name="Normal 4 3 4 5 2 2 3 3 2" xfId="55541" xr:uid="{00000000-0005-0000-0000-000071CD0000}"/>
    <cellStyle name="Normal 4 3 4 5 2 2 3 4" xfId="45289" xr:uid="{00000000-0005-0000-0000-000072CD0000}"/>
    <cellStyle name="Normal 4 3 4 5 2 2 4" xfId="13412" xr:uid="{00000000-0005-0000-0000-000073CD0000}"/>
    <cellStyle name="Normal 4 3 4 5 2 2 4 2" xfId="27609" xr:uid="{00000000-0005-0000-0000-000074CD0000}"/>
    <cellStyle name="Normal 4 3 4 5 2 2 4 2 2" xfId="59480" xr:uid="{00000000-0005-0000-0000-000075CD0000}"/>
    <cellStyle name="Normal 4 3 4 5 2 2 4 3" xfId="45291" xr:uid="{00000000-0005-0000-0000-000076CD0000}"/>
    <cellStyle name="Normal 4 3 4 5 2 2 5" xfId="19731" xr:uid="{00000000-0005-0000-0000-000077CD0000}"/>
    <cellStyle name="Normal 4 3 4 5 2 2 5 2" xfId="51602" xr:uid="{00000000-0005-0000-0000-000078CD0000}"/>
    <cellStyle name="Normal 4 3 4 5 2 2 6" xfId="45284" xr:uid="{00000000-0005-0000-0000-000079CD0000}"/>
    <cellStyle name="Normal 4 3 4 5 2 3" xfId="13413" xr:uid="{00000000-0005-0000-0000-00007ACD0000}"/>
    <cellStyle name="Normal 4 3 4 5 2 3 2" xfId="13414" xr:uid="{00000000-0005-0000-0000-00007BCD0000}"/>
    <cellStyle name="Normal 4 3 4 5 2 3 2 2" xfId="13415" xr:uid="{00000000-0005-0000-0000-00007CCD0000}"/>
    <cellStyle name="Normal 4 3 4 5 2 3 2 2 2" xfId="31550" xr:uid="{00000000-0005-0000-0000-00007DCD0000}"/>
    <cellStyle name="Normal 4 3 4 5 2 3 2 2 2 2" xfId="63421" xr:uid="{00000000-0005-0000-0000-00007ECD0000}"/>
    <cellStyle name="Normal 4 3 4 5 2 3 2 2 3" xfId="45294" xr:uid="{00000000-0005-0000-0000-00007FCD0000}"/>
    <cellStyle name="Normal 4 3 4 5 2 3 2 3" xfId="23672" xr:uid="{00000000-0005-0000-0000-000080CD0000}"/>
    <cellStyle name="Normal 4 3 4 5 2 3 2 3 2" xfId="55543" xr:uid="{00000000-0005-0000-0000-000081CD0000}"/>
    <cellStyle name="Normal 4 3 4 5 2 3 2 4" xfId="45293" xr:uid="{00000000-0005-0000-0000-000082CD0000}"/>
    <cellStyle name="Normal 4 3 4 5 2 3 3" xfId="13416" xr:uid="{00000000-0005-0000-0000-000083CD0000}"/>
    <cellStyle name="Normal 4 3 4 5 2 3 3 2" xfId="27611" xr:uid="{00000000-0005-0000-0000-000084CD0000}"/>
    <cellStyle name="Normal 4 3 4 5 2 3 3 2 2" xfId="59482" xr:uid="{00000000-0005-0000-0000-000085CD0000}"/>
    <cellStyle name="Normal 4 3 4 5 2 3 3 3" xfId="45295" xr:uid="{00000000-0005-0000-0000-000086CD0000}"/>
    <cellStyle name="Normal 4 3 4 5 2 3 4" xfId="19733" xr:uid="{00000000-0005-0000-0000-000087CD0000}"/>
    <cellStyle name="Normal 4 3 4 5 2 3 4 2" xfId="51604" xr:uid="{00000000-0005-0000-0000-000088CD0000}"/>
    <cellStyle name="Normal 4 3 4 5 2 3 5" xfId="45292" xr:uid="{00000000-0005-0000-0000-000089CD0000}"/>
    <cellStyle name="Normal 4 3 4 5 2 4" xfId="13417" xr:uid="{00000000-0005-0000-0000-00008ACD0000}"/>
    <cellStyle name="Normal 4 3 4 5 2 4 2" xfId="13418" xr:uid="{00000000-0005-0000-0000-00008BCD0000}"/>
    <cellStyle name="Normal 4 3 4 5 2 4 2 2" xfId="31547" xr:uid="{00000000-0005-0000-0000-00008CCD0000}"/>
    <cellStyle name="Normal 4 3 4 5 2 4 2 2 2" xfId="63418" xr:uid="{00000000-0005-0000-0000-00008DCD0000}"/>
    <cellStyle name="Normal 4 3 4 5 2 4 2 3" xfId="45297" xr:uid="{00000000-0005-0000-0000-00008ECD0000}"/>
    <cellStyle name="Normal 4 3 4 5 2 4 3" xfId="23669" xr:uid="{00000000-0005-0000-0000-00008FCD0000}"/>
    <cellStyle name="Normal 4 3 4 5 2 4 3 2" xfId="55540" xr:uid="{00000000-0005-0000-0000-000090CD0000}"/>
    <cellStyle name="Normal 4 3 4 5 2 4 4" xfId="45296" xr:uid="{00000000-0005-0000-0000-000091CD0000}"/>
    <cellStyle name="Normal 4 3 4 5 2 5" xfId="13419" xr:uid="{00000000-0005-0000-0000-000092CD0000}"/>
    <cellStyle name="Normal 4 3 4 5 2 5 2" xfId="27608" xr:uid="{00000000-0005-0000-0000-000093CD0000}"/>
    <cellStyle name="Normal 4 3 4 5 2 5 2 2" xfId="59479" xr:uid="{00000000-0005-0000-0000-000094CD0000}"/>
    <cellStyle name="Normal 4 3 4 5 2 5 3" xfId="45298" xr:uid="{00000000-0005-0000-0000-000095CD0000}"/>
    <cellStyle name="Normal 4 3 4 5 2 6" xfId="19730" xr:uid="{00000000-0005-0000-0000-000096CD0000}"/>
    <cellStyle name="Normal 4 3 4 5 2 6 2" xfId="51601" xr:uid="{00000000-0005-0000-0000-000097CD0000}"/>
    <cellStyle name="Normal 4 3 4 5 2 7" xfId="45283" xr:uid="{00000000-0005-0000-0000-000098CD0000}"/>
    <cellStyle name="Normal 4 3 4 5 3" xfId="13420" xr:uid="{00000000-0005-0000-0000-000099CD0000}"/>
    <cellStyle name="Normal 4 3 4 5 3 2" xfId="13421" xr:uid="{00000000-0005-0000-0000-00009ACD0000}"/>
    <cellStyle name="Normal 4 3 4 5 3 2 2" xfId="13422" xr:uid="{00000000-0005-0000-0000-00009BCD0000}"/>
    <cellStyle name="Normal 4 3 4 5 3 2 2 2" xfId="13423" xr:uid="{00000000-0005-0000-0000-00009CCD0000}"/>
    <cellStyle name="Normal 4 3 4 5 3 2 2 2 2" xfId="31552" xr:uid="{00000000-0005-0000-0000-00009DCD0000}"/>
    <cellStyle name="Normal 4 3 4 5 3 2 2 2 2 2" xfId="63423" xr:uid="{00000000-0005-0000-0000-00009ECD0000}"/>
    <cellStyle name="Normal 4 3 4 5 3 2 2 2 3" xfId="45302" xr:uid="{00000000-0005-0000-0000-00009FCD0000}"/>
    <cellStyle name="Normal 4 3 4 5 3 2 2 3" xfId="23674" xr:uid="{00000000-0005-0000-0000-0000A0CD0000}"/>
    <cellStyle name="Normal 4 3 4 5 3 2 2 3 2" xfId="55545" xr:uid="{00000000-0005-0000-0000-0000A1CD0000}"/>
    <cellStyle name="Normal 4 3 4 5 3 2 2 4" xfId="45301" xr:uid="{00000000-0005-0000-0000-0000A2CD0000}"/>
    <cellStyle name="Normal 4 3 4 5 3 2 3" xfId="13424" xr:uid="{00000000-0005-0000-0000-0000A3CD0000}"/>
    <cellStyle name="Normal 4 3 4 5 3 2 3 2" xfId="27613" xr:uid="{00000000-0005-0000-0000-0000A4CD0000}"/>
    <cellStyle name="Normal 4 3 4 5 3 2 3 2 2" xfId="59484" xr:uid="{00000000-0005-0000-0000-0000A5CD0000}"/>
    <cellStyle name="Normal 4 3 4 5 3 2 3 3" xfId="45303" xr:uid="{00000000-0005-0000-0000-0000A6CD0000}"/>
    <cellStyle name="Normal 4 3 4 5 3 2 4" xfId="19735" xr:uid="{00000000-0005-0000-0000-0000A7CD0000}"/>
    <cellStyle name="Normal 4 3 4 5 3 2 4 2" xfId="51606" xr:uid="{00000000-0005-0000-0000-0000A8CD0000}"/>
    <cellStyle name="Normal 4 3 4 5 3 2 5" xfId="45300" xr:uid="{00000000-0005-0000-0000-0000A9CD0000}"/>
    <cellStyle name="Normal 4 3 4 5 3 3" xfId="13425" xr:uid="{00000000-0005-0000-0000-0000AACD0000}"/>
    <cellStyle name="Normal 4 3 4 5 3 3 2" xfId="13426" xr:uid="{00000000-0005-0000-0000-0000ABCD0000}"/>
    <cellStyle name="Normal 4 3 4 5 3 3 2 2" xfId="31551" xr:uid="{00000000-0005-0000-0000-0000ACCD0000}"/>
    <cellStyle name="Normal 4 3 4 5 3 3 2 2 2" xfId="63422" xr:uid="{00000000-0005-0000-0000-0000ADCD0000}"/>
    <cellStyle name="Normal 4 3 4 5 3 3 2 3" xfId="45305" xr:uid="{00000000-0005-0000-0000-0000AECD0000}"/>
    <cellStyle name="Normal 4 3 4 5 3 3 3" xfId="23673" xr:uid="{00000000-0005-0000-0000-0000AFCD0000}"/>
    <cellStyle name="Normal 4 3 4 5 3 3 3 2" xfId="55544" xr:uid="{00000000-0005-0000-0000-0000B0CD0000}"/>
    <cellStyle name="Normal 4 3 4 5 3 3 4" xfId="45304" xr:uid="{00000000-0005-0000-0000-0000B1CD0000}"/>
    <cellStyle name="Normal 4 3 4 5 3 4" xfId="13427" xr:uid="{00000000-0005-0000-0000-0000B2CD0000}"/>
    <cellStyle name="Normal 4 3 4 5 3 4 2" xfId="27612" xr:uid="{00000000-0005-0000-0000-0000B3CD0000}"/>
    <cellStyle name="Normal 4 3 4 5 3 4 2 2" xfId="59483" xr:uid="{00000000-0005-0000-0000-0000B4CD0000}"/>
    <cellStyle name="Normal 4 3 4 5 3 4 3" xfId="45306" xr:uid="{00000000-0005-0000-0000-0000B5CD0000}"/>
    <cellStyle name="Normal 4 3 4 5 3 5" xfId="19734" xr:uid="{00000000-0005-0000-0000-0000B6CD0000}"/>
    <cellStyle name="Normal 4 3 4 5 3 5 2" xfId="51605" xr:uid="{00000000-0005-0000-0000-0000B7CD0000}"/>
    <cellStyle name="Normal 4 3 4 5 3 6" xfId="45299" xr:uid="{00000000-0005-0000-0000-0000B8CD0000}"/>
    <cellStyle name="Normal 4 3 4 5 4" xfId="13428" xr:uid="{00000000-0005-0000-0000-0000B9CD0000}"/>
    <cellStyle name="Normal 4 3 4 5 4 2" xfId="13429" xr:uid="{00000000-0005-0000-0000-0000BACD0000}"/>
    <cellStyle name="Normal 4 3 4 5 4 2 2" xfId="13430" xr:uid="{00000000-0005-0000-0000-0000BBCD0000}"/>
    <cellStyle name="Normal 4 3 4 5 4 2 2 2" xfId="31553" xr:uid="{00000000-0005-0000-0000-0000BCCD0000}"/>
    <cellStyle name="Normal 4 3 4 5 4 2 2 2 2" xfId="63424" xr:uid="{00000000-0005-0000-0000-0000BDCD0000}"/>
    <cellStyle name="Normal 4 3 4 5 4 2 2 3" xfId="45309" xr:uid="{00000000-0005-0000-0000-0000BECD0000}"/>
    <cellStyle name="Normal 4 3 4 5 4 2 3" xfId="23675" xr:uid="{00000000-0005-0000-0000-0000BFCD0000}"/>
    <cellStyle name="Normal 4 3 4 5 4 2 3 2" xfId="55546" xr:uid="{00000000-0005-0000-0000-0000C0CD0000}"/>
    <cellStyle name="Normal 4 3 4 5 4 2 4" xfId="45308" xr:uid="{00000000-0005-0000-0000-0000C1CD0000}"/>
    <cellStyle name="Normal 4 3 4 5 4 3" xfId="13431" xr:uid="{00000000-0005-0000-0000-0000C2CD0000}"/>
    <cellStyle name="Normal 4 3 4 5 4 3 2" xfId="27614" xr:uid="{00000000-0005-0000-0000-0000C3CD0000}"/>
    <cellStyle name="Normal 4 3 4 5 4 3 2 2" xfId="59485" xr:uid="{00000000-0005-0000-0000-0000C4CD0000}"/>
    <cellStyle name="Normal 4 3 4 5 4 3 3" xfId="45310" xr:uid="{00000000-0005-0000-0000-0000C5CD0000}"/>
    <cellStyle name="Normal 4 3 4 5 4 4" xfId="19736" xr:uid="{00000000-0005-0000-0000-0000C6CD0000}"/>
    <cellStyle name="Normal 4 3 4 5 4 4 2" xfId="51607" xr:uid="{00000000-0005-0000-0000-0000C7CD0000}"/>
    <cellStyle name="Normal 4 3 4 5 4 5" xfId="45307" xr:uid="{00000000-0005-0000-0000-0000C8CD0000}"/>
    <cellStyle name="Normal 4 3 4 5 5" xfId="13432" xr:uid="{00000000-0005-0000-0000-0000C9CD0000}"/>
    <cellStyle name="Normal 4 3 4 5 5 2" xfId="13433" xr:uid="{00000000-0005-0000-0000-0000CACD0000}"/>
    <cellStyle name="Normal 4 3 4 5 5 2 2" xfId="31546" xr:uid="{00000000-0005-0000-0000-0000CBCD0000}"/>
    <cellStyle name="Normal 4 3 4 5 5 2 2 2" xfId="63417" xr:uid="{00000000-0005-0000-0000-0000CCCD0000}"/>
    <cellStyle name="Normal 4 3 4 5 5 2 3" xfId="45312" xr:uid="{00000000-0005-0000-0000-0000CDCD0000}"/>
    <cellStyle name="Normal 4 3 4 5 5 3" xfId="23668" xr:uid="{00000000-0005-0000-0000-0000CECD0000}"/>
    <cellStyle name="Normal 4 3 4 5 5 3 2" xfId="55539" xr:uid="{00000000-0005-0000-0000-0000CFCD0000}"/>
    <cellStyle name="Normal 4 3 4 5 5 4" xfId="45311" xr:uid="{00000000-0005-0000-0000-0000D0CD0000}"/>
    <cellStyle name="Normal 4 3 4 5 6" xfId="13434" xr:uid="{00000000-0005-0000-0000-0000D1CD0000}"/>
    <cellStyle name="Normal 4 3 4 5 6 2" xfId="27607" xr:uid="{00000000-0005-0000-0000-0000D2CD0000}"/>
    <cellStyle name="Normal 4 3 4 5 6 2 2" xfId="59478" xr:uid="{00000000-0005-0000-0000-0000D3CD0000}"/>
    <cellStyle name="Normal 4 3 4 5 6 3" xfId="45313" xr:uid="{00000000-0005-0000-0000-0000D4CD0000}"/>
    <cellStyle name="Normal 4 3 4 5 7" xfId="19729" xr:uid="{00000000-0005-0000-0000-0000D5CD0000}"/>
    <cellStyle name="Normal 4 3 4 5 7 2" xfId="51600" xr:uid="{00000000-0005-0000-0000-0000D6CD0000}"/>
    <cellStyle name="Normal 4 3 4 5 8" xfId="45282" xr:uid="{00000000-0005-0000-0000-0000D7CD0000}"/>
    <cellStyle name="Normal 4 3 4 6" xfId="13435" xr:uid="{00000000-0005-0000-0000-0000D8CD0000}"/>
    <cellStyle name="Normal 4 3 4 6 2" xfId="13436" xr:uid="{00000000-0005-0000-0000-0000D9CD0000}"/>
    <cellStyle name="Normal 4 3 4 6 2 2" xfId="13437" xr:uid="{00000000-0005-0000-0000-0000DACD0000}"/>
    <cellStyle name="Normal 4 3 4 6 2 2 2" xfId="13438" xr:uid="{00000000-0005-0000-0000-0000DBCD0000}"/>
    <cellStyle name="Normal 4 3 4 6 2 2 2 2" xfId="13439" xr:uid="{00000000-0005-0000-0000-0000DCCD0000}"/>
    <cellStyle name="Normal 4 3 4 6 2 2 2 2 2" xfId="31556" xr:uid="{00000000-0005-0000-0000-0000DDCD0000}"/>
    <cellStyle name="Normal 4 3 4 6 2 2 2 2 2 2" xfId="63427" xr:uid="{00000000-0005-0000-0000-0000DECD0000}"/>
    <cellStyle name="Normal 4 3 4 6 2 2 2 2 3" xfId="45318" xr:uid="{00000000-0005-0000-0000-0000DFCD0000}"/>
    <cellStyle name="Normal 4 3 4 6 2 2 2 3" xfId="23678" xr:uid="{00000000-0005-0000-0000-0000E0CD0000}"/>
    <cellStyle name="Normal 4 3 4 6 2 2 2 3 2" xfId="55549" xr:uid="{00000000-0005-0000-0000-0000E1CD0000}"/>
    <cellStyle name="Normal 4 3 4 6 2 2 2 4" xfId="45317" xr:uid="{00000000-0005-0000-0000-0000E2CD0000}"/>
    <cellStyle name="Normal 4 3 4 6 2 2 3" xfId="13440" xr:uid="{00000000-0005-0000-0000-0000E3CD0000}"/>
    <cellStyle name="Normal 4 3 4 6 2 2 3 2" xfId="27617" xr:uid="{00000000-0005-0000-0000-0000E4CD0000}"/>
    <cellStyle name="Normal 4 3 4 6 2 2 3 2 2" xfId="59488" xr:uid="{00000000-0005-0000-0000-0000E5CD0000}"/>
    <cellStyle name="Normal 4 3 4 6 2 2 3 3" xfId="45319" xr:uid="{00000000-0005-0000-0000-0000E6CD0000}"/>
    <cellStyle name="Normal 4 3 4 6 2 2 4" xfId="19739" xr:uid="{00000000-0005-0000-0000-0000E7CD0000}"/>
    <cellStyle name="Normal 4 3 4 6 2 2 4 2" xfId="51610" xr:uid="{00000000-0005-0000-0000-0000E8CD0000}"/>
    <cellStyle name="Normal 4 3 4 6 2 2 5" xfId="45316" xr:uid="{00000000-0005-0000-0000-0000E9CD0000}"/>
    <cellStyle name="Normal 4 3 4 6 2 3" xfId="13441" xr:uid="{00000000-0005-0000-0000-0000EACD0000}"/>
    <cellStyle name="Normal 4 3 4 6 2 3 2" xfId="13442" xr:uid="{00000000-0005-0000-0000-0000EBCD0000}"/>
    <cellStyle name="Normal 4 3 4 6 2 3 2 2" xfId="31555" xr:uid="{00000000-0005-0000-0000-0000ECCD0000}"/>
    <cellStyle name="Normal 4 3 4 6 2 3 2 2 2" xfId="63426" xr:uid="{00000000-0005-0000-0000-0000EDCD0000}"/>
    <cellStyle name="Normal 4 3 4 6 2 3 2 3" xfId="45321" xr:uid="{00000000-0005-0000-0000-0000EECD0000}"/>
    <cellStyle name="Normal 4 3 4 6 2 3 3" xfId="23677" xr:uid="{00000000-0005-0000-0000-0000EFCD0000}"/>
    <cellStyle name="Normal 4 3 4 6 2 3 3 2" xfId="55548" xr:uid="{00000000-0005-0000-0000-0000F0CD0000}"/>
    <cellStyle name="Normal 4 3 4 6 2 3 4" xfId="45320" xr:uid="{00000000-0005-0000-0000-0000F1CD0000}"/>
    <cellStyle name="Normal 4 3 4 6 2 4" xfId="13443" xr:uid="{00000000-0005-0000-0000-0000F2CD0000}"/>
    <cellStyle name="Normal 4 3 4 6 2 4 2" xfId="27616" xr:uid="{00000000-0005-0000-0000-0000F3CD0000}"/>
    <cellStyle name="Normal 4 3 4 6 2 4 2 2" xfId="59487" xr:uid="{00000000-0005-0000-0000-0000F4CD0000}"/>
    <cellStyle name="Normal 4 3 4 6 2 4 3" xfId="45322" xr:uid="{00000000-0005-0000-0000-0000F5CD0000}"/>
    <cellStyle name="Normal 4 3 4 6 2 5" xfId="19738" xr:uid="{00000000-0005-0000-0000-0000F6CD0000}"/>
    <cellStyle name="Normal 4 3 4 6 2 5 2" xfId="51609" xr:uid="{00000000-0005-0000-0000-0000F7CD0000}"/>
    <cellStyle name="Normal 4 3 4 6 2 6" xfId="45315" xr:uid="{00000000-0005-0000-0000-0000F8CD0000}"/>
    <cellStyle name="Normal 4 3 4 6 3" xfId="13444" xr:uid="{00000000-0005-0000-0000-0000F9CD0000}"/>
    <cellStyle name="Normal 4 3 4 6 3 2" xfId="13445" xr:uid="{00000000-0005-0000-0000-0000FACD0000}"/>
    <cellStyle name="Normal 4 3 4 6 3 2 2" xfId="13446" xr:uid="{00000000-0005-0000-0000-0000FBCD0000}"/>
    <cellStyle name="Normal 4 3 4 6 3 2 2 2" xfId="31557" xr:uid="{00000000-0005-0000-0000-0000FCCD0000}"/>
    <cellStyle name="Normal 4 3 4 6 3 2 2 2 2" xfId="63428" xr:uid="{00000000-0005-0000-0000-0000FDCD0000}"/>
    <cellStyle name="Normal 4 3 4 6 3 2 2 3" xfId="45325" xr:uid="{00000000-0005-0000-0000-0000FECD0000}"/>
    <cellStyle name="Normal 4 3 4 6 3 2 3" xfId="23679" xr:uid="{00000000-0005-0000-0000-0000FFCD0000}"/>
    <cellStyle name="Normal 4 3 4 6 3 2 3 2" xfId="55550" xr:uid="{00000000-0005-0000-0000-000000CE0000}"/>
    <cellStyle name="Normal 4 3 4 6 3 2 4" xfId="45324" xr:uid="{00000000-0005-0000-0000-000001CE0000}"/>
    <cellStyle name="Normal 4 3 4 6 3 3" xfId="13447" xr:uid="{00000000-0005-0000-0000-000002CE0000}"/>
    <cellStyle name="Normal 4 3 4 6 3 3 2" xfId="27618" xr:uid="{00000000-0005-0000-0000-000003CE0000}"/>
    <cellStyle name="Normal 4 3 4 6 3 3 2 2" xfId="59489" xr:uid="{00000000-0005-0000-0000-000004CE0000}"/>
    <cellStyle name="Normal 4 3 4 6 3 3 3" xfId="45326" xr:uid="{00000000-0005-0000-0000-000005CE0000}"/>
    <cellStyle name="Normal 4 3 4 6 3 4" xfId="19740" xr:uid="{00000000-0005-0000-0000-000006CE0000}"/>
    <cellStyle name="Normal 4 3 4 6 3 4 2" xfId="51611" xr:uid="{00000000-0005-0000-0000-000007CE0000}"/>
    <cellStyle name="Normal 4 3 4 6 3 5" xfId="45323" xr:uid="{00000000-0005-0000-0000-000008CE0000}"/>
    <cellStyle name="Normal 4 3 4 6 4" xfId="13448" xr:uid="{00000000-0005-0000-0000-000009CE0000}"/>
    <cellStyle name="Normal 4 3 4 6 4 2" xfId="13449" xr:uid="{00000000-0005-0000-0000-00000ACE0000}"/>
    <cellStyle name="Normal 4 3 4 6 4 2 2" xfId="31554" xr:uid="{00000000-0005-0000-0000-00000BCE0000}"/>
    <cellStyle name="Normal 4 3 4 6 4 2 2 2" xfId="63425" xr:uid="{00000000-0005-0000-0000-00000CCE0000}"/>
    <cellStyle name="Normal 4 3 4 6 4 2 3" xfId="45328" xr:uid="{00000000-0005-0000-0000-00000DCE0000}"/>
    <cellStyle name="Normal 4 3 4 6 4 3" xfId="23676" xr:uid="{00000000-0005-0000-0000-00000ECE0000}"/>
    <cellStyle name="Normal 4 3 4 6 4 3 2" xfId="55547" xr:uid="{00000000-0005-0000-0000-00000FCE0000}"/>
    <cellStyle name="Normal 4 3 4 6 4 4" xfId="45327" xr:uid="{00000000-0005-0000-0000-000010CE0000}"/>
    <cellStyle name="Normal 4 3 4 6 5" xfId="13450" xr:uid="{00000000-0005-0000-0000-000011CE0000}"/>
    <cellStyle name="Normal 4 3 4 6 5 2" xfId="27615" xr:uid="{00000000-0005-0000-0000-000012CE0000}"/>
    <cellStyle name="Normal 4 3 4 6 5 2 2" xfId="59486" xr:uid="{00000000-0005-0000-0000-000013CE0000}"/>
    <cellStyle name="Normal 4 3 4 6 5 3" xfId="45329" xr:uid="{00000000-0005-0000-0000-000014CE0000}"/>
    <cellStyle name="Normal 4 3 4 6 6" xfId="19737" xr:uid="{00000000-0005-0000-0000-000015CE0000}"/>
    <cellStyle name="Normal 4 3 4 6 6 2" xfId="51608" xr:uid="{00000000-0005-0000-0000-000016CE0000}"/>
    <cellStyle name="Normal 4 3 4 6 7" xfId="45314" xr:uid="{00000000-0005-0000-0000-000017CE0000}"/>
    <cellStyle name="Normal 4 3 4 7" xfId="13451" xr:uid="{00000000-0005-0000-0000-000018CE0000}"/>
    <cellStyle name="Normal 4 3 4 7 2" xfId="13452" xr:uid="{00000000-0005-0000-0000-000019CE0000}"/>
    <cellStyle name="Normal 4 3 4 7 2 2" xfId="13453" xr:uid="{00000000-0005-0000-0000-00001ACE0000}"/>
    <cellStyle name="Normal 4 3 4 7 2 2 2" xfId="13454" xr:uid="{00000000-0005-0000-0000-00001BCE0000}"/>
    <cellStyle name="Normal 4 3 4 7 2 2 2 2" xfId="31559" xr:uid="{00000000-0005-0000-0000-00001CCE0000}"/>
    <cellStyle name="Normal 4 3 4 7 2 2 2 2 2" xfId="63430" xr:uid="{00000000-0005-0000-0000-00001DCE0000}"/>
    <cellStyle name="Normal 4 3 4 7 2 2 2 3" xfId="45333" xr:uid="{00000000-0005-0000-0000-00001ECE0000}"/>
    <cellStyle name="Normal 4 3 4 7 2 2 3" xfId="23681" xr:uid="{00000000-0005-0000-0000-00001FCE0000}"/>
    <cellStyle name="Normal 4 3 4 7 2 2 3 2" xfId="55552" xr:uid="{00000000-0005-0000-0000-000020CE0000}"/>
    <cellStyle name="Normal 4 3 4 7 2 2 4" xfId="45332" xr:uid="{00000000-0005-0000-0000-000021CE0000}"/>
    <cellStyle name="Normal 4 3 4 7 2 3" xfId="13455" xr:uid="{00000000-0005-0000-0000-000022CE0000}"/>
    <cellStyle name="Normal 4 3 4 7 2 3 2" xfId="27620" xr:uid="{00000000-0005-0000-0000-000023CE0000}"/>
    <cellStyle name="Normal 4 3 4 7 2 3 2 2" xfId="59491" xr:uid="{00000000-0005-0000-0000-000024CE0000}"/>
    <cellStyle name="Normal 4 3 4 7 2 3 3" xfId="45334" xr:uid="{00000000-0005-0000-0000-000025CE0000}"/>
    <cellStyle name="Normal 4 3 4 7 2 4" xfId="19742" xr:uid="{00000000-0005-0000-0000-000026CE0000}"/>
    <cellStyle name="Normal 4 3 4 7 2 4 2" xfId="51613" xr:uid="{00000000-0005-0000-0000-000027CE0000}"/>
    <cellStyle name="Normal 4 3 4 7 2 5" xfId="45331" xr:uid="{00000000-0005-0000-0000-000028CE0000}"/>
    <cellStyle name="Normal 4 3 4 7 3" xfId="13456" xr:uid="{00000000-0005-0000-0000-000029CE0000}"/>
    <cellStyle name="Normal 4 3 4 7 3 2" xfId="13457" xr:uid="{00000000-0005-0000-0000-00002ACE0000}"/>
    <cellStyle name="Normal 4 3 4 7 3 2 2" xfId="31558" xr:uid="{00000000-0005-0000-0000-00002BCE0000}"/>
    <cellStyle name="Normal 4 3 4 7 3 2 2 2" xfId="63429" xr:uid="{00000000-0005-0000-0000-00002CCE0000}"/>
    <cellStyle name="Normal 4 3 4 7 3 2 3" xfId="45336" xr:uid="{00000000-0005-0000-0000-00002DCE0000}"/>
    <cellStyle name="Normal 4 3 4 7 3 3" xfId="23680" xr:uid="{00000000-0005-0000-0000-00002ECE0000}"/>
    <cellStyle name="Normal 4 3 4 7 3 3 2" xfId="55551" xr:uid="{00000000-0005-0000-0000-00002FCE0000}"/>
    <cellStyle name="Normal 4 3 4 7 3 4" xfId="45335" xr:uid="{00000000-0005-0000-0000-000030CE0000}"/>
    <cellStyle name="Normal 4 3 4 7 4" xfId="13458" xr:uid="{00000000-0005-0000-0000-000031CE0000}"/>
    <cellStyle name="Normal 4 3 4 7 4 2" xfId="27619" xr:uid="{00000000-0005-0000-0000-000032CE0000}"/>
    <cellStyle name="Normal 4 3 4 7 4 2 2" xfId="59490" xr:uid="{00000000-0005-0000-0000-000033CE0000}"/>
    <cellStyle name="Normal 4 3 4 7 4 3" xfId="45337" xr:uid="{00000000-0005-0000-0000-000034CE0000}"/>
    <cellStyle name="Normal 4 3 4 7 5" xfId="19741" xr:uid="{00000000-0005-0000-0000-000035CE0000}"/>
    <cellStyle name="Normal 4 3 4 7 5 2" xfId="51612" xr:uid="{00000000-0005-0000-0000-000036CE0000}"/>
    <cellStyle name="Normal 4 3 4 7 6" xfId="45330" xr:uid="{00000000-0005-0000-0000-000037CE0000}"/>
    <cellStyle name="Normal 4 3 4 8" xfId="13459" xr:uid="{00000000-0005-0000-0000-000038CE0000}"/>
    <cellStyle name="Normal 4 3 4 8 2" xfId="13460" xr:uid="{00000000-0005-0000-0000-000039CE0000}"/>
    <cellStyle name="Normal 4 3 4 8 2 2" xfId="13461" xr:uid="{00000000-0005-0000-0000-00003ACE0000}"/>
    <cellStyle name="Normal 4 3 4 8 2 2 2" xfId="31560" xr:uid="{00000000-0005-0000-0000-00003BCE0000}"/>
    <cellStyle name="Normal 4 3 4 8 2 2 2 2" xfId="63431" xr:uid="{00000000-0005-0000-0000-00003CCE0000}"/>
    <cellStyle name="Normal 4 3 4 8 2 2 3" xfId="45340" xr:uid="{00000000-0005-0000-0000-00003DCE0000}"/>
    <cellStyle name="Normal 4 3 4 8 2 3" xfId="23682" xr:uid="{00000000-0005-0000-0000-00003ECE0000}"/>
    <cellStyle name="Normal 4 3 4 8 2 3 2" xfId="55553" xr:uid="{00000000-0005-0000-0000-00003FCE0000}"/>
    <cellStyle name="Normal 4 3 4 8 2 4" xfId="45339" xr:uid="{00000000-0005-0000-0000-000040CE0000}"/>
    <cellStyle name="Normal 4 3 4 8 3" xfId="13462" xr:uid="{00000000-0005-0000-0000-000041CE0000}"/>
    <cellStyle name="Normal 4 3 4 8 3 2" xfId="27621" xr:uid="{00000000-0005-0000-0000-000042CE0000}"/>
    <cellStyle name="Normal 4 3 4 8 3 2 2" xfId="59492" xr:uid="{00000000-0005-0000-0000-000043CE0000}"/>
    <cellStyle name="Normal 4 3 4 8 3 3" xfId="45341" xr:uid="{00000000-0005-0000-0000-000044CE0000}"/>
    <cellStyle name="Normal 4 3 4 8 4" xfId="19743" xr:uid="{00000000-0005-0000-0000-000045CE0000}"/>
    <cellStyle name="Normal 4 3 4 8 4 2" xfId="51614" xr:uid="{00000000-0005-0000-0000-000046CE0000}"/>
    <cellStyle name="Normal 4 3 4 8 5" xfId="45338" xr:uid="{00000000-0005-0000-0000-000047CE0000}"/>
    <cellStyle name="Normal 4 3 4 9" xfId="13463" xr:uid="{00000000-0005-0000-0000-000048CE0000}"/>
    <cellStyle name="Normal 4 3 4 9 2" xfId="13464" xr:uid="{00000000-0005-0000-0000-000049CE0000}"/>
    <cellStyle name="Normal 4 3 4 9 2 2" xfId="28281" xr:uid="{00000000-0005-0000-0000-00004ACE0000}"/>
    <cellStyle name="Normal 4 3 4 9 2 2 2" xfId="60152" xr:uid="{00000000-0005-0000-0000-00004BCE0000}"/>
    <cellStyle name="Normal 4 3 4 9 2 3" xfId="45343" xr:uid="{00000000-0005-0000-0000-00004CCE0000}"/>
    <cellStyle name="Normal 4 3 4 9 3" xfId="20403" xr:uid="{00000000-0005-0000-0000-00004DCE0000}"/>
    <cellStyle name="Normal 4 3 4 9 3 2" xfId="52274" xr:uid="{00000000-0005-0000-0000-00004ECE0000}"/>
    <cellStyle name="Normal 4 3 4 9 4" xfId="45342" xr:uid="{00000000-0005-0000-0000-00004FCE0000}"/>
    <cellStyle name="Normal 4 3 5" xfId="13465" xr:uid="{00000000-0005-0000-0000-000050CE0000}"/>
    <cellStyle name="Normal 4 3 5 10" xfId="45344" xr:uid="{00000000-0005-0000-0000-000051CE0000}"/>
    <cellStyle name="Normal 4 3 5 2" xfId="13466" xr:uid="{00000000-0005-0000-0000-000052CE0000}"/>
    <cellStyle name="Normal 4 3 5 2 2" xfId="13467" xr:uid="{00000000-0005-0000-0000-000053CE0000}"/>
    <cellStyle name="Normal 4 3 5 2 2 2" xfId="13468" xr:uid="{00000000-0005-0000-0000-000054CE0000}"/>
    <cellStyle name="Normal 4 3 5 2 2 2 2" xfId="13469" xr:uid="{00000000-0005-0000-0000-000055CE0000}"/>
    <cellStyle name="Normal 4 3 5 2 2 2 2 2" xfId="13470" xr:uid="{00000000-0005-0000-0000-000056CE0000}"/>
    <cellStyle name="Normal 4 3 5 2 2 2 2 2 2" xfId="13471" xr:uid="{00000000-0005-0000-0000-000057CE0000}"/>
    <cellStyle name="Normal 4 3 5 2 2 2 2 2 2 2" xfId="13472" xr:uid="{00000000-0005-0000-0000-000058CE0000}"/>
    <cellStyle name="Normal 4 3 5 2 2 2 2 2 2 2 2" xfId="31564" xr:uid="{00000000-0005-0000-0000-000059CE0000}"/>
    <cellStyle name="Normal 4 3 5 2 2 2 2 2 2 2 2 2" xfId="63435" xr:uid="{00000000-0005-0000-0000-00005ACE0000}"/>
    <cellStyle name="Normal 4 3 5 2 2 2 2 2 2 2 3" xfId="45351" xr:uid="{00000000-0005-0000-0000-00005BCE0000}"/>
    <cellStyle name="Normal 4 3 5 2 2 2 2 2 2 3" xfId="23686" xr:uid="{00000000-0005-0000-0000-00005CCE0000}"/>
    <cellStyle name="Normal 4 3 5 2 2 2 2 2 2 3 2" xfId="55557" xr:uid="{00000000-0005-0000-0000-00005DCE0000}"/>
    <cellStyle name="Normal 4 3 5 2 2 2 2 2 2 4" xfId="45350" xr:uid="{00000000-0005-0000-0000-00005ECE0000}"/>
    <cellStyle name="Normal 4 3 5 2 2 2 2 2 3" xfId="13473" xr:uid="{00000000-0005-0000-0000-00005FCE0000}"/>
    <cellStyle name="Normal 4 3 5 2 2 2 2 2 3 2" xfId="27625" xr:uid="{00000000-0005-0000-0000-000060CE0000}"/>
    <cellStyle name="Normal 4 3 5 2 2 2 2 2 3 2 2" xfId="59496" xr:uid="{00000000-0005-0000-0000-000061CE0000}"/>
    <cellStyle name="Normal 4 3 5 2 2 2 2 2 3 3" xfId="45352" xr:uid="{00000000-0005-0000-0000-000062CE0000}"/>
    <cellStyle name="Normal 4 3 5 2 2 2 2 2 4" xfId="19747" xr:uid="{00000000-0005-0000-0000-000063CE0000}"/>
    <cellStyle name="Normal 4 3 5 2 2 2 2 2 4 2" xfId="51618" xr:uid="{00000000-0005-0000-0000-000064CE0000}"/>
    <cellStyle name="Normal 4 3 5 2 2 2 2 2 5" xfId="45349" xr:uid="{00000000-0005-0000-0000-000065CE0000}"/>
    <cellStyle name="Normal 4 3 5 2 2 2 2 3" xfId="13474" xr:uid="{00000000-0005-0000-0000-000066CE0000}"/>
    <cellStyle name="Normal 4 3 5 2 2 2 2 3 2" xfId="13475" xr:uid="{00000000-0005-0000-0000-000067CE0000}"/>
    <cellStyle name="Normal 4 3 5 2 2 2 2 3 2 2" xfId="31563" xr:uid="{00000000-0005-0000-0000-000068CE0000}"/>
    <cellStyle name="Normal 4 3 5 2 2 2 2 3 2 2 2" xfId="63434" xr:uid="{00000000-0005-0000-0000-000069CE0000}"/>
    <cellStyle name="Normal 4 3 5 2 2 2 2 3 2 3" xfId="45354" xr:uid="{00000000-0005-0000-0000-00006ACE0000}"/>
    <cellStyle name="Normal 4 3 5 2 2 2 2 3 3" xfId="23685" xr:uid="{00000000-0005-0000-0000-00006BCE0000}"/>
    <cellStyle name="Normal 4 3 5 2 2 2 2 3 3 2" xfId="55556" xr:uid="{00000000-0005-0000-0000-00006CCE0000}"/>
    <cellStyle name="Normal 4 3 5 2 2 2 2 3 4" xfId="45353" xr:uid="{00000000-0005-0000-0000-00006DCE0000}"/>
    <cellStyle name="Normal 4 3 5 2 2 2 2 4" xfId="13476" xr:uid="{00000000-0005-0000-0000-00006ECE0000}"/>
    <cellStyle name="Normal 4 3 5 2 2 2 2 4 2" xfId="27624" xr:uid="{00000000-0005-0000-0000-00006FCE0000}"/>
    <cellStyle name="Normal 4 3 5 2 2 2 2 4 2 2" xfId="59495" xr:uid="{00000000-0005-0000-0000-000070CE0000}"/>
    <cellStyle name="Normal 4 3 5 2 2 2 2 4 3" xfId="45355" xr:uid="{00000000-0005-0000-0000-000071CE0000}"/>
    <cellStyle name="Normal 4 3 5 2 2 2 2 5" xfId="19746" xr:uid="{00000000-0005-0000-0000-000072CE0000}"/>
    <cellStyle name="Normal 4 3 5 2 2 2 2 5 2" xfId="51617" xr:uid="{00000000-0005-0000-0000-000073CE0000}"/>
    <cellStyle name="Normal 4 3 5 2 2 2 2 6" xfId="45348" xr:uid="{00000000-0005-0000-0000-000074CE0000}"/>
    <cellStyle name="Normal 4 3 5 2 2 2 3" xfId="13477" xr:uid="{00000000-0005-0000-0000-000075CE0000}"/>
    <cellStyle name="Normal 4 3 5 2 2 2 3 2" xfId="13478" xr:uid="{00000000-0005-0000-0000-000076CE0000}"/>
    <cellStyle name="Normal 4 3 5 2 2 2 3 2 2" xfId="13479" xr:uid="{00000000-0005-0000-0000-000077CE0000}"/>
    <cellStyle name="Normal 4 3 5 2 2 2 3 2 2 2" xfId="31565" xr:uid="{00000000-0005-0000-0000-000078CE0000}"/>
    <cellStyle name="Normal 4 3 5 2 2 2 3 2 2 2 2" xfId="63436" xr:uid="{00000000-0005-0000-0000-000079CE0000}"/>
    <cellStyle name="Normal 4 3 5 2 2 2 3 2 2 3" xfId="45358" xr:uid="{00000000-0005-0000-0000-00007ACE0000}"/>
    <cellStyle name="Normal 4 3 5 2 2 2 3 2 3" xfId="23687" xr:uid="{00000000-0005-0000-0000-00007BCE0000}"/>
    <cellStyle name="Normal 4 3 5 2 2 2 3 2 3 2" xfId="55558" xr:uid="{00000000-0005-0000-0000-00007CCE0000}"/>
    <cellStyle name="Normal 4 3 5 2 2 2 3 2 4" xfId="45357" xr:uid="{00000000-0005-0000-0000-00007DCE0000}"/>
    <cellStyle name="Normal 4 3 5 2 2 2 3 3" xfId="13480" xr:uid="{00000000-0005-0000-0000-00007ECE0000}"/>
    <cellStyle name="Normal 4 3 5 2 2 2 3 3 2" xfId="27626" xr:uid="{00000000-0005-0000-0000-00007FCE0000}"/>
    <cellStyle name="Normal 4 3 5 2 2 2 3 3 2 2" xfId="59497" xr:uid="{00000000-0005-0000-0000-000080CE0000}"/>
    <cellStyle name="Normal 4 3 5 2 2 2 3 3 3" xfId="45359" xr:uid="{00000000-0005-0000-0000-000081CE0000}"/>
    <cellStyle name="Normal 4 3 5 2 2 2 3 4" xfId="19748" xr:uid="{00000000-0005-0000-0000-000082CE0000}"/>
    <cellStyle name="Normal 4 3 5 2 2 2 3 4 2" xfId="51619" xr:uid="{00000000-0005-0000-0000-000083CE0000}"/>
    <cellStyle name="Normal 4 3 5 2 2 2 3 5" xfId="45356" xr:uid="{00000000-0005-0000-0000-000084CE0000}"/>
    <cellStyle name="Normal 4 3 5 2 2 2 4" xfId="13481" xr:uid="{00000000-0005-0000-0000-000085CE0000}"/>
    <cellStyle name="Normal 4 3 5 2 2 2 4 2" xfId="13482" xr:uid="{00000000-0005-0000-0000-000086CE0000}"/>
    <cellStyle name="Normal 4 3 5 2 2 2 4 2 2" xfId="31562" xr:uid="{00000000-0005-0000-0000-000087CE0000}"/>
    <cellStyle name="Normal 4 3 5 2 2 2 4 2 2 2" xfId="63433" xr:uid="{00000000-0005-0000-0000-000088CE0000}"/>
    <cellStyle name="Normal 4 3 5 2 2 2 4 2 3" xfId="45361" xr:uid="{00000000-0005-0000-0000-000089CE0000}"/>
    <cellStyle name="Normal 4 3 5 2 2 2 4 3" xfId="23684" xr:uid="{00000000-0005-0000-0000-00008ACE0000}"/>
    <cellStyle name="Normal 4 3 5 2 2 2 4 3 2" xfId="55555" xr:uid="{00000000-0005-0000-0000-00008BCE0000}"/>
    <cellStyle name="Normal 4 3 5 2 2 2 4 4" xfId="45360" xr:uid="{00000000-0005-0000-0000-00008CCE0000}"/>
    <cellStyle name="Normal 4 3 5 2 2 2 5" xfId="13483" xr:uid="{00000000-0005-0000-0000-00008DCE0000}"/>
    <cellStyle name="Normal 4 3 5 2 2 2 5 2" xfId="27623" xr:uid="{00000000-0005-0000-0000-00008ECE0000}"/>
    <cellStyle name="Normal 4 3 5 2 2 2 5 2 2" xfId="59494" xr:uid="{00000000-0005-0000-0000-00008FCE0000}"/>
    <cellStyle name="Normal 4 3 5 2 2 2 5 3" xfId="45362" xr:uid="{00000000-0005-0000-0000-000090CE0000}"/>
    <cellStyle name="Normal 4 3 5 2 2 2 6" xfId="19745" xr:uid="{00000000-0005-0000-0000-000091CE0000}"/>
    <cellStyle name="Normal 4 3 5 2 2 2 6 2" xfId="51616" xr:uid="{00000000-0005-0000-0000-000092CE0000}"/>
    <cellStyle name="Normal 4 3 5 2 2 2 7" xfId="45347" xr:uid="{00000000-0005-0000-0000-000093CE0000}"/>
    <cellStyle name="Normal 4 3 5 2 2 3" xfId="13484" xr:uid="{00000000-0005-0000-0000-000094CE0000}"/>
    <cellStyle name="Normal 4 3 5 2 2 3 2" xfId="13485" xr:uid="{00000000-0005-0000-0000-000095CE0000}"/>
    <cellStyle name="Normal 4 3 5 2 2 3 2 2" xfId="13486" xr:uid="{00000000-0005-0000-0000-000096CE0000}"/>
    <cellStyle name="Normal 4 3 5 2 2 3 2 2 2" xfId="13487" xr:uid="{00000000-0005-0000-0000-000097CE0000}"/>
    <cellStyle name="Normal 4 3 5 2 2 3 2 2 2 2" xfId="31567" xr:uid="{00000000-0005-0000-0000-000098CE0000}"/>
    <cellStyle name="Normal 4 3 5 2 2 3 2 2 2 2 2" xfId="63438" xr:uid="{00000000-0005-0000-0000-000099CE0000}"/>
    <cellStyle name="Normal 4 3 5 2 2 3 2 2 2 3" xfId="45366" xr:uid="{00000000-0005-0000-0000-00009ACE0000}"/>
    <cellStyle name="Normal 4 3 5 2 2 3 2 2 3" xfId="23689" xr:uid="{00000000-0005-0000-0000-00009BCE0000}"/>
    <cellStyle name="Normal 4 3 5 2 2 3 2 2 3 2" xfId="55560" xr:uid="{00000000-0005-0000-0000-00009CCE0000}"/>
    <cellStyle name="Normal 4 3 5 2 2 3 2 2 4" xfId="45365" xr:uid="{00000000-0005-0000-0000-00009DCE0000}"/>
    <cellStyle name="Normal 4 3 5 2 2 3 2 3" xfId="13488" xr:uid="{00000000-0005-0000-0000-00009ECE0000}"/>
    <cellStyle name="Normal 4 3 5 2 2 3 2 3 2" xfId="27628" xr:uid="{00000000-0005-0000-0000-00009FCE0000}"/>
    <cellStyle name="Normal 4 3 5 2 2 3 2 3 2 2" xfId="59499" xr:uid="{00000000-0005-0000-0000-0000A0CE0000}"/>
    <cellStyle name="Normal 4 3 5 2 2 3 2 3 3" xfId="45367" xr:uid="{00000000-0005-0000-0000-0000A1CE0000}"/>
    <cellStyle name="Normal 4 3 5 2 2 3 2 4" xfId="19750" xr:uid="{00000000-0005-0000-0000-0000A2CE0000}"/>
    <cellStyle name="Normal 4 3 5 2 2 3 2 4 2" xfId="51621" xr:uid="{00000000-0005-0000-0000-0000A3CE0000}"/>
    <cellStyle name="Normal 4 3 5 2 2 3 2 5" xfId="45364" xr:uid="{00000000-0005-0000-0000-0000A4CE0000}"/>
    <cellStyle name="Normal 4 3 5 2 2 3 3" xfId="13489" xr:uid="{00000000-0005-0000-0000-0000A5CE0000}"/>
    <cellStyle name="Normal 4 3 5 2 2 3 3 2" xfId="13490" xr:uid="{00000000-0005-0000-0000-0000A6CE0000}"/>
    <cellStyle name="Normal 4 3 5 2 2 3 3 2 2" xfId="31566" xr:uid="{00000000-0005-0000-0000-0000A7CE0000}"/>
    <cellStyle name="Normal 4 3 5 2 2 3 3 2 2 2" xfId="63437" xr:uid="{00000000-0005-0000-0000-0000A8CE0000}"/>
    <cellStyle name="Normal 4 3 5 2 2 3 3 2 3" xfId="45369" xr:uid="{00000000-0005-0000-0000-0000A9CE0000}"/>
    <cellStyle name="Normal 4 3 5 2 2 3 3 3" xfId="23688" xr:uid="{00000000-0005-0000-0000-0000AACE0000}"/>
    <cellStyle name="Normal 4 3 5 2 2 3 3 3 2" xfId="55559" xr:uid="{00000000-0005-0000-0000-0000ABCE0000}"/>
    <cellStyle name="Normal 4 3 5 2 2 3 3 4" xfId="45368" xr:uid="{00000000-0005-0000-0000-0000ACCE0000}"/>
    <cellStyle name="Normal 4 3 5 2 2 3 4" xfId="13491" xr:uid="{00000000-0005-0000-0000-0000ADCE0000}"/>
    <cellStyle name="Normal 4 3 5 2 2 3 4 2" xfId="27627" xr:uid="{00000000-0005-0000-0000-0000AECE0000}"/>
    <cellStyle name="Normal 4 3 5 2 2 3 4 2 2" xfId="59498" xr:uid="{00000000-0005-0000-0000-0000AFCE0000}"/>
    <cellStyle name="Normal 4 3 5 2 2 3 4 3" xfId="45370" xr:uid="{00000000-0005-0000-0000-0000B0CE0000}"/>
    <cellStyle name="Normal 4 3 5 2 2 3 5" xfId="19749" xr:uid="{00000000-0005-0000-0000-0000B1CE0000}"/>
    <cellStyle name="Normal 4 3 5 2 2 3 5 2" xfId="51620" xr:uid="{00000000-0005-0000-0000-0000B2CE0000}"/>
    <cellStyle name="Normal 4 3 5 2 2 3 6" xfId="45363" xr:uid="{00000000-0005-0000-0000-0000B3CE0000}"/>
    <cellStyle name="Normal 4 3 5 2 2 4" xfId="13492" xr:uid="{00000000-0005-0000-0000-0000B4CE0000}"/>
    <cellStyle name="Normal 4 3 5 2 2 4 2" xfId="13493" xr:uid="{00000000-0005-0000-0000-0000B5CE0000}"/>
    <cellStyle name="Normal 4 3 5 2 2 4 2 2" xfId="13494" xr:uid="{00000000-0005-0000-0000-0000B6CE0000}"/>
    <cellStyle name="Normal 4 3 5 2 2 4 2 2 2" xfId="31568" xr:uid="{00000000-0005-0000-0000-0000B7CE0000}"/>
    <cellStyle name="Normal 4 3 5 2 2 4 2 2 2 2" xfId="63439" xr:uid="{00000000-0005-0000-0000-0000B8CE0000}"/>
    <cellStyle name="Normal 4 3 5 2 2 4 2 2 3" xfId="45373" xr:uid="{00000000-0005-0000-0000-0000B9CE0000}"/>
    <cellStyle name="Normal 4 3 5 2 2 4 2 3" xfId="23690" xr:uid="{00000000-0005-0000-0000-0000BACE0000}"/>
    <cellStyle name="Normal 4 3 5 2 2 4 2 3 2" xfId="55561" xr:uid="{00000000-0005-0000-0000-0000BBCE0000}"/>
    <cellStyle name="Normal 4 3 5 2 2 4 2 4" xfId="45372" xr:uid="{00000000-0005-0000-0000-0000BCCE0000}"/>
    <cellStyle name="Normal 4 3 5 2 2 4 3" xfId="13495" xr:uid="{00000000-0005-0000-0000-0000BDCE0000}"/>
    <cellStyle name="Normal 4 3 5 2 2 4 3 2" xfId="27629" xr:uid="{00000000-0005-0000-0000-0000BECE0000}"/>
    <cellStyle name="Normal 4 3 5 2 2 4 3 2 2" xfId="59500" xr:uid="{00000000-0005-0000-0000-0000BFCE0000}"/>
    <cellStyle name="Normal 4 3 5 2 2 4 3 3" xfId="45374" xr:uid="{00000000-0005-0000-0000-0000C0CE0000}"/>
    <cellStyle name="Normal 4 3 5 2 2 4 4" xfId="19751" xr:uid="{00000000-0005-0000-0000-0000C1CE0000}"/>
    <cellStyle name="Normal 4 3 5 2 2 4 4 2" xfId="51622" xr:uid="{00000000-0005-0000-0000-0000C2CE0000}"/>
    <cellStyle name="Normal 4 3 5 2 2 4 5" xfId="45371" xr:uid="{00000000-0005-0000-0000-0000C3CE0000}"/>
    <cellStyle name="Normal 4 3 5 2 2 5" xfId="13496" xr:uid="{00000000-0005-0000-0000-0000C4CE0000}"/>
    <cellStyle name="Normal 4 3 5 2 2 5 2" xfId="13497" xr:uid="{00000000-0005-0000-0000-0000C5CE0000}"/>
    <cellStyle name="Normal 4 3 5 2 2 5 2 2" xfId="31561" xr:uid="{00000000-0005-0000-0000-0000C6CE0000}"/>
    <cellStyle name="Normal 4 3 5 2 2 5 2 2 2" xfId="63432" xr:uid="{00000000-0005-0000-0000-0000C7CE0000}"/>
    <cellStyle name="Normal 4 3 5 2 2 5 2 3" xfId="45376" xr:uid="{00000000-0005-0000-0000-0000C8CE0000}"/>
    <cellStyle name="Normal 4 3 5 2 2 5 3" xfId="23683" xr:uid="{00000000-0005-0000-0000-0000C9CE0000}"/>
    <cellStyle name="Normal 4 3 5 2 2 5 3 2" xfId="55554" xr:uid="{00000000-0005-0000-0000-0000CACE0000}"/>
    <cellStyle name="Normal 4 3 5 2 2 5 4" xfId="45375" xr:uid="{00000000-0005-0000-0000-0000CBCE0000}"/>
    <cellStyle name="Normal 4 3 5 2 2 6" xfId="13498" xr:uid="{00000000-0005-0000-0000-0000CCCE0000}"/>
    <cellStyle name="Normal 4 3 5 2 2 6 2" xfId="27622" xr:uid="{00000000-0005-0000-0000-0000CDCE0000}"/>
    <cellStyle name="Normal 4 3 5 2 2 6 2 2" xfId="59493" xr:uid="{00000000-0005-0000-0000-0000CECE0000}"/>
    <cellStyle name="Normal 4 3 5 2 2 6 3" xfId="45377" xr:uid="{00000000-0005-0000-0000-0000CFCE0000}"/>
    <cellStyle name="Normal 4 3 5 2 2 7" xfId="19744" xr:uid="{00000000-0005-0000-0000-0000D0CE0000}"/>
    <cellStyle name="Normal 4 3 5 2 2 7 2" xfId="51615" xr:uid="{00000000-0005-0000-0000-0000D1CE0000}"/>
    <cellStyle name="Normal 4 3 5 2 2 8" xfId="45346" xr:uid="{00000000-0005-0000-0000-0000D2CE0000}"/>
    <cellStyle name="Normal 4 3 5 2 3" xfId="13499" xr:uid="{00000000-0005-0000-0000-0000D3CE0000}"/>
    <cellStyle name="Normal 4 3 5 2 3 2" xfId="13500" xr:uid="{00000000-0005-0000-0000-0000D4CE0000}"/>
    <cellStyle name="Normal 4 3 5 2 3 2 2" xfId="13501" xr:uid="{00000000-0005-0000-0000-0000D5CE0000}"/>
    <cellStyle name="Normal 4 3 5 2 3 2 2 2" xfId="13502" xr:uid="{00000000-0005-0000-0000-0000D6CE0000}"/>
    <cellStyle name="Normal 4 3 5 2 3 2 2 2 2" xfId="13503" xr:uid="{00000000-0005-0000-0000-0000D7CE0000}"/>
    <cellStyle name="Normal 4 3 5 2 3 2 2 2 2 2" xfId="31571" xr:uid="{00000000-0005-0000-0000-0000D8CE0000}"/>
    <cellStyle name="Normal 4 3 5 2 3 2 2 2 2 2 2" xfId="63442" xr:uid="{00000000-0005-0000-0000-0000D9CE0000}"/>
    <cellStyle name="Normal 4 3 5 2 3 2 2 2 2 3" xfId="45382" xr:uid="{00000000-0005-0000-0000-0000DACE0000}"/>
    <cellStyle name="Normal 4 3 5 2 3 2 2 2 3" xfId="23693" xr:uid="{00000000-0005-0000-0000-0000DBCE0000}"/>
    <cellStyle name="Normal 4 3 5 2 3 2 2 2 3 2" xfId="55564" xr:uid="{00000000-0005-0000-0000-0000DCCE0000}"/>
    <cellStyle name="Normal 4 3 5 2 3 2 2 2 4" xfId="45381" xr:uid="{00000000-0005-0000-0000-0000DDCE0000}"/>
    <cellStyle name="Normal 4 3 5 2 3 2 2 3" xfId="13504" xr:uid="{00000000-0005-0000-0000-0000DECE0000}"/>
    <cellStyle name="Normal 4 3 5 2 3 2 2 3 2" xfId="27632" xr:uid="{00000000-0005-0000-0000-0000DFCE0000}"/>
    <cellStyle name="Normal 4 3 5 2 3 2 2 3 2 2" xfId="59503" xr:uid="{00000000-0005-0000-0000-0000E0CE0000}"/>
    <cellStyle name="Normal 4 3 5 2 3 2 2 3 3" xfId="45383" xr:uid="{00000000-0005-0000-0000-0000E1CE0000}"/>
    <cellStyle name="Normal 4 3 5 2 3 2 2 4" xfId="19754" xr:uid="{00000000-0005-0000-0000-0000E2CE0000}"/>
    <cellStyle name="Normal 4 3 5 2 3 2 2 4 2" xfId="51625" xr:uid="{00000000-0005-0000-0000-0000E3CE0000}"/>
    <cellStyle name="Normal 4 3 5 2 3 2 2 5" xfId="45380" xr:uid="{00000000-0005-0000-0000-0000E4CE0000}"/>
    <cellStyle name="Normal 4 3 5 2 3 2 3" xfId="13505" xr:uid="{00000000-0005-0000-0000-0000E5CE0000}"/>
    <cellStyle name="Normal 4 3 5 2 3 2 3 2" xfId="13506" xr:uid="{00000000-0005-0000-0000-0000E6CE0000}"/>
    <cellStyle name="Normal 4 3 5 2 3 2 3 2 2" xfId="31570" xr:uid="{00000000-0005-0000-0000-0000E7CE0000}"/>
    <cellStyle name="Normal 4 3 5 2 3 2 3 2 2 2" xfId="63441" xr:uid="{00000000-0005-0000-0000-0000E8CE0000}"/>
    <cellStyle name="Normal 4 3 5 2 3 2 3 2 3" xfId="45385" xr:uid="{00000000-0005-0000-0000-0000E9CE0000}"/>
    <cellStyle name="Normal 4 3 5 2 3 2 3 3" xfId="23692" xr:uid="{00000000-0005-0000-0000-0000EACE0000}"/>
    <cellStyle name="Normal 4 3 5 2 3 2 3 3 2" xfId="55563" xr:uid="{00000000-0005-0000-0000-0000EBCE0000}"/>
    <cellStyle name="Normal 4 3 5 2 3 2 3 4" xfId="45384" xr:uid="{00000000-0005-0000-0000-0000ECCE0000}"/>
    <cellStyle name="Normal 4 3 5 2 3 2 4" xfId="13507" xr:uid="{00000000-0005-0000-0000-0000EDCE0000}"/>
    <cellStyle name="Normal 4 3 5 2 3 2 4 2" xfId="27631" xr:uid="{00000000-0005-0000-0000-0000EECE0000}"/>
    <cellStyle name="Normal 4 3 5 2 3 2 4 2 2" xfId="59502" xr:uid="{00000000-0005-0000-0000-0000EFCE0000}"/>
    <cellStyle name="Normal 4 3 5 2 3 2 4 3" xfId="45386" xr:uid="{00000000-0005-0000-0000-0000F0CE0000}"/>
    <cellStyle name="Normal 4 3 5 2 3 2 5" xfId="19753" xr:uid="{00000000-0005-0000-0000-0000F1CE0000}"/>
    <cellStyle name="Normal 4 3 5 2 3 2 5 2" xfId="51624" xr:uid="{00000000-0005-0000-0000-0000F2CE0000}"/>
    <cellStyle name="Normal 4 3 5 2 3 2 6" xfId="45379" xr:uid="{00000000-0005-0000-0000-0000F3CE0000}"/>
    <cellStyle name="Normal 4 3 5 2 3 3" xfId="13508" xr:uid="{00000000-0005-0000-0000-0000F4CE0000}"/>
    <cellStyle name="Normal 4 3 5 2 3 3 2" xfId="13509" xr:uid="{00000000-0005-0000-0000-0000F5CE0000}"/>
    <cellStyle name="Normal 4 3 5 2 3 3 2 2" xfId="13510" xr:uid="{00000000-0005-0000-0000-0000F6CE0000}"/>
    <cellStyle name="Normal 4 3 5 2 3 3 2 2 2" xfId="31572" xr:uid="{00000000-0005-0000-0000-0000F7CE0000}"/>
    <cellStyle name="Normal 4 3 5 2 3 3 2 2 2 2" xfId="63443" xr:uid="{00000000-0005-0000-0000-0000F8CE0000}"/>
    <cellStyle name="Normal 4 3 5 2 3 3 2 2 3" xfId="45389" xr:uid="{00000000-0005-0000-0000-0000F9CE0000}"/>
    <cellStyle name="Normal 4 3 5 2 3 3 2 3" xfId="23694" xr:uid="{00000000-0005-0000-0000-0000FACE0000}"/>
    <cellStyle name="Normal 4 3 5 2 3 3 2 3 2" xfId="55565" xr:uid="{00000000-0005-0000-0000-0000FBCE0000}"/>
    <cellStyle name="Normal 4 3 5 2 3 3 2 4" xfId="45388" xr:uid="{00000000-0005-0000-0000-0000FCCE0000}"/>
    <cellStyle name="Normal 4 3 5 2 3 3 3" xfId="13511" xr:uid="{00000000-0005-0000-0000-0000FDCE0000}"/>
    <cellStyle name="Normal 4 3 5 2 3 3 3 2" xfId="27633" xr:uid="{00000000-0005-0000-0000-0000FECE0000}"/>
    <cellStyle name="Normal 4 3 5 2 3 3 3 2 2" xfId="59504" xr:uid="{00000000-0005-0000-0000-0000FFCE0000}"/>
    <cellStyle name="Normal 4 3 5 2 3 3 3 3" xfId="45390" xr:uid="{00000000-0005-0000-0000-000000CF0000}"/>
    <cellStyle name="Normal 4 3 5 2 3 3 4" xfId="19755" xr:uid="{00000000-0005-0000-0000-000001CF0000}"/>
    <cellStyle name="Normal 4 3 5 2 3 3 4 2" xfId="51626" xr:uid="{00000000-0005-0000-0000-000002CF0000}"/>
    <cellStyle name="Normal 4 3 5 2 3 3 5" xfId="45387" xr:uid="{00000000-0005-0000-0000-000003CF0000}"/>
    <cellStyle name="Normal 4 3 5 2 3 4" xfId="13512" xr:uid="{00000000-0005-0000-0000-000004CF0000}"/>
    <cellStyle name="Normal 4 3 5 2 3 4 2" xfId="13513" xr:uid="{00000000-0005-0000-0000-000005CF0000}"/>
    <cellStyle name="Normal 4 3 5 2 3 4 2 2" xfId="31569" xr:uid="{00000000-0005-0000-0000-000006CF0000}"/>
    <cellStyle name="Normal 4 3 5 2 3 4 2 2 2" xfId="63440" xr:uid="{00000000-0005-0000-0000-000007CF0000}"/>
    <cellStyle name="Normal 4 3 5 2 3 4 2 3" xfId="45392" xr:uid="{00000000-0005-0000-0000-000008CF0000}"/>
    <cellStyle name="Normal 4 3 5 2 3 4 3" xfId="23691" xr:uid="{00000000-0005-0000-0000-000009CF0000}"/>
    <cellStyle name="Normal 4 3 5 2 3 4 3 2" xfId="55562" xr:uid="{00000000-0005-0000-0000-00000ACF0000}"/>
    <cellStyle name="Normal 4 3 5 2 3 4 4" xfId="45391" xr:uid="{00000000-0005-0000-0000-00000BCF0000}"/>
    <cellStyle name="Normal 4 3 5 2 3 5" xfId="13514" xr:uid="{00000000-0005-0000-0000-00000CCF0000}"/>
    <cellStyle name="Normal 4 3 5 2 3 5 2" xfId="27630" xr:uid="{00000000-0005-0000-0000-00000DCF0000}"/>
    <cellStyle name="Normal 4 3 5 2 3 5 2 2" xfId="59501" xr:uid="{00000000-0005-0000-0000-00000ECF0000}"/>
    <cellStyle name="Normal 4 3 5 2 3 5 3" xfId="45393" xr:uid="{00000000-0005-0000-0000-00000FCF0000}"/>
    <cellStyle name="Normal 4 3 5 2 3 6" xfId="19752" xr:uid="{00000000-0005-0000-0000-000010CF0000}"/>
    <cellStyle name="Normal 4 3 5 2 3 6 2" xfId="51623" xr:uid="{00000000-0005-0000-0000-000011CF0000}"/>
    <cellStyle name="Normal 4 3 5 2 3 7" xfId="45378" xr:uid="{00000000-0005-0000-0000-000012CF0000}"/>
    <cellStyle name="Normal 4 3 5 2 4" xfId="13515" xr:uid="{00000000-0005-0000-0000-000013CF0000}"/>
    <cellStyle name="Normal 4 3 5 2 4 2" xfId="13516" xr:uid="{00000000-0005-0000-0000-000014CF0000}"/>
    <cellStyle name="Normal 4 3 5 2 4 2 2" xfId="13517" xr:uid="{00000000-0005-0000-0000-000015CF0000}"/>
    <cellStyle name="Normal 4 3 5 2 4 2 2 2" xfId="13518" xr:uid="{00000000-0005-0000-0000-000016CF0000}"/>
    <cellStyle name="Normal 4 3 5 2 4 2 2 2 2" xfId="31574" xr:uid="{00000000-0005-0000-0000-000017CF0000}"/>
    <cellStyle name="Normal 4 3 5 2 4 2 2 2 2 2" xfId="63445" xr:uid="{00000000-0005-0000-0000-000018CF0000}"/>
    <cellStyle name="Normal 4 3 5 2 4 2 2 2 3" xfId="45397" xr:uid="{00000000-0005-0000-0000-000019CF0000}"/>
    <cellStyle name="Normal 4 3 5 2 4 2 2 3" xfId="23696" xr:uid="{00000000-0005-0000-0000-00001ACF0000}"/>
    <cellStyle name="Normal 4 3 5 2 4 2 2 3 2" xfId="55567" xr:uid="{00000000-0005-0000-0000-00001BCF0000}"/>
    <cellStyle name="Normal 4 3 5 2 4 2 2 4" xfId="45396" xr:uid="{00000000-0005-0000-0000-00001CCF0000}"/>
    <cellStyle name="Normal 4 3 5 2 4 2 3" xfId="13519" xr:uid="{00000000-0005-0000-0000-00001DCF0000}"/>
    <cellStyle name="Normal 4 3 5 2 4 2 3 2" xfId="27635" xr:uid="{00000000-0005-0000-0000-00001ECF0000}"/>
    <cellStyle name="Normal 4 3 5 2 4 2 3 2 2" xfId="59506" xr:uid="{00000000-0005-0000-0000-00001FCF0000}"/>
    <cellStyle name="Normal 4 3 5 2 4 2 3 3" xfId="45398" xr:uid="{00000000-0005-0000-0000-000020CF0000}"/>
    <cellStyle name="Normal 4 3 5 2 4 2 4" xfId="19757" xr:uid="{00000000-0005-0000-0000-000021CF0000}"/>
    <cellStyle name="Normal 4 3 5 2 4 2 4 2" xfId="51628" xr:uid="{00000000-0005-0000-0000-000022CF0000}"/>
    <cellStyle name="Normal 4 3 5 2 4 2 5" xfId="45395" xr:uid="{00000000-0005-0000-0000-000023CF0000}"/>
    <cellStyle name="Normal 4 3 5 2 4 3" xfId="13520" xr:uid="{00000000-0005-0000-0000-000024CF0000}"/>
    <cellStyle name="Normal 4 3 5 2 4 3 2" xfId="13521" xr:uid="{00000000-0005-0000-0000-000025CF0000}"/>
    <cellStyle name="Normal 4 3 5 2 4 3 2 2" xfId="31573" xr:uid="{00000000-0005-0000-0000-000026CF0000}"/>
    <cellStyle name="Normal 4 3 5 2 4 3 2 2 2" xfId="63444" xr:uid="{00000000-0005-0000-0000-000027CF0000}"/>
    <cellStyle name="Normal 4 3 5 2 4 3 2 3" xfId="45400" xr:uid="{00000000-0005-0000-0000-000028CF0000}"/>
    <cellStyle name="Normal 4 3 5 2 4 3 3" xfId="23695" xr:uid="{00000000-0005-0000-0000-000029CF0000}"/>
    <cellStyle name="Normal 4 3 5 2 4 3 3 2" xfId="55566" xr:uid="{00000000-0005-0000-0000-00002ACF0000}"/>
    <cellStyle name="Normal 4 3 5 2 4 3 4" xfId="45399" xr:uid="{00000000-0005-0000-0000-00002BCF0000}"/>
    <cellStyle name="Normal 4 3 5 2 4 4" xfId="13522" xr:uid="{00000000-0005-0000-0000-00002CCF0000}"/>
    <cellStyle name="Normal 4 3 5 2 4 4 2" xfId="27634" xr:uid="{00000000-0005-0000-0000-00002DCF0000}"/>
    <cellStyle name="Normal 4 3 5 2 4 4 2 2" xfId="59505" xr:uid="{00000000-0005-0000-0000-00002ECF0000}"/>
    <cellStyle name="Normal 4 3 5 2 4 4 3" xfId="45401" xr:uid="{00000000-0005-0000-0000-00002FCF0000}"/>
    <cellStyle name="Normal 4 3 5 2 4 5" xfId="19756" xr:uid="{00000000-0005-0000-0000-000030CF0000}"/>
    <cellStyle name="Normal 4 3 5 2 4 5 2" xfId="51627" xr:uid="{00000000-0005-0000-0000-000031CF0000}"/>
    <cellStyle name="Normal 4 3 5 2 4 6" xfId="45394" xr:uid="{00000000-0005-0000-0000-000032CF0000}"/>
    <cellStyle name="Normal 4 3 5 2 5" xfId="13523" xr:uid="{00000000-0005-0000-0000-000033CF0000}"/>
    <cellStyle name="Normal 4 3 5 2 5 2" xfId="13524" xr:uid="{00000000-0005-0000-0000-000034CF0000}"/>
    <cellStyle name="Normal 4 3 5 2 5 2 2" xfId="13525" xr:uid="{00000000-0005-0000-0000-000035CF0000}"/>
    <cellStyle name="Normal 4 3 5 2 5 2 2 2" xfId="31575" xr:uid="{00000000-0005-0000-0000-000036CF0000}"/>
    <cellStyle name="Normal 4 3 5 2 5 2 2 2 2" xfId="63446" xr:uid="{00000000-0005-0000-0000-000037CF0000}"/>
    <cellStyle name="Normal 4 3 5 2 5 2 2 3" xfId="45404" xr:uid="{00000000-0005-0000-0000-000038CF0000}"/>
    <cellStyle name="Normal 4 3 5 2 5 2 3" xfId="23697" xr:uid="{00000000-0005-0000-0000-000039CF0000}"/>
    <cellStyle name="Normal 4 3 5 2 5 2 3 2" xfId="55568" xr:uid="{00000000-0005-0000-0000-00003ACF0000}"/>
    <cellStyle name="Normal 4 3 5 2 5 2 4" xfId="45403" xr:uid="{00000000-0005-0000-0000-00003BCF0000}"/>
    <cellStyle name="Normal 4 3 5 2 5 3" xfId="13526" xr:uid="{00000000-0005-0000-0000-00003CCF0000}"/>
    <cellStyle name="Normal 4 3 5 2 5 3 2" xfId="27636" xr:uid="{00000000-0005-0000-0000-00003DCF0000}"/>
    <cellStyle name="Normal 4 3 5 2 5 3 2 2" xfId="59507" xr:uid="{00000000-0005-0000-0000-00003ECF0000}"/>
    <cellStyle name="Normal 4 3 5 2 5 3 3" xfId="45405" xr:uid="{00000000-0005-0000-0000-00003FCF0000}"/>
    <cellStyle name="Normal 4 3 5 2 5 4" xfId="19758" xr:uid="{00000000-0005-0000-0000-000040CF0000}"/>
    <cellStyle name="Normal 4 3 5 2 5 4 2" xfId="51629" xr:uid="{00000000-0005-0000-0000-000041CF0000}"/>
    <cellStyle name="Normal 4 3 5 2 5 5" xfId="45402" xr:uid="{00000000-0005-0000-0000-000042CF0000}"/>
    <cellStyle name="Normal 4 3 5 2 6" xfId="13527" xr:uid="{00000000-0005-0000-0000-000043CF0000}"/>
    <cellStyle name="Normal 4 3 5 2 6 2" xfId="13528" xr:uid="{00000000-0005-0000-0000-000044CF0000}"/>
    <cellStyle name="Normal 4 3 5 2 6 2 2" xfId="28428" xr:uid="{00000000-0005-0000-0000-000045CF0000}"/>
    <cellStyle name="Normal 4 3 5 2 6 2 2 2" xfId="60299" xr:uid="{00000000-0005-0000-0000-000046CF0000}"/>
    <cellStyle name="Normal 4 3 5 2 6 2 3" xfId="45407" xr:uid="{00000000-0005-0000-0000-000047CF0000}"/>
    <cellStyle name="Normal 4 3 5 2 6 3" xfId="20550" xr:uid="{00000000-0005-0000-0000-000048CF0000}"/>
    <cellStyle name="Normal 4 3 5 2 6 3 2" xfId="52421" xr:uid="{00000000-0005-0000-0000-000049CF0000}"/>
    <cellStyle name="Normal 4 3 5 2 6 4" xfId="45406" xr:uid="{00000000-0005-0000-0000-00004ACF0000}"/>
    <cellStyle name="Normal 4 3 5 2 7" xfId="13529" xr:uid="{00000000-0005-0000-0000-00004BCF0000}"/>
    <cellStyle name="Normal 4 3 5 2 7 2" xfId="24489" xr:uid="{00000000-0005-0000-0000-00004CCF0000}"/>
    <cellStyle name="Normal 4 3 5 2 7 2 2" xfId="56360" xr:uid="{00000000-0005-0000-0000-00004DCF0000}"/>
    <cellStyle name="Normal 4 3 5 2 7 3" xfId="45408" xr:uid="{00000000-0005-0000-0000-00004ECF0000}"/>
    <cellStyle name="Normal 4 3 5 2 8" xfId="16611" xr:uid="{00000000-0005-0000-0000-00004FCF0000}"/>
    <cellStyle name="Normal 4 3 5 2 8 2" xfId="48482" xr:uid="{00000000-0005-0000-0000-000050CF0000}"/>
    <cellStyle name="Normal 4 3 5 2 9" xfId="45345" xr:uid="{00000000-0005-0000-0000-000051CF0000}"/>
    <cellStyle name="Normal 4 3 5 3" xfId="13530" xr:uid="{00000000-0005-0000-0000-000052CF0000}"/>
    <cellStyle name="Normal 4 3 5 3 2" xfId="13531" xr:uid="{00000000-0005-0000-0000-000053CF0000}"/>
    <cellStyle name="Normal 4 3 5 3 2 2" xfId="13532" xr:uid="{00000000-0005-0000-0000-000054CF0000}"/>
    <cellStyle name="Normal 4 3 5 3 2 2 2" xfId="13533" xr:uid="{00000000-0005-0000-0000-000055CF0000}"/>
    <cellStyle name="Normal 4 3 5 3 2 2 2 2" xfId="13534" xr:uid="{00000000-0005-0000-0000-000056CF0000}"/>
    <cellStyle name="Normal 4 3 5 3 2 2 2 2 2" xfId="13535" xr:uid="{00000000-0005-0000-0000-000057CF0000}"/>
    <cellStyle name="Normal 4 3 5 3 2 2 2 2 2 2" xfId="31579" xr:uid="{00000000-0005-0000-0000-000058CF0000}"/>
    <cellStyle name="Normal 4 3 5 3 2 2 2 2 2 2 2" xfId="63450" xr:uid="{00000000-0005-0000-0000-000059CF0000}"/>
    <cellStyle name="Normal 4 3 5 3 2 2 2 2 2 3" xfId="45414" xr:uid="{00000000-0005-0000-0000-00005ACF0000}"/>
    <cellStyle name="Normal 4 3 5 3 2 2 2 2 3" xfId="23701" xr:uid="{00000000-0005-0000-0000-00005BCF0000}"/>
    <cellStyle name="Normal 4 3 5 3 2 2 2 2 3 2" xfId="55572" xr:uid="{00000000-0005-0000-0000-00005CCF0000}"/>
    <cellStyle name="Normal 4 3 5 3 2 2 2 2 4" xfId="45413" xr:uid="{00000000-0005-0000-0000-00005DCF0000}"/>
    <cellStyle name="Normal 4 3 5 3 2 2 2 3" xfId="13536" xr:uid="{00000000-0005-0000-0000-00005ECF0000}"/>
    <cellStyle name="Normal 4 3 5 3 2 2 2 3 2" xfId="27640" xr:uid="{00000000-0005-0000-0000-00005FCF0000}"/>
    <cellStyle name="Normal 4 3 5 3 2 2 2 3 2 2" xfId="59511" xr:uid="{00000000-0005-0000-0000-000060CF0000}"/>
    <cellStyle name="Normal 4 3 5 3 2 2 2 3 3" xfId="45415" xr:uid="{00000000-0005-0000-0000-000061CF0000}"/>
    <cellStyle name="Normal 4 3 5 3 2 2 2 4" xfId="19762" xr:uid="{00000000-0005-0000-0000-000062CF0000}"/>
    <cellStyle name="Normal 4 3 5 3 2 2 2 4 2" xfId="51633" xr:uid="{00000000-0005-0000-0000-000063CF0000}"/>
    <cellStyle name="Normal 4 3 5 3 2 2 2 5" xfId="45412" xr:uid="{00000000-0005-0000-0000-000064CF0000}"/>
    <cellStyle name="Normal 4 3 5 3 2 2 3" xfId="13537" xr:uid="{00000000-0005-0000-0000-000065CF0000}"/>
    <cellStyle name="Normal 4 3 5 3 2 2 3 2" xfId="13538" xr:uid="{00000000-0005-0000-0000-000066CF0000}"/>
    <cellStyle name="Normal 4 3 5 3 2 2 3 2 2" xfId="31578" xr:uid="{00000000-0005-0000-0000-000067CF0000}"/>
    <cellStyle name="Normal 4 3 5 3 2 2 3 2 2 2" xfId="63449" xr:uid="{00000000-0005-0000-0000-000068CF0000}"/>
    <cellStyle name="Normal 4 3 5 3 2 2 3 2 3" xfId="45417" xr:uid="{00000000-0005-0000-0000-000069CF0000}"/>
    <cellStyle name="Normal 4 3 5 3 2 2 3 3" xfId="23700" xr:uid="{00000000-0005-0000-0000-00006ACF0000}"/>
    <cellStyle name="Normal 4 3 5 3 2 2 3 3 2" xfId="55571" xr:uid="{00000000-0005-0000-0000-00006BCF0000}"/>
    <cellStyle name="Normal 4 3 5 3 2 2 3 4" xfId="45416" xr:uid="{00000000-0005-0000-0000-00006CCF0000}"/>
    <cellStyle name="Normal 4 3 5 3 2 2 4" xfId="13539" xr:uid="{00000000-0005-0000-0000-00006DCF0000}"/>
    <cellStyle name="Normal 4 3 5 3 2 2 4 2" xfId="27639" xr:uid="{00000000-0005-0000-0000-00006ECF0000}"/>
    <cellStyle name="Normal 4 3 5 3 2 2 4 2 2" xfId="59510" xr:uid="{00000000-0005-0000-0000-00006FCF0000}"/>
    <cellStyle name="Normal 4 3 5 3 2 2 4 3" xfId="45418" xr:uid="{00000000-0005-0000-0000-000070CF0000}"/>
    <cellStyle name="Normal 4 3 5 3 2 2 5" xfId="19761" xr:uid="{00000000-0005-0000-0000-000071CF0000}"/>
    <cellStyle name="Normal 4 3 5 3 2 2 5 2" xfId="51632" xr:uid="{00000000-0005-0000-0000-000072CF0000}"/>
    <cellStyle name="Normal 4 3 5 3 2 2 6" xfId="45411" xr:uid="{00000000-0005-0000-0000-000073CF0000}"/>
    <cellStyle name="Normal 4 3 5 3 2 3" xfId="13540" xr:uid="{00000000-0005-0000-0000-000074CF0000}"/>
    <cellStyle name="Normal 4 3 5 3 2 3 2" xfId="13541" xr:uid="{00000000-0005-0000-0000-000075CF0000}"/>
    <cellStyle name="Normal 4 3 5 3 2 3 2 2" xfId="13542" xr:uid="{00000000-0005-0000-0000-000076CF0000}"/>
    <cellStyle name="Normal 4 3 5 3 2 3 2 2 2" xfId="31580" xr:uid="{00000000-0005-0000-0000-000077CF0000}"/>
    <cellStyle name="Normal 4 3 5 3 2 3 2 2 2 2" xfId="63451" xr:uid="{00000000-0005-0000-0000-000078CF0000}"/>
    <cellStyle name="Normal 4 3 5 3 2 3 2 2 3" xfId="45421" xr:uid="{00000000-0005-0000-0000-000079CF0000}"/>
    <cellStyle name="Normal 4 3 5 3 2 3 2 3" xfId="23702" xr:uid="{00000000-0005-0000-0000-00007ACF0000}"/>
    <cellStyle name="Normal 4 3 5 3 2 3 2 3 2" xfId="55573" xr:uid="{00000000-0005-0000-0000-00007BCF0000}"/>
    <cellStyle name="Normal 4 3 5 3 2 3 2 4" xfId="45420" xr:uid="{00000000-0005-0000-0000-00007CCF0000}"/>
    <cellStyle name="Normal 4 3 5 3 2 3 3" xfId="13543" xr:uid="{00000000-0005-0000-0000-00007DCF0000}"/>
    <cellStyle name="Normal 4 3 5 3 2 3 3 2" xfId="27641" xr:uid="{00000000-0005-0000-0000-00007ECF0000}"/>
    <cellStyle name="Normal 4 3 5 3 2 3 3 2 2" xfId="59512" xr:uid="{00000000-0005-0000-0000-00007FCF0000}"/>
    <cellStyle name="Normal 4 3 5 3 2 3 3 3" xfId="45422" xr:uid="{00000000-0005-0000-0000-000080CF0000}"/>
    <cellStyle name="Normal 4 3 5 3 2 3 4" xfId="19763" xr:uid="{00000000-0005-0000-0000-000081CF0000}"/>
    <cellStyle name="Normal 4 3 5 3 2 3 4 2" xfId="51634" xr:uid="{00000000-0005-0000-0000-000082CF0000}"/>
    <cellStyle name="Normal 4 3 5 3 2 3 5" xfId="45419" xr:uid="{00000000-0005-0000-0000-000083CF0000}"/>
    <cellStyle name="Normal 4 3 5 3 2 4" xfId="13544" xr:uid="{00000000-0005-0000-0000-000084CF0000}"/>
    <cellStyle name="Normal 4 3 5 3 2 4 2" xfId="13545" xr:uid="{00000000-0005-0000-0000-000085CF0000}"/>
    <cellStyle name="Normal 4 3 5 3 2 4 2 2" xfId="31577" xr:uid="{00000000-0005-0000-0000-000086CF0000}"/>
    <cellStyle name="Normal 4 3 5 3 2 4 2 2 2" xfId="63448" xr:uid="{00000000-0005-0000-0000-000087CF0000}"/>
    <cellStyle name="Normal 4 3 5 3 2 4 2 3" xfId="45424" xr:uid="{00000000-0005-0000-0000-000088CF0000}"/>
    <cellStyle name="Normal 4 3 5 3 2 4 3" xfId="23699" xr:uid="{00000000-0005-0000-0000-000089CF0000}"/>
    <cellStyle name="Normal 4 3 5 3 2 4 3 2" xfId="55570" xr:uid="{00000000-0005-0000-0000-00008ACF0000}"/>
    <cellStyle name="Normal 4 3 5 3 2 4 4" xfId="45423" xr:uid="{00000000-0005-0000-0000-00008BCF0000}"/>
    <cellStyle name="Normal 4 3 5 3 2 5" xfId="13546" xr:uid="{00000000-0005-0000-0000-00008CCF0000}"/>
    <cellStyle name="Normal 4 3 5 3 2 5 2" xfId="27638" xr:uid="{00000000-0005-0000-0000-00008DCF0000}"/>
    <cellStyle name="Normal 4 3 5 3 2 5 2 2" xfId="59509" xr:uid="{00000000-0005-0000-0000-00008ECF0000}"/>
    <cellStyle name="Normal 4 3 5 3 2 5 3" xfId="45425" xr:uid="{00000000-0005-0000-0000-00008FCF0000}"/>
    <cellStyle name="Normal 4 3 5 3 2 6" xfId="19760" xr:uid="{00000000-0005-0000-0000-000090CF0000}"/>
    <cellStyle name="Normal 4 3 5 3 2 6 2" xfId="51631" xr:uid="{00000000-0005-0000-0000-000091CF0000}"/>
    <cellStyle name="Normal 4 3 5 3 2 7" xfId="45410" xr:uid="{00000000-0005-0000-0000-000092CF0000}"/>
    <cellStyle name="Normal 4 3 5 3 3" xfId="13547" xr:uid="{00000000-0005-0000-0000-000093CF0000}"/>
    <cellStyle name="Normal 4 3 5 3 3 2" xfId="13548" xr:uid="{00000000-0005-0000-0000-000094CF0000}"/>
    <cellStyle name="Normal 4 3 5 3 3 2 2" xfId="13549" xr:uid="{00000000-0005-0000-0000-000095CF0000}"/>
    <cellStyle name="Normal 4 3 5 3 3 2 2 2" xfId="13550" xr:uid="{00000000-0005-0000-0000-000096CF0000}"/>
    <cellStyle name="Normal 4 3 5 3 3 2 2 2 2" xfId="31582" xr:uid="{00000000-0005-0000-0000-000097CF0000}"/>
    <cellStyle name="Normal 4 3 5 3 3 2 2 2 2 2" xfId="63453" xr:uid="{00000000-0005-0000-0000-000098CF0000}"/>
    <cellStyle name="Normal 4 3 5 3 3 2 2 2 3" xfId="45429" xr:uid="{00000000-0005-0000-0000-000099CF0000}"/>
    <cellStyle name="Normal 4 3 5 3 3 2 2 3" xfId="23704" xr:uid="{00000000-0005-0000-0000-00009ACF0000}"/>
    <cellStyle name="Normal 4 3 5 3 3 2 2 3 2" xfId="55575" xr:uid="{00000000-0005-0000-0000-00009BCF0000}"/>
    <cellStyle name="Normal 4 3 5 3 3 2 2 4" xfId="45428" xr:uid="{00000000-0005-0000-0000-00009CCF0000}"/>
    <cellStyle name="Normal 4 3 5 3 3 2 3" xfId="13551" xr:uid="{00000000-0005-0000-0000-00009DCF0000}"/>
    <cellStyle name="Normal 4 3 5 3 3 2 3 2" xfId="27643" xr:uid="{00000000-0005-0000-0000-00009ECF0000}"/>
    <cellStyle name="Normal 4 3 5 3 3 2 3 2 2" xfId="59514" xr:uid="{00000000-0005-0000-0000-00009FCF0000}"/>
    <cellStyle name="Normal 4 3 5 3 3 2 3 3" xfId="45430" xr:uid="{00000000-0005-0000-0000-0000A0CF0000}"/>
    <cellStyle name="Normal 4 3 5 3 3 2 4" xfId="19765" xr:uid="{00000000-0005-0000-0000-0000A1CF0000}"/>
    <cellStyle name="Normal 4 3 5 3 3 2 4 2" xfId="51636" xr:uid="{00000000-0005-0000-0000-0000A2CF0000}"/>
    <cellStyle name="Normal 4 3 5 3 3 2 5" xfId="45427" xr:uid="{00000000-0005-0000-0000-0000A3CF0000}"/>
    <cellStyle name="Normal 4 3 5 3 3 3" xfId="13552" xr:uid="{00000000-0005-0000-0000-0000A4CF0000}"/>
    <cellStyle name="Normal 4 3 5 3 3 3 2" xfId="13553" xr:uid="{00000000-0005-0000-0000-0000A5CF0000}"/>
    <cellStyle name="Normal 4 3 5 3 3 3 2 2" xfId="31581" xr:uid="{00000000-0005-0000-0000-0000A6CF0000}"/>
    <cellStyle name="Normal 4 3 5 3 3 3 2 2 2" xfId="63452" xr:uid="{00000000-0005-0000-0000-0000A7CF0000}"/>
    <cellStyle name="Normal 4 3 5 3 3 3 2 3" xfId="45432" xr:uid="{00000000-0005-0000-0000-0000A8CF0000}"/>
    <cellStyle name="Normal 4 3 5 3 3 3 3" xfId="23703" xr:uid="{00000000-0005-0000-0000-0000A9CF0000}"/>
    <cellStyle name="Normal 4 3 5 3 3 3 3 2" xfId="55574" xr:uid="{00000000-0005-0000-0000-0000AACF0000}"/>
    <cellStyle name="Normal 4 3 5 3 3 3 4" xfId="45431" xr:uid="{00000000-0005-0000-0000-0000ABCF0000}"/>
    <cellStyle name="Normal 4 3 5 3 3 4" xfId="13554" xr:uid="{00000000-0005-0000-0000-0000ACCF0000}"/>
    <cellStyle name="Normal 4 3 5 3 3 4 2" xfId="27642" xr:uid="{00000000-0005-0000-0000-0000ADCF0000}"/>
    <cellStyle name="Normal 4 3 5 3 3 4 2 2" xfId="59513" xr:uid="{00000000-0005-0000-0000-0000AECF0000}"/>
    <cellStyle name="Normal 4 3 5 3 3 4 3" xfId="45433" xr:uid="{00000000-0005-0000-0000-0000AFCF0000}"/>
    <cellStyle name="Normal 4 3 5 3 3 5" xfId="19764" xr:uid="{00000000-0005-0000-0000-0000B0CF0000}"/>
    <cellStyle name="Normal 4 3 5 3 3 5 2" xfId="51635" xr:uid="{00000000-0005-0000-0000-0000B1CF0000}"/>
    <cellStyle name="Normal 4 3 5 3 3 6" xfId="45426" xr:uid="{00000000-0005-0000-0000-0000B2CF0000}"/>
    <cellStyle name="Normal 4 3 5 3 4" xfId="13555" xr:uid="{00000000-0005-0000-0000-0000B3CF0000}"/>
    <cellStyle name="Normal 4 3 5 3 4 2" xfId="13556" xr:uid="{00000000-0005-0000-0000-0000B4CF0000}"/>
    <cellStyle name="Normal 4 3 5 3 4 2 2" xfId="13557" xr:uid="{00000000-0005-0000-0000-0000B5CF0000}"/>
    <cellStyle name="Normal 4 3 5 3 4 2 2 2" xfId="31583" xr:uid="{00000000-0005-0000-0000-0000B6CF0000}"/>
    <cellStyle name="Normal 4 3 5 3 4 2 2 2 2" xfId="63454" xr:uid="{00000000-0005-0000-0000-0000B7CF0000}"/>
    <cellStyle name="Normal 4 3 5 3 4 2 2 3" xfId="45436" xr:uid="{00000000-0005-0000-0000-0000B8CF0000}"/>
    <cellStyle name="Normal 4 3 5 3 4 2 3" xfId="23705" xr:uid="{00000000-0005-0000-0000-0000B9CF0000}"/>
    <cellStyle name="Normal 4 3 5 3 4 2 3 2" xfId="55576" xr:uid="{00000000-0005-0000-0000-0000BACF0000}"/>
    <cellStyle name="Normal 4 3 5 3 4 2 4" xfId="45435" xr:uid="{00000000-0005-0000-0000-0000BBCF0000}"/>
    <cellStyle name="Normal 4 3 5 3 4 3" xfId="13558" xr:uid="{00000000-0005-0000-0000-0000BCCF0000}"/>
    <cellStyle name="Normal 4 3 5 3 4 3 2" xfId="27644" xr:uid="{00000000-0005-0000-0000-0000BDCF0000}"/>
    <cellStyle name="Normal 4 3 5 3 4 3 2 2" xfId="59515" xr:uid="{00000000-0005-0000-0000-0000BECF0000}"/>
    <cellStyle name="Normal 4 3 5 3 4 3 3" xfId="45437" xr:uid="{00000000-0005-0000-0000-0000BFCF0000}"/>
    <cellStyle name="Normal 4 3 5 3 4 4" xfId="19766" xr:uid="{00000000-0005-0000-0000-0000C0CF0000}"/>
    <cellStyle name="Normal 4 3 5 3 4 4 2" xfId="51637" xr:uid="{00000000-0005-0000-0000-0000C1CF0000}"/>
    <cellStyle name="Normal 4 3 5 3 4 5" xfId="45434" xr:uid="{00000000-0005-0000-0000-0000C2CF0000}"/>
    <cellStyle name="Normal 4 3 5 3 5" xfId="13559" xr:uid="{00000000-0005-0000-0000-0000C3CF0000}"/>
    <cellStyle name="Normal 4 3 5 3 5 2" xfId="13560" xr:uid="{00000000-0005-0000-0000-0000C4CF0000}"/>
    <cellStyle name="Normal 4 3 5 3 5 2 2" xfId="31576" xr:uid="{00000000-0005-0000-0000-0000C5CF0000}"/>
    <cellStyle name="Normal 4 3 5 3 5 2 2 2" xfId="63447" xr:uid="{00000000-0005-0000-0000-0000C6CF0000}"/>
    <cellStyle name="Normal 4 3 5 3 5 2 3" xfId="45439" xr:uid="{00000000-0005-0000-0000-0000C7CF0000}"/>
    <cellStyle name="Normal 4 3 5 3 5 3" xfId="23698" xr:uid="{00000000-0005-0000-0000-0000C8CF0000}"/>
    <cellStyle name="Normal 4 3 5 3 5 3 2" xfId="55569" xr:uid="{00000000-0005-0000-0000-0000C9CF0000}"/>
    <cellStyle name="Normal 4 3 5 3 5 4" xfId="45438" xr:uid="{00000000-0005-0000-0000-0000CACF0000}"/>
    <cellStyle name="Normal 4 3 5 3 6" xfId="13561" xr:uid="{00000000-0005-0000-0000-0000CBCF0000}"/>
    <cellStyle name="Normal 4 3 5 3 6 2" xfId="27637" xr:uid="{00000000-0005-0000-0000-0000CCCF0000}"/>
    <cellStyle name="Normal 4 3 5 3 6 2 2" xfId="59508" xr:uid="{00000000-0005-0000-0000-0000CDCF0000}"/>
    <cellStyle name="Normal 4 3 5 3 6 3" xfId="45440" xr:uid="{00000000-0005-0000-0000-0000CECF0000}"/>
    <cellStyle name="Normal 4 3 5 3 7" xfId="19759" xr:uid="{00000000-0005-0000-0000-0000CFCF0000}"/>
    <cellStyle name="Normal 4 3 5 3 7 2" xfId="51630" xr:uid="{00000000-0005-0000-0000-0000D0CF0000}"/>
    <cellStyle name="Normal 4 3 5 3 8" xfId="45409" xr:uid="{00000000-0005-0000-0000-0000D1CF0000}"/>
    <cellStyle name="Normal 4 3 5 4" xfId="13562" xr:uid="{00000000-0005-0000-0000-0000D2CF0000}"/>
    <cellStyle name="Normal 4 3 5 4 2" xfId="13563" xr:uid="{00000000-0005-0000-0000-0000D3CF0000}"/>
    <cellStyle name="Normal 4 3 5 4 2 2" xfId="13564" xr:uid="{00000000-0005-0000-0000-0000D4CF0000}"/>
    <cellStyle name="Normal 4 3 5 4 2 2 2" xfId="13565" xr:uid="{00000000-0005-0000-0000-0000D5CF0000}"/>
    <cellStyle name="Normal 4 3 5 4 2 2 2 2" xfId="13566" xr:uid="{00000000-0005-0000-0000-0000D6CF0000}"/>
    <cellStyle name="Normal 4 3 5 4 2 2 2 2 2" xfId="31586" xr:uid="{00000000-0005-0000-0000-0000D7CF0000}"/>
    <cellStyle name="Normal 4 3 5 4 2 2 2 2 2 2" xfId="63457" xr:uid="{00000000-0005-0000-0000-0000D8CF0000}"/>
    <cellStyle name="Normal 4 3 5 4 2 2 2 2 3" xfId="45445" xr:uid="{00000000-0005-0000-0000-0000D9CF0000}"/>
    <cellStyle name="Normal 4 3 5 4 2 2 2 3" xfId="23708" xr:uid="{00000000-0005-0000-0000-0000DACF0000}"/>
    <cellStyle name="Normal 4 3 5 4 2 2 2 3 2" xfId="55579" xr:uid="{00000000-0005-0000-0000-0000DBCF0000}"/>
    <cellStyle name="Normal 4 3 5 4 2 2 2 4" xfId="45444" xr:uid="{00000000-0005-0000-0000-0000DCCF0000}"/>
    <cellStyle name="Normal 4 3 5 4 2 2 3" xfId="13567" xr:uid="{00000000-0005-0000-0000-0000DDCF0000}"/>
    <cellStyle name="Normal 4 3 5 4 2 2 3 2" xfId="27647" xr:uid="{00000000-0005-0000-0000-0000DECF0000}"/>
    <cellStyle name="Normal 4 3 5 4 2 2 3 2 2" xfId="59518" xr:uid="{00000000-0005-0000-0000-0000DFCF0000}"/>
    <cellStyle name="Normal 4 3 5 4 2 2 3 3" xfId="45446" xr:uid="{00000000-0005-0000-0000-0000E0CF0000}"/>
    <cellStyle name="Normal 4 3 5 4 2 2 4" xfId="19769" xr:uid="{00000000-0005-0000-0000-0000E1CF0000}"/>
    <cellStyle name="Normal 4 3 5 4 2 2 4 2" xfId="51640" xr:uid="{00000000-0005-0000-0000-0000E2CF0000}"/>
    <cellStyle name="Normal 4 3 5 4 2 2 5" xfId="45443" xr:uid="{00000000-0005-0000-0000-0000E3CF0000}"/>
    <cellStyle name="Normal 4 3 5 4 2 3" xfId="13568" xr:uid="{00000000-0005-0000-0000-0000E4CF0000}"/>
    <cellStyle name="Normal 4 3 5 4 2 3 2" xfId="13569" xr:uid="{00000000-0005-0000-0000-0000E5CF0000}"/>
    <cellStyle name="Normal 4 3 5 4 2 3 2 2" xfId="31585" xr:uid="{00000000-0005-0000-0000-0000E6CF0000}"/>
    <cellStyle name="Normal 4 3 5 4 2 3 2 2 2" xfId="63456" xr:uid="{00000000-0005-0000-0000-0000E7CF0000}"/>
    <cellStyle name="Normal 4 3 5 4 2 3 2 3" xfId="45448" xr:uid="{00000000-0005-0000-0000-0000E8CF0000}"/>
    <cellStyle name="Normal 4 3 5 4 2 3 3" xfId="23707" xr:uid="{00000000-0005-0000-0000-0000E9CF0000}"/>
    <cellStyle name="Normal 4 3 5 4 2 3 3 2" xfId="55578" xr:uid="{00000000-0005-0000-0000-0000EACF0000}"/>
    <cellStyle name="Normal 4 3 5 4 2 3 4" xfId="45447" xr:uid="{00000000-0005-0000-0000-0000EBCF0000}"/>
    <cellStyle name="Normal 4 3 5 4 2 4" xfId="13570" xr:uid="{00000000-0005-0000-0000-0000ECCF0000}"/>
    <cellStyle name="Normal 4 3 5 4 2 4 2" xfId="27646" xr:uid="{00000000-0005-0000-0000-0000EDCF0000}"/>
    <cellStyle name="Normal 4 3 5 4 2 4 2 2" xfId="59517" xr:uid="{00000000-0005-0000-0000-0000EECF0000}"/>
    <cellStyle name="Normal 4 3 5 4 2 4 3" xfId="45449" xr:uid="{00000000-0005-0000-0000-0000EFCF0000}"/>
    <cellStyle name="Normal 4 3 5 4 2 5" xfId="19768" xr:uid="{00000000-0005-0000-0000-0000F0CF0000}"/>
    <cellStyle name="Normal 4 3 5 4 2 5 2" xfId="51639" xr:uid="{00000000-0005-0000-0000-0000F1CF0000}"/>
    <cellStyle name="Normal 4 3 5 4 2 6" xfId="45442" xr:uid="{00000000-0005-0000-0000-0000F2CF0000}"/>
    <cellStyle name="Normal 4 3 5 4 3" xfId="13571" xr:uid="{00000000-0005-0000-0000-0000F3CF0000}"/>
    <cellStyle name="Normal 4 3 5 4 3 2" xfId="13572" xr:uid="{00000000-0005-0000-0000-0000F4CF0000}"/>
    <cellStyle name="Normal 4 3 5 4 3 2 2" xfId="13573" xr:uid="{00000000-0005-0000-0000-0000F5CF0000}"/>
    <cellStyle name="Normal 4 3 5 4 3 2 2 2" xfId="31587" xr:uid="{00000000-0005-0000-0000-0000F6CF0000}"/>
    <cellStyle name="Normal 4 3 5 4 3 2 2 2 2" xfId="63458" xr:uid="{00000000-0005-0000-0000-0000F7CF0000}"/>
    <cellStyle name="Normal 4 3 5 4 3 2 2 3" xfId="45452" xr:uid="{00000000-0005-0000-0000-0000F8CF0000}"/>
    <cellStyle name="Normal 4 3 5 4 3 2 3" xfId="23709" xr:uid="{00000000-0005-0000-0000-0000F9CF0000}"/>
    <cellStyle name="Normal 4 3 5 4 3 2 3 2" xfId="55580" xr:uid="{00000000-0005-0000-0000-0000FACF0000}"/>
    <cellStyle name="Normal 4 3 5 4 3 2 4" xfId="45451" xr:uid="{00000000-0005-0000-0000-0000FBCF0000}"/>
    <cellStyle name="Normal 4 3 5 4 3 3" xfId="13574" xr:uid="{00000000-0005-0000-0000-0000FCCF0000}"/>
    <cellStyle name="Normal 4 3 5 4 3 3 2" xfId="27648" xr:uid="{00000000-0005-0000-0000-0000FDCF0000}"/>
    <cellStyle name="Normal 4 3 5 4 3 3 2 2" xfId="59519" xr:uid="{00000000-0005-0000-0000-0000FECF0000}"/>
    <cellStyle name="Normal 4 3 5 4 3 3 3" xfId="45453" xr:uid="{00000000-0005-0000-0000-0000FFCF0000}"/>
    <cellStyle name="Normal 4 3 5 4 3 4" xfId="19770" xr:uid="{00000000-0005-0000-0000-000000D00000}"/>
    <cellStyle name="Normal 4 3 5 4 3 4 2" xfId="51641" xr:uid="{00000000-0005-0000-0000-000001D00000}"/>
    <cellStyle name="Normal 4 3 5 4 3 5" xfId="45450" xr:uid="{00000000-0005-0000-0000-000002D00000}"/>
    <cellStyle name="Normal 4 3 5 4 4" xfId="13575" xr:uid="{00000000-0005-0000-0000-000003D00000}"/>
    <cellStyle name="Normal 4 3 5 4 4 2" xfId="13576" xr:uid="{00000000-0005-0000-0000-000004D00000}"/>
    <cellStyle name="Normal 4 3 5 4 4 2 2" xfId="31584" xr:uid="{00000000-0005-0000-0000-000005D00000}"/>
    <cellStyle name="Normal 4 3 5 4 4 2 2 2" xfId="63455" xr:uid="{00000000-0005-0000-0000-000006D00000}"/>
    <cellStyle name="Normal 4 3 5 4 4 2 3" xfId="45455" xr:uid="{00000000-0005-0000-0000-000007D00000}"/>
    <cellStyle name="Normal 4 3 5 4 4 3" xfId="23706" xr:uid="{00000000-0005-0000-0000-000008D00000}"/>
    <cellStyle name="Normal 4 3 5 4 4 3 2" xfId="55577" xr:uid="{00000000-0005-0000-0000-000009D00000}"/>
    <cellStyle name="Normal 4 3 5 4 4 4" xfId="45454" xr:uid="{00000000-0005-0000-0000-00000AD00000}"/>
    <cellStyle name="Normal 4 3 5 4 5" xfId="13577" xr:uid="{00000000-0005-0000-0000-00000BD00000}"/>
    <cellStyle name="Normal 4 3 5 4 5 2" xfId="27645" xr:uid="{00000000-0005-0000-0000-00000CD00000}"/>
    <cellStyle name="Normal 4 3 5 4 5 2 2" xfId="59516" xr:uid="{00000000-0005-0000-0000-00000DD00000}"/>
    <cellStyle name="Normal 4 3 5 4 5 3" xfId="45456" xr:uid="{00000000-0005-0000-0000-00000ED00000}"/>
    <cellStyle name="Normal 4 3 5 4 6" xfId="19767" xr:uid="{00000000-0005-0000-0000-00000FD00000}"/>
    <cellStyle name="Normal 4 3 5 4 6 2" xfId="51638" xr:uid="{00000000-0005-0000-0000-000010D00000}"/>
    <cellStyle name="Normal 4 3 5 4 7" xfId="45441" xr:uid="{00000000-0005-0000-0000-000011D00000}"/>
    <cellStyle name="Normal 4 3 5 5" xfId="13578" xr:uid="{00000000-0005-0000-0000-000012D00000}"/>
    <cellStyle name="Normal 4 3 5 5 2" xfId="13579" xr:uid="{00000000-0005-0000-0000-000013D00000}"/>
    <cellStyle name="Normal 4 3 5 5 2 2" xfId="13580" xr:uid="{00000000-0005-0000-0000-000014D00000}"/>
    <cellStyle name="Normal 4 3 5 5 2 2 2" xfId="13581" xr:uid="{00000000-0005-0000-0000-000015D00000}"/>
    <cellStyle name="Normal 4 3 5 5 2 2 2 2" xfId="31589" xr:uid="{00000000-0005-0000-0000-000016D00000}"/>
    <cellStyle name="Normal 4 3 5 5 2 2 2 2 2" xfId="63460" xr:uid="{00000000-0005-0000-0000-000017D00000}"/>
    <cellStyle name="Normal 4 3 5 5 2 2 2 3" xfId="45460" xr:uid="{00000000-0005-0000-0000-000018D00000}"/>
    <cellStyle name="Normal 4 3 5 5 2 2 3" xfId="23711" xr:uid="{00000000-0005-0000-0000-000019D00000}"/>
    <cellStyle name="Normal 4 3 5 5 2 2 3 2" xfId="55582" xr:uid="{00000000-0005-0000-0000-00001AD00000}"/>
    <cellStyle name="Normal 4 3 5 5 2 2 4" xfId="45459" xr:uid="{00000000-0005-0000-0000-00001BD00000}"/>
    <cellStyle name="Normal 4 3 5 5 2 3" xfId="13582" xr:uid="{00000000-0005-0000-0000-00001CD00000}"/>
    <cellStyle name="Normal 4 3 5 5 2 3 2" xfId="27650" xr:uid="{00000000-0005-0000-0000-00001DD00000}"/>
    <cellStyle name="Normal 4 3 5 5 2 3 2 2" xfId="59521" xr:uid="{00000000-0005-0000-0000-00001ED00000}"/>
    <cellStyle name="Normal 4 3 5 5 2 3 3" xfId="45461" xr:uid="{00000000-0005-0000-0000-00001FD00000}"/>
    <cellStyle name="Normal 4 3 5 5 2 4" xfId="19772" xr:uid="{00000000-0005-0000-0000-000020D00000}"/>
    <cellStyle name="Normal 4 3 5 5 2 4 2" xfId="51643" xr:uid="{00000000-0005-0000-0000-000021D00000}"/>
    <cellStyle name="Normal 4 3 5 5 2 5" xfId="45458" xr:uid="{00000000-0005-0000-0000-000022D00000}"/>
    <cellStyle name="Normal 4 3 5 5 3" xfId="13583" xr:uid="{00000000-0005-0000-0000-000023D00000}"/>
    <cellStyle name="Normal 4 3 5 5 3 2" xfId="13584" xr:uid="{00000000-0005-0000-0000-000024D00000}"/>
    <cellStyle name="Normal 4 3 5 5 3 2 2" xfId="31588" xr:uid="{00000000-0005-0000-0000-000025D00000}"/>
    <cellStyle name="Normal 4 3 5 5 3 2 2 2" xfId="63459" xr:uid="{00000000-0005-0000-0000-000026D00000}"/>
    <cellStyle name="Normal 4 3 5 5 3 2 3" xfId="45463" xr:uid="{00000000-0005-0000-0000-000027D00000}"/>
    <cellStyle name="Normal 4 3 5 5 3 3" xfId="23710" xr:uid="{00000000-0005-0000-0000-000028D00000}"/>
    <cellStyle name="Normal 4 3 5 5 3 3 2" xfId="55581" xr:uid="{00000000-0005-0000-0000-000029D00000}"/>
    <cellStyle name="Normal 4 3 5 5 3 4" xfId="45462" xr:uid="{00000000-0005-0000-0000-00002AD00000}"/>
    <cellStyle name="Normal 4 3 5 5 4" xfId="13585" xr:uid="{00000000-0005-0000-0000-00002BD00000}"/>
    <cellStyle name="Normal 4 3 5 5 4 2" xfId="27649" xr:uid="{00000000-0005-0000-0000-00002CD00000}"/>
    <cellStyle name="Normal 4 3 5 5 4 2 2" xfId="59520" xr:uid="{00000000-0005-0000-0000-00002DD00000}"/>
    <cellStyle name="Normal 4 3 5 5 4 3" xfId="45464" xr:uid="{00000000-0005-0000-0000-00002ED00000}"/>
    <cellStyle name="Normal 4 3 5 5 5" xfId="19771" xr:uid="{00000000-0005-0000-0000-00002FD00000}"/>
    <cellStyle name="Normal 4 3 5 5 5 2" xfId="51642" xr:uid="{00000000-0005-0000-0000-000030D00000}"/>
    <cellStyle name="Normal 4 3 5 5 6" xfId="45457" xr:uid="{00000000-0005-0000-0000-000031D00000}"/>
    <cellStyle name="Normal 4 3 5 6" xfId="13586" xr:uid="{00000000-0005-0000-0000-000032D00000}"/>
    <cellStyle name="Normal 4 3 5 6 2" xfId="13587" xr:uid="{00000000-0005-0000-0000-000033D00000}"/>
    <cellStyle name="Normal 4 3 5 6 2 2" xfId="13588" xr:uid="{00000000-0005-0000-0000-000034D00000}"/>
    <cellStyle name="Normal 4 3 5 6 2 2 2" xfId="31590" xr:uid="{00000000-0005-0000-0000-000035D00000}"/>
    <cellStyle name="Normal 4 3 5 6 2 2 2 2" xfId="63461" xr:uid="{00000000-0005-0000-0000-000036D00000}"/>
    <cellStyle name="Normal 4 3 5 6 2 2 3" xfId="45467" xr:uid="{00000000-0005-0000-0000-000037D00000}"/>
    <cellStyle name="Normal 4 3 5 6 2 3" xfId="23712" xr:uid="{00000000-0005-0000-0000-000038D00000}"/>
    <cellStyle name="Normal 4 3 5 6 2 3 2" xfId="55583" xr:uid="{00000000-0005-0000-0000-000039D00000}"/>
    <cellStyle name="Normal 4 3 5 6 2 4" xfId="45466" xr:uid="{00000000-0005-0000-0000-00003AD00000}"/>
    <cellStyle name="Normal 4 3 5 6 3" xfId="13589" xr:uid="{00000000-0005-0000-0000-00003BD00000}"/>
    <cellStyle name="Normal 4 3 5 6 3 2" xfId="27651" xr:uid="{00000000-0005-0000-0000-00003CD00000}"/>
    <cellStyle name="Normal 4 3 5 6 3 2 2" xfId="59522" xr:uid="{00000000-0005-0000-0000-00003DD00000}"/>
    <cellStyle name="Normal 4 3 5 6 3 3" xfId="45468" xr:uid="{00000000-0005-0000-0000-00003ED00000}"/>
    <cellStyle name="Normal 4 3 5 6 4" xfId="19773" xr:uid="{00000000-0005-0000-0000-00003FD00000}"/>
    <cellStyle name="Normal 4 3 5 6 4 2" xfId="51644" xr:uid="{00000000-0005-0000-0000-000040D00000}"/>
    <cellStyle name="Normal 4 3 5 6 5" xfId="45465" xr:uid="{00000000-0005-0000-0000-000041D00000}"/>
    <cellStyle name="Normal 4 3 5 7" xfId="13590" xr:uid="{00000000-0005-0000-0000-000042D00000}"/>
    <cellStyle name="Normal 4 3 5 7 2" xfId="13591" xr:uid="{00000000-0005-0000-0000-000043D00000}"/>
    <cellStyle name="Normal 4 3 5 7 2 2" xfId="28305" xr:uid="{00000000-0005-0000-0000-000044D00000}"/>
    <cellStyle name="Normal 4 3 5 7 2 2 2" xfId="60176" xr:uid="{00000000-0005-0000-0000-000045D00000}"/>
    <cellStyle name="Normal 4 3 5 7 2 3" xfId="45470" xr:uid="{00000000-0005-0000-0000-000046D00000}"/>
    <cellStyle name="Normal 4 3 5 7 3" xfId="20427" xr:uid="{00000000-0005-0000-0000-000047D00000}"/>
    <cellStyle name="Normal 4 3 5 7 3 2" xfId="52298" xr:uid="{00000000-0005-0000-0000-000048D00000}"/>
    <cellStyle name="Normal 4 3 5 7 4" xfId="45469" xr:uid="{00000000-0005-0000-0000-000049D00000}"/>
    <cellStyle name="Normal 4 3 5 8" xfId="13592" xr:uid="{00000000-0005-0000-0000-00004AD00000}"/>
    <cellStyle name="Normal 4 3 5 8 2" xfId="24366" xr:uid="{00000000-0005-0000-0000-00004BD00000}"/>
    <cellStyle name="Normal 4 3 5 8 2 2" xfId="56237" xr:uid="{00000000-0005-0000-0000-00004CD00000}"/>
    <cellStyle name="Normal 4 3 5 8 3" xfId="45471" xr:uid="{00000000-0005-0000-0000-00004DD00000}"/>
    <cellStyle name="Normal 4 3 5 9" xfId="16488" xr:uid="{00000000-0005-0000-0000-00004ED00000}"/>
    <cellStyle name="Normal 4 3 5 9 2" xfId="48359" xr:uid="{00000000-0005-0000-0000-00004FD00000}"/>
    <cellStyle name="Normal 4 3 6" xfId="13593" xr:uid="{00000000-0005-0000-0000-000050D00000}"/>
    <cellStyle name="Normal 4 3 6 10" xfId="45472" xr:uid="{00000000-0005-0000-0000-000051D00000}"/>
    <cellStyle name="Normal 4 3 6 2" xfId="13594" xr:uid="{00000000-0005-0000-0000-000052D00000}"/>
    <cellStyle name="Normal 4 3 6 2 2" xfId="13595" xr:uid="{00000000-0005-0000-0000-000053D00000}"/>
    <cellStyle name="Normal 4 3 6 2 2 2" xfId="13596" xr:uid="{00000000-0005-0000-0000-000054D00000}"/>
    <cellStyle name="Normal 4 3 6 2 2 2 2" xfId="13597" xr:uid="{00000000-0005-0000-0000-000055D00000}"/>
    <cellStyle name="Normal 4 3 6 2 2 2 2 2" xfId="13598" xr:uid="{00000000-0005-0000-0000-000056D00000}"/>
    <cellStyle name="Normal 4 3 6 2 2 2 2 2 2" xfId="13599" xr:uid="{00000000-0005-0000-0000-000057D00000}"/>
    <cellStyle name="Normal 4 3 6 2 2 2 2 2 2 2" xfId="13600" xr:uid="{00000000-0005-0000-0000-000058D00000}"/>
    <cellStyle name="Normal 4 3 6 2 2 2 2 2 2 2 2" xfId="31594" xr:uid="{00000000-0005-0000-0000-000059D00000}"/>
    <cellStyle name="Normal 4 3 6 2 2 2 2 2 2 2 2 2" xfId="63465" xr:uid="{00000000-0005-0000-0000-00005AD00000}"/>
    <cellStyle name="Normal 4 3 6 2 2 2 2 2 2 2 3" xfId="45479" xr:uid="{00000000-0005-0000-0000-00005BD00000}"/>
    <cellStyle name="Normal 4 3 6 2 2 2 2 2 2 3" xfId="23716" xr:uid="{00000000-0005-0000-0000-00005CD00000}"/>
    <cellStyle name="Normal 4 3 6 2 2 2 2 2 2 3 2" xfId="55587" xr:uid="{00000000-0005-0000-0000-00005DD00000}"/>
    <cellStyle name="Normal 4 3 6 2 2 2 2 2 2 4" xfId="45478" xr:uid="{00000000-0005-0000-0000-00005ED00000}"/>
    <cellStyle name="Normal 4 3 6 2 2 2 2 2 3" xfId="13601" xr:uid="{00000000-0005-0000-0000-00005FD00000}"/>
    <cellStyle name="Normal 4 3 6 2 2 2 2 2 3 2" xfId="27655" xr:uid="{00000000-0005-0000-0000-000060D00000}"/>
    <cellStyle name="Normal 4 3 6 2 2 2 2 2 3 2 2" xfId="59526" xr:uid="{00000000-0005-0000-0000-000061D00000}"/>
    <cellStyle name="Normal 4 3 6 2 2 2 2 2 3 3" xfId="45480" xr:uid="{00000000-0005-0000-0000-000062D00000}"/>
    <cellStyle name="Normal 4 3 6 2 2 2 2 2 4" xfId="19777" xr:uid="{00000000-0005-0000-0000-000063D00000}"/>
    <cellStyle name="Normal 4 3 6 2 2 2 2 2 4 2" xfId="51648" xr:uid="{00000000-0005-0000-0000-000064D00000}"/>
    <cellStyle name="Normal 4 3 6 2 2 2 2 2 5" xfId="45477" xr:uid="{00000000-0005-0000-0000-000065D00000}"/>
    <cellStyle name="Normal 4 3 6 2 2 2 2 3" xfId="13602" xr:uid="{00000000-0005-0000-0000-000066D00000}"/>
    <cellStyle name="Normal 4 3 6 2 2 2 2 3 2" xfId="13603" xr:uid="{00000000-0005-0000-0000-000067D00000}"/>
    <cellStyle name="Normal 4 3 6 2 2 2 2 3 2 2" xfId="31593" xr:uid="{00000000-0005-0000-0000-000068D00000}"/>
    <cellStyle name="Normal 4 3 6 2 2 2 2 3 2 2 2" xfId="63464" xr:uid="{00000000-0005-0000-0000-000069D00000}"/>
    <cellStyle name="Normal 4 3 6 2 2 2 2 3 2 3" xfId="45482" xr:uid="{00000000-0005-0000-0000-00006AD00000}"/>
    <cellStyle name="Normal 4 3 6 2 2 2 2 3 3" xfId="23715" xr:uid="{00000000-0005-0000-0000-00006BD00000}"/>
    <cellStyle name="Normal 4 3 6 2 2 2 2 3 3 2" xfId="55586" xr:uid="{00000000-0005-0000-0000-00006CD00000}"/>
    <cellStyle name="Normal 4 3 6 2 2 2 2 3 4" xfId="45481" xr:uid="{00000000-0005-0000-0000-00006DD00000}"/>
    <cellStyle name="Normal 4 3 6 2 2 2 2 4" xfId="13604" xr:uid="{00000000-0005-0000-0000-00006ED00000}"/>
    <cellStyle name="Normal 4 3 6 2 2 2 2 4 2" xfId="27654" xr:uid="{00000000-0005-0000-0000-00006FD00000}"/>
    <cellStyle name="Normal 4 3 6 2 2 2 2 4 2 2" xfId="59525" xr:uid="{00000000-0005-0000-0000-000070D00000}"/>
    <cellStyle name="Normal 4 3 6 2 2 2 2 4 3" xfId="45483" xr:uid="{00000000-0005-0000-0000-000071D00000}"/>
    <cellStyle name="Normal 4 3 6 2 2 2 2 5" xfId="19776" xr:uid="{00000000-0005-0000-0000-000072D00000}"/>
    <cellStyle name="Normal 4 3 6 2 2 2 2 5 2" xfId="51647" xr:uid="{00000000-0005-0000-0000-000073D00000}"/>
    <cellStyle name="Normal 4 3 6 2 2 2 2 6" xfId="45476" xr:uid="{00000000-0005-0000-0000-000074D00000}"/>
    <cellStyle name="Normal 4 3 6 2 2 2 3" xfId="13605" xr:uid="{00000000-0005-0000-0000-000075D00000}"/>
    <cellStyle name="Normal 4 3 6 2 2 2 3 2" xfId="13606" xr:uid="{00000000-0005-0000-0000-000076D00000}"/>
    <cellStyle name="Normal 4 3 6 2 2 2 3 2 2" xfId="13607" xr:uid="{00000000-0005-0000-0000-000077D00000}"/>
    <cellStyle name="Normal 4 3 6 2 2 2 3 2 2 2" xfId="31595" xr:uid="{00000000-0005-0000-0000-000078D00000}"/>
    <cellStyle name="Normal 4 3 6 2 2 2 3 2 2 2 2" xfId="63466" xr:uid="{00000000-0005-0000-0000-000079D00000}"/>
    <cellStyle name="Normal 4 3 6 2 2 2 3 2 2 3" xfId="45486" xr:uid="{00000000-0005-0000-0000-00007AD00000}"/>
    <cellStyle name="Normal 4 3 6 2 2 2 3 2 3" xfId="23717" xr:uid="{00000000-0005-0000-0000-00007BD00000}"/>
    <cellStyle name="Normal 4 3 6 2 2 2 3 2 3 2" xfId="55588" xr:uid="{00000000-0005-0000-0000-00007CD00000}"/>
    <cellStyle name="Normal 4 3 6 2 2 2 3 2 4" xfId="45485" xr:uid="{00000000-0005-0000-0000-00007DD00000}"/>
    <cellStyle name="Normal 4 3 6 2 2 2 3 3" xfId="13608" xr:uid="{00000000-0005-0000-0000-00007ED00000}"/>
    <cellStyle name="Normal 4 3 6 2 2 2 3 3 2" xfId="27656" xr:uid="{00000000-0005-0000-0000-00007FD00000}"/>
    <cellStyle name="Normal 4 3 6 2 2 2 3 3 2 2" xfId="59527" xr:uid="{00000000-0005-0000-0000-000080D00000}"/>
    <cellStyle name="Normal 4 3 6 2 2 2 3 3 3" xfId="45487" xr:uid="{00000000-0005-0000-0000-000081D00000}"/>
    <cellStyle name="Normal 4 3 6 2 2 2 3 4" xfId="19778" xr:uid="{00000000-0005-0000-0000-000082D00000}"/>
    <cellStyle name="Normal 4 3 6 2 2 2 3 4 2" xfId="51649" xr:uid="{00000000-0005-0000-0000-000083D00000}"/>
    <cellStyle name="Normal 4 3 6 2 2 2 3 5" xfId="45484" xr:uid="{00000000-0005-0000-0000-000084D00000}"/>
    <cellStyle name="Normal 4 3 6 2 2 2 4" xfId="13609" xr:uid="{00000000-0005-0000-0000-000085D00000}"/>
    <cellStyle name="Normal 4 3 6 2 2 2 4 2" xfId="13610" xr:uid="{00000000-0005-0000-0000-000086D00000}"/>
    <cellStyle name="Normal 4 3 6 2 2 2 4 2 2" xfId="31592" xr:uid="{00000000-0005-0000-0000-000087D00000}"/>
    <cellStyle name="Normal 4 3 6 2 2 2 4 2 2 2" xfId="63463" xr:uid="{00000000-0005-0000-0000-000088D00000}"/>
    <cellStyle name="Normal 4 3 6 2 2 2 4 2 3" xfId="45489" xr:uid="{00000000-0005-0000-0000-000089D00000}"/>
    <cellStyle name="Normal 4 3 6 2 2 2 4 3" xfId="23714" xr:uid="{00000000-0005-0000-0000-00008AD00000}"/>
    <cellStyle name="Normal 4 3 6 2 2 2 4 3 2" xfId="55585" xr:uid="{00000000-0005-0000-0000-00008BD00000}"/>
    <cellStyle name="Normal 4 3 6 2 2 2 4 4" xfId="45488" xr:uid="{00000000-0005-0000-0000-00008CD00000}"/>
    <cellStyle name="Normal 4 3 6 2 2 2 5" xfId="13611" xr:uid="{00000000-0005-0000-0000-00008DD00000}"/>
    <cellStyle name="Normal 4 3 6 2 2 2 5 2" xfId="27653" xr:uid="{00000000-0005-0000-0000-00008ED00000}"/>
    <cellStyle name="Normal 4 3 6 2 2 2 5 2 2" xfId="59524" xr:uid="{00000000-0005-0000-0000-00008FD00000}"/>
    <cellStyle name="Normal 4 3 6 2 2 2 5 3" xfId="45490" xr:uid="{00000000-0005-0000-0000-000090D00000}"/>
    <cellStyle name="Normal 4 3 6 2 2 2 6" xfId="19775" xr:uid="{00000000-0005-0000-0000-000091D00000}"/>
    <cellStyle name="Normal 4 3 6 2 2 2 6 2" xfId="51646" xr:uid="{00000000-0005-0000-0000-000092D00000}"/>
    <cellStyle name="Normal 4 3 6 2 2 2 7" xfId="45475" xr:uid="{00000000-0005-0000-0000-000093D00000}"/>
    <cellStyle name="Normal 4 3 6 2 2 3" xfId="13612" xr:uid="{00000000-0005-0000-0000-000094D00000}"/>
    <cellStyle name="Normal 4 3 6 2 2 3 2" xfId="13613" xr:uid="{00000000-0005-0000-0000-000095D00000}"/>
    <cellStyle name="Normal 4 3 6 2 2 3 2 2" xfId="13614" xr:uid="{00000000-0005-0000-0000-000096D00000}"/>
    <cellStyle name="Normal 4 3 6 2 2 3 2 2 2" xfId="13615" xr:uid="{00000000-0005-0000-0000-000097D00000}"/>
    <cellStyle name="Normal 4 3 6 2 2 3 2 2 2 2" xfId="31597" xr:uid="{00000000-0005-0000-0000-000098D00000}"/>
    <cellStyle name="Normal 4 3 6 2 2 3 2 2 2 2 2" xfId="63468" xr:uid="{00000000-0005-0000-0000-000099D00000}"/>
    <cellStyle name="Normal 4 3 6 2 2 3 2 2 2 3" xfId="45494" xr:uid="{00000000-0005-0000-0000-00009AD00000}"/>
    <cellStyle name="Normal 4 3 6 2 2 3 2 2 3" xfId="23719" xr:uid="{00000000-0005-0000-0000-00009BD00000}"/>
    <cellStyle name="Normal 4 3 6 2 2 3 2 2 3 2" xfId="55590" xr:uid="{00000000-0005-0000-0000-00009CD00000}"/>
    <cellStyle name="Normal 4 3 6 2 2 3 2 2 4" xfId="45493" xr:uid="{00000000-0005-0000-0000-00009DD00000}"/>
    <cellStyle name="Normal 4 3 6 2 2 3 2 3" xfId="13616" xr:uid="{00000000-0005-0000-0000-00009ED00000}"/>
    <cellStyle name="Normal 4 3 6 2 2 3 2 3 2" xfId="27658" xr:uid="{00000000-0005-0000-0000-00009FD00000}"/>
    <cellStyle name="Normal 4 3 6 2 2 3 2 3 2 2" xfId="59529" xr:uid="{00000000-0005-0000-0000-0000A0D00000}"/>
    <cellStyle name="Normal 4 3 6 2 2 3 2 3 3" xfId="45495" xr:uid="{00000000-0005-0000-0000-0000A1D00000}"/>
    <cellStyle name="Normal 4 3 6 2 2 3 2 4" xfId="19780" xr:uid="{00000000-0005-0000-0000-0000A2D00000}"/>
    <cellStyle name="Normal 4 3 6 2 2 3 2 4 2" xfId="51651" xr:uid="{00000000-0005-0000-0000-0000A3D00000}"/>
    <cellStyle name="Normal 4 3 6 2 2 3 2 5" xfId="45492" xr:uid="{00000000-0005-0000-0000-0000A4D00000}"/>
    <cellStyle name="Normal 4 3 6 2 2 3 3" xfId="13617" xr:uid="{00000000-0005-0000-0000-0000A5D00000}"/>
    <cellStyle name="Normal 4 3 6 2 2 3 3 2" xfId="13618" xr:uid="{00000000-0005-0000-0000-0000A6D00000}"/>
    <cellStyle name="Normal 4 3 6 2 2 3 3 2 2" xfId="31596" xr:uid="{00000000-0005-0000-0000-0000A7D00000}"/>
    <cellStyle name="Normal 4 3 6 2 2 3 3 2 2 2" xfId="63467" xr:uid="{00000000-0005-0000-0000-0000A8D00000}"/>
    <cellStyle name="Normal 4 3 6 2 2 3 3 2 3" xfId="45497" xr:uid="{00000000-0005-0000-0000-0000A9D00000}"/>
    <cellStyle name="Normal 4 3 6 2 2 3 3 3" xfId="23718" xr:uid="{00000000-0005-0000-0000-0000AAD00000}"/>
    <cellStyle name="Normal 4 3 6 2 2 3 3 3 2" xfId="55589" xr:uid="{00000000-0005-0000-0000-0000ABD00000}"/>
    <cellStyle name="Normal 4 3 6 2 2 3 3 4" xfId="45496" xr:uid="{00000000-0005-0000-0000-0000ACD00000}"/>
    <cellStyle name="Normal 4 3 6 2 2 3 4" xfId="13619" xr:uid="{00000000-0005-0000-0000-0000ADD00000}"/>
    <cellStyle name="Normal 4 3 6 2 2 3 4 2" xfId="27657" xr:uid="{00000000-0005-0000-0000-0000AED00000}"/>
    <cellStyle name="Normal 4 3 6 2 2 3 4 2 2" xfId="59528" xr:uid="{00000000-0005-0000-0000-0000AFD00000}"/>
    <cellStyle name="Normal 4 3 6 2 2 3 4 3" xfId="45498" xr:uid="{00000000-0005-0000-0000-0000B0D00000}"/>
    <cellStyle name="Normal 4 3 6 2 2 3 5" xfId="19779" xr:uid="{00000000-0005-0000-0000-0000B1D00000}"/>
    <cellStyle name="Normal 4 3 6 2 2 3 5 2" xfId="51650" xr:uid="{00000000-0005-0000-0000-0000B2D00000}"/>
    <cellStyle name="Normal 4 3 6 2 2 3 6" xfId="45491" xr:uid="{00000000-0005-0000-0000-0000B3D00000}"/>
    <cellStyle name="Normal 4 3 6 2 2 4" xfId="13620" xr:uid="{00000000-0005-0000-0000-0000B4D00000}"/>
    <cellStyle name="Normal 4 3 6 2 2 4 2" xfId="13621" xr:uid="{00000000-0005-0000-0000-0000B5D00000}"/>
    <cellStyle name="Normal 4 3 6 2 2 4 2 2" xfId="13622" xr:uid="{00000000-0005-0000-0000-0000B6D00000}"/>
    <cellStyle name="Normal 4 3 6 2 2 4 2 2 2" xfId="31598" xr:uid="{00000000-0005-0000-0000-0000B7D00000}"/>
    <cellStyle name="Normal 4 3 6 2 2 4 2 2 2 2" xfId="63469" xr:uid="{00000000-0005-0000-0000-0000B8D00000}"/>
    <cellStyle name="Normal 4 3 6 2 2 4 2 2 3" xfId="45501" xr:uid="{00000000-0005-0000-0000-0000B9D00000}"/>
    <cellStyle name="Normal 4 3 6 2 2 4 2 3" xfId="23720" xr:uid="{00000000-0005-0000-0000-0000BAD00000}"/>
    <cellStyle name="Normal 4 3 6 2 2 4 2 3 2" xfId="55591" xr:uid="{00000000-0005-0000-0000-0000BBD00000}"/>
    <cellStyle name="Normal 4 3 6 2 2 4 2 4" xfId="45500" xr:uid="{00000000-0005-0000-0000-0000BCD00000}"/>
    <cellStyle name="Normal 4 3 6 2 2 4 3" xfId="13623" xr:uid="{00000000-0005-0000-0000-0000BDD00000}"/>
    <cellStyle name="Normal 4 3 6 2 2 4 3 2" xfId="27659" xr:uid="{00000000-0005-0000-0000-0000BED00000}"/>
    <cellStyle name="Normal 4 3 6 2 2 4 3 2 2" xfId="59530" xr:uid="{00000000-0005-0000-0000-0000BFD00000}"/>
    <cellStyle name="Normal 4 3 6 2 2 4 3 3" xfId="45502" xr:uid="{00000000-0005-0000-0000-0000C0D00000}"/>
    <cellStyle name="Normal 4 3 6 2 2 4 4" xfId="19781" xr:uid="{00000000-0005-0000-0000-0000C1D00000}"/>
    <cellStyle name="Normal 4 3 6 2 2 4 4 2" xfId="51652" xr:uid="{00000000-0005-0000-0000-0000C2D00000}"/>
    <cellStyle name="Normal 4 3 6 2 2 4 5" xfId="45499" xr:uid="{00000000-0005-0000-0000-0000C3D00000}"/>
    <cellStyle name="Normal 4 3 6 2 2 5" xfId="13624" xr:uid="{00000000-0005-0000-0000-0000C4D00000}"/>
    <cellStyle name="Normal 4 3 6 2 2 5 2" xfId="13625" xr:uid="{00000000-0005-0000-0000-0000C5D00000}"/>
    <cellStyle name="Normal 4 3 6 2 2 5 2 2" xfId="31591" xr:uid="{00000000-0005-0000-0000-0000C6D00000}"/>
    <cellStyle name="Normal 4 3 6 2 2 5 2 2 2" xfId="63462" xr:uid="{00000000-0005-0000-0000-0000C7D00000}"/>
    <cellStyle name="Normal 4 3 6 2 2 5 2 3" xfId="45504" xr:uid="{00000000-0005-0000-0000-0000C8D00000}"/>
    <cellStyle name="Normal 4 3 6 2 2 5 3" xfId="23713" xr:uid="{00000000-0005-0000-0000-0000C9D00000}"/>
    <cellStyle name="Normal 4 3 6 2 2 5 3 2" xfId="55584" xr:uid="{00000000-0005-0000-0000-0000CAD00000}"/>
    <cellStyle name="Normal 4 3 6 2 2 5 4" xfId="45503" xr:uid="{00000000-0005-0000-0000-0000CBD00000}"/>
    <cellStyle name="Normal 4 3 6 2 2 6" xfId="13626" xr:uid="{00000000-0005-0000-0000-0000CCD00000}"/>
    <cellStyle name="Normal 4 3 6 2 2 6 2" xfId="27652" xr:uid="{00000000-0005-0000-0000-0000CDD00000}"/>
    <cellStyle name="Normal 4 3 6 2 2 6 2 2" xfId="59523" xr:uid="{00000000-0005-0000-0000-0000CED00000}"/>
    <cellStyle name="Normal 4 3 6 2 2 6 3" xfId="45505" xr:uid="{00000000-0005-0000-0000-0000CFD00000}"/>
    <cellStyle name="Normal 4 3 6 2 2 7" xfId="19774" xr:uid="{00000000-0005-0000-0000-0000D0D00000}"/>
    <cellStyle name="Normal 4 3 6 2 2 7 2" xfId="51645" xr:uid="{00000000-0005-0000-0000-0000D1D00000}"/>
    <cellStyle name="Normal 4 3 6 2 2 8" xfId="45474" xr:uid="{00000000-0005-0000-0000-0000D2D00000}"/>
    <cellStyle name="Normal 4 3 6 2 3" xfId="13627" xr:uid="{00000000-0005-0000-0000-0000D3D00000}"/>
    <cellStyle name="Normal 4 3 6 2 3 2" xfId="13628" xr:uid="{00000000-0005-0000-0000-0000D4D00000}"/>
    <cellStyle name="Normal 4 3 6 2 3 2 2" xfId="13629" xr:uid="{00000000-0005-0000-0000-0000D5D00000}"/>
    <cellStyle name="Normal 4 3 6 2 3 2 2 2" xfId="13630" xr:uid="{00000000-0005-0000-0000-0000D6D00000}"/>
    <cellStyle name="Normal 4 3 6 2 3 2 2 2 2" xfId="13631" xr:uid="{00000000-0005-0000-0000-0000D7D00000}"/>
    <cellStyle name="Normal 4 3 6 2 3 2 2 2 2 2" xfId="31601" xr:uid="{00000000-0005-0000-0000-0000D8D00000}"/>
    <cellStyle name="Normal 4 3 6 2 3 2 2 2 2 2 2" xfId="63472" xr:uid="{00000000-0005-0000-0000-0000D9D00000}"/>
    <cellStyle name="Normal 4 3 6 2 3 2 2 2 2 3" xfId="45510" xr:uid="{00000000-0005-0000-0000-0000DAD00000}"/>
    <cellStyle name="Normal 4 3 6 2 3 2 2 2 3" xfId="23723" xr:uid="{00000000-0005-0000-0000-0000DBD00000}"/>
    <cellStyle name="Normal 4 3 6 2 3 2 2 2 3 2" xfId="55594" xr:uid="{00000000-0005-0000-0000-0000DCD00000}"/>
    <cellStyle name="Normal 4 3 6 2 3 2 2 2 4" xfId="45509" xr:uid="{00000000-0005-0000-0000-0000DDD00000}"/>
    <cellStyle name="Normal 4 3 6 2 3 2 2 3" xfId="13632" xr:uid="{00000000-0005-0000-0000-0000DED00000}"/>
    <cellStyle name="Normal 4 3 6 2 3 2 2 3 2" xfId="27662" xr:uid="{00000000-0005-0000-0000-0000DFD00000}"/>
    <cellStyle name="Normal 4 3 6 2 3 2 2 3 2 2" xfId="59533" xr:uid="{00000000-0005-0000-0000-0000E0D00000}"/>
    <cellStyle name="Normal 4 3 6 2 3 2 2 3 3" xfId="45511" xr:uid="{00000000-0005-0000-0000-0000E1D00000}"/>
    <cellStyle name="Normal 4 3 6 2 3 2 2 4" xfId="19784" xr:uid="{00000000-0005-0000-0000-0000E2D00000}"/>
    <cellStyle name="Normal 4 3 6 2 3 2 2 4 2" xfId="51655" xr:uid="{00000000-0005-0000-0000-0000E3D00000}"/>
    <cellStyle name="Normal 4 3 6 2 3 2 2 5" xfId="45508" xr:uid="{00000000-0005-0000-0000-0000E4D00000}"/>
    <cellStyle name="Normal 4 3 6 2 3 2 3" xfId="13633" xr:uid="{00000000-0005-0000-0000-0000E5D00000}"/>
    <cellStyle name="Normal 4 3 6 2 3 2 3 2" xfId="13634" xr:uid="{00000000-0005-0000-0000-0000E6D00000}"/>
    <cellStyle name="Normal 4 3 6 2 3 2 3 2 2" xfId="31600" xr:uid="{00000000-0005-0000-0000-0000E7D00000}"/>
    <cellStyle name="Normal 4 3 6 2 3 2 3 2 2 2" xfId="63471" xr:uid="{00000000-0005-0000-0000-0000E8D00000}"/>
    <cellStyle name="Normal 4 3 6 2 3 2 3 2 3" xfId="45513" xr:uid="{00000000-0005-0000-0000-0000E9D00000}"/>
    <cellStyle name="Normal 4 3 6 2 3 2 3 3" xfId="23722" xr:uid="{00000000-0005-0000-0000-0000EAD00000}"/>
    <cellStyle name="Normal 4 3 6 2 3 2 3 3 2" xfId="55593" xr:uid="{00000000-0005-0000-0000-0000EBD00000}"/>
    <cellStyle name="Normal 4 3 6 2 3 2 3 4" xfId="45512" xr:uid="{00000000-0005-0000-0000-0000ECD00000}"/>
    <cellStyle name="Normal 4 3 6 2 3 2 4" xfId="13635" xr:uid="{00000000-0005-0000-0000-0000EDD00000}"/>
    <cellStyle name="Normal 4 3 6 2 3 2 4 2" xfId="27661" xr:uid="{00000000-0005-0000-0000-0000EED00000}"/>
    <cellStyle name="Normal 4 3 6 2 3 2 4 2 2" xfId="59532" xr:uid="{00000000-0005-0000-0000-0000EFD00000}"/>
    <cellStyle name="Normal 4 3 6 2 3 2 4 3" xfId="45514" xr:uid="{00000000-0005-0000-0000-0000F0D00000}"/>
    <cellStyle name="Normal 4 3 6 2 3 2 5" xfId="19783" xr:uid="{00000000-0005-0000-0000-0000F1D00000}"/>
    <cellStyle name="Normal 4 3 6 2 3 2 5 2" xfId="51654" xr:uid="{00000000-0005-0000-0000-0000F2D00000}"/>
    <cellStyle name="Normal 4 3 6 2 3 2 6" xfId="45507" xr:uid="{00000000-0005-0000-0000-0000F3D00000}"/>
    <cellStyle name="Normal 4 3 6 2 3 3" xfId="13636" xr:uid="{00000000-0005-0000-0000-0000F4D00000}"/>
    <cellStyle name="Normal 4 3 6 2 3 3 2" xfId="13637" xr:uid="{00000000-0005-0000-0000-0000F5D00000}"/>
    <cellStyle name="Normal 4 3 6 2 3 3 2 2" xfId="13638" xr:uid="{00000000-0005-0000-0000-0000F6D00000}"/>
    <cellStyle name="Normal 4 3 6 2 3 3 2 2 2" xfId="31602" xr:uid="{00000000-0005-0000-0000-0000F7D00000}"/>
    <cellStyle name="Normal 4 3 6 2 3 3 2 2 2 2" xfId="63473" xr:uid="{00000000-0005-0000-0000-0000F8D00000}"/>
    <cellStyle name="Normal 4 3 6 2 3 3 2 2 3" xfId="45517" xr:uid="{00000000-0005-0000-0000-0000F9D00000}"/>
    <cellStyle name="Normal 4 3 6 2 3 3 2 3" xfId="23724" xr:uid="{00000000-0005-0000-0000-0000FAD00000}"/>
    <cellStyle name="Normal 4 3 6 2 3 3 2 3 2" xfId="55595" xr:uid="{00000000-0005-0000-0000-0000FBD00000}"/>
    <cellStyle name="Normal 4 3 6 2 3 3 2 4" xfId="45516" xr:uid="{00000000-0005-0000-0000-0000FCD00000}"/>
    <cellStyle name="Normal 4 3 6 2 3 3 3" xfId="13639" xr:uid="{00000000-0005-0000-0000-0000FDD00000}"/>
    <cellStyle name="Normal 4 3 6 2 3 3 3 2" xfId="27663" xr:uid="{00000000-0005-0000-0000-0000FED00000}"/>
    <cellStyle name="Normal 4 3 6 2 3 3 3 2 2" xfId="59534" xr:uid="{00000000-0005-0000-0000-0000FFD00000}"/>
    <cellStyle name="Normal 4 3 6 2 3 3 3 3" xfId="45518" xr:uid="{00000000-0005-0000-0000-000000D10000}"/>
    <cellStyle name="Normal 4 3 6 2 3 3 4" xfId="19785" xr:uid="{00000000-0005-0000-0000-000001D10000}"/>
    <cellStyle name="Normal 4 3 6 2 3 3 4 2" xfId="51656" xr:uid="{00000000-0005-0000-0000-000002D10000}"/>
    <cellStyle name="Normal 4 3 6 2 3 3 5" xfId="45515" xr:uid="{00000000-0005-0000-0000-000003D10000}"/>
    <cellStyle name="Normal 4 3 6 2 3 4" xfId="13640" xr:uid="{00000000-0005-0000-0000-000004D10000}"/>
    <cellStyle name="Normal 4 3 6 2 3 4 2" xfId="13641" xr:uid="{00000000-0005-0000-0000-000005D10000}"/>
    <cellStyle name="Normal 4 3 6 2 3 4 2 2" xfId="31599" xr:uid="{00000000-0005-0000-0000-000006D10000}"/>
    <cellStyle name="Normal 4 3 6 2 3 4 2 2 2" xfId="63470" xr:uid="{00000000-0005-0000-0000-000007D10000}"/>
    <cellStyle name="Normal 4 3 6 2 3 4 2 3" xfId="45520" xr:uid="{00000000-0005-0000-0000-000008D10000}"/>
    <cellStyle name="Normal 4 3 6 2 3 4 3" xfId="23721" xr:uid="{00000000-0005-0000-0000-000009D10000}"/>
    <cellStyle name="Normal 4 3 6 2 3 4 3 2" xfId="55592" xr:uid="{00000000-0005-0000-0000-00000AD10000}"/>
    <cellStyle name="Normal 4 3 6 2 3 4 4" xfId="45519" xr:uid="{00000000-0005-0000-0000-00000BD10000}"/>
    <cellStyle name="Normal 4 3 6 2 3 5" xfId="13642" xr:uid="{00000000-0005-0000-0000-00000CD10000}"/>
    <cellStyle name="Normal 4 3 6 2 3 5 2" xfId="27660" xr:uid="{00000000-0005-0000-0000-00000DD10000}"/>
    <cellStyle name="Normal 4 3 6 2 3 5 2 2" xfId="59531" xr:uid="{00000000-0005-0000-0000-00000ED10000}"/>
    <cellStyle name="Normal 4 3 6 2 3 5 3" xfId="45521" xr:uid="{00000000-0005-0000-0000-00000FD10000}"/>
    <cellStyle name="Normal 4 3 6 2 3 6" xfId="19782" xr:uid="{00000000-0005-0000-0000-000010D10000}"/>
    <cellStyle name="Normal 4 3 6 2 3 6 2" xfId="51653" xr:uid="{00000000-0005-0000-0000-000011D10000}"/>
    <cellStyle name="Normal 4 3 6 2 3 7" xfId="45506" xr:uid="{00000000-0005-0000-0000-000012D10000}"/>
    <cellStyle name="Normal 4 3 6 2 4" xfId="13643" xr:uid="{00000000-0005-0000-0000-000013D10000}"/>
    <cellStyle name="Normal 4 3 6 2 4 2" xfId="13644" xr:uid="{00000000-0005-0000-0000-000014D10000}"/>
    <cellStyle name="Normal 4 3 6 2 4 2 2" xfId="13645" xr:uid="{00000000-0005-0000-0000-000015D10000}"/>
    <cellStyle name="Normal 4 3 6 2 4 2 2 2" xfId="13646" xr:uid="{00000000-0005-0000-0000-000016D10000}"/>
    <cellStyle name="Normal 4 3 6 2 4 2 2 2 2" xfId="31604" xr:uid="{00000000-0005-0000-0000-000017D10000}"/>
    <cellStyle name="Normal 4 3 6 2 4 2 2 2 2 2" xfId="63475" xr:uid="{00000000-0005-0000-0000-000018D10000}"/>
    <cellStyle name="Normal 4 3 6 2 4 2 2 2 3" xfId="45525" xr:uid="{00000000-0005-0000-0000-000019D10000}"/>
    <cellStyle name="Normal 4 3 6 2 4 2 2 3" xfId="23726" xr:uid="{00000000-0005-0000-0000-00001AD10000}"/>
    <cellStyle name="Normal 4 3 6 2 4 2 2 3 2" xfId="55597" xr:uid="{00000000-0005-0000-0000-00001BD10000}"/>
    <cellStyle name="Normal 4 3 6 2 4 2 2 4" xfId="45524" xr:uid="{00000000-0005-0000-0000-00001CD10000}"/>
    <cellStyle name="Normal 4 3 6 2 4 2 3" xfId="13647" xr:uid="{00000000-0005-0000-0000-00001DD10000}"/>
    <cellStyle name="Normal 4 3 6 2 4 2 3 2" xfId="27665" xr:uid="{00000000-0005-0000-0000-00001ED10000}"/>
    <cellStyle name="Normal 4 3 6 2 4 2 3 2 2" xfId="59536" xr:uid="{00000000-0005-0000-0000-00001FD10000}"/>
    <cellStyle name="Normal 4 3 6 2 4 2 3 3" xfId="45526" xr:uid="{00000000-0005-0000-0000-000020D10000}"/>
    <cellStyle name="Normal 4 3 6 2 4 2 4" xfId="19787" xr:uid="{00000000-0005-0000-0000-000021D10000}"/>
    <cellStyle name="Normal 4 3 6 2 4 2 4 2" xfId="51658" xr:uid="{00000000-0005-0000-0000-000022D10000}"/>
    <cellStyle name="Normal 4 3 6 2 4 2 5" xfId="45523" xr:uid="{00000000-0005-0000-0000-000023D10000}"/>
    <cellStyle name="Normal 4 3 6 2 4 3" xfId="13648" xr:uid="{00000000-0005-0000-0000-000024D10000}"/>
    <cellStyle name="Normal 4 3 6 2 4 3 2" xfId="13649" xr:uid="{00000000-0005-0000-0000-000025D10000}"/>
    <cellStyle name="Normal 4 3 6 2 4 3 2 2" xfId="31603" xr:uid="{00000000-0005-0000-0000-000026D10000}"/>
    <cellStyle name="Normal 4 3 6 2 4 3 2 2 2" xfId="63474" xr:uid="{00000000-0005-0000-0000-000027D10000}"/>
    <cellStyle name="Normal 4 3 6 2 4 3 2 3" xfId="45528" xr:uid="{00000000-0005-0000-0000-000028D10000}"/>
    <cellStyle name="Normal 4 3 6 2 4 3 3" xfId="23725" xr:uid="{00000000-0005-0000-0000-000029D10000}"/>
    <cellStyle name="Normal 4 3 6 2 4 3 3 2" xfId="55596" xr:uid="{00000000-0005-0000-0000-00002AD10000}"/>
    <cellStyle name="Normal 4 3 6 2 4 3 4" xfId="45527" xr:uid="{00000000-0005-0000-0000-00002BD10000}"/>
    <cellStyle name="Normal 4 3 6 2 4 4" xfId="13650" xr:uid="{00000000-0005-0000-0000-00002CD10000}"/>
    <cellStyle name="Normal 4 3 6 2 4 4 2" xfId="27664" xr:uid="{00000000-0005-0000-0000-00002DD10000}"/>
    <cellStyle name="Normal 4 3 6 2 4 4 2 2" xfId="59535" xr:uid="{00000000-0005-0000-0000-00002ED10000}"/>
    <cellStyle name="Normal 4 3 6 2 4 4 3" xfId="45529" xr:uid="{00000000-0005-0000-0000-00002FD10000}"/>
    <cellStyle name="Normal 4 3 6 2 4 5" xfId="19786" xr:uid="{00000000-0005-0000-0000-000030D10000}"/>
    <cellStyle name="Normal 4 3 6 2 4 5 2" xfId="51657" xr:uid="{00000000-0005-0000-0000-000031D10000}"/>
    <cellStyle name="Normal 4 3 6 2 4 6" xfId="45522" xr:uid="{00000000-0005-0000-0000-000032D10000}"/>
    <cellStyle name="Normal 4 3 6 2 5" xfId="13651" xr:uid="{00000000-0005-0000-0000-000033D10000}"/>
    <cellStyle name="Normal 4 3 6 2 5 2" xfId="13652" xr:uid="{00000000-0005-0000-0000-000034D10000}"/>
    <cellStyle name="Normal 4 3 6 2 5 2 2" xfId="13653" xr:uid="{00000000-0005-0000-0000-000035D10000}"/>
    <cellStyle name="Normal 4 3 6 2 5 2 2 2" xfId="31605" xr:uid="{00000000-0005-0000-0000-000036D10000}"/>
    <cellStyle name="Normal 4 3 6 2 5 2 2 2 2" xfId="63476" xr:uid="{00000000-0005-0000-0000-000037D10000}"/>
    <cellStyle name="Normal 4 3 6 2 5 2 2 3" xfId="45532" xr:uid="{00000000-0005-0000-0000-000038D10000}"/>
    <cellStyle name="Normal 4 3 6 2 5 2 3" xfId="23727" xr:uid="{00000000-0005-0000-0000-000039D10000}"/>
    <cellStyle name="Normal 4 3 6 2 5 2 3 2" xfId="55598" xr:uid="{00000000-0005-0000-0000-00003AD10000}"/>
    <cellStyle name="Normal 4 3 6 2 5 2 4" xfId="45531" xr:uid="{00000000-0005-0000-0000-00003BD10000}"/>
    <cellStyle name="Normal 4 3 6 2 5 3" xfId="13654" xr:uid="{00000000-0005-0000-0000-00003CD10000}"/>
    <cellStyle name="Normal 4 3 6 2 5 3 2" xfId="27666" xr:uid="{00000000-0005-0000-0000-00003DD10000}"/>
    <cellStyle name="Normal 4 3 6 2 5 3 2 2" xfId="59537" xr:uid="{00000000-0005-0000-0000-00003ED10000}"/>
    <cellStyle name="Normal 4 3 6 2 5 3 3" xfId="45533" xr:uid="{00000000-0005-0000-0000-00003FD10000}"/>
    <cellStyle name="Normal 4 3 6 2 5 4" xfId="19788" xr:uid="{00000000-0005-0000-0000-000040D10000}"/>
    <cellStyle name="Normal 4 3 6 2 5 4 2" xfId="51659" xr:uid="{00000000-0005-0000-0000-000041D10000}"/>
    <cellStyle name="Normal 4 3 6 2 5 5" xfId="45530" xr:uid="{00000000-0005-0000-0000-000042D10000}"/>
    <cellStyle name="Normal 4 3 6 2 6" xfId="13655" xr:uid="{00000000-0005-0000-0000-000043D10000}"/>
    <cellStyle name="Normal 4 3 6 2 6 2" xfId="13656" xr:uid="{00000000-0005-0000-0000-000044D10000}"/>
    <cellStyle name="Normal 4 3 6 2 6 2 2" xfId="28469" xr:uid="{00000000-0005-0000-0000-000045D10000}"/>
    <cellStyle name="Normal 4 3 6 2 6 2 2 2" xfId="60340" xr:uid="{00000000-0005-0000-0000-000046D10000}"/>
    <cellStyle name="Normal 4 3 6 2 6 2 3" xfId="45535" xr:uid="{00000000-0005-0000-0000-000047D10000}"/>
    <cellStyle name="Normal 4 3 6 2 6 3" xfId="20591" xr:uid="{00000000-0005-0000-0000-000048D10000}"/>
    <cellStyle name="Normal 4 3 6 2 6 3 2" xfId="52462" xr:uid="{00000000-0005-0000-0000-000049D10000}"/>
    <cellStyle name="Normal 4 3 6 2 6 4" xfId="45534" xr:uid="{00000000-0005-0000-0000-00004AD10000}"/>
    <cellStyle name="Normal 4 3 6 2 7" xfId="13657" xr:uid="{00000000-0005-0000-0000-00004BD10000}"/>
    <cellStyle name="Normal 4 3 6 2 7 2" xfId="24530" xr:uid="{00000000-0005-0000-0000-00004CD10000}"/>
    <cellStyle name="Normal 4 3 6 2 7 2 2" xfId="56401" xr:uid="{00000000-0005-0000-0000-00004DD10000}"/>
    <cellStyle name="Normal 4 3 6 2 7 3" xfId="45536" xr:uid="{00000000-0005-0000-0000-00004ED10000}"/>
    <cellStyle name="Normal 4 3 6 2 8" xfId="16652" xr:uid="{00000000-0005-0000-0000-00004FD10000}"/>
    <cellStyle name="Normal 4 3 6 2 8 2" xfId="48523" xr:uid="{00000000-0005-0000-0000-000050D10000}"/>
    <cellStyle name="Normal 4 3 6 2 9" xfId="45473" xr:uid="{00000000-0005-0000-0000-000051D10000}"/>
    <cellStyle name="Normal 4 3 6 3" xfId="13658" xr:uid="{00000000-0005-0000-0000-000052D10000}"/>
    <cellStyle name="Normal 4 3 6 3 2" xfId="13659" xr:uid="{00000000-0005-0000-0000-000053D10000}"/>
    <cellStyle name="Normal 4 3 6 3 2 2" xfId="13660" xr:uid="{00000000-0005-0000-0000-000054D10000}"/>
    <cellStyle name="Normal 4 3 6 3 2 2 2" xfId="13661" xr:uid="{00000000-0005-0000-0000-000055D10000}"/>
    <cellStyle name="Normal 4 3 6 3 2 2 2 2" xfId="13662" xr:uid="{00000000-0005-0000-0000-000056D10000}"/>
    <cellStyle name="Normal 4 3 6 3 2 2 2 2 2" xfId="13663" xr:uid="{00000000-0005-0000-0000-000057D10000}"/>
    <cellStyle name="Normal 4 3 6 3 2 2 2 2 2 2" xfId="31609" xr:uid="{00000000-0005-0000-0000-000058D10000}"/>
    <cellStyle name="Normal 4 3 6 3 2 2 2 2 2 2 2" xfId="63480" xr:uid="{00000000-0005-0000-0000-000059D10000}"/>
    <cellStyle name="Normal 4 3 6 3 2 2 2 2 2 3" xfId="45542" xr:uid="{00000000-0005-0000-0000-00005AD10000}"/>
    <cellStyle name="Normal 4 3 6 3 2 2 2 2 3" xfId="23731" xr:uid="{00000000-0005-0000-0000-00005BD10000}"/>
    <cellStyle name="Normal 4 3 6 3 2 2 2 2 3 2" xfId="55602" xr:uid="{00000000-0005-0000-0000-00005CD10000}"/>
    <cellStyle name="Normal 4 3 6 3 2 2 2 2 4" xfId="45541" xr:uid="{00000000-0005-0000-0000-00005DD10000}"/>
    <cellStyle name="Normal 4 3 6 3 2 2 2 3" xfId="13664" xr:uid="{00000000-0005-0000-0000-00005ED10000}"/>
    <cellStyle name="Normal 4 3 6 3 2 2 2 3 2" xfId="27670" xr:uid="{00000000-0005-0000-0000-00005FD10000}"/>
    <cellStyle name="Normal 4 3 6 3 2 2 2 3 2 2" xfId="59541" xr:uid="{00000000-0005-0000-0000-000060D10000}"/>
    <cellStyle name="Normal 4 3 6 3 2 2 2 3 3" xfId="45543" xr:uid="{00000000-0005-0000-0000-000061D10000}"/>
    <cellStyle name="Normal 4 3 6 3 2 2 2 4" xfId="19792" xr:uid="{00000000-0005-0000-0000-000062D10000}"/>
    <cellStyle name="Normal 4 3 6 3 2 2 2 4 2" xfId="51663" xr:uid="{00000000-0005-0000-0000-000063D10000}"/>
    <cellStyle name="Normal 4 3 6 3 2 2 2 5" xfId="45540" xr:uid="{00000000-0005-0000-0000-000064D10000}"/>
    <cellStyle name="Normal 4 3 6 3 2 2 3" xfId="13665" xr:uid="{00000000-0005-0000-0000-000065D10000}"/>
    <cellStyle name="Normal 4 3 6 3 2 2 3 2" xfId="13666" xr:uid="{00000000-0005-0000-0000-000066D10000}"/>
    <cellStyle name="Normal 4 3 6 3 2 2 3 2 2" xfId="31608" xr:uid="{00000000-0005-0000-0000-000067D10000}"/>
    <cellStyle name="Normal 4 3 6 3 2 2 3 2 2 2" xfId="63479" xr:uid="{00000000-0005-0000-0000-000068D10000}"/>
    <cellStyle name="Normal 4 3 6 3 2 2 3 2 3" xfId="45545" xr:uid="{00000000-0005-0000-0000-000069D10000}"/>
    <cellStyle name="Normal 4 3 6 3 2 2 3 3" xfId="23730" xr:uid="{00000000-0005-0000-0000-00006AD10000}"/>
    <cellStyle name="Normal 4 3 6 3 2 2 3 3 2" xfId="55601" xr:uid="{00000000-0005-0000-0000-00006BD10000}"/>
    <cellStyle name="Normal 4 3 6 3 2 2 3 4" xfId="45544" xr:uid="{00000000-0005-0000-0000-00006CD10000}"/>
    <cellStyle name="Normal 4 3 6 3 2 2 4" xfId="13667" xr:uid="{00000000-0005-0000-0000-00006DD10000}"/>
    <cellStyle name="Normal 4 3 6 3 2 2 4 2" xfId="27669" xr:uid="{00000000-0005-0000-0000-00006ED10000}"/>
    <cellStyle name="Normal 4 3 6 3 2 2 4 2 2" xfId="59540" xr:uid="{00000000-0005-0000-0000-00006FD10000}"/>
    <cellStyle name="Normal 4 3 6 3 2 2 4 3" xfId="45546" xr:uid="{00000000-0005-0000-0000-000070D10000}"/>
    <cellStyle name="Normal 4 3 6 3 2 2 5" xfId="19791" xr:uid="{00000000-0005-0000-0000-000071D10000}"/>
    <cellStyle name="Normal 4 3 6 3 2 2 5 2" xfId="51662" xr:uid="{00000000-0005-0000-0000-000072D10000}"/>
    <cellStyle name="Normal 4 3 6 3 2 2 6" xfId="45539" xr:uid="{00000000-0005-0000-0000-000073D10000}"/>
    <cellStyle name="Normal 4 3 6 3 2 3" xfId="13668" xr:uid="{00000000-0005-0000-0000-000074D10000}"/>
    <cellStyle name="Normal 4 3 6 3 2 3 2" xfId="13669" xr:uid="{00000000-0005-0000-0000-000075D10000}"/>
    <cellStyle name="Normal 4 3 6 3 2 3 2 2" xfId="13670" xr:uid="{00000000-0005-0000-0000-000076D10000}"/>
    <cellStyle name="Normal 4 3 6 3 2 3 2 2 2" xfId="31610" xr:uid="{00000000-0005-0000-0000-000077D10000}"/>
    <cellStyle name="Normal 4 3 6 3 2 3 2 2 2 2" xfId="63481" xr:uid="{00000000-0005-0000-0000-000078D10000}"/>
    <cellStyle name="Normal 4 3 6 3 2 3 2 2 3" xfId="45549" xr:uid="{00000000-0005-0000-0000-000079D10000}"/>
    <cellStyle name="Normal 4 3 6 3 2 3 2 3" xfId="23732" xr:uid="{00000000-0005-0000-0000-00007AD10000}"/>
    <cellStyle name="Normal 4 3 6 3 2 3 2 3 2" xfId="55603" xr:uid="{00000000-0005-0000-0000-00007BD10000}"/>
    <cellStyle name="Normal 4 3 6 3 2 3 2 4" xfId="45548" xr:uid="{00000000-0005-0000-0000-00007CD10000}"/>
    <cellStyle name="Normal 4 3 6 3 2 3 3" xfId="13671" xr:uid="{00000000-0005-0000-0000-00007DD10000}"/>
    <cellStyle name="Normal 4 3 6 3 2 3 3 2" xfId="27671" xr:uid="{00000000-0005-0000-0000-00007ED10000}"/>
    <cellStyle name="Normal 4 3 6 3 2 3 3 2 2" xfId="59542" xr:uid="{00000000-0005-0000-0000-00007FD10000}"/>
    <cellStyle name="Normal 4 3 6 3 2 3 3 3" xfId="45550" xr:uid="{00000000-0005-0000-0000-000080D10000}"/>
    <cellStyle name="Normal 4 3 6 3 2 3 4" xfId="19793" xr:uid="{00000000-0005-0000-0000-000081D10000}"/>
    <cellStyle name="Normal 4 3 6 3 2 3 4 2" xfId="51664" xr:uid="{00000000-0005-0000-0000-000082D10000}"/>
    <cellStyle name="Normal 4 3 6 3 2 3 5" xfId="45547" xr:uid="{00000000-0005-0000-0000-000083D10000}"/>
    <cellStyle name="Normal 4 3 6 3 2 4" xfId="13672" xr:uid="{00000000-0005-0000-0000-000084D10000}"/>
    <cellStyle name="Normal 4 3 6 3 2 4 2" xfId="13673" xr:uid="{00000000-0005-0000-0000-000085D10000}"/>
    <cellStyle name="Normal 4 3 6 3 2 4 2 2" xfId="31607" xr:uid="{00000000-0005-0000-0000-000086D10000}"/>
    <cellStyle name="Normal 4 3 6 3 2 4 2 2 2" xfId="63478" xr:uid="{00000000-0005-0000-0000-000087D10000}"/>
    <cellStyle name="Normal 4 3 6 3 2 4 2 3" xfId="45552" xr:uid="{00000000-0005-0000-0000-000088D10000}"/>
    <cellStyle name="Normal 4 3 6 3 2 4 3" xfId="23729" xr:uid="{00000000-0005-0000-0000-000089D10000}"/>
    <cellStyle name="Normal 4 3 6 3 2 4 3 2" xfId="55600" xr:uid="{00000000-0005-0000-0000-00008AD10000}"/>
    <cellStyle name="Normal 4 3 6 3 2 4 4" xfId="45551" xr:uid="{00000000-0005-0000-0000-00008BD10000}"/>
    <cellStyle name="Normal 4 3 6 3 2 5" xfId="13674" xr:uid="{00000000-0005-0000-0000-00008CD10000}"/>
    <cellStyle name="Normal 4 3 6 3 2 5 2" xfId="27668" xr:uid="{00000000-0005-0000-0000-00008DD10000}"/>
    <cellStyle name="Normal 4 3 6 3 2 5 2 2" xfId="59539" xr:uid="{00000000-0005-0000-0000-00008ED10000}"/>
    <cellStyle name="Normal 4 3 6 3 2 5 3" xfId="45553" xr:uid="{00000000-0005-0000-0000-00008FD10000}"/>
    <cellStyle name="Normal 4 3 6 3 2 6" xfId="19790" xr:uid="{00000000-0005-0000-0000-000090D10000}"/>
    <cellStyle name="Normal 4 3 6 3 2 6 2" xfId="51661" xr:uid="{00000000-0005-0000-0000-000091D10000}"/>
    <cellStyle name="Normal 4 3 6 3 2 7" xfId="45538" xr:uid="{00000000-0005-0000-0000-000092D10000}"/>
    <cellStyle name="Normal 4 3 6 3 3" xfId="13675" xr:uid="{00000000-0005-0000-0000-000093D10000}"/>
    <cellStyle name="Normal 4 3 6 3 3 2" xfId="13676" xr:uid="{00000000-0005-0000-0000-000094D10000}"/>
    <cellStyle name="Normal 4 3 6 3 3 2 2" xfId="13677" xr:uid="{00000000-0005-0000-0000-000095D10000}"/>
    <cellStyle name="Normal 4 3 6 3 3 2 2 2" xfId="13678" xr:uid="{00000000-0005-0000-0000-000096D10000}"/>
    <cellStyle name="Normal 4 3 6 3 3 2 2 2 2" xfId="31612" xr:uid="{00000000-0005-0000-0000-000097D10000}"/>
    <cellStyle name="Normal 4 3 6 3 3 2 2 2 2 2" xfId="63483" xr:uid="{00000000-0005-0000-0000-000098D10000}"/>
    <cellStyle name="Normal 4 3 6 3 3 2 2 2 3" xfId="45557" xr:uid="{00000000-0005-0000-0000-000099D10000}"/>
    <cellStyle name="Normal 4 3 6 3 3 2 2 3" xfId="23734" xr:uid="{00000000-0005-0000-0000-00009AD10000}"/>
    <cellStyle name="Normal 4 3 6 3 3 2 2 3 2" xfId="55605" xr:uid="{00000000-0005-0000-0000-00009BD10000}"/>
    <cellStyle name="Normal 4 3 6 3 3 2 2 4" xfId="45556" xr:uid="{00000000-0005-0000-0000-00009CD10000}"/>
    <cellStyle name="Normal 4 3 6 3 3 2 3" xfId="13679" xr:uid="{00000000-0005-0000-0000-00009DD10000}"/>
    <cellStyle name="Normal 4 3 6 3 3 2 3 2" xfId="27673" xr:uid="{00000000-0005-0000-0000-00009ED10000}"/>
    <cellStyle name="Normal 4 3 6 3 3 2 3 2 2" xfId="59544" xr:uid="{00000000-0005-0000-0000-00009FD10000}"/>
    <cellStyle name="Normal 4 3 6 3 3 2 3 3" xfId="45558" xr:uid="{00000000-0005-0000-0000-0000A0D10000}"/>
    <cellStyle name="Normal 4 3 6 3 3 2 4" xfId="19795" xr:uid="{00000000-0005-0000-0000-0000A1D10000}"/>
    <cellStyle name="Normal 4 3 6 3 3 2 4 2" xfId="51666" xr:uid="{00000000-0005-0000-0000-0000A2D10000}"/>
    <cellStyle name="Normal 4 3 6 3 3 2 5" xfId="45555" xr:uid="{00000000-0005-0000-0000-0000A3D10000}"/>
    <cellStyle name="Normal 4 3 6 3 3 3" xfId="13680" xr:uid="{00000000-0005-0000-0000-0000A4D10000}"/>
    <cellStyle name="Normal 4 3 6 3 3 3 2" xfId="13681" xr:uid="{00000000-0005-0000-0000-0000A5D10000}"/>
    <cellStyle name="Normal 4 3 6 3 3 3 2 2" xfId="31611" xr:uid="{00000000-0005-0000-0000-0000A6D10000}"/>
    <cellStyle name="Normal 4 3 6 3 3 3 2 2 2" xfId="63482" xr:uid="{00000000-0005-0000-0000-0000A7D10000}"/>
    <cellStyle name="Normal 4 3 6 3 3 3 2 3" xfId="45560" xr:uid="{00000000-0005-0000-0000-0000A8D10000}"/>
    <cellStyle name="Normal 4 3 6 3 3 3 3" xfId="23733" xr:uid="{00000000-0005-0000-0000-0000A9D10000}"/>
    <cellStyle name="Normal 4 3 6 3 3 3 3 2" xfId="55604" xr:uid="{00000000-0005-0000-0000-0000AAD10000}"/>
    <cellStyle name="Normal 4 3 6 3 3 3 4" xfId="45559" xr:uid="{00000000-0005-0000-0000-0000ABD10000}"/>
    <cellStyle name="Normal 4 3 6 3 3 4" xfId="13682" xr:uid="{00000000-0005-0000-0000-0000ACD10000}"/>
    <cellStyle name="Normal 4 3 6 3 3 4 2" xfId="27672" xr:uid="{00000000-0005-0000-0000-0000ADD10000}"/>
    <cellStyle name="Normal 4 3 6 3 3 4 2 2" xfId="59543" xr:uid="{00000000-0005-0000-0000-0000AED10000}"/>
    <cellStyle name="Normal 4 3 6 3 3 4 3" xfId="45561" xr:uid="{00000000-0005-0000-0000-0000AFD10000}"/>
    <cellStyle name="Normal 4 3 6 3 3 5" xfId="19794" xr:uid="{00000000-0005-0000-0000-0000B0D10000}"/>
    <cellStyle name="Normal 4 3 6 3 3 5 2" xfId="51665" xr:uid="{00000000-0005-0000-0000-0000B1D10000}"/>
    <cellStyle name="Normal 4 3 6 3 3 6" xfId="45554" xr:uid="{00000000-0005-0000-0000-0000B2D10000}"/>
    <cellStyle name="Normal 4 3 6 3 4" xfId="13683" xr:uid="{00000000-0005-0000-0000-0000B3D10000}"/>
    <cellStyle name="Normal 4 3 6 3 4 2" xfId="13684" xr:uid="{00000000-0005-0000-0000-0000B4D10000}"/>
    <cellStyle name="Normal 4 3 6 3 4 2 2" xfId="13685" xr:uid="{00000000-0005-0000-0000-0000B5D10000}"/>
    <cellStyle name="Normal 4 3 6 3 4 2 2 2" xfId="31613" xr:uid="{00000000-0005-0000-0000-0000B6D10000}"/>
    <cellStyle name="Normal 4 3 6 3 4 2 2 2 2" xfId="63484" xr:uid="{00000000-0005-0000-0000-0000B7D10000}"/>
    <cellStyle name="Normal 4 3 6 3 4 2 2 3" xfId="45564" xr:uid="{00000000-0005-0000-0000-0000B8D10000}"/>
    <cellStyle name="Normal 4 3 6 3 4 2 3" xfId="23735" xr:uid="{00000000-0005-0000-0000-0000B9D10000}"/>
    <cellStyle name="Normal 4 3 6 3 4 2 3 2" xfId="55606" xr:uid="{00000000-0005-0000-0000-0000BAD10000}"/>
    <cellStyle name="Normal 4 3 6 3 4 2 4" xfId="45563" xr:uid="{00000000-0005-0000-0000-0000BBD10000}"/>
    <cellStyle name="Normal 4 3 6 3 4 3" xfId="13686" xr:uid="{00000000-0005-0000-0000-0000BCD10000}"/>
    <cellStyle name="Normal 4 3 6 3 4 3 2" xfId="27674" xr:uid="{00000000-0005-0000-0000-0000BDD10000}"/>
    <cellStyle name="Normal 4 3 6 3 4 3 2 2" xfId="59545" xr:uid="{00000000-0005-0000-0000-0000BED10000}"/>
    <cellStyle name="Normal 4 3 6 3 4 3 3" xfId="45565" xr:uid="{00000000-0005-0000-0000-0000BFD10000}"/>
    <cellStyle name="Normal 4 3 6 3 4 4" xfId="19796" xr:uid="{00000000-0005-0000-0000-0000C0D10000}"/>
    <cellStyle name="Normal 4 3 6 3 4 4 2" xfId="51667" xr:uid="{00000000-0005-0000-0000-0000C1D10000}"/>
    <cellStyle name="Normal 4 3 6 3 4 5" xfId="45562" xr:uid="{00000000-0005-0000-0000-0000C2D10000}"/>
    <cellStyle name="Normal 4 3 6 3 5" xfId="13687" xr:uid="{00000000-0005-0000-0000-0000C3D10000}"/>
    <cellStyle name="Normal 4 3 6 3 5 2" xfId="13688" xr:uid="{00000000-0005-0000-0000-0000C4D10000}"/>
    <cellStyle name="Normal 4 3 6 3 5 2 2" xfId="31606" xr:uid="{00000000-0005-0000-0000-0000C5D10000}"/>
    <cellStyle name="Normal 4 3 6 3 5 2 2 2" xfId="63477" xr:uid="{00000000-0005-0000-0000-0000C6D10000}"/>
    <cellStyle name="Normal 4 3 6 3 5 2 3" xfId="45567" xr:uid="{00000000-0005-0000-0000-0000C7D10000}"/>
    <cellStyle name="Normal 4 3 6 3 5 3" xfId="23728" xr:uid="{00000000-0005-0000-0000-0000C8D10000}"/>
    <cellStyle name="Normal 4 3 6 3 5 3 2" xfId="55599" xr:uid="{00000000-0005-0000-0000-0000C9D10000}"/>
    <cellStyle name="Normal 4 3 6 3 5 4" xfId="45566" xr:uid="{00000000-0005-0000-0000-0000CAD10000}"/>
    <cellStyle name="Normal 4 3 6 3 6" xfId="13689" xr:uid="{00000000-0005-0000-0000-0000CBD10000}"/>
    <cellStyle name="Normal 4 3 6 3 6 2" xfId="27667" xr:uid="{00000000-0005-0000-0000-0000CCD10000}"/>
    <cellStyle name="Normal 4 3 6 3 6 2 2" xfId="59538" xr:uid="{00000000-0005-0000-0000-0000CDD10000}"/>
    <cellStyle name="Normal 4 3 6 3 6 3" xfId="45568" xr:uid="{00000000-0005-0000-0000-0000CED10000}"/>
    <cellStyle name="Normal 4 3 6 3 7" xfId="19789" xr:uid="{00000000-0005-0000-0000-0000CFD10000}"/>
    <cellStyle name="Normal 4 3 6 3 7 2" xfId="51660" xr:uid="{00000000-0005-0000-0000-0000D0D10000}"/>
    <cellStyle name="Normal 4 3 6 3 8" xfId="45537" xr:uid="{00000000-0005-0000-0000-0000D1D10000}"/>
    <cellStyle name="Normal 4 3 6 4" xfId="13690" xr:uid="{00000000-0005-0000-0000-0000D2D10000}"/>
    <cellStyle name="Normal 4 3 6 4 2" xfId="13691" xr:uid="{00000000-0005-0000-0000-0000D3D10000}"/>
    <cellStyle name="Normal 4 3 6 4 2 2" xfId="13692" xr:uid="{00000000-0005-0000-0000-0000D4D10000}"/>
    <cellStyle name="Normal 4 3 6 4 2 2 2" xfId="13693" xr:uid="{00000000-0005-0000-0000-0000D5D10000}"/>
    <cellStyle name="Normal 4 3 6 4 2 2 2 2" xfId="13694" xr:uid="{00000000-0005-0000-0000-0000D6D10000}"/>
    <cellStyle name="Normal 4 3 6 4 2 2 2 2 2" xfId="31616" xr:uid="{00000000-0005-0000-0000-0000D7D10000}"/>
    <cellStyle name="Normal 4 3 6 4 2 2 2 2 2 2" xfId="63487" xr:uid="{00000000-0005-0000-0000-0000D8D10000}"/>
    <cellStyle name="Normal 4 3 6 4 2 2 2 2 3" xfId="45573" xr:uid="{00000000-0005-0000-0000-0000D9D10000}"/>
    <cellStyle name="Normal 4 3 6 4 2 2 2 3" xfId="23738" xr:uid="{00000000-0005-0000-0000-0000DAD10000}"/>
    <cellStyle name="Normal 4 3 6 4 2 2 2 3 2" xfId="55609" xr:uid="{00000000-0005-0000-0000-0000DBD10000}"/>
    <cellStyle name="Normal 4 3 6 4 2 2 2 4" xfId="45572" xr:uid="{00000000-0005-0000-0000-0000DCD10000}"/>
    <cellStyle name="Normal 4 3 6 4 2 2 3" xfId="13695" xr:uid="{00000000-0005-0000-0000-0000DDD10000}"/>
    <cellStyle name="Normal 4 3 6 4 2 2 3 2" xfId="27677" xr:uid="{00000000-0005-0000-0000-0000DED10000}"/>
    <cellStyle name="Normal 4 3 6 4 2 2 3 2 2" xfId="59548" xr:uid="{00000000-0005-0000-0000-0000DFD10000}"/>
    <cellStyle name="Normal 4 3 6 4 2 2 3 3" xfId="45574" xr:uid="{00000000-0005-0000-0000-0000E0D10000}"/>
    <cellStyle name="Normal 4 3 6 4 2 2 4" xfId="19799" xr:uid="{00000000-0005-0000-0000-0000E1D10000}"/>
    <cellStyle name="Normal 4 3 6 4 2 2 4 2" xfId="51670" xr:uid="{00000000-0005-0000-0000-0000E2D10000}"/>
    <cellStyle name="Normal 4 3 6 4 2 2 5" xfId="45571" xr:uid="{00000000-0005-0000-0000-0000E3D10000}"/>
    <cellStyle name="Normal 4 3 6 4 2 3" xfId="13696" xr:uid="{00000000-0005-0000-0000-0000E4D10000}"/>
    <cellStyle name="Normal 4 3 6 4 2 3 2" xfId="13697" xr:uid="{00000000-0005-0000-0000-0000E5D10000}"/>
    <cellStyle name="Normal 4 3 6 4 2 3 2 2" xfId="31615" xr:uid="{00000000-0005-0000-0000-0000E6D10000}"/>
    <cellStyle name="Normal 4 3 6 4 2 3 2 2 2" xfId="63486" xr:uid="{00000000-0005-0000-0000-0000E7D10000}"/>
    <cellStyle name="Normal 4 3 6 4 2 3 2 3" xfId="45576" xr:uid="{00000000-0005-0000-0000-0000E8D10000}"/>
    <cellStyle name="Normal 4 3 6 4 2 3 3" xfId="23737" xr:uid="{00000000-0005-0000-0000-0000E9D10000}"/>
    <cellStyle name="Normal 4 3 6 4 2 3 3 2" xfId="55608" xr:uid="{00000000-0005-0000-0000-0000EAD10000}"/>
    <cellStyle name="Normal 4 3 6 4 2 3 4" xfId="45575" xr:uid="{00000000-0005-0000-0000-0000EBD10000}"/>
    <cellStyle name="Normal 4 3 6 4 2 4" xfId="13698" xr:uid="{00000000-0005-0000-0000-0000ECD10000}"/>
    <cellStyle name="Normal 4 3 6 4 2 4 2" xfId="27676" xr:uid="{00000000-0005-0000-0000-0000EDD10000}"/>
    <cellStyle name="Normal 4 3 6 4 2 4 2 2" xfId="59547" xr:uid="{00000000-0005-0000-0000-0000EED10000}"/>
    <cellStyle name="Normal 4 3 6 4 2 4 3" xfId="45577" xr:uid="{00000000-0005-0000-0000-0000EFD10000}"/>
    <cellStyle name="Normal 4 3 6 4 2 5" xfId="19798" xr:uid="{00000000-0005-0000-0000-0000F0D10000}"/>
    <cellStyle name="Normal 4 3 6 4 2 5 2" xfId="51669" xr:uid="{00000000-0005-0000-0000-0000F1D10000}"/>
    <cellStyle name="Normal 4 3 6 4 2 6" xfId="45570" xr:uid="{00000000-0005-0000-0000-0000F2D10000}"/>
    <cellStyle name="Normal 4 3 6 4 3" xfId="13699" xr:uid="{00000000-0005-0000-0000-0000F3D10000}"/>
    <cellStyle name="Normal 4 3 6 4 3 2" xfId="13700" xr:uid="{00000000-0005-0000-0000-0000F4D10000}"/>
    <cellStyle name="Normal 4 3 6 4 3 2 2" xfId="13701" xr:uid="{00000000-0005-0000-0000-0000F5D10000}"/>
    <cellStyle name="Normal 4 3 6 4 3 2 2 2" xfId="31617" xr:uid="{00000000-0005-0000-0000-0000F6D10000}"/>
    <cellStyle name="Normal 4 3 6 4 3 2 2 2 2" xfId="63488" xr:uid="{00000000-0005-0000-0000-0000F7D10000}"/>
    <cellStyle name="Normal 4 3 6 4 3 2 2 3" xfId="45580" xr:uid="{00000000-0005-0000-0000-0000F8D10000}"/>
    <cellStyle name="Normal 4 3 6 4 3 2 3" xfId="23739" xr:uid="{00000000-0005-0000-0000-0000F9D10000}"/>
    <cellStyle name="Normal 4 3 6 4 3 2 3 2" xfId="55610" xr:uid="{00000000-0005-0000-0000-0000FAD10000}"/>
    <cellStyle name="Normal 4 3 6 4 3 2 4" xfId="45579" xr:uid="{00000000-0005-0000-0000-0000FBD10000}"/>
    <cellStyle name="Normal 4 3 6 4 3 3" xfId="13702" xr:uid="{00000000-0005-0000-0000-0000FCD10000}"/>
    <cellStyle name="Normal 4 3 6 4 3 3 2" xfId="27678" xr:uid="{00000000-0005-0000-0000-0000FDD10000}"/>
    <cellStyle name="Normal 4 3 6 4 3 3 2 2" xfId="59549" xr:uid="{00000000-0005-0000-0000-0000FED10000}"/>
    <cellStyle name="Normal 4 3 6 4 3 3 3" xfId="45581" xr:uid="{00000000-0005-0000-0000-0000FFD10000}"/>
    <cellStyle name="Normal 4 3 6 4 3 4" xfId="19800" xr:uid="{00000000-0005-0000-0000-000000D20000}"/>
    <cellStyle name="Normal 4 3 6 4 3 4 2" xfId="51671" xr:uid="{00000000-0005-0000-0000-000001D20000}"/>
    <cellStyle name="Normal 4 3 6 4 3 5" xfId="45578" xr:uid="{00000000-0005-0000-0000-000002D20000}"/>
    <cellStyle name="Normal 4 3 6 4 4" xfId="13703" xr:uid="{00000000-0005-0000-0000-000003D20000}"/>
    <cellStyle name="Normal 4 3 6 4 4 2" xfId="13704" xr:uid="{00000000-0005-0000-0000-000004D20000}"/>
    <cellStyle name="Normal 4 3 6 4 4 2 2" xfId="31614" xr:uid="{00000000-0005-0000-0000-000005D20000}"/>
    <cellStyle name="Normal 4 3 6 4 4 2 2 2" xfId="63485" xr:uid="{00000000-0005-0000-0000-000006D20000}"/>
    <cellStyle name="Normal 4 3 6 4 4 2 3" xfId="45583" xr:uid="{00000000-0005-0000-0000-000007D20000}"/>
    <cellStyle name="Normal 4 3 6 4 4 3" xfId="23736" xr:uid="{00000000-0005-0000-0000-000008D20000}"/>
    <cellStyle name="Normal 4 3 6 4 4 3 2" xfId="55607" xr:uid="{00000000-0005-0000-0000-000009D20000}"/>
    <cellStyle name="Normal 4 3 6 4 4 4" xfId="45582" xr:uid="{00000000-0005-0000-0000-00000AD20000}"/>
    <cellStyle name="Normal 4 3 6 4 5" xfId="13705" xr:uid="{00000000-0005-0000-0000-00000BD20000}"/>
    <cellStyle name="Normal 4 3 6 4 5 2" xfId="27675" xr:uid="{00000000-0005-0000-0000-00000CD20000}"/>
    <cellStyle name="Normal 4 3 6 4 5 2 2" xfId="59546" xr:uid="{00000000-0005-0000-0000-00000DD20000}"/>
    <cellStyle name="Normal 4 3 6 4 5 3" xfId="45584" xr:uid="{00000000-0005-0000-0000-00000ED20000}"/>
    <cellStyle name="Normal 4 3 6 4 6" xfId="19797" xr:uid="{00000000-0005-0000-0000-00000FD20000}"/>
    <cellStyle name="Normal 4 3 6 4 6 2" xfId="51668" xr:uid="{00000000-0005-0000-0000-000010D20000}"/>
    <cellStyle name="Normal 4 3 6 4 7" xfId="45569" xr:uid="{00000000-0005-0000-0000-000011D20000}"/>
    <cellStyle name="Normal 4 3 6 5" xfId="13706" xr:uid="{00000000-0005-0000-0000-000012D20000}"/>
    <cellStyle name="Normal 4 3 6 5 2" xfId="13707" xr:uid="{00000000-0005-0000-0000-000013D20000}"/>
    <cellStyle name="Normal 4 3 6 5 2 2" xfId="13708" xr:uid="{00000000-0005-0000-0000-000014D20000}"/>
    <cellStyle name="Normal 4 3 6 5 2 2 2" xfId="13709" xr:uid="{00000000-0005-0000-0000-000015D20000}"/>
    <cellStyle name="Normal 4 3 6 5 2 2 2 2" xfId="31619" xr:uid="{00000000-0005-0000-0000-000016D20000}"/>
    <cellStyle name="Normal 4 3 6 5 2 2 2 2 2" xfId="63490" xr:uid="{00000000-0005-0000-0000-000017D20000}"/>
    <cellStyle name="Normal 4 3 6 5 2 2 2 3" xfId="45588" xr:uid="{00000000-0005-0000-0000-000018D20000}"/>
    <cellStyle name="Normal 4 3 6 5 2 2 3" xfId="23741" xr:uid="{00000000-0005-0000-0000-000019D20000}"/>
    <cellStyle name="Normal 4 3 6 5 2 2 3 2" xfId="55612" xr:uid="{00000000-0005-0000-0000-00001AD20000}"/>
    <cellStyle name="Normal 4 3 6 5 2 2 4" xfId="45587" xr:uid="{00000000-0005-0000-0000-00001BD20000}"/>
    <cellStyle name="Normal 4 3 6 5 2 3" xfId="13710" xr:uid="{00000000-0005-0000-0000-00001CD20000}"/>
    <cellStyle name="Normal 4 3 6 5 2 3 2" xfId="27680" xr:uid="{00000000-0005-0000-0000-00001DD20000}"/>
    <cellStyle name="Normal 4 3 6 5 2 3 2 2" xfId="59551" xr:uid="{00000000-0005-0000-0000-00001ED20000}"/>
    <cellStyle name="Normal 4 3 6 5 2 3 3" xfId="45589" xr:uid="{00000000-0005-0000-0000-00001FD20000}"/>
    <cellStyle name="Normal 4 3 6 5 2 4" xfId="19802" xr:uid="{00000000-0005-0000-0000-000020D20000}"/>
    <cellStyle name="Normal 4 3 6 5 2 4 2" xfId="51673" xr:uid="{00000000-0005-0000-0000-000021D20000}"/>
    <cellStyle name="Normal 4 3 6 5 2 5" xfId="45586" xr:uid="{00000000-0005-0000-0000-000022D20000}"/>
    <cellStyle name="Normal 4 3 6 5 3" xfId="13711" xr:uid="{00000000-0005-0000-0000-000023D20000}"/>
    <cellStyle name="Normal 4 3 6 5 3 2" xfId="13712" xr:uid="{00000000-0005-0000-0000-000024D20000}"/>
    <cellStyle name="Normal 4 3 6 5 3 2 2" xfId="31618" xr:uid="{00000000-0005-0000-0000-000025D20000}"/>
    <cellStyle name="Normal 4 3 6 5 3 2 2 2" xfId="63489" xr:uid="{00000000-0005-0000-0000-000026D20000}"/>
    <cellStyle name="Normal 4 3 6 5 3 2 3" xfId="45591" xr:uid="{00000000-0005-0000-0000-000027D20000}"/>
    <cellStyle name="Normal 4 3 6 5 3 3" xfId="23740" xr:uid="{00000000-0005-0000-0000-000028D20000}"/>
    <cellStyle name="Normal 4 3 6 5 3 3 2" xfId="55611" xr:uid="{00000000-0005-0000-0000-000029D20000}"/>
    <cellStyle name="Normal 4 3 6 5 3 4" xfId="45590" xr:uid="{00000000-0005-0000-0000-00002AD20000}"/>
    <cellStyle name="Normal 4 3 6 5 4" xfId="13713" xr:uid="{00000000-0005-0000-0000-00002BD20000}"/>
    <cellStyle name="Normal 4 3 6 5 4 2" xfId="27679" xr:uid="{00000000-0005-0000-0000-00002CD20000}"/>
    <cellStyle name="Normal 4 3 6 5 4 2 2" xfId="59550" xr:uid="{00000000-0005-0000-0000-00002DD20000}"/>
    <cellStyle name="Normal 4 3 6 5 4 3" xfId="45592" xr:uid="{00000000-0005-0000-0000-00002ED20000}"/>
    <cellStyle name="Normal 4 3 6 5 5" xfId="19801" xr:uid="{00000000-0005-0000-0000-00002FD20000}"/>
    <cellStyle name="Normal 4 3 6 5 5 2" xfId="51672" xr:uid="{00000000-0005-0000-0000-000030D20000}"/>
    <cellStyle name="Normal 4 3 6 5 6" xfId="45585" xr:uid="{00000000-0005-0000-0000-000031D20000}"/>
    <cellStyle name="Normal 4 3 6 6" xfId="13714" xr:uid="{00000000-0005-0000-0000-000032D20000}"/>
    <cellStyle name="Normal 4 3 6 6 2" xfId="13715" xr:uid="{00000000-0005-0000-0000-000033D20000}"/>
    <cellStyle name="Normal 4 3 6 6 2 2" xfId="13716" xr:uid="{00000000-0005-0000-0000-000034D20000}"/>
    <cellStyle name="Normal 4 3 6 6 2 2 2" xfId="31620" xr:uid="{00000000-0005-0000-0000-000035D20000}"/>
    <cellStyle name="Normal 4 3 6 6 2 2 2 2" xfId="63491" xr:uid="{00000000-0005-0000-0000-000036D20000}"/>
    <cellStyle name="Normal 4 3 6 6 2 2 3" xfId="45595" xr:uid="{00000000-0005-0000-0000-000037D20000}"/>
    <cellStyle name="Normal 4 3 6 6 2 3" xfId="23742" xr:uid="{00000000-0005-0000-0000-000038D20000}"/>
    <cellStyle name="Normal 4 3 6 6 2 3 2" xfId="55613" xr:uid="{00000000-0005-0000-0000-000039D20000}"/>
    <cellStyle name="Normal 4 3 6 6 2 4" xfId="45594" xr:uid="{00000000-0005-0000-0000-00003AD20000}"/>
    <cellStyle name="Normal 4 3 6 6 3" xfId="13717" xr:uid="{00000000-0005-0000-0000-00003BD20000}"/>
    <cellStyle name="Normal 4 3 6 6 3 2" xfId="27681" xr:uid="{00000000-0005-0000-0000-00003CD20000}"/>
    <cellStyle name="Normal 4 3 6 6 3 2 2" xfId="59552" xr:uid="{00000000-0005-0000-0000-00003DD20000}"/>
    <cellStyle name="Normal 4 3 6 6 3 3" xfId="45596" xr:uid="{00000000-0005-0000-0000-00003ED20000}"/>
    <cellStyle name="Normal 4 3 6 6 4" xfId="19803" xr:uid="{00000000-0005-0000-0000-00003FD20000}"/>
    <cellStyle name="Normal 4 3 6 6 4 2" xfId="51674" xr:uid="{00000000-0005-0000-0000-000040D20000}"/>
    <cellStyle name="Normal 4 3 6 6 5" xfId="45593" xr:uid="{00000000-0005-0000-0000-000041D20000}"/>
    <cellStyle name="Normal 4 3 6 7" xfId="13718" xr:uid="{00000000-0005-0000-0000-000042D20000}"/>
    <cellStyle name="Normal 4 3 6 7 2" xfId="13719" xr:uid="{00000000-0005-0000-0000-000043D20000}"/>
    <cellStyle name="Normal 4 3 6 7 2 2" xfId="28346" xr:uid="{00000000-0005-0000-0000-000044D20000}"/>
    <cellStyle name="Normal 4 3 6 7 2 2 2" xfId="60217" xr:uid="{00000000-0005-0000-0000-000045D20000}"/>
    <cellStyle name="Normal 4 3 6 7 2 3" xfId="45598" xr:uid="{00000000-0005-0000-0000-000046D20000}"/>
    <cellStyle name="Normal 4 3 6 7 3" xfId="20468" xr:uid="{00000000-0005-0000-0000-000047D20000}"/>
    <cellStyle name="Normal 4 3 6 7 3 2" xfId="52339" xr:uid="{00000000-0005-0000-0000-000048D20000}"/>
    <cellStyle name="Normal 4 3 6 7 4" xfId="45597" xr:uid="{00000000-0005-0000-0000-000049D20000}"/>
    <cellStyle name="Normal 4 3 6 8" xfId="13720" xr:uid="{00000000-0005-0000-0000-00004AD20000}"/>
    <cellStyle name="Normal 4 3 6 8 2" xfId="24407" xr:uid="{00000000-0005-0000-0000-00004BD20000}"/>
    <cellStyle name="Normal 4 3 6 8 2 2" xfId="56278" xr:uid="{00000000-0005-0000-0000-00004CD20000}"/>
    <cellStyle name="Normal 4 3 6 8 3" xfId="45599" xr:uid="{00000000-0005-0000-0000-00004DD20000}"/>
    <cellStyle name="Normal 4 3 6 9" xfId="16529" xr:uid="{00000000-0005-0000-0000-00004ED20000}"/>
    <cellStyle name="Normal 4 3 6 9 2" xfId="48400" xr:uid="{00000000-0005-0000-0000-00004FD20000}"/>
    <cellStyle name="Normal 4 3 7" xfId="13721" xr:uid="{00000000-0005-0000-0000-000050D20000}"/>
    <cellStyle name="Normal 4 3 7 2" xfId="13722" xr:uid="{00000000-0005-0000-0000-000051D20000}"/>
    <cellStyle name="Normal 4 3 7 2 2" xfId="13723" xr:uid="{00000000-0005-0000-0000-000052D20000}"/>
    <cellStyle name="Normal 4 3 7 2 2 2" xfId="13724" xr:uid="{00000000-0005-0000-0000-000053D20000}"/>
    <cellStyle name="Normal 4 3 7 2 2 2 2" xfId="13725" xr:uid="{00000000-0005-0000-0000-000054D20000}"/>
    <cellStyle name="Normal 4 3 7 2 2 2 2 2" xfId="13726" xr:uid="{00000000-0005-0000-0000-000055D20000}"/>
    <cellStyle name="Normal 4 3 7 2 2 2 2 2 2" xfId="13727" xr:uid="{00000000-0005-0000-0000-000056D20000}"/>
    <cellStyle name="Normal 4 3 7 2 2 2 2 2 2 2" xfId="31624" xr:uid="{00000000-0005-0000-0000-000057D20000}"/>
    <cellStyle name="Normal 4 3 7 2 2 2 2 2 2 2 2" xfId="63495" xr:uid="{00000000-0005-0000-0000-000058D20000}"/>
    <cellStyle name="Normal 4 3 7 2 2 2 2 2 2 3" xfId="45606" xr:uid="{00000000-0005-0000-0000-000059D20000}"/>
    <cellStyle name="Normal 4 3 7 2 2 2 2 2 3" xfId="23746" xr:uid="{00000000-0005-0000-0000-00005AD20000}"/>
    <cellStyle name="Normal 4 3 7 2 2 2 2 2 3 2" xfId="55617" xr:uid="{00000000-0005-0000-0000-00005BD20000}"/>
    <cellStyle name="Normal 4 3 7 2 2 2 2 2 4" xfId="45605" xr:uid="{00000000-0005-0000-0000-00005CD20000}"/>
    <cellStyle name="Normal 4 3 7 2 2 2 2 3" xfId="13728" xr:uid="{00000000-0005-0000-0000-00005DD20000}"/>
    <cellStyle name="Normal 4 3 7 2 2 2 2 3 2" xfId="27685" xr:uid="{00000000-0005-0000-0000-00005ED20000}"/>
    <cellStyle name="Normal 4 3 7 2 2 2 2 3 2 2" xfId="59556" xr:uid="{00000000-0005-0000-0000-00005FD20000}"/>
    <cellStyle name="Normal 4 3 7 2 2 2 2 3 3" xfId="45607" xr:uid="{00000000-0005-0000-0000-000060D20000}"/>
    <cellStyle name="Normal 4 3 7 2 2 2 2 4" xfId="19807" xr:uid="{00000000-0005-0000-0000-000061D20000}"/>
    <cellStyle name="Normal 4 3 7 2 2 2 2 4 2" xfId="51678" xr:uid="{00000000-0005-0000-0000-000062D20000}"/>
    <cellStyle name="Normal 4 3 7 2 2 2 2 5" xfId="45604" xr:uid="{00000000-0005-0000-0000-000063D20000}"/>
    <cellStyle name="Normal 4 3 7 2 2 2 3" xfId="13729" xr:uid="{00000000-0005-0000-0000-000064D20000}"/>
    <cellStyle name="Normal 4 3 7 2 2 2 3 2" xfId="13730" xr:uid="{00000000-0005-0000-0000-000065D20000}"/>
    <cellStyle name="Normal 4 3 7 2 2 2 3 2 2" xfId="31623" xr:uid="{00000000-0005-0000-0000-000066D20000}"/>
    <cellStyle name="Normal 4 3 7 2 2 2 3 2 2 2" xfId="63494" xr:uid="{00000000-0005-0000-0000-000067D20000}"/>
    <cellStyle name="Normal 4 3 7 2 2 2 3 2 3" xfId="45609" xr:uid="{00000000-0005-0000-0000-000068D20000}"/>
    <cellStyle name="Normal 4 3 7 2 2 2 3 3" xfId="23745" xr:uid="{00000000-0005-0000-0000-000069D20000}"/>
    <cellStyle name="Normal 4 3 7 2 2 2 3 3 2" xfId="55616" xr:uid="{00000000-0005-0000-0000-00006AD20000}"/>
    <cellStyle name="Normal 4 3 7 2 2 2 3 4" xfId="45608" xr:uid="{00000000-0005-0000-0000-00006BD20000}"/>
    <cellStyle name="Normal 4 3 7 2 2 2 4" xfId="13731" xr:uid="{00000000-0005-0000-0000-00006CD20000}"/>
    <cellStyle name="Normal 4 3 7 2 2 2 4 2" xfId="27684" xr:uid="{00000000-0005-0000-0000-00006DD20000}"/>
    <cellStyle name="Normal 4 3 7 2 2 2 4 2 2" xfId="59555" xr:uid="{00000000-0005-0000-0000-00006ED20000}"/>
    <cellStyle name="Normal 4 3 7 2 2 2 4 3" xfId="45610" xr:uid="{00000000-0005-0000-0000-00006FD20000}"/>
    <cellStyle name="Normal 4 3 7 2 2 2 5" xfId="19806" xr:uid="{00000000-0005-0000-0000-000070D20000}"/>
    <cellStyle name="Normal 4 3 7 2 2 2 5 2" xfId="51677" xr:uid="{00000000-0005-0000-0000-000071D20000}"/>
    <cellStyle name="Normal 4 3 7 2 2 2 6" xfId="45603" xr:uid="{00000000-0005-0000-0000-000072D20000}"/>
    <cellStyle name="Normal 4 3 7 2 2 3" xfId="13732" xr:uid="{00000000-0005-0000-0000-000073D20000}"/>
    <cellStyle name="Normal 4 3 7 2 2 3 2" xfId="13733" xr:uid="{00000000-0005-0000-0000-000074D20000}"/>
    <cellStyle name="Normal 4 3 7 2 2 3 2 2" xfId="13734" xr:uid="{00000000-0005-0000-0000-000075D20000}"/>
    <cellStyle name="Normal 4 3 7 2 2 3 2 2 2" xfId="31625" xr:uid="{00000000-0005-0000-0000-000076D20000}"/>
    <cellStyle name="Normal 4 3 7 2 2 3 2 2 2 2" xfId="63496" xr:uid="{00000000-0005-0000-0000-000077D20000}"/>
    <cellStyle name="Normal 4 3 7 2 2 3 2 2 3" xfId="45613" xr:uid="{00000000-0005-0000-0000-000078D20000}"/>
    <cellStyle name="Normal 4 3 7 2 2 3 2 3" xfId="23747" xr:uid="{00000000-0005-0000-0000-000079D20000}"/>
    <cellStyle name="Normal 4 3 7 2 2 3 2 3 2" xfId="55618" xr:uid="{00000000-0005-0000-0000-00007AD20000}"/>
    <cellStyle name="Normal 4 3 7 2 2 3 2 4" xfId="45612" xr:uid="{00000000-0005-0000-0000-00007BD20000}"/>
    <cellStyle name="Normal 4 3 7 2 2 3 3" xfId="13735" xr:uid="{00000000-0005-0000-0000-00007CD20000}"/>
    <cellStyle name="Normal 4 3 7 2 2 3 3 2" xfId="27686" xr:uid="{00000000-0005-0000-0000-00007DD20000}"/>
    <cellStyle name="Normal 4 3 7 2 2 3 3 2 2" xfId="59557" xr:uid="{00000000-0005-0000-0000-00007ED20000}"/>
    <cellStyle name="Normal 4 3 7 2 2 3 3 3" xfId="45614" xr:uid="{00000000-0005-0000-0000-00007FD20000}"/>
    <cellStyle name="Normal 4 3 7 2 2 3 4" xfId="19808" xr:uid="{00000000-0005-0000-0000-000080D20000}"/>
    <cellStyle name="Normal 4 3 7 2 2 3 4 2" xfId="51679" xr:uid="{00000000-0005-0000-0000-000081D20000}"/>
    <cellStyle name="Normal 4 3 7 2 2 3 5" xfId="45611" xr:uid="{00000000-0005-0000-0000-000082D20000}"/>
    <cellStyle name="Normal 4 3 7 2 2 4" xfId="13736" xr:uid="{00000000-0005-0000-0000-000083D20000}"/>
    <cellStyle name="Normal 4 3 7 2 2 4 2" xfId="13737" xr:uid="{00000000-0005-0000-0000-000084D20000}"/>
    <cellStyle name="Normal 4 3 7 2 2 4 2 2" xfId="31622" xr:uid="{00000000-0005-0000-0000-000085D20000}"/>
    <cellStyle name="Normal 4 3 7 2 2 4 2 2 2" xfId="63493" xr:uid="{00000000-0005-0000-0000-000086D20000}"/>
    <cellStyle name="Normal 4 3 7 2 2 4 2 3" xfId="45616" xr:uid="{00000000-0005-0000-0000-000087D20000}"/>
    <cellStyle name="Normal 4 3 7 2 2 4 3" xfId="23744" xr:uid="{00000000-0005-0000-0000-000088D20000}"/>
    <cellStyle name="Normal 4 3 7 2 2 4 3 2" xfId="55615" xr:uid="{00000000-0005-0000-0000-000089D20000}"/>
    <cellStyle name="Normal 4 3 7 2 2 4 4" xfId="45615" xr:uid="{00000000-0005-0000-0000-00008AD20000}"/>
    <cellStyle name="Normal 4 3 7 2 2 5" xfId="13738" xr:uid="{00000000-0005-0000-0000-00008BD20000}"/>
    <cellStyle name="Normal 4 3 7 2 2 5 2" xfId="27683" xr:uid="{00000000-0005-0000-0000-00008CD20000}"/>
    <cellStyle name="Normal 4 3 7 2 2 5 2 2" xfId="59554" xr:uid="{00000000-0005-0000-0000-00008DD20000}"/>
    <cellStyle name="Normal 4 3 7 2 2 5 3" xfId="45617" xr:uid="{00000000-0005-0000-0000-00008ED20000}"/>
    <cellStyle name="Normal 4 3 7 2 2 6" xfId="19805" xr:uid="{00000000-0005-0000-0000-00008FD20000}"/>
    <cellStyle name="Normal 4 3 7 2 2 6 2" xfId="51676" xr:uid="{00000000-0005-0000-0000-000090D20000}"/>
    <cellStyle name="Normal 4 3 7 2 2 7" xfId="45602" xr:uid="{00000000-0005-0000-0000-000091D20000}"/>
    <cellStyle name="Normal 4 3 7 2 3" xfId="13739" xr:uid="{00000000-0005-0000-0000-000092D20000}"/>
    <cellStyle name="Normal 4 3 7 2 3 2" xfId="13740" xr:uid="{00000000-0005-0000-0000-000093D20000}"/>
    <cellStyle name="Normal 4 3 7 2 3 2 2" xfId="13741" xr:uid="{00000000-0005-0000-0000-000094D20000}"/>
    <cellStyle name="Normal 4 3 7 2 3 2 2 2" xfId="13742" xr:uid="{00000000-0005-0000-0000-000095D20000}"/>
    <cellStyle name="Normal 4 3 7 2 3 2 2 2 2" xfId="31627" xr:uid="{00000000-0005-0000-0000-000096D20000}"/>
    <cellStyle name="Normal 4 3 7 2 3 2 2 2 2 2" xfId="63498" xr:uid="{00000000-0005-0000-0000-000097D20000}"/>
    <cellStyle name="Normal 4 3 7 2 3 2 2 2 3" xfId="45621" xr:uid="{00000000-0005-0000-0000-000098D20000}"/>
    <cellStyle name="Normal 4 3 7 2 3 2 2 3" xfId="23749" xr:uid="{00000000-0005-0000-0000-000099D20000}"/>
    <cellStyle name="Normal 4 3 7 2 3 2 2 3 2" xfId="55620" xr:uid="{00000000-0005-0000-0000-00009AD20000}"/>
    <cellStyle name="Normal 4 3 7 2 3 2 2 4" xfId="45620" xr:uid="{00000000-0005-0000-0000-00009BD20000}"/>
    <cellStyle name="Normal 4 3 7 2 3 2 3" xfId="13743" xr:uid="{00000000-0005-0000-0000-00009CD20000}"/>
    <cellStyle name="Normal 4 3 7 2 3 2 3 2" xfId="27688" xr:uid="{00000000-0005-0000-0000-00009DD20000}"/>
    <cellStyle name="Normal 4 3 7 2 3 2 3 2 2" xfId="59559" xr:uid="{00000000-0005-0000-0000-00009ED20000}"/>
    <cellStyle name="Normal 4 3 7 2 3 2 3 3" xfId="45622" xr:uid="{00000000-0005-0000-0000-00009FD20000}"/>
    <cellStyle name="Normal 4 3 7 2 3 2 4" xfId="19810" xr:uid="{00000000-0005-0000-0000-0000A0D20000}"/>
    <cellStyle name="Normal 4 3 7 2 3 2 4 2" xfId="51681" xr:uid="{00000000-0005-0000-0000-0000A1D20000}"/>
    <cellStyle name="Normal 4 3 7 2 3 2 5" xfId="45619" xr:uid="{00000000-0005-0000-0000-0000A2D20000}"/>
    <cellStyle name="Normal 4 3 7 2 3 3" xfId="13744" xr:uid="{00000000-0005-0000-0000-0000A3D20000}"/>
    <cellStyle name="Normal 4 3 7 2 3 3 2" xfId="13745" xr:uid="{00000000-0005-0000-0000-0000A4D20000}"/>
    <cellStyle name="Normal 4 3 7 2 3 3 2 2" xfId="31626" xr:uid="{00000000-0005-0000-0000-0000A5D20000}"/>
    <cellStyle name="Normal 4 3 7 2 3 3 2 2 2" xfId="63497" xr:uid="{00000000-0005-0000-0000-0000A6D20000}"/>
    <cellStyle name="Normal 4 3 7 2 3 3 2 3" xfId="45624" xr:uid="{00000000-0005-0000-0000-0000A7D20000}"/>
    <cellStyle name="Normal 4 3 7 2 3 3 3" xfId="23748" xr:uid="{00000000-0005-0000-0000-0000A8D20000}"/>
    <cellStyle name="Normal 4 3 7 2 3 3 3 2" xfId="55619" xr:uid="{00000000-0005-0000-0000-0000A9D20000}"/>
    <cellStyle name="Normal 4 3 7 2 3 3 4" xfId="45623" xr:uid="{00000000-0005-0000-0000-0000AAD20000}"/>
    <cellStyle name="Normal 4 3 7 2 3 4" xfId="13746" xr:uid="{00000000-0005-0000-0000-0000ABD20000}"/>
    <cellStyle name="Normal 4 3 7 2 3 4 2" xfId="27687" xr:uid="{00000000-0005-0000-0000-0000ACD20000}"/>
    <cellStyle name="Normal 4 3 7 2 3 4 2 2" xfId="59558" xr:uid="{00000000-0005-0000-0000-0000ADD20000}"/>
    <cellStyle name="Normal 4 3 7 2 3 4 3" xfId="45625" xr:uid="{00000000-0005-0000-0000-0000AED20000}"/>
    <cellStyle name="Normal 4 3 7 2 3 5" xfId="19809" xr:uid="{00000000-0005-0000-0000-0000AFD20000}"/>
    <cellStyle name="Normal 4 3 7 2 3 5 2" xfId="51680" xr:uid="{00000000-0005-0000-0000-0000B0D20000}"/>
    <cellStyle name="Normal 4 3 7 2 3 6" xfId="45618" xr:uid="{00000000-0005-0000-0000-0000B1D20000}"/>
    <cellStyle name="Normal 4 3 7 2 4" xfId="13747" xr:uid="{00000000-0005-0000-0000-0000B2D20000}"/>
    <cellStyle name="Normal 4 3 7 2 4 2" xfId="13748" xr:uid="{00000000-0005-0000-0000-0000B3D20000}"/>
    <cellStyle name="Normal 4 3 7 2 4 2 2" xfId="13749" xr:uid="{00000000-0005-0000-0000-0000B4D20000}"/>
    <cellStyle name="Normal 4 3 7 2 4 2 2 2" xfId="31628" xr:uid="{00000000-0005-0000-0000-0000B5D20000}"/>
    <cellStyle name="Normal 4 3 7 2 4 2 2 2 2" xfId="63499" xr:uid="{00000000-0005-0000-0000-0000B6D20000}"/>
    <cellStyle name="Normal 4 3 7 2 4 2 2 3" xfId="45628" xr:uid="{00000000-0005-0000-0000-0000B7D20000}"/>
    <cellStyle name="Normal 4 3 7 2 4 2 3" xfId="23750" xr:uid="{00000000-0005-0000-0000-0000B8D20000}"/>
    <cellStyle name="Normal 4 3 7 2 4 2 3 2" xfId="55621" xr:uid="{00000000-0005-0000-0000-0000B9D20000}"/>
    <cellStyle name="Normal 4 3 7 2 4 2 4" xfId="45627" xr:uid="{00000000-0005-0000-0000-0000BAD20000}"/>
    <cellStyle name="Normal 4 3 7 2 4 3" xfId="13750" xr:uid="{00000000-0005-0000-0000-0000BBD20000}"/>
    <cellStyle name="Normal 4 3 7 2 4 3 2" xfId="27689" xr:uid="{00000000-0005-0000-0000-0000BCD20000}"/>
    <cellStyle name="Normal 4 3 7 2 4 3 2 2" xfId="59560" xr:uid="{00000000-0005-0000-0000-0000BDD20000}"/>
    <cellStyle name="Normal 4 3 7 2 4 3 3" xfId="45629" xr:uid="{00000000-0005-0000-0000-0000BED20000}"/>
    <cellStyle name="Normal 4 3 7 2 4 4" xfId="19811" xr:uid="{00000000-0005-0000-0000-0000BFD20000}"/>
    <cellStyle name="Normal 4 3 7 2 4 4 2" xfId="51682" xr:uid="{00000000-0005-0000-0000-0000C0D20000}"/>
    <cellStyle name="Normal 4 3 7 2 4 5" xfId="45626" xr:uid="{00000000-0005-0000-0000-0000C1D20000}"/>
    <cellStyle name="Normal 4 3 7 2 5" xfId="13751" xr:uid="{00000000-0005-0000-0000-0000C2D20000}"/>
    <cellStyle name="Normal 4 3 7 2 5 2" xfId="13752" xr:uid="{00000000-0005-0000-0000-0000C3D20000}"/>
    <cellStyle name="Normal 4 3 7 2 5 2 2" xfId="31621" xr:uid="{00000000-0005-0000-0000-0000C4D20000}"/>
    <cellStyle name="Normal 4 3 7 2 5 2 2 2" xfId="63492" xr:uid="{00000000-0005-0000-0000-0000C5D20000}"/>
    <cellStyle name="Normal 4 3 7 2 5 2 3" xfId="45631" xr:uid="{00000000-0005-0000-0000-0000C6D20000}"/>
    <cellStyle name="Normal 4 3 7 2 5 3" xfId="23743" xr:uid="{00000000-0005-0000-0000-0000C7D20000}"/>
    <cellStyle name="Normal 4 3 7 2 5 3 2" xfId="55614" xr:uid="{00000000-0005-0000-0000-0000C8D20000}"/>
    <cellStyle name="Normal 4 3 7 2 5 4" xfId="45630" xr:uid="{00000000-0005-0000-0000-0000C9D20000}"/>
    <cellStyle name="Normal 4 3 7 2 6" xfId="13753" xr:uid="{00000000-0005-0000-0000-0000CAD20000}"/>
    <cellStyle name="Normal 4 3 7 2 6 2" xfId="27682" xr:uid="{00000000-0005-0000-0000-0000CBD20000}"/>
    <cellStyle name="Normal 4 3 7 2 6 2 2" xfId="59553" xr:uid="{00000000-0005-0000-0000-0000CCD20000}"/>
    <cellStyle name="Normal 4 3 7 2 6 3" xfId="45632" xr:uid="{00000000-0005-0000-0000-0000CDD20000}"/>
    <cellStyle name="Normal 4 3 7 2 7" xfId="19804" xr:uid="{00000000-0005-0000-0000-0000CED20000}"/>
    <cellStyle name="Normal 4 3 7 2 7 2" xfId="51675" xr:uid="{00000000-0005-0000-0000-0000CFD20000}"/>
    <cellStyle name="Normal 4 3 7 2 8" xfId="45601" xr:uid="{00000000-0005-0000-0000-0000D0D20000}"/>
    <cellStyle name="Normal 4 3 7 3" xfId="13754" xr:uid="{00000000-0005-0000-0000-0000D1D20000}"/>
    <cellStyle name="Normal 4 3 7 3 2" xfId="13755" xr:uid="{00000000-0005-0000-0000-0000D2D20000}"/>
    <cellStyle name="Normal 4 3 7 3 2 2" xfId="13756" xr:uid="{00000000-0005-0000-0000-0000D3D20000}"/>
    <cellStyle name="Normal 4 3 7 3 2 2 2" xfId="13757" xr:uid="{00000000-0005-0000-0000-0000D4D20000}"/>
    <cellStyle name="Normal 4 3 7 3 2 2 2 2" xfId="13758" xr:uid="{00000000-0005-0000-0000-0000D5D20000}"/>
    <cellStyle name="Normal 4 3 7 3 2 2 2 2 2" xfId="31631" xr:uid="{00000000-0005-0000-0000-0000D6D20000}"/>
    <cellStyle name="Normal 4 3 7 3 2 2 2 2 2 2" xfId="63502" xr:uid="{00000000-0005-0000-0000-0000D7D20000}"/>
    <cellStyle name="Normal 4 3 7 3 2 2 2 2 3" xfId="45637" xr:uid="{00000000-0005-0000-0000-0000D8D20000}"/>
    <cellStyle name="Normal 4 3 7 3 2 2 2 3" xfId="23753" xr:uid="{00000000-0005-0000-0000-0000D9D20000}"/>
    <cellStyle name="Normal 4 3 7 3 2 2 2 3 2" xfId="55624" xr:uid="{00000000-0005-0000-0000-0000DAD20000}"/>
    <cellStyle name="Normal 4 3 7 3 2 2 2 4" xfId="45636" xr:uid="{00000000-0005-0000-0000-0000DBD20000}"/>
    <cellStyle name="Normal 4 3 7 3 2 2 3" xfId="13759" xr:uid="{00000000-0005-0000-0000-0000DCD20000}"/>
    <cellStyle name="Normal 4 3 7 3 2 2 3 2" xfId="27692" xr:uid="{00000000-0005-0000-0000-0000DDD20000}"/>
    <cellStyle name="Normal 4 3 7 3 2 2 3 2 2" xfId="59563" xr:uid="{00000000-0005-0000-0000-0000DED20000}"/>
    <cellStyle name="Normal 4 3 7 3 2 2 3 3" xfId="45638" xr:uid="{00000000-0005-0000-0000-0000DFD20000}"/>
    <cellStyle name="Normal 4 3 7 3 2 2 4" xfId="19814" xr:uid="{00000000-0005-0000-0000-0000E0D20000}"/>
    <cellStyle name="Normal 4 3 7 3 2 2 4 2" xfId="51685" xr:uid="{00000000-0005-0000-0000-0000E1D20000}"/>
    <cellStyle name="Normal 4 3 7 3 2 2 5" xfId="45635" xr:uid="{00000000-0005-0000-0000-0000E2D20000}"/>
    <cellStyle name="Normal 4 3 7 3 2 3" xfId="13760" xr:uid="{00000000-0005-0000-0000-0000E3D20000}"/>
    <cellStyle name="Normal 4 3 7 3 2 3 2" xfId="13761" xr:uid="{00000000-0005-0000-0000-0000E4D20000}"/>
    <cellStyle name="Normal 4 3 7 3 2 3 2 2" xfId="31630" xr:uid="{00000000-0005-0000-0000-0000E5D20000}"/>
    <cellStyle name="Normal 4 3 7 3 2 3 2 2 2" xfId="63501" xr:uid="{00000000-0005-0000-0000-0000E6D20000}"/>
    <cellStyle name="Normal 4 3 7 3 2 3 2 3" xfId="45640" xr:uid="{00000000-0005-0000-0000-0000E7D20000}"/>
    <cellStyle name="Normal 4 3 7 3 2 3 3" xfId="23752" xr:uid="{00000000-0005-0000-0000-0000E8D20000}"/>
    <cellStyle name="Normal 4 3 7 3 2 3 3 2" xfId="55623" xr:uid="{00000000-0005-0000-0000-0000E9D20000}"/>
    <cellStyle name="Normal 4 3 7 3 2 3 4" xfId="45639" xr:uid="{00000000-0005-0000-0000-0000EAD20000}"/>
    <cellStyle name="Normal 4 3 7 3 2 4" xfId="13762" xr:uid="{00000000-0005-0000-0000-0000EBD20000}"/>
    <cellStyle name="Normal 4 3 7 3 2 4 2" xfId="27691" xr:uid="{00000000-0005-0000-0000-0000ECD20000}"/>
    <cellStyle name="Normal 4 3 7 3 2 4 2 2" xfId="59562" xr:uid="{00000000-0005-0000-0000-0000EDD20000}"/>
    <cellStyle name="Normal 4 3 7 3 2 4 3" xfId="45641" xr:uid="{00000000-0005-0000-0000-0000EED20000}"/>
    <cellStyle name="Normal 4 3 7 3 2 5" xfId="19813" xr:uid="{00000000-0005-0000-0000-0000EFD20000}"/>
    <cellStyle name="Normal 4 3 7 3 2 5 2" xfId="51684" xr:uid="{00000000-0005-0000-0000-0000F0D20000}"/>
    <cellStyle name="Normal 4 3 7 3 2 6" xfId="45634" xr:uid="{00000000-0005-0000-0000-0000F1D20000}"/>
    <cellStyle name="Normal 4 3 7 3 3" xfId="13763" xr:uid="{00000000-0005-0000-0000-0000F2D20000}"/>
    <cellStyle name="Normal 4 3 7 3 3 2" xfId="13764" xr:uid="{00000000-0005-0000-0000-0000F3D20000}"/>
    <cellStyle name="Normal 4 3 7 3 3 2 2" xfId="13765" xr:uid="{00000000-0005-0000-0000-0000F4D20000}"/>
    <cellStyle name="Normal 4 3 7 3 3 2 2 2" xfId="31632" xr:uid="{00000000-0005-0000-0000-0000F5D20000}"/>
    <cellStyle name="Normal 4 3 7 3 3 2 2 2 2" xfId="63503" xr:uid="{00000000-0005-0000-0000-0000F6D20000}"/>
    <cellStyle name="Normal 4 3 7 3 3 2 2 3" xfId="45644" xr:uid="{00000000-0005-0000-0000-0000F7D20000}"/>
    <cellStyle name="Normal 4 3 7 3 3 2 3" xfId="23754" xr:uid="{00000000-0005-0000-0000-0000F8D20000}"/>
    <cellStyle name="Normal 4 3 7 3 3 2 3 2" xfId="55625" xr:uid="{00000000-0005-0000-0000-0000F9D20000}"/>
    <cellStyle name="Normal 4 3 7 3 3 2 4" xfId="45643" xr:uid="{00000000-0005-0000-0000-0000FAD20000}"/>
    <cellStyle name="Normal 4 3 7 3 3 3" xfId="13766" xr:uid="{00000000-0005-0000-0000-0000FBD20000}"/>
    <cellStyle name="Normal 4 3 7 3 3 3 2" xfId="27693" xr:uid="{00000000-0005-0000-0000-0000FCD20000}"/>
    <cellStyle name="Normal 4 3 7 3 3 3 2 2" xfId="59564" xr:uid="{00000000-0005-0000-0000-0000FDD20000}"/>
    <cellStyle name="Normal 4 3 7 3 3 3 3" xfId="45645" xr:uid="{00000000-0005-0000-0000-0000FED20000}"/>
    <cellStyle name="Normal 4 3 7 3 3 4" xfId="19815" xr:uid="{00000000-0005-0000-0000-0000FFD20000}"/>
    <cellStyle name="Normal 4 3 7 3 3 4 2" xfId="51686" xr:uid="{00000000-0005-0000-0000-000000D30000}"/>
    <cellStyle name="Normal 4 3 7 3 3 5" xfId="45642" xr:uid="{00000000-0005-0000-0000-000001D30000}"/>
    <cellStyle name="Normal 4 3 7 3 4" xfId="13767" xr:uid="{00000000-0005-0000-0000-000002D30000}"/>
    <cellStyle name="Normal 4 3 7 3 4 2" xfId="13768" xr:uid="{00000000-0005-0000-0000-000003D30000}"/>
    <cellStyle name="Normal 4 3 7 3 4 2 2" xfId="31629" xr:uid="{00000000-0005-0000-0000-000004D30000}"/>
    <cellStyle name="Normal 4 3 7 3 4 2 2 2" xfId="63500" xr:uid="{00000000-0005-0000-0000-000005D30000}"/>
    <cellStyle name="Normal 4 3 7 3 4 2 3" xfId="45647" xr:uid="{00000000-0005-0000-0000-000006D30000}"/>
    <cellStyle name="Normal 4 3 7 3 4 3" xfId="23751" xr:uid="{00000000-0005-0000-0000-000007D30000}"/>
    <cellStyle name="Normal 4 3 7 3 4 3 2" xfId="55622" xr:uid="{00000000-0005-0000-0000-000008D30000}"/>
    <cellStyle name="Normal 4 3 7 3 4 4" xfId="45646" xr:uid="{00000000-0005-0000-0000-000009D30000}"/>
    <cellStyle name="Normal 4 3 7 3 5" xfId="13769" xr:uid="{00000000-0005-0000-0000-00000AD30000}"/>
    <cellStyle name="Normal 4 3 7 3 5 2" xfId="27690" xr:uid="{00000000-0005-0000-0000-00000BD30000}"/>
    <cellStyle name="Normal 4 3 7 3 5 2 2" xfId="59561" xr:uid="{00000000-0005-0000-0000-00000CD30000}"/>
    <cellStyle name="Normal 4 3 7 3 5 3" xfId="45648" xr:uid="{00000000-0005-0000-0000-00000DD30000}"/>
    <cellStyle name="Normal 4 3 7 3 6" xfId="19812" xr:uid="{00000000-0005-0000-0000-00000ED30000}"/>
    <cellStyle name="Normal 4 3 7 3 6 2" xfId="51683" xr:uid="{00000000-0005-0000-0000-00000FD30000}"/>
    <cellStyle name="Normal 4 3 7 3 7" xfId="45633" xr:uid="{00000000-0005-0000-0000-000010D30000}"/>
    <cellStyle name="Normal 4 3 7 4" xfId="13770" xr:uid="{00000000-0005-0000-0000-000011D30000}"/>
    <cellStyle name="Normal 4 3 7 4 2" xfId="13771" xr:uid="{00000000-0005-0000-0000-000012D30000}"/>
    <cellStyle name="Normal 4 3 7 4 2 2" xfId="13772" xr:uid="{00000000-0005-0000-0000-000013D30000}"/>
    <cellStyle name="Normal 4 3 7 4 2 2 2" xfId="13773" xr:uid="{00000000-0005-0000-0000-000014D30000}"/>
    <cellStyle name="Normal 4 3 7 4 2 2 2 2" xfId="31634" xr:uid="{00000000-0005-0000-0000-000015D30000}"/>
    <cellStyle name="Normal 4 3 7 4 2 2 2 2 2" xfId="63505" xr:uid="{00000000-0005-0000-0000-000016D30000}"/>
    <cellStyle name="Normal 4 3 7 4 2 2 2 3" xfId="45652" xr:uid="{00000000-0005-0000-0000-000017D30000}"/>
    <cellStyle name="Normal 4 3 7 4 2 2 3" xfId="23756" xr:uid="{00000000-0005-0000-0000-000018D30000}"/>
    <cellStyle name="Normal 4 3 7 4 2 2 3 2" xfId="55627" xr:uid="{00000000-0005-0000-0000-000019D30000}"/>
    <cellStyle name="Normal 4 3 7 4 2 2 4" xfId="45651" xr:uid="{00000000-0005-0000-0000-00001AD30000}"/>
    <cellStyle name="Normal 4 3 7 4 2 3" xfId="13774" xr:uid="{00000000-0005-0000-0000-00001BD30000}"/>
    <cellStyle name="Normal 4 3 7 4 2 3 2" xfId="27695" xr:uid="{00000000-0005-0000-0000-00001CD30000}"/>
    <cellStyle name="Normal 4 3 7 4 2 3 2 2" xfId="59566" xr:uid="{00000000-0005-0000-0000-00001DD30000}"/>
    <cellStyle name="Normal 4 3 7 4 2 3 3" xfId="45653" xr:uid="{00000000-0005-0000-0000-00001ED30000}"/>
    <cellStyle name="Normal 4 3 7 4 2 4" xfId="19817" xr:uid="{00000000-0005-0000-0000-00001FD30000}"/>
    <cellStyle name="Normal 4 3 7 4 2 4 2" xfId="51688" xr:uid="{00000000-0005-0000-0000-000020D30000}"/>
    <cellStyle name="Normal 4 3 7 4 2 5" xfId="45650" xr:uid="{00000000-0005-0000-0000-000021D30000}"/>
    <cellStyle name="Normal 4 3 7 4 3" xfId="13775" xr:uid="{00000000-0005-0000-0000-000022D30000}"/>
    <cellStyle name="Normal 4 3 7 4 3 2" xfId="13776" xr:uid="{00000000-0005-0000-0000-000023D30000}"/>
    <cellStyle name="Normal 4 3 7 4 3 2 2" xfId="31633" xr:uid="{00000000-0005-0000-0000-000024D30000}"/>
    <cellStyle name="Normal 4 3 7 4 3 2 2 2" xfId="63504" xr:uid="{00000000-0005-0000-0000-000025D30000}"/>
    <cellStyle name="Normal 4 3 7 4 3 2 3" xfId="45655" xr:uid="{00000000-0005-0000-0000-000026D30000}"/>
    <cellStyle name="Normal 4 3 7 4 3 3" xfId="23755" xr:uid="{00000000-0005-0000-0000-000027D30000}"/>
    <cellStyle name="Normal 4 3 7 4 3 3 2" xfId="55626" xr:uid="{00000000-0005-0000-0000-000028D30000}"/>
    <cellStyle name="Normal 4 3 7 4 3 4" xfId="45654" xr:uid="{00000000-0005-0000-0000-000029D30000}"/>
    <cellStyle name="Normal 4 3 7 4 4" xfId="13777" xr:uid="{00000000-0005-0000-0000-00002AD30000}"/>
    <cellStyle name="Normal 4 3 7 4 4 2" xfId="27694" xr:uid="{00000000-0005-0000-0000-00002BD30000}"/>
    <cellStyle name="Normal 4 3 7 4 4 2 2" xfId="59565" xr:uid="{00000000-0005-0000-0000-00002CD30000}"/>
    <cellStyle name="Normal 4 3 7 4 4 3" xfId="45656" xr:uid="{00000000-0005-0000-0000-00002DD30000}"/>
    <cellStyle name="Normal 4 3 7 4 5" xfId="19816" xr:uid="{00000000-0005-0000-0000-00002ED30000}"/>
    <cellStyle name="Normal 4 3 7 4 5 2" xfId="51687" xr:uid="{00000000-0005-0000-0000-00002FD30000}"/>
    <cellStyle name="Normal 4 3 7 4 6" xfId="45649" xr:uid="{00000000-0005-0000-0000-000030D30000}"/>
    <cellStyle name="Normal 4 3 7 5" xfId="13778" xr:uid="{00000000-0005-0000-0000-000031D30000}"/>
    <cellStyle name="Normal 4 3 7 5 2" xfId="13779" xr:uid="{00000000-0005-0000-0000-000032D30000}"/>
    <cellStyle name="Normal 4 3 7 5 2 2" xfId="13780" xr:uid="{00000000-0005-0000-0000-000033D30000}"/>
    <cellStyle name="Normal 4 3 7 5 2 2 2" xfId="31635" xr:uid="{00000000-0005-0000-0000-000034D30000}"/>
    <cellStyle name="Normal 4 3 7 5 2 2 2 2" xfId="63506" xr:uid="{00000000-0005-0000-0000-000035D30000}"/>
    <cellStyle name="Normal 4 3 7 5 2 2 3" xfId="45659" xr:uid="{00000000-0005-0000-0000-000036D30000}"/>
    <cellStyle name="Normal 4 3 7 5 2 3" xfId="23757" xr:uid="{00000000-0005-0000-0000-000037D30000}"/>
    <cellStyle name="Normal 4 3 7 5 2 3 2" xfId="55628" xr:uid="{00000000-0005-0000-0000-000038D30000}"/>
    <cellStyle name="Normal 4 3 7 5 2 4" xfId="45658" xr:uid="{00000000-0005-0000-0000-000039D30000}"/>
    <cellStyle name="Normal 4 3 7 5 3" xfId="13781" xr:uid="{00000000-0005-0000-0000-00003AD30000}"/>
    <cellStyle name="Normal 4 3 7 5 3 2" xfId="27696" xr:uid="{00000000-0005-0000-0000-00003BD30000}"/>
    <cellStyle name="Normal 4 3 7 5 3 2 2" xfId="59567" xr:uid="{00000000-0005-0000-0000-00003CD30000}"/>
    <cellStyle name="Normal 4 3 7 5 3 3" xfId="45660" xr:uid="{00000000-0005-0000-0000-00003DD30000}"/>
    <cellStyle name="Normal 4 3 7 5 4" xfId="19818" xr:uid="{00000000-0005-0000-0000-00003ED30000}"/>
    <cellStyle name="Normal 4 3 7 5 4 2" xfId="51689" xr:uid="{00000000-0005-0000-0000-00003FD30000}"/>
    <cellStyle name="Normal 4 3 7 5 5" xfId="45657" xr:uid="{00000000-0005-0000-0000-000040D30000}"/>
    <cellStyle name="Normal 4 3 7 6" xfId="13782" xr:uid="{00000000-0005-0000-0000-000041D30000}"/>
    <cellStyle name="Normal 4 3 7 6 2" xfId="13783" xr:uid="{00000000-0005-0000-0000-000042D30000}"/>
    <cellStyle name="Normal 4 3 7 6 2 2" xfId="28387" xr:uid="{00000000-0005-0000-0000-000043D30000}"/>
    <cellStyle name="Normal 4 3 7 6 2 2 2" xfId="60258" xr:uid="{00000000-0005-0000-0000-000044D30000}"/>
    <cellStyle name="Normal 4 3 7 6 2 3" xfId="45662" xr:uid="{00000000-0005-0000-0000-000045D30000}"/>
    <cellStyle name="Normal 4 3 7 6 3" xfId="20509" xr:uid="{00000000-0005-0000-0000-000046D30000}"/>
    <cellStyle name="Normal 4 3 7 6 3 2" xfId="52380" xr:uid="{00000000-0005-0000-0000-000047D30000}"/>
    <cellStyle name="Normal 4 3 7 6 4" xfId="45661" xr:uid="{00000000-0005-0000-0000-000048D30000}"/>
    <cellStyle name="Normal 4 3 7 7" xfId="13784" xr:uid="{00000000-0005-0000-0000-000049D30000}"/>
    <cellStyle name="Normal 4 3 7 7 2" xfId="24448" xr:uid="{00000000-0005-0000-0000-00004AD30000}"/>
    <cellStyle name="Normal 4 3 7 7 2 2" xfId="56319" xr:uid="{00000000-0005-0000-0000-00004BD30000}"/>
    <cellStyle name="Normal 4 3 7 7 3" xfId="45663" xr:uid="{00000000-0005-0000-0000-00004CD30000}"/>
    <cellStyle name="Normal 4 3 7 8" xfId="16570" xr:uid="{00000000-0005-0000-0000-00004DD30000}"/>
    <cellStyle name="Normal 4 3 7 8 2" xfId="48441" xr:uid="{00000000-0005-0000-0000-00004ED30000}"/>
    <cellStyle name="Normal 4 3 7 9" xfId="45600" xr:uid="{00000000-0005-0000-0000-00004FD30000}"/>
    <cellStyle name="Normal 4 3 8" xfId="13785" xr:uid="{00000000-0005-0000-0000-000050D30000}"/>
    <cellStyle name="Normal 4 3 8 2" xfId="13786" xr:uid="{00000000-0005-0000-0000-000051D30000}"/>
    <cellStyle name="Normal 4 3 8 2 2" xfId="13787" xr:uid="{00000000-0005-0000-0000-000052D30000}"/>
    <cellStyle name="Normal 4 3 8 2 2 2" xfId="13788" xr:uid="{00000000-0005-0000-0000-000053D30000}"/>
    <cellStyle name="Normal 4 3 8 2 2 2 2" xfId="13789" xr:uid="{00000000-0005-0000-0000-000054D30000}"/>
    <cellStyle name="Normal 4 3 8 2 2 2 2 2" xfId="13790" xr:uid="{00000000-0005-0000-0000-000055D30000}"/>
    <cellStyle name="Normal 4 3 8 2 2 2 2 2 2" xfId="31638" xr:uid="{00000000-0005-0000-0000-000056D30000}"/>
    <cellStyle name="Normal 4 3 8 2 2 2 2 2 2 2" xfId="63509" xr:uid="{00000000-0005-0000-0000-000057D30000}"/>
    <cellStyle name="Normal 4 3 8 2 2 2 2 2 3" xfId="45669" xr:uid="{00000000-0005-0000-0000-000058D30000}"/>
    <cellStyle name="Normal 4 3 8 2 2 2 2 3" xfId="23760" xr:uid="{00000000-0005-0000-0000-000059D30000}"/>
    <cellStyle name="Normal 4 3 8 2 2 2 2 3 2" xfId="55631" xr:uid="{00000000-0005-0000-0000-00005AD30000}"/>
    <cellStyle name="Normal 4 3 8 2 2 2 2 4" xfId="45668" xr:uid="{00000000-0005-0000-0000-00005BD30000}"/>
    <cellStyle name="Normal 4 3 8 2 2 2 3" xfId="13791" xr:uid="{00000000-0005-0000-0000-00005CD30000}"/>
    <cellStyle name="Normal 4 3 8 2 2 2 3 2" xfId="27699" xr:uid="{00000000-0005-0000-0000-00005DD30000}"/>
    <cellStyle name="Normal 4 3 8 2 2 2 3 2 2" xfId="59570" xr:uid="{00000000-0005-0000-0000-00005ED30000}"/>
    <cellStyle name="Normal 4 3 8 2 2 2 3 3" xfId="45670" xr:uid="{00000000-0005-0000-0000-00005FD30000}"/>
    <cellStyle name="Normal 4 3 8 2 2 2 4" xfId="19821" xr:uid="{00000000-0005-0000-0000-000060D30000}"/>
    <cellStyle name="Normal 4 3 8 2 2 2 4 2" xfId="51692" xr:uid="{00000000-0005-0000-0000-000061D30000}"/>
    <cellStyle name="Normal 4 3 8 2 2 2 5" xfId="45667" xr:uid="{00000000-0005-0000-0000-000062D30000}"/>
    <cellStyle name="Normal 4 3 8 2 2 3" xfId="13792" xr:uid="{00000000-0005-0000-0000-000063D30000}"/>
    <cellStyle name="Normal 4 3 8 2 2 3 2" xfId="13793" xr:uid="{00000000-0005-0000-0000-000064D30000}"/>
    <cellStyle name="Normal 4 3 8 2 2 3 2 2" xfId="31637" xr:uid="{00000000-0005-0000-0000-000065D30000}"/>
    <cellStyle name="Normal 4 3 8 2 2 3 2 2 2" xfId="63508" xr:uid="{00000000-0005-0000-0000-000066D30000}"/>
    <cellStyle name="Normal 4 3 8 2 2 3 2 3" xfId="45672" xr:uid="{00000000-0005-0000-0000-000067D30000}"/>
    <cellStyle name="Normal 4 3 8 2 2 3 3" xfId="23759" xr:uid="{00000000-0005-0000-0000-000068D30000}"/>
    <cellStyle name="Normal 4 3 8 2 2 3 3 2" xfId="55630" xr:uid="{00000000-0005-0000-0000-000069D30000}"/>
    <cellStyle name="Normal 4 3 8 2 2 3 4" xfId="45671" xr:uid="{00000000-0005-0000-0000-00006AD30000}"/>
    <cellStyle name="Normal 4 3 8 2 2 4" xfId="13794" xr:uid="{00000000-0005-0000-0000-00006BD30000}"/>
    <cellStyle name="Normal 4 3 8 2 2 4 2" xfId="27698" xr:uid="{00000000-0005-0000-0000-00006CD30000}"/>
    <cellStyle name="Normal 4 3 8 2 2 4 2 2" xfId="59569" xr:uid="{00000000-0005-0000-0000-00006DD30000}"/>
    <cellStyle name="Normal 4 3 8 2 2 4 3" xfId="45673" xr:uid="{00000000-0005-0000-0000-00006ED30000}"/>
    <cellStyle name="Normal 4 3 8 2 2 5" xfId="19820" xr:uid="{00000000-0005-0000-0000-00006FD30000}"/>
    <cellStyle name="Normal 4 3 8 2 2 5 2" xfId="51691" xr:uid="{00000000-0005-0000-0000-000070D30000}"/>
    <cellStyle name="Normal 4 3 8 2 2 6" xfId="45666" xr:uid="{00000000-0005-0000-0000-000071D30000}"/>
    <cellStyle name="Normal 4 3 8 2 3" xfId="13795" xr:uid="{00000000-0005-0000-0000-000072D30000}"/>
    <cellStyle name="Normal 4 3 8 2 3 2" xfId="13796" xr:uid="{00000000-0005-0000-0000-000073D30000}"/>
    <cellStyle name="Normal 4 3 8 2 3 2 2" xfId="13797" xr:uid="{00000000-0005-0000-0000-000074D30000}"/>
    <cellStyle name="Normal 4 3 8 2 3 2 2 2" xfId="31639" xr:uid="{00000000-0005-0000-0000-000075D30000}"/>
    <cellStyle name="Normal 4 3 8 2 3 2 2 2 2" xfId="63510" xr:uid="{00000000-0005-0000-0000-000076D30000}"/>
    <cellStyle name="Normal 4 3 8 2 3 2 2 3" xfId="45676" xr:uid="{00000000-0005-0000-0000-000077D30000}"/>
    <cellStyle name="Normal 4 3 8 2 3 2 3" xfId="23761" xr:uid="{00000000-0005-0000-0000-000078D30000}"/>
    <cellStyle name="Normal 4 3 8 2 3 2 3 2" xfId="55632" xr:uid="{00000000-0005-0000-0000-000079D30000}"/>
    <cellStyle name="Normal 4 3 8 2 3 2 4" xfId="45675" xr:uid="{00000000-0005-0000-0000-00007AD30000}"/>
    <cellStyle name="Normal 4 3 8 2 3 3" xfId="13798" xr:uid="{00000000-0005-0000-0000-00007BD30000}"/>
    <cellStyle name="Normal 4 3 8 2 3 3 2" xfId="27700" xr:uid="{00000000-0005-0000-0000-00007CD30000}"/>
    <cellStyle name="Normal 4 3 8 2 3 3 2 2" xfId="59571" xr:uid="{00000000-0005-0000-0000-00007DD30000}"/>
    <cellStyle name="Normal 4 3 8 2 3 3 3" xfId="45677" xr:uid="{00000000-0005-0000-0000-00007ED30000}"/>
    <cellStyle name="Normal 4 3 8 2 3 4" xfId="19822" xr:uid="{00000000-0005-0000-0000-00007FD30000}"/>
    <cellStyle name="Normal 4 3 8 2 3 4 2" xfId="51693" xr:uid="{00000000-0005-0000-0000-000080D30000}"/>
    <cellStyle name="Normal 4 3 8 2 3 5" xfId="45674" xr:uid="{00000000-0005-0000-0000-000081D30000}"/>
    <cellStyle name="Normal 4 3 8 2 4" xfId="13799" xr:uid="{00000000-0005-0000-0000-000082D30000}"/>
    <cellStyle name="Normal 4 3 8 2 4 2" xfId="13800" xr:uid="{00000000-0005-0000-0000-000083D30000}"/>
    <cellStyle name="Normal 4 3 8 2 4 2 2" xfId="31636" xr:uid="{00000000-0005-0000-0000-000084D30000}"/>
    <cellStyle name="Normal 4 3 8 2 4 2 2 2" xfId="63507" xr:uid="{00000000-0005-0000-0000-000085D30000}"/>
    <cellStyle name="Normal 4 3 8 2 4 2 3" xfId="45679" xr:uid="{00000000-0005-0000-0000-000086D30000}"/>
    <cellStyle name="Normal 4 3 8 2 4 3" xfId="23758" xr:uid="{00000000-0005-0000-0000-000087D30000}"/>
    <cellStyle name="Normal 4 3 8 2 4 3 2" xfId="55629" xr:uid="{00000000-0005-0000-0000-000088D30000}"/>
    <cellStyle name="Normal 4 3 8 2 4 4" xfId="45678" xr:uid="{00000000-0005-0000-0000-000089D30000}"/>
    <cellStyle name="Normal 4 3 8 2 5" xfId="13801" xr:uid="{00000000-0005-0000-0000-00008AD30000}"/>
    <cellStyle name="Normal 4 3 8 2 5 2" xfId="27697" xr:uid="{00000000-0005-0000-0000-00008BD30000}"/>
    <cellStyle name="Normal 4 3 8 2 5 2 2" xfId="59568" xr:uid="{00000000-0005-0000-0000-00008CD30000}"/>
    <cellStyle name="Normal 4 3 8 2 5 3" xfId="45680" xr:uid="{00000000-0005-0000-0000-00008DD30000}"/>
    <cellStyle name="Normal 4 3 8 2 6" xfId="19819" xr:uid="{00000000-0005-0000-0000-00008ED30000}"/>
    <cellStyle name="Normal 4 3 8 2 6 2" xfId="51690" xr:uid="{00000000-0005-0000-0000-00008FD30000}"/>
    <cellStyle name="Normal 4 3 8 2 7" xfId="45665" xr:uid="{00000000-0005-0000-0000-000090D30000}"/>
    <cellStyle name="Normal 4 3 8 3" xfId="13802" xr:uid="{00000000-0005-0000-0000-000091D30000}"/>
    <cellStyle name="Normal 4 3 8 3 2" xfId="13803" xr:uid="{00000000-0005-0000-0000-000092D30000}"/>
    <cellStyle name="Normal 4 3 8 3 2 2" xfId="13804" xr:uid="{00000000-0005-0000-0000-000093D30000}"/>
    <cellStyle name="Normal 4 3 8 3 2 2 2" xfId="13805" xr:uid="{00000000-0005-0000-0000-000094D30000}"/>
    <cellStyle name="Normal 4 3 8 3 2 2 2 2" xfId="31641" xr:uid="{00000000-0005-0000-0000-000095D30000}"/>
    <cellStyle name="Normal 4 3 8 3 2 2 2 2 2" xfId="63512" xr:uid="{00000000-0005-0000-0000-000096D30000}"/>
    <cellStyle name="Normal 4 3 8 3 2 2 2 3" xfId="45684" xr:uid="{00000000-0005-0000-0000-000097D30000}"/>
    <cellStyle name="Normal 4 3 8 3 2 2 3" xfId="23763" xr:uid="{00000000-0005-0000-0000-000098D30000}"/>
    <cellStyle name="Normal 4 3 8 3 2 2 3 2" xfId="55634" xr:uid="{00000000-0005-0000-0000-000099D30000}"/>
    <cellStyle name="Normal 4 3 8 3 2 2 4" xfId="45683" xr:uid="{00000000-0005-0000-0000-00009AD30000}"/>
    <cellStyle name="Normal 4 3 8 3 2 3" xfId="13806" xr:uid="{00000000-0005-0000-0000-00009BD30000}"/>
    <cellStyle name="Normal 4 3 8 3 2 3 2" xfId="27702" xr:uid="{00000000-0005-0000-0000-00009CD30000}"/>
    <cellStyle name="Normal 4 3 8 3 2 3 2 2" xfId="59573" xr:uid="{00000000-0005-0000-0000-00009DD30000}"/>
    <cellStyle name="Normal 4 3 8 3 2 3 3" xfId="45685" xr:uid="{00000000-0005-0000-0000-00009ED30000}"/>
    <cellStyle name="Normal 4 3 8 3 2 4" xfId="19824" xr:uid="{00000000-0005-0000-0000-00009FD30000}"/>
    <cellStyle name="Normal 4 3 8 3 2 4 2" xfId="51695" xr:uid="{00000000-0005-0000-0000-0000A0D30000}"/>
    <cellStyle name="Normal 4 3 8 3 2 5" xfId="45682" xr:uid="{00000000-0005-0000-0000-0000A1D30000}"/>
    <cellStyle name="Normal 4 3 8 3 3" xfId="13807" xr:uid="{00000000-0005-0000-0000-0000A2D30000}"/>
    <cellStyle name="Normal 4 3 8 3 3 2" xfId="13808" xr:uid="{00000000-0005-0000-0000-0000A3D30000}"/>
    <cellStyle name="Normal 4 3 8 3 3 2 2" xfId="31640" xr:uid="{00000000-0005-0000-0000-0000A4D30000}"/>
    <cellStyle name="Normal 4 3 8 3 3 2 2 2" xfId="63511" xr:uid="{00000000-0005-0000-0000-0000A5D30000}"/>
    <cellStyle name="Normal 4 3 8 3 3 2 3" xfId="45687" xr:uid="{00000000-0005-0000-0000-0000A6D30000}"/>
    <cellStyle name="Normal 4 3 8 3 3 3" xfId="23762" xr:uid="{00000000-0005-0000-0000-0000A7D30000}"/>
    <cellStyle name="Normal 4 3 8 3 3 3 2" xfId="55633" xr:uid="{00000000-0005-0000-0000-0000A8D30000}"/>
    <cellStyle name="Normal 4 3 8 3 3 4" xfId="45686" xr:uid="{00000000-0005-0000-0000-0000A9D30000}"/>
    <cellStyle name="Normal 4 3 8 3 4" xfId="13809" xr:uid="{00000000-0005-0000-0000-0000AAD30000}"/>
    <cellStyle name="Normal 4 3 8 3 4 2" xfId="27701" xr:uid="{00000000-0005-0000-0000-0000ABD30000}"/>
    <cellStyle name="Normal 4 3 8 3 4 2 2" xfId="59572" xr:uid="{00000000-0005-0000-0000-0000ACD30000}"/>
    <cellStyle name="Normal 4 3 8 3 4 3" xfId="45688" xr:uid="{00000000-0005-0000-0000-0000ADD30000}"/>
    <cellStyle name="Normal 4 3 8 3 5" xfId="19823" xr:uid="{00000000-0005-0000-0000-0000AED30000}"/>
    <cellStyle name="Normal 4 3 8 3 5 2" xfId="51694" xr:uid="{00000000-0005-0000-0000-0000AFD30000}"/>
    <cellStyle name="Normal 4 3 8 3 6" xfId="45681" xr:uid="{00000000-0005-0000-0000-0000B0D30000}"/>
    <cellStyle name="Normal 4 3 8 4" xfId="13810" xr:uid="{00000000-0005-0000-0000-0000B1D30000}"/>
    <cellStyle name="Normal 4 3 8 4 2" xfId="13811" xr:uid="{00000000-0005-0000-0000-0000B2D30000}"/>
    <cellStyle name="Normal 4 3 8 4 2 2" xfId="13812" xr:uid="{00000000-0005-0000-0000-0000B3D30000}"/>
    <cellStyle name="Normal 4 3 8 4 2 2 2" xfId="31642" xr:uid="{00000000-0005-0000-0000-0000B4D30000}"/>
    <cellStyle name="Normal 4 3 8 4 2 2 2 2" xfId="63513" xr:uid="{00000000-0005-0000-0000-0000B5D30000}"/>
    <cellStyle name="Normal 4 3 8 4 2 2 3" xfId="45691" xr:uid="{00000000-0005-0000-0000-0000B6D30000}"/>
    <cellStyle name="Normal 4 3 8 4 2 3" xfId="23764" xr:uid="{00000000-0005-0000-0000-0000B7D30000}"/>
    <cellStyle name="Normal 4 3 8 4 2 3 2" xfId="55635" xr:uid="{00000000-0005-0000-0000-0000B8D30000}"/>
    <cellStyle name="Normal 4 3 8 4 2 4" xfId="45690" xr:uid="{00000000-0005-0000-0000-0000B9D30000}"/>
    <cellStyle name="Normal 4 3 8 4 3" xfId="13813" xr:uid="{00000000-0005-0000-0000-0000BAD30000}"/>
    <cellStyle name="Normal 4 3 8 4 3 2" xfId="27703" xr:uid="{00000000-0005-0000-0000-0000BBD30000}"/>
    <cellStyle name="Normal 4 3 8 4 3 2 2" xfId="59574" xr:uid="{00000000-0005-0000-0000-0000BCD30000}"/>
    <cellStyle name="Normal 4 3 8 4 3 3" xfId="45692" xr:uid="{00000000-0005-0000-0000-0000BDD30000}"/>
    <cellStyle name="Normal 4 3 8 4 4" xfId="19825" xr:uid="{00000000-0005-0000-0000-0000BED30000}"/>
    <cellStyle name="Normal 4 3 8 4 4 2" xfId="51696" xr:uid="{00000000-0005-0000-0000-0000BFD30000}"/>
    <cellStyle name="Normal 4 3 8 4 5" xfId="45689" xr:uid="{00000000-0005-0000-0000-0000C0D30000}"/>
    <cellStyle name="Normal 4 3 8 5" xfId="13814" xr:uid="{00000000-0005-0000-0000-0000C1D30000}"/>
    <cellStyle name="Normal 4 3 8 5 2" xfId="13815" xr:uid="{00000000-0005-0000-0000-0000C2D30000}"/>
    <cellStyle name="Normal 4 3 8 5 2 2" xfId="28264" xr:uid="{00000000-0005-0000-0000-0000C3D30000}"/>
    <cellStyle name="Normal 4 3 8 5 2 2 2" xfId="60135" xr:uid="{00000000-0005-0000-0000-0000C4D30000}"/>
    <cellStyle name="Normal 4 3 8 5 2 3" xfId="45694" xr:uid="{00000000-0005-0000-0000-0000C5D30000}"/>
    <cellStyle name="Normal 4 3 8 5 3" xfId="20386" xr:uid="{00000000-0005-0000-0000-0000C6D30000}"/>
    <cellStyle name="Normal 4 3 8 5 3 2" xfId="52257" xr:uid="{00000000-0005-0000-0000-0000C7D30000}"/>
    <cellStyle name="Normal 4 3 8 5 4" xfId="45693" xr:uid="{00000000-0005-0000-0000-0000C8D30000}"/>
    <cellStyle name="Normal 4 3 8 6" xfId="13816" xr:uid="{00000000-0005-0000-0000-0000C9D30000}"/>
    <cellStyle name="Normal 4 3 8 6 2" xfId="24325" xr:uid="{00000000-0005-0000-0000-0000CAD30000}"/>
    <cellStyle name="Normal 4 3 8 6 2 2" xfId="56196" xr:uid="{00000000-0005-0000-0000-0000CBD30000}"/>
    <cellStyle name="Normal 4 3 8 6 3" xfId="45695" xr:uid="{00000000-0005-0000-0000-0000CCD30000}"/>
    <cellStyle name="Normal 4 3 8 7" xfId="16447" xr:uid="{00000000-0005-0000-0000-0000CDD30000}"/>
    <cellStyle name="Normal 4 3 8 7 2" xfId="48318" xr:uid="{00000000-0005-0000-0000-0000CED30000}"/>
    <cellStyle name="Normal 4 3 8 8" xfId="45664" xr:uid="{00000000-0005-0000-0000-0000CFD30000}"/>
    <cellStyle name="Normal 4 3 9" xfId="13817" xr:uid="{00000000-0005-0000-0000-0000D0D30000}"/>
    <cellStyle name="Normal 4 3 9 2" xfId="13818" xr:uid="{00000000-0005-0000-0000-0000D1D30000}"/>
    <cellStyle name="Normal 4 3 9 2 2" xfId="13819" xr:uid="{00000000-0005-0000-0000-0000D2D30000}"/>
    <cellStyle name="Normal 4 3 9 2 2 2" xfId="13820" xr:uid="{00000000-0005-0000-0000-0000D3D30000}"/>
    <cellStyle name="Normal 4 3 9 2 2 2 2" xfId="13821" xr:uid="{00000000-0005-0000-0000-0000D4D30000}"/>
    <cellStyle name="Normal 4 3 9 2 2 2 2 2" xfId="31645" xr:uid="{00000000-0005-0000-0000-0000D5D30000}"/>
    <cellStyle name="Normal 4 3 9 2 2 2 2 2 2" xfId="63516" xr:uid="{00000000-0005-0000-0000-0000D6D30000}"/>
    <cellStyle name="Normal 4 3 9 2 2 2 2 3" xfId="45700" xr:uid="{00000000-0005-0000-0000-0000D7D30000}"/>
    <cellStyle name="Normal 4 3 9 2 2 2 3" xfId="23767" xr:uid="{00000000-0005-0000-0000-0000D8D30000}"/>
    <cellStyle name="Normal 4 3 9 2 2 2 3 2" xfId="55638" xr:uid="{00000000-0005-0000-0000-0000D9D30000}"/>
    <cellStyle name="Normal 4 3 9 2 2 2 4" xfId="45699" xr:uid="{00000000-0005-0000-0000-0000DAD30000}"/>
    <cellStyle name="Normal 4 3 9 2 2 3" xfId="13822" xr:uid="{00000000-0005-0000-0000-0000DBD30000}"/>
    <cellStyle name="Normal 4 3 9 2 2 3 2" xfId="27706" xr:uid="{00000000-0005-0000-0000-0000DCD30000}"/>
    <cellStyle name="Normal 4 3 9 2 2 3 2 2" xfId="59577" xr:uid="{00000000-0005-0000-0000-0000DDD30000}"/>
    <cellStyle name="Normal 4 3 9 2 2 3 3" xfId="45701" xr:uid="{00000000-0005-0000-0000-0000DED30000}"/>
    <cellStyle name="Normal 4 3 9 2 2 4" xfId="19828" xr:uid="{00000000-0005-0000-0000-0000DFD30000}"/>
    <cellStyle name="Normal 4 3 9 2 2 4 2" xfId="51699" xr:uid="{00000000-0005-0000-0000-0000E0D30000}"/>
    <cellStyle name="Normal 4 3 9 2 2 5" xfId="45698" xr:uid="{00000000-0005-0000-0000-0000E1D30000}"/>
    <cellStyle name="Normal 4 3 9 2 3" xfId="13823" xr:uid="{00000000-0005-0000-0000-0000E2D30000}"/>
    <cellStyle name="Normal 4 3 9 2 3 2" xfId="13824" xr:uid="{00000000-0005-0000-0000-0000E3D30000}"/>
    <cellStyle name="Normal 4 3 9 2 3 2 2" xfId="31644" xr:uid="{00000000-0005-0000-0000-0000E4D30000}"/>
    <cellStyle name="Normal 4 3 9 2 3 2 2 2" xfId="63515" xr:uid="{00000000-0005-0000-0000-0000E5D30000}"/>
    <cellStyle name="Normal 4 3 9 2 3 2 3" xfId="45703" xr:uid="{00000000-0005-0000-0000-0000E6D30000}"/>
    <cellStyle name="Normal 4 3 9 2 3 3" xfId="23766" xr:uid="{00000000-0005-0000-0000-0000E7D30000}"/>
    <cellStyle name="Normal 4 3 9 2 3 3 2" xfId="55637" xr:uid="{00000000-0005-0000-0000-0000E8D30000}"/>
    <cellStyle name="Normal 4 3 9 2 3 4" xfId="45702" xr:uid="{00000000-0005-0000-0000-0000E9D30000}"/>
    <cellStyle name="Normal 4 3 9 2 4" xfId="13825" xr:uid="{00000000-0005-0000-0000-0000EAD30000}"/>
    <cellStyle name="Normal 4 3 9 2 4 2" xfId="27705" xr:uid="{00000000-0005-0000-0000-0000EBD30000}"/>
    <cellStyle name="Normal 4 3 9 2 4 2 2" xfId="59576" xr:uid="{00000000-0005-0000-0000-0000ECD30000}"/>
    <cellStyle name="Normal 4 3 9 2 4 3" xfId="45704" xr:uid="{00000000-0005-0000-0000-0000EDD30000}"/>
    <cellStyle name="Normal 4 3 9 2 5" xfId="19827" xr:uid="{00000000-0005-0000-0000-0000EED30000}"/>
    <cellStyle name="Normal 4 3 9 2 5 2" xfId="51698" xr:uid="{00000000-0005-0000-0000-0000EFD30000}"/>
    <cellStyle name="Normal 4 3 9 2 6" xfId="45697" xr:uid="{00000000-0005-0000-0000-0000F0D30000}"/>
    <cellStyle name="Normal 4 3 9 3" xfId="13826" xr:uid="{00000000-0005-0000-0000-0000F1D30000}"/>
    <cellStyle name="Normal 4 3 9 3 2" xfId="13827" xr:uid="{00000000-0005-0000-0000-0000F2D30000}"/>
    <cellStyle name="Normal 4 3 9 3 2 2" xfId="13828" xr:uid="{00000000-0005-0000-0000-0000F3D30000}"/>
    <cellStyle name="Normal 4 3 9 3 2 2 2" xfId="31646" xr:uid="{00000000-0005-0000-0000-0000F4D30000}"/>
    <cellStyle name="Normal 4 3 9 3 2 2 2 2" xfId="63517" xr:uid="{00000000-0005-0000-0000-0000F5D30000}"/>
    <cellStyle name="Normal 4 3 9 3 2 2 3" xfId="45707" xr:uid="{00000000-0005-0000-0000-0000F6D30000}"/>
    <cellStyle name="Normal 4 3 9 3 2 3" xfId="23768" xr:uid="{00000000-0005-0000-0000-0000F7D30000}"/>
    <cellStyle name="Normal 4 3 9 3 2 3 2" xfId="55639" xr:uid="{00000000-0005-0000-0000-0000F8D30000}"/>
    <cellStyle name="Normal 4 3 9 3 2 4" xfId="45706" xr:uid="{00000000-0005-0000-0000-0000F9D30000}"/>
    <cellStyle name="Normal 4 3 9 3 3" xfId="13829" xr:uid="{00000000-0005-0000-0000-0000FAD30000}"/>
    <cellStyle name="Normal 4 3 9 3 3 2" xfId="27707" xr:uid="{00000000-0005-0000-0000-0000FBD30000}"/>
    <cellStyle name="Normal 4 3 9 3 3 2 2" xfId="59578" xr:uid="{00000000-0005-0000-0000-0000FCD30000}"/>
    <cellStyle name="Normal 4 3 9 3 3 3" xfId="45708" xr:uid="{00000000-0005-0000-0000-0000FDD30000}"/>
    <cellStyle name="Normal 4 3 9 3 4" xfId="19829" xr:uid="{00000000-0005-0000-0000-0000FED30000}"/>
    <cellStyle name="Normal 4 3 9 3 4 2" xfId="51700" xr:uid="{00000000-0005-0000-0000-0000FFD30000}"/>
    <cellStyle name="Normal 4 3 9 3 5" xfId="45705" xr:uid="{00000000-0005-0000-0000-000000D40000}"/>
    <cellStyle name="Normal 4 3 9 4" xfId="13830" xr:uid="{00000000-0005-0000-0000-000001D40000}"/>
    <cellStyle name="Normal 4 3 9 4 2" xfId="13831" xr:uid="{00000000-0005-0000-0000-000002D40000}"/>
    <cellStyle name="Normal 4 3 9 4 2 2" xfId="31643" xr:uid="{00000000-0005-0000-0000-000003D40000}"/>
    <cellStyle name="Normal 4 3 9 4 2 2 2" xfId="63514" xr:uid="{00000000-0005-0000-0000-000004D40000}"/>
    <cellStyle name="Normal 4 3 9 4 2 3" xfId="45710" xr:uid="{00000000-0005-0000-0000-000005D40000}"/>
    <cellStyle name="Normal 4 3 9 4 3" xfId="23765" xr:uid="{00000000-0005-0000-0000-000006D40000}"/>
    <cellStyle name="Normal 4 3 9 4 3 2" xfId="55636" xr:uid="{00000000-0005-0000-0000-000007D40000}"/>
    <cellStyle name="Normal 4 3 9 4 4" xfId="45709" xr:uid="{00000000-0005-0000-0000-000008D40000}"/>
    <cellStyle name="Normal 4 3 9 5" xfId="13832" xr:uid="{00000000-0005-0000-0000-000009D40000}"/>
    <cellStyle name="Normal 4 3 9 5 2" xfId="27704" xr:uid="{00000000-0005-0000-0000-00000AD40000}"/>
    <cellStyle name="Normal 4 3 9 5 2 2" xfId="59575" xr:uid="{00000000-0005-0000-0000-00000BD40000}"/>
    <cellStyle name="Normal 4 3 9 5 3" xfId="45711" xr:uid="{00000000-0005-0000-0000-00000CD40000}"/>
    <cellStyle name="Normal 4 3 9 6" xfId="19826" xr:uid="{00000000-0005-0000-0000-00000DD40000}"/>
    <cellStyle name="Normal 4 3 9 6 2" xfId="51697" xr:uid="{00000000-0005-0000-0000-00000ED40000}"/>
    <cellStyle name="Normal 4 3 9 7" xfId="45696" xr:uid="{00000000-0005-0000-0000-00000FD40000}"/>
    <cellStyle name="Normal 4 4" xfId="148" xr:uid="{00000000-0005-0000-0000-000010D40000}"/>
    <cellStyle name="Normal 4 4 10" xfId="13834" xr:uid="{00000000-0005-0000-0000-000011D40000}"/>
    <cellStyle name="Normal 4 4 10 2" xfId="13835" xr:uid="{00000000-0005-0000-0000-000012D40000}"/>
    <cellStyle name="Normal 4 4 10 2 2" xfId="28244" xr:uid="{00000000-0005-0000-0000-000013D40000}"/>
    <cellStyle name="Normal 4 4 10 2 2 2" xfId="60115" xr:uid="{00000000-0005-0000-0000-000014D40000}"/>
    <cellStyle name="Normal 4 4 10 2 3" xfId="45714" xr:uid="{00000000-0005-0000-0000-000015D40000}"/>
    <cellStyle name="Normal 4 4 10 3" xfId="20366" xr:uid="{00000000-0005-0000-0000-000016D40000}"/>
    <cellStyle name="Normal 4 4 10 3 2" xfId="52237" xr:uid="{00000000-0005-0000-0000-000017D40000}"/>
    <cellStyle name="Normal 4 4 10 4" xfId="45713" xr:uid="{00000000-0005-0000-0000-000018D40000}"/>
    <cellStyle name="Normal 4 4 11" xfId="13836" xr:uid="{00000000-0005-0000-0000-000019D40000}"/>
    <cellStyle name="Normal 4 4 11 2" xfId="24305" xr:uid="{00000000-0005-0000-0000-00001AD40000}"/>
    <cellStyle name="Normal 4 4 11 2 2" xfId="56176" xr:uid="{00000000-0005-0000-0000-00001BD40000}"/>
    <cellStyle name="Normal 4 4 11 3" xfId="45715" xr:uid="{00000000-0005-0000-0000-00001CD40000}"/>
    <cellStyle name="Normal 4 4 12" xfId="16427" xr:uid="{00000000-0005-0000-0000-00001DD40000}"/>
    <cellStyle name="Normal 4 4 12 2" xfId="48298" xr:uid="{00000000-0005-0000-0000-00001ED40000}"/>
    <cellStyle name="Normal 4 4 13" xfId="13833" xr:uid="{00000000-0005-0000-0000-00001FD40000}"/>
    <cellStyle name="Normal 4 4 13 2" xfId="45712" xr:uid="{00000000-0005-0000-0000-000020D40000}"/>
    <cellStyle name="Normal 4 4 14" xfId="32184" xr:uid="{00000000-0005-0000-0000-000021D40000}"/>
    <cellStyle name="Normal 4 4 2" xfId="199" xr:uid="{00000000-0005-0000-0000-000022D40000}"/>
    <cellStyle name="Normal 4 4 2 10" xfId="13838" xr:uid="{00000000-0005-0000-0000-000023D40000}"/>
    <cellStyle name="Normal 4 4 2 10 2" xfId="24346" xr:uid="{00000000-0005-0000-0000-000024D40000}"/>
    <cellStyle name="Normal 4 4 2 10 2 2" xfId="56217" xr:uid="{00000000-0005-0000-0000-000025D40000}"/>
    <cellStyle name="Normal 4 4 2 10 3" xfId="45717" xr:uid="{00000000-0005-0000-0000-000026D40000}"/>
    <cellStyle name="Normal 4 4 2 11" xfId="16468" xr:uid="{00000000-0005-0000-0000-000027D40000}"/>
    <cellStyle name="Normal 4 4 2 11 2" xfId="48339" xr:uid="{00000000-0005-0000-0000-000028D40000}"/>
    <cellStyle name="Normal 4 4 2 12" xfId="13837" xr:uid="{00000000-0005-0000-0000-000029D40000}"/>
    <cellStyle name="Normal 4 4 2 12 2" xfId="45716" xr:uid="{00000000-0005-0000-0000-00002AD40000}"/>
    <cellStyle name="Normal 4 4 2 13" xfId="32189" xr:uid="{00000000-0005-0000-0000-00002BD40000}"/>
    <cellStyle name="Normal 4 4 2 2" xfId="218" xr:uid="{00000000-0005-0000-0000-00002CD40000}"/>
    <cellStyle name="Normal 4 4 2 2 10" xfId="13839" xr:uid="{00000000-0005-0000-0000-00002DD40000}"/>
    <cellStyle name="Normal 4 4 2 2 10 2" xfId="45718" xr:uid="{00000000-0005-0000-0000-00002ED40000}"/>
    <cellStyle name="Normal 4 4 2 2 11" xfId="32198" xr:uid="{00000000-0005-0000-0000-00002FD40000}"/>
    <cellStyle name="Normal 4 4 2 2 2" xfId="13840" xr:uid="{00000000-0005-0000-0000-000030D40000}"/>
    <cellStyle name="Normal 4 4 2 2 2 2" xfId="13841" xr:uid="{00000000-0005-0000-0000-000031D40000}"/>
    <cellStyle name="Normal 4 4 2 2 2 2 2" xfId="13842" xr:uid="{00000000-0005-0000-0000-000032D40000}"/>
    <cellStyle name="Normal 4 4 2 2 2 2 2 2" xfId="13843" xr:uid="{00000000-0005-0000-0000-000033D40000}"/>
    <cellStyle name="Normal 4 4 2 2 2 2 2 2 2" xfId="13844" xr:uid="{00000000-0005-0000-0000-000034D40000}"/>
    <cellStyle name="Normal 4 4 2 2 2 2 2 2 2 2" xfId="13845" xr:uid="{00000000-0005-0000-0000-000035D40000}"/>
    <cellStyle name="Normal 4 4 2 2 2 2 2 2 2 2 2" xfId="13846" xr:uid="{00000000-0005-0000-0000-000036D40000}"/>
    <cellStyle name="Normal 4 4 2 2 2 2 2 2 2 2 2 2" xfId="31650" xr:uid="{00000000-0005-0000-0000-000037D40000}"/>
    <cellStyle name="Normal 4 4 2 2 2 2 2 2 2 2 2 2 2" xfId="63521" xr:uid="{00000000-0005-0000-0000-000038D40000}"/>
    <cellStyle name="Normal 4 4 2 2 2 2 2 2 2 2 2 3" xfId="45725" xr:uid="{00000000-0005-0000-0000-000039D40000}"/>
    <cellStyle name="Normal 4 4 2 2 2 2 2 2 2 2 3" xfId="23772" xr:uid="{00000000-0005-0000-0000-00003AD40000}"/>
    <cellStyle name="Normal 4 4 2 2 2 2 2 2 2 2 3 2" xfId="55643" xr:uid="{00000000-0005-0000-0000-00003BD40000}"/>
    <cellStyle name="Normal 4 4 2 2 2 2 2 2 2 2 4" xfId="45724" xr:uid="{00000000-0005-0000-0000-00003CD40000}"/>
    <cellStyle name="Normal 4 4 2 2 2 2 2 2 2 3" xfId="13847" xr:uid="{00000000-0005-0000-0000-00003DD40000}"/>
    <cellStyle name="Normal 4 4 2 2 2 2 2 2 2 3 2" xfId="27711" xr:uid="{00000000-0005-0000-0000-00003ED40000}"/>
    <cellStyle name="Normal 4 4 2 2 2 2 2 2 2 3 2 2" xfId="59582" xr:uid="{00000000-0005-0000-0000-00003FD40000}"/>
    <cellStyle name="Normal 4 4 2 2 2 2 2 2 2 3 3" xfId="45726" xr:uid="{00000000-0005-0000-0000-000040D40000}"/>
    <cellStyle name="Normal 4 4 2 2 2 2 2 2 2 4" xfId="19833" xr:uid="{00000000-0005-0000-0000-000041D40000}"/>
    <cellStyle name="Normal 4 4 2 2 2 2 2 2 2 4 2" xfId="51704" xr:uid="{00000000-0005-0000-0000-000042D40000}"/>
    <cellStyle name="Normal 4 4 2 2 2 2 2 2 2 5" xfId="45723" xr:uid="{00000000-0005-0000-0000-000043D40000}"/>
    <cellStyle name="Normal 4 4 2 2 2 2 2 2 3" xfId="13848" xr:uid="{00000000-0005-0000-0000-000044D40000}"/>
    <cellStyle name="Normal 4 4 2 2 2 2 2 2 3 2" xfId="13849" xr:uid="{00000000-0005-0000-0000-000045D40000}"/>
    <cellStyle name="Normal 4 4 2 2 2 2 2 2 3 2 2" xfId="31649" xr:uid="{00000000-0005-0000-0000-000046D40000}"/>
    <cellStyle name="Normal 4 4 2 2 2 2 2 2 3 2 2 2" xfId="63520" xr:uid="{00000000-0005-0000-0000-000047D40000}"/>
    <cellStyle name="Normal 4 4 2 2 2 2 2 2 3 2 3" xfId="45728" xr:uid="{00000000-0005-0000-0000-000048D40000}"/>
    <cellStyle name="Normal 4 4 2 2 2 2 2 2 3 3" xfId="23771" xr:uid="{00000000-0005-0000-0000-000049D40000}"/>
    <cellStyle name="Normal 4 4 2 2 2 2 2 2 3 3 2" xfId="55642" xr:uid="{00000000-0005-0000-0000-00004AD40000}"/>
    <cellStyle name="Normal 4 4 2 2 2 2 2 2 3 4" xfId="45727" xr:uid="{00000000-0005-0000-0000-00004BD40000}"/>
    <cellStyle name="Normal 4 4 2 2 2 2 2 2 4" xfId="13850" xr:uid="{00000000-0005-0000-0000-00004CD40000}"/>
    <cellStyle name="Normal 4 4 2 2 2 2 2 2 4 2" xfId="27710" xr:uid="{00000000-0005-0000-0000-00004DD40000}"/>
    <cellStyle name="Normal 4 4 2 2 2 2 2 2 4 2 2" xfId="59581" xr:uid="{00000000-0005-0000-0000-00004ED40000}"/>
    <cellStyle name="Normal 4 4 2 2 2 2 2 2 4 3" xfId="45729" xr:uid="{00000000-0005-0000-0000-00004FD40000}"/>
    <cellStyle name="Normal 4 4 2 2 2 2 2 2 5" xfId="19832" xr:uid="{00000000-0005-0000-0000-000050D40000}"/>
    <cellStyle name="Normal 4 4 2 2 2 2 2 2 5 2" xfId="51703" xr:uid="{00000000-0005-0000-0000-000051D40000}"/>
    <cellStyle name="Normal 4 4 2 2 2 2 2 2 6" xfId="45722" xr:uid="{00000000-0005-0000-0000-000052D40000}"/>
    <cellStyle name="Normal 4 4 2 2 2 2 2 3" xfId="13851" xr:uid="{00000000-0005-0000-0000-000053D40000}"/>
    <cellStyle name="Normal 4 4 2 2 2 2 2 3 2" xfId="13852" xr:uid="{00000000-0005-0000-0000-000054D40000}"/>
    <cellStyle name="Normal 4 4 2 2 2 2 2 3 2 2" xfId="13853" xr:uid="{00000000-0005-0000-0000-000055D40000}"/>
    <cellStyle name="Normal 4 4 2 2 2 2 2 3 2 2 2" xfId="31651" xr:uid="{00000000-0005-0000-0000-000056D40000}"/>
    <cellStyle name="Normal 4 4 2 2 2 2 2 3 2 2 2 2" xfId="63522" xr:uid="{00000000-0005-0000-0000-000057D40000}"/>
    <cellStyle name="Normal 4 4 2 2 2 2 2 3 2 2 3" xfId="45732" xr:uid="{00000000-0005-0000-0000-000058D40000}"/>
    <cellStyle name="Normal 4 4 2 2 2 2 2 3 2 3" xfId="23773" xr:uid="{00000000-0005-0000-0000-000059D40000}"/>
    <cellStyle name="Normal 4 4 2 2 2 2 2 3 2 3 2" xfId="55644" xr:uid="{00000000-0005-0000-0000-00005AD40000}"/>
    <cellStyle name="Normal 4 4 2 2 2 2 2 3 2 4" xfId="45731" xr:uid="{00000000-0005-0000-0000-00005BD40000}"/>
    <cellStyle name="Normal 4 4 2 2 2 2 2 3 3" xfId="13854" xr:uid="{00000000-0005-0000-0000-00005CD40000}"/>
    <cellStyle name="Normal 4 4 2 2 2 2 2 3 3 2" xfId="27712" xr:uid="{00000000-0005-0000-0000-00005DD40000}"/>
    <cellStyle name="Normal 4 4 2 2 2 2 2 3 3 2 2" xfId="59583" xr:uid="{00000000-0005-0000-0000-00005ED40000}"/>
    <cellStyle name="Normal 4 4 2 2 2 2 2 3 3 3" xfId="45733" xr:uid="{00000000-0005-0000-0000-00005FD40000}"/>
    <cellStyle name="Normal 4 4 2 2 2 2 2 3 4" xfId="19834" xr:uid="{00000000-0005-0000-0000-000060D40000}"/>
    <cellStyle name="Normal 4 4 2 2 2 2 2 3 4 2" xfId="51705" xr:uid="{00000000-0005-0000-0000-000061D40000}"/>
    <cellStyle name="Normal 4 4 2 2 2 2 2 3 5" xfId="45730" xr:uid="{00000000-0005-0000-0000-000062D40000}"/>
    <cellStyle name="Normal 4 4 2 2 2 2 2 4" xfId="13855" xr:uid="{00000000-0005-0000-0000-000063D40000}"/>
    <cellStyle name="Normal 4 4 2 2 2 2 2 4 2" xfId="13856" xr:uid="{00000000-0005-0000-0000-000064D40000}"/>
    <cellStyle name="Normal 4 4 2 2 2 2 2 4 2 2" xfId="31648" xr:uid="{00000000-0005-0000-0000-000065D40000}"/>
    <cellStyle name="Normal 4 4 2 2 2 2 2 4 2 2 2" xfId="63519" xr:uid="{00000000-0005-0000-0000-000066D40000}"/>
    <cellStyle name="Normal 4 4 2 2 2 2 2 4 2 3" xfId="45735" xr:uid="{00000000-0005-0000-0000-000067D40000}"/>
    <cellStyle name="Normal 4 4 2 2 2 2 2 4 3" xfId="23770" xr:uid="{00000000-0005-0000-0000-000068D40000}"/>
    <cellStyle name="Normal 4 4 2 2 2 2 2 4 3 2" xfId="55641" xr:uid="{00000000-0005-0000-0000-000069D40000}"/>
    <cellStyle name="Normal 4 4 2 2 2 2 2 4 4" xfId="45734" xr:uid="{00000000-0005-0000-0000-00006AD40000}"/>
    <cellStyle name="Normal 4 4 2 2 2 2 2 5" xfId="13857" xr:uid="{00000000-0005-0000-0000-00006BD40000}"/>
    <cellStyle name="Normal 4 4 2 2 2 2 2 5 2" xfId="27709" xr:uid="{00000000-0005-0000-0000-00006CD40000}"/>
    <cellStyle name="Normal 4 4 2 2 2 2 2 5 2 2" xfId="59580" xr:uid="{00000000-0005-0000-0000-00006DD40000}"/>
    <cellStyle name="Normal 4 4 2 2 2 2 2 5 3" xfId="45736" xr:uid="{00000000-0005-0000-0000-00006ED40000}"/>
    <cellStyle name="Normal 4 4 2 2 2 2 2 6" xfId="19831" xr:uid="{00000000-0005-0000-0000-00006FD40000}"/>
    <cellStyle name="Normal 4 4 2 2 2 2 2 6 2" xfId="51702" xr:uid="{00000000-0005-0000-0000-000070D40000}"/>
    <cellStyle name="Normal 4 4 2 2 2 2 2 7" xfId="45721" xr:uid="{00000000-0005-0000-0000-000071D40000}"/>
    <cellStyle name="Normal 4 4 2 2 2 2 3" xfId="13858" xr:uid="{00000000-0005-0000-0000-000072D40000}"/>
    <cellStyle name="Normal 4 4 2 2 2 2 3 2" xfId="13859" xr:uid="{00000000-0005-0000-0000-000073D40000}"/>
    <cellStyle name="Normal 4 4 2 2 2 2 3 2 2" xfId="13860" xr:uid="{00000000-0005-0000-0000-000074D40000}"/>
    <cellStyle name="Normal 4 4 2 2 2 2 3 2 2 2" xfId="13861" xr:uid="{00000000-0005-0000-0000-000075D40000}"/>
    <cellStyle name="Normal 4 4 2 2 2 2 3 2 2 2 2" xfId="31653" xr:uid="{00000000-0005-0000-0000-000076D40000}"/>
    <cellStyle name="Normal 4 4 2 2 2 2 3 2 2 2 2 2" xfId="63524" xr:uid="{00000000-0005-0000-0000-000077D40000}"/>
    <cellStyle name="Normal 4 4 2 2 2 2 3 2 2 2 3" xfId="45740" xr:uid="{00000000-0005-0000-0000-000078D40000}"/>
    <cellStyle name="Normal 4 4 2 2 2 2 3 2 2 3" xfId="23775" xr:uid="{00000000-0005-0000-0000-000079D40000}"/>
    <cellStyle name="Normal 4 4 2 2 2 2 3 2 2 3 2" xfId="55646" xr:uid="{00000000-0005-0000-0000-00007AD40000}"/>
    <cellStyle name="Normal 4 4 2 2 2 2 3 2 2 4" xfId="45739" xr:uid="{00000000-0005-0000-0000-00007BD40000}"/>
    <cellStyle name="Normal 4 4 2 2 2 2 3 2 3" xfId="13862" xr:uid="{00000000-0005-0000-0000-00007CD40000}"/>
    <cellStyle name="Normal 4 4 2 2 2 2 3 2 3 2" xfId="27714" xr:uid="{00000000-0005-0000-0000-00007DD40000}"/>
    <cellStyle name="Normal 4 4 2 2 2 2 3 2 3 2 2" xfId="59585" xr:uid="{00000000-0005-0000-0000-00007ED40000}"/>
    <cellStyle name="Normal 4 4 2 2 2 2 3 2 3 3" xfId="45741" xr:uid="{00000000-0005-0000-0000-00007FD40000}"/>
    <cellStyle name="Normal 4 4 2 2 2 2 3 2 4" xfId="19836" xr:uid="{00000000-0005-0000-0000-000080D40000}"/>
    <cellStyle name="Normal 4 4 2 2 2 2 3 2 4 2" xfId="51707" xr:uid="{00000000-0005-0000-0000-000081D40000}"/>
    <cellStyle name="Normal 4 4 2 2 2 2 3 2 5" xfId="45738" xr:uid="{00000000-0005-0000-0000-000082D40000}"/>
    <cellStyle name="Normal 4 4 2 2 2 2 3 3" xfId="13863" xr:uid="{00000000-0005-0000-0000-000083D40000}"/>
    <cellStyle name="Normal 4 4 2 2 2 2 3 3 2" xfId="13864" xr:uid="{00000000-0005-0000-0000-000084D40000}"/>
    <cellStyle name="Normal 4 4 2 2 2 2 3 3 2 2" xfId="31652" xr:uid="{00000000-0005-0000-0000-000085D40000}"/>
    <cellStyle name="Normal 4 4 2 2 2 2 3 3 2 2 2" xfId="63523" xr:uid="{00000000-0005-0000-0000-000086D40000}"/>
    <cellStyle name="Normal 4 4 2 2 2 2 3 3 2 3" xfId="45743" xr:uid="{00000000-0005-0000-0000-000087D40000}"/>
    <cellStyle name="Normal 4 4 2 2 2 2 3 3 3" xfId="23774" xr:uid="{00000000-0005-0000-0000-000088D40000}"/>
    <cellStyle name="Normal 4 4 2 2 2 2 3 3 3 2" xfId="55645" xr:uid="{00000000-0005-0000-0000-000089D40000}"/>
    <cellStyle name="Normal 4 4 2 2 2 2 3 3 4" xfId="45742" xr:uid="{00000000-0005-0000-0000-00008AD40000}"/>
    <cellStyle name="Normal 4 4 2 2 2 2 3 4" xfId="13865" xr:uid="{00000000-0005-0000-0000-00008BD40000}"/>
    <cellStyle name="Normal 4 4 2 2 2 2 3 4 2" xfId="27713" xr:uid="{00000000-0005-0000-0000-00008CD40000}"/>
    <cellStyle name="Normal 4 4 2 2 2 2 3 4 2 2" xfId="59584" xr:uid="{00000000-0005-0000-0000-00008DD40000}"/>
    <cellStyle name="Normal 4 4 2 2 2 2 3 4 3" xfId="45744" xr:uid="{00000000-0005-0000-0000-00008ED40000}"/>
    <cellStyle name="Normal 4 4 2 2 2 2 3 5" xfId="19835" xr:uid="{00000000-0005-0000-0000-00008FD40000}"/>
    <cellStyle name="Normal 4 4 2 2 2 2 3 5 2" xfId="51706" xr:uid="{00000000-0005-0000-0000-000090D40000}"/>
    <cellStyle name="Normal 4 4 2 2 2 2 3 6" xfId="45737" xr:uid="{00000000-0005-0000-0000-000091D40000}"/>
    <cellStyle name="Normal 4 4 2 2 2 2 4" xfId="13866" xr:uid="{00000000-0005-0000-0000-000092D40000}"/>
    <cellStyle name="Normal 4 4 2 2 2 2 4 2" xfId="13867" xr:uid="{00000000-0005-0000-0000-000093D40000}"/>
    <cellStyle name="Normal 4 4 2 2 2 2 4 2 2" xfId="13868" xr:uid="{00000000-0005-0000-0000-000094D40000}"/>
    <cellStyle name="Normal 4 4 2 2 2 2 4 2 2 2" xfId="31654" xr:uid="{00000000-0005-0000-0000-000095D40000}"/>
    <cellStyle name="Normal 4 4 2 2 2 2 4 2 2 2 2" xfId="63525" xr:uid="{00000000-0005-0000-0000-000096D40000}"/>
    <cellStyle name="Normal 4 4 2 2 2 2 4 2 2 3" xfId="45747" xr:uid="{00000000-0005-0000-0000-000097D40000}"/>
    <cellStyle name="Normal 4 4 2 2 2 2 4 2 3" xfId="23776" xr:uid="{00000000-0005-0000-0000-000098D40000}"/>
    <cellStyle name="Normal 4 4 2 2 2 2 4 2 3 2" xfId="55647" xr:uid="{00000000-0005-0000-0000-000099D40000}"/>
    <cellStyle name="Normal 4 4 2 2 2 2 4 2 4" xfId="45746" xr:uid="{00000000-0005-0000-0000-00009AD40000}"/>
    <cellStyle name="Normal 4 4 2 2 2 2 4 3" xfId="13869" xr:uid="{00000000-0005-0000-0000-00009BD40000}"/>
    <cellStyle name="Normal 4 4 2 2 2 2 4 3 2" xfId="27715" xr:uid="{00000000-0005-0000-0000-00009CD40000}"/>
    <cellStyle name="Normal 4 4 2 2 2 2 4 3 2 2" xfId="59586" xr:uid="{00000000-0005-0000-0000-00009DD40000}"/>
    <cellStyle name="Normal 4 4 2 2 2 2 4 3 3" xfId="45748" xr:uid="{00000000-0005-0000-0000-00009ED40000}"/>
    <cellStyle name="Normal 4 4 2 2 2 2 4 4" xfId="19837" xr:uid="{00000000-0005-0000-0000-00009FD40000}"/>
    <cellStyle name="Normal 4 4 2 2 2 2 4 4 2" xfId="51708" xr:uid="{00000000-0005-0000-0000-0000A0D40000}"/>
    <cellStyle name="Normal 4 4 2 2 2 2 4 5" xfId="45745" xr:uid="{00000000-0005-0000-0000-0000A1D40000}"/>
    <cellStyle name="Normal 4 4 2 2 2 2 5" xfId="13870" xr:uid="{00000000-0005-0000-0000-0000A2D40000}"/>
    <cellStyle name="Normal 4 4 2 2 2 2 5 2" xfId="13871" xr:uid="{00000000-0005-0000-0000-0000A3D40000}"/>
    <cellStyle name="Normal 4 4 2 2 2 2 5 2 2" xfId="31647" xr:uid="{00000000-0005-0000-0000-0000A4D40000}"/>
    <cellStyle name="Normal 4 4 2 2 2 2 5 2 2 2" xfId="63518" xr:uid="{00000000-0005-0000-0000-0000A5D40000}"/>
    <cellStyle name="Normal 4 4 2 2 2 2 5 2 3" xfId="45750" xr:uid="{00000000-0005-0000-0000-0000A6D40000}"/>
    <cellStyle name="Normal 4 4 2 2 2 2 5 3" xfId="23769" xr:uid="{00000000-0005-0000-0000-0000A7D40000}"/>
    <cellStyle name="Normal 4 4 2 2 2 2 5 3 2" xfId="55640" xr:uid="{00000000-0005-0000-0000-0000A8D40000}"/>
    <cellStyle name="Normal 4 4 2 2 2 2 5 4" xfId="45749" xr:uid="{00000000-0005-0000-0000-0000A9D40000}"/>
    <cellStyle name="Normal 4 4 2 2 2 2 6" xfId="13872" xr:uid="{00000000-0005-0000-0000-0000AAD40000}"/>
    <cellStyle name="Normal 4 4 2 2 2 2 6 2" xfId="27708" xr:uid="{00000000-0005-0000-0000-0000ABD40000}"/>
    <cellStyle name="Normal 4 4 2 2 2 2 6 2 2" xfId="59579" xr:uid="{00000000-0005-0000-0000-0000ACD40000}"/>
    <cellStyle name="Normal 4 4 2 2 2 2 6 3" xfId="45751" xr:uid="{00000000-0005-0000-0000-0000ADD40000}"/>
    <cellStyle name="Normal 4 4 2 2 2 2 7" xfId="19830" xr:uid="{00000000-0005-0000-0000-0000AED40000}"/>
    <cellStyle name="Normal 4 4 2 2 2 2 7 2" xfId="51701" xr:uid="{00000000-0005-0000-0000-0000AFD40000}"/>
    <cellStyle name="Normal 4 4 2 2 2 2 8" xfId="45720" xr:uid="{00000000-0005-0000-0000-0000B0D40000}"/>
    <cellStyle name="Normal 4 4 2 2 2 3" xfId="13873" xr:uid="{00000000-0005-0000-0000-0000B1D40000}"/>
    <cellStyle name="Normal 4 4 2 2 2 3 2" xfId="13874" xr:uid="{00000000-0005-0000-0000-0000B2D40000}"/>
    <cellStyle name="Normal 4 4 2 2 2 3 2 2" xfId="13875" xr:uid="{00000000-0005-0000-0000-0000B3D40000}"/>
    <cellStyle name="Normal 4 4 2 2 2 3 2 2 2" xfId="13876" xr:uid="{00000000-0005-0000-0000-0000B4D40000}"/>
    <cellStyle name="Normal 4 4 2 2 2 3 2 2 2 2" xfId="13877" xr:uid="{00000000-0005-0000-0000-0000B5D40000}"/>
    <cellStyle name="Normal 4 4 2 2 2 3 2 2 2 2 2" xfId="31657" xr:uid="{00000000-0005-0000-0000-0000B6D40000}"/>
    <cellStyle name="Normal 4 4 2 2 2 3 2 2 2 2 2 2" xfId="63528" xr:uid="{00000000-0005-0000-0000-0000B7D40000}"/>
    <cellStyle name="Normal 4 4 2 2 2 3 2 2 2 2 3" xfId="45756" xr:uid="{00000000-0005-0000-0000-0000B8D40000}"/>
    <cellStyle name="Normal 4 4 2 2 2 3 2 2 2 3" xfId="23779" xr:uid="{00000000-0005-0000-0000-0000B9D40000}"/>
    <cellStyle name="Normal 4 4 2 2 2 3 2 2 2 3 2" xfId="55650" xr:uid="{00000000-0005-0000-0000-0000BAD40000}"/>
    <cellStyle name="Normal 4 4 2 2 2 3 2 2 2 4" xfId="45755" xr:uid="{00000000-0005-0000-0000-0000BBD40000}"/>
    <cellStyle name="Normal 4 4 2 2 2 3 2 2 3" xfId="13878" xr:uid="{00000000-0005-0000-0000-0000BCD40000}"/>
    <cellStyle name="Normal 4 4 2 2 2 3 2 2 3 2" xfId="27718" xr:uid="{00000000-0005-0000-0000-0000BDD40000}"/>
    <cellStyle name="Normal 4 4 2 2 2 3 2 2 3 2 2" xfId="59589" xr:uid="{00000000-0005-0000-0000-0000BED40000}"/>
    <cellStyle name="Normal 4 4 2 2 2 3 2 2 3 3" xfId="45757" xr:uid="{00000000-0005-0000-0000-0000BFD40000}"/>
    <cellStyle name="Normal 4 4 2 2 2 3 2 2 4" xfId="19840" xr:uid="{00000000-0005-0000-0000-0000C0D40000}"/>
    <cellStyle name="Normal 4 4 2 2 2 3 2 2 4 2" xfId="51711" xr:uid="{00000000-0005-0000-0000-0000C1D40000}"/>
    <cellStyle name="Normal 4 4 2 2 2 3 2 2 5" xfId="45754" xr:uid="{00000000-0005-0000-0000-0000C2D40000}"/>
    <cellStyle name="Normal 4 4 2 2 2 3 2 3" xfId="13879" xr:uid="{00000000-0005-0000-0000-0000C3D40000}"/>
    <cellStyle name="Normal 4 4 2 2 2 3 2 3 2" xfId="13880" xr:uid="{00000000-0005-0000-0000-0000C4D40000}"/>
    <cellStyle name="Normal 4 4 2 2 2 3 2 3 2 2" xfId="31656" xr:uid="{00000000-0005-0000-0000-0000C5D40000}"/>
    <cellStyle name="Normal 4 4 2 2 2 3 2 3 2 2 2" xfId="63527" xr:uid="{00000000-0005-0000-0000-0000C6D40000}"/>
    <cellStyle name="Normal 4 4 2 2 2 3 2 3 2 3" xfId="45759" xr:uid="{00000000-0005-0000-0000-0000C7D40000}"/>
    <cellStyle name="Normal 4 4 2 2 2 3 2 3 3" xfId="23778" xr:uid="{00000000-0005-0000-0000-0000C8D40000}"/>
    <cellStyle name="Normal 4 4 2 2 2 3 2 3 3 2" xfId="55649" xr:uid="{00000000-0005-0000-0000-0000C9D40000}"/>
    <cellStyle name="Normal 4 4 2 2 2 3 2 3 4" xfId="45758" xr:uid="{00000000-0005-0000-0000-0000CAD40000}"/>
    <cellStyle name="Normal 4 4 2 2 2 3 2 4" xfId="13881" xr:uid="{00000000-0005-0000-0000-0000CBD40000}"/>
    <cellStyle name="Normal 4 4 2 2 2 3 2 4 2" xfId="27717" xr:uid="{00000000-0005-0000-0000-0000CCD40000}"/>
    <cellStyle name="Normal 4 4 2 2 2 3 2 4 2 2" xfId="59588" xr:uid="{00000000-0005-0000-0000-0000CDD40000}"/>
    <cellStyle name="Normal 4 4 2 2 2 3 2 4 3" xfId="45760" xr:uid="{00000000-0005-0000-0000-0000CED40000}"/>
    <cellStyle name="Normal 4 4 2 2 2 3 2 5" xfId="19839" xr:uid="{00000000-0005-0000-0000-0000CFD40000}"/>
    <cellStyle name="Normal 4 4 2 2 2 3 2 5 2" xfId="51710" xr:uid="{00000000-0005-0000-0000-0000D0D40000}"/>
    <cellStyle name="Normal 4 4 2 2 2 3 2 6" xfId="45753" xr:uid="{00000000-0005-0000-0000-0000D1D40000}"/>
    <cellStyle name="Normal 4 4 2 2 2 3 3" xfId="13882" xr:uid="{00000000-0005-0000-0000-0000D2D40000}"/>
    <cellStyle name="Normal 4 4 2 2 2 3 3 2" xfId="13883" xr:uid="{00000000-0005-0000-0000-0000D3D40000}"/>
    <cellStyle name="Normal 4 4 2 2 2 3 3 2 2" xfId="13884" xr:uid="{00000000-0005-0000-0000-0000D4D40000}"/>
    <cellStyle name="Normal 4 4 2 2 2 3 3 2 2 2" xfId="31658" xr:uid="{00000000-0005-0000-0000-0000D5D40000}"/>
    <cellStyle name="Normal 4 4 2 2 2 3 3 2 2 2 2" xfId="63529" xr:uid="{00000000-0005-0000-0000-0000D6D40000}"/>
    <cellStyle name="Normal 4 4 2 2 2 3 3 2 2 3" xfId="45763" xr:uid="{00000000-0005-0000-0000-0000D7D40000}"/>
    <cellStyle name="Normal 4 4 2 2 2 3 3 2 3" xfId="23780" xr:uid="{00000000-0005-0000-0000-0000D8D40000}"/>
    <cellStyle name="Normal 4 4 2 2 2 3 3 2 3 2" xfId="55651" xr:uid="{00000000-0005-0000-0000-0000D9D40000}"/>
    <cellStyle name="Normal 4 4 2 2 2 3 3 2 4" xfId="45762" xr:uid="{00000000-0005-0000-0000-0000DAD40000}"/>
    <cellStyle name="Normal 4 4 2 2 2 3 3 3" xfId="13885" xr:uid="{00000000-0005-0000-0000-0000DBD40000}"/>
    <cellStyle name="Normal 4 4 2 2 2 3 3 3 2" xfId="27719" xr:uid="{00000000-0005-0000-0000-0000DCD40000}"/>
    <cellStyle name="Normal 4 4 2 2 2 3 3 3 2 2" xfId="59590" xr:uid="{00000000-0005-0000-0000-0000DDD40000}"/>
    <cellStyle name="Normal 4 4 2 2 2 3 3 3 3" xfId="45764" xr:uid="{00000000-0005-0000-0000-0000DED40000}"/>
    <cellStyle name="Normal 4 4 2 2 2 3 3 4" xfId="19841" xr:uid="{00000000-0005-0000-0000-0000DFD40000}"/>
    <cellStyle name="Normal 4 4 2 2 2 3 3 4 2" xfId="51712" xr:uid="{00000000-0005-0000-0000-0000E0D40000}"/>
    <cellStyle name="Normal 4 4 2 2 2 3 3 5" xfId="45761" xr:uid="{00000000-0005-0000-0000-0000E1D40000}"/>
    <cellStyle name="Normal 4 4 2 2 2 3 4" xfId="13886" xr:uid="{00000000-0005-0000-0000-0000E2D40000}"/>
    <cellStyle name="Normal 4 4 2 2 2 3 4 2" xfId="13887" xr:uid="{00000000-0005-0000-0000-0000E3D40000}"/>
    <cellStyle name="Normal 4 4 2 2 2 3 4 2 2" xfId="31655" xr:uid="{00000000-0005-0000-0000-0000E4D40000}"/>
    <cellStyle name="Normal 4 4 2 2 2 3 4 2 2 2" xfId="63526" xr:uid="{00000000-0005-0000-0000-0000E5D40000}"/>
    <cellStyle name="Normal 4 4 2 2 2 3 4 2 3" xfId="45766" xr:uid="{00000000-0005-0000-0000-0000E6D40000}"/>
    <cellStyle name="Normal 4 4 2 2 2 3 4 3" xfId="23777" xr:uid="{00000000-0005-0000-0000-0000E7D40000}"/>
    <cellStyle name="Normal 4 4 2 2 2 3 4 3 2" xfId="55648" xr:uid="{00000000-0005-0000-0000-0000E8D40000}"/>
    <cellStyle name="Normal 4 4 2 2 2 3 4 4" xfId="45765" xr:uid="{00000000-0005-0000-0000-0000E9D40000}"/>
    <cellStyle name="Normal 4 4 2 2 2 3 5" xfId="13888" xr:uid="{00000000-0005-0000-0000-0000EAD40000}"/>
    <cellStyle name="Normal 4 4 2 2 2 3 5 2" xfId="27716" xr:uid="{00000000-0005-0000-0000-0000EBD40000}"/>
    <cellStyle name="Normal 4 4 2 2 2 3 5 2 2" xfId="59587" xr:uid="{00000000-0005-0000-0000-0000ECD40000}"/>
    <cellStyle name="Normal 4 4 2 2 2 3 5 3" xfId="45767" xr:uid="{00000000-0005-0000-0000-0000EDD40000}"/>
    <cellStyle name="Normal 4 4 2 2 2 3 6" xfId="19838" xr:uid="{00000000-0005-0000-0000-0000EED40000}"/>
    <cellStyle name="Normal 4 4 2 2 2 3 6 2" xfId="51709" xr:uid="{00000000-0005-0000-0000-0000EFD40000}"/>
    <cellStyle name="Normal 4 4 2 2 2 3 7" xfId="45752" xr:uid="{00000000-0005-0000-0000-0000F0D40000}"/>
    <cellStyle name="Normal 4 4 2 2 2 4" xfId="13889" xr:uid="{00000000-0005-0000-0000-0000F1D40000}"/>
    <cellStyle name="Normal 4 4 2 2 2 4 2" xfId="13890" xr:uid="{00000000-0005-0000-0000-0000F2D40000}"/>
    <cellStyle name="Normal 4 4 2 2 2 4 2 2" xfId="13891" xr:uid="{00000000-0005-0000-0000-0000F3D40000}"/>
    <cellStyle name="Normal 4 4 2 2 2 4 2 2 2" xfId="13892" xr:uid="{00000000-0005-0000-0000-0000F4D40000}"/>
    <cellStyle name="Normal 4 4 2 2 2 4 2 2 2 2" xfId="31660" xr:uid="{00000000-0005-0000-0000-0000F5D40000}"/>
    <cellStyle name="Normal 4 4 2 2 2 4 2 2 2 2 2" xfId="63531" xr:uid="{00000000-0005-0000-0000-0000F6D40000}"/>
    <cellStyle name="Normal 4 4 2 2 2 4 2 2 2 3" xfId="45771" xr:uid="{00000000-0005-0000-0000-0000F7D40000}"/>
    <cellStyle name="Normal 4 4 2 2 2 4 2 2 3" xfId="23782" xr:uid="{00000000-0005-0000-0000-0000F8D40000}"/>
    <cellStyle name="Normal 4 4 2 2 2 4 2 2 3 2" xfId="55653" xr:uid="{00000000-0005-0000-0000-0000F9D40000}"/>
    <cellStyle name="Normal 4 4 2 2 2 4 2 2 4" xfId="45770" xr:uid="{00000000-0005-0000-0000-0000FAD40000}"/>
    <cellStyle name="Normal 4 4 2 2 2 4 2 3" xfId="13893" xr:uid="{00000000-0005-0000-0000-0000FBD40000}"/>
    <cellStyle name="Normal 4 4 2 2 2 4 2 3 2" xfId="27721" xr:uid="{00000000-0005-0000-0000-0000FCD40000}"/>
    <cellStyle name="Normal 4 4 2 2 2 4 2 3 2 2" xfId="59592" xr:uid="{00000000-0005-0000-0000-0000FDD40000}"/>
    <cellStyle name="Normal 4 4 2 2 2 4 2 3 3" xfId="45772" xr:uid="{00000000-0005-0000-0000-0000FED40000}"/>
    <cellStyle name="Normal 4 4 2 2 2 4 2 4" xfId="19843" xr:uid="{00000000-0005-0000-0000-0000FFD40000}"/>
    <cellStyle name="Normal 4 4 2 2 2 4 2 4 2" xfId="51714" xr:uid="{00000000-0005-0000-0000-000000D50000}"/>
    <cellStyle name="Normal 4 4 2 2 2 4 2 5" xfId="45769" xr:uid="{00000000-0005-0000-0000-000001D50000}"/>
    <cellStyle name="Normal 4 4 2 2 2 4 3" xfId="13894" xr:uid="{00000000-0005-0000-0000-000002D50000}"/>
    <cellStyle name="Normal 4 4 2 2 2 4 3 2" xfId="13895" xr:uid="{00000000-0005-0000-0000-000003D50000}"/>
    <cellStyle name="Normal 4 4 2 2 2 4 3 2 2" xfId="31659" xr:uid="{00000000-0005-0000-0000-000004D50000}"/>
    <cellStyle name="Normal 4 4 2 2 2 4 3 2 2 2" xfId="63530" xr:uid="{00000000-0005-0000-0000-000005D50000}"/>
    <cellStyle name="Normal 4 4 2 2 2 4 3 2 3" xfId="45774" xr:uid="{00000000-0005-0000-0000-000006D50000}"/>
    <cellStyle name="Normal 4 4 2 2 2 4 3 3" xfId="23781" xr:uid="{00000000-0005-0000-0000-000007D50000}"/>
    <cellStyle name="Normal 4 4 2 2 2 4 3 3 2" xfId="55652" xr:uid="{00000000-0005-0000-0000-000008D50000}"/>
    <cellStyle name="Normal 4 4 2 2 2 4 3 4" xfId="45773" xr:uid="{00000000-0005-0000-0000-000009D50000}"/>
    <cellStyle name="Normal 4 4 2 2 2 4 4" xfId="13896" xr:uid="{00000000-0005-0000-0000-00000AD50000}"/>
    <cellStyle name="Normal 4 4 2 2 2 4 4 2" xfId="27720" xr:uid="{00000000-0005-0000-0000-00000BD50000}"/>
    <cellStyle name="Normal 4 4 2 2 2 4 4 2 2" xfId="59591" xr:uid="{00000000-0005-0000-0000-00000CD50000}"/>
    <cellStyle name="Normal 4 4 2 2 2 4 4 3" xfId="45775" xr:uid="{00000000-0005-0000-0000-00000DD50000}"/>
    <cellStyle name="Normal 4 4 2 2 2 4 5" xfId="19842" xr:uid="{00000000-0005-0000-0000-00000ED50000}"/>
    <cellStyle name="Normal 4 4 2 2 2 4 5 2" xfId="51713" xr:uid="{00000000-0005-0000-0000-00000FD50000}"/>
    <cellStyle name="Normal 4 4 2 2 2 4 6" xfId="45768" xr:uid="{00000000-0005-0000-0000-000010D50000}"/>
    <cellStyle name="Normal 4 4 2 2 2 5" xfId="13897" xr:uid="{00000000-0005-0000-0000-000011D50000}"/>
    <cellStyle name="Normal 4 4 2 2 2 5 2" xfId="13898" xr:uid="{00000000-0005-0000-0000-000012D50000}"/>
    <cellStyle name="Normal 4 4 2 2 2 5 2 2" xfId="13899" xr:uid="{00000000-0005-0000-0000-000013D50000}"/>
    <cellStyle name="Normal 4 4 2 2 2 5 2 2 2" xfId="31661" xr:uid="{00000000-0005-0000-0000-000014D50000}"/>
    <cellStyle name="Normal 4 4 2 2 2 5 2 2 2 2" xfId="63532" xr:uid="{00000000-0005-0000-0000-000015D50000}"/>
    <cellStyle name="Normal 4 4 2 2 2 5 2 2 3" xfId="45778" xr:uid="{00000000-0005-0000-0000-000016D50000}"/>
    <cellStyle name="Normal 4 4 2 2 2 5 2 3" xfId="23783" xr:uid="{00000000-0005-0000-0000-000017D50000}"/>
    <cellStyle name="Normal 4 4 2 2 2 5 2 3 2" xfId="55654" xr:uid="{00000000-0005-0000-0000-000018D50000}"/>
    <cellStyle name="Normal 4 4 2 2 2 5 2 4" xfId="45777" xr:uid="{00000000-0005-0000-0000-000019D50000}"/>
    <cellStyle name="Normal 4 4 2 2 2 5 3" xfId="13900" xr:uid="{00000000-0005-0000-0000-00001AD50000}"/>
    <cellStyle name="Normal 4 4 2 2 2 5 3 2" xfId="27722" xr:uid="{00000000-0005-0000-0000-00001BD50000}"/>
    <cellStyle name="Normal 4 4 2 2 2 5 3 2 2" xfId="59593" xr:uid="{00000000-0005-0000-0000-00001CD50000}"/>
    <cellStyle name="Normal 4 4 2 2 2 5 3 3" xfId="45779" xr:uid="{00000000-0005-0000-0000-00001DD50000}"/>
    <cellStyle name="Normal 4 4 2 2 2 5 4" xfId="19844" xr:uid="{00000000-0005-0000-0000-00001ED50000}"/>
    <cellStyle name="Normal 4 4 2 2 2 5 4 2" xfId="51715" xr:uid="{00000000-0005-0000-0000-00001FD50000}"/>
    <cellStyle name="Normal 4 4 2 2 2 5 5" xfId="45776" xr:uid="{00000000-0005-0000-0000-000020D50000}"/>
    <cellStyle name="Normal 4 4 2 2 2 6" xfId="13901" xr:uid="{00000000-0005-0000-0000-000021D50000}"/>
    <cellStyle name="Normal 4 4 2 2 2 6 2" xfId="13902" xr:uid="{00000000-0005-0000-0000-000022D50000}"/>
    <cellStyle name="Normal 4 4 2 2 2 6 2 2" xfId="28449" xr:uid="{00000000-0005-0000-0000-000023D50000}"/>
    <cellStyle name="Normal 4 4 2 2 2 6 2 2 2" xfId="60320" xr:uid="{00000000-0005-0000-0000-000024D50000}"/>
    <cellStyle name="Normal 4 4 2 2 2 6 2 3" xfId="45781" xr:uid="{00000000-0005-0000-0000-000025D50000}"/>
    <cellStyle name="Normal 4 4 2 2 2 6 3" xfId="20571" xr:uid="{00000000-0005-0000-0000-000026D50000}"/>
    <cellStyle name="Normal 4 4 2 2 2 6 3 2" xfId="52442" xr:uid="{00000000-0005-0000-0000-000027D50000}"/>
    <cellStyle name="Normal 4 4 2 2 2 6 4" xfId="45780" xr:uid="{00000000-0005-0000-0000-000028D50000}"/>
    <cellStyle name="Normal 4 4 2 2 2 7" xfId="13903" xr:uid="{00000000-0005-0000-0000-000029D50000}"/>
    <cellStyle name="Normal 4 4 2 2 2 7 2" xfId="24510" xr:uid="{00000000-0005-0000-0000-00002AD50000}"/>
    <cellStyle name="Normal 4 4 2 2 2 7 2 2" xfId="56381" xr:uid="{00000000-0005-0000-0000-00002BD50000}"/>
    <cellStyle name="Normal 4 4 2 2 2 7 3" xfId="45782" xr:uid="{00000000-0005-0000-0000-00002CD50000}"/>
    <cellStyle name="Normal 4 4 2 2 2 8" xfId="16632" xr:uid="{00000000-0005-0000-0000-00002DD50000}"/>
    <cellStyle name="Normal 4 4 2 2 2 8 2" xfId="48503" xr:uid="{00000000-0005-0000-0000-00002ED50000}"/>
    <cellStyle name="Normal 4 4 2 2 2 9" xfId="45719" xr:uid="{00000000-0005-0000-0000-00002FD50000}"/>
    <cellStyle name="Normal 4 4 2 2 3" xfId="13904" xr:uid="{00000000-0005-0000-0000-000030D50000}"/>
    <cellStyle name="Normal 4 4 2 2 3 2" xfId="13905" xr:uid="{00000000-0005-0000-0000-000031D50000}"/>
    <cellStyle name="Normal 4 4 2 2 3 2 2" xfId="13906" xr:uid="{00000000-0005-0000-0000-000032D50000}"/>
    <cellStyle name="Normal 4 4 2 2 3 2 2 2" xfId="13907" xr:uid="{00000000-0005-0000-0000-000033D50000}"/>
    <cellStyle name="Normal 4 4 2 2 3 2 2 2 2" xfId="13908" xr:uid="{00000000-0005-0000-0000-000034D50000}"/>
    <cellStyle name="Normal 4 4 2 2 3 2 2 2 2 2" xfId="13909" xr:uid="{00000000-0005-0000-0000-000035D50000}"/>
    <cellStyle name="Normal 4 4 2 2 3 2 2 2 2 2 2" xfId="31665" xr:uid="{00000000-0005-0000-0000-000036D50000}"/>
    <cellStyle name="Normal 4 4 2 2 3 2 2 2 2 2 2 2" xfId="63536" xr:uid="{00000000-0005-0000-0000-000037D50000}"/>
    <cellStyle name="Normal 4 4 2 2 3 2 2 2 2 2 3" xfId="45788" xr:uid="{00000000-0005-0000-0000-000038D50000}"/>
    <cellStyle name="Normal 4 4 2 2 3 2 2 2 2 3" xfId="23787" xr:uid="{00000000-0005-0000-0000-000039D50000}"/>
    <cellStyle name="Normal 4 4 2 2 3 2 2 2 2 3 2" xfId="55658" xr:uid="{00000000-0005-0000-0000-00003AD50000}"/>
    <cellStyle name="Normal 4 4 2 2 3 2 2 2 2 4" xfId="45787" xr:uid="{00000000-0005-0000-0000-00003BD50000}"/>
    <cellStyle name="Normal 4 4 2 2 3 2 2 2 3" xfId="13910" xr:uid="{00000000-0005-0000-0000-00003CD50000}"/>
    <cellStyle name="Normal 4 4 2 2 3 2 2 2 3 2" xfId="27726" xr:uid="{00000000-0005-0000-0000-00003DD50000}"/>
    <cellStyle name="Normal 4 4 2 2 3 2 2 2 3 2 2" xfId="59597" xr:uid="{00000000-0005-0000-0000-00003ED50000}"/>
    <cellStyle name="Normal 4 4 2 2 3 2 2 2 3 3" xfId="45789" xr:uid="{00000000-0005-0000-0000-00003FD50000}"/>
    <cellStyle name="Normal 4 4 2 2 3 2 2 2 4" xfId="19848" xr:uid="{00000000-0005-0000-0000-000040D50000}"/>
    <cellStyle name="Normal 4 4 2 2 3 2 2 2 4 2" xfId="51719" xr:uid="{00000000-0005-0000-0000-000041D50000}"/>
    <cellStyle name="Normal 4 4 2 2 3 2 2 2 5" xfId="45786" xr:uid="{00000000-0005-0000-0000-000042D50000}"/>
    <cellStyle name="Normal 4 4 2 2 3 2 2 3" xfId="13911" xr:uid="{00000000-0005-0000-0000-000043D50000}"/>
    <cellStyle name="Normal 4 4 2 2 3 2 2 3 2" xfId="13912" xr:uid="{00000000-0005-0000-0000-000044D50000}"/>
    <cellStyle name="Normal 4 4 2 2 3 2 2 3 2 2" xfId="31664" xr:uid="{00000000-0005-0000-0000-000045D50000}"/>
    <cellStyle name="Normal 4 4 2 2 3 2 2 3 2 2 2" xfId="63535" xr:uid="{00000000-0005-0000-0000-000046D50000}"/>
    <cellStyle name="Normal 4 4 2 2 3 2 2 3 2 3" xfId="45791" xr:uid="{00000000-0005-0000-0000-000047D50000}"/>
    <cellStyle name="Normal 4 4 2 2 3 2 2 3 3" xfId="23786" xr:uid="{00000000-0005-0000-0000-000048D50000}"/>
    <cellStyle name="Normal 4 4 2 2 3 2 2 3 3 2" xfId="55657" xr:uid="{00000000-0005-0000-0000-000049D50000}"/>
    <cellStyle name="Normal 4 4 2 2 3 2 2 3 4" xfId="45790" xr:uid="{00000000-0005-0000-0000-00004AD50000}"/>
    <cellStyle name="Normal 4 4 2 2 3 2 2 4" xfId="13913" xr:uid="{00000000-0005-0000-0000-00004BD50000}"/>
    <cellStyle name="Normal 4 4 2 2 3 2 2 4 2" xfId="27725" xr:uid="{00000000-0005-0000-0000-00004CD50000}"/>
    <cellStyle name="Normal 4 4 2 2 3 2 2 4 2 2" xfId="59596" xr:uid="{00000000-0005-0000-0000-00004DD50000}"/>
    <cellStyle name="Normal 4 4 2 2 3 2 2 4 3" xfId="45792" xr:uid="{00000000-0005-0000-0000-00004ED50000}"/>
    <cellStyle name="Normal 4 4 2 2 3 2 2 5" xfId="19847" xr:uid="{00000000-0005-0000-0000-00004FD50000}"/>
    <cellStyle name="Normal 4 4 2 2 3 2 2 5 2" xfId="51718" xr:uid="{00000000-0005-0000-0000-000050D50000}"/>
    <cellStyle name="Normal 4 4 2 2 3 2 2 6" xfId="45785" xr:uid="{00000000-0005-0000-0000-000051D50000}"/>
    <cellStyle name="Normal 4 4 2 2 3 2 3" xfId="13914" xr:uid="{00000000-0005-0000-0000-000052D50000}"/>
    <cellStyle name="Normal 4 4 2 2 3 2 3 2" xfId="13915" xr:uid="{00000000-0005-0000-0000-000053D50000}"/>
    <cellStyle name="Normal 4 4 2 2 3 2 3 2 2" xfId="13916" xr:uid="{00000000-0005-0000-0000-000054D50000}"/>
    <cellStyle name="Normal 4 4 2 2 3 2 3 2 2 2" xfId="31666" xr:uid="{00000000-0005-0000-0000-000055D50000}"/>
    <cellStyle name="Normal 4 4 2 2 3 2 3 2 2 2 2" xfId="63537" xr:uid="{00000000-0005-0000-0000-000056D50000}"/>
    <cellStyle name="Normal 4 4 2 2 3 2 3 2 2 3" xfId="45795" xr:uid="{00000000-0005-0000-0000-000057D50000}"/>
    <cellStyle name="Normal 4 4 2 2 3 2 3 2 3" xfId="23788" xr:uid="{00000000-0005-0000-0000-000058D50000}"/>
    <cellStyle name="Normal 4 4 2 2 3 2 3 2 3 2" xfId="55659" xr:uid="{00000000-0005-0000-0000-000059D50000}"/>
    <cellStyle name="Normal 4 4 2 2 3 2 3 2 4" xfId="45794" xr:uid="{00000000-0005-0000-0000-00005AD50000}"/>
    <cellStyle name="Normal 4 4 2 2 3 2 3 3" xfId="13917" xr:uid="{00000000-0005-0000-0000-00005BD50000}"/>
    <cellStyle name="Normal 4 4 2 2 3 2 3 3 2" xfId="27727" xr:uid="{00000000-0005-0000-0000-00005CD50000}"/>
    <cellStyle name="Normal 4 4 2 2 3 2 3 3 2 2" xfId="59598" xr:uid="{00000000-0005-0000-0000-00005DD50000}"/>
    <cellStyle name="Normal 4 4 2 2 3 2 3 3 3" xfId="45796" xr:uid="{00000000-0005-0000-0000-00005ED50000}"/>
    <cellStyle name="Normal 4 4 2 2 3 2 3 4" xfId="19849" xr:uid="{00000000-0005-0000-0000-00005FD50000}"/>
    <cellStyle name="Normal 4 4 2 2 3 2 3 4 2" xfId="51720" xr:uid="{00000000-0005-0000-0000-000060D50000}"/>
    <cellStyle name="Normal 4 4 2 2 3 2 3 5" xfId="45793" xr:uid="{00000000-0005-0000-0000-000061D50000}"/>
    <cellStyle name="Normal 4 4 2 2 3 2 4" xfId="13918" xr:uid="{00000000-0005-0000-0000-000062D50000}"/>
    <cellStyle name="Normal 4 4 2 2 3 2 4 2" xfId="13919" xr:uid="{00000000-0005-0000-0000-000063D50000}"/>
    <cellStyle name="Normal 4 4 2 2 3 2 4 2 2" xfId="31663" xr:uid="{00000000-0005-0000-0000-000064D50000}"/>
    <cellStyle name="Normal 4 4 2 2 3 2 4 2 2 2" xfId="63534" xr:uid="{00000000-0005-0000-0000-000065D50000}"/>
    <cellStyle name="Normal 4 4 2 2 3 2 4 2 3" xfId="45798" xr:uid="{00000000-0005-0000-0000-000066D50000}"/>
    <cellStyle name="Normal 4 4 2 2 3 2 4 3" xfId="23785" xr:uid="{00000000-0005-0000-0000-000067D50000}"/>
    <cellStyle name="Normal 4 4 2 2 3 2 4 3 2" xfId="55656" xr:uid="{00000000-0005-0000-0000-000068D50000}"/>
    <cellStyle name="Normal 4 4 2 2 3 2 4 4" xfId="45797" xr:uid="{00000000-0005-0000-0000-000069D50000}"/>
    <cellStyle name="Normal 4 4 2 2 3 2 5" xfId="13920" xr:uid="{00000000-0005-0000-0000-00006AD50000}"/>
    <cellStyle name="Normal 4 4 2 2 3 2 5 2" xfId="27724" xr:uid="{00000000-0005-0000-0000-00006BD50000}"/>
    <cellStyle name="Normal 4 4 2 2 3 2 5 2 2" xfId="59595" xr:uid="{00000000-0005-0000-0000-00006CD50000}"/>
    <cellStyle name="Normal 4 4 2 2 3 2 5 3" xfId="45799" xr:uid="{00000000-0005-0000-0000-00006DD50000}"/>
    <cellStyle name="Normal 4 4 2 2 3 2 6" xfId="19846" xr:uid="{00000000-0005-0000-0000-00006ED50000}"/>
    <cellStyle name="Normal 4 4 2 2 3 2 6 2" xfId="51717" xr:uid="{00000000-0005-0000-0000-00006FD50000}"/>
    <cellStyle name="Normal 4 4 2 2 3 2 7" xfId="45784" xr:uid="{00000000-0005-0000-0000-000070D50000}"/>
    <cellStyle name="Normal 4 4 2 2 3 3" xfId="13921" xr:uid="{00000000-0005-0000-0000-000071D50000}"/>
    <cellStyle name="Normal 4 4 2 2 3 3 2" xfId="13922" xr:uid="{00000000-0005-0000-0000-000072D50000}"/>
    <cellStyle name="Normal 4 4 2 2 3 3 2 2" xfId="13923" xr:uid="{00000000-0005-0000-0000-000073D50000}"/>
    <cellStyle name="Normal 4 4 2 2 3 3 2 2 2" xfId="13924" xr:uid="{00000000-0005-0000-0000-000074D50000}"/>
    <cellStyle name="Normal 4 4 2 2 3 3 2 2 2 2" xfId="31668" xr:uid="{00000000-0005-0000-0000-000075D50000}"/>
    <cellStyle name="Normal 4 4 2 2 3 3 2 2 2 2 2" xfId="63539" xr:uid="{00000000-0005-0000-0000-000076D50000}"/>
    <cellStyle name="Normal 4 4 2 2 3 3 2 2 2 3" xfId="45803" xr:uid="{00000000-0005-0000-0000-000077D50000}"/>
    <cellStyle name="Normal 4 4 2 2 3 3 2 2 3" xfId="23790" xr:uid="{00000000-0005-0000-0000-000078D50000}"/>
    <cellStyle name="Normal 4 4 2 2 3 3 2 2 3 2" xfId="55661" xr:uid="{00000000-0005-0000-0000-000079D50000}"/>
    <cellStyle name="Normal 4 4 2 2 3 3 2 2 4" xfId="45802" xr:uid="{00000000-0005-0000-0000-00007AD50000}"/>
    <cellStyle name="Normal 4 4 2 2 3 3 2 3" xfId="13925" xr:uid="{00000000-0005-0000-0000-00007BD50000}"/>
    <cellStyle name="Normal 4 4 2 2 3 3 2 3 2" xfId="27729" xr:uid="{00000000-0005-0000-0000-00007CD50000}"/>
    <cellStyle name="Normal 4 4 2 2 3 3 2 3 2 2" xfId="59600" xr:uid="{00000000-0005-0000-0000-00007DD50000}"/>
    <cellStyle name="Normal 4 4 2 2 3 3 2 3 3" xfId="45804" xr:uid="{00000000-0005-0000-0000-00007ED50000}"/>
    <cellStyle name="Normal 4 4 2 2 3 3 2 4" xfId="19851" xr:uid="{00000000-0005-0000-0000-00007FD50000}"/>
    <cellStyle name="Normal 4 4 2 2 3 3 2 4 2" xfId="51722" xr:uid="{00000000-0005-0000-0000-000080D50000}"/>
    <cellStyle name="Normal 4 4 2 2 3 3 2 5" xfId="45801" xr:uid="{00000000-0005-0000-0000-000081D50000}"/>
    <cellStyle name="Normal 4 4 2 2 3 3 3" xfId="13926" xr:uid="{00000000-0005-0000-0000-000082D50000}"/>
    <cellStyle name="Normal 4 4 2 2 3 3 3 2" xfId="13927" xr:uid="{00000000-0005-0000-0000-000083D50000}"/>
    <cellStyle name="Normal 4 4 2 2 3 3 3 2 2" xfId="31667" xr:uid="{00000000-0005-0000-0000-000084D50000}"/>
    <cellStyle name="Normal 4 4 2 2 3 3 3 2 2 2" xfId="63538" xr:uid="{00000000-0005-0000-0000-000085D50000}"/>
    <cellStyle name="Normal 4 4 2 2 3 3 3 2 3" xfId="45806" xr:uid="{00000000-0005-0000-0000-000086D50000}"/>
    <cellStyle name="Normal 4 4 2 2 3 3 3 3" xfId="23789" xr:uid="{00000000-0005-0000-0000-000087D50000}"/>
    <cellStyle name="Normal 4 4 2 2 3 3 3 3 2" xfId="55660" xr:uid="{00000000-0005-0000-0000-000088D50000}"/>
    <cellStyle name="Normal 4 4 2 2 3 3 3 4" xfId="45805" xr:uid="{00000000-0005-0000-0000-000089D50000}"/>
    <cellStyle name="Normal 4 4 2 2 3 3 4" xfId="13928" xr:uid="{00000000-0005-0000-0000-00008AD50000}"/>
    <cellStyle name="Normal 4 4 2 2 3 3 4 2" xfId="27728" xr:uid="{00000000-0005-0000-0000-00008BD50000}"/>
    <cellStyle name="Normal 4 4 2 2 3 3 4 2 2" xfId="59599" xr:uid="{00000000-0005-0000-0000-00008CD50000}"/>
    <cellStyle name="Normal 4 4 2 2 3 3 4 3" xfId="45807" xr:uid="{00000000-0005-0000-0000-00008DD50000}"/>
    <cellStyle name="Normal 4 4 2 2 3 3 5" xfId="19850" xr:uid="{00000000-0005-0000-0000-00008ED50000}"/>
    <cellStyle name="Normal 4 4 2 2 3 3 5 2" xfId="51721" xr:uid="{00000000-0005-0000-0000-00008FD50000}"/>
    <cellStyle name="Normal 4 4 2 2 3 3 6" xfId="45800" xr:uid="{00000000-0005-0000-0000-000090D50000}"/>
    <cellStyle name="Normal 4 4 2 2 3 4" xfId="13929" xr:uid="{00000000-0005-0000-0000-000091D50000}"/>
    <cellStyle name="Normal 4 4 2 2 3 4 2" xfId="13930" xr:uid="{00000000-0005-0000-0000-000092D50000}"/>
    <cellStyle name="Normal 4 4 2 2 3 4 2 2" xfId="13931" xr:uid="{00000000-0005-0000-0000-000093D50000}"/>
    <cellStyle name="Normal 4 4 2 2 3 4 2 2 2" xfId="31669" xr:uid="{00000000-0005-0000-0000-000094D50000}"/>
    <cellStyle name="Normal 4 4 2 2 3 4 2 2 2 2" xfId="63540" xr:uid="{00000000-0005-0000-0000-000095D50000}"/>
    <cellStyle name="Normal 4 4 2 2 3 4 2 2 3" xfId="45810" xr:uid="{00000000-0005-0000-0000-000096D50000}"/>
    <cellStyle name="Normal 4 4 2 2 3 4 2 3" xfId="23791" xr:uid="{00000000-0005-0000-0000-000097D50000}"/>
    <cellStyle name="Normal 4 4 2 2 3 4 2 3 2" xfId="55662" xr:uid="{00000000-0005-0000-0000-000098D50000}"/>
    <cellStyle name="Normal 4 4 2 2 3 4 2 4" xfId="45809" xr:uid="{00000000-0005-0000-0000-000099D50000}"/>
    <cellStyle name="Normal 4 4 2 2 3 4 3" xfId="13932" xr:uid="{00000000-0005-0000-0000-00009AD50000}"/>
    <cellStyle name="Normal 4 4 2 2 3 4 3 2" xfId="27730" xr:uid="{00000000-0005-0000-0000-00009BD50000}"/>
    <cellStyle name="Normal 4 4 2 2 3 4 3 2 2" xfId="59601" xr:uid="{00000000-0005-0000-0000-00009CD50000}"/>
    <cellStyle name="Normal 4 4 2 2 3 4 3 3" xfId="45811" xr:uid="{00000000-0005-0000-0000-00009DD50000}"/>
    <cellStyle name="Normal 4 4 2 2 3 4 4" xfId="19852" xr:uid="{00000000-0005-0000-0000-00009ED50000}"/>
    <cellStyle name="Normal 4 4 2 2 3 4 4 2" xfId="51723" xr:uid="{00000000-0005-0000-0000-00009FD50000}"/>
    <cellStyle name="Normal 4 4 2 2 3 4 5" xfId="45808" xr:uid="{00000000-0005-0000-0000-0000A0D50000}"/>
    <cellStyle name="Normal 4 4 2 2 3 5" xfId="13933" xr:uid="{00000000-0005-0000-0000-0000A1D50000}"/>
    <cellStyle name="Normal 4 4 2 2 3 5 2" xfId="13934" xr:uid="{00000000-0005-0000-0000-0000A2D50000}"/>
    <cellStyle name="Normal 4 4 2 2 3 5 2 2" xfId="31662" xr:uid="{00000000-0005-0000-0000-0000A3D50000}"/>
    <cellStyle name="Normal 4 4 2 2 3 5 2 2 2" xfId="63533" xr:uid="{00000000-0005-0000-0000-0000A4D50000}"/>
    <cellStyle name="Normal 4 4 2 2 3 5 2 3" xfId="45813" xr:uid="{00000000-0005-0000-0000-0000A5D50000}"/>
    <cellStyle name="Normal 4 4 2 2 3 5 3" xfId="23784" xr:uid="{00000000-0005-0000-0000-0000A6D50000}"/>
    <cellStyle name="Normal 4 4 2 2 3 5 3 2" xfId="55655" xr:uid="{00000000-0005-0000-0000-0000A7D50000}"/>
    <cellStyle name="Normal 4 4 2 2 3 5 4" xfId="45812" xr:uid="{00000000-0005-0000-0000-0000A8D50000}"/>
    <cellStyle name="Normal 4 4 2 2 3 6" xfId="13935" xr:uid="{00000000-0005-0000-0000-0000A9D50000}"/>
    <cellStyle name="Normal 4 4 2 2 3 6 2" xfId="27723" xr:uid="{00000000-0005-0000-0000-0000AAD50000}"/>
    <cellStyle name="Normal 4 4 2 2 3 6 2 2" xfId="59594" xr:uid="{00000000-0005-0000-0000-0000ABD50000}"/>
    <cellStyle name="Normal 4 4 2 2 3 6 3" xfId="45814" xr:uid="{00000000-0005-0000-0000-0000ACD50000}"/>
    <cellStyle name="Normal 4 4 2 2 3 7" xfId="19845" xr:uid="{00000000-0005-0000-0000-0000ADD50000}"/>
    <cellStyle name="Normal 4 4 2 2 3 7 2" xfId="51716" xr:uid="{00000000-0005-0000-0000-0000AED50000}"/>
    <cellStyle name="Normal 4 4 2 2 3 8" xfId="45783" xr:uid="{00000000-0005-0000-0000-0000AFD50000}"/>
    <cellStyle name="Normal 4 4 2 2 4" xfId="13936" xr:uid="{00000000-0005-0000-0000-0000B0D50000}"/>
    <cellStyle name="Normal 4 4 2 2 4 2" xfId="13937" xr:uid="{00000000-0005-0000-0000-0000B1D50000}"/>
    <cellStyle name="Normal 4 4 2 2 4 2 2" xfId="13938" xr:uid="{00000000-0005-0000-0000-0000B2D50000}"/>
    <cellStyle name="Normal 4 4 2 2 4 2 2 2" xfId="13939" xr:uid="{00000000-0005-0000-0000-0000B3D50000}"/>
    <cellStyle name="Normal 4 4 2 2 4 2 2 2 2" xfId="13940" xr:uid="{00000000-0005-0000-0000-0000B4D50000}"/>
    <cellStyle name="Normal 4 4 2 2 4 2 2 2 2 2" xfId="31672" xr:uid="{00000000-0005-0000-0000-0000B5D50000}"/>
    <cellStyle name="Normal 4 4 2 2 4 2 2 2 2 2 2" xfId="63543" xr:uid="{00000000-0005-0000-0000-0000B6D50000}"/>
    <cellStyle name="Normal 4 4 2 2 4 2 2 2 2 3" xfId="45819" xr:uid="{00000000-0005-0000-0000-0000B7D50000}"/>
    <cellStyle name="Normal 4 4 2 2 4 2 2 2 3" xfId="23794" xr:uid="{00000000-0005-0000-0000-0000B8D50000}"/>
    <cellStyle name="Normal 4 4 2 2 4 2 2 2 3 2" xfId="55665" xr:uid="{00000000-0005-0000-0000-0000B9D50000}"/>
    <cellStyle name="Normal 4 4 2 2 4 2 2 2 4" xfId="45818" xr:uid="{00000000-0005-0000-0000-0000BAD50000}"/>
    <cellStyle name="Normal 4 4 2 2 4 2 2 3" xfId="13941" xr:uid="{00000000-0005-0000-0000-0000BBD50000}"/>
    <cellStyle name="Normal 4 4 2 2 4 2 2 3 2" xfId="27733" xr:uid="{00000000-0005-0000-0000-0000BCD50000}"/>
    <cellStyle name="Normal 4 4 2 2 4 2 2 3 2 2" xfId="59604" xr:uid="{00000000-0005-0000-0000-0000BDD50000}"/>
    <cellStyle name="Normal 4 4 2 2 4 2 2 3 3" xfId="45820" xr:uid="{00000000-0005-0000-0000-0000BED50000}"/>
    <cellStyle name="Normal 4 4 2 2 4 2 2 4" xfId="19855" xr:uid="{00000000-0005-0000-0000-0000BFD50000}"/>
    <cellStyle name="Normal 4 4 2 2 4 2 2 4 2" xfId="51726" xr:uid="{00000000-0005-0000-0000-0000C0D50000}"/>
    <cellStyle name="Normal 4 4 2 2 4 2 2 5" xfId="45817" xr:uid="{00000000-0005-0000-0000-0000C1D50000}"/>
    <cellStyle name="Normal 4 4 2 2 4 2 3" xfId="13942" xr:uid="{00000000-0005-0000-0000-0000C2D50000}"/>
    <cellStyle name="Normal 4 4 2 2 4 2 3 2" xfId="13943" xr:uid="{00000000-0005-0000-0000-0000C3D50000}"/>
    <cellStyle name="Normal 4 4 2 2 4 2 3 2 2" xfId="31671" xr:uid="{00000000-0005-0000-0000-0000C4D50000}"/>
    <cellStyle name="Normal 4 4 2 2 4 2 3 2 2 2" xfId="63542" xr:uid="{00000000-0005-0000-0000-0000C5D50000}"/>
    <cellStyle name="Normal 4 4 2 2 4 2 3 2 3" xfId="45822" xr:uid="{00000000-0005-0000-0000-0000C6D50000}"/>
    <cellStyle name="Normal 4 4 2 2 4 2 3 3" xfId="23793" xr:uid="{00000000-0005-0000-0000-0000C7D50000}"/>
    <cellStyle name="Normal 4 4 2 2 4 2 3 3 2" xfId="55664" xr:uid="{00000000-0005-0000-0000-0000C8D50000}"/>
    <cellStyle name="Normal 4 4 2 2 4 2 3 4" xfId="45821" xr:uid="{00000000-0005-0000-0000-0000C9D50000}"/>
    <cellStyle name="Normal 4 4 2 2 4 2 4" xfId="13944" xr:uid="{00000000-0005-0000-0000-0000CAD50000}"/>
    <cellStyle name="Normal 4 4 2 2 4 2 4 2" xfId="27732" xr:uid="{00000000-0005-0000-0000-0000CBD50000}"/>
    <cellStyle name="Normal 4 4 2 2 4 2 4 2 2" xfId="59603" xr:uid="{00000000-0005-0000-0000-0000CCD50000}"/>
    <cellStyle name="Normal 4 4 2 2 4 2 4 3" xfId="45823" xr:uid="{00000000-0005-0000-0000-0000CDD50000}"/>
    <cellStyle name="Normal 4 4 2 2 4 2 5" xfId="19854" xr:uid="{00000000-0005-0000-0000-0000CED50000}"/>
    <cellStyle name="Normal 4 4 2 2 4 2 5 2" xfId="51725" xr:uid="{00000000-0005-0000-0000-0000CFD50000}"/>
    <cellStyle name="Normal 4 4 2 2 4 2 6" xfId="45816" xr:uid="{00000000-0005-0000-0000-0000D0D50000}"/>
    <cellStyle name="Normal 4 4 2 2 4 3" xfId="13945" xr:uid="{00000000-0005-0000-0000-0000D1D50000}"/>
    <cellStyle name="Normal 4 4 2 2 4 3 2" xfId="13946" xr:uid="{00000000-0005-0000-0000-0000D2D50000}"/>
    <cellStyle name="Normal 4 4 2 2 4 3 2 2" xfId="13947" xr:uid="{00000000-0005-0000-0000-0000D3D50000}"/>
    <cellStyle name="Normal 4 4 2 2 4 3 2 2 2" xfId="31673" xr:uid="{00000000-0005-0000-0000-0000D4D50000}"/>
    <cellStyle name="Normal 4 4 2 2 4 3 2 2 2 2" xfId="63544" xr:uid="{00000000-0005-0000-0000-0000D5D50000}"/>
    <cellStyle name="Normal 4 4 2 2 4 3 2 2 3" xfId="45826" xr:uid="{00000000-0005-0000-0000-0000D6D50000}"/>
    <cellStyle name="Normal 4 4 2 2 4 3 2 3" xfId="23795" xr:uid="{00000000-0005-0000-0000-0000D7D50000}"/>
    <cellStyle name="Normal 4 4 2 2 4 3 2 3 2" xfId="55666" xr:uid="{00000000-0005-0000-0000-0000D8D50000}"/>
    <cellStyle name="Normal 4 4 2 2 4 3 2 4" xfId="45825" xr:uid="{00000000-0005-0000-0000-0000D9D50000}"/>
    <cellStyle name="Normal 4 4 2 2 4 3 3" xfId="13948" xr:uid="{00000000-0005-0000-0000-0000DAD50000}"/>
    <cellStyle name="Normal 4 4 2 2 4 3 3 2" xfId="27734" xr:uid="{00000000-0005-0000-0000-0000DBD50000}"/>
    <cellStyle name="Normal 4 4 2 2 4 3 3 2 2" xfId="59605" xr:uid="{00000000-0005-0000-0000-0000DCD50000}"/>
    <cellStyle name="Normal 4 4 2 2 4 3 3 3" xfId="45827" xr:uid="{00000000-0005-0000-0000-0000DDD50000}"/>
    <cellStyle name="Normal 4 4 2 2 4 3 4" xfId="19856" xr:uid="{00000000-0005-0000-0000-0000DED50000}"/>
    <cellStyle name="Normal 4 4 2 2 4 3 4 2" xfId="51727" xr:uid="{00000000-0005-0000-0000-0000DFD50000}"/>
    <cellStyle name="Normal 4 4 2 2 4 3 5" xfId="45824" xr:uid="{00000000-0005-0000-0000-0000E0D50000}"/>
    <cellStyle name="Normal 4 4 2 2 4 4" xfId="13949" xr:uid="{00000000-0005-0000-0000-0000E1D50000}"/>
    <cellStyle name="Normal 4 4 2 2 4 4 2" xfId="13950" xr:uid="{00000000-0005-0000-0000-0000E2D50000}"/>
    <cellStyle name="Normal 4 4 2 2 4 4 2 2" xfId="31670" xr:uid="{00000000-0005-0000-0000-0000E3D50000}"/>
    <cellStyle name="Normal 4 4 2 2 4 4 2 2 2" xfId="63541" xr:uid="{00000000-0005-0000-0000-0000E4D50000}"/>
    <cellStyle name="Normal 4 4 2 2 4 4 2 3" xfId="45829" xr:uid="{00000000-0005-0000-0000-0000E5D50000}"/>
    <cellStyle name="Normal 4 4 2 2 4 4 3" xfId="23792" xr:uid="{00000000-0005-0000-0000-0000E6D50000}"/>
    <cellStyle name="Normal 4 4 2 2 4 4 3 2" xfId="55663" xr:uid="{00000000-0005-0000-0000-0000E7D50000}"/>
    <cellStyle name="Normal 4 4 2 2 4 4 4" xfId="45828" xr:uid="{00000000-0005-0000-0000-0000E8D50000}"/>
    <cellStyle name="Normal 4 4 2 2 4 5" xfId="13951" xr:uid="{00000000-0005-0000-0000-0000E9D50000}"/>
    <cellStyle name="Normal 4 4 2 2 4 5 2" xfId="27731" xr:uid="{00000000-0005-0000-0000-0000EAD50000}"/>
    <cellStyle name="Normal 4 4 2 2 4 5 2 2" xfId="59602" xr:uid="{00000000-0005-0000-0000-0000EBD50000}"/>
    <cellStyle name="Normal 4 4 2 2 4 5 3" xfId="45830" xr:uid="{00000000-0005-0000-0000-0000ECD50000}"/>
    <cellStyle name="Normal 4 4 2 2 4 6" xfId="19853" xr:uid="{00000000-0005-0000-0000-0000EDD50000}"/>
    <cellStyle name="Normal 4 4 2 2 4 6 2" xfId="51724" xr:uid="{00000000-0005-0000-0000-0000EED50000}"/>
    <cellStyle name="Normal 4 4 2 2 4 7" xfId="45815" xr:uid="{00000000-0005-0000-0000-0000EFD50000}"/>
    <cellStyle name="Normal 4 4 2 2 5" xfId="13952" xr:uid="{00000000-0005-0000-0000-0000F0D50000}"/>
    <cellStyle name="Normal 4 4 2 2 5 2" xfId="13953" xr:uid="{00000000-0005-0000-0000-0000F1D50000}"/>
    <cellStyle name="Normal 4 4 2 2 5 2 2" xfId="13954" xr:uid="{00000000-0005-0000-0000-0000F2D50000}"/>
    <cellStyle name="Normal 4 4 2 2 5 2 2 2" xfId="13955" xr:uid="{00000000-0005-0000-0000-0000F3D50000}"/>
    <cellStyle name="Normal 4 4 2 2 5 2 2 2 2" xfId="31675" xr:uid="{00000000-0005-0000-0000-0000F4D50000}"/>
    <cellStyle name="Normal 4 4 2 2 5 2 2 2 2 2" xfId="63546" xr:uid="{00000000-0005-0000-0000-0000F5D50000}"/>
    <cellStyle name="Normal 4 4 2 2 5 2 2 2 3" xfId="45834" xr:uid="{00000000-0005-0000-0000-0000F6D50000}"/>
    <cellStyle name="Normal 4 4 2 2 5 2 2 3" xfId="23797" xr:uid="{00000000-0005-0000-0000-0000F7D50000}"/>
    <cellStyle name="Normal 4 4 2 2 5 2 2 3 2" xfId="55668" xr:uid="{00000000-0005-0000-0000-0000F8D50000}"/>
    <cellStyle name="Normal 4 4 2 2 5 2 2 4" xfId="45833" xr:uid="{00000000-0005-0000-0000-0000F9D50000}"/>
    <cellStyle name="Normal 4 4 2 2 5 2 3" xfId="13956" xr:uid="{00000000-0005-0000-0000-0000FAD50000}"/>
    <cellStyle name="Normal 4 4 2 2 5 2 3 2" xfId="27736" xr:uid="{00000000-0005-0000-0000-0000FBD50000}"/>
    <cellStyle name="Normal 4 4 2 2 5 2 3 2 2" xfId="59607" xr:uid="{00000000-0005-0000-0000-0000FCD50000}"/>
    <cellStyle name="Normal 4 4 2 2 5 2 3 3" xfId="45835" xr:uid="{00000000-0005-0000-0000-0000FDD50000}"/>
    <cellStyle name="Normal 4 4 2 2 5 2 4" xfId="19858" xr:uid="{00000000-0005-0000-0000-0000FED50000}"/>
    <cellStyle name="Normal 4 4 2 2 5 2 4 2" xfId="51729" xr:uid="{00000000-0005-0000-0000-0000FFD50000}"/>
    <cellStyle name="Normal 4 4 2 2 5 2 5" xfId="45832" xr:uid="{00000000-0005-0000-0000-000000D60000}"/>
    <cellStyle name="Normal 4 4 2 2 5 3" xfId="13957" xr:uid="{00000000-0005-0000-0000-000001D60000}"/>
    <cellStyle name="Normal 4 4 2 2 5 3 2" xfId="13958" xr:uid="{00000000-0005-0000-0000-000002D60000}"/>
    <cellStyle name="Normal 4 4 2 2 5 3 2 2" xfId="31674" xr:uid="{00000000-0005-0000-0000-000003D60000}"/>
    <cellStyle name="Normal 4 4 2 2 5 3 2 2 2" xfId="63545" xr:uid="{00000000-0005-0000-0000-000004D60000}"/>
    <cellStyle name="Normal 4 4 2 2 5 3 2 3" xfId="45837" xr:uid="{00000000-0005-0000-0000-000005D60000}"/>
    <cellStyle name="Normal 4 4 2 2 5 3 3" xfId="23796" xr:uid="{00000000-0005-0000-0000-000006D60000}"/>
    <cellStyle name="Normal 4 4 2 2 5 3 3 2" xfId="55667" xr:uid="{00000000-0005-0000-0000-000007D60000}"/>
    <cellStyle name="Normal 4 4 2 2 5 3 4" xfId="45836" xr:uid="{00000000-0005-0000-0000-000008D60000}"/>
    <cellStyle name="Normal 4 4 2 2 5 4" xfId="13959" xr:uid="{00000000-0005-0000-0000-000009D60000}"/>
    <cellStyle name="Normal 4 4 2 2 5 4 2" xfId="27735" xr:uid="{00000000-0005-0000-0000-00000AD60000}"/>
    <cellStyle name="Normal 4 4 2 2 5 4 2 2" xfId="59606" xr:uid="{00000000-0005-0000-0000-00000BD60000}"/>
    <cellStyle name="Normal 4 4 2 2 5 4 3" xfId="45838" xr:uid="{00000000-0005-0000-0000-00000CD60000}"/>
    <cellStyle name="Normal 4 4 2 2 5 5" xfId="19857" xr:uid="{00000000-0005-0000-0000-00000DD60000}"/>
    <cellStyle name="Normal 4 4 2 2 5 5 2" xfId="51728" xr:uid="{00000000-0005-0000-0000-00000ED60000}"/>
    <cellStyle name="Normal 4 4 2 2 5 6" xfId="45831" xr:uid="{00000000-0005-0000-0000-00000FD60000}"/>
    <cellStyle name="Normal 4 4 2 2 6" xfId="13960" xr:uid="{00000000-0005-0000-0000-000010D60000}"/>
    <cellStyle name="Normal 4 4 2 2 6 2" xfId="13961" xr:uid="{00000000-0005-0000-0000-000011D60000}"/>
    <cellStyle name="Normal 4 4 2 2 6 2 2" xfId="13962" xr:uid="{00000000-0005-0000-0000-000012D60000}"/>
    <cellStyle name="Normal 4 4 2 2 6 2 2 2" xfId="31676" xr:uid="{00000000-0005-0000-0000-000013D60000}"/>
    <cellStyle name="Normal 4 4 2 2 6 2 2 2 2" xfId="63547" xr:uid="{00000000-0005-0000-0000-000014D60000}"/>
    <cellStyle name="Normal 4 4 2 2 6 2 2 3" xfId="45841" xr:uid="{00000000-0005-0000-0000-000015D60000}"/>
    <cellStyle name="Normal 4 4 2 2 6 2 3" xfId="23798" xr:uid="{00000000-0005-0000-0000-000016D60000}"/>
    <cellStyle name="Normal 4 4 2 2 6 2 3 2" xfId="55669" xr:uid="{00000000-0005-0000-0000-000017D60000}"/>
    <cellStyle name="Normal 4 4 2 2 6 2 4" xfId="45840" xr:uid="{00000000-0005-0000-0000-000018D60000}"/>
    <cellStyle name="Normal 4 4 2 2 6 3" xfId="13963" xr:uid="{00000000-0005-0000-0000-000019D60000}"/>
    <cellStyle name="Normal 4 4 2 2 6 3 2" xfId="27737" xr:uid="{00000000-0005-0000-0000-00001AD60000}"/>
    <cellStyle name="Normal 4 4 2 2 6 3 2 2" xfId="59608" xr:uid="{00000000-0005-0000-0000-00001BD60000}"/>
    <cellStyle name="Normal 4 4 2 2 6 3 3" xfId="45842" xr:uid="{00000000-0005-0000-0000-00001CD60000}"/>
    <cellStyle name="Normal 4 4 2 2 6 4" xfId="19859" xr:uid="{00000000-0005-0000-0000-00001DD60000}"/>
    <cellStyle name="Normal 4 4 2 2 6 4 2" xfId="51730" xr:uid="{00000000-0005-0000-0000-00001ED60000}"/>
    <cellStyle name="Normal 4 4 2 2 6 5" xfId="45839" xr:uid="{00000000-0005-0000-0000-00001FD60000}"/>
    <cellStyle name="Normal 4 4 2 2 7" xfId="13964" xr:uid="{00000000-0005-0000-0000-000020D60000}"/>
    <cellStyle name="Normal 4 4 2 2 7 2" xfId="13965" xr:uid="{00000000-0005-0000-0000-000021D60000}"/>
    <cellStyle name="Normal 4 4 2 2 7 2 2" xfId="28326" xr:uid="{00000000-0005-0000-0000-000022D60000}"/>
    <cellStyle name="Normal 4 4 2 2 7 2 2 2" xfId="60197" xr:uid="{00000000-0005-0000-0000-000023D60000}"/>
    <cellStyle name="Normal 4 4 2 2 7 2 3" xfId="45844" xr:uid="{00000000-0005-0000-0000-000024D60000}"/>
    <cellStyle name="Normal 4 4 2 2 7 3" xfId="20448" xr:uid="{00000000-0005-0000-0000-000025D60000}"/>
    <cellStyle name="Normal 4 4 2 2 7 3 2" xfId="52319" xr:uid="{00000000-0005-0000-0000-000026D60000}"/>
    <cellStyle name="Normal 4 4 2 2 7 4" xfId="45843" xr:uid="{00000000-0005-0000-0000-000027D60000}"/>
    <cellStyle name="Normal 4 4 2 2 8" xfId="13966" xr:uid="{00000000-0005-0000-0000-000028D60000}"/>
    <cellStyle name="Normal 4 4 2 2 8 2" xfId="24387" xr:uid="{00000000-0005-0000-0000-000029D60000}"/>
    <cellStyle name="Normal 4 4 2 2 8 2 2" xfId="56258" xr:uid="{00000000-0005-0000-0000-00002AD60000}"/>
    <cellStyle name="Normal 4 4 2 2 8 3" xfId="45845" xr:uid="{00000000-0005-0000-0000-00002BD60000}"/>
    <cellStyle name="Normal 4 4 2 2 9" xfId="16509" xr:uid="{00000000-0005-0000-0000-00002CD60000}"/>
    <cellStyle name="Normal 4 4 2 2 9 2" xfId="48380" xr:uid="{00000000-0005-0000-0000-00002DD60000}"/>
    <cellStyle name="Normal 4 4 2 3" xfId="13967" xr:uid="{00000000-0005-0000-0000-00002ED60000}"/>
    <cellStyle name="Normal 4 4 2 3 10" xfId="45846" xr:uid="{00000000-0005-0000-0000-00002FD60000}"/>
    <cellStyle name="Normal 4 4 2 3 2" xfId="13968" xr:uid="{00000000-0005-0000-0000-000030D60000}"/>
    <cellStyle name="Normal 4 4 2 3 2 2" xfId="13969" xr:uid="{00000000-0005-0000-0000-000031D60000}"/>
    <cellStyle name="Normal 4 4 2 3 2 2 2" xfId="13970" xr:uid="{00000000-0005-0000-0000-000032D60000}"/>
    <cellStyle name="Normal 4 4 2 3 2 2 2 2" xfId="13971" xr:uid="{00000000-0005-0000-0000-000033D60000}"/>
    <cellStyle name="Normal 4 4 2 3 2 2 2 2 2" xfId="13972" xr:uid="{00000000-0005-0000-0000-000034D60000}"/>
    <cellStyle name="Normal 4 4 2 3 2 2 2 2 2 2" xfId="13973" xr:uid="{00000000-0005-0000-0000-000035D60000}"/>
    <cellStyle name="Normal 4 4 2 3 2 2 2 2 2 2 2" xfId="13974" xr:uid="{00000000-0005-0000-0000-000036D60000}"/>
    <cellStyle name="Normal 4 4 2 3 2 2 2 2 2 2 2 2" xfId="31680" xr:uid="{00000000-0005-0000-0000-000037D60000}"/>
    <cellStyle name="Normal 4 4 2 3 2 2 2 2 2 2 2 2 2" xfId="63551" xr:uid="{00000000-0005-0000-0000-000038D60000}"/>
    <cellStyle name="Normal 4 4 2 3 2 2 2 2 2 2 2 3" xfId="45853" xr:uid="{00000000-0005-0000-0000-000039D60000}"/>
    <cellStyle name="Normal 4 4 2 3 2 2 2 2 2 2 3" xfId="23802" xr:uid="{00000000-0005-0000-0000-00003AD60000}"/>
    <cellStyle name="Normal 4 4 2 3 2 2 2 2 2 2 3 2" xfId="55673" xr:uid="{00000000-0005-0000-0000-00003BD60000}"/>
    <cellStyle name="Normal 4 4 2 3 2 2 2 2 2 2 4" xfId="45852" xr:uid="{00000000-0005-0000-0000-00003CD60000}"/>
    <cellStyle name="Normal 4 4 2 3 2 2 2 2 2 3" xfId="13975" xr:uid="{00000000-0005-0000-0000-00003DD60000}"/>
    <cellStyle name="Normal 4 4 2 3 2 2 2 2 2 3 2" xfId="27741" xr:uid="{00000000-0005-0000-0000-00003ED60000}"/>
    <cellStyle name="Normal 4 4 2 3 2 2 2 2 2 3 2 2" xfId="59612" xr:uid="{00000000-0005-0000-0000-00003FD60000}"/>
    <cellStyle name="Normal 4 4 2 3 2 2 2 2 2 3 3" xfId="45854" xr:uid="{00000000-0005-0000-0000-000040D60000}"/>
    <cellStyle name="Normal 4 4 2 3 2 2 2 2 2 4" xfId="19863" xr:uid="{00000000-0005-0000-0000-000041D60000}"/>
    <cellStyle name="Normal 4 4 2 3 2 2 2 2 2 4 2" xfId="51734" xr:uid="{00000000-0005-0000-0000-000042D60000}"/>
    <cellStyle name="Normal 4 4 2 3 2 2 2 2 2 5" xfId="45851" xr:uid="{00000000-0005-0000-0000-000043D60000}"/>
    <cellStyle name="Normal 4 4 2 3 2 2 2 2 3" xfId="13976" xr:uid="{00000000-0005-0000-0000-000044D60000}"/>
    <cellStyle name="Normal 4 4 2 3 2 2 2 2 3 2" xfId="13977" xr:uid="{00000000-0005-0000-0000-000045D60000}"/>
    <cellStyle name="Normal 4 4 2 3 2 2 2 2 3 2 2" xfId="31679" xr:uid="{00000000-0005-0000-0000-000046D60000}"/>
    <cellStyle name="Normal 4 4 2 3 2 2 2 2 3 2 2 2" xfId="63550" xr:uid="{00000000-0005-0000-0000-000047D60000}"/>
    <cellStyle name="Normal 4 4 2 3 2 2 2 2 3 2 3" xfId="45856" xr:uid="{00000000-0005-0000-0000-000048D60000}"/>
    <cellStyle name="Normal 4 4 2 3 2 2 2 2 3 3" xfId="23801" xr:uid="{00000000-0005-0000-0000-000049D60000}"/>
    <cellStyle name="Normal 4 4 2 3 2 2 2 2 3 3 2" xfId="55672" xr:uid="{00000000-0005-0000-0000-00004AD60000}"/>
    <cellStyle name="Normal 4 4 2 3 2 2 2 2 3 4" xfId="45855" xr:uid="{00000000-0005-0000-0000-00004BD60000}"/>
    <cellStyle name="Normal 4 4 2 3 2 2 2 2 4" xfId="13978" xr:uid="{00000000-0005-0000-0000-00004CD60000}"/>
    <cellStyle name="Normal 4 4 2 3 2 2 2 2 4 2" xfId="27740" xr:uid="{00000000-0005-0000-0000-00004DD60000}"/>
    <cellStyle name="Normal 4 4 2 3 2 2 2 2 4 2 2" xfId="59611" xr:uid="{00000000-0005-0000-0000-00004ED60000}"/>
    <cellStyle name="Normal 4 4 2 3 2 2 2 2 4 3" xfId="45857" xr:uid="{00000000-0005-0000-0000-00004FD60000}"/>
    <cellStyle name="Normal 4 4 2 3 2 2 2 2 5" xfId="19862" xr:uid="{00000000-0005-0000-0000-000050D60000}"/>
    <cellStyle name="Normal 4 4 2 3 2 2 2 2 5 2" xfId="51733" xr:uid="{00000000-0005-0000-0000-000051D60000}"/>
    <cellStyle name="Normal 4 4 2 3 2 2 2 2 6" xfId="45850" xr:uid="{00000000-0005-0000-0000-000052D60000}"/>
    <cellStyle name="Normal 4 4 2 3 2 2 2 3" xfId="13979" xr:uid="{00000000-0005-0000-0000-000053D60000}"/>
    <cellStyle name="Normal 4 4 2 3 2 2 2 3 2" xfId="13980" xr:uid="{00000000-0005-0000-0000-000054D60000}"/>
    <cellStyle name="Normal 4 4 2 3 2 2 2 3 2 2" xfId="13981" xr:uid="{00000000-0005-0000-0000-000055D60000}"/>
    <cellStyle name="Normal 4 4 2 3 2 2 2 3 2 2 2" xfId="31681" xr:uid="{00000000-0005-0000-0000-000056D60000}"/>
    <cellStyle name="Normal 4 4 2 3 2 2 2 3 2 2 2 2" xfId="63552" xr:uid="{00000000-0005-0000-0000-000057D60000}"/>
    <cellStyle name="Normal 4 4 2 3 2 2 2 3 2 2 3" xfId="45860" xr:uid="{00000000-0005-0000-0000-000058D60000}"/>
    <cellStyle name="Normal 4 4 2 3 2 2 2 3 2 3" xfId="23803" xr:uid="{00000000-0005-0000-0000-000059D60000}"/>
    <cellStyle name="Normal 4 4 2 3 2 2 2 3 2 3 2" xfId="55674" xr:uid="{00000000-0005-0000-0000-00005AD60000}"/>
    <cellStyle name="Normal 4 4 2 3 2 2 2 3 2 4" xfId="45859" xr:uid="{00000000-0005-0000-0000-00005BD60000}"/>
    <cellStyle name="Normal 4 4 2 3 2 2 2 3 3" xfId="13982" xr:uid="{00000000-0005-0000-0000-00005CD60000}"/>
    <cellStyle name="Normal 4 4 2 3 2 2 2 3 3 2" xfId="27742" xr:uid="{00000000-0005-0000-0000-00005DD60000}"/>
    <cellStyle name="Normal 4 4 2 3 2 2 2 3 3 2 2" xfId="59613" xr:uid="{00000000-0005-0000-0000-00005ED60000}"/>
    <cellStyle name="Normal 4 4 2 3 2 2 2 3 3 3" xfId="45861" xr:uid="{00000000-0005-0000-0000-00005FD60000}"/>
    <cellStyle name="Normal 4 4 2 3 2 2 2 3 4" xfId="19864" xr:uid="{00000000-0005-0000-0000-000060D60000}"/>
    <cellStyle name="Normal 4 4 2 3 2 2 2 3 4 2" xfId="51735" xr:uid="{00000000-0005-0000-0000-000061D60000}"/>
    <cellStyle name="Normal 4 4 2 3 2 2 2 3 5" xfId="45858" xr:uid="{00000000-0005-0000-0000-000062D60000}"/>
    <cellStyle name="Normal 4 4 2 3 2 2 2 4" xfId="13983" xr:uid="{00000000-0005-0000-0000-000063D60000}"/>
    <cellStyle name="Normal 4 4 2 3 2 2 2 4 2" xfId="13984" xr:uid="{00000000-0005-0000-0000-000064D60000}"/>
    <cellStyle name="Normal 4 4 2 3 2 2 2 4 2 2" xfId="31678" xr:uid="{00000000-0005-0000-0000-000065D60000}"/>
    <cellStyle name="Normal 4 4 2 3 2 2 2 4 2 2 2" xfId="63549" xr:uid="{00000000-0005-0000-0000-000066D60000}"/>
    <cellStyle name="Normal 4 4 2 3 2 2 2 4 2 3" xfId="45863" xr:uid="{00000000-0005-0000-0000-000067D60000}"/>
    <cellStyle name="Normal 4 4 2 3 2 2 2 4 3" xfId="23800" xr:uid="{00000000-0005-0000-0000-000068D60000}"/>
    <cellStyle name="Normal 4 4 2 3 2 2 2 4 3 2" xfId="55671" xr:uid="{00000000-0005-0000-0000-000069D60000}"/>
    <cellStyle name="Normal 4 4 2 3 2 2 2 4 4" xfId="45862" xr:uid="{00000000-0005-0000-0000-00006AD60000}"/>
    <cellStyle name="Normal 4 4 2 3 2 2 2 5" xfId="13985" xr:uid="{00000000-0005-0000-0000-00006BD60000}"/>
    <cellStyle name="Normal 4 4 2 3 2 2 2 5 2" xfId="27739" xr:uid="{00000000-0005-0000-0000-00006CD60000}"/>
    <cellStyle name="Normal 4 4 2 3 2 2 2 5 2 2" xfId="59610" xr:uid="{00000000-0005-0000-0000-00006DD60000}"/>
    <cellStyle name="Normal 4 4 2 3 2 2 2 5 3" xfId="45864" xr:uid="{00000000-0005-0000-0000-00006ED60000}"/>
    <cellStyle name="Normal 4 4 2 3 2 2 2 6" xfId="19861" xr:uid="{00000000-0005-0000-0000-00006FD60000}"/>
    <cellStyle name="Normal 4 4 2 3 2 2 2 6 2" xfId="51732" xr:uid="{00000000-0005-0000-0000-000070D60000}"/>
    <cellStyle name="Normal 4 4 2 3 2 2 2 7" xfId="45849" xr:uid="{00000000-0005-0000-0000-000071D60000}"/>
    <cellStyle name="Normal 4 4 2 3 2 2 3" xfId="13986" xr:uid="{00000000-0005-0000-0000-000072D60000}"/>
    <cellStyle name="Normal 4 4 2 3 2 2 3 2" xfId="13987" xr:uid="{00000000-0005-0000-0000-000073D60000}"/>
    <cellStyle name="Normal 4 4 2 3 2 2 3 2 2" xfId="13988" xr:uid="{00000000-0005-0000-0000-000074D60000}"/>
    <cellStyle name="Normal 4 4 2 3 2 2 3 2 2 2" xfId="13989" xr:uid="{00000000-0005-0000-0000-000075D60000}"/>
    <cellStyle name="Normal 4 4 2 3 2 2 3 2 2 2 2" xfId="31683" xr:uid="{00000000-0005-0000-0000-000076D60000}"/>
    <cellStyle name="Normal 4 4 2 3 2 2 3 2 2 2 2 2" xfId="63554" xr:uid="{00000000-0005-0000-0000-000077D60000}"/>
    <cellStyle name="Normal 4 4 2 3 2 2 3 2 2 2 3" xfId="45868" xr:uid="{00000000-0005-0000-0000-000078D60000}"/>
    <cellStyle name="Normal 4 4 2 3 2 2 3 2 2 3" xfId="23805" xr:uid="{00000000-0005-0000-0000-000079D60000}"/>
    <cellStyle name="Normal 4 4 2 3 2 2 3 2 2 3 2" xfId="55676" xr:uid="{00000000-0005-0000-0000-00007AD60000}"/>
    <cellStyle name="Normal 4 4 2 3 2 2 3 2 2 4" xfId="45867" xr:uid="{00000000-0005-0000-0000-00007BD60000}"/>
    <cellStyle name="Normal 4 4 2 3 2 2 3 2 3" xfId="13990" xr:uid="{00000000-0005-0000-0000-00007CD60000}"/>
    <cellStyle name="Normal 4 4 2 3 2 2 3 2 3 2" xfId="27744" xr:uid="{00000000-0005-0000-0000-00007DD60000}"/>
    <cellStyle name="Normal 4 4 2 3 2 2 3 2 3 2 2" xfId="59615" xr:uid="{00000000-0005-0000-0000-00007ED60000}"/>
    <cellStyle name="Normal 4 4 2 3 2 2 3 2 3 3" xfId="45869" xr:uid="{00000000-0005-0000-0000-00007FD60000}"/>
    <cellStyle name="Normal 4 4 2 3 2 2 3 2 4" xfId="19866" xr:uid="{00000000-0005-0000-0000-000080D60000}"/>
    <cellStyle name="Normal 4 4 2 3 2 2 3 2 4 2" xfId="51737" xr:uid="{00000000-0005-0000-0000-000081D60000}"/>
    <cellStyle name="Normal 4 4 2 3 2 2 3 2 5" xfId="45866" xr:uid="{00000000-0005-0000-0000-000082D60000}"/>
    <cellStyle name="Normal 4 4 2 3 2 2 3 3" xfId="13991" xr:uid="{00000000-0005-0000-0000-000083D60000}"/>
    <cellStyle name="Normal 4 4 2 3 2 2 3 3 2" xfId="13992" xr:uid="{00000000-0005-0000-0000-000084D60000}"/>
    <cellStyle name="Normal 4 4 2 3 2 2 3 3 2 2" xfId="31682" xr:uid="{00000000-0005-0000-0000-000085D60000}"/>
    <cellStyle name="Normal 4 4 2 3 2 2 3 3 2 2 2" xfId="63553" xr:uid="{00000000-0005-0000-0000-000086D60000}"/>
    <cellStyle name="Normal 4 4 2 3 2 2 3 3 2 3" xfId="45871" xr:uid="{00000000-0005-0000-0000-000087D60000}"/>
    <cellStyle name="Normal 4 4 2 3 2 2 3 3 3" xfId="23804" xr:uid="{00000000-0005-0000-0000-000088D60000}"/>
    <cellStyle name="Normal 4 4 2 3 2 2 3 3 3 2" xfId="55675" xr:uid="{00000000-0005-0000-0000-000089D60000}"/>
    <cellStyle name="Normal 4 4 2 3 2 2 3 3 4" xfId="45870" xr:uid="{00000000-0005-0000-0000-00008AD60000}"/>
    <cellStyle name="Normal 4 4 2 3 2 2 3 4" xfId="13993" xr:uid="{00000000-0005-0000-0000-00008BD60000}"/>
    <cellStyle name="Normal 4 4 2 3 2 2 3 4 2" xfId="27743" xr:uid="{00000000-0005-0000-0000-00008CD60000}"/>
    <cellStyle name="Normal 4 4 2 3 2 2 3 4 2 2" xfId="59614" xr:uid="{00000000-0005-0000-0000-00008DD60000}"/>
    <cellStyle name="Normal 4 4 2 3 2 2 3 4 3" xfId="45872" xr:uid="{00000000-0005-0000-0000-00008ED60000}"/>
    <cellStyle name="Normal 4 4 2 3 2 2 3 5" xfId="19865" xr:uid="{00000000-0005-0000-0000-00008FD60000}"/>
    <cellStyle name="Normal 4 4 2 3 2 2 3 5 2" xfId="51736" xr:uid="{00000000-0005-0000-0000-000090D60000}"/>
    <cellStyle name="Normal 4 4 2 3 2 2 3 6" xfId="45865" xr:uid="{00000000-0005-0000-0000-000091D60000}"/>
    <cellStyle name="Normal 4 4 2 3 2 2 4" xfId="13994" xr:uid="{00000000-0005-0000-0000-000092D60000}"/>
    <cellStyle name="Normal 4 4 2 3 2 2 4 2" xfId="13995" xr:uid="{00000000-0005-0000-0000-000093D60000}"/>
    <cellStyle name="Normal 4 4 2 3 2 2 4 2 2" xfId="13996" xr:uid="{00000000-0005-0000-0000-000094D60000}"/>
    <cellStyle name="Normal 4 4 2 3 2 2 4 2 2 2" xfId="31684" xr:uid="{00000000-0005-0000-0000-000095D60000}"/>
    <cellStyle name="Normal 4 4 2 3 2 2 4 2 2 2 2" xfId="63555" xr:uid="{00000000-0005-0000-0000-000096D60000}"/>
    <cellStyle name="Normal 4 4 2 3 2 2 4 2 2 3" xfId="45875" xr:uid="{00000000-0005-0000-0000-000097D60000}"/>
    <cellStyle name="Normal 4 4 2 3 2 2 4 2 3" xfId="23806" xr:uid="{00000000-0005-0000-0000-000098D60000}"/>
    <cellStyle name="Normal 4 4 2 3 2 2 4 2 3 2" xfId="55677" xr:uid="{00000000-0005-0000-0000-000099D60000}"/>
    <cellStyle name="Normal 4 4 2 3 2 2 4 2 4" xfId="45874" xr:uid="{00000000-0005-0000-0000-00009AD60000}"/>
    <cellStyle name="Normal 4 4 2 3 2 2 4 3" xfId="13997" xr:uid="{00000000-0005-0000-0000-00009BD60000}"/>
    <cellStyle name="Normal 4 4 2 3 2 2 4 3 2" xfId="27745" xr:uid="{00000000-0005-0000-0000-00009CD60000}"/>
    <cellStyle name="Normal 4 4 2 3 2 2 4 3 2 2" xfId="59616" xr:uid="{00000000-0005-0000-0000-00009DD60000}"/>
    <cellStyle name="Normal 4 4 2 3 2 2 4 3 3" xfId="45876" xr:uid="{00000000-0005-0000-0000-00009ED60000}"/>
    <cellStyle name="Normal 4 4 2 3 2 2 4 4" xfId="19867" xr:uid="{00000000-0005-0000-0000-00009FD60000}"/>
    <cellStyle name="Normal 4 4 2 3 2 2 4 4 2" xfId="51738" xr:uid="{00000000-0005-0000-0000-0000A0D60000}"/>
    <cellStyle name="Normal 4 4 2 3 2 2 4 5" xfId="45873" xr:uid="{00000000-0005-0000-0000-0000A1D60000}"/>
    <cellStyle name="Normal 4 4 2 3 2 2 5" xfId="13998" xr:uid="{00000000-0005-0000-0000-0000A2D60000}"/>
    <cellStyle name="Normal 4 4 2 3 2 2 5 2" xfId="13999" xr:uid="{00000000-0005-0000-0000-0000A3D60000}"/>
    <cellStyle name="Normal 4 4 2 3 2 2 5 2 2" xfId="31677" xr:uid="{00000000-0005-0000-0000-0000A4D60000}"/>
    <cellStyle name="Normal 4 4 2 3 2 2 5 2 2 2" xfId="63548" xr:uid="{00000000-0005-0000-0000-0000A5D60000}"/>
    <cellStyle name="Normal 4 4 2 3 2 2 5 2 3" xfId="45878" xr:uid="{00000000-0005-0000-0000-0000A6D60000}"/>
    <cellStyle name="Normal 4 4 2 3 2 2 5 3" xfId="23799" xr:uid="{00000000-0005-0000-0000-0000A7D60000}"/>
    <cellStyle name="Normal 4 4 2 3 2 2 5 3 2" xfId="55670" xr:uid="{00000000-0005-0000-0000-0000A8D60000}"/>
    <cellStyle name="Normal 4 4 2 3 2 2 5 4" xfId="45877" xr:uid="{00000000-0005-0000-0000-0000A9D60000}"/>
    <cellStyle name="Normal 4 4 2 3 2 2 6" xfId="14000" xr:uid="{00000000-0005-0000-0000-0000AAD60000}"/>
    <cellStyle name="Normal 4 4 2 3 2 2 6 2" xfId="27738" xr:uid="{00000000-0005-0000-0000-0000ABD60000}"/>
    <cellStyle name="Normal 4 4 2 3 2 2 6 2 2" xfId="59609" xr:uid="{00000000-0005-0000-0000-0000ACD60000}"/>
    <cellStyle name="Normal 4 4 2 3 2 2 6 3" xfId="45879" xr:uid="{00000000-0005-0000-0000-0000ADD60000}"/>
    <cellStyle name="Normal 4 4 2 3 2 2 7" xfId="19860" xr:uid="{00000000-0005-0000-0000-0000AED60000}"/>
    <cellStyle name="Normal 4 4 2 3 2 2 7 2" xfId="51731" xr:uid="{00000000-0005-0000-0000-0000AFD60000}"/>
    <cellStyle name="Normal 4 4 2 3 2 2 8" xfId="45848" xr:uid="{00000000-0005-0000-0000-0000B0D60000}"/>
    <cellStyle name="Normal 4 4 2 3 2 3" xfId="14001" xr:uid="{00000000-0005-0000-0000-0000B1D60000}"/>
    <cellStyle name="Normal 4 4 2 3 2 3 2" xfId="14002" xr:uid="{00000000-0005-0000-0000-0000B2D60000}"/>
    <cellStyle name="Normal 4 4 2 3 2 3 2 2" xfId="14003" xr:uid="{00000000-0005-0000-0000-0000B3D60000}"/>
    <cellStyle name="Normal 4 4 2 3 2 3 2 2 2" xfId="14004" xr:uid="{00000000-0005-0000-0000-0000B4D60000}"/>
    <cellStyle name="Normal 4 4 2 3 2 3 2 2 2 2" xfId="14005" xr:uid="{00000000-0005-0000-0000-0000B5D60000}"/>
    <cellStyle name="Normal 4 4 2 3 2 3 2 2 2 2 2" xfId="31687" xr:uid="{00000000-0005-0000-0000-0000B6D60000}"/>
    <cellStyle name="Normal 4 4 2 3 2 3 2 2 2 2 2 2" xfId="63558" xr:uid="{00000000-0005-0000-0000-0000B7D60000}"/>
    <cellStyle name="Normal 4 4 2 3 2 3 2 2 2 2 3" xfId="45884" xr:uid="{00000000-0005-0000-0000-0000B8D60000}"/>
    <cellStyle name="Normal 4 4 2 3 2 3 2 2 2 3" xfId="23809" xr:uid="{00000000-0005-0000-0000-0000B9D60000}"/>
    <cellStyle name="Normal 4 4 2 3 2 3 2 2 2 3 2" xfId="55680" xr:uid="{00000000-0005-0000-0000-0000BAD60000}"/>
    <cellStyle name="Normal 4 4 2 3 2 3 2 2 2 4" xfId="45883" xr:uid="{00000000-0005-0000-0000-0000BBD60000}"/>
    <cellStyle name="Normal 4 4 2 3 2 3 2 2 3" xfId="14006" xr:uid="{00000000-0005-0000-0000-0000BCD60000}"/>
    <cellStyle name="Normal 4 4 2 3 2 3 2 2 3 2" xfId="27748" xr:uid="{00000000-0005-0000-0000-0000BDD60000}"/>
    <cellStyle name="Normal 4 4 2 3 2 3 2 2 3 2 2" xfId="59619" xr:uid="{00000000-0005-0000-0000-0000BED60000}"/>
    <cellStyle name="Normal 4 4 2 3 2 3 2 2 3 3" xfId="45885" xr:uid="{00000000-0005-0000-0000-0000BFD60000}"/>
    <cellStyle name="Normal 4 4 2 3 2 3 2 2 4" xfId="19870" xr:uid="{00000000-0005-0000-0000-0000C0D60000}"/>
    <cellStyle name="Normal 4 4 2 3 2 3 2 2 4 2" xfId="51741" xr:uid="{00000000-0005-0000-0000-0000C1D60000}"/>
    <cellStyle name="Normal 4 4 2 3 2 3 2 2 5" xfId="45882" xr:uid="{00000000-0005-0000-0000-0000C2D60000}"/>
    <cellStyle name="Normal 4 4 2 3 2 3 2 3" xfId="14007" xr:uid="{00000000-0005-0000-0000-0000C3D60000}"/>
    <cellStyle name="Normal 4 4 2 3 2 3 2 3 2" xfId="14008" xr:uid="{00000000-0005-0000-0000-0000C4D60000}"/>
    <cellStyle name="Normal 4 4 2 3 2 3 2 3 2 2" xfId="31686" xr:uid="{00000000-0005-0000-0000-0000C5D60000}"/>
    <cellStyle name="Normal 4 4 2 3 2 3 2 3 2 2 2" xfId="63557" xr:uid="{00000000-0005-0000-0000-0000C6D60000}"/>
    <cellStyle name="Normal 4 4 2 3 2 3 2 3 2 3" xfId="45887" xr:uid="{00000000-0005-0000-0000-0000C7D60000}"/>
    <cellStyle name="Normal 4 4 2 3 2 3 2 3 3" xfId="23808" xr:uid="{00000000-0005-0000-0000-0000C8D60000}"/>
    <cellStyle name="Normal 4 4 2 3 2 3 2 3 3 2" xfId="55679" xr:uid="{00000000-0005-0000-0000-0000C9D60000}"/>
    <cellStyle name="Normal 4 4 2 3 2 3 2 3 4" xfId="45886" xr:uid="{00000000-0005-0000-0000-0000CAD60000}"/>
    <cellStyle name="Normal 4 4 2 3 2 3 2 4" xfId="14009" xr:uid="{00000000-0005-0000-0000-0000CBD60000}"/>
    <cellStyle name="Normal 4 4 2 3 2 3 2 4 2" xfId="27747" xr:uid="{00000000-0005-0000-0000-0000CCD60000}"/>
    <cellStyle name="Normal 4 4 2 3 2 3 2 4 2 2" xfId="59618" xr:uid="{00000000-0005-0000-0000-0000CDD60000}"/>
    <cellStyle name="Normal 4 4 2 3 2 3 2 4 3" xfId="45888" xr:uid="{00000000-0005-0000-0000-0000CED60000}"/>
    <cellStyle name="Normal 4 4 2 3 2 3 2 5" xfId="19869" xr:uid="{00000000-0005-0000-0000-0000CFD60000}"/>
    <cellStyle name="Normal 4 4 2 3 2 3 2 5 2" xfId="51740" xr:uid="{00000000-0005-0000-0000-0000D0D60000}"/>
    <cellStyle name="Normal 4 4 2 3 2 3 2 6" xfId="45881" xr:uid="{00000000-0005-0000-0000-0000D1D60000}"/>
    <cellStyle name="Normal 4 4 2 3 2 3 3" xfId="14010" xr:uid="{00000000-0005-0000-0000-0000D2D60000}"/>
    <cellStyle name="Normal 4 4 2 3 2 3 3 2" xfId="14011" xr:uid="{00000000-0005-0000-0000-0000D3D60000}"/>
    <cellStyle name="Normal 4 4 2 3 2 3 3 2 2" xfId="14012" xr:uid="{00000000-0005-0000-0000-0000D4D60000}"/>
    <cellStyle name="Normal 4 4 2 3 2 3 3 2 2 2" xfId="31688" xr:uid="{00000000-0005-0000-0000-0000D5D60000}"/>
    <cellStyle name="Normal 4 4 2 3 2 3 3 2 2 2 2" xfId="63559" xr:uid="{00000000-0005-0000-0000-0000D6D60000}"/>
    <cellStyle name="Normal 4 4 2 3 2 3 3 2 2 3" xfId="45891" xr:uid="{00000000-0005-0000-0000-0000D7D60000}"/>
    <cellStyle name="Normal 4 4 2 3 2 3 3 2 3" xfId="23810" xr:uid="{00000000-0005-0000-0000-0000D8D60000}"/>
    <cellStyle name="Normal 4 4 2 3 2 3 3 2 3 2" xfId="55681" xr:uid="{00000000-0005-0000-0000-0000D9D60000}"/>
    <cellStyle name="Normal 4 4 2 3 2 3 3 2 4" xfId="45890" xr:uid="{00000000-0005-0000-0000-0000DAD60000}"/>
    <cellStyle name="Normal 4 4 2 3 2 3 3 3" xfId="14013" xr:uid="{00000000-0005-0000-0000-0000DBD60000}"/>
    <cellStyle name="Normal 4 4 2 3 2 3 3 3 2" xfId="27749" xr:uid="{00000000-0005-0000-0000-0000DCD60000}"/>
    <cellStyle name="Normal 4 4 2 3 2 3 3 3 2 2" xfId="59620" xr:uid="{00000000-0005-0000-0000-0000DDD60000}"/>
    <cellStyle name="Normal 4 4 2 3 2 3 3 3 3" xfId="45892" xr:uid="{00000000-0005-0000-0000-0000DED60000}"/>
    <cellStyle name="Normal 4 4 2 3 2 3 3 4" xfId="19871" xr:uid="{00000000-0005-0000-0000-0000DFD60000}"/>
    <cellStyle name="Normal 4 4 2 3 2 3 3 4 2" xfId="51742" xr:uid="{00000000-0005-0000-0000-0000E0D60000}"/>
    <cellStyle name="Normal 4 4 2 3 2 3 3 5" xfId="45889" xr:uid="{00000000-0005-0000-0000-0000E1D60000}"/>
    <cellStyle name="Normal 4 4 2 3 2 3 4" xfId="14014" xr:uid="{00000000-0005-0000-0000-0000E2D60000}"/>
    <cellStyle name="Normal 4 4 2 3 2 3 4 2" xfId="14015" xr:uid="{00000000-0005-0000-0000-0000E3D60000}"/>
    <cellStyle name="Normal 4 4 2 3 2 3 4 2 2" xfId="31685" xr:uid="{00000000-0005-0000-0000-0000E4D60000}"/>
    <cellStyle name="Normal 4 4 2 3 2 3 4 2 2 2" xfId="63556" xr:uid="{00000000-0005-0000-0000-0000E5D60000}"/>
    <cellStyle name="Normal 4 4 2 3 2 3 4 2 3" xfId="45894" xr:uid="{00000000-0005-0000-0000-0000E6D60000}"/>
    <cellStyle name="Normal 4 4 2 3 2 3 4 3" xfId="23807" xr:uid="{00000000-0005-0000-0000-0000E7D60000}"/>
    <cellStyle name="Normal 4 4 2 3 2 3 4 3 2" xfId="55678" xr:uid="{00000000-0005-0000-0000-0000E8D60000}"/>
    <cellStyle name="Normal 4 4 2 3 2 3 4 4" xfId="45893" xr:uid="{00000000-0005-0000-0000-0000E9D60000}"/>
    <cellStyle name="Normal 4 4 2 3 2 3 5" xfId="14016" xr:uid="{00000000-0005-0000-0000-0000EAD60000}"/>
    <cellStyle name="Normal 4 4 2 3 2 3 5 2" xfId="27746" xr:uid="{00000000-0005-0000-0000-0000EBD60000}"/>
    <cellStyle name="Normal 4 4 2 3 2 3 5 2 2" xfId="59617" xr:uid="{00000000-0005-0000-0000-0000ECD60000}"/>
    <cellStyle name="Normal 4 4 2 3 2 3 5 3" xfId="45895" xr:uid="{00000000-0005-0000-0000-0000EDD60000}"/>
    <cellStyle name="Normal 4 4 2 3 2 3 6" xfId="19868" xr:uid="{00000000-0005-0000-0000-0000EED60000}"/>
    <cellStyle name="Normal 4 4 2 3 2 3 6 2" xfId="51739" xr:uid="{00000000-0005-0000-0000-0000EFD60000}"/>
    <cellStyle name="Normal 4 4 2 3 2 3 7" xfId="45880" xr:uid="{00000000-0005-0000-0000-0000F0D60000}"/>
    <cellStyle name="Normal 4 4 2 3 2 4" xfId="14017" xr:uid="{00000000-0005-0000-0000-0000F1D60000}"/>
    <cellStyle name="Normal 4 4 2 3 2 4 2" xfId="14018" xr:uid="{00000000-0005-0000-0000-0000F2D60000}"/>
    <cellStyle name="Normal 4 4 2 3 2 4 2 2" xfId="14019" xr:uid="{00000000-0005-0000-0000-0000F3D60000}"/>
    <cellStyle name="Normal 4 4 2 3 2 4 2 2 2" xfId="14020" xr:uid="{00000000-0005-0000-0000-0000F4D60000}"/>
    <cellStyle name="Normal 4 4 2 3 2 4 2 2 2 2" xfId="31690" xr:uid="{00000000-0005-0000-0000-0000F5D60000}"/>
    <cellStyle name="Normal 4 4 2 3 2 4 2 2 2 2 2" xfId="63561" xr:uid="{00000000-0005-0000-0000-0000F6D60000}"/>
    <cellStyle name="Normal 4 4 2 3 2 4 2 2 2 3" xfId="45899" xr:uid="{00000000-0005-0000-0000-0000F7D60000}"/>
    <cellStyle name="Normal 4 4 2 3 2 4 2 2 3" xfId="23812" xr:uid="{00000000-0005-0000-0000-0000F8D60000}"/>
    <cellStyle name="Normal 4 4 2 3 2 4 2 2 3 2" xfId="55683" xr:uid="{00000000-0005-0000-0000-0000F9D60000}"/>
    <cellStyle name="Normal 4 4 2 3 2 4 2 2 4" xfId="45898" xr:uid="{00000000-0005-0000-0000-0000FAD60000}"/>
    <cellStyle name="Normal 4 4 2 3 2 4 2 3" xfId="14021" xr:uid="{00000000-0005-0000-0000-0000FBD60000}"/>
    <cellStyle name="Normal 4 4 2 3 2 4 2 3 2" xfId="27751" xr:uid="{00000000-0005-0000-0000-0000FCD60000}"/>
    <cellStyle name="Normal 4 4 2 3 2 4 2 3 2 2" xfId="59622" xr:uid="{00000000-0005-0000-0000-0000FDD60000}"/>
    <cellStyle name="Normal 4 4 2 3 2 4 2 3 3" xfId="45900" xr:uid="{00000000-0005-0000-0000-0000FED60000}"/>
    <cellStyle name="Normal 4 4 2 3 2 4 2 4" xfId="19873" xr:uid="{00000000-0005-0000-0000-0000FFD60000}"/>
    <cellStyle name="Normal 4 4 2 3 2 4 2 4 2" xfId="51744" xr:uid="{00000000-0005-0000-0000-000000D70000}"/>
    <cellStyle name="Normal 4 4 2 3 2 4 2 5" xfId="45897" xr:uid="{00000000-0005-0000-0000-000001D70000}"/>
    <cellStyle name="Normal 4 4 2 3 2 4 3" xfId="14022" xr:uid="{00000000-0005-0000-0000-000002D70000}"/>
    <cellStyle name="Normal 4 4 2 3 2 4 3 2" xfId="14023" xr:uid="{00000000-0005-0000-0000-000003D70000}"/>
    <cellStyle name="Normal 4 4 2 3 2 4 3 2 2" xfId="31689" xr:uid="{00000000-0005-0000-0000-000004D70000}"/>
    <cellStyle name="Normal 4 4 2 3 2 4 3 2 2 2" xfId="63560" xr:uid="{00000000-0005-0000-0000-000005D70000}"/>
    <cellStyle name="Normal 4 4 2 3 2 4 3 2 3" xfId="45902" xr:uid="{00000000-0005-0000-0000-000006D70000}"/>
    <cellStyle name="Normal 4 4 2 3 2 4 3 3" xfId="23811" xr:uid="{00000000-0005-0000-0000-000007D70000}"/>
    <cellStyle name="Normal 4 4 2 3 2 4 3 3 2" xfId="55682" xr:uid="{00000000-0005-0000-0000-000008D70000}"/>
    <cellStyle name="Normal 4 4 2 3 2 4 3 4" xfId="45901" xr:uid="{00000000-0005-0000-0000-000009D70000}"/>
    <cellStyle name="Normal 4 4 2 3 2 4 4" xfId="14024" xr:uid="{00000000-0005-0000-0000-00000AD70000}"/>
    <cellStyle name="Normal 4 4 2 3 2 4 4 2" xfId="27750" xr:uid="{00000000-0005-0000-0000-00000BD70000}"/>
    <cellStyle name="Normal 4 4 2 3 2 4 4 2 2" xfId="59621" xr:uid="{00000000-0005-0000-0000-00000CD70000}"/>
    <cellStyle name="Normal 4 4 2 3 2 4 4 3" xfId="45903" xr:uid="{00000000-0005-0000-0000-00000DD70000}"/>
    <cellStyle name="Normal 4 4 2 3 2 4 5" xfId="19872" xr:uid="{00000000-0005-0000-0000-00000ED70000}"/>
    <cellStyle name="Normal 4 4 2 3 2 4 5 2" xfId="51743" xr:uid="{00000000-0005-0000-0000-00000FD70000}"/>
    <cellStyle name="Normal 4 4 2 3 2 4 6" xfId="45896" xr:uid="{00000000-0005-0000-0000-000010D70000}"/>
    <cellStyle name="Normal 4 4 2 3 2 5" xfId="14025" xr:uid="{00000000-0005-0000-0000-000011D70000}"/>
    <cellStyle name="Normal 4 4 2 3 2 5 2" xfId="14026" xr:uid="{00000000-0005-0000-0000-000012D70000}"/>
    <cellStyle name="Normal 4 4 2 3 2 5 2 2" xfId="14027" xr:uid="{00000000-0005-0000-0000-000013D70000}"/>
    <cellStyle name="Normal 4 4 2 3 2 5 2 2 2" xfId="31691" xr:uid="{00000000-0005-0000-0000-000014D70000}"/>
    <cellStyle name="Normal 4 4 2 3 2 5 2 2 2 2" xfId="63562" xr:uid="{00000000-0005-0000-0000-000015D70000}"/>
    <cellStyle name="Normal 4 4 2 3 2 5 2 2 3" xfId="45906" xr:uid="{00000000-0005-0000-0000-000016D70000}"/>
    <cellStyle name="Normal 4 4 2 3 2 5 2 3" xfId="23813" xr:uid="{00000000-0005-0000-0000-000017D70000}"/>
    <cellStyle name="Normal 4 4 2 3 2 5 2 3 2" xfId="55684" xr:uid="{00000000-0005-0000-0000-000018D70000}"/>
    <cellStyle name="Normal 4 4 2 3 2 5 2 4" xfId="45905" xr:uid="{00000000-0005-0000-0000-000019D70000}"/>
    <cellStyle name="Normal 4 4 2 3 2 5 3" xfId="14028" xr:uid="{00000000-0005-0000-0000-00001AD70000}"/>
    <cellStyle name="Normal 4 4 2 3 2 5 3 2" xfId="27752" xr:uid="{00000000-0005-0000-0000-00001BD70000}"/>
    <cellStyle name="Normal 4 4 2 3 2 5 3 2 2" xfId="59623" xr:uid="{00000000-0005-0000-0000-00001CD70000}"/>
    <cellStyle name="Normal 4 4 2 3 2 5 3 3" xfId="45907" xr:uid="{00000000-0005-0000-0000-00001DD70000}"/>
    <cellStyle name="Normal 4 4 2 3 2 5 4" xfId="19874" xr:uid="{00000000-0005-0000-0000-00001ED70000}"/>
    <cellStyle name="Normal 4 4 2 3 2 5 4 2" xfId="51745" xr:uid="{00000000-0005-0000-0000-00001FD70000}"/>
    <cellStyle name="Normal 4 4 2 3 2 5 5" xfId="45904" xr:uid="{00000000-0005-0000-0000-000020D70000}"/>
    <cellStyle name="Normal 4 4 2 3 2 6" xfId="14029" xr:uid="{00000000-0005-0000-0000-000021D70000}"/>
    <cellStyle name="Normal 4 4 2 3 2 6 2" xfId="14030" xr:uid="{00000000-0005-0000-0000-000022D70000}"/>
    <cellStyle name="Normal 4 4 2 3 2 6 2 2" xfId="28490" xr:uid="{00000000-0005-0000-0000-000023D70000}"/>
    <cellStyle name="Normal 4 4 2 3 2 6 2 2 2" xfId="60361" xr:uid="{00000000-0005-0000-0000-000024D70000}"/>
    <cellStyle name="Normal 4 4 2 3 2 6 2 3" xfId="45909" xr:uid="{00000000-0005-0000-0000-000025D70000}"/>
    <cellStyle name="Normal 4 4 2 3 2 6 3" xfId="20612" xr:uid="{00000000-0005-0000-0000-000026D70000}"/>
    <cellStyle name="Normal 4 4 2 3 2 6 3 2" xfId="52483" xr:uid="{00000000-0005-0000-0000-000027D70000}"/>
    <cellStyle name="Normal 4 4 2 3 2 6 4" xfId="45908" xr:uid="{00000000-0005-0000-0000-000028D70000}"/>
    <cellStyle name="Normal 4 4 2 3 2 7" xfId="14031" xr:uid="{00000000-0005-0000-0000-000029D70000}"/>
    <cellStyle name="Normal 4 4 2 3 2 7 2" xfId="24551" xr:uid="{00000000-0005-0000-0000-00002AD70000}"/>
    <cellStyle name="Normal 4 4 2 3 2 7 2 2" xfId="56422" xr:uid="{00000000-0005-0000-0000-00002BD70000}"/>
    <cellStyle name="Normal 4 4 2 3 2 7 3" xfId="45910" xr:uid="{00000000-0005-0000-0000-00002CD70000}"/>
    <cellStyle name="Normal 4 4 2 3 2 8" xfId="16673" xr:uid="{00000000-0005-0000-0000-00002DD70000}"/>
    <cellStyle name="Normal 4 4 2 3 2 8 2" xfId="48544" xr:uid="{00000000-0005-0000-0000-00002ED70000}"/>
    <cellStyle name="Normal 4 4 2 3 2 9" xfId="45847" xr:uid="{00000000-0005-0000-0000-00002FD70000}"/>
    <cellStyle name="Normal 4 4 2 3 3" xfId="14032" xr:uid="{00000000-0005-0000-0000-000030D70000}"/>
    <cellStyle name="Normal 4 4 2 3 3 2" xfId="14033" xr:uid="{00000000-0005-0000-0000-000031D70000}"/>
    <cellStyle name="Normal 4 4 2 3 3 2 2" xfId="14034" xr:uid="{00000000-0005-0000-0000-000032D70000}"/>
    <cellStyle name="Normal 4 4 2 3 3 2 2 2" xfId="14035" xr:uid="{00000000-0005-0000-0000-000033D70000}"/>
    <cellStyle name="Normal 4 4 2 3 3 2 2 2 2" xfId="14036" xr:uid="{00000000-0005-0000-0000-000034D70000}"/>
    <cellStyle name="Normal 4 4 2 3 3 2 2 2 2 2" xfId="14037" xr:uid="{00000000-0005-0000-0000-000035D70000}"/>
    <cellStyle name="Normal 4 4 2 3 3 2 2 2 2 2 2" xfId="31695" xr:uid="{00000000-0005-0000-0000-000036D70000}"/>
    <cellStyle name="Normal 4 4 2 3 3 2 2 2 2 2 2 2" xfId="63566" xr:uid="{00000000-0005-0000-0000-000037D70000}"/>
    <cellStyle name="Normal 4 4 2 3 3 2 2 2 2 2 3" xfId="45916" xr:uid="{00000000-0005-0000-0000-000038D70000}"/>
    <cellStyle name="Normal 4 4 2 3 3 2 2 2 2 3" xfId="23817" xr:uid="{00000000-0005-0000-0000-000039D70000}"/>
    <cellStyle name="Normal 4 4 2 3 3 2 2 2 2 3 2" xfId="55688" xr:uid="{00000000-0005-0000-0000-00003AD70000}"/>
    <cellStyle name="Normal 4 4 2 3 3 2 2 2 2 4" xfId="45915" xr:uid="{00000000-0005-0000-0000-00003BD70000}"/>
    <cellStyle name="Normal 4 4 2 3 3 2 2 2 3" xfId="14038" xr:uid="{00000000-0005-0000-0000-00003CD70000}"/>
    <cellStyle name="Normal 4 4 2 3 3 2 2 2 3 2" xfId="27756" xr:uid="{00000000-0005-0000-0000-00003DD70000}"/>
    <cellStyle name="Normal 4 4 2 3 3 2 2 2 3 2 2" xfId="59627" xr:uid="{00000000-0005-0000-0000-00003ED70000}"/>
    <cellStyle name="Normal 4 4 2 3 3 2 2 2 3 3" xfId="45917" xr:uid="{00000000-0005-0000-0000-00003FD70000}"/>
    <cellStyle name="Normal 4 4 2 3 3 2 2 2 4" xfId="19878" xr:uid="{00000000-0005-0000-0000-000040D70000}"/>
    <cellStyle name="Normal 4 4 2 3 3 2 2 2 4 2" xfId="51749" xr:uid="{00000000-0005-0000-0000-000041D70000}"/>
    <cellStyle name="Normal 4 4 2 3 3 2 2 2 5" xfId="45914" xr:uid="{00000000-0005-0000-0000-000042D70000}"/>
    <cellStyle name="Normal 4 4 2 3 3 2 2 3" xfId="14039" xr:uid="{00000000-0005-0000-0000-000043D70000}"/>
    <cellStyle name="Normal 4 4 2 3 3 2 2 3 2" xfId="14040" xr:uid="{00000000-0005-0000-0000-000044D70000}"/>
    <cellStyle name="Normal 4 4 2 3 3 2 2 3 2 2" xfId="31694" xr:uid="{00000000-0005-0000-0000-000045D70000}"/>
    <cellStyle name="Normal 4 4 2 3 3 2 2 3 2 2 2" xfId="63565" xr:uid="{00000000-0005-0000-0000-000046D70000}"/>
    <cellStyle name="Normal 4 4 2 3 3 2 2 3 2 3" xfId="45919" xr:uid="{00000000-0005-0000-0000-000047D70000}"/>
    <cellStyle name="Normal 4 4 2 3 3 2 2 3 3" xfId="23816" xr:uid="{00000000-0005-0000-0000-000048D70000}"/>
    <cellStyle name="Normal 4 4 2 3 3 2 2 3 3 2" xfId="55687" xr:uid="{00000000-0005-0000-0000-000049D70000}"/>
    <cellStyle name="Normal 4 4 2 3 3 2 2 3 4" xfId="45918" xr:uid="{00000000-0005-0000-0000-00004AD70000}"/>
    <cellStyle name="Normal 4 4 2 3 3 2 2 4" xfId="14041" xr:uid="{00000000-0005-0000-0000-00004BD70000}"/>
    <cellStyle name="Normal 4 4 2 3 3 2 2 4 2" xfId="27755" xr:uid="{00000000-0005-0000-0000-00004CD70000}"/>
    <cellStyle name="Normal 4 4 2 3 3 2 2 4 2 2" xfId="59626" xr:uid="{00000000-0005-0000-0000-00004DD70000}"/>
    <cellStyle name="Normal 4 4 2 3 3 2 2 4 3" xfId="45920" xr:uid="{00000000-0005-0000-0000-00004ED70000}"/>
    <cellStyle name="Normal 4 4 2 3 3 2 2 5" xfId="19877" xr:uid="{00000000-0005-0000-0000-00004FD70000}"/>
    <cellStyle name="Normal 4 4 2 3 3 2 2 5 2" xfId="51748" xr:uid="{00000000-0005-0000-0000-000050D70000}"/>
    <cellStyle name="Normal 4 4 2 3 3 2 2 6" xfId="45913" xr:uid="{00000000-0005-0000-0000-000051D70000}"/>
    <cellStyle name="Normal 4 4 2 3 3 2 3" xfId="14042" xr:uid="{00000000-0005-0000-0000-000052D70000}"/>
    <cellStyle name="Normal 4 4 2 3 3 2 3 2" xfId="14043" xr:uid="{00000000-0005-0000-0000-000053D70000}"/>
    <cellStyle name="Normal 4 4 2 3 3 2 3 2 2" xfId="14044" xr:uid="{00000000-0005-0000-0000-000054D70000}"/>
    <cellStyle name="Normal 4 4 2 3 3 2 3 2 2 2" xfId="31696" xr:uid="{00000000-0005-0000-0000-000055D70000}"/>
    <cellStyle name="Normal 4 4 2 3 3 2 3 2 2 2 2" xfId="63567" xr:uid="{00000000-0005-0000-0000-000056D70000}"/>
    <cellStyle name="Normal 4 4 2 3 3 2 3 2 2 3" xfId="45923" xr:uid="{00000000-0005-0000-0000-000057D70000}"/>
    <cellStyle name="Normal 4 4 2 3 3 2 3 2 3" xfId="23818" xr:uid="{00000000-0005-0000-0000-000058D70000}"/>
    <cellStyle name="Normal 4 4 2 3 3 2 3 2 3 2" xfId="55689" xr:uid="{00000000-0005-0000-0000-000059D70000}"/>
    <cellStyle name="Normal 4 4 2 3 3 2 3 2 4" xfId="45922" xr:uid="{00000000-0005-0000-0000-00005AD70000}"/>
    <cellStyle name="Normal 4 4 2 3 3 2 3 3" xfId="14045" xr:uid="{00000000-0005-0000-0000-00005BD70000}"/>
    <cellStyle name="Normal 4 4 2 3 3 2 3 3 2" xfId="27757" xr:uid="{00000000-0005-0000-0000-00005CD70000}"/>
    <cellStyle name="Normal 4 4 2 3 3 2 3 3 2 2" xfId="59628" xr:uid="{00000000-0005-0000-0000-00005DD70000}"/>
    <cellStyle name="Normal 4 4 2 3 3 2 3 3 3" xfId="45924" xr:uid="{00000000-0005-0000-0000-00005ED70000}"/>
    <cellStyle name="Normal 4 4 2 3 3 2 3 4" xfId="19879" xr:uid="{00000000-0005-0000-0000-00005FD70000}"/>
    <cellStyle name="Normal 4 4 2 3 3 2 3 4 2" xfId="51750" xr:uid="{00000000-0005-0000-0000-000060D70000}"/>
    <cellStyle name="Normal 4 4 2 3 3 2 3 5" xfId="45921" xr:uid="{00000000-0005-0000-0000-000061D70000}"/>
    <cellStyle name="Normal 4 4 2 3 3 2 4" xfId="14046" xr:uid="{00000000-0005-0000-0000-000062D70000}"/>
    <cellStyle name="Normal 4 4 2 3 3 2 4 2" xfId="14047" xr:uid="{00000000-0005-0000-0000-000063D70000}"/>
    <cellStyle name="Normal 4 4 2 3 3 2 4 2 2" xfId="31693" xr:uid="{00000000-0005-0000-0000-000064D70000}"/>
    <cellStyle name="Normal 4 4 2 3 3 2 4 2 2 2" xfId="63564" xr:uid="{00000000-0005-0000-0000-000065D70000}"/>
    <cellStyle name="Normal 4 4 2 3 3 2 4 2 3" xfId="45926" xr:uid="{00000000-0005-0000-0000-000066D70000}"/>
    <cellStyle name="Normal 4 4 2 3 3 2 4 3" xfId="23815" xr:uid="{00000000-0005-0000-0000-000067D70000}"/>
    <cellStyle name="Normal 4 4 2 3 3 2 4 3 2" xfId="55686" xr:uid="{00000000-0005-0000-0000-000068D70000}"/>
    <cellStyle name="Normal 4 4 2 3 3 2 4 4" xfId="45925" xr:uid="{00000000-0005-0000-0000-000069D70000}"/>
    <cellStyle name="Normal 4 4 2 3 3 2 5" xfId="14048" xr:uid="{00000000-0005-0000-0000-00006AD70000}"/>
    <cellStyle name="Normal 4 4 2 3 3 2 5 2" xfId="27754" xr:uid="{00000000-0005-0000-0000-00006BD70000}"/>
    <cellStyle name="Normal 4 4 2 3 3 2 5 2 2" xfId="59625" xr:uid="{00000000-0005-0000-0000-00006CD70000}"/>
    <cellStyle name="Normal 4 4 2 3 3 2 5 3" xfId="45927" xr:uid="{00000000-0005-0000-0000-00006DD70000}"/>
    <cellStyle name="Normal 4 4 2 3 3 2 6" xfId="19876" xr:uid="{00000000-0005-0000-0000-00006ED70000}"/>
    <cellStyle name="Normal 4 4 2 3 3 2 6 2" xfId="51747" xr:uid="{00000000-0005-0000-0000-00006FD70000}"/>
    <cellStyle name="Normal 4 4 2 3 3 2 7" xfId="45912" xr:uid="{00000000-0005-0000-0000-000070D70000}"/>
    <cellStyle name="Normal 4 4 2 3 3 3" xfId="14049" xr:uid="{00000000-0005-0000-0000-000071D70000}"/>
    <cellStyle name="Normal 4 4 2 3 3 3 2" xfId="14050" xr:uid="{00000000-0005-0000-0000-000072D70000}"/>
    <cellStyle name="Normal 4 4 2 3 3 3 2 2" xfId="14051" xr:uid="{00000000-0005-0000-0000-000073D70000}"/>
    <cellStyle name="Normal 4 4 2 3 3 3 2 2 2" xfId="14052" xr:uid="{00000000-0005-0000-0000-000074D70000}"/>
    <cellStyle name="Normal 4 4 2 3 3 3 2 2 2 2" xfId="31698" xr:uid="{00000000-0005-0000-0000-000075D70000}"/>
    <cellStyle name="Normal 4 4 2 3 3 3 2 2 2 2 2" xfId="63569" xr:uid="{00000000-0005-0000-0000-000076D70000}"/>
    <cellStyle name="Normal 4 4 2 3 3 3 2 2 2 3" xfId="45931" xr:uid="{00000000-0005-0000-0000-000077D70000}"/>
    <cellStyle name="Normal 4 4 2 3 3 3 2 2 3" xfId="23820" xr:uid="{00000000-0005-0000-0000-000078D70000}"/>
    <cellStyle name="Normal 4 4 2 3 3 3 2 2 3 2" xfId="55691" xr:uid="{00000000-0005-0000-0000-000079D70000}"/>
    <cellStyle name="Normal 4 4 2 3 3 3 2 2 4" xfId="45930" xr:uid="{00000000-0005-0000-0000-00007AD70000}"/>
    <cellStyle name="Normal 4 4 2 3 3 3 2 3" xfId="14053" xr:uid="{00000000-0005-0000-0000-00007BD70000}"/>
    <cellStyle name="Normal 4 4 2 3 3 3 2 3 2" xfId="27759" xr:uid="{00000000-0005-0000-0000-00007CD70000}"/>
    <cellStyle name="Normal 4 4 2 3 3 3 2 3 2 2" xfId="59630" xr:uid="{00000000-0005-0000-0000-00007DD70000}"/>
    <cellStyle name="Normal 4 4 2 3 3 3 2 3 3" xfId="45932" xr:uid="{00000000-0005-0000-0000-00007ED70000}"/>
    <cellStyle name="Normal 4 4 2 3 3 3 2 4" xfId="19881" xr:uid="{00000000-0005-0000-0000-00007FD70000}"/>
    <cellStyle name="Normal 4 4 2 3 3 3 2 4 2" xfId="51752" xr:uid="{00000000-0005-0000-0000-000080D70000}"/>
    <cellStyle name="Normal 4 4 2 3 3 3 2 5" xfId="45929" xr:uid="{00000000-0005-0000-0000-000081D70000}"/>
    <cellStyle name="Normal 4 4 2 3 3 3 3" xfId="14054" xr:uid="{00000000-0005-0000-0000-000082D70000}"/>
    <cellStyle name="Normal 4 4 2 3 3 3 3 2" xfId="14055" xr:uid="{00000000-0005-0000-0000-000083D70000}"/>
    <cellStyle name="Normal 4 4 2 3 3 3 3 2 2" xfId="31697" xr:uid="{00000000-0005-0000-0000-000084D70000}"/>
    <cellStyle name="Normal 4 4 2 3 3 3 3 2 2 2" xfId="63568" xr:uid="{00000000-0005-0000-0000-000085D70000}"/>
    <cellStyle name="Normal 4 4 2 3 3 3 3 2 3" xfId="45934" xr:uid="{00000000-0005-0000-0000-000086D70000}"/>
    <cellStyle name="Normal 4 4 2 3 3 3 3 3" xfId="23819" xr:uid="{00000000-0005-0000-0000-000087D70000}"/>
    <cellStyle name="Normal 4 4 2 3 3 3 3 3 2" xfId="55690" xr:uid="{00000000-0005-0000-0000-000088D70000}"/>
    <cellStyle name="Normal 4 4 2 3 3 3 3 4" xfId="45933" xr:uid="{00000000-0005-0000-0000-000089D70000}"/>
    <cellStyle name="Normal 4 4 2 3 3 3 4" xfId="14056" xr:uid="{00000000-0005-0000-0000-00008AD70000}"/>
    <cellStyle name="Normal 4 4 2 3 3 3 4 2" xfId="27758" xr:uid="{00000000-0005-0000-0000-00008BD70000}"/>
    <cellStyle name="Normal 4 4 2 3 3 3 4 2 2" xfId="59629" xr:uid="{00000000-0005-0000-0000-00008CD70000}"/>
    <cellStyle name="Normal 4 4 2 3 3 3 4 3" xfId="45935" xr:uid="{00000000-0005-0000-0000-00008DD70000}"/>
    <cellStyle name="Normal 4 4 2 3 3 3 5" xfId="19880" xr:uid="{00000000-0005-0000-0000-00008ED70000}"/>
    <cellStyle name="Normal 4 4 2 3 3 3 5 2" xfId="51751" xr:uid="{00000000-0005-0000-0000-00008FD70000}"/>
    <cellStyle name="Normal 4 4 2 3 3 3 6" xfId="45928" xr:uid="{00000000-0005-0000-0000-000090D70000}"/>
    <cellStyle name="Normal 4 4 2 3 3 4" xfId="14057" xr:uid="{00000000-0005-0000-0000-000091D70000}"/>
    <cellStyle name="Normal 4 4 2 3 3 4 2" xfId="14058" xr:uid="{00000000-0005-0000-0000-000092D70000}"/>
    <cellStyle name="Normal 4 4 2 3 3 4 2 2" xfId="14059" xr:uid="{00000000-0005-0000-0000-000093D70000}"/>
    <cellStyle name="Normal 4 4 2 3 3 4 2 2 2" xfId="31699" xr:uid="{00000000-0005-0000-0000-000094D70000}"/>
    <cellStyle name="Normal 4 4 2 3 3 4 2 2 2 2" xfId="63570" xr:uid="{00000000-0005-0000-0000-000095D70000}"/>
    <cellStyle name="Normal 4 4 2 3 3 4 2 2 3" xfId="45938" xr:uid="{00000000-0005-0000-0000-000096D70000}"/>
    <cellStyle name="Normal 4 4 2 3 3 4 2 3" xfId="23821" xr:uid="{00000000-0005-0000-0000-000097D70000}"/>
    <cellStyle name="Normal 4 4 2 3 3 4 2 3 2" xfId="55692" xr:uid="{00000000-0005-0000-0000-000098D70000}"/>
    <cellStyle name="Normal 4 4 2 3 3 4 2 4" xfId="45937" xr:uid="{00000000-0005-0000-0000-000099D70000}"/>
    <cellStyle name="Normal 4 4 2 3 3 4 3" xfId="14060" xr:uid="{00000000-0005-0000-0000-00009AD70000}"/>
    <cellStyle name="Normal 4 4 2 3 3 4 3 2" xfId="27760" xr:uid="{00000000-0005-0000-0000-00009BD70000}"/>
    <cellStyle name="Normal 4 4 2 3 3 4 3 2 2" xfId="59631" xr:uid="{00000000-0005-0000-0000-00009CD70000}"/>
    <cellStyle name="Normal 4 4 2 3 3 4 3 3" xfId="45939" xr:uid="{00000000-0005-0000-0000-00009DD70000}"/>
    <cellStyle name="Normal 4 4 2 3 3 4 4" xfId="19882" xr:uid="{00000000-0005-0000-0000-00009ED70000}"/>
    <cellStyle name="Normal 4 4 2 3 3 4 4 2" xfId="51753" xr:uid="{00000000-0005-0000-0000-00009FD70000}"/>
    <cellStyle name="Normal 4 4 2 3 3 4 5" xfId="45936" xr:uid="{00000000-0005-0000-0000-0000A0D70000}"/>
    <cellStyle name="Normal 4 4 2 3 3 5" xfId="14061" xr:uid="{00000000-0005-0000-0000-0000A1D70000}"/>
    <cellStyle name="Normal 4 4 2 3 3 5 2" xfId="14062" xr:uid="{00000000-0005-0000-0000-0000A2D70000}"/>
    <cellStyle name="Normal 4 4 2 3 3 5 2 2" xfId="31692" xr:uid="{00000000-0005-0000-0000-0000A3D70000}"/>
    <cellStyle name="Normal 4 4 2 3 3 5 2 2 2" xfId="63563" xr:uid="{00000000-0005-0000-0000-0000A4D70000}"/>
    <cellStyle name="Normal 4 4 2 3 3 5 2 3" xfId="45941" xr:uid="{00000000-0005-0000-0000-0000A5D70000}"/>
    <cellStyle name="Normal 4 4 2 3 3 5 3" xfId="23814" xr:uid="{00000000-0005-0000-0000-0000A6D70000}"/>
    <cellStyle name="Normal 4 4 2 3 3 5 3 2" xfId="55685" xr:uid="{00000000-0005-0000-0000-0000A7D70000}"/>
    <cellStyle name="Normal 4 4 2 3 3 5 4" xfId="45940" xr:uid="{00000000-0005-0000-0000-0000A8D70000}"/>
    <cellStyle name="Normal 4 4 2 3 3 6" xfId="14063" xr:uid="{00000000-0005-0000-0000-0000A9D70000}"/>
    <cellStyle name="Normal 4 4 2 3 3 6 2" xfId="27753" xr:uid="{00000000-0005-0000-0000-0000AAD70000}"/>
    <cellStyle name="Normal 4 4 2 3 3 6 2 2" xfId="59624" xr:uid="{00000000-0005-0000-0000-0000ABD70000}"/>
    <cellStyle name="Normal 4 4 2 3 3 6 3" xfId="45942" xr:uid="{00000000-0005-0000-0000-0000ACD70000}"/>
    <cellStyle name="Normal 4 4 2 3 3 7" xfId="19875" xr:uid="{00000000-0005-0000-0000-0000ADD70000}"/>
    <cellStyle name="Normal 4 4 2 3 3 7 2" xfId="51746" xr:uid="{00000000-0005-0000-0000-0000AED70000}"/>
    <cellStyle name="Normal 4 4 2 3 3 8" xfId="45911" xr:uid="{00000000-0005-0000-0000-0000AFD70000}"/>
    <cellStyle name="Normal 4 4 2 3 4" xfId="14064" xr:uid="{00000000-0005-0000-0000-0000B0D70000}"/>
    <cellStyle name="Normal 4 4 2 3 4 2" xfId="14065" xr:uid="{00000000-0005-0000-0000-0000B1D70000}"/>
    <cellStyle name="Normal 4 4 2 3 4 2 2" xfId="14066" xr:uid="{00000000-0005-0000-0000-0000B2D70000}"/>
    <cellStyle name="Normal 4 4 2 3 4 2 2 2" xfId="14067" xr:uid="{00000000-0005-0000-0000-0000B3D70000}"/>
    <cellStyle name="Normal 4 4 2 3 4 2 2 2 2" xfId="14068" xr:uid="{00000000-0005-0000-0000-0000B4D70000}"/>
    <cellStyle name="Normal 4 4 2 3 4 2 2 2 2 2" xfId="31702" xr:uid="{00000000-0005-0000-0000-0000B5D70000}"/>
    <cellStyle name="Normal 4 4 2 3 4 2 2 2 2 2 2" xfId="63573" xr:uid="{00000000-0005-0000-0000-0000B6D70000}"/>
    <cellStyle name="Normal 4 4 2 3 4 2 2 2 2 3" xfId="45947" xr:uid="{00000000-0005-0000-0000-0000B7D70000}"/>
    <cellStyle name="Normal 4 4 2 3 4 2 2 2 3" xfId="23824" xr:uid="{00000000-0005-0000-0000-0000B8D70000}"/>
    <cellStyle name="Normal 4 4 2 3 4 2 2 2 3 2" xfId="55695" xr:uid="{00000000-0005-0000-0000-0000B9D70000}"/>
    <cellStyle name="Normal 4 4 2 3 4 2 2 2 4" xfId="45946" xr:uid="{00000000-0005-0000-0000-0000BAD70000}"/>
    <cellStyle name="Normal 4 4 2 3 4 2 2 3" xfId="14069" xr:uid="{00000000-0005-0000-0000-0000BBD70000}"/>
    <cellStyle name="Normal 4 4 2 3 4 2 2 3 2" xfId="27763" xr:uid="{00000000-0005-0000-0000-0000BCD70000}"/>
    <cellStyle name="Normal 4 4 2 3 4 2 2 3 2 2" xfId="59634" xr:uid="{00000000-0005-0000-0000-0000BDD70000}"/>
    <cellStyle name="Normal 4 4 2 3 4 2 2 3 3" xfId="45948" xr:uid="{00000000-0005-0000-0000-0000BED70000}"/>
    <cellStyle name="Normal 4 4 2 3 4 2 2 4" xfId="19885" xr:uid="{00000000-0005-0000-0000-0000BFD70000}"/>
    <cellStyle name="Normal 4 4 2 3 4 2 2 4 2" xfId="51756" xr:uid="{00000000-0005-0000-0000-0000C0D70000}"/>
    <cellStyle name="Normal 4 4 2 3 4 2 2 5" xfId="45945" xr:uid="{00000000-0005-0000-0000-0000C1D70000}"/>
    <cellStyle name="Normal 4 4 2 3 4 2 3" xfId="14070" xr:uid="{00000000-0005-0000-0000-0000C2D70000}"/>
    <cellStyle name="Normal 4 4 2 3 4 2 3 2" xfId="14071" xr:uid="{00000000-0005-0000-0000-0000C3D70000}"/>
    <cellStyle name="Normal 4 4 2 3 4 2 3 2 2" xfId="31701" xr:uid="{00000000-0005-0000-0000-0000C4D70000}"/>
    <cellStyle name="Normal 4 4 2 3 4 2 3 2 2 2" xfId="63572" xr:uid="{00000000-0005-0000-0000-0000C5D70000}"/>
    <cellStyle name="Normal 4 4 2 3 4 2 3 2 3" xfId="45950" xr:uid="{00000000-0005-0000-0000-0000C6D70000}"/>
    <cellStyle name="Normal 4 4 2 3 4 2 3 3" xfId="23823" xr:uid="{00000000-0005-0000-0000-0000C7D70000}"/>
    <cellStyle name="Normal 4 4 2 3 4 2 3 3 2" xfId="55694" xr:uid="{00000000-0005-0000-0000-0000C8D70000}"/>
    <cellStyle name="Normal 4 4 2 3 4 2 3 4" xfId="45949" xr:uid="{00000000-0005-0000-0000-0000C9D70000}"/>
    <cellStyle name="Normal 4 4 2 3 4 2 4" xfId="14072" xr:uid="{00000000-0005-0000-0000-0000CAD70000}"/>
    <cellStyle name="Normal 4 4 2 3 4 2 4 2" xfId="27762" xr:uid="{00000000-0005-0000-0000-0000CBD70000}"/>
    <cellStyle name="Normal 4 4 2 3 4 2 4 2 2" xfId="59633" xr:uid="{00000000-0005-0000-0000-0000CCD70000}"/>
    <cellStyle name="Normal 4 4 2 3 4 2 4 3" xfId="45951" xr:uid="{00000000-0005-0000-0000-0000CDD70000}"/>
    <cellStyle name="Normal 4 4 2 3 4 2 5" xfId="19884" xr:uid="{00000000-0005-0000-0000-0000CED70000}"/>
    <cellStyle name="Normal 4 4 2 3 4 2 5 2" xfId="51755" xr:uid="{00000000-0005-0000-0000-0000CFD70000}"/>
    <cellStyle name="Normal 4 4 2 3 4 2 6" xfId="45944" xr:uid="{00000000-0005-0000-0000-0000D0D70000}"/>
    <cellStyle name="Normal 4 4 2 3 4 3" xfId="14073" xr:uid="{00000000-0005-0000-0000-0000D1D70000}"/>
    <cellStyle name="Normal 4 4 2 3 4 3 2" xfId="14074" xr:uid="{00000000-0005-0000-0000-0000D2D70000}"/>
    <cellStyle name="Normal 4 4 2 3 4 3 2 2" xfId="14075" xr:uid="{00000000-0005-0000-0000-0000D3D70000}"/>
    <cellStyle name="Normal 4 4 2 3 4 3 2 2 2" xfId="31703" xr:uid="{00000000-0005-0000-0000-0000D4D70000}"/>
    <cellStyle name="Normal 4 4 2 3 4 3 2 2 2 2" xfId="63574" xr:uid="{00000000-0005-0000-0000-0000D5D70000}"/>
    <cellStyle name="Normal 4 4 2 3 4 3 2 2 3" xfId="45954" xr:uid="{00000000-0005-0000-0000-0000D6D70000}"/>
    <cellStyle name="Normal 4 4 2 3 4 3 2 3" xfId="23825" xr:uid="{00000000-0005-0000-0000-0000D7D70000}"/>
    <cellStyle name="Normal 4 4 2 3 4 3 2 3 2" xfId="55696" xr:uid="{00000000-0005-0000-0000-0000D8D70000}"/>
    <cellStyle name="Normal 4 4 2 3 4 3 2 4" xfId="45953" xr:uid="{00000000-0005-0000-0000-0000D9D70000}"/>
    <cellStyle name="Normal 4 4 2 3 4 3 3" xfId="14076" xr:uid="{00000000-0005-0000-0000-0000DAD70000}"/>
    <cellStyle name="Normal 4 4 2 3 4 3 3 2" xfId="27764" xr:uid="{00000000-0005-0000-0000-0000DBD70000}"/>
    <cellStyle name="Normal 4 4 2 3 4 3 3 2 2" xfId="59635" xr:uid="{00000000-0005-0000-0000-0000DCD70000}"/>
    <cellStyle name="Normal 4 4 2 3 4 3 3 3" xfId="45955" xr:uid="{00000000-0005-0000-0000-0000DDD70000}"/>
    <cellStyle name="Normal 4 4 2 3 4 3 4" xfId="19886" xr:uid="{00000000-0005-0000-0000-0000DED70000}"/>
    <cellStyle name="Normal 4 4 2 3 4 3 4 2" xfId="51757" xr:uid="{00000000-0005-0000-0000-0000DFD70000}"/>
    <cellStyle name="Normal 4 4 2 3 4 3 5" xfId="45952" xr:uid="{00000000-0005-0000-0000-0000E0D70000}"/>
    <cellStyle name="Normal 4 4 2 3 4 4" xfId="14077" xr:uid="{00000000-0005-0000-0000-0000E1D70000}"/>
    <cellStyle name="Normal 4 4 2 3 4 4 2" xfId="14078" xr:uid="{00000000-0005-0000-0000-0000E2D70000}"/>
    <cellStyle name="Normal 4 4 2 3 4 4 2 2" xfId="31700" xr:uid="{00000000-0005-0000-0000-0000E3D70000}"/>
    <cellStyle name="Normal 4 4 2 3 4 4 2 2 2" xfId="63571" xr:uid="{00000000-0005-0000-0000-0000E4D70000}"/>
    <cellStyle name="Normal 4 4 2 3 4 4 2 3" xfId="45957" xr:uid="{00000000-0005-0000-0000-0000E5D70000}"/>
    <cellStyle name="Normal 4 4 2 3 4 4 3" xfId="23822" xr:uid="{00000000-0005-0000-0000-0000E6D70000}"/>
    <cellStyle name="Normal 4 4 2 3 4 4 3 2" xfId="55693" xr:uid="{00000000-0005-0000-0000-0000E7D70000}"/>
    <cellStyle name="Normal 4 4 2 3 4 4 4" xfId="45956" xr:uid="{00000000-0005-0000-0000-0000E8D70000}"/>
    <cellStyle name="Normal 4 4 2 3 4 5" xfId="14079" xr:uid="{00000000-0005-0000-0000-0000E9D70000}"/>
    <cellStyle name="Normal 4 4 2 3 4 5 2" xfId="27761" xr:uid="{00000000-0005-0000-0000-0000EAD70000}"/>
    <cellStyle name="Normal 4 4 2 3 4 5 2 2" xfId="59632" xr:uid="{00000000-0005-0000-0000-0000EBD70000}"/>
    <cellStyle name="Normal 4 4 2 3 4 5 3" xfId="45958" xr:uid="{00000000-0005-0000-0000-0000ECD70000}"/>
    <cellStyle name="Normal 4 4 2 3 4 6" xfId="19883" xr:uid="{00000000-0005-0000-0000-0000EDD70000}"/>
    <cellStyle name="Normal 4 4 2 3 4 6 2" xfId="51754" xr:uid="{00000000-0005-0000-0000-0000EED70000}"/>
    <cellStyle name="Normal 4 4 2 3 4 7" xfId="45943" xr:uid="{00000000-0005-0000-0000-0000EFD70000}"/>
    <cellStyle name="Normal 4 4 2 3 5" xfId="14080" xr:uid="{00000000-0005-0000-0000-0000F0D70000}"/>
    <cellStyle name="Normal 4 4 2 3 5 2" xfId="14081" xr:uid="{00000000-0005-0000-0000-0000F1D70000}"/>
    <cellStyle name="Normal 4 4 2 3 5 2 2" xfId="14082" xr:uid="{00000000-0005-0000-0000-0000F2D70000}"/>
    <cellStyle name="Normal 4 4 2 3 5 2 2 2" xfId="14083" xr:uid="{00000000-0005-0000-0000-0000F3D70000}"/>
    <cellStyle name="Normal 4 4 2 3 5 2 2 2 2" xfId="31705" xr:uid="{00000000-0005-0000-0000-0000F4D70000}"/>
    <cellStyle name="Normal 4 4 2 3 5 2 2 2 2 2" xfId="63576" xr:uid="{00000000-0005-0000-0000-0000F5D70000}"/>
    <cellStyle name="Normal 4 4 2 3 5 2 2 2 3" xfId="45962" xr:uid="{00000000-0005-0000-0000-0000F6D70000}"/>
    <cellStyle name="Normal 4 4 2 3 5 2 2 3" xfId="23827" xr:uid="{00000000-0005-0000-0000-0000F7D70000}"/>
    <cellStyle name="Normal 4 4 2 3 5 2 2 3 2" xfId="55698" xr:uid="{00000000-0005-0000-0000-0000F8D70000}"/>
    <cellStyle name="Normal 4 4 2 3 5 2 2 4" xfId="45961" xr:uid="{00000000-0005-0000-0000-0000F9D70000}"/>
    <cellStyle name="Normal 4 4 2 3 5 2 3" xfId="14084" xr:uid="{00000000-0005-0000-0000-0000FAD70000}"/>
    <cellStyle name="Normal 4 4 2 3 5 2 3 2" xfId="27766" xr:uid="{00000000-0005-0000-0000-0000FBD70000}"/>
    <cellStyle name="Normal 4 4 2 3 5 2 3 2 2" xfId="59637" xr:uid="{00000000-0005-0000-0000-0000FCD70000}"/>
    <cellStyle name="Normal 4 4 2 3 5 2 3 3" xfId="45963" xr:uid="{00000000-0005-0000-0000-0000FDD70000}"/>
    <cellStyle name="Normal 4 4 2 3 5 2 4" xfId="19888" xr:uid="{00000000-0005-0000-0000-0000FED70000}"/>
    <cellStyle name="Normal 4 4 2 3 5 2 4 2" xfId="51759" xr:uid="{00000000-0005-0000-0000-0000FFD70000}"/>
    <cellStyle name="Normal 4 4 2 3 5 2 5" xfId="45960" xr:uid="{00000000-0005-0000-0000-000000D80000}"/>
    <cellStyle name="Normal 4 4 2 3 5 3" xfId="14085" xr:uid="{00000000-0005-0000-0000-000001D80000}"/>
    <cellStyle name="Normal 4 4 2 3 5 3 2" xfId="14086" xr:uid="{00000000-0005-0000-0000-000002D80000}"/>
    <cellStyle name="Normal 4 4 2 3 5 3 2 2" xfId="31704" xr:uid="{00000000-0005-0000-0000-000003D80000}"/>
    <cellStyle name="Normal 4 4 2 3 5 3 2 2 2" xfId="63575" xr:uid="{00000000-0005-0000-0000-000004D80000}"/>
    <cellStyle name="Normal 4 4 2 3 5 3 2 3" xfId="45965" xr:uid="{00000000-0005-0000-0000-000005D80000}"/>
    <cellStyle name="Normal 4 4 2 3 5 3 3" xfId="23826" xr:uid="{00000000-0005-0000-0000-000006D80000}"/>
    <cellStyle name="Normal 4 4 2 3 5 3 3 2" xfId="55697" xr:uid="{00000000-0005-0000-0000-000007D80000}"/>
    <cellStyle name="Normal 4 4 2 3 5 3 4" xfId="45964" xr:uid="{00000000-0005-0000-0000-000008D80000}"/>
    <cellStyle name="Normal 4 4 2 3 5 4" xfId="14087" xr:uid="{00000000-0005-0000-0000-000009D80000}"/>
    <cellStyle name="Normal 4 4 2 3 5 4 2" xfId="27765" xr:uid="{00000000-0005-0000-0000-00000AD80000}"/>
    <cellStyle name="Normal 4 4 2 3 5 4 2 2" xfId="59636" xr:uid="{00000000-0005-0000-0000-00000BD80000}"/>
    <cellStyle name="Normal 4 4 2 3 5 4 3" xfId="45966" xr:uid="{00000000-0005-0000-0000-00000CD80000}"/>
    <cellStyle name="Normal 4 4 2 3 5 5" xfId="19887" xr:uid="{00000000-0005-0000-0000-00000DD80000}"/>
    <cellStyle name="Normal 4 4 2 3 5 5 2" xfId="51758" xr:uid="{00000000-0005-0000-0000-00000ED80000}"/>
    <cellStyle name="Normal 4 4 2 3 5 6" xfId="45959" xr:uid="{00000000-0005-0000-0000-00000FD80000}"/>
    <cellStyle name="Normal 4 4 2 3 6" xfId="14088" xr:uid="{00000000-0005-0000-0000-000010D80000}"/>
    <cellStyle name="Normal 4 4 2 3 6 2" xfId="14089" xr:uid="{00000000-0005-0000-0000-000011D80000}"/>
    <cellStyle name="Normal 4 4 2 3 6 2 2" xfId="14090" xr:uid="{00000000-0005-0000-0000-000012D80000}"/>
    <cellStyle name="Normal 4 4 2 3 6 2 2 2" xfId="31706" xr:uid="{00000000-0005-0000-0000-000013D80000}"/>
    <cellStyle name="Normal 4 4 2 3 6 2 2 2 2" xfId="63577" xr:uid="{00000000-0005-0000-0000-000014D80000}"/>
    <cellStyle name="Normal 4 4 2 3 6 2 2 3" xfId="45969" xr:uid="{00000000-0005-0000-0000-000015D80000}"/>
    <cellStyle name="Normal 4 4 2 3 6 2 3" xfId="23828" xr:uid="{00000000-0005-0000-0000-000016D80000}"/>
    <cellStyle name="Normal 4 4 2 3 6 2 3 2" xfId="55699" xr:uid="{00000000-0005-0000-0000-000017D80000}"/>
    <cellStyle name="Normal 4 4 2 3 6 2 4" xfId="45968" xr:uid="{00000000-0005-0000-0000-000018D80000}"/>
    <cellStyle name="Normal 4 4 2 3 6 3" xfId="14091" xr:uid="{00000000-0005-0000-0000-000019D80000}"/>
    <cellStyle name="Normal 4 4 2 3 6 3 2" xfId="27767" xr:uid="{00000000-0005-0000-0000-00001AD80000}"/>
    <cellStyle name="Normal 4 4 2 3 6 3 2 2" xfId="59638" xr:uid="{00000000-0005-0000-0000-00001BD80000}"/>
    <cellStyle name="Normal 4 4 2 3 6 3 3" xfId="45970" xr:uid="{00000000-0005-0000-0000-00001CD80000}"/>
    <cellStyle name="Normal 4 4 2 3 6 4" xfId="19889" xr:uid="{00000000-0005-0000-0000-00001DD80000}"/>
    <cellStyle name="Normal 4 4 2 3 6 4 2" xfId="51760" xr:uid="{00000000-0005-0000-0000-00001ED80000}"/>
    <cellStyle name="Normal 4 4 2 3 6 5" xfId="45967" xr:uid="{00000000-0005-0000-0000-00001FD80000}"/>
    <cellStyle name="Normal 4 4 2 3 7" xfId="14092" xr:uid="{00000000-0005-0000-0000-000020D80000}"/>
    <cellStyle name="Normal 4 4 2 3 7 2" xfId="14093" xr:uid="{00000000-0005-0000-0000-000021D80000}"/>
    <cellStyle name="Normal 4 4 2 3 7 2 2" xfId="28367" xr:uid="{00000000-0005-0000-0000-000022D80000}"/>
    <cellStyle name="Normal 4 4 2 3 7 2 2 2" xfId="60238" xr:uid="{00000000-0005-0000-0000-000023D80000}"/>
    <cellStyle name="Normal 4 4 2 3 7 2 3" xfId="45972" xr:uid="{00000000-0005-0000-0000-000024D80000}"/>
    <cellStyle name="Normal 4 4 2 3 7 3" xfId="20489" xr:uid="{00000000-0005-0000-0000-000025D80000}"/>
    <cellStyle name="Normal 4 4 2 3 7 3 2" xfId="52360" xr:uid="{00000000-0005-0000-0000-000026D80000}"/>
    <cellStyle name="Normal 4 4 2 3 7 4" xfId="45971" xr:uid="{00000000-0005-0000-0000-000027D80000}"/>
    <cellStyle name="Normal 4 4 2 3 8" xfId="14094" xr:uid="{00000000-0005-0000-0000-000028D80000}"/>
    <cellStyle name="Normal 4 4 2 3 8 2" xfId="24428" xr:uid="{00000000-0005-0000-0000-000029D80000}"/>
    <cellStyle name="Normal 4 4 2 3 8 2 2" xfId="56299" xr:uid="{00000000-0005-0000-0000-00002AD80000}"/>
    <cellStyle name="Normal 4 4 2 3 8 3" xfId="45973" xr:uid="{00000000-0005-0000-0000-00002BD80000}"/>
    <cellStyle name="Normal 4 4 2 3 9" xfId="16550" xr:uid="{00000000-0005-0000-0000-00002CD80000}"/>
    <cellStyle name="Normal 4 4 2 3 9 2" xfId="48421" xr:uid="{00000000-0005-0000-0000-00002DD80000}"/>
    <cellStyle name="Normal 4 4 2 4" xfId="14095" xr:uid="{00000000-0005-0000-0000-00002ED80000}"/>
    <cellStyle name="Normal 4 4 2 4 2" xfId="14096" xr:uid="{00000000-0005-0000-0000-00002FD80000}"/>
    <cellStyle name="Normal 4 4 2 4 2 2" xfId="14097" xr:uid="{00000000-0005-0000-0000-000030D80000}"/>
    <cellStyle name="Normal 4 4 2 4 2 2 2" xfId="14098" xr:uid="{00000000-0005-0000-0000-000031D80000}"/>
    <cellStyle name="Normal 4 4 2 4 2 2 2 2" xfId="14099" xr:uid="{00000000-0005-0000-0000-000032D80000}"/>
    <cellStyle name="Normal 4 4 2 4 2 2 2 2 2" xfId="14100" xr:uid="{00000000-0005-0000-0000-000033D80000}"/>
    <cellStyle name="Normal 4 4 2 4 2 2 2 2 2 2" xfId="14101" xr:uid="{00000000-0005-0000-0000-000034D80000}"/>
    <cellStyle name="Normal 4 4 2 4 2 2 2 2 2 2 2" xfId="31710" xr:uid="{00000000-0005-0000-0000-000035D80000}"/>
    <cellStyle name="Normal 4 4 2 4 2 2 2 2 2 2 2 2" xfId="63581" xr:uid="{00000000-0005-0000-0000-000036D80000}"/>
    <cellStyle name="Normal 4 4 2 4 2 2 2 2 2 2 3" xfId="45980" xr:uid="{00000000-0005-0000-0000-000037D80000}"/>
    <cellStyle name="Normal 4 4 2 4 2 2 2 2 2 3" xfId="23832" xr:uid="{00000000-0005-0000-0000-000038D80000}"/>
    <cellStyle name="Normal 4 4 2 4 2 2 2 2 2 3 2" xfId="55703" xr:uid="{00000000-0005-0000-0000-000039D80000}"/>
    <cellStyle name="Normal 4 4 2 4 2 2 2 2 2 4" xfId="45979" xr:uid="{00000000-0005-0000-0000-00003AD80000}"/>
    <cellStyle name="Normal 4 4 2 4 2 2 2 2 3" xfId="14102" xr:uid="{00000000-0005-0000-0000-00003BD80000}"/>
    <cellStyle name="Normal 4 4 2 4 2 2 2 2 3 2" xfId="27771" xr:uid="{00000000-0005-0000-0000-00003CD80000}"/>
    <cellStyle name="Normal 4 4 2 4 2 2 2 2 3 2 2" xfId="59642" xr:uid="{00000000-0005-0000-0000-00003DD80000}"/>
    <cellStyle name="Normal 4 4 2 4 2 2 2 2 3 3" xfId="45981" xr:uid="{00000000-0005-0000-0000-00003ED80000}"/>
    <cellStyle name="Normal 4 4 2 4 2 2 2 2 4" xfId="19893" xr:uid="{00000000-0005-0000-0000-00003FD80000}"/>
    <cellStyle name="Normal 4 4 2 4 2 2 2 2 4 2" xfId="51764" xr:uid="{00000000-0005-0000-0000-000040D80000}"/>
    <cellStyle name="Normal 4 4 2 4 2 2 2 2 5" xfId="45978" xr:uid="{00000000-0005-0000-0000-000041D80000}"/>
    <cellStyle name="Normal 4 4 2 4 2 2 2 3" xfId="14103" xr:uid="{00000000-0005-0000-0000-000042D80000}"/>
    <cellStyle name="Normal 4 4 2 4 2 2 2 3 2" xfId="14104" xr:uid="{00000000-0005-0000-0000-000043D80000}"/>
    <cellStyle name="Normal 4 4 2 4 2 2 2 3 2 2" xfId="31709" xr:uid="{00000000-0005-0000-0000-000044D80000}"/>
    <cellStyle name="Normal 4 4 2 4 2 2 2 3 2 2 2" xfId="63580" xr:uid="{00000000-0005-0000-0000-000045D80000}"/>
    <cellStyle name="Normal 4 4 2 4 2 2 2 3 2 3" xfId="45983" xr:uid="{00000000-0005-0000-0000-000046D80000}"/>
    <cellStyle name="Normal 4 4 2 4 2 2 2 3 3" xfId="23831" xr:uid="{00000000-0005-0000-0000-000047D80000}"/>
    <cellStyle name="Normal 4 4 2 4 2 2 2 3 3 2" xfId="55702" xr:uid="{00000000-0005-0000-0000-000048D80000}"/>
    <cellStyle name="Normal 4 4 2 4 2 2 2 3 4" xfId="45982" xr:uid="{00000000-0005-0000-0000-000049D80000}"/>
    <cellStyle name="Normal 4 4 2 4 2 2 2 4" xfId="14105" xr:uid="{00000000-0005-0000-0000-00004AD80000}"/>
    <cellStyle name="Normal 4 4 2 4 2 2 2 4 2" xfId="27770" xr:uid="{00000000-0005-0000-0000-00004BD80000}"/>
    <cellStyle name="Normal 4 4 2 4 2 2 2 4 2 2" xfId="59641" xr:uid="{00000000-0005-0000-0000-00004CD80000}"/>
    <cellStyle name="Normal 4 4 2 4 2 2 2 4 3" xfId="45984" xr:uid="{00000000-0005-0000-0000-00004DD80000}"/>
    <cellStyle name="Normal 4 4 2 4 2 2 2 5" xfId="19892" xr:uid="{00000000-0005-0000-0000-00004ED80000}"/>
    <cellStyle name="Normal 4 4 2 4 2 2 2 5 2" xfId="51763" xr:uid="{00000000-0005-0000-0000-00004FD80000}"/>
    <cellStyle name="Normal 4 4 2 4 2 2 2 6" xfId="45977" xr:uid="{00000000-0005-0000-0000-000050D80000}"/>
    <cellStyle name="Normal 4 4 2 4 2 2 3" xfId="14106" xr:uid="{00000000-0005-0000-0000-000051D80000}"/>
    <cellStyle name="Normal 4 4 2 4 2 2 3 2" xfId="14107" xr:uid="{00000000-0005-0000-0000-000052D80000}"/>
    <cellStyle name="Normal 4 4 2 4 2 2 3 2 2" xfId="14108" xr:uid="{00000000-0005-0000-0000-000053D80000}"/>
    <cellStyle name="Normal 4 4 2 4 2 2 3 2 2 2" xfId="31711" xr:uid="{00000000-0005-0000-0000-000054D80000}"/>
    <cellStyle name="Normal 4 4 2 4 2 2 3 2 2 2 2" xfId="63582" xr:uid="{00000000-0005-0000-0000-000055D80000}"/>
    <cellStyle name="Normal 4 4 2 4 2 2 3 2 2 3" xfId="45987" xr:uid="{00000000-0005-0000-0000-000056D80000}"/>
    <cellStyle name="Normal 4 4 2 4 2 2 3 2 3" xfId="23833" xr:uid="{00000000-0005-0000-0000-000057D80000}"/>
    <cellStyle name="Normal 4 4 2 4 2 2 3 2 3 2" xfId="55704" xr:uid="{00000000-0005-0000-0000-000058D80000}"/>
    <cellStyle name="Normal 4 4 2 4 2 2 3 2 4" xfId="45986" xr:uid="{00000000-0005-0000-0000-000059D80000}"/>
    <cellStyle name="Normal 4 4 2 4 2 2 3 3" xfId="14109" xr:uid="{00000000-0005-0000-0000-00005AD80000}"/>
    <cellStyle name="Normal 4 4 2 4 2 2 3 3 2" xfId="27772" xr:uid="{00000000-0005-0000-0000-00005BD80000}"/>
    <cellStyle name="Normal 4 4 2 4 2 2 3 3 2 2" xfId="59643" xr:uid="{00000000-0005-0000-0000-00005CD80000}"/>
    <cellStyle name="Normal 4 4 2 4 2 2 3 3 3" xfId="45988" xr:uid="{00000000-0005-0000-0000-00005DD80000}"/>
    <cellStyle name="Normal 4 4 2 4 2 2 3 4" xfId="19894" xr:uid="{00000000-0005-0000-0000-00005ED80000}"/>
    <cellStyle name="Normal 4 4 2 4 2 2 3 4 2" xfId="51765" xr:uid="{00000000-0005-0000-0000-00005FD80000}"/>
    <cellStyle name="Normal 4 4 2 4 2 2 3 5" xfId="45985" xr:uid="{00000000-0005-0000-0000-000060D80000}"/>
    <cellStyle name="Normal 4 4 2 4 2 2 4" xfId="14110" xr:uid="{00000000-0005-0000-0000-000061D80000}"/>
    <cellStyle name="Normal 4 4 2 4 2 2 4 2" xfId="14111" xr:uid="{00000000-0005-0000-0000-000062D80000}"/>
    <cellStyle name="Normal 4 4 2 4 2 2 4 2 2" xfId="31708" xr:uid="{00000000-0005-0000-0000-000063D80000}"/>
    <cellStyle name="Normal 4 4 2 4 2 2 4 2 2 2" xfId="63579" xr:uid="{00000000-0005-0000-0000-000064D80000}"/>
    <cellStyle name="Normal 4 4 2 4 2 2 4 2 3" xfId="45990" xr:uid="{00000000-0005-0000-0000-000065D80000}"/>
    <cellStyle name="Normal 4 4 2 4 2 2 4 3" xfId="23830" xr:uid="{00000000-0005-0000-0000-000066D80000}"/>
    <cellStyle name="Normal 4 4 2 4 2 2 4 3 2" xfId="55701" xr:uid="{00000000-0005-0000-0000-000067D80000}"/>
    <cellStyle name="Normal 4 4 2 4 2 2 4 4" xfId="45989" xr:uid="{00000000-0005-0000-0000-000068D80000}"/>
    <cellStyle name="Normal 4 4 2 4 2 2 5" xfId="14112" xr:uid="{00000000-0005-0000-0000-000069D80000}"/>
    <cellStyle name="Normal 4 4 2 4 2 2 5 2" xfId="27769" xr:uid="{00000000-0005-0000-0000-00006AD80000}"/>
    <cellStyle name="Normal 4 4 2 4 2 2 5 2 2" xfId="59640" xr:uid="{00000000-0005-0000-0000-00006BD80000}"/>
    <cellStyle name="Normal 4 4 2 4 2 2 5 3" xfId="45991" xr:uid="{00000000-0005-0000-0000-00006CD80000}"/>
    <cellStyle name="Normal 4 4 2 4 2 2 6" xfId="19891" xr:uid="{00000000-0005-0000-0000-00006DD80000}"/>
    <cellStyle name="Normal 4 4 2 4 2 2 6 2" xfId="51762" xr:uid="{00000000-0005-0000-0000-00006ED80000}"/>
    <cellStyle name="Normal 4 4 2 4 2 2 7" xfId="45976" xr:uid="{00000000-0005-0000-0000-00006FD80000}"/>
    <cellStyle name="Normal 4 4 2 4 2 3" xfId="14113" xr:uid="{00000000-0005-0000-0000-000070D80000}"/>
    <cellStyle name="Normal 4 4 2 4 2 3 2" xfId="14114" xr:uid="{00000000-0005-0000-0000-000071D80000}"/>
    <cellStyle name="Normal 4 4 2 4 2 3 2 2" xfId="14115" xr:uid="{00000000-0005-0000-0000-000072D80000}"/>
    <cellStyle name="Normal 4 4 2 4 2 3 2 2 2" xfId="14116" xr:uid="{00000000-0005-0000-0000-000073D80000}"/>
    <cellStyle name="Normal 4 4 2 4 2 3 2 2 2 2" xfId="31713" xr:uid="{00000000-0005-0000-0000-000074D80000}"/>
    <cellStyle name="Normal 4 4 2 4 2 3 2 2 2 2 2" xfId="63584" xr:uid="{00000000-0005-0000-0000-000075D80000}"/>
    <cellStyle name="Normal 4 4 2 4 2 3 2 2 2 3" xfId="45995" xr:uid="{00000000-0005-0000-0000-000076D80000}"/>
    <cellStyle name="Normal 4 4 2 4 2 3 2 2 3" xfId="23835" xr:uid="{00000000-0005-0000-0000-000077D80000}"/>
    <cellStyle name="Normal 4 4 2 4 2 3 2 2 3 2" xfId="55706" xr:uid="{00000000-0005-0000-0000-000078D80000}"/>
    <cellStyle name="Normal 4 4 2 4 2 3 2 2 4" xfId="45994" xr:uid="{00000000-0005-0000-0000-000079D80000}"/>
    <cellStyle name="Normal 4 4 2 4 2 3 2 3" xfId="14117" xr:uid="{00000000-0005-0000-0000-00007AD80000}"/>
    <cellStyle name="Normal 4 4 2 4 2 3 2 3 2" xfId="27774" xr:uid="{00000000-0005-0000-0000-00007BD80000}"/>
    <cellStyle name="Normal 4 4 2 4 2 3 2 3 2 2" xfId="59645" xr:uid="{00000000-0005-0000-0000-00007CD80000}"/>
    <cellStyle name="Normal 4 4 2 4 2 3 2 3 3" xfId="45996" xr:uid="{00000000-0005-0000-0000-00007DD80000}"/>
    <cellStyle name="Normal 4 4 2 4 2 3 2 4" xfId="19896" xr:uid="{00000000-0005-0000-0000-00007ED80000}"/>
    <cellStyle name="Normal 4 4 2 4 2 3 2 4 2" xfId="51767" xr:uid="{00000000-0005-0000-0000-00007FD80000}"/>
    <cellStyle name="Normal 4 4 2 4 2 3 2 5" xfId="45993" xr:uid="{00000000-0005-0000-0000-000080D80000}"/>
    <cellStyle name="Normal 4 4 2 4 2 3 3" xfId="14118" xr:uid="{00000000-0005-0000-0000-000081D80000}"/>
    <cellStyle name="Normal 4 4 2 4 2 3 3 2" xfId="14119" xr:uid="{00000000-0005-0000-0000-000082D80000}"/>
    <cellStyle name="Normal 4 4 2 4 2 3 3 2 2" xfId="31712" xr:uid="{00000000-0005-0000-0000-000083D80000}"/>
    <cellStyle name="Normal 4 4 2 4 2 3 3 2 2 2" xfId="63583" xr:uid="{00000000-0005-0000-0000-000084D80000}"/>
    <cellStyle name="Normal 4 4 2 4 2 3 3 2 3" xfId="45998" xr:uid="{00000000-0005-0000-0000-000085D80000}"/>
    <cellStyle name="Normal 4 4 2 4 2 3 3 3" xfId="23834" xr:uid="{00000000-0005-0000-0000-000086D80000}"/>
    <cellStyle name="Normal 4 4 2 4 2 3 3 3 2" xfId="55705" xr:uid="{00000000-0005-0000-0000-000087D80000}"/>
    <cellStyle name="Normal 4 4 2 4 2 3 3 4" xfId="45997" xr:uid="{00000000-0005-0000-0000-000088D80000}"/>
    <cellStyle name="Normal 4 4 2 4 2 3 4" xfId="14120" xr:uid="{00000000-0005-0000-0000-000089D80000}"/>
    <cellStyle name="Normal 4 4 2 4 2 3 4 2" xfId="27773" xr:uid="{00000000-0005-0000-0000-00008AD80000}"/>
    <cellStyle name="Normal 4 4 2 4 2 3 4 2 2" xfId="59644" xr:uid="{00000000-0005-0000-0000-00008BD80000}"/>
    <cellStyle name="Normal 4 4 2 4 2 3 4 3" xfId="45999" xr:uid="{00000000-0005-0000-0000-00008CD80000}"/>
    <cellStyle name="Normal 4 4 2 4 2 3 5" xfId="19895" xr:uid="{00000000-0005-0000-0000-00008DD80000}"/>
    <cellStyle name="Normal 4 4 2 4 2 3 5 2" xfId="51766" xr:uid="{00000000-0005-0000-0000-00008ED80000}"/>
    <cellStyle name="Normal 4 4 2 4 2 3 6" xfId="45992" xr:uid="{00000000-0005-0000-0000-00008FD80000}"/>
    <cellStyle name="Normal 4 4 2 4 2 4" xfId="14121" xr:uid="{00000000-0005-0000-0000-000090D80000}"/>
    <cellStyle name="Normal 4 4 2 4 2 4 2" xfId="14122" xr:uid="{00000000-0005-0000-0000-000091D80000}"/>
    <cellStyle name="Normal 4 4 2 4 2 4 2 2" xfId="14123" xr:uid="{00000000-0005-0000-0000-000092D80000}"/>
    <cellStyle name="Normal 4 4 2 4 2 4 2 2 2" xfId="31714" xr:uid="{00000000-0005-0000-0000-000093D80000}"/>
    <cellStyle name="Normal 4 4 2 4 2 4 2 2 2 2" xfId="63585" xr:uid="{00000000-0005-0000-0000-000094D80000}"/>
    <cellStyle name="Normal 4 4 2 4 2 4 2 2 3" xfId="46002" xr:uid="{00000000-0005-0000-0000-000095D80000}"/>
    <cellStyle name="Normal 4 4 2 4 2 4 2 3" xfId="23836" xr:uid="{00000000-0005-0000-0000-000096D80000}"/>
    <cellStyle name="Normal 4 4 2 4 2 4 2 3 2" xfId="55707" xr:uid="{00000000-0005-0000-0000-000097D80000}"/>
    <cellStyle name="Normal 4 4 2 4 2 4 2 4" xfId="46001" xr:uid="{00000000-0005-0000-0000-000098D80000}"/>
    <cellStyle name="Normal 4 4 2 4 2 4 3" xfId="14124" xr:uid="{00000000-0005-0000-0000-000099D80000}"/>
    <cellStyle name="Normal 4 4 2 4 2 4 3 2" xfId="27775" xr:uid="{00000000-0005-0000-0000-00009AD80000}"/>
    <cellStyle name="Normal 4 4 2 4 2 4 3 2 2" xfId="59646" xr:uid="{00000000-0005-0000-0000-00009BD80000}"/>
    <cellStyle name="Normal 4 4 2 4 2 4 3 3" xfId="46003" xr:uid="{00000000-0005-0000-0000-00009CD80000}"/>
    <cellStyle name="Normal 4 4 2 4 2 4 4" xfId="19897" xr:uid="{00000000-0005-0000-0000-00009DD80000}"/>
    <cellStyle name="Normal 4 4 2 4 2 4 4 2" xfId="51768" xr:uid="{00000000-0005-0000-0000-00009ED80000}"/>
    <cellStyle name="Normal 4 4 2 4 2 4 5" xfId="46000" xr:uid="{00000000-0005-0000-0000-00009FD80000}"/>
    <cellStyle name="Normal 4 4 2 4 2 5" xfId="14125" xr:uid="{00000000-0005-0000-0000-0000A0D80000}"/>
    <cellStyle name="Normal 4 4 2 4 2 5 2" xfId="14126" xr:uid="{00000000-0005-0000-0000-0000A1D80000}"/>
    <cellStyle name="Normal 4 4 2 4 2 5 2 2" xfId="31707" xr:uid="{00000000-0005-0000-0000-0000A2D80000}"/>
    <cellStyle name="Normal 4 4 2 4 2 5 2 2 2" xfId="63578" xr:uid="{00000000-0005-0000-0000-0000A3D80000}"/>
    <cellStyle name="Normal 4 4 2 4 2 5 2 3" xfId="46005" xr:uid="{00000000-0005-0000-0000-0000A4D80000}"/>
    <cellStyle name="Normal 4 4 2 4 2 5 3" xfId="23829" xr:uid="{00000000-0005-0000-0000-0000A5D80000}"/>
    <cellStyle name="Normal 4 4 2 4 2 5 3 2" xfId="55700" xr:uid="{00000000-0005-0000-0000-0000A6D80000}"/>
    <cellStyle name="Normal 4 4 2 4 2 5 4" xfId="46004" xr:uid="{00000000-0005-0000-0000-0000A7D80000}"/>
    <cellStyle name="Normal 4 4 2 4 2 6" xfId="14127" xr:uid="{00000000-0005-0000-0000-0000A8D80000}"/>
    <cellStyle name="Normal 4 4 2 4 2 6 2" xfId="27768" xr:uid="{00000000-0005-0000-0000-0000A9D80000}"/>
    <cellStyle name="Normal 4 4 2 4 2 6 2 2" xfId="59639" xr:uid="{00000000-0005-0000-0000-0000AAD80000}"/>
    <cellStyle name="Normal 4 4 2 4 2 6 3" xfId="46006" xr:uid="{00000000-0005-0000-0000-0000ABD80000}"/>
    <cellStyle name="Normal 4 4 2 4 2 7" xfId="19890" xr:uid="{00000000-0005-0000-0000-0000ACD80000}"/>
    <cellStyle name="Normal 4 4 2 4 2 7 2" xfId="51761" xr:uid="{00000000-0005-0000-0000-0000ADD80000}"/>
    <cellStyle name="Normal 4 4 2 4 2 8" xfId="45975" xr:uid="{00000000-0005-0000-0000-0000AED80000}"/>
    <cellStyle name="Normal 4 4 2 4 3" xfId="14128" xr:uid="{00000000-0005-0000-0000-0000AFD80000}"/>
    <cellStyle name="Normal 4 4 2 4 3 2" xfId="14129" xr:uid="{00000000-0005-0000-0000-0000B0D80000}"/>
    <cellStyle name="Normal 4 4 2 4 3 2 2" xfId="14130" xr:uid="{00000000-0005-0000-0000-0000B1D80000}"/>
    <cellStyle name="Normal 4 4 2 4 3 2 2 2" xfId="14131" xr:uid="{00000000-0005-0000-0000-0000B2D80000}"/>
    <cellStyle name="Normal 4 4 2 4 3 2 2 2 2" xfId="14132" xr:uid="{00000000-0005-0000-0000-0000B3D80000}"/>
    <cellStyle name="Normal 4 4 2 4 3 2 2 2 2 2" xfId="31717" xr:uid="{00000000-0005-0000-0000-0000B4D80000}"/>
    <cellStyle name="Normal 4 4 2 4 3 2 2 2 2 2 2" xfId="63588" xr:uid="{00000000-0005-0000-0000-0000B5D80000}"/>
    <cellStyle name="Normal 4 4 2 4 3 2 2 2 2 3" xfId="46011" xr:uid="{00000000-0005-0000-0000-0000B6D80000}"/>
    <cellStyle name="Normal 4 4 2 4 3 2 2 2 3" xfId="23839" xr:uid="{00000000-0005-0000-0000-0000B7D80000}"/>
    <cellStyle name="Normal 4 4 2 4 3 2 2 2 3 2" xfId="55710" xr:uid="{00000000-0005-0000-0000-0000B8D80000}"/>
    <cellStyle name="Normal 4 4 2 4 3 2 2 2 4" xfId="46010" xr:uid="{00000000-0005-0000-0000-0000B9D80000}"/>
    <cellStyle name="Normal 4 4 2 4 3 2 2 3" xfId="14133" xr:uid="{00000000-0005-0000-0000-0000BAD80000}"/>
    <cellStyle name="Normal 4 4 2 4 3 2 2 3 2" xfId="27778" xr:uid="{00000000-0005-0000-0000-0000BBD80000}"/>
    <cellStyle name="Normal 4 4 2 4 3 2 2 3 2 2" xfId="59649" xr:uid="{00000000-0005-0000-0000-0000BCD80000}"/>
    <cellStyle name="Normal 4 4 2 4 3 2 2 3 3" xfId="46012" xr:uid="{00000000-0005-0000-0000-0000BDD80000}"/>
    <cellStyle name="Normal 4 4 2 4 3 2 2 4" xfId="19900" xr:uid="{00000000-0005-0000-0000-0000BED80000}"/>
    <cellStyle name="Normal 4 4 2 4 3 2 2 4 2" xfId="51771" xr:uid="{00000000-0005-0000-0000-0000BFD80000}"/>
    <cellStyle name="Normal 4 4 2 4 3 2 2 5" xfId="46009" xr:uid="{00000000-0005-0000-0000-0000C0D80000}"/>
    <cellStyle name="Normal 4 4 2 4 3 2 3" xfId="14134" xr:uid="{00000000-0005-0000-0000-0000C1D80000}"/>
    <cellStyle name="Normal 4 4 2 4 3 2 3 2" xfId="14135" xr:uid="{00000000-0005-0000-0000-0000C2D80000}"/>
    <cellStyle name="Normal 4 4 2 4 3 2 3 2 2" xfId="31716" xr:uid="{00000000-0005-0000-0000-0000C3D80000}"/>
    <cellStyle name="Normal 4 4 2 4 3 2 3 2 2 2" xfId="63587" xr:uid="{00000000-0005-0000-0000-0000C4D80000}"/>
    <cellStyle name="Normal 4 4 2 4 3 2 3 2 3" xfId="46014" xr:uid="{00000000-0005-0000-0000-0000C5D80000}"/>
    <cellStyle name="Normal 4 4 2 4 3 2 3 3" xfId="23838" xr:uid="{00000000-0005-0000-0000-0000C6D80000}"/>
    <cellStyle name="Normal 4 4 2 4 3 2 3 3 2" xfId="55709" xr:uid="{00000000-0005-0000-0000-0000C7D80000}"/>
    <cellStyle name="Normal 4 4 2 4 3 2 3 4" xfId="46013" xr:uid="{00000000-0005-0000-0000-0000C8D80000}"/>
    <cellStyle name="Normal 4 4 2 4 3 2 4" xfId="14136" xr:uid="{00000000-0005-0000-0000-0000C9D80000}"/>
    <cellStyle name="Normal 4 4 2 4 3 2 4 2" xfId="27777" xr:uid="{00000000-0005-0000-0000-0000CAD80000}"/>
    <cellStyle name="Normal 4 4 2 4 3 2 4 2 2" xfId="59648" xr:uid="{00000000-0005-0000-0000-0000CBD80000}"/>
    <cellStyle name="Normal 4 4 2 4 3 2 4 3" xfId="46015" xr:uid="{00000000-0005-0000-0000-0000CCD80000}"/>
    <cellStyle name="Normal 4 4 2 4 3 2 5" xfId="19899" xr:uid="{00000000-0005-0000-0000-0000CDD80000}"/>
    <cellStyle name="Normal 4 4 2 4 3 2 5 2" xfId="51770" xr:uid="{00000000-0005-0000-0000-0000CED80000}"/>
    <cellStyle name="Normal 4 4 2 4 3 2 6" xfId="46008" xr:uid="{00000000-0005-0000-0000-0000CFD80000}"/>
    <cellStyle name="Normal 4 4 2 4 3 3" xfId="14137" xr:uid="{00000000-0005-0000-0000-0000D0D80000}"/>
    <cellStyle name="Normal 4 4 2 4 3 3 2" xfId="14138" xr:uid="{00000000-0005-0000-0000-0000D1D80000}"/>
    <cellStyle name="Normal 4 4 2 4 3 3 2 2" xfId="14139" xr:uid="{00000000-0005-0000-0000-0000D2D80000}"/>
    <cellStyle name="Normal 4 4 2 4 3 3 2 2 2" xfId="31718" xr:uid="{00000000-0005-0000-0000-0000D3D80000}"/>
    <cellStyle name="Normal 4 4 2 4 3 3 2 2 2 2" xfId="63589" xr:uid="{00000000-0005-0000-0000-0000D4D80000}"/>
    <cellStyle name="Normal 4 4 2 4 3 3 2 2 3" xfId="46018" xr:uid="{00000000-0005-0000-0000-0000D5D80000}"/>
    <cellStyle name="Normal 4 4 2 4 3 3 2 3" xfId="23840" xr:uid="{00000000-0005-0000-0000-0000D6D80000}"/>
    <cellStyle name="Normal 4 4 2 4 3 3 2 3 2" xfId="55711" xr:uid="{00000000-0005-0000-0000-0000D7D80000}"/>
    <cellStyle name="Normal 4 4 2 4 3 3 2 4" xfId="46017" xr:uid="{00000000-0005-0000-0000-0000D8D80000}"/>
    <cellStyle name="Normal 4 4 2 4 3 3 3" xfId="14140" xr:uid="{00000000-0005-0000-0000-0000D9D80000}"/>
    <cellStyle name="Normal 4 4 2 4 3 3 3 2" xfId="27779" xr:uid="{00000000-0005-0000-0000-0000DAD80000}"/>
    <cellStyle name="Normal 4 4 2 4 3 3 3 2 2" xfId="59650" xr:uid="{00000000-0005-0000-0000-0000DBD80000}"/>
    <cellStyle name="Normal 4 4 2 4 3 3 3 3" xfId="46019" xr:uid="{00000000-0005-0000-0000-0000DCD80000}"/>
    <cellStyle name="Normal 4 4 2 4 3 3 4" xfId="19901" xr:uid="{00000000-0005-0000-0000-0000DDD80000}"/>
    <cellStyle name="Normal 4 4 2 4 3 3 4 2" xfId="51772" xr:uid="{00000000-0005-0000-0000-0000DED80000}"/>
    <cellStyle name="Normal 4 4 2 4 3 3 5" xfId="46016" xr:uid="{00000000-0005-0000-0000-0000DFD80000}"/>
    <cellStyle name="Normal 4 4 2 4 3 4" xfId="14141" xr:uid="{00000000-0005-0000-0000-0000E0D80000}"/>
    <cellStyle name="Normal 4 4 2 4 3 4 2" xfId="14142" xr:uid="{00000000-0005-0000-0000-0000E1D80000}"/>
    <cellStyle name="Normal 4 4 2 4 3 4 2 2" xfId="31715" xr:uid="{00000000-0005-0000-0000-0000E2D80000}"/>
    <cellStyle name="Normal 4 4 2 4 3 4 2 2 2" xfId="63586" xr:uid="{00000000-0005-0000-0000-0000E3D80000}"/>
    <cellStyle name="Normal 4 4 2 4 3 4 2 3" xfId="46021" xr:uid="{00000000-0005-0000-0000-0000E4D80000}"/>
    <cellStyle name="Normal 4 4 2 4 3 4 3" xfId="23837" xr:uid="{00000000-0005-0000-0000-0000E5D80000}"/>
    <cellStyle name="Normal 4 4 2 4 3 4 3 2" xfId="55708" xr:uid="{00000000-0005-0000-0000-0000E6D80000}"/>
    <cellStyle name="Normal 4 4 2 4 3 4 4" xfId="46020" xr:uid="{00000000-0005-0000-0000-0000E7D80000}"/>
    <cellStyle name="Normal 4 4 2 4 3 5" xfId="14143" xr:uid="{00000000-0005-0000-0000-0000E8D80000}"/>
    <cellStyle name="Normal 4 4 2 4 3 5 2" xfId="27776" xr:uid="{00000000-0005-0000-0000-0000E9D80000}"/>
    <cellStyle name="Normal 4 4 2 4 3 5 2 2" xfId="59647" xr:uid="{00000000-0005-0000-0000-0000EAD80000}"/>
    <cellStyle name="Normal 4 4 2 4 3 5 3" xfId="46022" xr:uid="{00000000-0005-0000-0000-0000EBD80000}"/>
    <cellStyle name="Normal 4 4 2 4 3 6" xfId="19898" xr:uid="{00000000-0005-0000-0000-0000ECD80000}"/>
    <cellStyle name="Normal 4 4 2 4 3 6 2" xfId="51769" xr:uid="{00000000-0005-0000-0000-0000EDD80000}"/>
    <cellStyle name="Normal 4 4 2 4 3 7" xfId="46007" xr:uid="{00000000-0005-0000-0000-0000EED80000}"/>
    <cellStyle name="Normal 4 4 2 4 4" xfId="14144" xr:uid="{00000000-0005-0000-0000-0000EFD80000}"/>
    <cellStyle name="Normal 4 4 2 4 4 2" xfId="14145" xr:uid="{00000000-0005-0000-0000-0000F0D80000}"/>
    <cellStyle name="Normal 4 4 2 4 4 2 2" xfId="14146" xr:uid="{00000000-0005-0000-0000-0000F1D80000}"/>
    <cellStyle name="Normal 4 4 2 4 4 2 2 2" xfId="14147" xr:uid="{00000000-0005-0000-0000-0000F2D80000}"/>
    <cellStyle name="Normal 4 4 2 4 4 2 2 2 2" xfId="31720" xr:uid="{00000000-0005-0000-0000-0000F3D80000}"/>
    <cellStyle name="Normal 4 4 2 4 4 2 2 2 2 2" xfId="63591" xr:uid="{00000000-0005-0000-0000-0000F4D80000}"/>
    <cellStyle name="Normal 4 4 2 4 4 2 2 2 3" xfId="46026" xr:uid="{00000000-0005-0000-0000-0000F5D80000}"/>
    <cellStyle name="Normal 4 4 2 4 4 2 2 3" xfId="23842" xr:uid="{00000000-0005-0000-0000-0000F6D80000}"/>
    <cellStyle name="Normal 4 4 2 4 4 2 2 3 2" xfId="55713" xr:uid="{00000000-0005-0000-0000-0000F7D80000}"/>
    <cellStyle name="Normal 4 4 2 4 4 2 2 4" xfId="46025" xr:uid="{00000000-0005-0000-0000-0000F8D80000}"/>
    <cellStyle name="Normal 4 4 2 4 4 2 3" xfId="14148" xr:uid="{00000000-0005-0000-0000-0000F9D80000}"/>
    <cellStyle name="Normal 4 4 2 4 4 2 3 2" xfId="27781" xr:uid="{00000000-0005-0000-0000-0000FAD80000}"/>
    <cellStyle name="Normal 4 4 2 4 4 2 3 2 2" xfId="59652" xr:uid="{00000000-0005-0000-0000-0000FBD80000}"/>
    <cellStyle name="Normal 4 4 2 4 4 2 3 3" xfId="46027" xr:uid="{00000000-0005-0000-0000-0000FCD80000}"/>
    <cellStyle name="Normal 4 4 2 4 4 2 4" xfId="19903" xr:uid="{00000000-0005-0000-0000-0000FDD80000}"/>
    <cellStyle name="Normal 4 4 2 4 4 2 4 2" xfId="51774" xr:uid="{00000000-0005-0000-0000-0000FED80000}"/>
    <cellStyle name="Normal 4 4 2 4 4 2 5" xfId="46024" xr:uid="{00000000-0005-0000-0000-0000FFD80000}"/>
    <cellStyle name="Normal 4 4 2 4 4 3" xfId="14149" xr:uid="{00000000-0005-0000-0000-000000D90000}"/>
    <cellStyle name="Normal 4 4 2 4 4 3 2" xfId="14150" xr:uid="{00000000-0005-0000-0000-000001D90000}"/>
    <cellStyle name="Normal 4 4 2 4 4 3 2 2" xfId="31719" xr:uid="{00000000-0005-0000-0000-000002D90000}"/>
    <cellStyle name="Normal 4 4 2 4 4 3 2 2 2" xfId="63590" xr:uid="{00000000-0005-0000-0000-000003D90000}"/>
    <cellStyle name="Normal 4 4 2 4 4 3 2 3" xfId="46029" xr:uid="{00000000-0005-0000-0000-000004D90000}"/>
    <cellStyle name="Normal 4 4 2 4 4 3 3" xfId="23841" xr:uid="{00000000-0005-0000-0000-000005D90000}"/>
    <cellStyle name="Normal 4 4 2 4 4 3 3 2" xfId="55712" xr:uid="{00000000-0005-0000-0000-000006D90000}"/>
    <cellStyle name="Normal 4 4 2 4 4 3 4" xfId="46028" xr:uid="{00000000-0005-0000-0000-000007D90000}"/>
    <cellStyle name="Normal 4 4 2 4 4 4" xfId="14151" xr:uid="{00000000-0005-0000-0000-000008D90000}"/>
    <cellStyle name="Normal 4 4 2 4 4 4 2" xfId="27780" xr:uid="{00000000-0005-0000-0000-000009D90000}"/>
    <cellStyle name="Normal 4 4 2 4 4 4 2 2" xfId="59651" xr:uid="{00000000-0005-0000-0000-00000AD90000}"/>
    <cellStyle name="Normal 4 4 2 4 4 4 3" xfId="46030" xr:uid="{00000000-0005-0000-0000-00000BD90000}"/>
    <cellStyle name="Normal 4 4 2 4 4 5" xfId="19902" xr:uid="{00000000-0005-0000-0000-00000CD90000}"/>
    <cellStyle name="Normal 4 4 2 4 4 5 2" xfId="51773" xr:uid="{00000000-0005-0000-0000-00000DD90000}"/>
    <cellStyle name="Normal 4 4 2 4 4 6" xfId="46023" xr:uid="{00000000-0005-0000-0000-00000ED90000}"/>
    <cellStyle name="Normal 4 4 2 4 5" xfId="14152" xr:uid="{00000000-0005-0000-0000-00000FD90000}"/>
    <cellStyle name="Normal 4 4 2 4 5 2" xfId="14153" xr:uid="{00000000-0005-0000-0000-000010D90000}"/>
    <cellStyle name="Normal 4 4 2 4 5 2 2" xfId="14154" xr:uid="{00000000-0005-0000-0000-000011D90000}"/>
    <cellStyle name="Normal 4 4 2 4 5 2 2 2" xfId="31721" xr:uid="{00000000-0005-0000-0000-000012D90000}"/>
    <cellStyle name="Normal 4 4 2 4 5 2 2 2 2" xfId="63592" xr:uid="{00000000-0005-0000-0000-000013D90000}"/>
    <cellStyle name="Normal 4 4 2 4 5 2 2 3" xfId="46033" xr:uid="{00000000-0005-0000-0000-000014D90000}"/>
    <cellStyle name="Normal 4 4 2 4 5 2 3" xfId="23843" xr:uid="{00000000-0005-0000-0000-000015D90000}"/>
    <cellStyle name="Normal 4 4 2 4 5 2 3 2" xfId="55714" xr:uid="{00000000-0005-0000-0000-000016D90000}"/>
    <cellStyle name="Normal 4 4 2 4 5 2 4" xfId="46032" xr:uid="{00000000-0005-0000-0000-000017D90000}"/>
    <cellStyle name="Normal 4 4 2 4 5 3" xfId="14155" xr:uid="{00000000-0005-0000-0000-000018D90000}"/>
    <cellStyle name="Normal 4 4 2 4 5 3 2" xfId="27782" xr:uid="{00000000-0005-0000-0000-000019D90000}"/>
    <cellStyle name="Normal 4 4 2 4 5 3 2 2" xfId="59653" xr:uid="{00000000-0005-0000-0000-00001AD90000}"/>
    <cellStyle name="Normal 4 4 2 4 5 3 3" xfId="46034" xr:uid="{00000000-0005-0000-0000-00001BD90000}"/>
    <cellStyle name="Normal 4 4 2 4 5 4" xfId="19904" xr:uid="{00000000-0005-0000-0000-00001CD90000}"/>
    <cellStyle name="Normal 4 4 2 4 5 4 2" xfId="51775" xr:uid="{00000000-0005-0000-0000-00001DD90000}"/>
    <cellStyle name="Normal 4 4 2 4 5 5" xfId="46031" xr:uid="{00000000-0005-0000-0000-00001ED90000}"/>
    <cellStyle name="Normal 4 4 2 4 6" xfId="14156" xr:uid="{00000000-0005-0000-0000-00001FD90000}"/>
    <cellStyle name="Normal 4 4 2 4 6 2" xfId="14157" xr:uid="{00000000-0005-0000-0000-000020D90000}"/>
    <cellStyle name="Normal 4 4 2 4 6 2 2" xfId="28408" xr:uid="{00000000-0005-0000-0000-000021D90000}"/>
    <cellStyle name="Normal 4 4 2 4 6 2 2 2" xfId="60279" xr:uid="{00000000-0005-0000-0000-000022D90000}"/>
    <cellStyle name="Normal 4 4 2 4 6 2 3" xfId="46036" xr:uid="{00000000-0005-0000-0000-000023D90000}"/>
    <cellStyle name="Normal 4 4 2 4 6 3" xfId="20530" xr:uid="{00000000-0005-0000-0000-000024D90000}"/>
    <cellStyle name="Normal 4 4 2 4 6 3 2" xfId="52401" xr:uid="{00000000-0005-0000-0000-000025D90000}"/>
    <cellStyle name="Normal 4 4 2 4 6 4" xfId="46035" xr:uid="{00000000-0005-0000-0000-000026D90000}"/>
    <cellStyle name="Normal 4 4 2 4 7" xfId="14158" xr:uid="{00000000-0005-0000-0000-000027D90000}"/>
    <cellStyle name="Normal 4 4 2 4 7 2" xfId="24469" xr:uid="{00000000-0005-0000-0000-000028D90000}"/>
    <cellStyle name="Normal 4 4 2 4 7 2 2" xfId="56340" xr:uid="{00000000-0005-0000-0000-000029D90000}"/>
    <cellStyle name="Normal 4 4 2 4 7 3" xfId="46037" xr:uid="{00000000-0005-0000-0000-00002AD90000}"/>
    <cellStyle name="Normal 4 4 2 4 8" xfId="16591" xr:uid="{00000000-0005-0000-0000-00002BD90000}"/>
    <cellStyle name="Normal 4 4 2 4 8 2" xfId="48462" xr:uid="{00000000-0005-0000-0000-00002CD90000}"/>
    <cellStyle name="Normal 4 4 2 4 9" xfId="45974" xr:uid="{00000000-0005-0000-0000-00002DD90000}"/>
    <cellStyle name="Normal 4 4 2 5" xfId="14159" xr:uid="{00000000-0005-0000-0000-00002ED90000}"/>
    <cellStyle name="Normal 4 4 2 5 2" xfId="14160" xr:uid="{00000000-0005-0000-0000-00002FD90000}"/>
    <cellStyle name="Normal 4 4 2 5 2 2" xfId="14161" xr:uid="{00000000-0005-0000-0000-000030D90000}"/>
    <cellStyle name="Normal 4 4 2 5 2 2 2" xfId="14162" xr:uid="{00000000-0005-0000-0000-000031D90000}"/>
    <cellStyle name="Normal 4 4 2 5 2 2 2 2" xfId="14163" xr:uid="{00000000-0005-0000-0000-000032D90000}"/>
    <cellStyle name="Normal 4 4 2 5 2 2 2 2 2" xfId="14164" xr:uid="{00000000-0005-0000-0000-000033D90000}"/>
    <cellStyle name="Normal 4 4 2 5 2 2 2 2 2 2" xfId="31725" xr:uid="{00000000-0005-0000-0000-000034D90000}"/>
    <cellStyle name="Normal 4 4 2 5 2 2 2 2 2 2 2" xfId="63596" xr:uid="{00000000-0005-0000-0000-000035D90000}"/>
    <cellStyle name="Normal 4 4 2 5 2 2 2 2 2 3" xfId="46043" xr:uid="{00000000-0005-0000-0000-000036D90000}"/>
    <cellStyle name="Normal 4 4 2 5 2 2 2 2 3" xfId="23847" xr:uid="{00000000-0005-0000-0000-000037D90000}"/>
    <cellStyle name="Normal 4 4 2 5 2 2 2 2 3 2" xfId="55718" xr:uid="{00000000-0005-0000-0000-000038D90000}"/>
    <cellStyle name="Normal 4 4 2 5 2 2 2 2 4" xfId="46042" xr:uid="{00000000-0005-0000-0000-000039D90000}"/>
    <cellStyle name="Normal 4 4 2 5 2 2 2 3" xfId="14165" xr:uid="{00000000-0005-0000-0000-00003AD90000}"/>
    <cellStyle name="Normal 4 4 2 5 2 2 2 3 2" xfId="27786" xr:uid="{00000000-0005-0000-0000-00003BD90000}"/>
    <cellStyle name="Normal 4 4 2 5 2 2 2 3 2 2" xfId="59657" xr:uid="{00000000-0005-0000-0000-00003CD90000}"/>
    <cellStyle name="Normal 4 4 2 5 2 2 2 3 3" xfId="46044" xr:uid="{00000000-0005-0000-0000-00003DD90000}"/>
    <cellStyle name="Normal 4 4 2 5 2 2 2 4" xfId="19908" xr:uid="{00000000-0005-0000-0000-00003ED90000}"/>
    <cellStyle name="Normal 4 4 2 5 2 2 2 4 2" xfId="51779" xr:uid="{00000000-0005-0000-0000-00003FD90000}"/>
    <cellStyle name="Normal 4 4 2 5 2 2 2 5" xfId="46041" xr:uid="{00000000-0005-0000-0000-000040D90000}"/>
    <cellStyle name="Normal 4 4 2 5 2 2 3" xfId="14166" xr:uid="{00000000-0005-0000-0000-000041D90000}"/>
    <cellStyle name="Normal 4 4 2 5 2 2 3 2" xfId="14167" xr:uid="{00000000-0005-0000-0000-000042D90000}"/>
    <cellStyle name="Normal 4 4 2 5 2 2 3 2 2" xfId="31724" xr:uid="{00000000-0005-0000-0000-000043D90000}"/>
    <cellStyle name="Normal 4 4 2 5 2 2 3 2 2 2" xfId="63595" xr:uid="{00000000-0005-0000-0000-000044D90000}"/>
    <cellStyle name="Normal 4 4 2 5 2 2 3 2 3" xfId="46046" xr:uid="{00000000-0005-0000-0000-000045D90000}"/>
    <cellStyle name="Normal 4 4 2 5 2 2 3 3" xfId="23846" xr:uid="{00000000-0005-0000-0000-000046D90000}"/>
    <cellStyle name="Normal 4 4 2 5 2 2 3 3 2" xfId="55717" xr:uid="{00000000-0005-0000-0000-000047D90000}"/>
    <cellStyle name="Normal 4 4 2 5 2 2 3 4" xfId="46045" xr:uid="{00000000-0005-0000-0000-000048D90000}"/>
    <cellStyle name="Normal 4 4 2 5 2 2 4" xfId="14168" xr:uid="{00000000-0005-0000-0000-000049D90000}"/>
    <cellStyle name="Normal 4 4 2 5 2 2 4 2" xfId="27785" xr:uid="{00000000-0005-0000-0000-00004AD90000}"/>
    <cellStyle name="Normal 4 4 2 5 2 2 4 2 2" xfId="59656" xr:uid="{00000000-0005-0000-0000-00004BD90000}"/>
    <cellStyle name="Normal 4 4 2 5 2 2 4 3" xfId="46047" xr:uid="{00000000-0005-0000-0000-00004CD90000}"/>
    <cellStyle name="Normal 4 4 2 5 2 2 5" xfId="19907" xr:uid="{00000000-0005-0000-0000-00004DD90000}"/>
    <cellStyle name="Normal 4 4 2 5 2 2 5 2" xfId="51778" xr:uid="{00000000-0005-0000-0000-00004ED90000}"/>
    <cellStyle name="Normal 4 4 2 5 2 2 6" xfId="46040" xr:uid="{00000000-0005-0000-0000-00004FD90000}"/>
    <cellStyle name="Normal 4 4 2 5 2 3" xfId="14169" xr:uid="{00000000-0005-0000-0000-000050D90000}"/>
    <cellStyle name="Normal 4 4 2 5 2 3 2" xfId="14170" xr:uid="{00000000-0005-0000-0000-000051D90000}"/>
    <cellStyle name="Normal 4 4 2 5 2 3 2 2" xfId="14171" xr:uid="{00000000-0005-0000-0000-000052D90000}"/>
    <cellStyle name="Normal 4 4 2 5 2 3 2 2 2" xfId="31726" xr:uid="{00000000-0005-0000-0000-000053D90000}"/>
    <cellStyle name="Normal 4 4 2 5 2 3 2 2 2 2" xfId="63597" xr:uid="{00000000-0005-0000-0000-000054D90000}"/>
    <cellStyle name="Normal 4 4 2 5 2 3 2 2 3" xfId="46050" xr:uid="{00000000-0005-0000-0000-000055D90000}"/>
    <cellStyle name="Normal 4 4 2 5 2 3 2 3" xfId="23848" xr:uid="{00000000-0005-0000-0000-000056D90000}"/>
    <cellStyle name="Normal 4 4 2 5 2 3 2 3 2" xfId="55719" xr:uid="{00000000-0005-0000-0000-000057D90000}"/>
    <cellStyle name="Normal 4 4 2 5 2 3 2 4" xfId="46049" xr:uid="{00000000-0005-0000-0000-000058D90000}"/>
    <cellStyle name="Normal 4 4 2 5 2 3 3" xfId="14172" xr:uid="{00000000-0005-0000-0000-000059D90000}"/>
    <cellStyle name="Normal 4 4 2 5 2 3 3 2" xfId="27787" xr:uid="{00000000-0005-0000-0000-00005AD90000}"/>
    <cellStyle name="Normal 4 4 2 5 2 3 3 2 2" xfId="59658" xr:uid="{00000000-0005-0000-0000-00005BD90000}"/>
    <cellStyle name="Normal 4 4 2 5 2 3 3 3" xfId="46051" xr:uid="{00000000-0005-0000-0000-00005CD90000}"/>
    <cellStyle name="Normal 4 4 2 5 2 3 4" xfId="19909" xr:uid="{00000000-0005-0000-0000-00005DD90000}"/>
    <cellStyle name="Normal 4 4 2 5 2 3 4 2" xfId="51780" xr:uid="{00000000-0005-0000-0000-00005ED90000}"/>
    <cellStyle name="Normal 4 4 2 5 2 3 5" xfId="46048" xr:uid="{00000000-0005-0000-0000-00005FD90000}"/>
    <cellStyle name="Normal 4 4 2 5 2 4" xfId="14173" xr:uid="{00000000-0005-0000-0000-000060D90000}"/>
    <cellStyle name="Normal 4 4 2 5 2 4 2" xfId="14174" xr:uid="{00000000-0005-0000-0000-000061D90000}"/>
    <cellStyle name="Normal 4 4 2 5 2 4 2 2" xfId="31723" xr:uid="{00000000-0005-0000-0000-000062D90000}"/>
    <cellStyle name="Normal 4 4 2 5 2 4 2 2 2" xfId="63594" xr:uid="{00000000-0005-0000-0000-000063D90000}"/>
    <cellStyle name="Normal 4 4 2 5 2 4 2 3" xfId="46053" xr:uid="{00000000-0005-0000-0000-000064D90000}"/>
    <cellStyle name="Normal 4 4 2 5 2 4 3" xfId="23845" xr:uid="{00000000-0005-0000-0000-000065D90000}"/>
    <cellStyle name="Normal 4 4 2 5 2 4 3 2" xfId="55716" xr:uid="{00000000-0005-0000-0000-000066D90000}"/>
    <cellStyle name="Normal 4 4 2 5 2 4 4" xfId="46052" xr:uid="{00000000-0005-0000-0000-000067D90000}"/>
    <cellStyle name="Normal 4 4 2 5 2 5" xfId="14175" xr:uid="{00000000-0005-0000-0000-000068D90000}"/>
    <cellStyle name="Normal 4 4 2 5 2 5 2" xfId="27784" xr:uid="{00000000-0005-0000-0000-000069D90000}"/>
    <cellStyle name="Normal 4 4 2 5 2 5 2 2" xfId="59655" xr:uid="{00000000-0005-0000-0000-00006AD90000}"/>
    <cellStyle name="Normal 4 4 2 5 2 5 3" xfId="46054" xr:uid="{00000000-0005-0000-0000-00006BD90000}"/>
    <cellStyle name="Normal 4 4 2 5 2 6" xfId="19906" xr:uid="{00000000-0005-0000-0000-00006CD90000}"/>
    <cellStyle name="Normal 4 4 2 5 2 6 2" xfId="51777" xr:uid="{00000000-0005-0000-0000-00006DD90000}"/>
    <cellStyle name="Normal 4 4 2 5 2 7" xfId="46039" xr:uid="{00000000-0005-0000-0000-00006ED90000}"/>
    <cellStyle name="Normal 4 4 2 5 3" xfId="14176" xr:uid="{00000000-0005-0000-0000-00006FD90000}"/>
    <cellStyle name="Normal 4 4 2 5 3 2" xfId="14177" xr:uid="{00000000-0005-0000-0000-000070D90000}"/>
    <cellStyle name="Normal 4 4 2 5 3 2 2" xfId="14178" xr:uid="{00000000-0005-0000-0000-000071D90000}"/>
    <cellStyle name="Normal 4 4 2 5 3 2 2 2" xfId="14179" xr:uid="{00000000-0005-0000-0000-000072D90000}"/>
    <cellStyle name="Normal 4 4 2 5 3 2 2 2 2" xfId="31728" xr:uid="{00000000-0005-0000-0000-000073D90000}"/>
    <cellStyle name="Normal 4 4 2 5 3 2 2 2 2 2" xfId="63599" xr:uid="{00000000-0005-0000-0000-000074D90000}"/>
    <cellStyle name="Normal 4 4 2 5 3 2 2 2 3" xfId="46058" xr:uid="{00000000-0005-0000-0000-000075D90000}"/>
    <cellStyle name="Normal 4 4 2 5 3 2 2 3" xfId="23850" xr:uid="{00000000-0005-0000-0000-000076D90000}"/>
    <cellStyle name="Normal 4 4 2 5 3 2 2 3 2" xfId="55721" xr:uid="{00000000-0005-0000-0000-000077D90000}"/>
    <cellStyle name="Normal 4 4 2 5 3 2 2 4" xfId="46057" xr:uid="{00000000-0005-0000-0000-000078D90000}"/>
    <cellStyle name="Normal 4 4 2 5 3 2 3" xfId="14180" xr:uid="{00000000-0005-0000-0000-000079D90000}"/>
    <cellStyle name="Normal 4 4 2 5 3 2 3 2" xfId="27789" xr:uid="{00000000-0005-0000-0000-00007AD90000}"/>
    <cellStyle name="Normal 4 4 2 5 3 2 3 2 2" xfId="59660" xr:uid="{00000000-0005-0000-0000-00007BD90000}"/>
    <cellStyle name="Normal 4 4 2 5 3 2 3 3" xfId="46059" xr:uid="{00000000-0005-0000-0000-00007CD90000}"/>
    <cellStyle name="Normal 4 4 2 5 3 2 4" xfId="19911" xr:uid="{00000000-0005-0000-0000-00007DD90000}"/>
    <cellStyle name="Normal 4 4 2 5 3 2 4 2" xfId="51782" xr:uid="{00000000-0005-0000-0000-00007ED90000}"/>
    <cellStyle name="Normal 4 4 2 5 3 2 5" xfId="46056" xr:uid="{00000000-0005-0000-0000-00007FD90000}"/>
    <cellStyle name="Normal 4 4 2 5 3 3" xfId="14181" xr:uid="{00000000-0005-0000-0000-000080D90000}"/>
    <cellStyle name="Normal 4 4 2 5 3 3 2" xfId="14182" xr:uid="{00000000-0005-0000-0000-000081D90000}"/>
    <cellStyle name="Normal 4 4 2 5 3 3 2 2" xfId="31727" xr:uid="{00000000-0005-0000-0000-000082D90000}"/>
    <cellStyle name="Normal 4 4 2 5 3 3 2 2 2" xfId="63598" xr:uid="{00000000-0005-0000-0000-000083D90000}"/>
    <cellStyle name="Normal 4 4 2 5 3 3 2 3" xfId="46061" xr:uid="{00000000-0005-0000-0000-000084D90000}"/>
    <cellStyle name="Normal 4 4 2 5 3 3 3" xfId="23849" xr:uid="{00000000-0005-0000-0000-000085D90000}"/>
    <cellStyle name="Normal 4 4 2 5 3 3 3 2" xfId="55720" xr:uid="{00000000-0005-0000-0000-000086D90000}"/>
    <cellStyle name="Normal 4 4 2 5 3 3 4" xfId="46060" xr:uid="{00000000-0005-0000-0000-000087D90000}"/>
    <cellStyle name="Normal 4 4 2 5 3 4" xfId="14183" xr:uid="{00000000-0005-0000-0000-000088D90000}"/>
    <cellStyle name="Normal 4 4 2 5 3 4 2" xfId="27788" xr:uid="{00000000-0005-0000-0000-000089D90000}"/>
    <cellStyle name="Normal 4 4 2 5 3 4 2 2" xfId="59659" xr:uid="{00000000-0005-0000-0000-00008AD90000}"/>
    <cellStyle name="Normal 4 4 2 5 3 4 3" xfId="46062" xr:uid="{00000000-0005-0000-0000-00008BD90000}"/>
    <cellStyle name="Normal 4 4 2 5 3 5" xfId="19910" xr:uid="{00000000-0005-0000-0000-00008CD90000}"/>
    <cellStyle name="Normal 4 4 2 5 3 5 2" xfId="51781" xr:uid="{00000000-0005-0000-0000-00008DD90000}"/>
    <cellStyle name="Normal 4 4 2 5 3 6" xfId="46055" xr:uid="{00000000-0005-0000-0000-00008ED90000}"/>
    <cellStyle name="Normal 4 4 2 5 4" xfId="14184" xr:uid="{00000000-0005-0000-0000-00008FD90000}"/>
    <cellStyle name="Normal 4 4 2 5 4 2" xfId="14185" xr:uid="{00000000-0005-0000-0000-000090D90000}"/>
    <cellStyle name="Normal 4 4 2 5 4 2 2" xfId="14186" xr:uid="{00000000-0005-0000-0000-000091D90000}"/>
    <cellStyle name="Normal 4 4 2 5 4 2 2 2" xfId="31729" xr:uid="{00000000-0005-0000-0000-000092D90000}"/>
    <cellStyle name="Normal 4 4 2 5 4 2 2 2 2" xfId="63600" xr:uid="{00000000-0005-0000-0000-000093D90000}"/>
    <cellStyle name="Normal 4 4 2 5 4 2 2 3" xfId="46065" xr:uid="{00000000-0005-0000-0000-000094D90000}"/>
    <cellStyle name="Normal 4 4 2 5 4 2 3" xfId="23851" xr:uid="{00000000-0005-0000-0000-000095D90000}"/>
    <cellStyle name="Normal 4 4 2 5 4 2 3 2" xfId="55722" xr:uid="{00000000-0005-0000-0000-000096D90000}"/>
    <cellStyle name="Normal 4 4 2 5 4 2 4" xfId="46064" xr:uid="{00000000-0005-0000-0000-000097D90000}"/>
    <cellStyle name="Normal 4 4 2 5 4 3" xfId="14187" xr:uid="{00000000-0005-0000-0000-000098D90000}"/>
    <cellStyle name="Normal 4 4 2 5 4 3 2" xfId="27790" xr:uid="{00000000-0005-0000-0000-000099D90000}"/>
    <cellStyle name="Normal 4 4 2 5 4 3 2 2" xfId="59661" xr:uid="{00000000-0005-0000-0000-00009AD90000}"/>
    <cellStyle name="Normal 4 4 2 5 4 3 3" xfId="46066" xr:uid="{00000000-0005-0000-0000-00009BD90000}"/>
    <cellStyle name="Normal 4 4 2 5 4 4" xfId="19912" xr:uid="{00000000-0005-0000-0000-00009CD90000}"/>
    <cellStyle name="Normal 4 4 2 5 4 4 2" xfId="51783" xr:uid="{00000000-0005-0000-0000-00009DD90000}"/>
    <cellStyle name="Normal 4 4 2 5 4 5" xfId="46063" xr:uid="{00000000-0005-0000-0000-00009ED90000}"/>
    <cellStyle name="Normal 4 4 2 5 5" xfId="14188" xr:uid="{00000000-0005-0000-0000-00009FD90000}"/>
    <cellStyle name="Normal 4 4 2 5 5 2" xfId="14189" xr:uid="{00000000-0005-0000-0000-0000A0D90000}"/>
    <cellStyle name="Normal 4 4 2 5 5 2 2" xfId="31722" xr:uid="{00000000-0005-0000-0000-0000A1D90000}"/>
    <cellStyle name="Normal 4 4 2 5 5 2 2 2" xfId="63593" xr:uid="{00000000-0005-0000-0000-0000A2D90000}"/>
    <cellStyle name="Normal 4 4 2 5 5 2 3" xfId="46068" xr:uid="{00000000-0005-0000-0000-0000A3D90000}"/>
    <cellStyle name="Normal 4 4 2 5 5 3" xfId="23844" xr:uid="{00000000-0005-0000-0000-0000A4D90000}"/>
    <cellStyle name="Normal 4 4 2 5 5 3 2" xfId="55715" xr:uid="{00000000-0005-0000-0000-0000A5D90000}"/>
    <cellStyle name="Normal 4 4 2 5 5 4" xfId="46067" xr:uid="{00000000-0005-0000-0000-0000A6D90000}"/>
    <cellStyle name="Normal 4 4 2 5 6" xfId="14190" xr:uid="{00000000-0005-0000-0000-0000A7D90000}"/>
    <cellStyle name="Normal 4 4 2 5 6 2" xfId="27783" xr:uid="{00000000-0005-0000-0000-0000A8D90000}"/>
    <cellStyle name="Normal 4 4 2 5 6 2 2" xfId="59654" xr:uid="{00000000-0005-0000-0000-0000A9D90000}"/>
    <cellStyle name="Normal 4 4 2 5 6 3" xfId="46069" xr:uid="{00000000-0005-0000-0000-0000AAD90000}"/>
    <cellStyle name="Normal 4 4 2 5 7" xfId="19905" xr:uid="{00000000-0005-0000-0000-0000ABD90000}"/>
    <cellStyle name="Normal 4 4 2 5 7 2" xfId="51776" xr:uid="{00000000-0005-0000-0000-0000ACD90000}"/>
    <cellStyle name="Normal 4 4 2 5 8" xfId="46038" xr:uid="{00000000-0005-0000-0000-0000ADD90000}"/>
    <cellStyle name="Normal 4 4 2 6" xfId="14191" xr:uid="{00000000-0005-0000-0000-0000AED90000}"/>
    <cellStyle name="Normal 4 4 2 6 2" xfId="14192" xr:uid="{00000000-0005-0000-0000-0000AFD90000}"/>
    <cellStyle name="Normal 4 4 2 6 2 2" xfId="14193" xr:uid="{00000000-0005-0000-0000-0000B0D90000}"/>
    <cellStyle name="Normal 4 4 2 6 2 2 2" xfId="14194" xr:uid="{00000000-0005-0000-0000-0000B1D90000}"/>
    <cellStyle name="Normal 4 4 2 6 2 2 2 2" xfId="14195" xr:uid="{00000000-0005-0000-0000-0000B2D90000}"/>
    <cellStyle name="Normal 4 4 2 6 2 2 2 2 2" xfId="31732" xr:uid="{00000000-0005-0000-0000-0000B3D90000}"/>
    <cellStyle name="Normal 4 4 2 6 2 2 2 2 2 2" xfId="63603" xr:uid="{00000000-0005-0000-0000-0000B4D90000}"/>
    <cellStyle name="Normal 4 4 2 6 2 2 2 2 3" xfId="46074" xr:uid="{00000000-0005-0000-0000-0000B5D90000}"/>
    <cellStyle name="Normal 4 4 2 6 2 2 2 3" xfId="23854" xr:uid="{00000000-0005-0000-0000-0000B6D90000}"/>
    <cellStyle name="Normal 4 4 2 6 2 2 2 3 2" xfId="55725" xr:uid="{00000000-0005-0000-0000-0000B7D90000}"/>
    <cellStyle name="Normal 4 4 2 6 2 2 2 4" xfId="46073" xr:uid="{00000000-0005-0000-0000-0000B8D90000}"/>
    <cellStyle name="Normal 4 4 2 6 2 2 3" xfId="14196" xr:uid="{00000000-0005-0000-0000-0000B9D90000}"/>
    <cellStyle name="Normal 4 4 2 6 2 2 3 2" xfId="27793" xr:uid="{00000000-0005-0000-0000-0000BAD90000}"/>
    <cellStyle name="Normal 4 4 2 6 2 2 3 2 2" xfId="59664" xr:uid="{00000000-0005-0000-0000-0000BBD90000}"/>
    <cellStyle name="Normal 4 4 2 6 2 2 3 3" xfId="46075" xr:uid="{00000000-0005-0000-0000-0000BCD90000}"/>
    <cellStyle name="Normal 4 4 2 6 2 2 4" xfId="19915" xr:uid="{00000000-0005-0000-0000-0000BDD90000}"/>
    <cellStyle name="Normal 4 4 2 6 2 2 4 2" xfId="51786" xr:uid="{00000000-0005-0000-0000-0000BED90000}"/>
    <cellStyle name="Normal 4 4 2 6 2 2 5" xfId="46072" xr:uid="{00000000-0005-0000-0000-0000BFD90000}"/>
    <cellStyle name="Normal 4 4 2 6 2 3" xfId="14197" xr:uid="{00000000-0005-0000-0000-0000C0D90000}"/>
    <cellStyle name="Normal 4 4 2 6 2 3 2" xfId="14198" xr:uid="{00000000-0005-0000-0000-0000C1D90000}"/>
    <cellStyle name="Normal 4 4 2 6 2 3 2 2" xfId="31731" xr:uid="{00000000-0005-0000-0000-0000C2D90000}"/>
    <cellStyle name="Normal 4 4 2 6 2 3 2 2 2" xfId="63602" xr:uid="{00000000-0005-0000-0000-0000C3D90000}"/>
    <cellStyle name="Normal 4 4 2 6 2 3 2 3" xfId="46077" xr:uid="{00000000-0005-0000-0000-0000C4D90000}"/>
    <cellStyle name="Normal 4 4 2 6 2 3 3" xfId="23853" xr:uid="{00000000-0005-0000-0000-0000C5D90000}"/>
    <cellStyle name="Normal 4 4 2 6 2 3 3 2" xfId="55724" xr:uid="{00000000-0005-0000-0000-0000C6D90000}"/>
    <cellStyle name="Normal 4 4 2 6 2 3 4" xfId="46076" xr:uid="{00000000-0005-0000-0000-0000C7D90000}"/>
    <cellStyle name="Normal 4 4 2 6 2 4" xfId="14199" xr:uid="{00000000-0005-0000-0000-0000C8D90000}"/>
    <cellStyle name="Normal 4 4 2 6 2 4 2" xfId="27792" xr:uid="{00000000-0005-0000-0000-0000C9D90000}"/>
    <cellStyle name="Normal 4 4 2 6 2 4 2 2" xfId="59663" xr:uid="{00000000-0005-0000-0000-0000CAD90000}"/>
    <cellStyle name="Normal 4 4 2 6 2 4 3" xfId="46078" xr:uid="{00000000-0005-0000-0000-0000CBD90000}"/>
    <cellStyle name="Normal 4 4 2 6 2 5" xfId="19914" xr:uid="{00000000-0005-0000-0000-0000CCD90000}"/>
    <cellStyle name="Normal 4 4 2 6 2 5 2" xfId="51785" xr:uid="{00000000-0005-0000-0000-0000CDD90000}"/>
    <cellStyle name="Normal 4 4 2 6 2 6" xfId="46071" xr:uid="{00000000-0005-0000-0000-0000CED90000}"/>
    <cellStyle name="Normal 4 4 2 6 3" xfId="14200" xr:uid="{00000000-0005-0000-0000-0000CFD90000}"/>
    <cellStyle name="Normal 4 4 2 6 3 2" xfId="14201" xr:uid="{00000000-0005-0000-0000-0000D0D90000}"/>
    <cellStyle name="Normal 4 4 2 6 3 2 2" xfId="14202" xr:uid="{00000000-0005-0000-0000-0000D1D90000}"/>
    <cellStyle name="Normal 4 4 2 6 3 2 2 2" xfId="31733" xr:uid="{00000000-0005-0000-0000-0000D2D90000}"/>
    <cellStyle name="Normal 4 4 2 6 3 2 2 2 2" xfId="63604" xr:uid="{00000000-0005-0000-0000-0000D3D90000}"/>
    <cellStyle name="Normal 4 4 2 6 3 2 2 3" xfId="46081" xr:uid="{00000000-0005-0000-0000-0000D4D90000}"/>
    <cellStyle name="Normal 4 4 2 6 3 2 3" xfId="23855" xr:uid="{00000000-0005-0000-0000-0000D5D90000}"/>
    <cellStyle name="Normal 4 4 2 6 3 2 3 2" xfId="55726" xr:uid="{00000000-0005-0000-0000-0000D6D90000}"/>
    <cellStyle name="Normal 4 4 2 6 3 2 4" xfId="46080" xr:uid="{00000000-0005-0000-0000-0000D7D90000}"/>
    <cellStyle name="Normal 4 4 2 6 3 3" xfId="14203" xr:uid="{00000000-0005-0000-0000-0000D8D90000}"/>
    <cellStyle name="Normal 4 4 2 6 3 3 2" xfId="27794" xr:uid="{00000000-0005-0000-0000-0000D9D90000}"/>
    <cellStyle name="Normal 4 4 2 6 3 3 2 2" xfId="59665" xr:uid="{00000000-0005-0000-0000-0000DAD90000}"/>
    <cellStyle name="Normal 4 4 2 6 3 3 3" xfId="46082" xr:uid="{00000000-0005-0000-0000-0000DBD90000}"/>
    <cellStyle name="Normal 4 4 2 6 3 4" xfId="19916" xr:uid="{00000000-0005-0000-0000-0000DCD90000}"/>
    <cellStyle name="Normal 4 4 2 6 3 4 2" xfId="51787" xr:uid="{00000000-0005-0000-0000-0000DDD90000}"/>
    <cellStyle name="Normal 4 4 2 6 3 5" xfId="46079" xr:uid="{00000000-0005-0000-0000-0000DED90000}"/>
    <cellStyle name="Normal 4 4 2 6 4" xfId="14204" xr:uid="{00000000-0005-0000-0000-0000DFD90000}"/>
    <cellStyle name="Normal 4 4 2 6 4 2" xfId="14205" xr:uid="{00000000-0005-0000-0000-0000E0D90000}"/>
    <cellStyle name="Normal 4 4 2 6 4 2 2" xfId="31730" xr:uid="{00000000-0005-0000-0000-0000E1D90000}"/>
    <cellStyle name="Normal 4 4 2 6 4 2 2 2" xfId="63601" xr:uid="{00000000-0005-0000-0000-0000E2D90000}"/>
    <cellStyle name="Normal 4 4 2 6 4 2 3" xfId="46084" xr:uid="{00000000-0005-0000-0000-0000E3D90000}"/>
    <cellStyle name="Normal 4 4 2 6 4 3" xfId="23852" xr:uid="{00000000-0005-0000-0000-0000E4D90000}"/>
    <cellStyle name="Normal 4 4 2 6 4 3 2" xfId="55723" xr:uid="{00000000-0005-0000-0000-0000E5D90000}"/>
    <cellStyle name="Normal 4 4 2 6 4 4" xfId="46083" xr:uid="{00000000-0005-0000-0000-0000E6D90000}"/>
    <cellStyle name="Normal 4 4 2 6 5" xfId="14206" xr:uid="{00000000-0005-0000-0000-0000E7D90000}"/>
    <cellStyle name="Normal 4 4 2 6 5 2" xfId="27791" xr:uid="{00000000-0005-0000-0000-0000E8D90000}"/>
    <cellStyle name="Normal 4 4 2 6 5 2 2" xfId="59662" xr:uid="{00000000-0005-0000-0000-0000E9D90000}"/>
    <cellStyle name="Normal 4 4 2 6 5 3" xfId="46085" xr:uid="{00000000-0005-0000-0000-0000EAD90000}"/>
    <cellStyle name="Normal 4 4 2 6 6" xfId="19913" xr:uid="{00000000-0005-0000-0000-0000EBD90000}"/>
    <cellStyle name="Normal 4 4 2 6 6 2" xfId="51784" xr:uid="{00000000-0005-0000-0000-0000ECD90000}"/>
    <cellStyle name="Normal 4 4 2 6 7" xfId="46070" xr:uid="{00000000-0005-0000-0000-0000EDD90000}"/>
    <cellStyle name="Normal 4 4 2 7" xfId="14207" xr:uid="{00000000-0005-0000-0000-0000EED90000}"/>
    <cellStyle name="Normal 4 4 2 7 2" xfId="14208" xr:uid="{00000000-0005-0000-0000-0000EFD90000}"/>
    <cellStyle name="Normal 4 4 2 7 2 2" xfId="14209" xr:uid="{00000000-0005-0000-0000-0000F0D90000}"/>
    <cellStyle name="Normal 4 4 2 7 2 2 2" xfId="14210" xr:uid="{00000000-0005-0000-0000-0000F1D90000}"/>
    <cellStyle name="Normal 4 4 2 7 2 2 2 2" xfId="31735" xr:uid="{00000000-0005-0000-0000-0000F2D90000}"/>
    <cellStyle name="Normal 4 4 2 7 2 2 2 2 2" xfId="63606" xr:uid="{00000000-0005-0000-0000-0000F3D90000}"/>
    <cellStyle name="Normal 4 4 2 7 2 2 2 3" xfId="46089" xr:uid="{00000000-0005-0000-0000-0000F4D90000}"/>
    <cellStyle name="Normal 4 4 2 7 2 2 3" xfId="23857" xr:uid="{00000000-0005-0000-0000-0000F5D90000}"/>
    <cellStyle name="Normal 4 4 2 7 2 2 3 2" xfId="55728" xr:uid="{00000000-0005-0000-0000-0000F6D90000}"/>
    <cellStyle name="Normal 4 4 2 7 2 2 4" xfId="46088" xr:uid="{00000000-0005-0000-0000-0000F7D90000}"/>
    <cellStyle name="Normal 4 4 2 7 2 3" xfId="14211" xr:uid="{00000000-0005-0000-0000-0000F8D90000}"/>
    <cellStyle name="Normal 4 4 2 7 2 3 2" xfId="27796" xr:uid="{00000000-0005-0000-0000-0000F9D90000}"/>
    <cellStyle name="Normal 4 4 2 7 2 3 2 2" xfId="59667" xr:uid="{00000000-0005-0000-0000-0000FAD90000}"/>
    <cellStyle name="Normal 4 4 2 7 2 3 3" xfId="46090" xr:uid="{00000000-0005-0000-0000-0000FBD90000}"/>
    <cellStyle name="Normal 4 4 2 7 2 4" xfId="19918" xr:uid="{00000000-0005-0000-0000-0000FCD90000}"/>
    <cellStyle name="Normal 4 4 2 7 2 4 2" xfId="51789" xr:uid="{00000000-0005-0000-0000-0000FDD90000}"/>
    <cellStyle name="Normal 4 4 2 7 2 5" xfId="46087" xr:uid="{00000000-0005-0000-0000-0000FED90000}"/>
    <cellStyle name="Normal 4 4 2 7 3" xfId="14212" xr:uid="{00000000-0005-0000-0000-0000FFD90000}"/>
    <cellStyle name="Normal 4 4 2 7 3 2" xfId="14213" xr:uid="{00000000-0005-0000-0000-000000DA0000}"/>
    <cellStyle name="Normal 4 4 2 7 3 2 2" xfId="31734" xr:uid="{00000000-0005-0000-0000-000001DA0000}"/>
    <cellStyle name="Normal 4 4 2 7 3 2 2 2" xfId="63605" xr:uid="{00000000-0005-0000-0000-000002DA0000}"/>
    <cellStyle name="Normal 4 4 2 7 3 2 3" xfId="46092" xr:uid="{00000000-0005-0000-0000-000003DA0000}"/>
    <cellStyle name="Normal 4 4 2 7 3 3" xfId="23856" xr:uid="{00000000-0005-0000-0000-000004DA0000}"/>
    <cellStyle name="Normal 4 4 2 7 3 3 2" xfId="55727" xr:uid="{00000000-0005-0000-0000-000005DA0000}"/>
    <cellStyle name="Normal 4 4 2 7 3 4" xfId="46091" xr:uid="{00000000-0005-0000-0000-000006DA0000}"/>
    <cellStyle name="Normal 4 4 2 7 4" xfId="14214" xr:uid="{00000000-0005-0000-0000-000007DA0000}"/>
    <cellStyle name="Normal 4 4 2 7 4 2" xfId="27795" xr:uid="{00000000-0005-0000-0000-000008DA0000}"/>
    <cellStyle name="Normal 4 4 2 7 4 2 2" xfId="59666" xr:uid="{00000000-0005-0000-0000-000009DA0000}"/>
    <cellStyle name="Normal 4 4 2 7 4 3" xfId="46093" xr:uid="{00000000-0005-0000-0000-00000ADA0000}"/>
    <cellStyle name="Normal 4 4 2 7 5" xfId="19917" xr:uid="{00000000-0005-0000-0000-00000BDA0000}"/>
    <cellStyle name="Normal 4 4 2 7 5 2" xfId="51788" xr:uid="{00000000-0005-0000-0000-00000CDA0000}"/>
    <cellStyle name="Normal 4 4 2 7 6" xfId="46086" xr:uid="{00000000-0005-0000-0000-00000DDA0000}"/>
    <cellStyle name="Normal 4 4 2 8" xfId="14215" xr:uid="{00000000-0005-0000-0000-00000EDA0000}"/>
    <cellStyle name="Normal 4 4 2 8 2" xfId="14216" xr:uid="{00000000-0005-0000-0000-00000FDA0000}"/>
    <cellStyle name="Normal 4 4 2 8 2 2" xfId="14217" xr:uid="{00000000-0005-0000-0000-000010DA0000}"/>
    <cellStyle name="Normal 4 4 2 8 2 2 2" xfId="31736" xr:uid="{00000000-0005-0000-0000-000011DA0000}"/>
    <cellStyle name="Normal 4 4 2 8 2 2 2 2" xfId="63607" xr:uid="{00000000-0005-0000-0000-000012DA0000}"/>
    <cellStyle name="Normal 4 4 2 8 2 2 3" xfId="46096" xr:uid="{00000000-0005-0000-0000-000013DA0000}"/>
    <cellStyle name="Normal 4 4 2 8 2 3" xfId="23858" xr:uid="{00000000-0005-0000-0000-000014DA0000}"/>
    <cellStyle name="Normal 4 4 2 8 2 3 2" xfId="55729" xr:uid="{00000000-0005-0000-0000-000015DA0000}"/>
    <cellStyle name="Normal 4 4 2 8 2 4" xfId="46095" xr:uid="{00000000-0005-0000-0000-000016DA0000}"/>
    <cellStyle name="Normal 4 4 2 8 3" xfId="14218" xr:uid="{00000000-0005-0000-0000-000017DA0000}"/>
    <cellStyle name="Normal 4 4 2 8 3 2" xfId="27797" xr:uid="{00000000-0005-0000-0000-000018DA0000}"/>
    <cellStyle name="Normal 4 4 2 8 3 2 2" xfId="59668" xr:uid="{00000000-0005-0000-0000-000019DA0000}"/>
    <cellStyle name="Normal 4 4 2 8 3 3" xfId="46097" xr:uid="{00000000-0005-0000-0000-00001ADA0000}"/>
    <cellStyle name="Normal 4 4 2 8 4" xfId="19919" xr:uid="{00000000-0005-0000-0000-00001BDA0000}"/>
    <cellStyle name="Normal 4 4 2 8 4 2" xfId="51790" xr:uid="{00000000-0005-0000-0000-00001CDA0000}"/>
    <cellStyle name="Normal 4 4 2 8 5" xfId="46094" xr:uid="{00000000-0005-0000-0000-00001DDA0000}"/>
    <cellStyle name="Normal 4 4 2 9" xfId="14219" xr:uid="{00000000-0005-0000-0000-00001EDA0000}"/>
    <cellStyle name="Normal 4 4 2 9 2" xfId="14220" xr:uid="{00000000-0005-0000-0000-00001FDA0000}"/>
    <cellStyle name="Normal 4 4 2 9 2 2" xfId="28285" xr:uid="{00000000-0005-0000-0000-000020DA0000}"/>
    <cellStyle name="Normal 4 4 2 9 2 2 2" xfId="60156" xr:uid="{00000000-0005-0000-0000-000021DA0000}"/>
    <cellStyle name="Normal 4 4 2 9 2 3" xfId="46099" xr:uid="{00000000-0005-0000-0000-000022DA0000}"/>
    <cellStyle name="Normal 4 4 2 9 3" xfId="20407" xr:uid="{00000000-0005-0000-0000-000023DA0000}"/>
    <cellStyle name="Normal 4 4 2 9 3 2" xfId="52278" xr:uid="{00000000-0005-0000-0000-000024DA0000}"/>
    <cellStyle name="Normal 4 4 2 9 4" xfId="46098" xr:uid="{00000000-0005-0000-0000-000025DA0000}"/>
    <cellStyle name="Normal 4 4 3" xfId="208" xr:uid="{00000000-0005-0000-0000-000026DA0000}"/>
    <cellStyle name="Normal 4 4 3 10" xfId="14221" xr:uid="{00000000-0005-0000-0000-000027DA0000}"/>
    <cellStyle name="Normal 4 4 3 10 2" xfId="46100" xr:uid="{00000000-0005-0000-0000-000028DA0000}"/>
    <cellStyle name="Normal 4 4 3 11" xfId="32192" xr:uid="{00000000-0005-0000-0000-000029DA0000}"/>
    <cellStyle name="Normal 4 4 3 2" xfId="14222" xr:uid="{00000000-0005-0000-0000-00002ADA0000}"/>
    <cellStyle name="Normal 4 4 3 2 2" xfId="14223" xr:uid="{00000000-0005-0000-0000-00002BDA0000}"/>
    <cellStyle name="Normal 4 4 3 2 2 2" xfId="14224" xr:uid="{00000000-0005-0000-0000-00002CDA0000}"/>
    <cellStyle name="Normal 4 4 3 2 2 2 2" xfId="14225" xr:uid="{00000000-0005-0000-0000-00002DDA0000}"/>
    <cellStyle name="Normal 4 4 3 2 2 2 2 2" xfId="14226" xr:uid="{00000000-0005-0000-0000-00002EDA0000}"/>
    <cellStyle name="Normal 4 4 3 2 2 2 2 2 2" xfId="14227" xr:uid="{00000000-0005-0000-0000-00002FDA0000}"/>
    <cellStyle name="Normal 4 4 3 2 2 2 2 2 2 2" xfId="14228" xr:uid="{00000000-0005-0000-0000-000030DA0000}"/>
    <cellStyle name="Normal 4 4 3 2 2 2 2 2 2 2 2" xfId="31740" xr:uid="{00000000-0005-0000-0000-000031DA0000}"/>
    <cellStyle name="Normal 4 4 3 2 2 2 2 2 2 2 2 2" xfId="63611" xr:uid="{00000000-0005-0000-0000-000032DA0000}"/>
    <cellStyle name="Normal 4 4 3 2 2 2 2 2 2 2 3" xfId="46107" xr:uid="{00000000-0005-0000-0000-000033DA0000}"/>
    <cellStyle name="Normal 4 4 3 2 2 2 2 2 2 3" xfId="23862" xr:uid="{00000000-0005-0000-0000-000034DA0000}"/>
    <cellStyle name="Normal 4 4 3 2 2 2 2 2 2 3 2" xfId="55733" xr:uid="{00000000-0005-0000-0000-000035DA0000}"/>
    <cellStyle name="Normal 4 4 3 2 2 2 2 2 2 4" xfId="46106" xr:uid="{00000000-0005-0000-0000-000036DA0000}"/>
    <cellStyle name="Normal 4 4 3 2 2 2 2 2 3" xfId="14229" xr:uid="{00000000-0005-0000-0000-000037DA0000}"/>
    <cellStyle name="Normal 4 4 3 2 2 2 2 2 3 2" xfId="27801" xr:uid="{00000000-0005-0000-0000-000038DA0000}"/>
    <cellStyle name="Normal 4 4 3 2 2 2 2 2 3 2 2" xfId="59672" xr:uid="{00000000-0005-0000-0000-000039DA0000}"/>
    <cellStyle name="Normal 4 4 3 2 2 2 2 2 3 3" xfId="46108" xr:uid="{00000000-0005-0000-0000-00003ADA0000}"/>
    <cellStyle name="Normal 4 4 3 2 2 2 2 2 4" xfId="19923" xr:uid="{00000000-0005-0000-0000-00003BDA0000}"/>
    <cellStyle name="Normal 4 4 3 2 2 2 2 2 4 2" xfId="51794" xr:uid="{00000000-0005-0000-0000-00003CDA0000}"/>
    <cellStyle name="Normal 4 4 3 2 2 2 2 2 5" xfId="46105" xr:uid="{00000000-0005-0000-0000-00003DDA0000}"/>
    <cellStyle name="Normal 4 4 3 2 2 2 2 3" xfId="14230" xr:uid="{00000000-0005-0000-0000-00003EDA0000}"/>
    <cellStyle name="Normal 4 4 3 2 2 2 2 3 2" xfId="14231" xr:uid="{00000000-0005-0000-0000-00003FDA0000}"/>
    <cellStyle name="Normal 4 4 3 2 2 2 2 3 2 2" xfId="31739" xr:uid="{00000000-0005-0000-0000-000040DA0000}"/>
    <cellStyle name="Normal 4 4 3 2 2 2 2 3 2 2 2" xfId="63610" xr:uid="{00000000-0005-0000-0000-000041DA0000}"/>
    <cellStyle name="Normal 4 4 3 2 2 2 2 3 2 3" xfId="46110" xr:uid="{00000000-0005-0000-0000-000042DA0000}"/>
    <cellStyle name="Normal 4 4 3 2 2 2 2 3 3" xfId="23861" xr:uid="{00000000-0005-0000-0000-000043DA0000}"/>
    <cellStyle name="Normal 4 4 3 2 2 2 2 3 3 2" xfId="55732" xr:uid="{00000000-0005-0000-0000-000044DA0000}"/>
    <cellStyle name="Normal 4 4 3 2 2 2 2 3 4" xfId="46109" xr:uid="{00000000-0005-0000-0000-000045DA0000}"/>
    <cellStyle name="Normal 4 4 3 2 2 2 2 4" xfId="14232" xr:uid="{00000000-0005-0000-0000-000046DA0000}"/>
    <cellStyle name="Normal 4 4 3 2 2 2 2 4 2" xfId="27800" xr:uid="{00000000-0005-0000-0000-000047DA0000}"/>
    <cellStyle name="Normal 4 4 3 2 2 2 2 4 2 2" xfId="59671" xr:uid="{00000000-0005-0000-0000-000048DA0000}"/>
    <cellStyle name="Normal 4 4 3 2 2 2 2 4 3" xfId="46111" xr:uid="{00000000-0005-0000-0000-000049DA0000}"/>
    <cellStyle name="Normal 4 4 3 2 2 2 2 5" xfId="19922" xr:uid="{00000000-0005-0000-0000-00004ADA0000}"/>
    <cellStyle name="Normal 4 4 3 2 2 2 2 5 2" xfId="51793" xr:uid="{00000000-0005-0000-0000-00004BDA0000}"/>
    <cellStyle name="Normal 4 4 3 2 2 2 2 6" xfId="46104" xr:uid="{00000000-0005-0000-0000-00004CDA0000}"/>
    <cellStyle name="Normal 4 4 3 2 2 2 3" xfId="14233" xr:uid="{00000000-0005-0000-0000-00004DDA0000}"/>
    <cellStyle name="Normal 4 4 3 2 2 2 3 2" xfId="14234" xr:uid="{00000000-0005-0000-0000-00004EDA0000}"/>
    <cellStyle name="Normal 4 4 3 2 2 2 3 2 2" xfId="14235" xr:uid="{00000000-0005-0000-0000-00004FDA0000}"/>
    <cellStyle name="Normal 4 4 3 2 2 2 3 2 2 2" xfId="31741" xr:uid="{00000000-0005-0000-0000-000050DA0000}"/>
    <cellStyle name="Normal 4 4 3 2 2 2 3 2 2 2 2" xfId="63612" xr:uid="{00000000-0005-0000-0000-000051DA0000}"/>
    <cellStyle name="Normal 4 4 3 2 2 2 3 2 2 3" xfId="46114" xr:uid="{00000000-0005-0000-0000-000052DA0000}"/>
    <cellStyle name="Normal 4 4 3 2 2 2 3 2 3" xfId="23863" xr:uid="{00000000-0005-0000-0000-000053DA0000}"/>
    <cellStyle name="Normal 4 4 3 2 2 2 3 2 3 2" xfId="55734" xr:uid="{00000000-0005-0000-0000-000054DA0000}"/>
    <cellStyle name="Normal 4 4 3 2 2 2 3 2 4" xfId="46113" xr:uid="{00000000-0005-0000-0000-000055DA0000}"/>
    <cellStyle name="Normal 4 4 3 2 2 2 3 3" xfId="14236" xr:uid="{00000000-0005-0000-0000-000056DA0000}"/>
    <cellStyle name="Normal 4 4 3 2 2 2 3 3 2" xfId="27802" xr:uid="{00000000-0005-0000-0000-000057DA0000}"/>
    <cellStyle name="Normal 4 4 3 2 2 2 3 3 2 2" xfId="59673" xr:uid="{00000000-0005-0000-0000-000058DA0000}"/>
    <cellStyle name="Normal 4 4 3 2 2 2 3 3 3" xfId="46115" xr:uid="{00000000-0005-0000-0000-000059DA0000}"/>
    <cellStyle name="Normal 4 4 3 2 2 2 3 4" xfId="19924" xr:uid="{00000000-0005-0000-0000-00005ADA0000}"/>
    <cellStyle name="Normal 4 4 3 2 2 2 3 4 2" xfId="51795" xr:uid="{00000000-0005-0000-0000-00005BDA0000}"/>
    <cellStyle name="Normal 4 4 3 2 2 2 3 5" xfId="46112" xr:uid="{00000000-0005-0000-0000-00005CDA0000}"/>
    <cellStyle name="Normal 4 4 3 2 2 2 4" xfId="14237" xr:uid="{00000000-0005-0000-0000-00005DDA0000}"/>
    <cellStyle name="Normal 4 4 3 2 2 2 4 2" xfId="14238" xr:uid="{00000000-0005-0000-0000-00005EDA0000}"/>
    <cellStyle name="Normal 4 4 3 2 2 2 4 2 2" xfId="31738" xr:uid="{00000000-0005-0000-0000-00005FDA0000}"/>
    <cellStyle name="Normal 4 4 3 2 2 2 4 2 2 2" xfId="63609" xr:uid="{00000000-0005-0000-0000-000060DA0000}"/>
    <cellStyle name="Normal 4 4 3 2 2 2 4 2 3" xfId="46117" xr:uid="{00000000-0005-0000-0000-000061DA0000}"/>
    <cellStyle name="Normal 4 4 3 2 2 2 4 3" xfId="23860" xr:uid="{00000000-0005-0000-0000-000062DA0000}"/>
    <cellStyle name="Normal 4 4 3 2 2 2 4 3 2" xfId="55731" xr:uid="{00000000-0005-0000-0000-000063DA0000}"/>
    <cellStyle name="Normal 4 4 3 2 2 2 4 4" xfId="46116" xr:uid="{00000000-0005-0000-0000-000064DA0000}"/>
    <cellStyle name="Normal 4 4 3 2 2 2 5" xfId="14239" xr:uid="{00000000-0005-0000-0000-000065DA0000}"/>
    <cellStyle name="Normal 4 4 3 2 2 2 5 2" xfId="27799" xr:uid="{00000000-0005-0000-0000-000066DA0000}"/>
    <cellStyle name="Normal 4 4 3 2 2 2 5 2 2" xfId="59670" xr:uid="{00000000-0005-0000-0000-000067DA0000}"/>
    <cellStyle name="Normal 4 4 3 2 2 2 5 3" xfId="46118" xr:uid="{00000000-0005-0000-0000-000068DA0000}"/>
    <cellStyle name="Normal 4 4 3 2 2 2 6" xfId="19921" xr:uid="{00000000-0005-0000-0000-000069DA0000}"/>
    <cellStyle name="Normal 4 4 3 2 2 2 6 2" xfId="51792" xr:uid="{00000000-0005-0000-0000-00006ADA0000}"/>
    <cellStyle name="Normal 4 4 3 2 2 2 7" xfId="46103" xr:uid="{00000000-0005-0000-0000-00006BDA0000}"/>
    <cellStyle name="Normal 4 4 3 2 2 3" xfId="14240" xr:uid="{00000000-0005-0000-0000-00006CDA0000}"/>
    <cellStyle name="Normal 4 4 3 2 2 3 2" xfId="14241" xr:uid="{00000000-0005-0000-0000-00006DDA0000}"/>
    <cellStyle name="Normal 4 4 3 2 2 3 2 2" xfId="14242" xr:uid="{00000000-0005-0000-0000-00006EDA0000}"/>
    <cellStyle name="Normal 4 4 3 2 2 3 2 2 2" xfId="14243" xr:uid="{00000000-0005-0000-0000-00006FDA0000}"/>
    <cellStyle name="Normal 4 4 3 2 2 3 2 2 2 2" xfId="31743" xr:uid="{00000000-0005-0000-0000-000070DA0000}"/>
    <cellStyle name="Normal 4 4 3 2 2 3 2 2 2 2 2" xfId="63614" xr:uid="{00000000-0005-0000-0000-000071DA0000}"/>
    <cellStyle name="Normal 4 4 3 2 2 3 2 2 2 3" xfId="46122" xr:uid="{00000000-0005-0000-0000-000072DA0000}"/>
    <cellStyle name="Normal 4 4 3 2 2 3 2 2 3" xfId="23865" xr:uid="{00000000-0005-0000-0000-000073DA0000}"/>
    <cellStyle name="Normal 4 4 3 2 2 3 2 2 3 2" xfId="55736" xr:uid="{00000000-0005-0000-0000-000074DA0000}"/>
    <cellStyle name="Normal 4 4 3 2 2 3 2 2 4" xfId="46121" xr:uid="{00000000-0005-0000-0000-000075DA0000}"/>
    <cellStyle name="Normal 4 4 3 2 2 3 2 3" xfId="14244" xr:uid="{00000000-0005-0000-0000-000076DA0000}"/>
    <cellStyle name="Normal 4 4 3 2 2 3 2 3 2" xfId="27804" xr:uid="{00000000-0005-0000-0000-000077DA0000}"/>
    <cellStyle name="Normal 4 4 3 2 2 3 2 3 2 2" xfId="59675" xr:uid="{00000000-0005-0000-0000-000078DA0000}"/>
    <cellStyle name="Normal 4 4 3 2 2 3 2 3 3" xfId="46123" xr:uid="{00000000-0005-0000-0000-000079DA0000}"/>
    <cellStyle name="Normal 4 4 3 2 2 3 2 4" xfId="19926" xr:uid="{00000000-0005-0000-0000-00007ADA0000}"/>
    <cellStyle name="Normal 4 4 3 2 2 3 2 4 2" xfId="51797" xr:uid="{00000000-0005-0000-0000-00007BDA0000}"/>
    <cellStyle name="Normal 4 4 3 2 2 3 2 5" xfId="46120" xr:uid="{00000000-0005-0000-0000-00007CDA0000}"/>
    <cellStyle name="Normal 4 4 3 2 2 3 3" xfId="14245" xr:uid="{00000000-0005-0000-0000-00007DDA0000}"/>
    <cellStyle name="Normal 4 4 3 2 2 3 3 2" xfId="14246" xr:uid="{00000000-0005-0000-0000-00007EDA0000}"/>
    <cellStyle name="Normal 4 4 3 2 2 3 3 2 2" xfId="31742" xr:uid="{00000000-0005-0000-0000-00007FDA0000}"/>
    <cellStyle name="Normal 4 4 3 2 2 3 3 2 2 2" xfId="63613" xr:uid="{00000000-0005-0000-0000-000080DA0000}"/>
    <cellStyle name="Normal 4 4 3 2 2 3 3 2 3" xfId="46125" xr:uid="{00000000-0005-0000-0000-000081DA0000}"/>
    <cellStyle name="Normal 4 4 3 2 2 3 3 3" xfId="23864" xr:uid="{00000000-0005-0000-0000-000082DA0000}"/>
    <cellStyle name="Normal 4 4 3 2 2 3 3 3 2" xfId="55735" xr:uid="{00000000-0005-0000-0000-000083DA0000}"/>
    <cellStyle name="Normal 4 4 3 2 2 3 3 4" xfId="46124" xr:uid="{00000000-0005-0000-0000-000084DA0000}"/>
    <cellStyle name="Normal 4 4 3 2 2 3 4" xfId="14247" xr:uid="{00000000-0005-0000-0000-000085DA0000}"/>
    <cellStyle name="Normal 4 4 3 2 2 3 4 2" xfId="27803" xr:uid="{00000000-0005-0000-0000-000086DA0000}"/>
    <cellStyle name="Normal 4 4 3 2 2 3 4 2 2" xfId="59674" xr:uid="{00000000-0005-0000-0000-000087DA0000}"/>
    <cellStyle name="Normal 4 4 3 2 2 3 4 3" xfId="46126" xr:uid="{00000000-0005-0000-0000-000088DA0000}"/>
    <cellStyle name="Normal 4 4 3 2 2 3 5" xfId="19925" xr:uid="{00000000-0005-0000-0000-000089DA0000}"/>
    <cellStyle name="Normal 4 4 3 2 2 3 5 2" xfId="51796" xr:uid="{00000000-0005-0000-0000-00008ADA0000}"/>
    <cellStyle name="Normal 4 4 3 2 2 3 6" xfId="46119" xr:uid="{00000000-0005-0000-0000-00008BDA0000}"/>
    <cellStyle name="Normal 4 4 3 2 2 4" xfId="14248" xr:uid="{00000000-0005-0000-0000-00008CDA0000}"/>
    <cellStyle name="Normal 4 4 3 2 2 4 2" xfId="14249" xr:uid="{00000000-0005-0000-0000-00008DDA0000}"/>
    <cellStyle name="Normal 4 4 3 2 2 4 2 2" xfId="14250" xr:uid="{00000000-0005-0000-0000-00008EDA0000}"/>
    <cellStyle name="Normal 4 4 3 2 2 4 2 2 2" xfId="31744" xr:uid="{00000000-0005-0000-0000-00008FDA0000}"/>
    <cellStyle name="Normal 4 4 3 2 2 4 2 2 2 2" xfId="63615" xr:uid="{00000000-0005-0000-0000-000090DA0000}"/>
    <cellStyle name="Normal 4 4 3 2 2 4 2 2 3" xfId="46129" xr:uid="{00000000-0005-0000-0000-000091DA0000}"/>
    <cellStyle name="Normal 4 4 3 2 2 4 2 3" xfId="23866" xr:uid="{00000000-0005-0000-0000-000092DA0000}"/>
    <cellStyle name="Normal 4 4 3 2 2 4 2 3 2" xfId="55737" xr:uid="{00000000-0005-0000-0000-000093DA0000}"/>
    <cellStyle name="Normal 4 4 3 2 2 4 2 4" xfId="46128" xr:uid="{00000000-0005-0000-0000-000094DA0000}"/>
    <cellStyle name="Normal 4 4 3 2 2 4 3" xfId="14251" xr:uid="{00000000-0005-0000-0000-000095DA0000}"/>
    <cellStyle name="Normal 4 4 3 2 2 4 3 2" xfId="27805" xr:uid="{00000000-0005-0000-0000-000096DA0000}"/>
    <cellStyle name="Normal 4 4 3 2 2 4 3 2 2" xfId="59676" xr:uid="{00000000-0005-0000-0000-000097DA0000}"/>
    <cellStyle name="Normal 4 4 3 2 2 4 3 3" xfId="46130" xr:uid="{00000000-0005-0000-0000-000098DA0000}"/>
    <cellStyle name="Normal 4 4 3 2 2 4 4" xfId="19927" xr:uid="{00000000-0005-0000-0000-000099DA0000}"/>
    <cellStyle name="Normal 4 4 3 2 2 4 4 2" xfId="51798" xr:uid="{00000000-0005-0000-0000-00009ADA0000}"/>
    <cellStyle name="Normal 4 4 3 2 2 4 5" xfId="46127" xr:uid="{00000000-0005-0000-0000-00009BDA0000}"/>
    <cellStyle name="Normal 4 4 3 2 2 5" xfId="14252" xr:uid="{00000000-0005-0000-0000-00009CDA0000}"/>
    <cellStyle name="Normal 4 4 3 2 2 5 2" xfId="14253" xr:uid="{00000000-0005-0000-0000-00009DDA0000}"/>
    <cellStyle name="Normal 4 4 3 2 2 5 2 2" xfId="31737" xr:uid="{00000000-0005-0000-0000-00009EDA0000}"/>
    <cellStyle name="Normal 4 4 3 2 2 5 2 2 2" xfId="63608" xr:uid="{00000000-0005-0000-0000-00009FDA0000}"/>
    <cellStyle name="Normal 4 4 3 2 2 5 2 3" xfId="46132" xr:uid="{00000000-0005-0000-0000-0000A0DA0000}"/>
    <cellStyle name="Normal 4 4 3 2 2 5 3" xfId="23859" xr:uid="{00000000-0005-0000-0000-0000A1DA0000}"/>
    <cellStyle name="Normal 4 4 3 2 2 5 3 2" xfId="55730" xr:uid="{00000000-0005-0000-0000-0000A2DA0000}"/>
    <cellStyle name="Normal 4 4 3 2 2 5 4" xfId="46131" xr:uid="{00000000-0005-0000-0000-0000A3DA0000}"/>
    <cellStyle name="Normal 4 4 3 2 2 6" xfId="14254" xr:uid="{00000000-0005-0000-0000-0000A4DA0000}"/>
    <cellStyle name="Normal 4 4 3 2 2 6 2" xfId="27798" xr:uid="{00000000-0005-0000-0000-0000A5DA0000}"/>
    <cellStyle name="Normal 4 4 3 2 2 6 2 2" xfId="59669" xr:uid="{00000000-0005-0000-0000-0000A6DA0000}"/>
    <cellStyle name="Normal 4 4 3 2 2 6 3" xfId="46133" xr:uid="{00000000-0005-0000-0000-0000A7DA0000}"/>
    <cellStyle name="Normal 4 4 3 2 2 7" xfId="19920" xr:uid="{00000000-0005-0000-0000-0000A8DA0000}"/>
    <cellStyle name="Normal 4 4 3 2 2 7 2" xfId="51791" xr:uid="{00000000-0005-0000-0000-0000A9DA0000}"/>
    <cellStyle name="Normal 4 4 3 2 2 8" xfId="46102" xr:uid="{00000000-0005-0000-0000-0000AADA0000}"/>
    <cellStyle name="Normal 4 4 3 2 3" xfId="14255" xr:uid="{00000000-0005-0000-0000-0000ABDA0000}"/>
    <cellStyle name="Normal 4 4 3 2 3 2" xfId="14256" xr:uid="{00000000-0005-0000-0000-0000ACDA0000}"/>
    <cellStyle name="Normal 4 4 3 2 3 2 2" xfId="14257" xr:uid="{00000000-0005-0000-0000-0000ADDA0000}"/>
    <cellStyle name="Normal 4 4 3 2 3 2 2 2" xfId="14258" xr:uid="{00000000-0005-0000-0000-0000AEDA0000}"/>
    <cellStyle name="Normal 4 4 3 2 3 2 2 2 2" xfId="14259" xr:uid="{00000000-0005-0000-0000-0000AFDA0000}"/>
    <cellStyle name="Normal 4 4 3 2 3 2 2 2 2 2" xfId="31747" xr:uid="{00000000-0005-0000-0000-0000B0DA0000}"/>
    <cellStyle name="Normal 4 4 3 2 3 2 2 2 2 2 2" xfId="63618" xr:uid="{00000000-0005-0000-0000-0000B1DA0000}"/>
    <cellStyle name="Normal 4 4 3 2 3 2 2 2 2 3" xfId="46138" xr:uid="{00000000-0005-0000-0000-0000B2DA0000}"/>
    <cellStyle name="Normal 4 4 3 2 3 2 2 2 3" xfId="23869" xr:uid="{00000000-0005-0000-0000-0000B3DA0000}"/>
    <cellStyle name="Normal 4 4 3 2 3 2 2 2 3 2" xfId="55740" xr:uid="{00000000-0005-0000-0000-0000B4DA0000}"/>
    <cellStyle name="Normal 4 4 3 2 3 2 2 2 4" xfId="46137" xr:uid="{00000000-0005-0000-0000-0000B5DA0000}"/>
    <cellStyle name="Normal 4 4 3 2 3 2 2 3" xfId="14260" xr:uid="{00000000-0005-0000-0000-0000B6DA0000}"/>
    <cellStyle name="Normal 4 4 3 2 3 2 2 3 2" xfId="27808" xr:uid="{00000000-0005-0000-0000-0000B7DA0000}"/>
    <cellStyle name="Normal 4 4 3 2 3 2 2 3 2 2" xfId="59679" xr:uid="{00000000-0005-0000-0000-0000B8DA0000}"/>
    <cellStyle name="Normal 4 4 3 2 3 2 2 3 3" xfId="46139" xr:uid="{00000000-0005-0000-0000-0000B9DA0000}"/>
    <cellStyle name="Normal 4 4 3 2 3 2 2 4" xfId="19930" xr:uid="{00000000-0005-0000-0000-0000BADA0000}"/>
    <cellStyle name="Normal 4 4 3 2 3 2 2 4 2" xfId="51801" xr:uid="{00000000-0005-0000-0000-0000BBDA0000}"/>
    <cellStyle name="Normal 4 4 3 2 3 2 2 5" xfId="46136" xr:uid="{00000000-0005-0000-0000-0000BCDA0000}"/>
    <cellStyle name="Normal 4 4 3 2 3 2 3" xfId="14261" xr:uid="{00000000-0005-0000-0000-0000BDDA0000}"/>
    <cellStyle name="Normal 4 4 3 2 3 2 3 2" xfId="14262" xr:uid="{00000000-0005-0000-0000-0000BEDA0000}"/>
    <cellStyle name="Normal 4 4 3 2 3 2 3 2 2" xfId="31746" xr:uid="{00000000-0005-0000-0000-0000BFDA0000}"/>
    <cellStyle name="Normal 4 4 3 2 3 2 3 2 2 2" xfId="63617" xr:uid="{00000000-0005-0000-0000-0000C0DA0000}"/>
    <cellStyle name="Normal 4 4 3 2 3 2 3 2 3" xfId="46141" xr:uid="{00000000-0005-0000-0000-0000C1DA0000}"/>
    <cellStyle name="Normal 4 4 3 2 3 2 3 3" xfId="23868" xr:uid="{00000000-0005-0000-0000-0000C2DA0000}"/>
    <cellStyle name="Normal 4 4 3 2 3 2 3 3 2" xfId="55739" xr:uid="{00000000-0005-0000-0000-0000C3DA0000}"/>
    <cellStyle name="Normal 4 4 3 2 3 2 3 4" xfId="46140" xr:uid="{00000000-0005-0000-0000-0000C4DA0000}"/>
    <cellStyle name="Normal 4 4 3 2 3 2 4" xfId="14263" xr:uid="{00000000-0005-0000-0000-0000C5DA0000}"/>
    <cellStyle name="Normal 4 4 3 2 3 2 4 2" xfId="27807" xr:uid="{00000000-0005-0000-0000-0000C6DA0000}"/>
    <cellStyle name="Normal 4 4 3 2 3 2 4 2 2" xfId="59678" xr:uid="{00000000-0005-0000-0000-0000C7DA0000}"/>
    <cellStyle name="Normal 4 4 3 2 3 2 4 3" xfId="46142" xr:uid="{00000000-0005-0000-0000-0000C8DA0000}"/>
    <cellStyle name="Normal 4 4 3 2 3 2 5" xfId="19929" xr:uid="{00000000-0005-0000-0000-0000C9DA0000}"/>
    <cellStyle name="Normal 4 4 3 2 3 2 5 2" xfId="51800" xr:uid="{00000000-0005-0000-0000-0000CADA0000}"/>
    <cellStyle name="Normal 4 4 3 2 3 2 6" xfId="46135" xr:uid="{00000000-0005-0000-0000-0000CBDA0000}"/>
    <cellStyle name="Normal 4 4 3 2 3 3" xfId="14264" xr:uid="{00000000-0005-0000-0000-0000CCDA0000}"/>
    <cellStyle name="Normal 4 4 3 2 3 3 2" xfId="14265" xr:uid="{00000000-0005-0000-0000-0000CDDA0000}"/>
    <cellStyle name="Normal 4 4 3 2 3 3 2 2" xfId="14266" xr:uid="{00000000-0005-0000-0000-0000CEDA0000}"/>
    <cellStyle name="Normal 4 4 3 2 3 3 2 2 2" xfId="31748" xr:uid="{00000000-0005-0000-0000-0000CFDA0000}"/>
    <cellStyle name="Normal 4 4 3 2 3 3 2 2 2 2" xfId="63619" xr:uid="{00000000-0005-0000-0000-0000D0DA0000}"/>
    <cellStyle name="Normal 4 4 3 2 3 3 2 2 3" xfId="46145" xr:uid="{00000000-0005-0000-0000-0000D1DA0000}"/>
    <cellStyle name="Normal 4 4 3 2 3 3 2 3" xfId="23870" xr:uid="{00000000-0005-0000-0000-0000D2DA0000}"/>
    <cellStyle name="Normal 4 4 3 2 3 3 2 3 2" xfId="55741" xr:uid="{00000000-0005-0000-0000-0000D3DA0000}"/>
    <cellStyle name="Normal 4 4 3 2 3 3 2 4" xfId="46144" xr:uid="{00000000-0005-0000-0000-0000D4DA0000}"/>
    <cellStyle name="Normal 4 4 3 2 3 3 3" xfId="14267" xr:uid="{00000000-0005-0000-0000-0000D5DA0000}"/>
    <cellStyle name="Normal 4 4 3 2 3 3 3 2" xfId="27809" xr:uid="{00000000-0005-0000-0000-0000D6DA0000}"/>
    <cellStyle name="Normal 4 4 3 2 3 3 3 2 2" xfId="59680" xr:uid="{00000000-0005-0000-0000-0000D7DA0000}"/>
    <cellStyle name="Normal 4 4 3 2 3 3 3 3" xfId="46146" xr:uid="{00000000-0005-0000-0000-0000D8DA0000}"/>
    <cellStyle name="Normal 4 4 3 2 3 3 4" xfId="19931" xr:uid="{00000000-0005-0000-0000-0000D9DA0000}"/>
    <cellStyle name="Normal 4 4 3 2 3 3 4 2" xfId="51802" xr:uid="{00000000-0005-0000-0000-0000DADA0000}"/>
    <cellStyle name="Normal 4 4 3 2 3 3 5" xfId="46143" xr:uid="{00000000-0005-0000-0000-0000DBDA0000}"/>
    <cellStyle name="Normal 4 4 3 2 3 4" xfId="14268" xr:uid="{00000000-0005-0000-0000-0000DCDA0000}"/>
    <cellStyle name="Normal 4 4 3 2 3 4 2" xfId="14269" xr:uid="{00000000-0005-0000-0000-0000DDDA0000}"/>
    <cellStyle name="Normal 4 4 3 2 3 4 2 2" xfId="31745" xr:uid="{00000000-0005-0000-0000-0000DEDA0000}"/>
    <cellStyle name="Normal 4 4 3 2 3 4 2 2 2" xfId="63616" xr:uid="{00000000-0005-0000-0000-0000DFDA0000}"/>
    <cellStyle name="Normal 4 4 3 2 3 4 2 3" xfId="46148" xr:uid="{00000000-0005-0000-0000-0000E0DA0000}"/>
    <cellStyle name="Normal 4 4 3 2 3 4 3" xfId="23867" xr:uid="{00000000-0005-0000-0000-0000E1DA0000}"/>
    <cellStyle name="Normal 4 4 3 2 3 4 3 2" xfId="55738" xr:uid="{00000000-0005-0000-0000-0000E2DA0000}"/>
    <cellStyle name="Normal 4 4 3 2 3 4 4" xfId="46147" xr:uid="{00000000-0005-0000-0000-0000E3DA0000}"/>
    <cellStyle name="Normal 4 4 3 2 3 5" xfId="14270" xr:uid="{00000000-0005-0000-0000-0000E4DA0000}"/>
    <cellStyle name="Normal 4 4 3 2 3 5 2" xfId="27806" xr:uid="{00000000-0005-0000-0000-0000E5DA0000}"/>
    <cellStyle name="Normal 4 4 3 2 3 5 2 2" xfId="59677" xr:uid="{00000000-0005-0000-0000-0000E6DA0000}"/>
    <cellStyle name="Normal 4 4 3 2 3 5 3" xfId="46149" xr:uid="{00000000-0005-0000-0000-0000E7DA0000}"/>
    <cellStyle name="Normal 4 4 3 2 3 6" xfId="19928" xr:uid="{00000000-0005-0000-0000-0000E8DA0000}"/>
    <cellStyle name="Normal 4 4 3 2 3 6 2" xfId="51799" xr:uid="{00000000-0005-0000-0000-0000E9DA0000}"/>
    <cellStyle name="Normal 4 4 3 2 3 7" xfId="46134" xr:uid="{00000000-0005-0000-0000-0000EADA0000}"/>
    <cellStyle name="Normal 4 4 3 2 4" xfId="14271" xr:uid="{00000000-0005-0000-0000-0000EBDA0000}"/>
    <cellStyle name="Normal 4 4 3 2 4 2" xfId="14272" xr:uid="{00000000-0005-0000-0000-0000ECDA0000}"/>
    <cellStyle name="Normal 4 4 3 2 4 2 2" xfId="14273" xr:uid="{00000000-0005-0000-0000-0000EDDA0000}"/>
    <cellStyle name="Normal 4 4 3 2 4 2 2 2" xfId="14274" xr:uid="{00000000-0005-0000-0000-0000EEDA0000}"/>
    <cellStyle name="Normal 4 4 3 2 4 2 2 2 2" xfId="31750" xr:uid="{00000000-0005-0000-0000-0000EFDA0000}"/>
    <cellStyle name="Normal 4 4 3 2 4 2 2 2 2 2" xfId="63621" xr:uid="{00000000-0005-0000-0000-0000F0DA0000}"/>
    <cellStyle name="Normal 4 4 3 2 4 2 2 2 3" xfId="46153" xr:uid="{00000000-0005-0000-0000-0000F1DA0000}"/>
    <cellStyle name="Normal 4 4 3 2 4 2 2 3" xfId="23872" xr:uid="{00000000-0005-0000-0000-0000F2DA0000}"/>
    <cellStyle name="Normal 4 4 3 2 4 2 2 3 2" xfId="55743" xr:uid="{00000000-0005-0000-0000-0000F3DA0000}"/>
    <cellStyle name="Normal 4 4 3 2 4 2 2 4" xfId="46152" xr:uid="{00000000-0005-0000-0000-0000F4DA0000}"/>
    <cellStyle name="Normal 4 4 3 2 4 2 3" xfId="14275" xr:uid="{00000000-0005-0000-0000-0000F5DA0000}"/>
    <cellStyle name="Normal 4 4 3 2 4 2 3 2" xfId="27811" xr:uid="{00000000-0005-0000-0000-0000F6DA0000}"/>
    <cellStyle name="Normal 4 4 3 2 4 2 3 2 2" xfId="59682" xr:uid="{00000000-0005-0000-0000-0000F7DA0000}"/>
    <cellStyle name="Normal 4 4 3 2 4 2 3 3" xfId="46154" xr:uid="{00000000-0005-0000-0000-0000F8DA0000}"/>
    <cellStyle name="Normal 4 4 3 2 4 2 4" xfId="19933" xr:uid="{00000000-0005-0000-0000-0000F9DA0000}"/>
    <cellStyle name="Normal 4 4 3 2 4 2 4 2" xfId="51804" xr:uid="{00000000-0005-0000-0000-0000FADA0000}"/>
    <cellStyle name="Normal 4 4 3 2 4 2 5" xfId="46151" xr:uid="{00000000-0005-0000-0000-0000FBDA0000}"/>
    <cellStyle name="Normal 4 4 3 2 4 3" xfId="14276" xr:uid="{00000000-0005-0000-0000-0000FCDA0000}"/>
    <cellStyle name="Normal 4 4 3 2 4 3 2" xfId="14277" xr:uid="{00000000-0005-0000-0000-0000FDDA0000}"/>
    <cellStyle name="Normal 4 4 3 2 4 3 2 2" xfId="31749" xr:uid="{00000000-0005-0000-0000-0000FEDA0000}"/>
    <cellStyle name="Normal 4 4 3 2 4 3 2 2 2" xfId="63620" xr:uid="{00000000-0005-0000-0000-0000FFDA0000}"/>
    <cellStyle name="Normal 4 4 3 2 4 3 2 3" xfId="46156" xr:uid="{00000000-0005-0000-0000-000000DB0000}"/>
    <cellStyle name="Normal 4 4 3 2 4 3 3" xfId="23871" xr:uid="{00000000-0005-0000-0000-000001DB0000}"/>
    <cellStyle name="Normal 4 4 3 2 4 3 3 2" xfId="55742" xr:uid="{00000000-0005-0000-0000-000002DB0000}"/>
    <cellStyle name="Normal 4 4 3 2 4 3 4" xfId="46155" xr:uid="{00000000-0005-0000-0000-000003DB0000}"/>
    <cellStyle name="Normal 4 4 3 2 4 4" xfId="14278" xr:uid="{00000000-0005-0000-0000-000004DB0000}"/>
    <cellStyle name="Normal 4 4 3 2 4 4 2" xfId="27810" xr:uid="{00000000-0005-0000-0000-000005DB0000}"/>
    <cellStyle name="Normal 4 4 3 2 4 4 2 2" xfId="59681" xr:uid="{00000000-0005-0000-0000-000006DB0000}"/>
    <cellStyle name="Normal 4 4 3 2 4 4 3" xfId="46157" xr:uid="{00000000-0005-0000-0000-000007DB0000}"/>
    <cellStyle name="Normal 4 4 3 2 4 5" xfId="19932" xr:uid="{00000000-0005-0000-0000-000008DB0000}"/>
    <cellStyle name="Normal 4 4 3 2 4 5 2" xfId="51803" xr:uid="{00000000-0005-0000-0000-000009DB0000}"/>
    <cellStyle name="Normal 4 4 3 2 4 6" xfId="46150" xr:uid="{00000000-0005-0000-0000-00000ADB0000}"/>
    <cellStyle name="Normal 4 4 3 2 5" xfId="14279" xr:uid="{00000000-0005-0000-0000-00000BDB0000}"/>
    <cellStyle name="Normal 4 4 3 2 5 2" xfId="14280" xr:uid="{00000000-0005-0000-0000-00000CDB0000}"/>
    <cellStyle name="Normal 4 4 3 2 5 2 2" xfId="14281" xr:uid="{00000000-0005-0000-0000-00000DDB0000}"/>
    <cellStyle name="Normal 4 4 3 2 5 2 2 2" xfId="31751" xr:uid="{00000000-0005-0000-0000-00000EDB0000}"/>
    <cellStyle name="Normal 4 4 3 2 5 2 2 2 2" xfId="63622" xr:uid="{00000000-0005-0000-0000-00000FDB0000}"/>
    <cellStyle name="Normal 4 4 3 2 5 2 2 3" xfId="46160" xr:uid="{00000000-0005-0000-0000-000010DB0000}"/>
    <cellStyle name="Normal 4 4 3 2 5 2 3" xfId="23873" xr:uid="{00000000-0005-0000-0000-000011DB0000}"/>
    <cellStyle name="Normal 4 4 3 2 5 2 3 2" xfId="55744" xr:uid="{00000000-0005-0000-0000-000012DB0000}"/>
    <cellStyle name="Normal 4 4 3 2 5 2 4" xfId="46159" xr:uid="{00000000-0005-0000-0000-000013DB0000}"/>
    <cellStyle name="Normal 4 4 3 2 5 3" xfId="14282" xr:uid="{00000000-0005-0000-0000-000014DB0000}"/>
    <cellStyle name="Normal 4 4 3 2 5 3 2" xfId="27812" xr:uid="{00000000-0005-0000-0000-000015DB0000}"/>
    <cellStyle name="Normal 4 4 3 2 5 3 2 2" xfId="59683" xr:uid="{00000000-0005-0000-0000-000016DB0000}"/>
    <cellStyle name="Normal 4 4 3 2 5 3 3" xfId="46161" xr:uid="{00000000-0005-0000-0000-000017DB0000}"/>
    <cellStyle name="Normal 4 4 3 2 5 4" xfId="19934" xr:uid="{00000000-0005-0000-0000-000018DB0000}"/>
    <cellStyle name="Normal 4 4 3 2 5 4 2" xfId="51805" xr:uid="{00000000-0005-0000-0000-000019DB0000}"/>
    <cellStyle name="Normal 4 4 3 2 5 5" xfId="46158" xr:uid="{00000000-0005-0000-0000-00001ADB0000}"/>
    <cellStyle name="Normal 4 4 3 2 6" xfId="14283" xr:uid="{00000000-0005-0000-0000-00001BDB0000}"/>
    <cellStyle name="Normal 4 4 3 2 6 2" xfId="14284" xr:uid="{00000000-0005-0000-0000-00001CDB0000}"/>
    <cellStyle name="Normal 4 4 3 2 6 2 2" xfId="28432" xr:uid="{00000000-0005-0000-0000-00001DDB0000}"/>
    <cellStyle name="Normal 4 4 3 2 6 2 2 2" xfId="60303" xr:uid="{00000000-0005-0000-0000-00001EDB0000}"/>
    <cellStyle name="Normal 4 4 3 2 6 2 3" xfId="46163" xr:uid="{00000000-0005-0000-0000-00001FDB0000}"/>
    <cellStyle name="Normal 4 4 3 2 6 3" xfId="20554" xr:uid="{00000000-0005-0000-0000-000020DB0000}"/>
    <cellStyle name="Normal 4 4 3 2 6 3 2" xfId="52425" xr:uid="{00000000-0005-0000-0000-000021DB0000}"/>
    <cellStyle name="Normal 4 4 3 2 6 4" xfId="46162" xr:uid="{00000000-0005-0000-0000-000022DB0000}"/>
    <cellStyle name="Normal 4 4 3 2 7" xfId="14285" xr:uid="{00000000-0005-0000-0000-000023DB0000}"/>
    <cellStyle name="Normal 4 4 3 2 7 2" xfId="24493" xr:uid="{00000000-0005-0000-0000-000024DB0000}"/>
    <cellStyle name="Normal 4 4 3 2 7 2 2" xfId="56364" xr:uid="{00000000-0005-0000-0000-000025DB0000}"/>
    <cellStyle name="Normal 4 4 3 2 7 3" xfId="46164" xr:uid="{00000000-0005-0000-0000-000026DB0000}"/>
    <cellStyle name="Normal 4 4 3 2 8" xfId="16615" xr:uid="{00000000-0005-0000-0000-000027DB0000}"/>
    <cellStyle name="Normal 4 4 3 2 8 2" xfId="48486" xr:uid="{00000000-0005-0000-0000-000028DB0000}"/>
    <cellStyle name="Normal 4 4 3 2 9" xfId="46101" xr:uid="{00000000-0005-0000-0000-000029DB0000}"/>
    <cellStyle name="Normal 4 4 3 3" xfId="14286" xr:uid="{00000000-0005-0000-0000-00002ADB0000}"/>
    <cellStyle name="Normal 4 4 3 3 2" xfId="14287" xr:uid="{00000000-0005-0000-0000-00002BDB0000}"/>
    <cellStyle name="Normal 4 4 3 3 2 2" xfId="14288" xr:uid="{00000000-0005-0000-0000-00002CDB0000}"/>
    <cellStyle name="Normal 4 4 3 3 2 2 2" xfId="14289" xr:uid="{00000000-0005-0000-0000-00002DDB0000}"/>
    <cellStyle name="Normal 4 4 3 3 2 2 2 2" xfId="14290" xr:uid="{00000000-0005-0000-0000-00002EDB0000}"/>
    <cellStyle name="Normal 4 4 3 3 2 2 2 2 2" xfId="14291" xr:uid="{00000000-0005-0000-0000-00002FDB0000}"/>
    <cellStyle name="Normal 4 4 3 3 2 2 2 2 2 2" xfId="31755" xr:uid="{00000000-0005-0000-0000-000030DB0000}"/>
    <cellStyle name="Normal 4 4 3 3 2 2 2 2 2 2 2" xfId="63626" xr:uid="{00000000-0005-0000-0000-000031DB0000}"/>
    <cellStyle name="Normal 4 4 3 3 2 2 2 2 2 3" xfId="46170" xr:uid="{00000000-0005-0000-0000-000032DB0000}"/>
    <cellStyle name="Normal 4 4 3 3 2 2 2 2 3" xfId="23877" xr:uid="{00000000-0005-0000-0000-000033DB0000}"/>
    <cellStyle name="Normal 4 4 3 3 2 2 2 2 3 2" xfId="55748" xr:uid="{00000000-0005-0000-0000-000034DB0000}"/>
    <cellStyle name="Normal 4 4 3 3 2 2 2 2 4" xfId="46169" xr:uid="{00000000-0005-0000-0000-000035DB0000}"/>
    <cellStyle name="Normal 4 4 3 3 2 2 2 3" xfId="14292" xr:uid="{00000000-0005-0000-0000-000036DB0000}"/>
    <cellStyle name="Normal 4 4 3 3 2 2 2 3 2" xfId="27816" xr:uid="{00000000-0005-0000-0000-000037DB0000}"/>
    <cellStyle name="Normal 4 4 3 3 2 2 2 3 2 2" xfId="59687" xr:uid="{00000000-0005-0000-0000-000038DB0000}"/>
    <cellStyle name="Normal 4 4 3 3 2 2 2 3 3" xfId="46171" xr:uid="{00000000-0005-0000-0000-000039DB0000}"/>
    <cellStyle name="Normal 4 4 3 3 2 2 2 4" xfId="19938" xr:uid="{00000000-0005-0000-0000-00003ADB0000}"/>
    <cellStyle name="Normal 4 4 3 3 2 2 2 4 2" xfId="51809" xr:uid="{00000000-0005-0000-0000-00003BDB0000}"/>
    <cellStyle name="Normal 4 4 3 3 2 2 2 5" xfId="46168" xr:uid="{00000000-0005-0000-0000-00003CDB0000}"/>
    <cellStyle name="Normal 4 4 3 3 2 2 3" xfId="14293" xr:uid="{00000000-0005-0000-0000-00003DDB0000}"/>
    <cellStyle name="Normal 4 4 3 3 2 2 3 2" xfId="14294" xr:uid="{00000000-0005-0000-0000-00003EDB0000}"/>
    <cellStyle name="Normal 4 4 3 3 2 2 3 2 2" xfId="31754" xr:uid="{00000000-0005-0000-0000-00003FDB0000}"/>
    <cellStyle name="Normal 4 4 3 3 2 2 3 2 2 2" xfId="63625" xr:uid="{00000000-0005-0000-0000-000040DB0000}"/>
    <cellStyle name="Normal 4 4 3 3 2 2 3 2 3" xfId="46173" xr:uid="{00000000-0005-0000-0000-000041DB0000}"/>
    <cellStyle name="Normal 4 4 3 3 2 2 3 3" xfId="23876" xr:uid="{00000000-0005-0000-0000-000042DB0000}"/>
    <cellStyle name="Normal 4 4 3 3 2 2 3 3 2" xfId="55747" xr:uid="{00000000-0005-0000-0000-000043DB0000}"/>
    <cellStyle name="Normal 4 4 3 3 2 2 3 4" xfId="46172" xr:uid="{00000000-0005-0000-0000-000044DB0000}"/>
    <cellStyle name="Normal 4 4 3 3 2 2 4" xfId="14295" xr:uid="{00000000-0005-0000-0000-000045DB0000}"/>
    <cellStyle name="Normal 4 4 3 3 2 2 4 2" xfId="27815" xr:uid="{00000000-0005-0000-0000-000046DB0000}"/>
    <cellStyle name="Normal 4 4 3 3 2 2 4 2 2" xfId="59686" xr:uid="{00000000-0005-0000-0000-000047DB0000}"/>
    <cellStyle name="Normal 4 4 3 3 2 2 4 3" xfId="46174" xr:uid="{00000000-0005-0000-0000-000048DB0000}"/>
    <cellStyle name="Normal 4 4 3 3 2 2 5" xfId="19937" xr:uid="{00000000-0005-0000-0000-000049DB0000}"/>
    <cellStyle name="Normal 4 4 3 3 2 2 5 2" xfId="51808" xr:uid="{00000000-0005-0000-0000-00004ADB0000}"/>
    <cellStyle name="Normal 4 4 3 3 2 2 6" xfId="46167" xr:uid="{00000000-0005-0000-0000-00004BDB0000}"/>
    <cellStyle name="Normal 4 4 3 3 2 3" xfId="14296" xr:uid="{00000000-0005-0000-0000-00004CDB0000}"/>
    <cellStyle name="Normal 4 4 3 3 2 3 2" xfId="14297" xr:uid="{00000000-0005-0000-0000-00004DDB0000}"/>
    <cellStyle name="Normal 4 4 3 3 2 3 2 2" xfId="14298" xr:uid="{00000000-0005-0000-0000-00004EDB0000}"/>
    <cellStyle name="Normal 4 4 3 3 2 3 2 2 2" xfId="31756" xr:uid="{00000000-0005-0000-0000-00004FDB0000}"/>
    <cellStyle name="Normal 4 4 3 3 2 3 2 2 2 2" xfId="63627" xr:uid="{00000000-0005-0000-0000-000050DB0000}"/>
    <cellStyle name="Normal 4 4 3 3 2 3 2 2 3" xfId="46177" xr:uid="{00000000-0005-0000-0000-000051DB0000}"/>
    <cellStyle name="Normal 4 4 3 3 2 3 2 3" xfId="23878" xr:uid="{00000000-0005-0000-0000-000052DB0000}"/>
    <cellStyle name="Normal 4 4 3 3 2 3 2 3 2" xfId="55749" xr:uid="{00000000-0005-0000-0000-000053DB0000}"/>
    <cellStyle name="Normal 4 4 3 3 2 3 2 4" xfId="46176" xr:uid="{00000000-0005-0000-0000-000054DB0000}"/>
    <cellStyle name="Normal 4 4 3 3 2 3 3" xfId="14299" xr:uid="{00000000-0005-0000-0000-000055DB0000}"/>
    <cellStyle name="Normal 4 4 3 3 2 3 3 2" xfId="27817" xr:uid="{00000000-0005-0000-0000-000056DB0000}"/>
    <cellStyle name="Normal 4 4 3 3 2 3 3 2 2" xfId="59688" xr:uid="{00000000-0005-0000-0000-000057DB0000}"/>
    <cellStyle name="Normal 4 4 3 3 2 3 3 3" xfId="46178" xr:uid="{00000000-0005-0000-0000-000058DB0000}"/>
    <cellStyle name="Normal 4 4 3 3 2 3 4" xfId="19939" xr:uid="{00000000-0005-0000-0000-000059DB0000}"/>
    <cellStyle name="Normal 4 4 3 3 2 3 4 2" xfId="51810" xr:uid="{00000000-0005-0000-0000-00005ADB0000}"/>
    <cellStyle name="Normal 4 4 3 3 2 3 5" xfId="46175" xr:uid="{00000000-0005-0000-0000-00005BDB0000}"/>
    <cellStyle name="Normal 4 4 3 3 2 4" xfId="14300" xr:uid="{00000000-0005-0000-0000-00005CDB0000}"/>
    <cellStyle name="Normal 4 4 3 3 2 4 2" xfId="14301" xr:uid="{00000000-0005-0000-0000-00005DDB0000}"/>
    <cellStyle name="Normal 4 4 3 3 2 4 2 2" xfId="31753" xr:uid="{00000000-0005-0000-0000-00005EDB0000}"/>
    <cellStyle name="Normal 4 4 3 3 2 4 2 2 2" xfId="63624" xr:uid="{00000000-0005-0000-0000-00005FDB0000}"/>
    <cellStyle name="Normal 4 4 3 3 2 4 2 3" xfId="46180" xr:uid="{00000000-0005-0000-0000-000060DB0000}"/>
    <cellStyle name="Normal 4 4 3 3 2 4 3" xfId="23875" xr:uid="{00000000-0005-0000-0000-000061DB0000}"/>
    <cellStyle name="Normal 4 4 3 3 2 4 3 2" xfId="55746" xr:uid="{00000000-0005-0000-0000-000062DB0000}"/>
    <cellStyle name="Normal 4 4 3 3 2 4 4" xfId="46179" xr:uid="{00000000-0005-0000-0000-000063DB0000}"/>
    <cellStyle name="Normal 4 4 3 3 2 5" xfId="14302" xr:uid="{00000000-0005-0000-0000-000064DB0000}"/>
    <cellStyle name="Normal 4 4 3 3 2 5 2" xfId="27814" xr:uid="{00000000-0005-0000-0000-000065DB0000}"/>
    <cellStyle name="Normal 4 4 3 3 2 5 2 2" xfId="59685" xr:uid="{00000000-0005-0000-0000-000066DB0000}"/>
    <cellStyle name="Normal 4 4 3 3 2 5 3" xfId="46181" xr:uid="{00000000-0005-0000-0000-000067DB0000}"/>
    <cellStyle name="Normal 4 4 3 3 2 6" xfId="19936" xr:uid="{00000000-0005-0000-0000-000068DB0000}"/>
    <cellStyle name="Normal 4 4 3 3 2 6 2" xfId="51807" xr:uid="{00000000-0005-0000-0000-000069DB0000}"/>
    <cellStyle name="Normal 4 4 3 3 2 7" xfId="46166" xr:uid="{00000000-0005-0000-0000-00006ADB0000}"/>
    <cellStyle name="Normal 4 4 3 3 3" xfId="14303" xr:uid="{00000000-0005-0000-0000-00006BDB0000}"/>
    <cellStyle name="Normal 4 4 3 3 3 2" xfId="14304" xr:uid="{00000000-0005-0000-0000-00006CDB0000}"/>
    <cellStyle name="Normal 4 4 3 3 3 2 2" xfId="14305" xr:uid="{00000000-0005-0000-0000-00006DDB0000}"/>
    <cellStyle name="Normal 4 4 3 3 3 2 2 2" xfId="14306" xr:uid="{00000000-0005-0000-0000-00006EDB0000}"/>
    <cellStyle name="Normal 4 4 3 3 3 2 2 2 2" xfId="31758" xr:uid="{00000000-0005-0000-0000-00006FDB0000}"/>
    <cellStyle name="Normal 4 4 3 3 3 2 2 2 2 2" xfId="63629" xr:uid="{00000000-0005-0000-0000-000070DB0000}"/>
    <cellStyle name="Normal 4 4 3 3 3 2 2 2 3" xfId="46185" xr:uid="{00000000-0005-0000-0000-000071DB0000}"/>
    <cellStyle name="Normal 4 4 3 3 3 2 2 3" xfId="23880" xr:uid="{00000000-0005-0000-0000-000072DB0000}"/>
    <cellStyle name="Normal 4 4 3 3 3 2 2 3 2" xfId="55751" xr:uid="{00000000-0005-0000-0000-000073DB0000}"/>
    <cellStyle name="Normal 4 4 3 3 3 2 2 4" xfId="46184" xr:uid="{00000000-0005-0000-0000-000074DB0000}"/>
    <cellStyle name="Normal 4 4 3 3 3 2 3" xfId="14307" xr:uid="{00000000-0005-0000-0000-000075DB0000}"/>
    <cellStyle name="Normal 4 4 3 3 3 2 3 2" xfId="27819" xr:uid="{00000000-0005-0000-0000-000076DB0000}"/>
    <cellStyle name="Normal 4 4 3 3 3 2 3 2 2" xfId="59690" xr:uid="{00000000-0005-0000-0000-000077DB0000}"/>
    <cellStyle name="Normal 4 4 3 3 3 2 3 3" xfId="46186" xr:uid="{00000000-0005-0000-0000-000078DB0000}"/>
    <cellStyle name="Normal 4 4 3 3 3 2 4" xfId="19941" xr:uid="{00000000-0005-0000-0000-000079DB0000}"/>
    <cellStyle name="Normal 4 4 3 3 3 2 4 2" xfId="51812" xr:uid="{00000000-0005-0000-0000-00007ADB0000}"/>
    <cellStyle name="Normal 4 4 3 3 3 2 5" xfId="46183" xr:uid="{00000000-0005-0000-0000-00007BDB0000}"/>
    <cellStyle name="Normal 4 4 3 3 3 3" xfId="14308" xr:uid="{00000000-0005-0000-0000-00007CDB0000}"/>
    <cellStyle name="Normal 4 4 3 3 3 3 2" xfId="14309" xr:uid="{00000000-0005-0000-0000-00007DDB0000}"/>
    <cellStyle name="Normal 4 4 3 3 3 3 2 2" xfId="31757" xr:uid="{00000000-0005-0000-0000-00007EDB0000}"/>
    <cellStyle name="Normal 4 4 3 3 3 3 2 2 2" xfId="63628" xr:uid="{00000000-0005-0000-0000-00007FDB0000}"/>
    <cellStyle name="Normal 4 4 3 3 3 3 2 3" xfId="46188" xr:uid="{00000000-0005-0000-0000-000080DB0000}"/>
    <cellStyle name="Normal 4 4 3 3 3 3 3" xfId="23879" xr:uid="{00000000-0005-0000-0000-000081DB0000}"/>
    <cellStyle name="Normal 4 4 3 3 3 3 3 2" xfId="55750" xr:uid="{00000000-0005-0000-0000-000082DB0000}"/>
    <cellStyle name="Normal 4 4 3 3 3 3 4" xfId="46187" xr:uid="{00000000-0005-0000-0000-000083DB0000}"/>
    <cellStyle name="Normal 4 4 3 3 3 4" xfId="14310" xr:uid="{00000000-0005-0000-0000-000084DB0000}"/>
    <cellStyle name="Normal 4 4 3 3 3 4 2" xfId="27818" xr:uid="{00000000-0005-0000-0000-000085DB0000}"/>
    <cellStyle name="Normal 4 4 3 3 3 4 2 2" xfId="59689" xr:uid="{00000000-0005-0000-0000-000086DB0000}"/>
    <cellStyle name="Normal 4 4 3 3 3 4 3" xfId="46189" xr:uid="{00000000-0005-0000-0000-000087DB0000}"/>
    <cellStyle name="Normal 4 4 3 3 3 5" xfId="19940" xr:uid="{00000000-0005-0000-0000-000088DB0000}"/>
    <cellStyle name="Normal 4 4 3 3 3 5 2" xfId="51811" xr:uid="{00000000-0005-0000-0000-000089DB0000}"/>
    <cellStyle name="Normal 4 4 3 3 3 6" xfId="46182" xr:uid="{00000000-0005-0000-0000-00008ADB0000}"/>
    <cellStyle name="Normal 4 4 3 3 4" xfId="14311" xr:uid="{00000000-0005-0000-0000-00008BDB0000}"/>
    <cellStyle name="Normal 4 4 3 3 4 2" xfId="14312" xr:uid="{00000000-0005-0000-0000-00008CDB0000}"/>
    <cellStyle name="Normal 4 4 3 3 4 2 2" xfId="14313" xr:uid="{00000000-0005-0000-0000-00008DDB0000}"/>
    <cellStyle name="Normal 4 4 3 3 4 2 2 2" xfId="31759" xr:uid="{00000000-0005-0000-0000-00008EDB0000}"/>
    <cellStyle name="Normal 4 4 3 3 4 2 2 2 2" xfId="63630" xr:uid="{00000000-0005-0000-0000-00008FDB0000}"/>
    <cellStyle name="Normal 4 4 3 3 4 2 2 3" xfId="46192" xr:uid="{00000000-0005-0000-0000-000090DB0000}"/>
    <cellStyle name="Normal 4 4 3 3 4 2 3" xfId="23881" xr:uid="{00000000-0005-0000-0000-000091DB0000}"/>
    <cellStyle name="Normal 4 4 3 3 4 2 3 2" xfId="55752" xr:uid="{00000000-0005-0000-0000-000092DB0000}"/>
    <cellStyle name="Normal 4 4 3 3 4 2 4" xfId="46191" xr:uid="{00000000-0005-0000-0000-000093DB0000}"/>
    <cellStyle name="Normal 4 4 3 3 4 3" xfId="14314" xr:uid="{00000000-0005-0000-0000-000094DB0000}"/>
    <cellStyle name="Normal 4 4 3 3 4 3 2" xfId="27820" xr:uid="{00000000-0005-0000-0000-000095DB0000}"/>
    <cellStyle name="Normal 4 4 3 3 4 3 2 2" xfId="59691" xr:uid="{00000000-0005-0000-0000-000096DB0000}"/>
    <cellStyle name="Normal 4 4 3 3 4 3 3" xfId="46193" xr:uid="{00000000-0005-0000-0000-000097DB0000}"/>
    <cellStyle name="Normal 4 4 3 3 4 4" xfId="19942" xr:uid="{00000000-0005-0000-0000-000098DB0000}"/>
    <cellStyle name="Normal 4 4 3 3 4 4 2" xfId="51813" xr:uid="{00000000-0005-0000-0000-000099DB0000}"/>
    <cellStyle name="Normal 4 4 3 3 4 5" xfId="46190" xr:uid="{00000000-0005-0000-0000-00009ADB0000}"/>
    <cellStyle name="Normal 4 4 3 3 5" xfId="14315" xr:uid="{00000000-0005-0000-0000-00009BDB0000}"/>
    <cellStyle name="Normal 4 4 3 3 5 2" xfId="14316" xr:uid="{00000000-0005-0000-0000-00009CDB0000}"/>
    <cellStyle name="Normal 4 4 3 3 5 2 2" xfId="31752" xr:uid="{00000000-0005-0000-0000-00009DDB0000}"/>
    <cellStyle name="Normal 4 4 3 3 5 2 2 2" xfId="63623" xr:uid="{00000000-0005-0000-0000-00009EDB0000}"/>
    <cellStyle name="Normal 4 4 3 3 5 2 3" xfId="46195" xr:uid="{00000000-0005-0000-0000-00009FDB0000}"/>
    <cellStyle name="Normal 4 4 3 3 5 3" xfId="23874" xr:uid="{00000000-0005-0000-0000-0000A0DB0000}"/>
    <cellStyle name="Normal 4 4 3 3 5 3 2" xfId="55745" xr:uid="{00000000-0005-0000-0000-0000A1DB0000}"/>
    <cellStyle name="Normal 4 4 3 3 5 4" xfId="46194" xr:uid="{00000000-0005-0000-0000-0000A2DB0000}"/>
    <cellStyle name="Normal 4 4 3 3 6" xfId="14317" xr:uid="{00000000-0005-0000-0000-0000A3DB0000}"/>
    <cellStyle name="Normal 4 4 3 3 6 2" xfId="27813" xr:uid="{00000000-0005-0000-0000-0000A4DB0000}"/>
    <cellStyle name="Normal 4 4 3 3 6 2 2" xfId="59684" xr:uid="{00000000-0005-0000-0000-0000A5DB0000}"/>
    <cellStyle name="Normal 4 4 3 3 6 3" xfId="46196" xr:uid="{00000000-0005-0000-0000-0000A6DB0000}"/>
    <cellStyle name="Normal 4 4 3 3 7" xfId="19935" xr:uid="{00000000-0005-0000-0000-0000A7DB0000}"/>
    <cellStyle name="Normal 4 4 3 3 7 2" xfId="51806" xr:uid="{00000000-0005-0000-0000-0000A8DB0000}"/>
    <cellStyle name="Normal 4 4 3 3 8" xfId="46165" xr:uid="{00000000-0005-0000-0000-0000A9DB0000}"/>
    <cellStyle name="Normal 4 4 3 4" xfId="14318" xr:uid="{00000000-0005-0000-0000-0000AADB0000}"/>
    <cellStyle name="Normal 4 4 3 4 2" xfId="14319" xr:uid="{00000000-0005-0000-0000-0000ABDB0000}"/>
    <cellStyle name="Normal 4 4 3 4 2 2" xfId="14320" xr:uid="{00000000-0005-0000-0000-0000ACDB0000}"/>
    <cellStyle name="Normal 4 4 3 4 2 2 2" xfId="14321" xr:uid="{00000000-0005-0000-0000-0000ADDB0000}"/>
    <cellStyle name="Normal 4 4 3 4 2 2 2 2" xfId="14322" xr:uid="{00000000-0005-0000-0000-0000AEDB0000}"/>
    <cellStyle name="Normal 4 4 3 4 2 2 2 2 2" xfId="31762" xr:uid="{00000000-0005-0000-0000-0000AFDB0000}"/>
    <cellStyle name="Normal 4 4 3 4 2 2 2 2 2 2" xfId="63633" xr:uid="{00000000-0005-0000-0000-0000B0DB0000}"/>
    <cellStyle name="Normal 4 4 3 4 2 2 2 2 3" xfId="46201" xr:uid="{00000000-0005-0000-0000-0000B1DB0000}"/>
    <cellStyle name="Normal 4 4 3 4 2 2 2 3" xfId="23884" xr:uid="{00000000-0005-0000-0000-0000B2DB0000}"/>
    <cellStyle name="Normal 4 4 3 4 2 2 2 3 2" xfId="55755" xr:uid="{00000000-0005-0000-0000-0000B3DB0000}"/>
    <cellStyle name="Normal 4 4 3 4 2 2 2 4" xfId="46200" xr:uid="{00000000-0005-0000-0000-0000B4DB0000}"/>
    <cellStyle name="Normal 4 4 3 4 2 2 3" xfId="14323" xr:uid="{00000000-0005-0000-0000-0000B5DB0000}"/>
    <cellStyle name="Normal 4 4 3 4 2 2 3 2" xfId="27823" xr:uid="{00000000-0005-0000-0000-0000B6DB0000}"/>
    <cellStyle name="Normal 4 4 3 4 2 2 3 2 2" xfId="59694" xr:uid="{00000000-0005-0000-0000-0000B7DB0000}"/>
    <cellStyle name="Normal 4 4 3 4 2 2 3 3" xfId="46202" xr:uid="{00000000-0005-0000-0000-0000B8DB0000}"/>
    <cellStyle name="Normal 4 4 3 4 2 2 4" xfId="19945" xr:uid="{00000000-0005-0000-0000-0000B9DB0000}"/>
    <cellStyle name="Normal 4 4 3 4 2 2 4 2" xfId="51816" xr:uid="{00000000-0005-0000-0000-0000BADB0000}"/>
    <cellStyle name="Normal 4 4 3 4 2 2 5" xfId="46199" xr:uid="{00000000-0005-0000-0000-0000BBDB0000}"/>
    <cellStyle name="Normal 4 4 3 4 2 3" xfId="14324" xr:uid="{00000000-0005-0000-0000-0000BCDB0000}"/>
    <cellStyle name="Normal 4 4 3 4 2 3 2" xfId="14325" xr:uid="{00000000-0005-0000-0000-0000BDDB0000}"/>
    <cellStyle name="Normal 4 4 3 4 2 3 2 2" xfId="31761" xr:uid="{00000000-0005-0000-0000-0000BEDB0000}"/>
    <cellStyle name="Normal 4 4 3 4 2 3 2 2 2" xfId="63632" xr:uid="{00000000-0005-0000-0000-0000BFDB0000}"/>
    <cellStyle name="Normal 4 4 3 4 2 3 2 3" xfId="46204" xr:uid="{00000000-0005-0000-0000-0000C0DB0000}"/>
    <cellStyle name="Normal 4 4 3 4 2 3 3" xfId="23883" xr:uid="{00000000-0005-0000-0000-0000C1DB0000}"/>
    <cellStyle name="Normal 4 4 3 4 2 3 3 2" xfId="55754" xr:uid="{00000000-0005-0000-0000-0000C2DB0000}"/>
    <cellStyle name="Normal 4 4 3 4 2 3 4" xfId="46203" xr:uid="{00000000-0005-0000-0000-0000C3DB0000}"/>
    <cellStyle name="Normal 4 4 3 4 2 4" xfId="14326" xr:uid="{00000000-0005-0000-0000-0000C4DB0000}"/>
    <cellStyle name="Normal 4 4 3 4 2 4 2" xfId="27822" xr:uid="{00000000-0005-0000-0000-0000C5DB0000}"/>
    <cellStyle name="Normal 4 4 3 4 2 4 2 2" xfId="59693" xr:uid="{00000000-0005-0000-0000-0000C6DB0000}"/>
    <cellStyle name="Normal 4 4 3 4 2 4 3" xfId="46205" xr:uid="{00000000-0005-0000-0000-0000C7DB0000}"/>
    <cellStyle name="Normal 4 4 3 4 2 5" xfId="19944" xr:uid="{00000000-0005-0000-0000-0000C8DB0000}"/>
    <cellStyle name="Normal 4 4 3 4 2 5 2" xfId="51815" xr:uid="{00000000-0005-0000-0000-0000C9DB0000}"/>
    <cellStyle name="Normal 4 4 3 4 2 6" xfId="46198" xr:uid="{00000000-0005-0000-0000-0000CADB0000}"/>
    <cellStyle name="Normal 4 4 3 4 3" xfId="14327" xr:uid="{00000000-0005-0000-0000-0000CBDB0000}"/>
    <cellStyle name="Normal 4 4 3 4 3 2" xfId="14328" xr:uid="{00000000-0005-0000-0000-0000CCDB0000}"/>
    <cellStyle name="Normal 4 4 3 4 3 2 2" xfId="14329" xr:uid="{00000000-0005-0000-0000-0000CDDB0000}"/>
    <cellStyle name="Normal 4 4 3 4 3 2 2 2" xfId="31763" xr:uid="{00000000-0005-0000-0000-0000CEDB0000}"/>
    <cellStyle name="Normal 4 4 3 4 3 2 2 2 2" xfId="63634" xr:uid="{00000000-0005-0000-0000-0000CFDB0000}"/>
    <cellStyle name="Normal 4 4 3 4 3 2 2 3" xfId="46208" xr:uid="{00000000-0005-0000-0000-0000D0DB0000}"/>
    <cellStyle name="Normal 4 4 3 4 3 2 3" xfId="23885" xr:uid="{00000000-0005-0000-0000-0000D1DB0000}"/>
    <cellStyle name="Normal 4 4 3 4 3 2 3 2" xfId="55756" xr:uid="{00000000-0005-0000-0000-0000D2DB0000}"/>
    <cellStyle name="Normal 4 4 3 4 3 2 4" xfId="46207" xr:uid="{00000000-0005-0000-0000-0000D3DB0000}"/>
    <cellStyle name="Normal 4 4 3 4 3 3" xfId="14330" xr:uid="{00000000-0005-0000-0000-0000D4DB0000}"/>
    <cellStyle name="Normal 4 4 3 4 3 3 2" xfId="27824" xr:uid="{00000000-0005-0000-0000-0000D5DB0000}"/>
    <cellStyle name="Normal 4 4 3 4 3 3 2 2" xfId="59695" xr:uid="{00000000-0005-0000-0000-0000D6DB0000}"/>
    <cellStyle name="Normal 4 4 3 4 3 3 3" xfId="46209" xr:uid="{00000000-0005-0000-0000-0000D7DB0000}"/>
    <cellStyle name="Normal 4 4 3 4 3 4" xfId="19946" xr:uid="{00000000-0005-0000-0000-0000D8DB0000}"/>
    <cellStyle name="Normal 4 4 3 4 3 4 2" xfId="51817" xr:uid="{00000000-0005-0000-0000-0000D9DB0000}"/>
    <cellStyle name="Normal 4 4 3 4 3 5" xfId="46206" xr:uid="{00000000-0005-0000-0000-0000DADB0000}"/>
    <cellStyle name="Normal 4 4 3 4 4" xfId="14331" xr:uid="{00000000-0005-0000-0000-0000DBDB0000}"/>
    <cellStyle name="Normal 4 4 3 4 4 2" xfId="14332" xr:uid="{00000000-0005-0000-0000-0000DCDB0000}"/>
    <cellStyle name="Normal 4 4 3 4 4 2 2" xfId="31760" xr:uid="{00000000-0005-0000-0000-0000DDDB0000}"/>
    <cellStyle name="Normal 4 4 3 4 4 2 2 2" xfId="63631" xr:uid="{00000000-0005-0000-0000-0000DEDB0000}"/>
    <cellStyle name="Normal 4 4 3 4 4 2 3" xfId="46211" xr:uid="{00000000-0005-0000-0000-0000DFDB0000}"/>
    <cellStyle name="Normal 4 4 3 4 4 3" xfId="23882" xr:uid="{00000000-0005-0000-0000-0000E0DB0000}"/>
    <cellStyle name="Normal 4 4 3 4 4 3 2" xfId="55753" xr:uid="{00000000-0005-0000-0000-0000E1DB0000}"/>
    <cellStyle name="Normal 4 4 3 4 4 4" xfId="46210" xr:uid="{00000000-0005-0000-0000-0000E2DB0000}"/>
    <cellStyle name="Normal 4 4 3 4 5" xfId="14333" xr:uid="{00000000-0005-0000-0000-0000E3DB0000}"/>
    <cellStyle name="Normal 4 4 3 4 5 2" xfId="27821" xr:uid="{00000000-0005-0000-0000-0000E4DB0000}"/>
    <cellStyle name="Normal 4 4 3 4 5 2 2" xfId="59692" xr:uid="{00000000-0005-0000-0000-0000E5DB0000}"/>
    <cellStyle name="Normal 4 4 3 4 5 3" xfId="46212" xr:uid="{00000000-0005-0000-0000-0000E6DB0000}"/>
    <cellStyle name="Normal 4 4 3 4 6" xfId="19943" xr:uid="{00000000-0005-0000-0000-0000E7DB0000}"/>
    <cellStyle name="Normal 4 4 3 4 6 2" xfId="51814" xr:uid="{00000000-0005-0000-0000-0000E8DB0000}"/>
    <cellStyle name="Normal 4 4 3 4 7" xfId="46197" xr:uid="{00000000-0005-0000-0000-0000E9DB0000}"/>
    <cellStyle name="Normal 4 4 3 5" xfId="14334" xr:uid="{00000000-0005-0000-0000-0000EADB0000}"/>
    <cellStyle name="Normal 4 4 3 5 2" xfId="14335" xr:uid="{00000000-0005-0000-0000-0000EBDB0000}"/>
    <cellStyle name="Normal 4 4 3 5 2 2" xfId="14336" xr:uid="{00000000-0005-0000-0000-0000ECDB0000}"/>
    <cellStyle name="Normal 4 4 3 5 2 2 2" xfId="14337" xr:uid="{00000000-0005-0000-0000-0000EDDB0000}"/>
    <cellStyle name="Normal 4 4 3 5 2 2 2 2" xfId="31765" xr:uid="{00000000-0005-0000-0000-0000EEDB0000}"/>
    <cellStyle name="Normal 4 4 3 5 2 2 2 2 2" xfId="63636" xr:uid="{00000000-0005-0000-0000-0000EFDB0000}"/>
    <cellStyle name="Normal 4 4 3 5 2 2 2 3" xfId="46216" xr:uid="{00000000-0005-0000-0000-0000F0DB0000}"/>
    <cellStyle name="Normal 4 4 3 5 2 2 3" xfId="23887" xr:uid="{00000000-0005-0000-0000-0000F1DB0000}"/>
    <cellStyle name="Normal 4 4 3 5 2 2 3 2" xfId="55758" xr:uid="{00000000-0005-0000-0000-0000F2DB0000}"/>
    <cellStyle name="Normal 4 4 3 5 2 2 4" xfId="46215" xr:uid="{00000000-0005-0000-0000-0000F3DB0000}"/>
    <cellStyle name="Normal 4 4 3 5 2 3" xfId="14338" xr:uid="{00000000-0005-0000-0000-0000F4DB0000}"/>
    <cellStyle name="Normal 4 4 3 5 2 3 2" xfId="27826" xr:uid="{00000000-0005-0000-0000-0000F5DB0000}"/>
    <cellStyle name="Normal 4 4 3 5 2 3 2 2" xfId="59697" xr:uid="{00000000-0005-0000-0000-0000F6DB0000}"/>
    <cellStyle name="Normal 4 4 3 5 2 3 3" xfId="46217" xr:uid="{00000000-0005-0000-0000-0000F7DB0000}"/>
    <cellStyle name="Normal 4 4 3 5 2 4" xfId="19948" xr:uid="{00000000-0005-0000-0000-0000F8DB0000}"/>
    <cellStyle name="Normal 4 4 3 5 2 4 2" xfId="51819" xr:uid="{00000000-0005-0000-0000-0000F9DB0000}"/>
    <cellStyle name="Normal 4 4 3 5 2 5" xfId="46214" xr:uid="{00000000-0005-0000-0000-0000FADB0000}"/>
    <cellStyle name="Normal 4 4 3 5 3" xfId="14339" xr:uid="{00000000-0005-0000-0000-0000FBDB0000}"/>
    <cellStyle name="Normal 4 4 3 5 3 2" xfId="14340" xr:uid="{00000000-0005-0000-0000-0000FCDB0000}"/>
    <cellStyle name="Normal 4 4 3 5 3 2 2" xfId="31764" xr:uid="{00000000-0005-0000-0000-0000FDDB0000}"/>
    <cellStyle name="Normal 4 4 3 5 3 2 2 2" xfId="63635" xr:uid="{00000000-0005-0000-0000-0000FEDB0000}"/>
    <cellStyle name="Normal 4 4 3 5 3 2 3" xfId="46219" xr:uid="{00000000-0005-0000-0000-0000FFDB0000}"/>
    <cellStyle name="Normal 4 4 3 5 3 3" xfId="23886" xr:uid="{00000000-0005-0000-0000-000000DC0000}"/>
    <cellStyle name="Normal 4 4 3 5 3 3 2" xfId="55757" xr:uid="{00000000-0005-0000-0000-000001DC0000}"/>
    <cellStyle name="Normal 4 4 3 5 3 4" xfId="46218" xr:uid="{00000000-0005-0000-0000-000002DC0000}"/>
    <cellStyle name="Normal 4 4 3 5 4" xfId="14341" xr:uid="{00000000-0005-0000-0000-000003DC0000}"/>
    <cellStyle name="Normal 4 4 3 5 4 2" xfId="27825" xr:uid="{00000000-0005-0000-0000-000004DC0000}"/>
    <cellStyle name="Normal 4 4 3 5 4 2 2" xfId="59696" xr:uid="{00000000-0005-0000-0000-000005DC0000}"/>
    <cellStyle name="Normal 4 4 3 5 4 3" xfId="46220" xr:uid="{00000000-0005-0000-0000-000006DC0000}"/>
    <cellStyle name="Normal 4 4 3 5 5" xfId="19947" xr:uid="{00000000-0005-0000-0000-000007DC0000}"/>
    <cellStyle name="Normal 4 4 3 5 5 2" xfId="51818" xr:uid="{00000000-0005-0000-0000-000008DC0000}"/>
    <cellStyle name="Normal 4 4 3 5 6" xfId="46213" xr:uid="{00000000-0005-0000-0000-000009DC0000}"/>
    <cellStyle name="Normal 4 4 3 6" xfId="14342" xr:uid="{00000000-0005-0000-0000-00000ADC0000}"/>
    <cellStyle name="Normal 4 4 3 6 2" xfId="14343" xr:uid="{00000000-0005-0000-0000-00000BDC0000}"/>
    <cellStyle name="Normal 4 4 3 6 2 2" xfId="14344" xr:uid="{00000000-0005-0000-0000-00000CDC0000}"/>
    <cellStyle name="Normal 4 4 3 6 2 2 2" xfId="31766" xr:uid="{00000000-0005-0000-0000-00000DDC0000}"/>
    <cellStyle name="Normal 4 4 3 6 2 2 2 2" xfId="63637" xr:uid="{00000000-0005-0000-0000-00000EDC0000}"/>
    <cellStyle name="Normal 4 4 3 6 2 2 3" xfId="46223" xr:uid="{00000000-0005-0000-0000-00000FDC0000}"/>
    <cellStyle name="Normal 4 4 3 6 2 3" xfId="23888" xr:uid="{00000000-0005-0000-0000-000010DC0000}"/>
    <cellStyle name="Normal 4 4 3 6 2 3 2" xfId="55759" xr:uid="{00000000-0005-0000-0000-000011DC0000}"/>
    <cellStyle name="Normal 4 4 3 6 2 4" xfId="46222" xr:uid="{00000000-0005-0000-0000-000012DC0000}"/>
    <cellStyle name="Normal 4 4 3 6 3" xfId="14345" xr:uid="{00000000-0005-0000-0000-000013DC0000}"/>
    <cellStyle name="Normal 4 4 3 6 3 2" xfId="27827" xr:uid="{00000000-0005-0000-0000-000014DC0000}"/>
    <cellStyle name="Normal 4 4 3 6 3 2 2" xfId="59698" xr:uid="{00000000-0005-0000-0000-000015DC0000}"/>
    <cellStyle name="Normal 4 4 3 6 3 3" xfId="46224" xr:uid="{00000000-0005-0000-0000-000016DC0000}"/>
    <cellStyle name="Normal 4 4 3 6 4" xfId="19949" xr:uid="{00000000-0005-0000-0000-000017DC0000}"/>
    <cellStyle name="Normal 4 4 3 6 4 2" xfId="51820" xr:uid="{00000000-0005-0000-0000-000018DC0000}"/>
    <cellStyle name="Normal 4 4 3 6 5" xfId="46221" xr:uid="{00000000-0005-0000-0000-000019DC0000}"/>
    <cellStyle name="Normal 4 4 3 7" xfId="14346" xr:uid="{00000000-0005-0000-0000-00001ADC0000}"/>
    <cellStyle name="Normal 4 4 3 7 2" xfId="14347" xr:uid="{00000000-0005-0000-0000-00001BDC0000}"/>
    <cellStyle name="Normal 4 4 3 7 2 2" xfId="28309" xr:uid="{00000000-0005-0000-0000-00001CDC0000}"/>
    <cellStyle name="Normal 4 4 3 7 2 2 2" xfId="60180" xr:uid="{00000000-0005-0000-0000-00001DDC0000}"/>
    <cellStyle name="Normal 4 4 3 7 2 3" xfId="46226" xr:uid="{00000000-0005-0000-0000-00001EDC0000}"/>
    <cellStyle name="Normal 4 4 3 7 3" xfId="20431" xr:uid="{00000000-0005-0000-0000-00001FDC0000}"/>
    <cellStyle name="Normal 4 4 3 7 3 2" xfId="52302" xr:uid="{00000000-0005-0000-0000-000020DC0000}"/>
    <cellStyle name="Normal 4 4 3 7 4" xfId="46225" xr:uid="{00000000-0005-0000-0000-000021DC0000}"/>
    <cellStyle name="Normal 4 4 3 8" xfId="14348" xr:uid="{00000000-0005-0000-0000-000022DC0000}"/>
    <cellStyle name="Normal 4 4 3 8 2" xfId="24370" xr:uid="{00000000-0005-0000-0000-000023DC0000}"/>
    <cellStyle name="Normal 4 4 3 8 2 2" xfId="56241" xr:uid="{00000000-0005-0000-0000-000024DC0000}"/>
    <cellStyle name="Normal 4 4 3 8 3" xfId="46227" xr:uid="{00000000-0005-0000-0000-000025DC0000}"/>
    <cellStyle name="Normal 4 4 3 9" xfId="16492" xr:uid="{00000000-0005-0000-0000-000026DC0000}"/>
    <cellStyle name="Normal 4 4 3 9 2" xfId="48363" xr:uid="{00000000-0005-0000-0000-000027DC0000}"/>
    <cellStyle name="Normal 4 4 4" xfId="231" xr:uid="{00000000-0005-0000-0000-000028DC0000}"/>
    <cellStyle name="Normal 4 4 4 10" xfId="14349" xr:uid="{00000000-0005-0000-0000-000029DC0000}"/>
    <cellStyle name="Normal 4 4 4 10 2" xfId="46228" xr:uid="{00000000-0005-0000-0000-00002ADC0000}"/>
    <cellStyle name="Normal 4 4 4 11" xfId="32201" xr:uid="{00000000-0005-0000-0000-00002BDC0000}"/>
    <cellStyle name="Normal 4 4 4 2" xfId="14350" xr:uid="{00000000-0005-0000-0000-00002CDC0000}"/>
    <cellStyle name="Normal 4 4 4 2 2" xfId="14351" xr:uid="{00000000-0005-0000-0000-00002DDC0000}"/>
    <cellStyle name="Normal 4 4 4 2 2 2" xfId="14352" xr:uid="{00000000-0005-0000-0000-00002EDC0000}"/>
    <cellStyle name="Normal 4 4 4 2 2 2 2" xfId="14353" xr:uid="{00000000-0005-0000-0000-00002FDC0000}"/>
    <cellStyle name="Normal 4 4 4 2 2 2 2 2" xfId="14354" xr:uid="{00000000-0005-0000-0000-000030DC0000}"/>
    <cellStyle name="Normal 4 4 4 2 2 2 2 2 2" xfId="14355" xr:uid="{00000000-0005-0000-0000-000031DC0000}"/>
    <cellStyle name="Normal 4 4 4 2 2 2 2 2 2 2" xfId="14356" xr:uid="{00000000-0005-0000-0000-000032DC0000}"/>
    <cellStyle name="Normal 4 4 4 2 2 2 2 2 2 2 2" xfId="31770" xr:uid="{00000000-0005-0000-0000-000033DC0000}"/>
    <cellStyle name="Normal 4 4 4 2 2 2 2 2 2 2 2 2" xfId="63641" xr:uid="{00000000-0005-0000-0000-000034DC0000}"/>
    <cellStyle name="Normal 4 4 4 2 2 2 2 2 2 2 3" xfId="46235" xr:uid="{00000000-0005-0000-0000-000035DC0000}"/>
    <cellStyle name="Normal 4 4 4 2 2 2 2 2 2 3" xfId="23892" xr:uid="{00000000-0005-0000-0000-000036DC0000}"/>
    <cellStyle name="Normal 4 4 4 2 2 2 2 2 2 3 2" xfId="55763" xr:uid="{00000000-0005-0000-0000-000037DC0000}"/>
    <cellStyle name="Normal 4 4 4 2 2 2 2 2 2 4" xfId="46234" xr:uid="{00000000-0005-0000-0000-000038DC0000}"/>
    <cellStyle name="Normal 4 4 4 2 2 2 2 2 3" xfId="14357" xr:uid="{00000000-0005-0000-0000-000039DC0000}"/>
    <cellStyle name="Normal 4 4 4 2 2 2 2 2 3 2" xfId="27831" xr:uid="{00000000-0005-0000-0000-00003ADC0000}"/>
    <cellStyle name="Normal 4 4 4 2 2 2 2 2 3 2 2" xfId="59702" xr:uid="{00000000-0005-0000-0000-00003BDC0000}"/>
    <cellStyle name="Normal 4 4 4 2 2 2 2 2 3 3" xfId="46236" xr:uid="{00000000-0005-0000-0000-00003CDC0000}"/>
    <cellStyle name="Normal 4 4 4 2 2 2 2 2 4" xfId="19953" xr:uid="{00000000-0005-0000-0000-00003DDC0000}"/>
    <cellStyle name="Normal 4 4 4 2 2 2 2 2 4 2" xfId="51824" xr:uid="{00000000-0005-0000-0000-00003EDC0000}"/>
    <cellStyle name="Normal 4 4 4 2 2 2 2 2 5" xfId="46233" xr:uid="{00000000-0005-0000-0000-00003FDC0000}"/>
    <cellStyle name="Normal 4 4 4 2 2 2 2 3" xfId="14358" xr:uid="{00000000-0005-0000-0000-000040DC0000}"/>
    <cellStyle name="Normal 4 4 4 2 2 2 2 3 2" xfId="14359" xr:uid="{00000000-0005-0000-0000-000041DC0000}"/>
    <cellStyle name="Normal 4 4 4 2 2 2 2 3 2 2" xfId="31769" xr:uid="{00000000-0005-0000-0000-000042DC0000}"/>
    <cellStyle name="Normal 4 4 4 2 2 2 2 3 2 2 2" xfId="63640" xr:uid="{00000000-0005-0000-0000-000043DC0000}"/>
    <cellStyle name="Normal 4 4 4 2 2 2 2 3 2 3" xfId="46238" xr:uid="{00000000-0005-0000-0000-000044DC0000}"/>
    <cellStyle name="Normal 4 4 4 2 2 2 2 3 3" xfId="23891" xr:uid="{00000000-0005-0000-0000-000045DC0000}"/>
    <cellStyle name="Normal 4 4 4 2 2 2 2 3 3 2" xfId="55762" xr:uid="{00000000-0005-0000-0000-000046DC0000}"/>
    <cellStyle name="Normal 4 4 4 2 2 2 2 3 4" xfId="46237" xr:uid="{00000000-0005-0000-0000-000047DC0000}"/>
    <cellStyle name="Normal 4 4 4 2 2 2 2 4" xfId="14360" xr:uid="{00000000-0005-0000-0000-000048DC0000}"/>
    <cellStyle name="Normal 4 4 4 2 2 2 2 4 2" xfId="27830" xr:uid="{00000000-0005-0000-0000-000049DC0000}"/>
    <cellStyle name="Normal 4 4 4 2 2 2 2 4 2 2" xfId="59701" xr:uid="{00000000-0005-0000-0000-00004ADC0000}"/>
    <cellStyle name="Normal 4 4 4 2 2 2 2 4 3" xfId="46239" xr:uid="{00000000-0005-0000-0000-00004BDC0000}"/>
    <cellStyle name="Normal 4 4 4 2 2 2 2 5" xfId="19952" xr:uid="{00000000-0005-0000-0000-00004CDC0000}"/>
    <cellStyle name="Normal 4 4 4 2 2 2 2 5 2" xfId="51823" xr:uid="{00000000-0005-0000-0000-00004DDC0000}"/>
    <cellStyle name="Normal 4 4 4 2 2 2 2 6" xfId="46232" xr:uid="{00000000-0005-0000-0000-00004EDC0000}"/>
    <cellStyle name="Normal 4 4 4 2 2 2 3" xfId="14361" xr:uid="{00000000-0005-0000-0000-00004FDC0000}"/>
    <cellStyle name="Normal 4 4 4 2 2 2 3 2" xfId="14362" xr:uid="{00000000-0005-0000-0000-000050DC0000}"/>
    <cellStyle name="Normal 4 4 4 2 2 2 3 2 2" xfId="14363" xr:uid="{00000000-0005-0000-0000-000051DC0000}"/>
    <cellStyle name="Normal 4 4 4 2 2 2 3 2 2 2" xfId="31771" xr:uid="{00000000-0005-0000-0000-000052DC0000}"/>
    <cellStyle name="Normal 4 4 4 2 2 2 3 2 2 2 2" xfId="63642" xr:uid="{00000000-0005-0000-0000-000053DC0000}"/>
    <cellStyle name="Normal 4 4 4 2 2 2 3 2 2 3" xfId="46242" xr:uid="{00000000-0005-0000-0000-000054DC0000}"/>
    <cellStyle name="Normal 4 4 4 2 2 2 3 2 3" xfId="23893" xr:uid="{00000000-0005-0000-0000-000055DC0000}"/>
    <cellStyle name="Normal 4 4 4 2 2 2 3 2 3 2" xfId="55764" xr:uid="{00000000-0005-0000-0000-000056DC0000}"/>
    <cellStyle name="Normal 4 4 4 2 2 2 3 2 4" xfId="46241" xr:uid="{00000000-0005-0000-0000-000057DC0000}"/>
    <cellStyle name="Normal 4 4 4 2 2 2 3 3" xfId="14364" xr:uid="{00000000-0005-0000-0000-000058DC0000}"/>
    <cellStyle name="Normal 4 4 4 2 2 2 3 3 2" xfId="27832" xr:uid="{00000000-0005-0000-0000-000059DC0000}"/>
    <cellStyle name="Normal 4 4 4 2 2 2 3 3 2 2" xfId="59703" xr:uid="{00000000-0005-0000-0000-00005ADC0000}"/>
    <cellStyle name="Normal 4 4 4 2 2 2 3 3 3" xfId="46243" xr:uid="{00000000-0005-0000-0000-00005BDC0000}"/>
    <cellStyle name="Normal 4 4 4 2 2 2 3 4" xfId="19954" xr:uid="{00000000-0005-0000-0000-00005CDC0000}"/>
    <cellStyle name="Normal 4 4 4 2 2 2 3 4 2" xfId="51825" xr:uid="{00000000-0005-0000-0000-00005DDC0000}"/>
    <cellStyle name="Normal 4 4 4 2 2 2 3 5" xfId="46240" xr:uid="{00000000-0005-0000-0000-00005EDC0000}"/>
    <cellStyle name="Normal 4 4 4 2 2 2 4" xfId="14365" xr:uid="{00000000-0005-0000-0000-00005FDC0000}"/>
    <cellStyle name="Normal 4 4 4 2 2 2 4 2" xfId="14366" xr:uid="{00000000-0005-0000-0000-000060DC0000}"/>
    <cellStyle name="Normal 4 4 4 2 2 2 4 2 2" xfId="31768" xr:uid="{00000000-0005-0000-0000-000061DC0000}"/>
    <cellStyle name="Normal 4 4 4 2 2 2 4 2 2 2" xfId="63639" xr:uid="{00000000-0005-0000-0000-000062DC0000}"/>
    <cellStyle name="Normal 4 4 4 2 2 2 4 2 3" xfId="46245" xr:uid="{00000000-0005-0000-0000-000063DC0000}"/>
    <cellStyle name="Normal 4 4 4 2 2 2 4 3" xfId="23890" xr:uid="{00000000-0005-0000-0000-000064DC0000}"/>
    <cellStyle name="Normal 4 4 4 2 2 2 4 3 2" xfId="55761" xr:uid="{00000000-0005-0000-0000-000065DC0000}"/>
    <cellStyle name="Normal 4 4 4 2 2 2 4 4" xfId="46244" xr:uid="{00000000-0005-0000-0000-000066DC0000}"/>
    <cellStyle name="Normal 4 4 4 2 2 2 5" xfId="14367" xr:uid="{00000000-0005-0000-0000-000067DC0000}"/>
    <cellStyle name="Normal 4 4 4 2 2 2 5 2" xfId="27829" xr:uid="{00000000-0005-0000-0000-000068DC0000}"/>
    <cellStyle name="Normal 4 4 4 2 2 2 5 2 2" xfId="59700" xr:uid="{00000000-0005-0000-0000-000069DC0000}"/>
    <cellStyle name="Normal 4 4 4 2 2 2 5 3" xfId="46246" xr:uid="{00000000-0005-0000-0000-00006ADC0000}"/>
    <cellStyle name="Normal 4 4 4 2 2 2 6" xfId="19951" xr:uid="{00000000-0005-0000-0000-00006BDC0000}"/>
    <cellStyle name="Normal 4 4 4 2 2 2 6 2" xfId="51822" xr:uid="{00000000-0005-0000-0000-00006CDC0000}"/>
    <cellStyle name="Normal 4 4 4 2 2 2 7" xfId="46231" xr:uid="{00000000-0005-0000-0000-00006DDC0000}"/>
    <cellStyle name="Normal 4 4 4 2 2 3" xfId="14368" xr:uid="{00000000-0005-0000-0000-00006EDC0000}"/>
    <cellStyle name="Normal 4 4 4 2 2 3 2" xfId="14369" xr:uid="{00000000-0005-0000-0000-00006FDC0000}"/>
    <cellStyle name="Normal 4 4 4 2 2 3 2 2" xfId="14370" xr:uid="{00000000-0005-0000-0000-000070DC0000}"/>
    <cellStyle name="Normal 4 4 4 2 2 3 2 2 2" xfId="14371" xr:uid="{00000000-0005-0000-0000-000071DC0000}"/>
    <cellStyle name="Normal 4 4 4 2 2 3 2 2 2 2" xfId="31773" xr:uid="{00000000-0005-0000-0000-000072DC0000}"/>
    <cellStyle name="Normal 4 4 4 2 2 3 2 2 2 2 2" xfId="63644" xr:uid="{00000000-0005-0000-0000-000073DC0000}"/>
    <cellStyle name="Normal 4 4 4 2 2 3 2 2 2 3" xfId="46250" xr:uid="{00000000-0005-0000-0000-000074DC0000}"/>
    <cellStyle name="Normal 4 4 4 2 2 3 2 2 3" xfId="23895" xr:uid="{00000000-0005-0000-0000-000075DC0000}"/>
    <cellStyle name="Normal 4 4 4 2 2 3 2 2 3 2" xfId="55766" xr:uid="{00000000-0005-0000-0000-000076DC0000}"/>
    <cellStyle name="Normal 4 4 4 2 2 3 2 2 4" xfId="46249" xr:uid="{00000000-0005-0000-0000-000077DC0000}"/>
    <cellStyle name="Normal 4 4 4 2 2 3 2 3" xfId="14372" xr:uid="{00000000-0005-0000-0000-000078DC0000}"/>
    <cellStyle name="Normal 4 4 4 2 2 3 2 3 2" xfId="27834" xr:uid="{00000000-0005-0000-0000-000079DC0000}"/>
    <cellStyle name="Normal 4 4 4 2 2 3 2 3 2 2" xfId="59705" xr:uid="{00000000-0005-0000-0000-00007ADC0000}"/>
    <cellStyle name="Normal 4 4 4 2 2 3 2 3 3" xfId="46251" xr:uid="{00000000-0005-0000-0000-00007BDC0000}"/>
    <cellStyle name="Normal 4 4 4 2 2 3 2 4" xfId="19956" xr:uid="{00000000-0005-0000-0000-00007CDC0000}"/>
    <cellStyle name="Normal 4 4 4 2 2 3 2 4 2" xfId="51827" xr:uid="{00000000-0005-0000-0000-00007DDC0000}"/>
    <cellStyle name="Normal 4 4 4 2 2 3 2 5" xfId="46248" xr:uid="{00000000-0005-0000-0000-00007EDC0000}"/>
    <cellStyle name="Normal 4 4 4 2 2 3 3" xfId="14373" xr:uid="{00000000-0005-0000-0000-00007FDC0000}"/>
    <cellStyle name="Normal 4 4 4 2 2 3 3 2" xfId="14374" xr:uid="{00000000-0005-0000-0000-000080DC0000}"/>
    <cellStyle name="Normal 4 4 4 2 2 3 3 2 2" xfId="31772" xr:uid="{00000000-0005-0000-0000-000081DC0000}"/>
    <cellStyle name="Normal 4 4 4 2 2 3 3 2 2 2" xfId="63643" xr:uid="{00000000-0005-0000-0000-000082DC0000}"/>
    <cellStyle name="Normal 4 4 4 2 2 3 3 2 3" xfId="46253" xr:uid="{00000000-0005-0000-0000-000083DC0000}"/>
    <cellStyle name="Normal 4 4 4 2 2 3 3 3" xfId="23894" xr:uid="{00000000-0005-0000-0000-000084DC0000}"/>
    <cellStyle name="Normal 4 4 4 2 2 3 3 3 2" xfId="55765" xr:uid="{00000000-0005-0000-0000-000085DC0000}"/>
    <cellStyle name="Normal 4 4 4 2 2 3 3 4" xfId="46252" xr:uid="{00000000-0005-0000-0000-000086DC0000}"/>
    <cellStyle name="Normal 4 4 4 2 2 3 4" xfId="14375" xr:uid="{00000000-0005-0000-0000-000087DC0000}"/>
    <cellStyle name="Normal 4 4 4 2 2 3 4 2" xfId="27833" xr:uid="{00000000-0005-0000-0000-000088DC0000}"/>
    <cellStyle name="Normal 4 4 4 2 2 3 4 2 2" xfId="59704" xr:uid="{00000000-0005-0000-0000-000089DC0000}"/>
    <cellStyle name="Normal 4 4 4 2 2 3 4 3" xfId="46254" xr:uid="{00000000-0005-0000-0000-00008ADC0000}"/>
    <cellStyle name="Normal 4 4 4 2 2 3 5" xfId="19955" xr:uid="{00000000-0005-0000-0000-00008BDC0000}"/>
    <cellStyle name="Normal 4 4 4 2 2 3 5 2" xfId="51826" xr:uid="{00000000-0005-0000-0000-00008CDC0000}"/>
    <cellStyle name="Normal 4 4 4 2 2 3 6" xfId="46247" xr:uid="{00000000-0005-0000-0000-00008DDC0000}"/>
    <cellStyle name="Normal 4 4 4 2 2 4" xfId="14376" xr:uid="{00000000-0005-0000-0000-00008EDC0000}"/>
    <cellStyle name="Normal 4 4 4 2 2 4 2" xfId="14377" xr:uid="{00000000-0005-0000-0000-00008FDC0000}"/>
    <cellStyle name="Normal 4 4 4 2 2 4 2 2" xfId="14378" xr:uid="{00000000-0005-0000-0000-000090DC0000}"/>
    <cellStyle name="Normal 4 4 4 2 2 4 2 2 2" xfId="31774" xr:uid="{00000000-0005-0000-0000-000091DC0000}"/>
    <cellStyle name="Normal 4 4 4 2 2 4 2 2 2 2" xfId="63645" xr:uid="{00000000-0005-0000-0000-000092DC0000}"/>
    <cellStyle name="Normal 4 4 4 2 2 4 2 2 3" xfId="46257" xr:uid="{00000000-0005-0000-0000-000093DC0000}"/>
    <cellStyle name="Normal 4 4 4 2 2 4 2 3" xfId="23896" xr:uid="{00000000-0005-0000-0000-000094DC0000}"/>
    <cellStyle name="Normal 4 4 4 2 2 4 2 3 2" xfId="55767" xr:uid="{00000000-0005-0000-0000-000095DC0000}"/>
    <cellStyle name="Normal 4 4 4 2 2 4 2 4" xfId="46256" xr:uid="{00000000-0005-0000-0000-000096DC0000}"/>
    <cellStyle name="Normal 4 4 4 2 2 4 3" xfId="14379" xr:uid="{00000000-0005-0000-0000-000097DC0000}"/>
    <cellStyle name="Normal 4 4 4 2 2 4 3 2" xfId="27835" xr:uid="{00000000-0005-0000-0000-000098DC0000}"/>
    <cellStyle name="Normal 4 4 4 2 2 4 3 2 2" xfId="59706" xr:uid="{00000000-0005-0000-0000-000099DC0000}"/>
    <cellStyle name="Normal 4 4 4 2 2 4 3 3" xfId="46258" xr:uid="{00000000-0005-0000-0000-00009ADC0000}"/>
    <cellStyle name="Normal 4 4 4 2 2 4 4" xfId="19957" xr:uid="{00000000-0005-0000-0000-00009BDC0000}"/>
    <cellStyle name="Normal 4 4 4 2 2 4 4 2" xfId="51828" xr:uid="{00000000-0005-0000-0000-00009CDC0000}"/>
    <cellStyle name="Normal 4 4 4 2 2 4 5" xfId="46255" xr:uid="{00000000-0005-0000-0000-00009DDC0000}"/>
    <cellStyle name="Normal 4 4 4 2 2 5" xfId="14380" xr:uid="{00000000-0005-0000-0000-00009EDC0000}"/>
    <cellStyle name="Normal 4 4 4 2 2 5 2" xfId="14381" xr:uid="{00000000-0005-0000-0000-00009FDC0000}"/>
    <cellStyle name="Normal 4 4 4 2 2 5 2 2" xfId="31767" xr:uid="{00000000-0005-0000-0000-0000A0DC0000}"/>
    <cellStyle name="Normal 4 4 4 2 2 5 2 2 2" xfId="63638" xr:uid="{00000000-0005-0000-0000-0000A1DC0000}"/>
    <cellStyle name="Normal 4 4 4 2 2 5 2 3" xfId="46260" xr:uid="{00000000-0005-0000-0000-0000A2DC0000}"/>
    <cellStyle name="Normal 4 4 4 2 2 5 3" xfId="23889" xr:uid="{00000000-0005-0000-0000-0000A3DC0000}"/>
    <cellStyle name="Normal 4 4 4 2 2 5 3 2" xfId="55760" xr:uid="{00000000-0005-0000-0000-0000A4DC0000}"/>
    <cellStyle name="Normal 4 4 4 2 2 5 4" xfId="46259" xr:uid="{00000000-0005-0000-0000-0000A5DC0000}"/>
    <cellStyle name="Normal 4 4 4 2 2 6" xfId="14382" xr:uid="{00000000-0005-0000-0000-0000A6DC0000}"/>
    <cellStyle name="Normal 4 4 4 2 2 6 2" xfId="27828" xr:uid="{00000000-0005-0000-0000-0000A7DC0000}"/>
    <cellStyle name="Normal 4 4 4 2 2 6 2 2" xfId="59699" xr:uid="{00000000-0005-0000-0000-0000A8DC0000}"/>
    <cellStyle name="Normal 4 4 4 2 2 6 3" xfId="46261" xr:uid="{00000000-0005-0000-0000-0000A9DC0000}"/>
    <cellStyle name="Normal 4 4 4 2 2 7" xfId="19950" xr:uid="{00000000-0005-0000-0000-0000AADC0000}"/>
    <cellStyle name="Normal 4 4 4 2 2 7 2" xfId="51821" xr:uid="{00000000-0005-0000-0000-0000ABDC0000}"/>
    <cellStyle name="Normal 4 4 4 2 2 8" xfId="46230" xr:uid="{00000000-0005-0000-0000-0000ACDC0000}"/>
    <cellStyle name="Normal 4 4 4 2 3" xfId="14383" xr:uid="{00000000-0005-0000-0000-0000ADDC0000}"/>
    <cellStyle name="Normal 4 4 4 2 3 2" xfId="14384" xr:uid="{00000000-0005-0000-0000-0000AEDC0000}"/>
    <cellStyle name="Normal 4 4 4 2 3 2 2" xfId="14385" xr:uid="{00000000-0005-0000-0000-0000AFDC0000}"/>
    <cellStyle name="Normal 4 4 4 2 3 2 2 2" xfId="14386" xr:uid="{00000000-0005-0000-0000-0000B0DC0000}"/>
    <cellStyle name="Normal 4 4 4 2 3 2 2 2 2" xfId="14387" xr:uid="{00000000-0005-0000-0000-0000B1DC0000}"/>
    <cellStyle name="Normal 4 4 4 2 3 2 2 2 2 2" xfId="31777" xr:uid="{00000000-0005-0000-0000-0000B2DC0000}"/>
    <cellStyle name="Normal 4 4 4 2 3 2 2 2 2 2 2" xfId="63648" xr:uid="{00000000-0005-0000-0000-0000B3DC0000}"/>
    <cellStyle name="Normal 4 4 4 2 3 2 2 2 2 3" xfId="46266" xr:uid="{00000000-0005-0000-0000-0000B4DC0000}"/>
    <cellStyle name="Normal 4 4 4 2 3 2 2 2 3" xfId="23899" xr:uid="{00000000-0005-0000-0000-0000B5DC0000}"/>
    <cellStyle name="Normal 4 4 4 2 3 2 2 2 3 2" xfId="55770" xr:uid="{00000000-0005-0000-0000-0000B6DC0000}"/>
    <cellStyle name="Normal 4 4 4 2 3 2 2 2 4" xfId="46265" xr:uid="{00000000-0005-0000-0000-0000B7DC0000}"/>
    <cellStyle name="Normal 4 4 4 2 3 2 2 3" xfId="14388" xr:uid="{00000000-0005-0000-0000-0000B8DC0000}"/>
    <cellStyle name="Normal 4 4 4 2 3 2 2 3 2" xfId="27838" xr:uid="{00000000-0005-0000-0000-0000B9DC0000}"/>
    <cellStyle name="Normal 4 4 4 2 3 2 2 3 2 2" xfId="59709" xr:uid="{00000000-0005-0000-0000-0000BADC0000}"/>
    <cellStyle name="Normal 4 4 4 2 3 2 2 3 3" xfId="46267" xr:uid="{00000000-0005-0000-0000-0000BBDC0000}"/>
    <cellStyle name="Normal 4 4 4 2 3 2 2 4" xfId="19960" xr:uid="{00000000-0005-0000-0000-0000BCDC0000}"/>
    <cellStyle name="Normal 4 4 4 2 3 2 2 4 2" xfId="51831" xr:uid="{00000000-0005-0000-0000-0000BDDC0000}"/>
    <cellStyle name="Normal 4 4 4 2 3 2 2 5" xfId="46264" xr:uid="{00000000-0005-0000-0000-0000BEDC0000}"/>
    <cellStyle name="Normal 4 4 4 2 3 2 3" xfId="14389" xr:uid="{00000000-0005-0000-0000-0000BFDC0000}"/>
    <cellStyle name="Normal 4 4 4 2 3 2 3 2" xfId="14390" xr:uid="{00000000-0005-0000-0000-0000C0DC0000}"/>
    <cellStyle name="Normal 4 4 4 2 3 2 3 2 2" xfId="31776" xr:uid="{00000000-0005-0000-0000-0000C1DC0000}"/>
    <cellStyle name="Normal 4 4 4 2 3 2 3 2 2 2" xfId="63647" xr:uid="{00000000-0005-0000-0000-0000C2DC0000}"/>
    <cellStyle name="Normal 4 4 4 2 3 2 3 2 3" xfId="46269" xr:uid="{00000000-0005-0000-0000-0000C3DC0000}"/>
    <cellStyle name="Normal 4 4 4 2 3 2 3 3" xfId="23898" xr:uid="{00000000-0005-0000-0000-0000C4DC0000}"/>
    <cellStyle name="Normal 4 4 4 2 3 2 3 3 2" xfId="55769" xr:uid="{00000000-0005-0000-0000-0000C5DC0000}"/>
    <cellStyle name="Normal 4 4 4 2 3 2 3 4" xfId="46268" xr:uid="{00000000-0005-0000-0000-0000C6DC0000}"/>
    <cellStyle name="Normal 4 4 4 2 3 2 4" xfId="14391" xr:uid="{00000000-0005-0000-0000-0000C7DC0000}"/>
    <cellStyle name="Normal 4 4 4 2 3 2 4 2" xfId="27837" xr:uid="{00000000-0005-0000-0000-0000C8DC0000}"/>
    <cellStyle name="Normal 4 4 4 2 3 2 4 2 2" xfId="59708" xr:uid="{00000000-0005-0000-0000-0000C9DC0000}"/>
    <cellStyle name="Normal 4 4 4 2 3 2 4 3" xfId="46270" xr:uid="{00000000-0005-0000-0000-0000CADC0000}"/>
    <cellStyle name="Normal 4 4 4 2 3 2 5" xfId="19959" xr:uid="{00000000-0005-0000-0000-0000CBDC0000}"/>
    <cellStyle name="Normal 4 4 4 2 3 2 5 2" xfId="51830" xr:uid="{00000000-0005-0000-0000-0000CCDC0000}"/>
    <cellStyle name="Normal 4 4 4 2 3 2 6" xfId="46263" xr:uid="{00000000-0005-0000-0000-0000CDDC0000}"/>
    <cellStyle name="Normal 4 4 4 2 3 3" xfId="14392" xr:uid="{00000000-0005-0000-0000-0000CEDC0000}"/>
    <cellStyle name="Normal 4 4 4 2 3 3 2" xfId="14393" xr:uid="{00000000-0005-0000-0000-0000CFDC0000}"/>
    <cellStyle name="Normal 4 4 4 2 3 3 2 2" xfId="14394" xr:uid="{00000000-0005-0000-0000-0000D0DC0000}"/>
    <cellStyle name="Normal 4 4 4 2 3 3 2 2 2" xfId="31778" xr:uid="{00000000-0005-0000-0000-0000D1DC0000}"/>
    <cellStyle name="Normal 4 4 4 2 3 3 2 2 2 2" xfId="63649" xr:uid="{00000000-0005-0000-0000-0000D2DC0000}"/>
    <cellStyle name="Normal 4 4 4 2 3 3 2 2 3" xfId="46273" xr:uid="{00000000-0005-0000-0000-0000D3DC0000}"/>
    <cellStyle name="Normal 4 4 4 2 3 3 2 3" xfId="23900" xr:uid="{00000000-0005-0000-0000-0000D4DC0000}"/>
    <cellStyle name="Normal 4 4 4 2 3 3 2 3 2" xfId="55771" xr:uid="{00000000-0005-0000-0000-0000D5DC0000}"/>
    <cellStyle name="Normal 4 4 4 2 3 3 2 4" xfId="46272" xr:uid="{00000000-0005-0000-0000-0000D6DC0000}"/>
    <cellStyle name="Normal 4 4 4 2 3 3 3" xfId="14395" xr:uid="{00000000-0005-0000-0000-0000D7DC0000}"/>
    <cellStyle name="Normal 4 4 4 2 3 3 3 2" xfId="27839" xr:uid="{00000000-0005-0000-0000-0000D8DC0000}"/>
    <cellStyle name="Normal 4 4 4 2 3 3 3 2 2" xfId="59710" xr:uid="{00000000-0005-0000-0000-0000D9DC0000}"/>
    <cellStyle name="Normal 4 4 4 2 3 3 3 3" xfId="46274" xr:uid="{00000000-0005-0000-0000-0000DADC0000}"/>
    <cellStyle name="Normal 4 4 4 2 3 3 4" xfId="19961" xr:uid="{00000000-0005-0000-0000-0000DBDC0000}"/>
    <cellStyle name="Normal 4 4 4 2 3 3 4 2" xfId="51832" xr:uid="{00000000-0005-0000-0000-0000DCDC0000}"/>
    <cellStyle name="Normal 4 4 4 2 3 3 5" xfId="46271" xr:uid="{00000000-0005-0000-0000-0000DDDC0000}"/>
    <cellStyle name="Normal 4 4 4 2 3 4" xfId="14396" xr:uid="{00000000-0005-0000-0000-0000DEDC0000}"/>
    <cellStyle name="Normal 4 4 4 2 3 4 2" xfId="14397" xr:uid="{00000000-0005-0000-0000-0000DFDC0000}"/>
    <cellStyle name="Normal 4 4 4 2 3 4 2 2" xfId="31775" xr:uid="{00000000-0005-0000-0000-0000E0DC0000}"/>
    <cellStyle name="Normal 4 4 4 2 3 4 2 2 2" xfId="63646" xr:uid="{00000000-0005-0000-0000-0000E1DC0000}"/>
    <cellStyle name="Normal 4 4 4 2 3 4 2 3" xfId="46276" xr:uid="{00000000-0005-0000-0000-0000E2DC0000}"/>
    <cellStyle name="Normal 4 4 4 2 3 4 3" xfId="23897" xr:uid="{00000000-0005-0000-0000-0000E3DC0000}"/>
    <cellStyle name="Normal 4 4 4 2 3 4 3 2" xfId="55768" xr:uid="{00000000-0005-0000-0000-0000E4DC0000}"/>
    <cellStyle name="Normal 4 4 4 2 3 4 4" xfId="46275" xr:uid="{00000000-0005-0000-0000-0000E5DC0000}"/>
    <cellStyle name="Normal 4 4 4 2 3 5" xfId="14398" xr:uid="{00000000-0005-0000-0000-0000E6DC0000}"/>
    <cellStyle name="Normal 4 4 4 2 3 5 2" xfId="27836" xr:uid="{00000000-0005-0000-0000-0000E7DC0000}"/>
    <cellStyle name="Normal 4 4 4 2 3 5 2 2" xfId="59707" xr:uid="{00000000-0005-0000-0000-0000E8DC0000}"/>
    <cellStyle name="Normal 4 4 4 2 3 5 3" xfId="46277" xr:uid="{00000000-0005-0000-0000-0000E9DC0000}"/>
    <cellStyle name="Normal 4 4 4 2 3 6" xfId="19958" xr:uid="{00000000-0005-0000-0000-0000EADC0000}"/>
    <cellStyle name="Normal 4 4 4 2 3 6 2" xfId="51829" xr:uid="{00000000-0005-0000-0000-0000EBDC0000}"/>
    <cellStyle name="Normal 4 4 4 2 3 7" xfId="46262" xr:uid="{00000000-0005-0000-0000-0000ECDC0000}"/>
    <cellStyle name="Normal 4 4 4 2 4" xfId="14399" xr:uid="{00000000-0005-0000-0000-0000EDDC0000}"/>
    <cellStyle name="Normal 4 4 4 2 4 2" xfId="14400" xr:uid="{00000000-0005-0000-0000-0000EEDC0000}"/>
    <cellStyle name="Normal 4 4 4 2 4 2 2" xfId="14401" xr:uid="{00000000-0005-0000-0000-0000EFDC0000}"/>
    <cellStyle name="Normal 4 4 4 2 4 2 2 2" xfId="14402" xr:uid="{00000000-0005-0000-0000-0000F0DC0000}"/>
    <cellStyle name="Normal 4 4 4 2 4 2 2 2 2" xfId="31780" xr:uid="{00000000-0005-0000-0000-0000F1DC0000}"/>
    <cellStyle name="Normal 4 4 4 2 4 2 2 2 2 2" xfId="63651" xr:uid="{00000000-0005-0000-0000-0000F2DC0000}"/>
    <cellStyle name="Normal 4 4 4 2 4 2 2 2 3" xfId="46281" xr:uid="{00000000-0005-0000-0000-0000F3DC0000}"/>
    <cellStyle name="Normal 4 4 4 2 4 2 2 3" xfId="23902" xr:uid="{00000000-0005-0000-0000-0000F4DC0000}"/>
    <cellStyle name="Normal 4 4 4 2 4 2 2 3 2" xfId="55773" xr:uid="{00000000-0005-0000-0000-0000F5DC0000}"/>
    <cellStyle name="Normal 4 4 4 2 4 2 2 4" xfId="46280" xr:uid="{00000000-0005-0000-0000-0000F6DC0000}"/>
    <cellStyle name="Normal 4 4 4 2 4 2 3" xfId="14403" xr:uid="{00000000-0005-0000-0000-0000F7DC0000}"/>
    <cellStyle name="Normal 4 4 4 2 4 2 3 2" xfId="27841" xr:uid="{00000000-0005-0000-0000-0000F8DC0000}"/>
    <cellStyle name="Normal 4 4 4 2 4 2 3 2 2" xfId="59712" xr:uid="{00000000-0005-0000-0000-0000F9DC0000}"/>
    <cellStyle name="Normal 4 4 4 2 4 2 3 3" xfId="46282" xr:uid="{00000000-0005-0000-0000-0000FADC0000}"/>
    <cellStyle name="Normal 4 4 4 2 4 2 4" xfId="19963" xr:uid="{00000000-0005-0000-0000-0000FBDC0000}"/>
    <cellStyle name="Normal 4 4 4 2 4 2 4 2" xfId="51834" xr:uid="{00000000-0005-0000-0000-0000FCDC0000}"/>
    <cellStyle name="Normal 4 4 4 2 4 2 5" xfId="46279" xr:uid="{00000000-0005-0000-0000-0000FDDC0000}"/>
    <cellStyle name="Normal 4 4 4 2 4 3" xfId="14404" xr:uid="{00000000-0005-0000-0000-0000FEDC0000}"/>
    <cellStyle name="Normal 4 4 4 2 4 3 2" xfId="14405" xr:uid="{00000000-0005-0000-0000-0000FFDC0000}"/>
    <cellStyle name="Normal 4 4 4 2 4 3 2 2" xfId="31779" xr:uid="{00000000-0005-0000-0000-000000DD0000}"/>
    <cellStyle name="Normal 4 4 4 2 4 3 2 2 2" xfId="63650" xr:uid="{00000000-0005-0000-0000-000001DD0000}"/>
    <cellStyle name="Normal 4 4 4 2 4 3 2 3" xfId="46284" xr:uid="{00000000-0005-0000-0000-000002DD0000}"/>
    <cellStyle name="Normal 4 4 4 2 4 3 3" xfId="23901" xr:uid="{00000000-0005-0000-0000-000003DD0000}"/>
    <cellStyle name="Normal 4 4 4 2 4 3 3 2" xfId="55772" xr:uid="{00000000-0005-0000-0000-000004DD0000}"/>
    <cellStyle name="Normal 4 4 4 2 4 3 4" xfId="46283" xr:uid="{00000000-0005-0000-0000-000005DD0000}"/>
    <cellStyle name="Normal 4 4 4 2 4 4" xfId="14406" xr:uid="{00000000-0005-0000-0000-000006DD0000}"/>
    <cellStyle name="Normal 4 4 4 2 4 4 2" xfId="27840" xr:uid="{00000000-0005-0000-0000-000007DD0000}"/>
    <cellStyle name="Normal 4 4 4 2 4 4 2 2" xfId="59711" xr:uid="{00000000-0005-0000-0000-000008DD0000}"/>
    <cellStyle name="Normal 4 4 4 2 4 4 3" xfId="46285" xr:uid="{00000000-0005-0000-0000-000009DD0000}"/>
    <cellStyle name="Normal 4 4 4 2 4 5" xfId="19962" xr:uid="{00000000-0005-0000-0000-00000ADD0000}"/>
    <cellStyle name="Normal 4 4 4 2 4 5 2" xfId="51833" xr:uid="{00000000-0005-0000-0000-00000BDD0000}"/>
    <cellStyle name="Normal 4 4 4 2 4 6" xfId="46278" xr:uid="{00000000-0005-0000-0000-00000CDD0000}"/>
    <cellStyle name="Normal 4 4 4 2 5" xfId="14407" xr:uid="{00000000-0005-0000-0000-00000DDD0000}"/>
    <cellStyle name="Normal 4 4 4 2 5 2" xfId="14408" xr:uid="{00000000-0005-0000-0000-00000EDD0000}"/>
    <cellStyle name="Normal 4 4 4 2 5 2 2" xfId="14409" xr:uid="{00000000-0005-0000-0000-00000FDD0000}"/>
    <cellStyle name="Normal 4 4 4 2 5 2 2 2" xfId="31781" xr:uid="{00000000-0005-0000-0000-000010DD0000}"/>
    <cellStyle name="Normal 4 4 4 2 5 2 2 2 2" xfId="63652" xr:uid="{00000000-0005-0000-0000-000011DD0000}"/>
    <cellStyle name="Normal 4 4 4 2 5 2 2 3" xfId="46288" xr:uid="{00000000-0005-0000-0000-000012DD0000}"/>
    <cellStyle name="Normal 4 4 4 2 5 2 3" xfId="23903" xr:uid="{00000000-0005-0000-0000-000013DD0000}"/>
    <cellStyle name="Normal 4 4 4 2 5 2 3 2" xfId="55774" xr:uid="{00000000-0005-0000-0000-000014DD0000}"/>
    <cellStyle name="Normal 4 4 4 2 5 2 4" xfId="46287" xr:uid="{00000000-0005-0000-0000-000015DD0000}"/>
    <cellStyle name="Normal 4 4 4 2 5 3" xfId="14410" xr:uid="{00000000-0005-0000-0000-000016DD0000}"/>
    <cellStyle name="Normal 4 4 4 2 5 3 2" xfId="27842" xr:uid="{00000000-0005-0000-0000-000017DD0000}"/>
    <cellStyle name="Normal 4 4 4 2 5 3 2 2" xfId="59713" xr:uid="{00000000-0005-0000-0000-000018DD0000}"/>
    <cellStyle name="Normal 4 4 4 2 5 3 3" xfId="46289" xr:uid="{00000000-0005-0000-0000-000019DD0000}"/>
    <cellStyle name="Normal 4 4 4 2 5 4" xfId="19964" xr:uid="{00000000-0005-0000-0000-00001ADD0000}"/>
    <cellStyle name="Normal 4 4 4 2 5 4 2" xfId="51835" xr:uid="{00000000-0005-0000-0000-00001BDD0000}"/>
    <cellStyle name="Normal 4 4 4 2 5 5" xfId="46286" xr:uid="{00000000-0005-0000-0000-00001CDD0000}"/>
    <cellStyle name="Normal 4 4 4 2 6" xfId="14411" xr:uid="{00000000-0005-0000-0000-00001DDD0000}"/>
    <cellStyle name="Normal 4 4 4 2 6 2" xfId="14412" xr:uid="{00000000-0005-0000-0000-00001EDD0000}"/>
    <cellStyle name="Normal 4 4 4 2 6 2 2" xfId="28473" xr:uid="{00000000-0005-0000-0000-00001FDD0000}"/>
    <cellStyle name="Normal 4 4 4 2 6 2 2 2" xfId="60344" xr:uid="{00000000-0005-0000-0000-000020DD0000}"/>
    <cellStyle name="Normal 4 4 4 2 6 2 3" xfId="46291" xr:uid="{00000000-0005-0000-0000-000021DD0000}"/>
    <cellStyle name="Normal 4 4 4 2 6 3" xfId="20595" xr:uid="{00000000-0005-0000-0000-000022DD0000}"/>
    <cellStyle name="Normal 4 4 4 2 6 3 2" xfId="52466" xr:uid="{00000000-0005-0000-0000-000023DD0000}"/>
    <cellStyle name="Normal 4 4 4 2 6 4" xfId="46290" xr:uid="{00000000-0005-0000-0000-000024DD0000}"/>
    <cellStyle name="Normal 4 4 4 2 7" xfId="14413" xr:uid="{00000000-0005-0000-0000-000025DD0000}"/>
    <cellStyle name="Normal 4 4 4 2 7 2" xfId="24534" xr:uid="{00000000-0005-0000-0000-000026DD0000}"/>
    <cellStyle name="Normal 4 4 4 2 7 2 2" xfId="56405" xr:uid="{00000000-0005-0000-0000-000027DD0000}"/>
    <cellStyle name="Normal 4 4 4 2 7 3" xfId="46292" xr:uid="{00000000-0005-0000-0000-000028DD0000}"/>
    <cellStyle name="Normal 4 4 4 2 8" xfId="16656" xr:uid="{00000000-0005-0000-0000-000029DD0000}"/>
    <cellStyle name="Normal 4 4 4 2 8 2" xfId="48527" xr:uid="{00000000-0005-0000-0000-00002ADD0000}"/>
    <cellStyle name="Normal 4 4 4 2 9" xfId="46229" xr:uid="{00000000-0005-0000-0000-00002BDD0000}"/>
    <cellStyle name="Normal 4 4 4 3" xfId="14414" xr:uid="{00000000-0005-0000-0000-00002CDD0000}"/>
    <cellStyle name="Normal 4 4 4 3 2" xfId="14415" xr:uid="{00000000-0005-0000-0000-00002DDD0000}"/>
    <cellStyle name="Normal 4 4 4 3 2 2" xfId="14416" xr:uid="{00000000-0005-0000-0000-00002EDD0000}"/>
    <cellStyle name="Normal 4 4 4 3 2 2 2" xfId="14417" xr:uid="{00000000-0005-0000-0000-00002FDD0000}"/>
    <cellStyle name="Normal 4 4 4 3 2 2 2 2" xfId="14418" xr:uid="{00000000-0005-0000-0000-000030DD0000}"/>
    <cellStyle name="Normal 4 4 4 3 2 2 2 2 2" xfId="14419" xr:uid="{00000000-0005-0000-0000-000031DD0000}"/>
    <cellStyle name="Normal 4 4 4 3 2 2 2 2 2 2" xfId="31785" xr:uid="{00000000-0005-0000-0000-000032DD0000}"/>
    <cellStyle name="Normal 4 4 4 3 2 2 2 2 2 2 2" xfId="63656" xr:uid="{00000000-0005-0000-0000-000033DD0000}"/>
    <cellStyle name="Normal 4 4 4 3 2 2 2 2 2 3" xfId="46298" xr:uid="{00000000-0005-0000-0000-000034DD0000}"/>
    <cellStyle name="Normal 4 4 4 3 2 2 2 2 3" xfId="23907" xr:uid="{00000000-0005-0000-0000-000035DD0000}"/>
    <cellStyle name="Normal 4 4 4 3 2 2 2 2 3 2" xfId="55778" xr:uid="{00000000-0005-0000-0000-000036DD0000}"/>
    <cellStyle name="Normal 4 4 4 3 2 2 2 2 4" xfId="46297" xr:uid="{00000000-0005-0000-0000-000037DD0000}"/>
    <cellStyle name="Normal 4 4 4 3 2 2 2 3" xfId="14420" xr:uid="{00000000-0005-0000-0000-000038DD0000}"/>
    <cellStyle name="Normal 4 4 4 3 2 2 2 3 2" xfId="27846" xr:uid="{00000000-0005-0000-0000-000039DD0000}"/>
    <cellStyle name="Normal 4 4 4 3 2 2 2 3 2 2" xfId="59717" xr:uid="{00000000-0005-0000-0000-00003ADD0000}"/>
    <cellStyle name="Normal 4 4 4 3 2 2 2 3 3" xfId="46299" xr:uid="{00000000-0005-0000-0000-00003BDD0000}"/>
    <cellStyle name="Normal 4 4 4 3 2 2 2 4" xfId="19968" xr:uid="{00000000-0005-0000-0000-00003CDD0000}"/>
    <cellStyle name="Normal 4 4 4 3 2 2 2 4 2" xfId="51839" xr:uid="{00000000-0005-0000-0000-00003DDD0000}"/>
    <cellStyle name="Normal 4 4 4 3 2 2 2 5" xfId="46296" xr:uid="{00000000-0005-0000-0000-00003EDD0000}"/>
    <cellStyle name="Normal 4 4 4 3 2 2 3" xfId="14421" xr:uid="{00000000-0005-0000-0000-00003FDD0000}"/>
    <cellStyle name="Normal 4 4 4 3 2 2 3 2" xfId="14422" xr:uid="{00000000-0005-0000-0000-000040DD0000}"/>
    <cellStyle name="Normal 4 4 4 3 2 2 3 2 2" xfId="31784" xr:uid="{00000000-0005-0000-0000-000041DD0000}"/>
    <cellStyle name="Normal 4 4 4 3 2 2 3 2 2 2" xfId="63655" xr:uid="{00000000-0005-0000-0000-000042DD0000}"/>
    <cellStyle name="Normal 4 4 4 3 2 2 3 2 3" xfId="46301" xr:uid="{00000000-0005-0000-0000-000043DD0000}"/>
    <cellStyle name="Normal 4 4 4 3 2 2 3 3" xfId="23906" xr:uid="{00000000-0005-0000-0000-000044DD0000}"/>
    <cellStyle name="Normal 4 4 4 3 2 2 3 3 2" xfId="55777" xr:uid="{00000000-0005-0000-0000-000045DD0000}"/>
    <cellStyle name="Normal 4 4 4 3 2 2 3 4" xfId="46300" xr:uid="{00000000-0005-0000-0000-000046DD0000}"/>
    <cellStyle name="Normal 4 4 4 3 2 2 4" xfId="14423" xr:uid="{00000000-0005-0000-0000-000047DD0000}"/>
    <cellStyle name="Normal 4 4 4 3 2 2 4 2" xfId="27845" xr:uid="{00000000-0005-0000-0000-000048DD0000}"/>
    <cellStyle name="Normal 4 4 4 3 2 2 4 2 2" xfId="59716" xr:uid="{00000000-0005-0000-0000-000049DD0000}"/>
    <cellStyle name="Normal 4 4 4 3 2 2 4 3" xfId="46302" xr:uid="{00000000-0005-0000-0000-00004ADD0000}"/>
    <cellStyle name="Normal 4 4 4 3 2 2 5" xfId="19967" xr:uid="{00000000-0005-0000-0000-00004BDD0000}"/>
    <cellStyle name="Normal 4 4 4 3 2 2 5 2" xfId="51838" xr:uid="{00000000-0005-0000-0000-00004CDD0000}"/>
    <cellStyle name="Normal 4 4 4 3 2 2 6" xfId="46295" xr:uid="{00000000-0005-0000-0000-00004DDD0000}"/>
    <cellStyle name="Normal 4 4 4 3 2 3" xfId="14424" xr:uid="{00000000-0005-0000-0000-00004EDD0000}"/>
    <cellStyle name="Normal 4 4 4 3 2 3 2" xfId="14425" xr:uid="{00000000-0005-0000-0000-00004FDD0000}"/>
    <cellStyle name="Normal 4 4 4 3 2 3 2 2" xfId="14426" xr:uid="{00000000-0005-0000-0000-000050DD0000}"/>
    <cellStyle name="Normal 4 4 4 3 2 3 2 2 2" xfId="31786" xr:uid="{00000000-0005-0000-0000-000051DD0000}"/>
    <cellStyle name="Normal 4 4 4 3 2 3 2 2 2 2" xfId="63657" xr:uid="{00000000-0005-0000-0000-000052DD0000}"/>
    <cellStyle name="Normal 4 4 4 3 2 3 2 2 3" xfId="46305" xr:uid="{00000000-0005-0000-0000-000053DD0000}"/>
    <cellStyle name="Normal 4 4 4 3 2 3 2 3" xfId="23908" xr:uid="{00000000-0005-0000-0000-000054DD0000}"/>
    <cellStyle name="Normal 4 4 4 3 2 3 2 3 2" xfId="55779" xr:uid="{00000000-0005-0000-0000-000055DD0000}"/>
    <cellStyle name="Normal 4 4 4 3 2 3 2 4" xfId="46304" xr:uid="{00000000-0005-0000-0000-000056DD0000}"/>
    <cellStyle name="Normal 4 4 4 3 2 3 3" xfId="14427" xr:uid="{00000000-0005-0000-0000-000057DD0000}"/>
    <cellStyle name="Normal 4 4 4 3 2 3 3 2" xfId="27847" xr:uid="{00000000-0005-0000-0000-000058DD0000}"/>
    <cellStyle name="Normal 4 4 4 3 2 3 3 2 2" xfId="59718" xr:uid="{00000000-0005-0000-0000-000059DD0000}"/>
    <cellStyle name="Normal 4 4 4 3 2 3 3 3" xfId="46306" xr:uid="{00000000-0005-0000-0000-00005ADD0000}"/>
    <cellStyle name="Normal 4 4 4 3 2 3 4" xfId="19969" xr:uid="{00000000-0005-0000-0000-00005BDD0000}"/>
    <cellStyle name="Normal 4 4 4 3 2 3 4 2" xfId="51840" xr:uid="{00000000-0005-0000-0000-00005CDD0000}"/>
    <cellStyle name="Normal 4 4 4 3 2 3 5" xfId="46303" xr:uid="{00000000-0005-0000-0000-00005DDD0000}"/>
    <cellStyle name="Normal 4 4 4 3 2 4" xfId="14428" xr:uid="{00000000-0005-0000-0000-00005EDD0000}"/>
    <cellStyle name="Normal 4 4 4 3 2 4 2" xfId="14429" xr:uid="{00000000-0005-0000-0000-00005FDD0000}"/>
    <cellStyle name="Normal 4 4 4 3 2 4 2 2" xfId="31783" xr:uid="{00000000-0005-0000-0000-000060DD0000}"/>
    <cellStyle name="Normal 4 4 4 3 2 4 2 2 2" xfId="63654" xr:uid="{00000000-0005-0000-0000-000061DD0000}"/>
    <cellStyle name="Normal 4 4 4 3 2 4 2 3" xfId="46308" xr:uid="{00000000-0005-0000-0000-000062DD0000}"/>
    <cellStyle name="Normal 4 4 4 3 2 4 3" xfId="23905" xr:uid="{00000000-0005-0000-0000-000063DD0000}"/>
    <cellStyle name="Normal 4 4 4 3 2 4 3 2" xfId="55776" xr:uid="{00000000-0005-0000-0000-000064DD0000}"/>
    <cellStyle name="Normal 4 4 4 3 2 4 4" xfId="46307" xr:uid="{00000000-0005-0000-0000-000065DD0000}"/>
    <cellStyle name="Normal 4 4 4 3 2 5" xfId="14430" xr:uid="{00000000-0005-0000-0000-000066DD0000}"/>
    <cellStyle name="Normal 4 4 4 3 2 5 2" xfId="27844" xr:uid="{00000000-0005-0000-0000-000067DD0000}"/>
    <cellStyle name="Normal 4 4 4 3 2 5 2 2" xfId="59715" xr:uid="{00000000-0005-0000-0000-000068DD0000}"/>
    <cellStyle name="Normal 4 4 4 3 2 5 3" xfId="46309" xr:uid="{00000000-0005-0000-0000-000069DD0000}"/>
    <cellStyle name="Normal 4 4 4 3 2 6" xfId="19966" xr:uid="{00000000-0005-0000-0000-00006ADD0000}"/>
    <cellStyle name="Normal 4 4 4 3 2 6 2" xfId="51837" xr:uid="{00000000-0005-0000-0000-00006BDD0000}"/>
    <cellStyle name="Normal 4 4 4 3 2 7" xfId="46294" xr:uid="{00000000-0005-0000-0000-00006CDD0000}"/>
    <cellStyle name="Normal 4 4 4 3 3" xfId="14431" xr:uid="{00000000-0005-0000-0000-00006DDD0000}"/>
    <cellStyle name="Normal 4 4 4 3 3 2" xfId="14432" xr:uid="{00000000-0005-0000-0000-00006EDD0000}"/>
    <cellStyle name="Normal 4 4 4 3 3 2 2" xfId="14433" xr:uid="{00000000-0005-0000-0000-00006FDD0000}"/>
    <cellStyle name="Normal 4 4 4 3 3 2 2 2" xfId="14434" xr:uid="{00000000-0005-0000-0000-000070DD0000}"/>
    <cellStyle name="Normal 4 4 4 3 3 2 2 2 2" xfId="31788" xr:uid="{00000000-0005-0000-0000-000071DD0000}"/>
    <cellStyle name="Normal 4 4 4 3 3 2 2 2 2 2" xfId="63659" xr:uid="{00000000-0005-0000-0000-000072DD0000}"/>
    <cellStyle name="Normal 4 4 4 3 3 2 2 2 3" xfId="46313" xr:uid="{00000000-0005-0000-0000-000073DD0000}"/>
    <cellStyle name="Normal 4 4 4 3 3 2 2 3" xfId="23910" xr:uid="{00000000-0005-0000-0000-000074DD0000}"/>
    <cellStyle name="Normal 4 4 4 3 3 2 2 3 2" xfId="55781" xr:uid="{00000000-0005-0000-0000-000075DD0000}"/>
    <cellStyle name="Normal 4 4 4 3 3 2 2 4" xfId="46312" xr:uid="{00000000-0005-0000-0000-000076DD0000}"/>
    <cellStyle name="Normal 4 4 4 3 3 2 3" xfId="14435" xr:uid="{00000000-0005-0000-0000-000077DD0000}"/>
    <cellStyle name="Normal 4 4 4 3 3 2 3 2" xfId="27849" xr:uid="{00000000-0005-0000-0000-000078DD0000}"/>
    <cellStyle name="Normal 4 4 4 3 3 2 3 2 2" xfId="59720" xr:uid="{00000000-0005-0000-0000-000079DD0000}"/>
    <cellStyle name="Normal 4 4 4 3 3 2 3 3" xfId="46314" xr:uid="{00000000-0005-0000-0000-00007ADD0000}"/>
    <cellStyle name="Normal 4 4 4 3 3 2 4" xfId="19971" xr:uid="{00000000-0005-0000-0000-00007BDD0000}"/>
    <cellStyle name="Normal 4 4 4 3 3 2 4 2" xfId="51842" xr:uid="{00000000-0005-0000-0000-00007CDD0000}"/>
    <cellStyle name="Normal 4 4 4 3 3 2 5" xfId="46311" xr:uid="{00000000-0005-0000-0000-00007DDD0000}"/>
    <cellStyle name="Normal 4 4 4 3 3 3" xfId="14436" xr:uid="{00000000-0005-0000-0000-00007EDD0000}"/>
    <cellStyle name="Normal 4 4 4 3 3 3 2" xfId="14437" xr:uid="{00000000-0005-0000-0000-00007FDD0000}"/>
    <cellStyle name="Normal 4 4 4 3 3 3 2 2" xfId="31787" xr:uid="{00000000-0005-0000-0000-000080DD0000}"/>
    <cellStyle name="Normal 4 4 4 3 3 3 2 2 2" xfId="63658" xr:uid="{00000000-0005-0000-0000-000081DD0000}"/>
    <cellStyle name="Normal 4 4 4 3 3 3 2 3" xfId="46316" xr:uid="{00000000-0005-0000-0000-000082DD0000}"/>
    <cellStyle name="Normal 4 4 4 3 3 3 3" xfId="23909" xr:uid="{00000000-0005-0000-0000-000083DD0000}"/>
    <cellStyle name="Normal 4 4 4 3 3 3 3 2" xfId="55780" xr:uid="{00000000-0005-0000-0000-000084DD0000}"/>
    <cellStyle name="Normal 4 4 4 3 3 3 4" xfId="46315" xr:uid="{00000000-0005-0000-0000-000085DD0000}"/>
    <cellStyle name="Normal 4 4 4 3 3 4" xfId="14438" xr:uid="{00000000-0005-0000-0000-000086DD0000}"/>
    <cellStyle name="Normal 4 4 4 3 3 4 2" xfId="27848" xr:uid="{00000000-0005-0000-0000-000087DD0000}"/>
    <cellStyle name="Normal 4 4 4 3 3 4 2 2" xfId="59719" xr:uid="{00000000-0005-0000-0000-000088DD0000}"/>
    <cellStyle name="Normal 4 4 4 3 3 4 3" xfId="46317" xr:uid="{00000000-0005-0000-0000-000089DD0000}"/>
    <cellStyle name="Normal 4 4 4 3 3 5" xfId="19970" xr:uid="{00000000-0005-0000-0000-00008ADD0000}"/>
    <cellStyle name="Normal 4 4 4 3 3 5 2" xfId="51841" xr:uid="{00000000-0005-0000-0000-00008BDD0000}"/>
    <cellStyle name="Normal 4 4 4 3 3 6" xfId="46310" xr:uid="{00000000-0005-0000-0000-00008CDD0000}"/>
    <cellStyle name="Normal 4 4 4 3 4" xfId="14439" xr:uid="{00000000-0005-0000-0000-00008DDD0000}"/>
    <cellStyle name="Normal 4 4 4 3 4 2" xfId="14440" xr:uid="{00000000-0005-0000-0000-00008EDD0000}"/>
    <cellStyle name="Normal 4 4 4 3 4 2 2" xfId="14441" xr:uid="{00000000-0005-0000-0000-00008FDD0000}"/>
    <cellStyle name="Normal 4 4 4 3 4 2 2 2" xfId="31789" xr:uid="{00000000-0005-0000-0000-000090DD0000}"/>
    <cellStyle name="Normal 4 4 4 3 4 2 2 2 2" xfId="63660" xr:uid="{00000000-0005-0000-0000-000091DD0000}"/>
    <cellStyle name="Normal 4 4 4 3 4 2 2 3" xfId="46320" xr:uid="{00000000-0005-0000-0000-000092DD0000}"/>
    <cellStyle name="Normal 4 4 4 3 4 2 3" xfId="23911" xr:uid="{00000000-0005-0000-0000-000093DD0000}"/>
    <cellStyle name="Normal 4 4 4 3 4 2 3 2" xfId="55782" xr:uid="{00000000-0005-0000-0000-000094DD0000}"/>
    <cellStyle name="Normal 4 4 4 3 4 2 4" xfId="46319" xr:uid="{00000000-0005-0000-0000-000095DD0000}"/>
    <cellStyle name="Normal 4 4 4 3 4 3" xfId="14442" xr:uid="{00000000-0005-0000-0000-000096DD0000}"/>
    <cellStyle name="Normal 4 4 4 3 4 3 2" xfId="27850" xr:uid="{00000000-0005-0000-0000-000097DD0000}"/>
    <cellStyle name="Normal 4 4 4 3 4 3 2 2" xfId="59721" xr:uid="{00000000-0005-0000-0000-000098DD0000}"/>
    <cellStyle name="Normal 4 4 4 3 4 3 3" xfId="46321" xr:uid="{00000000-0005-0000-0000-000099DD0000}"/>
    <cellStyle name="Normal 4 4 4 3 4 4" xfId="19972" xr:uid="{00000000-0005-0000-0000-00009ADD0000}"/>
    <cellStyle name="Normal 4 4 4 3 4 4 2" xfId="51843" xr:uid="{00000000-0005-0000-0000-00009BDD0000}"/>
    <cellStyle name="Normal 4 4 4 3 4 5" xfId="46318" xr:uid="{00000000-0005-0000-0000-00009CDD0000}"/>
    <cellStyle name="Normal 4 4 4 3 5" xfId="14443" xr:uid="{00000000-0005-0000-0000-00009DDD0000}"/>
    <cellStyle name="Normal 4 4 4 3 5 2" xfId="14444" xr:uid="{00000000-0005-0000-0000-00009EDD0000}"/>
    <cellStyle name="Normal 4 4 4 3 5 2 2" xfId="31782" xr:uid="{00000000-0005-0000-0000-00009FDD0000}"/>
    <cellStyle name="Normal 4 4 4 3 5 2 2 2" xfId="63653" xr:uid="{00000000-0005-0000-0000-0000A0DD0000}"/>
    <cellStyle name="Normal 4 4 4 3 5 2 3" xfId="46323" xr:uid="{00000000-0005-0000-0000-0000A1DD0000}"/>
    <cellStyle name="Normal 4 4 4 3 5 3" xfId="23904" xr:uid="{00000000-0005-0000-0000-0000A2DD0000}"/>
    <cellStyle name="Normal 4 4 4 3 5 3 2" xfId="55775" xr:uid="{00000000-0005-0000-0000-0000A3DD0000}"/>
    <cellStyle name="Normal 4 4 4 3 5 4" xfId="46322" xr:uid="{00000000-0005-0000-0000-0000A4DD0000}"/>
    <cellStyle name="Normal 4 4 4 3 6" xfId="14445" xr:uid="{00000000-0005-0000-0000-0000A5DD0000}"/>
    <cellStyle name="Normal 4 4 4 3 6 2" xfId="27843" xr:uid="{00000000-0005-0000-0000-0000A6DD0000}"/>
    <cellStyle name="Normal 4 4 4 3 6 2 2" xfId="59714" xr:uid="{00000000-0005-0000-0000-0000A7DD0000}"/>
    <cellStyle name="Normal 4 4 4 3 6 3" xfId="46324" xr:uid="{00000000-0005-0000-0000-0000A8DD0000}"/>
    <cellStyle name="Normal 4 4 4 3 7" xfId="19965" xr:uid="{00000000-0005-0000-0000-0000A9DD0000}"/>
    <cellStyle name="Normal 4 4 4 3 7 2" xfId="51836" xr:uid="{00000000-0005-0000-0000-0000AADD0000}"/>
    <cellStyle name="Normal 4 4 4 3 8" xfId="46293" xr:uid="{00000000-0005-0000-0000-0000ABDD0000}"/>
    <cellStyle name="Normal 4 4 4 4" xfId="14446" xr:uid="{00000000-0005-0000-0000-0000ACDD0000}"/>
    <cellStyle name="Normal 4 4 4 4 2" xfId="14447" xr:uid="{00000000-0005-0000-0000-0000ADDD0000}"/>
    <cellStyle name="Normal 4 4 4 4 2 2" xfId="14448" xr:uid="{00000000-0005-0000-0000-0000AEDD0000}"/>
    <cellStyle name="Normal 4 4 4 4 2 2 2" xfId="14449" xr:uid="{00000000-0005-0000-0000-0000AFDD0000}"/>
    <cellStyle name="Normal 4 4 4 4 2 2 2 2" xfId="14450" xr:uid="{00000000-0005-0000-0000-0000B0DD0000}"/>
    <cellStyle name="Normal 4 4 4 4 2 2 2 2 2" xfId="31792" xr:uid="{00000000-0005-0000-0000-0000B1DD0000}"/>
    <cellStyle name="Normal 4 4 4 4 2 2 2 2 2 2" xfId="63663" xr:uid="{00000000-0005-0000-0000-0000B2DD0000}"/>
    <cellStyle name="Normal 4 4 4 4 2 2 2 2 3" xfId="46329" xr:uid="{00000000-0005-0000-0000-0000B3DD0000}"/>
    <cellStyle name="Normal 4 4 4 4 2 2 2 3" xfId="23914" xr:uid="{00000000-0005-0000-0000-0000B4DD0000}"/>
    <cellStyle name="Normal 4 4 4 4 2 2 2 3 2" xfId="55785" xr:uid="{00000000-0005-0000-0000-0000B5DD0000}"/>
    <cellStyle name="Normal 4 4 4 4 2 2 2 4" xfId="46328" xr:uid="{00000000-0005-0000-0000-0000B6DD0000}"/>
    <cellStyle name="Normal 4 4 4 4 2 2 3" xfId="14451" xr:uid="{00000000-0005-0000-0000-0000B7DD0000}"/>
    <cellStyle name="Normal 4 4 4 4 2 2 3 2" xfId="27853" xr:uid="{00000000-0005-0000-0000-0000B8DD0000}"/>
    <cellStyle name="Normal 4 4 4 4 2 2 3 2 2" xfId="59724" xr:uid="{00000000-0005-0000-0000-0000B9DD0000}"/>
    <cellStyle name="Normal 4 4 4 4 2 2 3 3" xfId="46330" xr:uid="{00000000-0005-0000-0000-0000BADD0000}"/>
    <cellStyle name="Normal 4 4 4 4 2 2 4" xfId="19975" xr:uid="{00000000-0005-0000-0000-0000BBDD0000}"/>
    <cellStyle name="Normal 4 4 4 4 2 2 4 2" xfId="51846" xr:uid="{00000000-0005-0000-0000-0000BCDD0000}"/>
    <cellStyle name="Normal 4 4 4 4 2 2 5" xfId="46327" xr:uid="{00000000-0005-0000-0000-0000BDDD0000}"/>
    <cellStyle name="Normal 4 4 4 4 2 3" xfId="14452" xr:uid="{00000000-0005-0000-0000-0000BEDD0000}"/>
    <cellStyle name="Normal 4 4 4 4 2 3 2" xfId="14453" xr:uid="{00000000-0005-0000-0000-0000BFDD0000}"/>
    <cellStyle name="Normal 4 4 4 4 2 3 2 2" xfId="31791" xr:uid="{00000000-0005-0000-0000-0000C0DD0000}"/>
    <cellStyle name="Normal 4 4 4 4 2 3 2 2 2" xfId="63662" xr:uid="{00000000-0005-0000-0000-0000C1DD0000}"/>
    <cellStyle name="Normal 4 4 4 4 2 3 2 3" xfId="46332" xr:uid="{00000000-0005-0000-0000-0000C2DD0000}"/>
    <cellStyle name="Normal 4 4 4 4 2 3 3" xfId="23913" xr:uid="{00000000-0005-0000-0000-0000C3DD0000}"/>
    <cellStyle name="Normal 4 4 4 4 2 3 3 2" xfId="55784" xr:uid="{00000000-0005-0000-0000-0000C4DD0000}"/>
    <cellStyle name="Normal 4 4 4 4 2 3 4" xfId="46331" xr:uid="{00000000-0005-0000-0000-0000C5DD0000}"/>
    <cellStyle name="Normal 4 4 4 4 2 4" xfId="14454" xr:uid="{00000000-0005-0000-0000-0000C6DD0000}"/>
    <cellStyle name="Normal 4 4 4 4 2 4 2" xfId="27852" xr:uid="{00000000-0005-0000-0000-0000C7DD0000}"/>
    <cellStyle name="Normal 4 4 4 4 2 4 2 2" xfId="59723" xr:uid="{00000000-0005-0000-0000-0000C8DD0000}"/>
    <cellStyle name="Normal 4 4 4 4 2 4 3" xfId="46333" xr:uid="{00000000-0005-0000-0000-0000C9DD0000}"/>
    <cellStyle name="Normal 4 4 4 4 2 5" xfId="19974" xr:uid="{00000000-0005-0000-0000-0000CADD0000}"/>
    <cellStyle name="Normal 4 4 4 4 2 5 2" xfId="51845" xr:uid="{00000000-0005-0000-0000-0000CBDD0000}"/>
    <cellStyle name="Normal 4 4 4 4 2 6" xfId="46326" xr:uid="{00000000-0005-0000-0000-0000CCDD0000}"/>
    <cellStyle name="Normal 4 4 4 4 3" xfId="14455" xr:uid="{00000000-0005-0000-0000-0000CDDD0000}"/>
    <cellStyle name="Normal 4 4 4 4 3 2" xfId="14456" xr:uid="{00000000-0005-0000-0000-0000CEDD0000}"/>
    <cellStyle name="Normal 4 4 4 4 3 2 2" xfId="14457" xr:uid="{00000000-0005-0000-0000-0000CFDD0000}"/>
    <cellStyle name="Normal 4 4 4 4 3 2 2 2" xfId="31793" xr:uid="{00000000-0005-0000-0000-0000D0DD0000}"/>
    <cellStyle name="Normal 4 4 4 4 3 2 2 2 2" xfId="63664" xr:uid="{00000000-0005-0000-0000-0000D1DD0000}"/>
    <cellStyle name="Normal 4 4 4 4 3 2 2 3" xfId="46336" xr:uid="{00000000-0005-0000-0000-0000D2DD0000}"/>
    <cellStyle name="Normal 4 4 4 4 3 2 3" xfId="23915" xr:uid="{00000000-0005-0000-0000-0000D3DD0000}"/>
    <cellStyle name="Normal 4 4 4 4 3 2 3 2" xfId="55786" xr:uid="{00000000-0005-0000-0000-0000D4DD0000}"/>
    <cellStyle name="Normal 4 4 4 4 3 2 4" xfId="46335" xr:uid="{00000000-0005-0000-0000-0000D5DD0000}"/>
    <cellStyle name="Normal 4 4 4 4 3 3" xfId="14458" xr:uid="{00000000-0005-0000-0000-0000D6DD0000}"/>
    <cellStyle name="Normal 4 4 4 4 3 3 2" xfId="27854" xr:uid="{00000000-0005-0000-0000-0000D7DD0000}"/>
    <cellStyle name="Normal 4 4 4 4 3 3 2 2" xfId="59725" xr:uid="{00000000-0005-0000-0000-0000D8DD0000}"/>
    <cellStyle name="Normal 4 4 4 4 3 3 3" xfId="46337" xr:uid="{00000000-0005-0000-0000-0000D9DD0000}"/>
    <cellStyle name="Normal 4 4 4 4 3 4" xfId="19976" xr:uid="{00000000-0005-0000-0000-0000DADD0000}"/>
    <cellStyle name="Normal 4 4 4 4 3 4 2" xfId="51847" xr:uid="{00000000-0005-0000-0000-0000DBDD0000}"/>
    <cellStyle name="Normal 4 4 4 4 3 5" xfId="46334" xr:uid="{00000000-0005-0000-0000-0000DCDD0000}"/>
    <cellStyle name="Normal 4 4 4 4 4" xfId="14459" xr:uid="{00000000-0005-0000-0000-0000DDDD0000}"/>
    <cellStyle name="Normal 4 4 4 4 4 2" xfId="14460" xr:uid="{00000000-0005-0000-0000-0000DEDD0000}"/>
    <cellStyle name="Normal 4 4 4 4 4 2 2" xfId="31790" xr:uid="{00000000-0005-0000-0000-0000DFDD0000}"/>
    <cellStyle name="Normal 4 4 4 4 4 2 2 2" xfId="63661" xr:uid="{00000000-0005-0000-0000-0000E0DD0000}"/>
    <cellStyle name="Normal 4 4 4 4 4 2 3" xfId="46339" xr:uid="{00000000-0005-0000-0000-0000E1DD0000}"/>
    <cellStyle name="Normal 4 4 4 4 4 3" xfId="23912" xr:uid="{00000000-0005-0000-0000-0000E2DD0000}"/>
    <cellStyle name="Normal 4 4 4 4 4 3 2" xfId="55783" xr:uid="{00000000-0005-0000-0000-0000E3DD0000}"/>
    <cellStyle name="Normal 4 4 4 4 4 4" xfId="46338" xr:uid="{00000000-0005-0000-0000-0000E4DD0000}"/>
    <cellStyle name="Normal 4 4 4 4 5" xfId="14461" xr:uid="{00000000-0005-0000-0000-0000E5DD0000}"/>
    <cellStyle name="Normal 4 4 4 4 5 2" xfId="27851" xr:uid="{00000000-0005-0000-0000-0000E6DD0000}"/>
    <cellStyle name="Normal 4 4 4 4 5 2 2" xfId="59722" xr:uid="{00000000-0005-0000-0000-0000E7DD0000}"/>
    <cellStyle name="Normal 4 4 4 4 5 3" xfId="46340" xr:uid="{00000000-0005-0000-0000-0000E8DD0000}"/>
    <cellStyle name="Normal 4 4 4 4 6" xfId="19973" xr:uid="{00000000-0005-0000-0000-0000E9DD0000}"/>
    <cellStyle name="Normal 4 4 4 4 6 2" xfId="51844" xr:uid="{00000000-0005-0000-0000-0000EADD0000}"/>
    <cellStyle name="Normal 4 4 4 4 7" xfId="46325" xr:uid="{00000000-0005-0000-0000-0000EBDD0000}"/>
    <cellStyle name="Normal 4 4 4 5" xfId="14462" xr:uid="{00000000-0005-0000-0000-0000ECDD0000}"/>
    <cellStyle name="Normal 4 4 4 5 2" xfId="14463" xr:uid="{00000000-0005-0000-0000-0000EDDD0000}"/>
    <cellStyle name="Normal 4 4 4 5 2 2" xfId="14464" xr:uid="{00000000-0005-0000-0000-0000EEDD0000}"/>
    <cellStyle name="Normal 4 4 4 5 2 2 2" xfId="14465" xr:uid="{00000000-0005-0000-0000-0000EFDD0000}"/>
    <cellStyle name="Normal 4 4 4 5 2 2 2 2" xfId="31795" xr:uid="{00000000-0005-0000-0000-0000F0DD0000}"/>
    <cellStyle name="Normal 4 4 4 5 2 2 2 2 2" xfId="63666" xr:uid="{00000000-0005-0000-0000-0000F1DD0000}"/>
    <cellStyle name="Normal 4 4 4 5 2 2 2 3" xfId="46344" xr:uid="{00000000-0005-0000-0000-0000F2DD0000}"/>
    <cellStyle name="Normal 4 4 4 5 2 2 3" xfId="23917" xr:uid="{00000000-0005-0000-0000-0000F3DD0000}"/>
    <cellStyle name="Normal 4 4 4 5 2 2 3 2" xfId="55788" xr:uid="{00000000-0005-0000-0000-0000F4DD0000}"/>
    <cellStyle name="Normal 4 4 4 5 2 2 4" xfId="46343" xr:uid="{00000000-0005-0000-0000-0000F5DD0000}"/>
    <cellStyle name="Normal 4 4 4 5 2 3" xfId="14466" xr:uid="{00000000-0005-0000-0000-0000F6DD0000}"/>
    <cellStyle name="Normal 4 4 4 5 2 3 2" xfId="27856" xr:uid="{00000000-0005-0000-0000-0000F7DD0000}"/>
    <cellStyle name="Normal 4 4 4 5 2 3 2 2" xfId="59727" xr:uid="{00000000-0005-0000-0000-0000F8DD0000}"/>
    <cellStyle name="Normal 4 4 4 5 2 3 3" xfId="46345" xr:uid="{00000000-0005-0000-0000-0000F9DD0000}"/>
    <cellStyle name="Normal 4 4 4 5 2 4" xfId="19978" xr:uid="{00000000-0005-0000-0000-0000FADD0000}"/>
    <cellStyle name="Normal 4 4 4 5 2 4 2" xfId="51849" xr:uid="{00000000-0005-0000-0000-0000FBDD0000}"/>
    <cellStyle name="Normal 4 4 4 5 2 5" xfId="46342" xr:uid="{00000000-0005-0000-0000-0000FCDD0000}"/>
    <cellStyle name="Normal 4 4 4 5 3" xfId="14467" xr:uid="{00000000-0005-0000-0000-0000FDDD0000}"/>
    <cellStyle name="Normal 4 4 4 5 3 2" xfId="14468" xr:uid="{00000000-0005-0000-0000-0000FEDD0000}"/>
    <cellStyle name="Normal 4 4 4 5 3 2 2" xfId="31794" xr:uid="{00000000-0005-0000-0000-0000FFDD0000}"/>
    <cellStyle name="Normal 4 4 4 5 3 2 2 2" xfId="63665" xr:uid="{00000000-0005-0000-0000-000000DE0000}"/>
    <cellStyle name="Normal 4 4 4 5 3 2 3" xfId="46347" xr:uid="{00000000-0005-0000-0000-000001DE0000}"/>
    <cellStyle name="Normal 4 4 4 5 3 3" xfId="23916" xr:uid="{00000000-0005-0000-0000-000002DE0000}"/>
    <cellStyle name="Normal 4 4 4 5 3 3 2" xfId="55787" xr:uid="{00000000-0005-0000-0000-000003DE0000}"/>
    <cellStyle name="Normal 4 4 4 5 3 4" xfId="46346" xr:uid="{00000000-0005-0000-0000-000004DE0000}"/>
    <cellStyle name="Normal 4 4 4 5 4" xfId="14469" xr:uid="{00000000-0005-0000-0000-000005DE0000}"/>
    <cellStyle name="Normal 4 4 4 5 4 2" xfId="27855" xr:uid="{00000000-0005-0000-0000-000006DE0000}"/>
    <cellStyle name="Normal 4 4 4 5 4 2 2" xfId="59726" xr:uid="{00000000-0005-0000-0000-000007DE0000}"/>
    <cellStyle name="Normal 4 4 4 5 4 3" xfId="46348" xr:uid="{00000000-0005-0000-0000-000008DE0000}"/>
    <cellStyle name="Normal 4 4 4 5 5" xfId="19977" xr:uid="{00000000-0005-0000-0000-000009DE0000}"/>
    <cellStyle name="Normal 4 4 4 5 5 2" xfId="51848" xr:uid="{00000000-0005-0000-0000-00000ADE0000}"/>
    <cellStyle name="Normal 4 4 4 5 6" xfId="46341" xr:uid="{00000000-0005-0000-0000-00000BDE0000}"/>
    <cellStyle name="Normal 4 4 4 6" xfId="14470" xr:uid="{00000000-0005-0000-0000-00000CDE0000}"/>
    <cellStyle name="Normal 4 4 4 6 2" xfId="14471" xr:uid="{00000000-0005-0000-0000-00000DDE0000}"/>
    <cellStyle name="Normal 4 4 4 6 2 2" xfId="14472" xr:uid="{00000000-0005-0000-0000-00000EDE0000}"/>
    <cellStyle name="Normal 4 4 4 6 2 2 2" xfId="31796" xr:uid="{00000000-0005-0000-0000-00000FDE0000}"/>
    <cellStyle name="Normal 4 4 4 6 2 2 2 2" xfId="63667" xr:uid="{00000000-0005-0000-0000-000010DE0000}"/>
    <cellStyle name="Normal 4 4 4 6 2 2 3" xfId="46351" xr:uid="{00000000-0005-0000-0000-000011DE0000}"/>
    <cellStyle name="Normal 4 4 4 6 2 3" xfId="23918" xr:uid="{00000000-0005-0000-0000-000012DE0000}"/>
    <cellStyle name="Normal 4 4 4 6 2 3 2" xfId="55789" xr:uid="{00000000-0005-0000-0000-000013DE0000}"/>
    <cellStyle name="Normal 4 4 4 6 2 4" xfId="46350" xr:uid="{00000000-0005-0000-0000-000014DE0000}"/>
    <cellStyle name="Normal 4 4 4 6 3" xfId="14473" xr:uid="{00000000-0005-0000-0000-000015DE0000}"/>
    <cellStyle name="Normal 4 4 4 6 3 2" xfId="27857" xr:uid="{00000000-0005-0000-0000-000016DE0000}"/>
    <cellStyle name="Normal 4 4 4 6 3 2 2" xfId="59728" xr:uid="{00000000-0005-0000-0000-000017DE0000}"/>
    <cellStyle name="Normal 4 4 4 6 3 3" xfId="46352" xr:uid="{00000000-0005-0000-0000-000018DE0000}"/>
    <cellStyle name="Normal 4 4 4 6 4" xfId="19979" xr:uid="{00000000-0005-0000-0000-000019DE0000}"/>
    <cellStyle name="Normal 4 4 4 6 4 2" xfId="51850" xr:uid="{00000000-0005-0000-0000-00001ADE0000}"/>
    <cellStyle name="Normal 4 4 4 6 5" xfId="46349" xr:uid="{00000000-0005-0000-0000-00001BDE0000}"/>
    <cellStyle name="Normal 4 4 4 7" xfId="14474" xr:uid="{00000000-0005-0000-0000-00001CDE0000}"/>
    <cellStyle name="Normal 4 4 4 7 2" xfId="14475" xr:uid="{00000000-0005-0000-0000-00001DDE0000}"/>
    <cellStyle name="Normal 4 4 4 7 2 2" xfId="28350" xr:uid="{00000000-0005-0000-0000-00001EDE0000}"/>
    <cellStyle name="Normal 4 4 4 7 2 2 2" xfId="60221" xr:uid="{00000000-0005-0000-0000-00001FDE0000}"/>
    <cellStyle name="Normal 4 4 4 7 2 3" xfId="46354" xr:uid="{00000000-0005-0000-0000-000020DE0000}"/>
    <cellStyle name="Normal 4 4 4 7 3" xfId="20472" xr:uid="{00000000-0005-0000-0000-000021DE0000}"/>
    <cellStyle name="Normal 4 4 4 7 3 2" xfId="52343" xr:uid="{00000000-0005-0000-0000-000022DE0000}"/>
    <cellStyle name="Normal 4 4 4 7 4" xfId="46353" xr:uid="{00000000-0005-0000-0000-000023DE0000}"/>
    <cellStyle name="Normal 4 4 4 8" xfId="14476" xr:uid="{00000000-0005-0000-0000-000024DE0000}"/>
    <cellStyle name="Normal 4 4 4 8 2" xfId="24411" xr:uid="{00000000-0005-0000-0000-000025DE0000}"/>
    <cellStyle name="Normal 4 4 4 8 2 2" xfId="56282" xr:uid="{00000000-0005-0000-0000-000026DE0000}"/>
    <cellStyle name="Normal 4 4 4 8 3" xfId="46355" xr:uid="{00000000-0005-0000-0000-000027DE0000}"/>
    <cellStyle name="Normal 4 4 4 9" xfId="16533" xr:uid="{00000000-0005-0000-0000-000028DE0000}"/>
    <cellStyle name="Normal 4 4 4 9 2" xfId="48404" xr:uid="{00000000-0005-0000-0000-000029DE0000}"/>
    <cellStyle name="Normal 4 4 5" xfId="14477" xr:uid="{00000000-0005-0000-0000-00002ADE0000}"/>
    <cellStyle name="Normal 4 4 5 2" xfId="14478" xr:uid="{00000000-0005-0000-0000-00002BDE0000}"/>
    <cellStyle name="Normal 4 4 5 2 2" xfId="14479" xr:uid="{00000000-0005-0000-0000-00002CDE0000}"/>
    <cellStyle name="Normal 4 4 5 2 2 2" xfId="14480" xr:uid="{00000000-0005-0000-0000-00002DDE0000}"/>
    <cellStyle name="Normal 4 4 5 2 2 2 2" xfId="14481" xr:uid="{00000000-0005-0000-0000-00002EDE0000}"/>
    <cellStyle name="Normal 4 4 5 2 2 2 2 2" xfId="14482" xr:uid="{00000000-0005-0000-0000-00002FDE0000}"/>
    <cellStyle name="Normal 4 4 5 2 2 2 2 2 2" xfId="14483" xr:uid="{00000000-0005-0000-0000-000030DE0000}"/>
    <cellStyle name="Normal 4 4 5 2 2 2 2 2 2 2" xfId="31800" xr:uid="{00000000-0005-0000-0000-000031DE0000}"/>
    <cellStyle name="Normal 4 4 5 2 2 2 2 2 2 2 2" xfId="63671" xr:uid="{00000000-0005-0000-0000-000032DE0000}"/>
    <cellStyle name="Normal 4 4 5 2 2 2 2 2 2 3" xfId="46362" xr:uid="{00000000-0005-0000-0000-000033DE0000}"/>
    <cellStyle name="Normal 4 4 5 2 2 2 2 2 3" xfId="23922" xr:uid="{00000000-0005-0000-0000-000034DE0000}"/>
    <cellStyle name="Normal 4 4 5 2 2 2 2 2 3 2" xfId="55793" xr:uid="{00000000-0005-0000-0000-000035DE0000}"/>
    <cellStyle name="Normal 4 4 5 2 2 2 2 2 4" xfId="46361" xr:uid="{00000000-0005-0000-0000-000036DE0000}"/>
    <cellStyle name="Normal 4 4 5 2 2 2 2 3" xfId="14484" xr:uid="{00000000-0005-0000-0000-000037DE0000}"/>
    <cellStyle name="Normal 4 4 5 2 2 2 2 3 2" xfId="27861" xr:uid="{00000000-0005-0000-0000-000038DE0000}"/>
    <cellStyle name="Normal 4 4 5 2 2 2 2 3 2 2" xfId="59732" xr:uid="{00000000-0005-0000-0000-000039DE0000}"/>
    <cellStyle name="Normal 4 4 5 2 2 2 2 3 3" xfId="46363" xr:uid="{00000000-0005-0000-0000-00003ADE0000}"/>
    <cellStyle name="Normal 4 4 5 2 2 2 2 4" xfId="19983" xr:uid="{00000000-0005-0000-0000-00003BDE0000}"/>
    <cellStyle name="Normal 4 4 5 2 2 2 2 4 2" xfId="51854" xr:uid="{00000000-0005-0000-0000-00003CDE0000}"/>
    <cellStyle name="Normal 4 4 5 2 2 2 2 5" xfId="46360" xr:uid="{00000000-0005-0000-0000-00003DDE0000}"/>
    <cellStyle name="Normal 4 4 5 2 2 2 3" xfId="14485" xr:uid="{00000000-0005-0000-0000-00003EDE0000}"/>
    <cellStyle name="Normal 4 4 5 2 2 2 3 2" xfId="14486" xr:uid="{00000000-0005-0000-0000-00003FDE0000}"/>
    <cellStyle name="Normal 4 4 5 2 2 2 3 2 2" xfId="31799" xr:uid="{00000000-0005-0000-0000-000040DE0000}"/>
    <cellStyle name="Normal 4 4 5 2 2 2 3 2 2 2" xfId="63670" xr:uid="{00000000-0005-0000-0000-000041DE0000}"/>
    <cellStyle name="Normal 4 4 5 2 2 2 3 2 3" xfId="46365" xr:uid="{00000000-0005-0000-0000-000042DE0000}"/>
    <cellStyle name="Normal 4 4 5 2 2 2 3 3" xfId="23921" xr:uid="{00000000-0005-0000-0000-000043DE0000}"/>
    <cellStyle name="Normal 4 4 5 2 2 2 3 3 2" xfId="55792" xr:uid="{00000000-0005-0000-0000-000044DE0000}"/>
    <cellStyle name="Normal 4 4 5 2 2 2 3 4" xfId="46364" xr:uid="{00000000-0005-0000-0000-000045DE0000}"/>
    <cellStyle name="Normal 4 4 5 2 2 2 4" xfId="14487" xr:uid="{00000000-0005-0000-0000-000046DE0000}"/>
    <cellStyle name="Normal 4 4 5 2 2 2 4 2" xfId="27860" xr:uid="{00000000-0005-0000-0000-000047DE0000}"/>
    <cellStyle name="Normal 4 4 5 2 2 2 4 2 2" xfId="59731" xr:uid="{00000000-0005-0000-0000-000048DE0000}"/>
    <cellStyle name="Normal 4 4 5 2 2 2 4 3" xfId="46366" xr:uid="{00000000-0005-0000-0000-000049DE0000}"/>
    <cellStyle name="Normal 4 4 5 2 2 2 5" xfId="19982" xr:uid="{00000000-0005-0000-0000-00004ADE0000}"/>
    <cellStyle name="Normal 4 4 5 2 2 2 5 2" xfId="51853" xr:uid="{00000000-0005-0000-0000-00004BDE0000}"/>
    <cellStyle name="Normal 4 4 5 2 2 2 6" xfId="46359" xr:uid="{00000000-0005-0000-0000-00004CDE0000}"/>
    <cellStyle name="Normal 4 4 5 2 2 3" xfId="14488" xr:uid="{00000000-0005-0000-0000-00004DDE0000}"/>
    <cellStyle name="Normal 4 4 5 2 2 3 2" xfId="14489" xr:uid="{00000000-0005-0000-0000-00004EDE0000}"/>
    <cellStyle name="Normal 4 4 5 2 2 3 2 2" xfId="14490" xr:uid="{00000000-0005-0000-0000-00004FDE0000}"/>
    <cellStyle name="Normal 4 4 5 2 2 3 2 2 2" xfId="31801" xr:uid="{00000000-0005-0000-0000-000050DE0000}"/>
    <cellStyle name="Normal 4 4 5 2 2 3 2 2 2 2" xfId="63672" xr:uid="{00000000-0005-0000-0000-000051DE0000}"/>
    <cellStyle name="Normal 4 4 5 2 2 3 2 2 3" xfId="46369" xr:uid="{00000000-0005-0000-0000-000052DE0000}"/>
    <cellStyle name="Normal 4 4 5 2 2 3 2 3" xfId="23923" xr:uid="{00000000-0005-0000-0000-000053DE0000}"/>
    <cellStyle name="Normal 4 4 5 2 2 3 2 3 2" xfId="55794" xr:uid="{00000000-0005-0000-0000-000054DE0000}"/>
    <cellStyle name="Normal 4 4 5 2 2 3 2 4" xfId="46368" xr:uid="{00000000-0005-0000-0000-000055DE0000}"/>
    <cellStyle name="Normal 4 4 5 2 2 3 3" xfId="14491" xr:uid="{00000000-0005-0000-0000-000056DE0000}"/>
    <cellStyle name="Normal 4 4 5 2 2 3 3 2" xfId="27862" xr:uid="{00000000-0005-0000-0000-000057DE0000}"/>
    <cellStyle name="Normal 4 4 5 2 2 3 3 2 2" xfId="59733" xr:uid="{00000000-0005-0000-0000-000058DE0000}"/>
    <cellStyle name="Normal 4 4 5 2 2 3 3 3" xfId="46370" xr:uid="{00000000-0005-0000-0000-000059DE0000}"/>
    <cellStyle name="Normal 4 4 5 2 2 3 4" xfId="19984" xr:uid="{00000000-0005-0000-0000-00005ADE0000}"/>
    <cellStyle name="Normal 4 4 5 2 2 3 4 2" xfId="51855" xr:uid="{00000000-0005-0000-0000-00005BDE0000}"/>
    <cellStyle name="Normal 4 4 5 2 2 3 5" xfId="46367" xr:uid="{00000000-0005-0000-0000-00005CDE0000}"/>
    <cellStyle name="Normal 4 4 5 2 2 4" xfId="14492" xr:uid="{00000000-0005-0000-0000-00005DDE0000}"/>
    <cellStyle name="Normal 4 4 5 2 2 4 2" xfId="14493" xr:uid="{00000000-0005-0000-0000-00005EDE0000}"/>
    <cellStyle name="Normal 4 4 5 2 2 4 2 2" xfId="31798" xr:uid="{00000000-0005-0000-0000-00005FDE0000}"/>
    <cellStyle name="Normal 4 4 5 2 2 4 2 2 2" xfId="63669" xr:uid="{00000000-0005-0000-0000-000060DE0000}"/>
    <cellStyle name="Normal 4 4 5 2 2 4 2 3" xfId="46372" xr:uid="{00000000-0005-0000-0000-000061DE0000}"/>
    <cellStyle name="Normal 4 4 5 2 2 4 3" xfId="23920" xr:uid="{00000000-0005-0000-0000-000062DE0000}"/>
    <cellStyle name="Normal 4 4 5 2 2 4 3 2" xfId="55791" xr:uid="{00000000-0005-0000-0000-000063DE0000}"/>
    <cellStyle name="Normal 4 4 5 2 2 4 4" xfId="46371" xr:uid="{00000000-0005-0000-0000-000064DE0000}"/>
    <cellStyle name="Normal 4 4 5 2 2 5" xfId="14494" xr:uid="{00000000-0005-0000-0000-000065DE0000}"/>
    <cellStyle name="Normal 4 4 5 2 2 5 2" xfId="27859" xr:uid="{00000000-0005-0000-0000-000066DE0000}"/>
    <cellStyle name="Normal 4 4 5 2 2 5 2 2" xfId="59730" xr:uid="{00000000-0005-0000-0000-000067DE0000}"/>
    <cellStyle name="Normal 4 4 5 2 2 5 3" xfId="46373" xr:uid="{00000000-0005-0000-0000-000068DE0000}"/>
    <cellStyle name="Normal 4 4 5 2 2 6" xfId="19981" xr:uid="{00000000-0005-0000-0000-000069DE0000}"/>
    <cellStyle name="Normal 4 4 5 2 2 6 2" xfId="51852" xr:uid="{00000000-0005-0000-0000-00006ADE0000}"/>
    <cellStyle name="Normal 4 4 5 2 2 7" xfId="46358" xr:uid="{00000000-0005-0000-0000-00006BDE0000}"/>
    <cellStyle name="Normal 4 4 5 2 3" xfId="14495" xr:uid="{00000000-0005-0000-0000-00006CDE0000}"/>
    <cellStyle name="Normal 4 4 5 2 3 2" xfId="14496" xr:uid="{00000000-0005-0000-0000-00006DDE0000}"/>
    <cellStyle name="Normal 4 4 5 2 3 2 2" xfId="14497" xr:uid="{00000000-0005-0000-0000-00006EDE0000}"/>
    <cellStyle name="Normal 4 4 5 2 3 2 2 2" xfId="14498" xr:uid="{00000000-0005-0000-0000-00006FDE0000}"/>
    <cellStyle name="Normal 4 4 5 2 3 2 2 2 2" xfId="31803" xr:uid="{00000000-0005-0000-0000-000070DE0000}"/>
    <cellStyle name="Normal 4 4 5 2 3 2 2 2 2 2" xfId="63674" xr:uid="{00000000-0005-0000-0000-000071DE0000}"/>
    <cellStyle name="Normal 4 4 5 2 3 2 2 2 3" xfId="46377" xr:uid="{00000000-0005-0000-0000-000072DE0000}"/>
    <cellStyle name="Normal 4 4 5 2 3 2 2 3" xfId="23925" xr:uid="{00000000-0005-0000-0000-000073DE0000}"/>
    <cellStyle name="Normal 4 4 5 2 3 2 2 3 2" xfId="55796" xr:uid="{00000000-0005-0000-0000-000074DE0000}"/>
    <cellStyle name="Normal 4 4 5 2 3 2 2 4" xfId="46376" xr:uid="{00000000-0005-0000-0000-000075DE0000}"/>
    <cellStyle name="Normal 4 4 5 2 3 2 3" xfId="14499" xr:uid="{00000000-0005-0000-0000-000076DE0000}"/>
    <cellStyle name="Normal 4 4 5 2 3 2 3 2" xfId="27864" xr:uid="{00000000-0005-0000-0000-000077DE0000}"/>
    <cellStyle name="Normal 4 4 5 2 3 2 3 2 2" xfId="59735" xr:uid="{00000000-0005-0000-0000-000078DE0000}"/>
    <cellStyle name="Normal 4 4 5 2 3 2 3 3" xfId="46378" xr:uid="{00000000-0005-0000-0000-000079DE0000}"/>
    <cellStyle name="Normal 4 4 5 2 3 2 4" xfId="19986" xr:uid="{00000000-0005-0000-0000-00007ADE0000}"/>
    <cellStyle name="Normal 4 4 5 2 3 2 4 2" xfId="51857" xr:uid="{00000000-0005-0000-0000-00007BDE0000}"/>
    <cellStyle name="Normal 4 4 5 2 3 2 5" xfId="46375" xr:uid="{00000000-0005-0000-0000-00007CDE0000}"/>
    <cellStyle name="Normal 4 4 5 2 3 3" xfId="14500" xr:uid="{00000000-0005-0000-0000-00007DDE0000}"/>
    <cellStyle name="Normal 4 4 5 2 3 3 2" xfId="14501" xr:uid="{00000000-0005-0000-0000-00007EDE0000}"/>
    <cellStyle name="Normal 4 4 5 2 3 3 2 2" xfId="31802" xr:uid="{00000000-0005-0000-0000-00007FDE0000}"/>
    <cellStyle name="Normal 4 4 5 2 3 3 2 2 2" xfId="63673" xr:uid="{00000000-0005-0000-0000-000080DE0000}"/>
    <cellStyle name="Normal 4 4 5 2 3 3 2 3" xfId="46380" xr:uid="{00000000-0005-0000-0000-000081DE0000}"/>
    <cellStyle name="Normal 4 4 5 2 3 3 3" xfId="23924" xr:uid="{00000000-0005-0000-0000-000082DE0000}"/>
    <cellStyle name="Normal 4 4 5 2 3 3 3 2" xfId="55795" xr:uid="{00000000-0005-0000-0000-000083DE0000}"/>
    <cellStyle name="Normal 4 4 5 2 3 3 4" xfId="46379" xr:uid="{00000000-0005-0000-0000-000084DE0000}"/>
    <cellStyle name="Normal 4 4 5 2 3 4" xfId="14502" xr:uid="{00000000-0005-0000-0000-000085DE0000}"/>
    <cellStyle name="Normal 4 4 5 2 3 4 2" xfId="27863" xr:uid="{00000000-0005-0000-0000-000086DE0000}"/>
    <cellStyle name="Normal 4 4 5 2 3 4 2 2" xfId="59734" xr:uid="{00000000-0005-0000-0000-000087DE0000}"/>
    <cellStyle name="Normal 4 4 5 2 3 4 3" xfId="46381" xr:uid="{00000000-0005-0000-0000-000088DE0000}"/>
    <cellStyle name="Normal 4 4 5 2 3 5" xfId="19985" xr:uid="{00000000-0005-0000-0000-000089DE0000}"/>
    <cellStyle name="Normal 4 4 5 2 3 5 2" xfId="51856" xr:uid="{00000000-0005-0000-0000-00008ADE0000}"/>
    <cellStyle name="Normal 4 4 5 2 3 6" xfId="46374" xr:uid="{00000000-0005-0000-0000-00008BDE0000}"/>
    <cellStyle name="Normal 4 4 5 2 4" xfId="14503" xr:uid="{00000000-0005-0000-0000-00008CDE0000}"/>
    <cellStyle name="Normal 4 4 5 2 4 2" xfId="14504" xr:uid="{00000000-0005-0000-0000-00008DDE0000}"/>
    <cellStyle name="Normal 4 4 5 2 4 2 2" xfId="14505" xr:uid="{00000000-0005-0000-0000-00008EDE0000}"/>
    <cellStyle name="Normal 4 4 5 2 4 2 2 2" xfId="31804" xr:uid="{00000000-0005-0000-0000-00008FDE0000}"/>
    <cellStyle name="Normal 4 4 5 2 4 2 2 2 2" xfId="63675" xr:uid="{00000000-0005-0000-0000-000090DE0000}"/>
    <cellStyle name="Normal 4 4 5 2 4 2 2 3" xfId="46384" xr:uid="{00000000-0005-0000-0000-000091DE0000}"/>
    <cellStyle name="Normal 4 4 5 2 4 2 3" xfId="23926" xr:uid="{00000000-0005-0000-0000-000092DE0000}"/>
    <cellStyle name="Normal 4 4 5 2 4 2 3 2" xfId="55797" xr:uid="{00000000-0005-0000-0000-000093DE0000}"/>
    <cellStyle name="Normal 4 4 5 2 4 2 4" xfId="46383" xr:uid="{00000000-0005-0000-0000-000094DE0000}"/>
    <cellStyle name="Normal 4 4 5 2 4 3" xfId="14506" xr:uid="{00000000-0005-0000-0000-000095DE0000}"/>
    <cellStyle name="Normal 4 4 5 2 4 3 2" xfId="27865" xr:uid="{00000000-0005-0000-0000-000096DE0000}"/>
    <cellStyle name="Normal 4 4 5 2 4 3 2 2" xfId="59736" xr:uid="{00000000-0005-0000-0000-000097DE0000}"/>
    <cellStyle name="Normal 4 4 5 2 4 3 3" xfId="46385" xr:uid="{00000000-0005-0000-0000-000098DE0000}"/>
    <cellStyle name="Normal 4 4 5 2 4 4" xfId="19987" xr:uid="{00000000-0005-0000-0000-000099DE0000}"/>
    <cellStyle name="Normal 4 4 5 2 4 4 2" xfId="51858" xr:uid="{00000000-0005-0000-0000-00009ADE0000}"/>
    <cellStyle name="Normal 4 4 5 2 4 5" xfId="46382" xr:uid="{00000000-0005-0000-0000-00009BDE0000}"/>
    <cellStyle name="Normal 4 4 5 2 5" xfId="14507" xr:uid="{00000000-0005-0000-0000-00009CDE0000}"/>
    <cellStyle name="Normal 4 4 5 2 5 2" xfId="14508" xr:uid="{00000000-0005-0000-0000-00009DDE0000}"/>
    <cellStyle name="Normal 4 4 5 2 5 2 2" xfId="31797" xr:uid="{00000000-0005-0000-0000-00009EDE0000}"/>
    <cellStyle name="Normal 4 4 5 2 5 2 2 2" xfId="63668" xr:uid="{00000000-0005-0000-0000-00009FDE0000}"/>
    <cellStyle name="Normal 4 4 5 2 5 2 3" xfId="46387" xr:uid="{00000000-0005-0000-0000-0000A0DE0000}"/>
    <cellStyle name="Normal 4 4 5 2 5 3" xfId="23919" xr:uid="{00000000-0005-0000-0000-0000A1DE0000}"/>
    <cellStyle name="Normal 4 4 5 2 5 3 2" xfId="55790" xr:uid="{00000000-0005-0000-0000-0000A2DE0000}"/>
    <cellStyle name="Normal 4 4 5 2 5 4" xfId="46386" xr:uid="{00000000-0005-0000-0000-0000A3DE0000}"/>
    <cellStyle name="Normal 4 4 5 2 6" xfId="14509" xr:uid="{00000000-0005-0000-0000-0000A4DE0000}"/>
    <cellStyle name="Normal 4 4 5 2 6 2" xfId="27858" xr:uid="{00000000-0005-0000-0000-0000A5DE0000}"/>
    <cellStyle name="Normal 4 4 5 2 6 2 2" xfId="59729" xr:uid="{00000000-0005-0000-0000-0000A6DE0000}"/>
    <cellStyle name="Normal 4 4 5 2 6 3" xfId="46388" xr:uid="{00000000-0005-0000-0000-0000A7DE0000}"/>
    <cellStyle name="Normal 4 4 5 2 7" xfId="19980" xr:uid="{00000000-0005-0000-0000-0000A8DE0000}"/>
    <cellStyle name="Normal 4 4 5 2 7 2" xfId="51851" xr:uid="{00000000-0005-0000-0000-0000A9DE0000}"/>
    <cellStyle name="Normal 4 4 5 2 8" xfId="46357" xr:uid="{00000000-0005-0000-0000-0000AADE0000}"/>
    <cellStyle name="Normal 4 4 5 3" xfId="14510" xr:uid="{00000000-0005-0000-0000-0000ABDE0000}"/>
    <cellStyle name="Normal 4 4 5 3 2" xfId="14511" xr:uid="{00000000-0005-0000-0000-0000ACDE0000}"/>
    <cellStyle name="Normal 4 4 5 3 2 2" xfId="14512" xr:uid="{00000000-0005-0000-0000-0000ADDE0000}"/>
    <cellStyle name="Normal 4 4 5 3 2 2 2" xfId="14513" xr:uid="{00000000-0005-0000-0000-0000AEDE0000}"/>
    <cellStyle name="Normal 4 4 5 3 2 2 2 2" xfId="14514" xr:uid="{00000000-0005-0000-0000-0000AFDE0000}"/>
    <cellStyle name="Normal 4 4 5 3 2 2 2 2 2" xfId="31807" xr:uid="{00000000-0005-0000-0000-0000B0DE0000}"/>
    <cellStyle name="Normal 4 4 5 3 2 2 2 2 2 2" xfId="63678" xr:uid="{00000000-0005-0000-0000-0000B1DE0000}"/>
    <cellStyle name="Normal 4 4 5 3 2 2 2 2 3" xfId="46393" xr:uid="{00000000-0005-0000-0000-0000B2DE0000}"/>
    <cellStyle name="Normal 4 4 5 3 2 2 2 3" xfId="23929" xr:uid="{00000000-0005-0000-0000-0000B3DE0000}"/>
    <cellStyle name="Normal 4 4 5 3 2 2 2 3 2" xfId="55800" xr:uid="{00000000-0005-0000-0000-0000B4DE0000}"/>
    <cellStyle name="Normal 4 4 5 3 2 2 2 4" xfId="46392" xr:uid="{00000000-0005-0000-0000-0000B5DE0000}"/>
    <cellStyle name="Normal 4 4 5 3 2 2 3" xfId="14515" xr:uid="{00000000-0005-0000-0000-0000B6DE0000}"/>
    <cellStyle name="Normal 4 4 5 3 2 2 3 2" xfId="27868" xr:uid="{00000000-0005-0000-0000-0000B7DE0000}"/>
    <cellStyle name="Normal 4 4 5 3 2 2 3 2 2" xfId="59739" xr:uid="{00000000-0005-0000-0000-0000B8DE0000}"/>
    <cellStyle name="Normal 4 4 5 3 2 2 3 3" xfId="46394" xr:uid="{00000000-0005-0000-0000-0000B9DE0000}"/>
    <cellStyle name="Normal 4 4 5 3 2 2 4" xfId="19990" xr:uid="{00000000-0005-0000-0000-0000BADE0000}"/>
    <cellStyle name="Normal 4 4 5 3 2 2 4 2" xfId="51861" xr:uid="{00000000-0005-0000-0000-0000BBDE0000}"/>
    <cellStyle name="Normal 4 4 5 3 2 2 5" xfId="46391" xr:uid="{00000000-0005-0000-0000-0000BCDE0000}"/>
    <cellStyle name="Normal 4 4 5 3 2 3" xfId="14516" xr:uid="{00000000-0005-0000-0000-0000BDDE0000}"/>
    <cellStyle name="Normal 4 4 5 3 2 3 2" xfId="14517" xr:uid="{00000000-0005-0000-0000-0000BEDE0000}"/>
    <cellStyle name="Normal 4 4 5 3 2 3 2 2" xfId="31806" xr:uid="{00000000-0005-0000-0000-0000BFDE0000}"/>
    <cellStyle name="Normal 4 4 5 3 2 3 2 2 2" xfId="63677" xr:uid="{00000000-0005-0000-0000-0000C0DE0000}"/>
    <cellStyle name="Normal 4 4 5 3 2 3 2 3" xfId="46396" xr:uid="{00000000-0005-0000-0000-0000C1DE0000}"/>
    <cellStyle name="Normal 4 4 5 3 2 3 3" xfId="23928" xr:uid="{00000000-0005-0000-0000-0000C2DE0000}"/>
    <cellStyle name="Normal 4 4 5 3 2 3 3 2" xfId="55799" xr:uid="{00000000-0005-0000-0000-0000C3DE0000}"/>
    <cellStyle name="Normal 4 4 5 3 2 3 4" xfId="46395" xr:uid="{00000000-0005-0000-0000-0000C4DE0000}"/>
    <cellStyle name="Normal 4 4 5 3 2 4" xfId="14518" xr:uid="{00000000-0005-0000-0000-0000C5DE0000}"/>
    <cellStyle name="Normal 4 4 5 3 2 4 2" xfId="27867" xr:uid="{00000000-0005-0000-0000-0000C6DE0000}"/>
    <cellStyle name="Normal 4 4 5 3 2 4 2 2" xfId="59738" xr:uid="{00000000-0005-0000-0000-0000C7DE0000}"/>
    <cellStyle name="Normal 4 4 5 3 2 4 3" xfId="46397" xr:uid="{00000000-0005-0000-0000-0000C8DE0000}"/>
    <cellStyle name="Normal 4 4 5 3 2 5" xfId="19989" xr:uid="{00000000-0005-0000-0000-0000C9DE0000}"/>
    <cellStyle name="Normal 4 4 5 3 2 5 2" xfId="51860" xr:uid="{00000000-0005-0000-0000-0000CADE0000}"/>
    <cellStyle name="Normal 4 4 5 3 2 6" xfId="46390" xr:uid="{00000000-0005-0000-0000-0000CBDE0000}"/>
    <cellStyle name="Normal 4 4 5 3 3" xfId="14519" xr:uid="{00000000-0005-0000-0000-0000CCDE0000}"/>
    <cellStyle name="Normal 4 4 5 3 3 2" xfId="14520" xr:uid="{00000000-0005-0000-0000-0000CDDE0000}"/>
    <cellStyle name="Normal 4 4 5 3 3 2 2" xfId="14521" xr:uid="{00000000-0005-0000-0000-0000CEDE0000}"/>
    <cellStyle name="Normal 4 4 5 3 3 2 2 2" xfId="31808" xr:uid="{00000000-0005-0000-0000-0000CFDE0000}"/>
    <cellStyle name="Normal 4 4 5 3 3 2 2 2 2" xfId="63679" xr:uid="{00000000-0005-0000-0000-0000D0DE0000}"/>
    <cellStyle name="Normal 4 4 5 3 3 2 2 3" xfId="46400" xr:uid="{00000000-0005-0000-0000-0000D1DE0000}"/>
    <cellStyle name="Normal 4 4 5 3 3 2 3" xfId="23930" xr:uid="{00000000-0005-0000-0000-0000D2DE0000}"/>
    <cellStyle name="Normal 4 4 5 3 3 2 3 2" xfId="55801" xr:uid="{00000000-0005-0000-0000-0000D3DE0000}"/>
    <cellStyle name="Normal 4 4 5 3 3 2 4" xfId="46399" xr:uid="{00000000-0005-0000-0000-0000D4DE0000}"/>
    <cellStyle name="Normal 4 4 5 3 3 3" xfId="14522" xr:uid="{00000000-0005-0000-0000-0000D5DE0000}"/>
    <cellStyle name="Normal 4 4 5 3 3 3 2" xfId="27869" xr:uid="{00000000-0005-0000-0000-0000D6DE0000}"/>
    <cellStyle name="Normal 4 4 5 3 3 3 2 2" xfId="59740" xr:uid="{00000000-0005-0000-0000-0000D7DE0000}"/>
    <cellStyle name="Normal 4 4 5 3 3 3 3" xfId="46401" xr:uid="{00000000-0005-0000-0000-0000D8DE0000}"/>
    <cellStyle name="Normal 4 4 5 3 3 4" xfId="19991" xr:uid="{00000000-0005-0000-0000-0000D9DE0000}"/>
    <cellStyle name="Normal 4 4 5 3 3 4 2" xfId="51862" xr:uid="{00000000-0005-0000-0000-0000DADE0000}"/>
    <cellStyle name="Normal 4 4 5 3 3 5" xfId="46398" xr:uid="{00000000-0005-0000-0000-0000DBDE0000}"/>
    <cellStyle name="Normal 4 4 5 3 4" xfId="14523" xr:uid="{00000000-0005-0000-0000-0000DCDE0000}"/>
    <cellStyle name="Normal 4 4 5 3 4 2" xfId="14524" xr:uid="{00000000-0005-0000-0000-0000DDDE0000}"/>
    <cellStyle name="Normal 4 4 5 3 4 2 2" xfId="31805" xr:uid="{00000000-0005-0000-0000-0000DEDE0000}"/>
    <cellStyle name="Normal 4 4 5 3 4 2 2 2" xfId="63676" xr:uid="{00000000-0005-0000-0000-0000DFDE0000}"/>
    <cellStyle name="Normal 4 4 5 3 4 2 3" xfId="46403" xr:uid="{00000000-0005-0000-0000-0000E0DE0000}"/>
    <cellStyle name="Normal 4 4 5 3 4 3" xfId="23927" xr:uid="{00000000-0005-0000-0000-0000E1DE0000}"/>
    <cellStyle name="Normal 4 4 5 3 4 3 2" xfId="55798" xr:uid="{00000000-0005-0000-0000-0000E2DE0000}"/>
    <cellStyle name="Normal 4 4 5 3 4 4" xfId="46402" xr:uid="{00000000-0005-0000-0000-0000E3DE0000}"/>
    <cellStyle name="Normal 4 4 5 3 5" xfId="14525" xr:uid="{00000000-0005-0000-0000-0000E4DE0000}"/>
    <cellStyle name="Normal 4 4 5 3 5 2" xfId="27866" xr:uid="{00000000-0005-0000-0000-0000E5DE0000}"/>
    <cellStyle name="Normal 4 4 5 3 5 2 2" xfId="59737" xr:uid="{00000000-0005-0000-0000-0000E6DE0000}"/>
    <cellStyle name="Normal 4 4 5 3 5 3" xfId="46404" xr:uid="{00000000-0005-0000-0000-0000E7DE0000}"/>
    <cellStyle name="Normal 4 4 5 3 6" xfId="19988" xr:uid="{00000000-0005-0000-0000-0000E8DE0000}"/>
    <cellStyle name="Normal 4 4 5 3 6 2" xfId="51859" xr:uid="{00000000-0005-0000-0000-0000E9DE0000}"/>
    <cellStyle name="Normal 4 4 5 3 7" xfId="46389" xr:uid="{00000000-0005-0000-0000-0000EADE0000}"/>
    <cellStyle name="Normal 4 4 5 4" xfId="14526" xr:uid="{00000000-0005-0000-0000-0000EBDE0000}"/>
    <cellStyle name="Normal 4 4 5 4 2" xfId="14527" xr:uid="{00000000-0005-0000-0000-0000ECDE0000}"/>
    <cellStyle name="Normal 4 4 5 4 2 2" xfId="14528" xr:uid="{00000000-0005-0000-0000-0000EDDE0000}"/>
    <cellStyle name="Normal 4 4 5 4 2 2 2" xfId="14529" xr:uid="{00000000-0005-0000-0000-0000EEDE0000}"/>
    <cellStyle name="Normal 4 4 5 4 2 2 2 2" xfId="31810" xr:uid="{00000000-0005-0000-0000-0000EFDE0000}"/>
    <cellStyle name="Normal 4 4 5 4 2 2 2 2 2" xfId="63681" xr:uid="{00000000-0005-0000-0000-0000F0DE0000}"/>
    <cellStyle name="Normal 4 4 5 4 2 2 2 3" xfId="46408" xr:uid="{00000000-0005-0000-0000-0000F1DE0000}"/>
    <cellStyle name="Normal 4 4 5 4 2 2 3" xfId="23932" xr:uid="{00000000-0005-0000-0000-0000F2DE0000}"/>
    <cellStyle name="Normal 4 4 5 4 2 2 3 2" xfId="55803" xr:uid="{00000000-0005-0000-0000-0000F3DE0000}"/>
    <cellStyle name="Normal 4 4 5 4 2 2 4" xfId="46407" xr:uid="{00000000-0005-0000-0000-0000F4DE0000}"/>
    <cellStyle name="Normal 4 4 5 4 2 3" xfId="14530" xr:uid="{00000000-0005-0000-0000-0000F5DE0000}"/>
    <cellStyle name="Normal 4 4 5 4 2 3 2" xfId="27871" xr:uid="{00000000-0005-0000-0000-0000F6DE0000}"/>
    <cellStyle name="Normal 4 4 5 4 2 3 2 2" xfId="59742" xr:uid="{00000000-0005-0000-0000-0000F7DE0000}"/>
    <cellStyle name="Normal 4 4 5 4 2 3 3" xfId="46409" xr:uid="{00000000-0005-0000-0000-0000F8DE0000}"/>
    <cellStyle name="Normal 4 4 5 4 2 4" xfId="19993" xr:uid="{00000000-0005-0000-0000-0000F9DE0000}"/>
    <cellStyle name="Normal 4 4 5 4 2 4 2" xfId="51864" xr:uid="{00000000-0005-0000-0000-0000FADE0000}"/>
    <cellStyle name="Normal 4 4 5 4 2 5" xfId="46406" xr:uid="{00000000-0005-0000-0000-0000FBDE0000}"/>
    <cellStyle name="Normal 4 4 5 4 3" xfId="14531" xr:uid="{00000000-0005-0000-0000-0000FCDE0000}"/>
    <cellStyle name="Normal 4 4 5 4 3 2" xfId="14532" xr:uid="{00000000-0005-0000-0000-0000FDDE0000}"/>
    <cellStyle name="Normal 4 4 5 4 3 2 2" xfId="31809" xr:uid="{00000000-0005-0000-0000-0000FEDE0000}"/>
    <cellStyle name="Normal 4 4 5 4 3 2 2 2" xfId="63680" xr:uid="{00000000-0005-0000-0000-0000FFDE0000}"/>
    <cellStyle name="Normal 4 4 5 4 3 2 3" xfId="46411" xr:uid="{00000000-0005-0000-0000-000000DF0000}"/>
    <cellStyle name="Normal 4 4 5 4 3 3" xfId="23931" xr:uid="{00000000-0005-0000-0000-000001DF0000}"/>
    <cellStyle name="Normal 4 4 5 4 3 3 2" xfId="55802" xr:uid="{00000000-0005-0000-0000-000002DF0000}"/>
    <cellStyle name="Normal 4 4 5 4 3 4" xfId="46410" xr:uid="{00000000-0005-0000-0000-000003DF0000}"/>
    <cellStyle name="Normal 4 4 5 4 4" xfId="14533" xr:uid="{00000000-0005-0000-0000-000004DF0000}"/>
    <cellStyle name="Normal 4 4 5 4 4 2" xfId="27870" xr:uid="{00000000-0005-0000-0000-000005DF0000}"/>
    <cellStyle name="Normal 4 4 5 4 4 2 2" xfId="59741" xr:uid="{00000000-0005-0000-0000-000006DF0000}"/>
    <cellStyle name="Normal 4 4 5 4 4 3" xfId="46412" xr:uid="{00000000-0005-0000-0000-000007DF0000}"/>
    <cellStyle name="Normal 4 4 5 4 5" xfId="19992" xr:uid="{00000000-0005-0000-0000-000008DF0000}"/>
    <cellStyle name="Normal 4 4 5 4 5 2" xfId="51863" xr:uid="{00000000-0005-0000-0000-000009DF0000}"/>
    <cellStyle name="Normal 4 4 5 4 6" xfId="46405" xr:uid="{00000000-0005-0000-0000-00000ADF0000}"/>
    <cellStyle name="Normal 4 4 5 5" xfId="14534" xr:uid="{00000000-0005-0000-0000-00000BDF0000}"/>
    <cellStyle name="Normal 4 4 5 5 2" xfId="14535" xr:uid="{00000000-0005-0000-0000-00000CDF0000}"/>
    <cellStyle name="Normal 4 4 5 5 2 2" xfId="14536" xr:uid="{00000000-0005-0000-0000-00000DDF0000}"/>
    <cellStyle name="Normal 4 4 5 5 2 2 2" xfId="31811" xr:uid="{00000000-0005-0000-0000-00000EDF0000}"/>
    <cellStyle name="Normal 4 4 5 5 2 2 2 2" xfId="63682" xr:uid="{00000000-0005-0000-0000-00000FDF0000}"/>
    <cellStyle name="Normal 4 4 5 5 2 2 3" xfId="46415" xr:uid="{00000000-0005-0000-0000-000010DF0000}"/>
    <cellStyle name="Normal 4 4 5 5 2 3" xfId="23933" xr:uid="{00000000-0005-0000-0000-000011DF0000}"/>
    <cellStyle name="Normal 4 4 5 5 2 3 2" xfId="55804" xr:uid="{00000000-0005-0000-0000-000012DF0000}"/>
    <cellStyle name="Normal 4 4 5 5 2 4" xfId="46414" xr:uid="{00000000-0005-0000-0000-000013DF0000}"/>
    <cellStyle name="Normal 4 4 5 5 3" xfId="14537" xr:uid="{00000000-0005-0000-0000-000014DF0000}"/>
    <cellStyle name="Normal 4 4 5 5 3 2" xfId="27872" xr:uid="{00000000-0005-0000-0000-000015DF0000}"/>
    <cellStyle name="Normal 4 4 5 5 3 2 2" xfId="59743" xr:uid="{00000000-0005-0000-0000-000016DF0000}"/>
    <cellStyle name="Normal 4 4 5 5 3 3" xfId="46416" xr:uid="{00000000-0005-0000-0000-000017DF0000}"/>
    <cellStyle name="Normal 4 4 5 5 4" xfId="19994" xr:uid="{00000000-0005-0000-0000-000018DF0000}"/>
    <cellStyle name="Normal 4 4 5 5 4 2" xfId="51865" xr:uid="{00000000-0005-0000-0000-000019DF0000}"/>
    <cellStyle name="Normal 4 4 5 5 5" xfId="46413" xr:uid="{00000000-0005-0000-0000-00001ADF0000}"/>
    <cellStyle name="Normal 4 4 5 6" xfId="14538" xr:uid="{00000000-0005-0000-0000-00001BDF0000}"/>
    <cellStyle name="Normal 4 4 5 6 2" xfId="14539" xr:uid="{00000000-0005-0000-0000-00001CDF0000}"/>
    <cellStyle name="Normal 4 4 5 6 2 2" xfId="28391" xr:uid="{00000000-0005-0000-0000-00001DDF0000}"/>
    <cellStyle name="Normal 4 4 5 6 2 2 2" xfId="60262" xr:uid="{00000000-0005-0000-0000-00001EDF0000}"/>
    <cellStyle name="Normal 4 4 5 6 2 3" xfId="46418" xr:uid="{00000000-0005-0000-0000-00001FDF0000}"/>
    <cellStyle name="Normal 4 4 5 6 3" xfId="20513" xr:uid="{00000000-0005-0000-0000-000020DF0000}"/>
    <cellStyle name="Normal 4 4 5 6 3 2" xfId="52384" xr:uid="{00000000-0005-0000-0000-000021DF0000}"/>
    <cellStyle name="Normal 4 4 5 6 4" xfId="46417" xr:uid="{00000000-0005-0000-0000-000022DF0000}"/>
    <cellStyle name="Normal 4 4 5 7" xfId="14540" xr:uid="{00000000-0005-0000-0000-000023DF0000}"/>
    <cellStyle name="Normal 4 4 5 7 2" xfId="24452" xr:uid="{00000000-0005-0000-0000-000024DF0000}"/>
    <cellStyle name="Normal 4 4 5 7 2 2" xfId="56323" xr:uid="{00000000-0005-0000-0000-000025DF0000}"/>
    <cellStyle name="Normal 4 4 5 7 3" xfId="46419" xr:uid="{00000000-0005-0000-0000-000026DF0000}"/>
    <cellStyle name="Normal 4 4 5 8" xfId="16574" xr:uid="{00000000-0005-0000-0000-000027DF0000}"/>
    <cellStyle name="Normal 4 4 5 8 2" xfId="48445" xr:uid="{00000000-0005-0000-0000-000028DF0000}"/>
    <cellStyle name="Normal 4 4 5 9" xfId="46356" xr:uid="{00000000-0005-0000-0000-000029DF0000}"/>
    <cellStyle name="Normal 4 4 6" xfId="14541" xr:uid="{00000000-0005-0000-0000-00002ADF0000}"/>
    <cellStyle name="Normal 4 4 6 2" xfId="14542" xr:uid="{00000000-0005-0000-0000-00002BDF0000}"/>
    <cellStyle name="Normal 4 4 6 2 2" xfId="14543" xr:uid="{00000000-0005-0000-0000-00002CDF0000}"/>
    <cellStyle name="Normal 4 4 6 2 2 2" xfId="14544" xr:uid="{00000000-0005-0000-0000-00002DDF0000}"/>
    <cellStyle name="Normal 4 4 6 2 2 2 2" xfId="14545" xr:uid="{00000000-0005-0000-0000-00002EDF0000}"/>
    <cellStyle name="Normal 4 4 6 2 2 2 2 2" xfId="14546" xr:uid="{00000000-0005-0000-0000-00002FDF0000}"/>
    <cellStyle name="Normal 4 4 6 2 2 2 2 2 2" xfId="31814" xr:uid="{00000000-0005-0000-0000-000030DF0000}"/>
    <cellStyle name="Normal 4 4 6 2 2 2 2 2 2 2" xfId="63685" xr:uid="{00000000-0005-0000-0000-000031DF0000}"/>
    <cellStyle name="Normal 4 4 6 2 2 2 2 2 3" xfId="46425" xr:uid="{00000000-0005-0000-0000-000032DF0000}"/>
    <cellStyle name="Normal 4 4 6 2 2 2 2 3" xfId="23936" xr:uid="{00000000-0005-0000-0000-000033DF0000}"/>
    <cellStyle name="Normal 4 4 6 2 2 2 2 3 2" xfId="55807" xr:uid="{00000000-0005-0000-0000-000034DF0000}"/>
    <cellStyle name="Normal 4 4 6 2 2 2 2 4" xfId="46424" xr:uid="{00000000-0005-0000-0000-000035DF0000}"/>
    <cellStyle name="Normal 4 4 6 2 2 2 3" xfId="14547" xr:uid="{00000000-0005-0000-0000-000036DF0000}"/>
    <cellStyle name="Normal 4 4 6 2 2 2 3 2" xfId="27875" xr:uid="{00000000-0005-0000-0000-000037DF0000}"/>
    <cellStyle name="Normal 4 4 6 2 2 2 3 2 2" xfId="59746" xr:uid="{00000000-0005-0000-0000-000038DF0000}"/>
    <cellStyle name="Normal 4 4 6 2 2 2 3 3" xfId="46426" xr:uid="{00000000-0005-0000-0000-000039DF0000}"/>
    <cellStyle name="Normal 4 4 6 2 2 2 4" xfId="19997" xr:uid="{00000000-0005-0000-0000-00003ADF0000}"/>
    <cellStyle name="Normal 4 4 6 2 2 2 4 2" xfId="51868" xr:uid="{00000000-0005-0000-0000-00003BDF0000}"/>
    <cellStyle name="Normal 4 4 6 2 2 2 5" xfId="46423" xr:uid="{00000000-0005-0000-0000-00003CDF0000}"/>
    <cellStyle name="Normal 4 4 6 2 2 3" xfId="14548" xr:uid="{00000000-0005-0000-0000-00003DDF0000}"/>
    <cellStyle name="Normal 4 4 6 2 2 3 2" xfId="14549" xr:uid="{00000000-0005-0000-0000-00003EDF0000}"/>
    <cellStyle name="Normal 4 4 6 2 2 3 2 2" xfId="31813" xr:uid="{00000000-0005-0000-0000-00003FDF0000}"/>
    <cellStyle name="Normal 4 4 6 2 2 3 2 2 2" xfId="63684" xr:uid="{00000000-0005-0000-0000-000040DF0000}"/>
    <cellStyle name="Normal 4 4 6 2 2 3 2 3" xfId="46428" xr:uid="{00000000-0005-0000-0000-000041DF0000}"/>
    <cellStyle name="Normal 4 4 6 2 2 3 3" xfId="23935" xr:uid="{00000000-0005-0000-0000-000042DF0000}"/>
    <cellStyle name="Normal 4 4 6 2 2 3 3 2" xfId="55806" xr:uid="{00000000-0005-0000-0000-000043DF0000}"/>
    <cellStyle name="Normal 4 4 6 2 2 3 4" xfId="46427" xr:uid="{00000000-0005-0000-0000-000044DF0000}"/>
    <cellStyle name="Normal 4 4 6 2 2 4" xfId="14550" xr:uid="{00000000-0005-0000-0000-000045DF0000}"/>
    <cellStyle name="Normal 4 4 6 2 2 4 2" xfId="27874" xr:uid="{00000000-0005-0000-0000-000046DF0000}"/>
    <cellStyle name="Normal 4 4 6 2 2 4 2 2" xfId="59745" xr:uid="{00000000-0005-0000-0000-000047DF0000}"/>
    <cellStyle name="Normal 4 4 6 2 2 4 3" xfId="46429" xr:uid="{00000000-0005-0000-0000-000048DF0000}"/>
    <cellStyle name="Normal 4 4 6 2 2 5" xfId="19996" xr:uid="{00000000-0005-0000-0000-000049DF0000}"/>
    <cellStyle name="Normal 4 4 6 2 2 5 2" xfId="51867" xr:uid="{00000000-0005-0000-0000-00004ADF0000}"/>
    <cellStyle name="Normal 4 4 6 2 2 6" xfId="46422" xr:uid="{00000000-0005-0000-0000-00004BDF0000}"/>
    <cellStyle name="Normal 4 4 6 2 3" xfId="14551" xr:uid="{00000000-0005-0000-0000-00004CDF0000}"/>
    <cellStyle name="Normal 4 4 6 2 3 2" xfId="14552" xr:uid="{00000000-0005-0000-0000-00004DDF0000}"/>
    <cellStyle name="Normal 4 4 6 2 3 2 2" xfId="14553" xr:uid="{00000000-0005-0000-0000-00004EDF0000}"/>
    <cellStyle name="Normal 4 4 6 2 3 2 2 2" xfId="31815" xr:uid="{00000000-0005-0000-0000-00004FDF0000}"/>
    <cellStyle name="Normal 4 4 6 2 3 2 2 2 2" xfId="63686" xr:uid="{00000000-0005-0000-0000-000050DF0000}"/>
    <cellStyle name="Normal 4 4 6 2 3 2 2 3" xfId="46432" xr:uid="{00000000-0005-0000-0000-000051DF0000}"/>
    <cellStyle name="Normal 4 4 6 2 3 2 3" xfId="23937" xr:uid="{00000000-0005-0000-0000-000052DF0000}"/>
    <cellStyle name="Normal 4 4 6 2 3 2 3 2" xfId="55808" xr:uid="{00000000-0005-0000-0000-000053DF0000}"/>
    <cellStyle name="Normal 4 4 6 2 3 2 4" xfId="46431" xr:uid="{00000000-0005-0000-0000-000054DF0000}"/>
    <cellStyle name="Normal 4 4 6 2 3 3" xfId="14554" xr:uid="{00000000-0005-0000-0000-000055DF0000}"/>
    <cellStyle name="Normal 4 4 6 2 3 3 2" xfId="27876" xr:uid="{00000000-0005-0000-0000-000056DF0000}"/>
    <cellStyle name="Normal 4 4 6 2 3 3 2 2" xfId="59747" xr:uid="{00000000-0005-0000-0000-000057DF0000}"/>
    <cellStyle name="Normal 4 4 6 2 3 3 3" xfId="46433" xr:uid="{00000000-0005-0000-0000-000058DF0000}"/>
    <cellStyle name="Normal 4 4 6 2 3 4" xfId="19998" xr:uid="{00000000-0005-0000-0000-000059DF0000}"/>
    <cellStyle name="Normal 4 4 6 2 3 4 2" xfId="51869" xr:uid="{00000000-0005-0000-0000-00005ADF0000}"/>
    <cellStyle name="Normal 4 4 6 2 3 5" xfId="46430" xr:uid="{00000000-0005-0000-0000-00005BDF0000}"/>
    <cellStyle name="Normal 4 4 6 2 4" xfId="14555" xr:uid="{00000000-0005-0000-0000-00005CDF0000}"/>
    <cellStyle name="Normal 4 4 6 2 4 2" xfId="14556" xr:uid="{00000000-0005-0000-0000-00005DDF0000}"/>
    <cellStyle name="Normal 4 4 6 2 4 2 2" xfId="31812" xr:uid="{00000000-0005-0000-0000-00005EDF0000}"/>
    <cellStyle name="Normal 4 4 6 2 4 2 2 2" xfId="63683" xr:uid="{00000000-0005-0000-0000-00005FDF0000}"/>
    <cellStyle name="Normal 4 4 6 2 4 2 3" xfId="46435" xr:uid="{00000000-0005-0000-0000-000060DF0000}"/>
    <cellStyle name="Normal 4 4 6 2 4 3" xfId="23934" xr:uid="{00000000-0005-0000-0000-000061DF0000}"/>
    <cellStyle name="Normal 4 4 6 2 4 3 2" xfId="55805" xr:uid="{00000000-0005-0000-0000-000062DF0000}"/>
    <cellStyle name="Normal 4 4 6 2 4 4" xfId="46434" xr:uid="{00000000-0005-0000-0000-000063DF0000}"/>
    <cellStyle name="Normal 4 4 6 2 5" xfId="14557" xr:uid="{00000000-0005-0000-0000-000064DF0000}"/>
    <cellStyle name="Normal 4 4 6 2 5 2" xfId="27873" xr:uid="{00000000-0005-0000-0000-000065DF0000}"/>
    <cellStyle name="Normal 4 4 6 2 5 2 2" xfId="59744" xr:uid="{00000000-0005-0000-0000-000066DF0000}"/>
    <cellStyle name="Normal 4 4 6 2 5 3" xfId="46436" xr:uid="{00000000-0005-0000-0000-000067DF0000}"/>
    <cellStyle name="Normal 4 4 6 2 6" xfId="19995" xr:uid="{00000000-0005-0000-0000-000068DF0000}"/>
    <cellStyle name="Normal 4 4 6 2 6 2" xfId="51866" xr:uid="{00000000-0005-0000-0000-000069DF0000}"/>
    <cellStyle name="Normal 4 4 6 2 7" xfId="46421" xr:uid="{00000000-0005-0000-0000-00006ADF0000}"/>
    <cellStyle name="Normal 4 4 6 3" xfId="14558" xr:uid="{00000000-0005-0000-0000-00006BDF0000}"/>
    <cellStyle name="Normal 4 4 6 3 2" xfId="14559" xr:uid="{00000000-0005-0000-0000-00006CDF0000}"/>
    <cellStyle name="Normal 4 4 6 3 2 2" xfId="14560" xr:uid="{00000000-0005-0000-0000-00006DDF0000}"/>
    <cellStyle name="Normal 4 4 6 3 2 2 2" xfId="14561" xr:uid="{00000000-0005-0000-0000-00006EDF0000}"/>
    <cellStyle name="Normal 4 4 6 3 2 2 2 2" xfId="31817" xr:uid="{00000000-0005-0000-0000-00006FDF0000}"/>
    <cellStyle name="Normal 4 4 6 3 2 2 2 2 2" xfId="63688" xr:uid="{00000000-0005-0000-0000-000070DF0000}"/>
    <cellStyle name="Normal 4 4 6 3 2 2 2 3" xfId="46440" xr:uid="{00000000-0005-0000-0000-000071DF0000}"/>
    <cellStyle name="Normal 4 4 6 3 2 2 3" xfId="23939" xr:uid="{00000000-0005-0000-0000-000072DF0000}"/>
    <cellStyle name="Normal 4 4 6 3 2 2 3 2" xfId="55810" xr:uid="{00000000-0005-0000-0000-000073DF0000}"/>
    <cellStyle name="Normal 4 4 6 3 2 2 4" xfId="46439" xr:uid="{00000000-0005-0000-0000-000074DF0000}"/>
    <cellStyle name="Normal 4 4 6 3 2 3" xfId="14562" xr:uid="{00000000-0005-0000-0000-000075DF0000}"/>
    <cellStyle name="Normal 4 4 6 3 2 3 2" xfId="27878" xr:uid="{00000000-0005-0000-0000-000076DF0000}"/>
    <cellStyle name="Normal 4 4 6 3 2 3 2 2" xfId="59749" xr:uid="{00000000-0005-0000-0000-000077DF0000}"/>
    <cellStyle name="Normal 4 4 6 3 2 3 3" xfId="46441" xr:uid="{00000000-0005-0000-0000-000078DF0000}"/>
    <cellStyle name="Normal 4 4 6 3 2 4" xfId="20000" xr:uid="{00000000-0005-0000-0000-000079DF0000}"/>
    <cellStyle name="Normal 4 4 6 3 2 4 2" xfId="51871" xr:uid="{00000000-0005-0000-0000-00007ADF0000}"/>
    <cellStyle name="Normal 4 4 6 3 2 5" xfId="46438" xr:uid="{00000000-0005-0000-0000-00007BDF0000}"/>
    <cellStyle name="Normal 4 4 6 3 3" xfId="14563" xr:uid="{00000000-0005-0000-0000-00007CDF0000}"/>
    <cellStyle name="Normal 4 4 6 3 3 2" xfId="14564" xr:uid="{00000000-0005-0000-0000-00007DDF0000}"/>
    <cellStyle name="Normal 4 4 6 3 3 2 2" xfId="31816" xr:uid="{00000000-0005-0000-0000-00007EDF0000}"/>
    <cellStyle name="Normal 4 4 6 3 3 2 2 2" xfId="63687" xr:uid="{00000000-0005-0000-0000-00007FDF0000}"/>
    <cellStyle name="Normal 4 4 6 3 3 2 3" xfId="46443" xr:uid="{00000000-0005-0000-0000-000080DF0000}"/>
    <cellStyle name="Normal 4 4 6 3 3 3" xfId="23938" xr:uid="{00000000-0005-0000-0000-000081DF0000}"/>
    <cellStyle name="Normal 4 4 6 3 3 3 2" xfId="55809" xr:uid="{00000000-0005-0000-0000-000082DF0000}"/>
    <cellStyle name="Normal 4 4 6 3 3 4" xfId="46442" xr:uid="{00000000-0005-0000-0000-000083DF0000}"/>
    <cellStyle name="Normal 4 4 6 3 4" xfId="14565" xr:uid="{00000000-0005-0000-0000-000084DF0000}"/>
    <cellStyle name="Normal 4 4 6 3 4 2" xfId="27877" xr:uid="{00000000-0005-0000-0000-000085DF0000}"/>
    <cellStyle name="Normal 4 4 6 3 4 2 2" xfId="59748" xr:uid="{00000000-0005-0000-0000-000086DF0000}"/>
    <cellStyle name="Normal 4 4 6 3 4 3" xfId="46444" xr:uid="{00000000-0005-0000-0000-000087DF0000}"/>
    <cellStyle name="Normal 4 4 6 3 5" xfId="19999" xr:uid="{00000000-0005-0000-0000-000088DF0000}"/>
    <cellStyle name="Normal 4 4 6 3 5 2" xfId="51870" xr:uid="{00000000-0005-0000-0000-000089DF0000}"/>
    <cellStyle name="Normal 4 4 6 3 6" xfId="46437" xr:uid="{00000000-0005-0000-0000-00008ADF0000}"/>
    <cellStyle name="Normal 4 4 6 4" xfId="14566" xr:uid="{00000000-0005-0000-0000-00008BDF0000}"/>
    <cellStyle name="Normal 4 4 6 4 2" xfId="14567" xr:uid="{00000000-0005-0000-0000-00008CDF0000}"/>
    <cellStyle name="Normal 4 4 6 4 2 2" xfId="14568" xr:uid="{00000000-0005-0000-0000-00008DDF0000}"/>
    <cellStyle name="Normal 4 4 6 4 2 2 2" xfId="31818" xr:uid="{00000000-0005-0000-0000-00008EDF0000}"/>
    <cellStyle name="Normal 4 4 6 4 2 2 2 2" xfId="63689" xr:uid="{00000000-0005-0000-0000-00008FDF0000}"/>
    <cellStyle name="Normal 4 4 6 4 2 2 3" xfId="46447" xr:uid="{00000000-0005-0000-0000-000090DF0000}"/>
    <cellStyle name="Normal 4 4 6 4 2 3" xfId="23940" xr:uid="{00000000-0005-0000-0000-000091DF0000}"/>
    <cellStyle name="Normal 4 4 6 4 2 3 2" xfId="55811" xr:uid="{00000000-0005-0000-0000-000092DF0000}"/>
    <cellStyle name="Normal 4 4 6 4 2 4" xfId="46446" xr:uid="{00000000-0005-0000-0000-000093DF0000}"/>
    <cellStyle name="Normal 4 4 6 4 3" xfId="14569" xr:uid="{00000000-0005-0000-0000-000094DF0000}"/>
    <cellStyle name="Normal 4 4 6 4 3 2" xfId="27879" xr:uid="{00000000-0005-0000-0000-000095DF0000}"/>
    <cellStyle name="Normal 4 4 6 4 3 2 2" xfId="59750" xr:uid="{00000000-0005-0000-0000-000096DF0000}"/>
    <cellStyle name="Normal 4 4 6 4 3 3" xfId="46448" xr:uid="{00000000-0005-0000-0000-000097DF0000}"/>
    <cellStyle name="Normal 4 4 6 4 4" xfId="20001" xr:uid="{00000000-0005-0000-0000-000098DF0000}"/>
    <cellStyle name="Normal 4 4 6 4 4 2" xfId="51872" xr:uid="{00000000-0005-0000-0000-000099DF0000}"/>
    <cellStyle name="Normal 4 4 6 4 5" xfId="46445" xr:uid="{00000000-0005-0000-0000-00009ADF0000}"/>
    <cellStyle name="Normal 4 4 6 5" xfId="14570" xr:uid="{00000000-0005-0000-0000-00009BDF0000}"/>
    <cellStyle name="Normal 4 4 6 5 2" xfId="14571" xr:uid="{00000000-0005-0000-0000-00009CDF0000}"/>
    <cellStyle name="Normal 4 4 6 5 2 2" xfId="28268" xr:uid="{00000000-0005-0000-0000-00009DDF0000}"/>
    <cellStyle name="Normal 4 4 6 5 2 2 2" xfId="60139" xr:uid="{00000000-0005-0000-0000-00009EDF0000}"/>
    <cellStyle name="Normal 4 4 6 5 2 3" xfId="46450" xr:uid="{00000000-0005-0000-0000-00009FDF0000}"/>
    <cellStyle name="Normal 4 4 6 5 3" xfId="20390" xr:uid="{00000000-0005-0000-0000-0000A0DF0000}"/>
    <cellStyle name="Normal 4 4 6 5 3 2" xfId="52261" xr:uid="{00000000-0005-0000-0000-0000A1DF0000}"/>
    <cellStyle name="Normal 4 4 6 5 4" xfId="46449" xr:uid="{00000000-0005-0000-0000-0000A2DF0000}"/>
    <cellStyle name="Normal 4 4 6 6" xfId="14572" xr:uid="{00000000-0005-0000-0000-0000A3DF0000}"/>
    <cellStyle name="Normal 4 4 6 6 2" xfId="24329" xr:uid="{00000000-0005-0000-0000-0000A4DF0000}"/>
    <cellStyle name="Normal 4 4 6 6 2 2" xfId="56200" xr:uid="{00000000-0005-0000-0000-0000A5DF0000}"/>
    <cellStyle name="Normal 4 4 6 6 3" xfId="46451" xr:uid="{00000000-0005-0000-0000-0000A6DF0000}"/>
    <cellStyle name="Normal 4 4 6 7" xfId="16451" xr:uid="{00000000-0005-0000-0000-0000A7DF0000}"/>
    <cellStyle name="Normal 4 4 6 7 2" xfId="48322" xr:uid="{00000000-0005-0000-0000-0000A8DF0000}"/>
    <cellStyle name="Normal 4 4 6 8" xfId="46420" xr:uid="{00000000-0005-0000-0000-0000A9DF0000}"/>
    <cellStyle name="Normal 4 4 7" xfId="14573" xr:uid="{00000000-0005-0000-0000-0000AADF0000}"/>
    <cellStyle name="Normal 4 4 7 2" xfId="14574" xr:uid="{00000000-0005-0000-0000-0000ABDF0000}"/>
    <cellStyle name="Normal 4 4 7 2 2" xfId="14575" xr:uid="{00000000-0005-0000-0000-0000ACDF0000}"/>
    <cellStyle name="Normal 4 4 7 2 2 2" xfId="14576" xr:uid="{00000000-0005-0000-0000-0000ADDF0000}"/>
    <cellStyle name="Normal 4 4 7 2 2 2 2" xfId="14577" xr:uid="{00000000-0005-0000-0000-0000AEDF0000}"/>
    <cellStyle name="Normal 4 4 7 2 2 2 2 2" xfId="31821" xr:uid="{00000000-0005-0000-0000-0000AFDF0000}"/>
    <cellStyle name="Normal 4 4 7 2 2 2 2 2 2" xfId="63692" xr:uid="{00000000-0005-0000-0000-0000B0DF0000}"/>
    <cellStyle name="Normal 4 4 7 2 2 2 2 3" xfId="46456" xr:uid="{00000000-0005-0000-0000-0000B1DF0000}"/>
    <cellStyle name="Normal 4 4 7 2 2 2 3" xfId="23943" xr:uid="{00000000-0005-0000-0000-0000B2DF0000}"/>
    <cellStyle name="Normal 4 4 7 2 2 2 3 2" xfId="55814" xr:uid="{00000000-0005-0000-0000-0000B3DF0000}"/>
    <cellStyle name="Normal 4 4 7 2 2 2 4" xfId="46455" xr:uid="{00000000-0005-0000-0000-0000B4DF0000}"/>
    <cellStyle name="Normal 4 4 7 2 2 3" xfId="14578" xr:uid="{00000000-0005-0000-0000-0000B5DF0000}"/>
    <cellStyle name="Normal 4 4 7 2 2 3 2" xfId="27882" xr:uid="{00000000-0005-0000-0000-0000B6DF0000}"/>
    <cellStyle name="Normal 4 4 7 2 2 3 2 2" xfId="59753" xr:uid="{00000000-0005-0000-0000-0000B7DF0000}"/>
    <cellStyle name="Normal 4 4 7 2 2 3 3" xfId="46457" xr:uid="{00000000-0005-0000-0000-0000B8DF0000}"/>
    <cellStyle name="Normal 4 4 7 2 2 4" xfId="20004" xr:uid="{00000000-0005-0000-0000-0000B9DF0000}"/>
    <cellStyle name="Normal 4 4 7 2 2 4 2" xfId="51875" xr:uid="{00000000-0005-0000-0000-0000BADF0000}"/>
    <cellStyle name="Normal 4 4 7 2 2 5" xfId="46454" xr:uid="{00000000-0005-0000-0000-0000BBDF0000}"/>
    <cellStyle name="Normal 4 4 7 2 3" xfId="14579" xr:uid="{00000000-0005-0000-0000-0000BCDF0000}"/>
    <cellStyle name="Normal 4 4 7 2 3 2" xfId="14580" xr:uid="{00000000-0005-0000-0000-0000BDDF0000}"/>
    <cellStyle name="Normal 4 4 7 2 3 2 2" xfId="31820" xr:uid="{00000000-0005-0000-0000-0000BEDF0000}"/>
    <cellStyle name="Normal 4 4 7 2 3 2 2 2" xfId="63691" xr:uid="{00000000-0005-0000-0000-0000BFDF0000}"/>
    <cellStyle name="Normal 4 4 7 2 3 2 3" xfId="46459" xr:uid="{00000000-0005-0000-0000-0000C0DF0000}"/>
    <cellStyle name="Normal 4 4 7 2 3 3" xfId="23942" xr:uid="{00000000-0005-0000-0000-0000C1DF0000}"/>
    <cellStyle name="Normal 4 4 7 2 3 3 2" xfId="55813" xr:uid="{00000000-0005-0000-0000-0000C2DF0000}"/>
    <cellStyle name="Normal 4 4 7 2 3 4" xfId="46458" xr:uid="{00000000-0005-0000-0000-0000C3DF0000}"/>
    <cellStyle name="Normal 4 4 7 2 4" xfId="14581" xr:uid="{00000000-0005-0000-0000-0000C4DF0000}"/>
    <cellStyle name="Normal 4 4 7 2 4 2" xfId="27881" xr:uid="{00000000-0005-0000-0000-0000C5DF0000}"/>
    <cellStyle name="Normal 4 4 7 2 4 2 2" xfId="59752" xr:uid="{00000000-0005-0000-0000-0000C6DF0000}"/>
    <cellStyle name="Normal 4 4 7 2 4 3" xfId="46460" xr:uid="{00000000-0005-0000-0000-0000C7DF0000}"/>
    <cellStyle name="Normal 4 4 7 2 5" xfId="20003" xr:uid="{00000000-0005-0000-0000-0000C8DF0000}"/>
    <cellStyle name="Normal 4 4 7 2 5 2" xfId="51874" xr:uid="{00000000-0005-0000-0000-0000C9DF0000}"/>
    <cellStyle name="Normal 4 4 7 2 6" xfId="46453" xr:uid="{00000000-0005-0000-0000-0000CADF0000}"/>
    <cellStyle name="Normal 4 4 7 3" xfId="14582" xr:uid="{00000000-0005-0000-0000-0000CBDF0000}"/>
    <cellStyle name="Normal 4 4 7 3 2" xfId="14583" xr:uid="{00000000-0005-0000-0000-0000CCDF0000}"/>
    <cellStyle name="Normal 4 4 7 3 2 2" xfId="14584" xr:uid="{00000000-0005-0000-0000-0000CDDF0000}"/>
    <cellStyle name="Normal 4 4 7 3 2 2 2" xfId="31822" xr:uid="{00000000-0005-0000-0000-0000CEDF0000}"/>
    <cellStyle name="Normal 4 4 7 3 2 2 2 2" xfId="63693" xr:uid="{00000000-0005-0000-0000-0000CFDF0000}"/>
    <cellStyle name="Normal 4 4 7 3 2 2 3" xfId="46463" xr:uid="{00000000-0005-0000-0000-0000D0DF0000}"/>
    <cellStyle name="Normal 4 4 7 3 2 3" xfId="23944" xr:uid="{00000000-0005-0000-0000-0000D1DF0000}"/>
    <cellStyle name="Normal 4 4 7 3 2 3 2" xfId="55815" xr:uid="{00000000-0005-0000-0000-0000D2DF0000}"/>
    <cellStyle name="Normal 4 4 7 3 2 4" xfId="46462" xr:uid="{00000000-0005-0000-0000-0000D3DF0000}"/>
    <cellStyle name="Normal 4 4 7 3 3" xfId="14585" xr:uid="{00000000-0005-0000-0000-0000D4DF0000}"/>
    <cellStyle name="Normal 4 4 7 3 3 2" xfId="27883" xr:uid="{00000000-0005-0000-0000-0000D5DF0000}"/>
    <cellStyle name="Normal 4 4 7 3 3 2 2" xfId="59754" xr:uid="{00000000-0005-0000-0000-0000D6DF0000}"/>
    <cellStyle name="Normal 4 4 7 3 3 3" xfId="46464" xr:uid="{00000000-0005-0000-0000-0000D7DF0000}"/>
    <cellStyle name="Normal 4 4 7 3 4" xfId="20005" xr:uid="{00000000-0005-0000-0000-0000D8DF0000}"/>
    <cellStyle name="Normal 4 4 7 3 4 2" xfId="51876" xr:uid="{00000000-0005-0000-0000-0000D9DF0000}"/>
    <cellStyle name="Normal 4 4 7 3 5" xfId="46461" xr:uid="{00000000-0005-0000-0000-0000DADF0000}"/>
    <cellStyle name="Normal 4 4 7 4" xfId="14586" xr:uid="{00000000-0005-0000-0000-0000DBDF0000}"/>
    <cellStyle name="Normal 4 4 7 4 2" xfId="14587" xr:uid="{00000000-0005-0000-0000-0000DCDF0000}"/>
    <cellStyle name="Normal 4 4 7 4 2 2" xfId="31819" xr:uid="{00000000-0005-0000-0000-0000DDDF0000}"/>
    <cellStyle name="Normal 4 4 7 4 2 2 2" xfId="63690" xr:uid="{00000000-0005-0000-0000-0000DEDF0000}"/>
    <cellStyle name="Normal 4 4 7 4 2 3" xfId="46466" xr:uid="{00000000-0005-0000-0000-0000DFDF0000}"/>
    <cellStyle name="Normal 4 4 7 4 3" xfId="23941" xr:uid="{00000000-0005-0000-0000-0000E0DF0000}"/>
    <cellStyle name="Normal 4 4 7 4 3 2" xfId="55812" xr:uid="{00000000-0005-0000-0000-0000E1DF0000}"/>
    <cellStyle name="Normal 4 4 7 4 4" xfId="46465" xr:uid="{00000000-0005-0000-0000-0000E2DF0000}"/>
    <cellStyle name="Normal 4 4 7 5" xfId="14588" xr:uid="{00000000-0005-0000-0000-0000E3DF0000}"/>
    <cellStyle name="Normal 4 4 7 5 2" xfId="27880" xr:uid="{00000000-0005-0000-0000-0000E4DF0000}"/>
    <cellStyle name="Normal 4 4 7 5 2 2" xfId="59751" xr:uid="{00000000-0005-0000-0000-0000E5DF0000}"/>
    <cellStyle name="Normal 4 4 7 5 3" xfId="46467" xr:uid="{00000000-0005-0000-0000-0000E6DF0000}"/>
    <cellStyle name="Normal 4 4 7 6" xfId="20002" xr:uid="{00000000-0005-0000-0000-0000E7DF0000}"/>
    <cellStyle name="Normal 4 4 7 6 2" xfId="51873" xr:uid="{00000000-0005-0000-0000-0000E8DF0000}"/>
    <cellStyle name="Normal 4 4 7 7" xfId="46452" xr:uid="{00000000-0005-0000-0000-0000E9DF0000}"/>
    <cellStyle name="Normal 4 4 8" xfId="14589" xr:uid="{00000000-0005-0000-0000-0000EADF0000}"/>
    <cellStyle name="Normal 4 4 8 2" xfId="14590" xr:uid="{00000000-0005-0000-0000-0000EBDF0000}"/>
    <cellStyle name="Normal 4 4 8 2 2" xfId="14591" xr:uid="{00000000-0005-0000-0000-0000ECDF0000}"/>
    <cellStyle name="Normal 4 4 8 2 2 2" xfId="14592" xr:uid="{00000000-0005-0000-0000-0000EDDF0000}"/>
    <cellStyle name="Normal 4 4 8 2 2 2 2" xfId="31824" xr:uid="{00000000-0005-0000-0000-0000EEDF0000}"/>
    <cellStyle name="Normal 4 4 8 2 2 2 2 2" xfId="63695" xr:uid="{00000000-0005-0000-0000-0000EFDF0000}"/>
    <cellStyle name="Normal 4 4 8 2 2 2 3" xfId="46471" xr:uid="{00000000-0005-0000-0000-0000F0DF0000}"/>
    <cellStyle name="Normal 4 4 8 2 2 3" xfId="23946" xr:uid="{00000000-0005-0000-0000-0000F1DF0000}"/>
    <cellStyle name="Normal 4 4 8 2 2 3 2" xfId="55817" xr:uid="{00000000-0005-0000-0000-0000F2DF0000}"/>
    <cellStyle name="Normal 4 4 8 2 2 4" xfId="46470" xr:uid="{00000000-0005-0000-0000-0000F3DF0000}"/>
    <cellStyle name="Normal 4 4 8 2 3" xfId="14593" xr:uid="{00000000-0005-0000-0000-0000F4DF0000}"/>
    <cellStyle name="Normal 4 4 8 2 3 2" xfId="27885" xr:uid="{00000000-0005-0000-0000-0000F5DF0000}"/>
    <cellStyle name="Normal 4 4 8 2 3 2 2" xfId="59756" xr:uid="{00000000-0005-0000-0000-0000F6DF0000}"/>
    <cellStyle name="Normal 4 4 8 2 3 3" xfId="46472" xr:uid="{00000000-0005-0000-0000-0000F7DF0000}"/>
    <cellStyle name="Normal 4 4 8 2 4" xfId="20007" xr:uid="{00000000-0005-0000-0000-0000F8DF0000}"/>
    <cellStyle name="Normal 4 4 8 2 4 2" xfId="51878" xr:uid="{00000000-0005-0000-0000-0000F9DF0000}"/>
    <cellStyle name="Normal 4 4 8 2 5" xfId="46469" xr:uid="{00000000-0005-0000-0000-0000FADF0000}"/>
    <cellStyle name="Normal 4 4 8 3" xfId="14594" xr:uid="{00000000-0005-0000-0000-0000FBDF0000}"/>
    <cellStyle name="Normal 4 4 8 3 2" xfId="14595" xr:uid="{00000000-0005-0000-0000-0000FCDF0000}"/>
    <cellStyle name="Normal 4 4 8 3 2 2" xfId="31823" xr:uid="{00000000-0005-0000-0000-0000FDDF0000}"/>
    <cellStyle name="Normal 4 4 8 3 2 2 2" xfId="63694" xr:uid="{00000000-0005-0000-0000-0000FEDF0000}"/>
    <cellStyle name="Normal 4 4 8 3 2 3" xfId="46474" xr:uid="{00000000-0005-0000-0000-0000FFDF0000}"/>
    <cellStyle name="Normal 4 4 8 3 3" xfId="23945" xr:uid="{00000000-0005-0000-0000-000000E00000}"/>
    <cellStyle name="Normal 4 4 8 3 3 2" xfId="55816" xr:uid="{00000000-0005-0000-0000-000001E00000}"/>
    <cellStyle name="Normal 4 4 8 3 4" xfId="46473" xr:uid="{00000000-0005-0000-0000-000002E00000}"/>
    <cellStyle name="Normal 4 4 8 4" xfId="14596" xr:uid="{00000000-0005-0000-0000-000003E00000}"/>
    <cellStyle name="Normal 4 4 8 4 2" xfId="27884" xr:uid="{00000000-0005-0000-0000-000004E00000}"/>
    <cellStyle name="Normal 4 4 8 4 2 2" xfId="59755" xr:uid="{00000000-0005-0000-0000-000005E00000}"/>
    <cellStyle name="Normal 4 4 8 4 3" xfId="46475" xr:uid="{00000000-0005-0000-0000-000006E00000}"/>
    <cellStyle name="Normal 4 4 8 5" xfId="20006" xr:uid="{00000000-0005-0000-0000-000007E00000}"/>
    <cellStyle name="Normal 4 4 8 5 2" xfId="51877" xr:uid="{00000000-0005-0000-0000-000008E00000}"/>
    <cellStyle name="Normal 4 4 8 6" xfId="46468" xr:uid="{00000000-0005-0000-0000-000009E00000}"/>
    <cellStyle name="Normal 4 4 9" xfId="14597" xr:uid="{00000000-0005-0000-0000-00000AE00000}"/>
    <cellStyle name="Normal 4 4 9 2" xfId="14598" xr:uid="{00000000-0005-0000-0000-00000BE00000}"/>
    <cellStyle name="Normal 4 4 9 2 2" xfId="14599" xr:uid="{00000000-0005-0000-0000-00000CE00000}"/>
    <cellStyle name="Normal 4 4 9 2 2 2" xfId="31825" xr:uid="{00000000-0005-0000-0000-00000DE00000}"/>
    <cellStyle name="Normal 4 4 9 2 2 2 2" xfId="63696" xr:uid="{00000000-0005-0000-0000-00000EE00000}"/>
    <cellStyle name="Normal 4 4 9 2 2 3" xfId="46478" xr:uid="{00000000-0005-0000-0000-00000FE00000}"/>
    <cellStyle name="Normal 4 4 9 2 3" xfId="23947" xr:uid="{00000000-0005-0000-0000-000010E00000}"/>
    <cellStyle name="Normal 4 4 9 2 3 2" xfId="55818" xr:uid="{00000000-0005-0000-0000-000011E00000}"/>
    <cellStyle name="Normal 4 4 9 2 4" xfId="46477" xr:uid="{00000000-0005-0000-0000-000012E00000}"/>
    <cellStyle name="Normal 4 4 9 3" xfId="14600" xr:uid="{00000000-0005-0000-0000-000013E00000}"/>
    <cellStyle name="Normal 4 4 9 3 2" xfId="27886" xr:uid="{00000000-0005-0000-0000-000014E00000}"/>
    <cellStyle name="Normal 4 4 9 3 2 2" xfId="59757" xr:uid="{00000000-0005-0000-0000-000015E00000}"/>
    <cellStyle name="Normal 4 4 9 3 3" xfId="46479" xr:uid="{00000000-0005-0000-0000-000016E00000}"/>
    <cellStyle name="Normal 4 4 9 4" xfId="20008" xr:uid="{00000000-0005-0000-0000-000017E00000}"/>
    <cellStyle name="Normal 4 4 9 4 2" xfId="51879" xr:uid="{00000000-0005-0000-0000-000018E00000}"/>
    <cellStyle name="Normal 4 4 9 5" xfId="46476" xr:uid="{00000000-0005-0000-0000-000019E00000}"/>
    <cellStyle name="Normal 4 5" xfId="149" xr:uid="{00000000-0005-0000-0000-00001AE00000}"/>
    <cellStyle name="Normal 4 5 10" xfId="14602" xr:uid="{00000000-0005-0000-0000-00001BE00000}"/>
    <cellStyle name="Normal 4 5 10 2" xfId="24313" xr:uid="{00000000-0005-0000-0000-00001CE00000}"/>
    <cellStyle name="Normal 4 5 10 2 2" xfId="56184" xr:uid="{00000000-0005-0000-0000-00001DE00000}"/>
    <cellStyle name="Normal 4 5 10 3" xfId="46481" xr:uid="{00000000-0005-0000-0000-00001EE00000}"/>
    <cellStyle name="Normal 4 5 11" xfId="16435" xr:uid="{00000000-0005-0000-0000-00001FE00000}"/>
    <cellStyle name="Normal 4 5 11 2" xfId="48306" xr:uid="{00000000-0005-0000-0000-000020E00000}"/>
    <cellStyle name="Normal 4 5 12" xfId="14601" xr:uid="{00000000-0005-0000-0000-000021E00000}"/>
    <cellStyle name="Normal 4 5 12 2" xfId="46480" xr:uid="{00000000-0005-0000-0000-000022E00000}"/>
    <cellStyle name="Normal 4 5 2" xfId="270" xr:uid="{00000000-0005-0000-0000-000023E00000}"/>
    <cellStyle name="Normal 4 5 2 10" xfId="14603" xr:uid="{00000000-0005-0000-0000-000024E00000}"/>
    <cellStyle name="Normal 4 5 2 10 2" xfId="46482" xr:uid="{00000000-0005-0000-0000-000025E00000}"/>
    <cellStyle name="Normal 4 5 2 2" xfId="14604" xr:uid="{00000000-0005-0000-0000-000026E00000}"/>
    <cellStyle name="Normal 4 5 2 2 2" xfId="14605" xr:uid="{00000000-0005-0000-0000-000027E00000}"/>
    <cellStyle name="Normal 4 5 2 2 2 2" xfId="14606" xr:uid="{00000000-0005-0000-0000-000028E00000}"/>
    <cellStyle name="Normal 4 5 2 2 2 2 2" xfId="14607" xr:uid="{00000000-0005-0000-0000-000029E00000}"/>
    <cellStyle name="Normal 4 5 2 2 2 2 2 2" xfId="14608" xr:uid="{00000000-0005-0000-0000-00002AE00000}"/>
    <cellStyle name="Normal 4 5 2 2 2 2 2 2 2" xfId="14609" xr:uid="{00000000-0005-0000-0000-00002BE00000}"/>
    <cellStyle name="Normal 4 5 2 2 2 2 2 2 2 2" xfId="14610" xr:uid="{00000000-0005-0000-0000-00002CE00000}"/>
    <cellStyle name="Normal 4 5 2 2 2 2 2 2 2 2 2" xfId="31829" xr:uid="{00000000-0005-0000-0000-00002DE00000}"/>
    <cellStyle name="Normal 4 5 2 2 2 2 2 2 2 2 2 2" xfId="63700" xr:uid="{00000000-0005-0000-0000-00002EE00000}"/>
    <cellStyle name="Normal 4 5 2 2 2 2 2 2 2 2 3" xfId="46489" xr:uid="{00000000-0005-0000-0000-00002FE00000}"/>
    <cellStyle name="Normal 4 5 2 2 2 2 2 2 2 3" xfId="23951" xr:uid="{00000000-0005-0000-0000-000030E00000}"/>
    <cellStyle name="Normal 4 5 2 2 2 2 2 2 2 3 2" xfId="55822" xr:uid="{00000000-0005-0000-0000-000031E00000}"/>
    <cellStyle name="Normal 4 5 2 2 2 2 2 2 2 4" xfId="46488" xr:uid="{00000000-0005-0000-0000-000032E00000}"/>
    <cellStyle name="Normal 4 5 2 2 2 2 2 2 3" xfId="14611" xr:uid="{00000000-0005-0000-0000-000033E00000}"/>
    <cellStyle name="Normal 4 5 2 2 2 2 2 2 3 2" xfId="27890" xr:uid="{00000000-0005-0000-0000-000034E00000}"/>
    <cellStyle name="Normal 4 5 2 2 2 2 2 2 3 2 2" xfId="59761" xr:uid="{00000000-0005-0000-0000-000035E00000}"/>
    <cellStyle name="Normal 4 5 2 2 2 2 2 2 3 3" xfId="46490" xr:uid="{00000000-0005-0000-0000-000036E00000}"/>
    <cellStyle name="Normal 4 5 2 2 2 2 2 2 4" xfId="20012" xr:uid="{00000000-0005-0000-0000-000037E00000}"/>
    <cellStyle name="Normal 4 5 2 2 2 2 2 2 4 2" xfId="51883" xr:uid="{00000000-0005-0000-0000-000038E00000}"/>
    <cellStyle name="Normal 4 5 2 2 2 2 2 2 5" xfId="46487" xr:uid="{00000000-0005-0000-0000-000039E00000}"/>
    <cellStyle name="Normal 4 5 2 2 2 2 2 3" xfId="14612" xr:uid="{00000000-0005-0000-0000-00003AE00000}"/>
    <cellStyle name="Normal 4 5 2 2 2 2 2 3 2" xfId="14613" xr:uid="{00000000-0005-0000-0000-00003BE00000}"/>
    <cellStyle name="Normal 4 5 2 2 2 2 2 3 2 2" xfId="31828" xr:uid="{00000000-0005-0000-0000-00003CE00000}"/>
    <cellStyle name="Normal 4 5 2 2 2 2 2 3 2 2 2" xfId="63699" xr:uid="{00000000-0005-0000-0000-00003DE00000}"/>
    <cellStyle name="Normal 4 5 2 2 2 2 2 3 2 3" xfId="46492" xr:uid="{00000000-0005-0000-0000-00003EE00000}"/>
    <cellStyle name="Normal 4 5 2 2 2 2 2 3 3" xfId="23950" xr:uid="{00000000-0005-0000-0000-00003FE00000}"/>
    <cellStyle name="Normal 4 5 2 2 2 2 2 3 3 2" xfId="55821" xr:uid="{00000000-0005-0000-0000-000040E00000}"/>
    <cellStyle name="Normal 4 5 2 2 2 2 2 3 4" xfId="46491" xr:uid="{00000000-0005-0000-0000-000041E00000}"/>
    <cellStyle name="Normal 4 5 2 2 2 2 2 4" xfId="14614" xr:uid="{00000000-0005-0000-0000-000042E00000}"/>
    <cellStyle name="Normal 4 5 2 2 2 2 2 4 2" xfId="27889" xr:uid="{00000000-0005-0000-0000-000043E00000}"/>
    <cellStyle name="Normal 4 5 2 2 2 2 2 4 2 2" xfId="59760" xr:uid="{00000000-0005-0000-0000-000044E00000}"/>
    <cellStyle name="Normal 4 5 2 2 2 2 2 4 3" xfId="46493" xr:uid="{00000000-0005-0000-0000-000045E00000}"/>
    <cellStyle name="Normal 4 5 2 2 2 2 2 5" xfId="20011" xr:uid="{00000000-0005-0000-0000-000046E00000}"/>
    <cellStyle name="Normal 4 5 2 2 2 2 2 5 2" xfId="51882" xr:uid="{00000000-0005-0000-0000-000047E00000}"/>
    <cellStyle name="Normal 4 5 2 2 2 2 2 6" xfId="46486" xr:uid="{00000000-0005-0000-0000-000048E00000}"/>
    <cellStyle name="Normal 4 5 2 2 2 2 3" xfId="14615" xr:uid="{00000000-0005-0000-0000-000049E00000}"/>
    <cellStyle name="Normal 4 5 2 2 2 2 3 2" xfId="14616" xr:uid="{00000000-0005-0000-0000-00004AE00000}"/>
    <cellStyle name="Normal 4 5 2 2 2 2 3 2 2" xfId="14617" xr:uid="{00000000-0005-0000-0000-00004BE00000}"/>
    <cellStyle name="Normal 4 5 2 2 2 2 3 2 2 2" xfId="31830" xr:uid="{00000000-0005-0000-0000-00004CE00000}"/>
    <cellStyle name="Normal 4 5 2 2 2 2 3 2 2 2 2" xfId="63701" xr:uid="{00000000-0005-0000-0000-00004DE00000}"/>
    <cellStyle name="Normal 4 5 2 2 2 2 3 2 2 3" xfId="46496" xr:uid="{00000000-0005-0000-0000-00004EE00000}"/>
    <cellStyle name="Normal 4 5 2 2 2 2 3 2 3" xfId="23952" xr:uid="{00000000-0005-0000-0000-00004FE00000}"/>
    <cellStyle name="Normal 4 5 2 2 2 2 3 2 3 2" xfId="55823" xr:uid="{00000000-0005-0000-0000-000050E00000}"/>
    <cellStyle name="Normal 4 5 2 2 2 2 3 2 4" xfId="46495" xr:uid="{00000000-0005-0000-0000-000051E00000}"/>
    <cellStyle name="Normal 4 5 2 2 2 2 3 3" xfId="14618" xr:uid="{00000000-0005-0000-0000-000052E00000}"/>
    <cellStyle name="Normal 4 5 2 2 2 2 3 3 2" xfId="27891" xr:uid="{00000000-0005-0000-0000-000053E00000}"/>
    <cellStyle name="Normal 4 5 2 2 2 2 3 3 2 2" xfId="59762" xr:uid="{00000000-0005-0000-0000-000054E00000}"/>
    <cellStyle name="Normal 4 5 2 2 2 2 3 3 3" xfId="46497" xr:uid="{00000000-0005-0000-0000-000055E00000}"/>
    <cellStyle name="Normal 4 5 2 2 2 2 3 4" xfId="20013" xr:uid="{00000000-0005-0000-0000-000056E00000}"/>
    <cellStyle name="Normal 4 5 2 2 2 2 3 4 2" xfId="51884" xr:uid="{00000000-0005-0000-0000-000057E00000}"/>
    <cellStyle name="Normal 4 5 2 2 2 2 3 5" xfId="46494" xr:uid="{00000000-0005-0000-0000-000058E00000}"/>
    <cellStyle name="Normal 4 5 2 2 2 2 4" xfId="14619" xr:uid="{00000000-0005-0000-0000-000059E00000}"/>
    <cellStyle name="Normal 4 5 2 2 2 2 4 2" xfId="14620" xr:uid="{00000000-0005-0000-0000-00005AE00000}"/>
    <cellStyle name="Normal 4 5 2 2 2 2 4 2 2" xfId="31827" xr:uid="{00000000-0005-0000-0000-00005BE00000}"/>
    <cellStyle name="Normal 4 5 2 2 2 2 4 2 2 2" xfId="63698" xr:uid="{00000000-0005-0000-0000-00005CE00000}"/>
    <cellStyle name="Normal 4 5 2 2 2 2 4 2 3" xfId="46499" xr:uid="{00000000-0005-0000-0000-00005DE00000}"/>
    <cellStyle name="Normal 4 5 2 2 2 2 4 3" xfId="23949" xr:uid="{00000000-0005-0000-0000-00005EE00000}"/>
    <cellStyle name="Normal 4 5 2 2 2 2 4 3 2" xfId="55820" xr:uid="{00000000-0005-0000-0000-00005FE00000}"/>
    <cellStyle name="Normal 4 5 2 2 2 2 4 4" xfId="46498" xr:uid="{00000000-0005-0000-0000-000060E00000}"/>
    <cellStyle name="Normal 4 5 2 2 2 2 5" xfId="14621" xr:uid="{00000000-0005-0000-0000-000061E00000}"/>
    <cellStyle name="Normal 4 5 2 2 2 2 5 2" xfId="27888" xr:uid="{00000000-0005-0000-0000-000062E00000}"/>
    <cellStyle name="Normal 4 5 2 2 2 2 5 2 2" xfId="59759" xr:uid="{00000000-0005-0000-0000-000063E00000}"/>
    <cellStyle name="Normal 4 5 2 2 2 2 5 3" xfId="46500" xr:uid="{00000000-0005-0000-0000-000064E00000}"/>
    <cellStyle name="Normal 4 5 2 2 2 2 6" xfId="20010" xr:uid="{00000000-0005-0000-0000-000065E00000}"/>
    <cellStyle name="Normal 4 5 2 2 2 2 6 2" xfId="51881" xr:uid="{00000000-0005-0000-0000-000066E00000}"/>
    <cellStyle name="Normal 4 5 2 2 2 2 7" xfId="46485" xr:uid="{00000000-0005-0000-0000-000067E00000}"/>
    <cellStyle name="Normal 4 5 2 2 2 3" xfId="14622" xr:uid="{00000000-0005-0000-0000-000068E00000}"/>
    <cellStyle name="Normal 4 5 2 2 2 3 2" xfId="14623" xr:uid="{00000000-0005-0000-0000-000069E00000}"/>
    <cellStyle name="Normal 4 5 2 2 2 3 2 2" xfId="14624" xr:uid="{00000000-0005-0000-0000-00006AE00000}"/>
    <cellStyle name="Normal 4 5 2 2 2 3 2 2 2" xfId="14625" xr:uid="{00000000-0005-0000-0000-00006BE00000}"/>
    <cellStyle name="Normal 4 5 2 2 2 3 2 2 2 2" xfId="31832" xr:uid="{00000000-0005-0000-0000-00006CE00000}"/>
    <cellStyle name="Normal 4 5 2 2 2 3 2 2 2 2 2" xfId="63703" xr:uid="{00000000-0005-0000-0000-00006DE00000}"/>
    <cellStyle name="Normal 4 5 2 2 2 3 2 2 2 3" xfId="46504" xr:uid="{00000000-0005-0000-0000-00006EE00000}"/>
    <cellStyle name="Normal 4 5 2 2 2 3 2 2 3" xfId="23954" xr:uid="{00000000-0005-0000-0000-00006FE00000}"/>
    <cellStyle name="Normal 4 5 2 2 2 3 2 2 3 2" xfId="55825" xr:uid="{00000000-0005-0000-0000-000070E00000}"/>
    <cellStyle name="Normal 4 5 2 2 2 3 2 2 4" xfId="46503" xr:uid="{00000000-0005-0000-0000-000071E00000}"/>
    <cellStyle name="Normal 4 5 2 2 2 3 2 3" xfId="14626" xr:uid="{00000000-0005-0000-0000-000072E00000}"/>
    <cellStyle name="Normal 4 5 2 2 2 3 2 3 2" xfId="27893" xr:uid="{00000000-0005-0000-0000-000073E00000}"/>
    <cellStyle name="Normal 4 5 2 2 2 3 2 3 2 2" xfId="59764" xr:uid="{00000000-0005-0000-0000-000074E00000}"/>
    <cellStyle name="Normal 4 5 2 2 2 3 2 3 3" xfId="46505" xr:uid="{00000000-0005-0000-0000-000075E00000}"/>
    <cellStyle name="Normal 4 5 2 2 2 3 2 4" xfId="20015" xr:uid="{00000000-0005-0000-0000-000076E00000}"/>
    <cellStyle name="Normal 4 5 2 2 2 3 2 4 2" xfId="51886" xr:uid="{00000000-0005-0000-0000-000077E00000}"/>
    <cellStyle name="Normal 4 5 2 2 2 3 2 5" xfId="46502" xr:uid="{00000000-0005-0000-0000-000078E00000}"/>
    <cellStyle name="Normal 4 5 2 2 2 3 3" xfId="14627" xr:uid="{00000000-0005-0000-0000-000079E00000}"/>
    <cellStyle name="Normal 4 5 2 2 2 3 3 2" xfId="14628" xr:uid="{00000000-0005-0000-0000-00007AE00000}"/>
    <cellStyle name="Normal 4 5 2 2 2 3 3 2 2" xfId="31831" xr:uid="{00000000-0005-0000-0000-00007BE00000}"/>
    <cellStyle name="Normal 4 5 2 2 2 3 3 2 2 2" xfId="63702" xr:uid="{00000000-0005-0000-0000-00007CE00000}"/>
    <cellStyle name="Normal 4 5 2 2 2 3 3 2 3" xfId="46507" xr:uid="{00000000-0005-0000-0000-00007DE00000}"/>
    <cellStyle name="Normal 4 5 2 2 2 3 3 3" xfId="23953" xr:uid="{00000000-0005-0000-0000-00007EE00000}"/>
    <cellStyle name="Normal 4 5 2 2 2 3 3 3 2" xfId="55824" xr:uid="{00000000-0005-0000-0000-00007FE00000}"/>
    <cellStyle name="Normal 4 5 2 2 2 3 3 4" xfId="46506" xr:uid="{00000000-0005-0000-0000-000080E00000}"/>
    <cellStyle name="Normal 4 5 2 2 2 3 4" xfId="14629" xr:uid="{00000000-0005-0000-0000-000081E00000}"/>
    <cellStyle name="Normal 4 5 2 2 2 3 4 2" xfId="27892" xr:uid="{00000000-0005-0000-0000-000082E00000}"/>
    <cellStyle name="Normal 4 5 2 2 2 3 4 2 2" xfId="59763" xr:uid="{00000000-0005-0000-0000-000083E00000}"/>
    <cellStyle name="Normal 4 5 2 2 2 3 4 3" xfId="46508" xr:uid="{00000000-0005-0000-0000-000084E00000}"/>
    <cellStyle name="Normal 4 5 2 2 2 3 5" xfId="20014" xr:uid="{00000000-0005-0000-0000-000085E00000}"/>
    <cellStyle name="Normal 4 5 2 2 2 3 5 2" xfId="51885" xr:uid="{00000000-0005-0000-0000-000086E00000}"/>
    <cellStyle name="Normal 4 5 2 2 2 3 6" xfId="46501" xr:uid="{00000000-0005-0000-0000-000087E00000}"/>
    <cellStyle name="Normal 4 5 2 2 2 4" xfId="14630" xr:uid="{00000000-0005-0000-0000-000088E00000}"/>
    <cellStyle name="Normal 4 5 2 2 2 4 2" xfId="14631" xr:uid="{00000000-0005-0000-0000-000089E00000}"/>
    <cellStyle name="Normal 4 5 2 2 2 4 2 2" xfId="14632" xr:uid="{00000000-0005-0000-0000-00008AE00000}"/>
    <cellStyle name="Normal 4 5 2 2 2 4 2 2 2" xfId="31833" xr:uid="{00000000-0005-0000-0000-00008BE00000}"/>
    <cellStyle name="Normal 4 5 2 2 2 4 2 2 2 2" xfId="63704" xr:uid="{00000000-0005-0000-0000-00008CE00000}"/>
    <cellStyle name="Normal 4 5 2 2 2 4 2 2 3" xfId="46511" xr:uid="{00000000-0005-0000-0000-00008DE00000}"/>
    <cellStyle name="Normal 4 5 2 2 2 4 2 3" xfId="23955" xr:uid="{00000000-0005-0000-0000-00008EE00000}"/>
    <cellStyle name="Normal 4 5 2 2 2 4 2 3 2" xfId="55826" xr:uid="{00000000-0005-0000-0000-00008FE00000}"/>
    <cellStyle name="Normal 4 5 2 2 2 4 2 4" xfId="46510" xr:uid="{00000000-0005-0000-0000-000090E00000}"/>
    <cellStyle name="Normal 4 5 2 2 2 4 3" xfId="14633" xr:uid="{00000000-0005-0000-0000-000091E00000}"/>
    <cellStyle name="Normal 4 5 2 2 2 4 3 2" xfId="27894" xr:uid="{00000000-0005-0000-0000-000092E00000}"/>
    <cellStyle name="Normal 4 5 2 2 2 4 3 2 2" xfId="59765" xr:uid="{00000000-0005-0000-0000-000093E00000}"/>
    <cellStyle name="Normal 4 5 2 2 2 4 3 3" xfId="46512" xr:uid="{00000000-0005-0000-0000-000094E00000}"/>
    <cellStyle name="Normal 4 5 2 2 2 4 4" xfId="20016" xr:uid="{00000000-0005-0000-0000-000095E00000}"/>
    <cellStyle name="Normal 4 5 2 2 2 4 4 2" xfId="51887" xr:uid="{00000000-0005-0000-0000-000096E00000}"/>
    <cellStyle name="Normal 4 5 2 2 2 4 5" xfId="46509" xr:uid="{00000000-0005-0000-0000-000097E00000}"/>
    <cellStyle name="Normal 4 5 2 2 2 5" xfId="14634" xr:uid="{00000000-0005-0000-0000-000098E00000}"/>
    <cellStyle name="Normal 4 5 2 2 2 5 2" xfId="14635" xr:uid="{00000000-0005-0000-0000-000099E00000}"/>
    <cellStyle name="Normal 4 5 2 2 2 5 2 2" xfId="31826" xr:uid="{00000000-0005-0000-0000-00009AE00000}"/>
    <cellStyle name="Normal 4 5 2 2 2 5 2 2 2" xfId="63697" xr:uid="{00000000-0005-0000-0000-00009BE00000}"/>
    <cellStyle name="Normal 4 5 2 2 2 5 2 3" xfId="46514" xr:uid="{00000000-0005-0000-0000-00009CE00000}"/>
    <cellStyle name="Normal 4 5 2 2 2 5 3" xfId="23948" xr:uid="{00000000-0005-0000-0000-00009DE00000}"/>
    <cellStyle name="Normal 4 5 2 2 2 5 3 2" xfId="55819" xr:uid="{00000000-0005-0000-0000-00009EE00000}"/>
    <cellStyle name="Normal 4 5 2 2 2 5 4" xfId="46513" xr:uid="{00000000-0005-0000-0000-00009FE00000}"/>
    <cellStyle name="Normal 4 5 2 2 2 6" xfId="14636" xr:uid="{00000000-0005-0000-0000-0000A0E00000}"/>
    <cellStyle name="Normal 4 5 2 2 2 6 2" xfId="27887" xr:uid="{00000000-0005-0000-0000-0000A1E00000}"/>
    <cellStyle name="Normal 4 5 2 2 2 6 2 2" xfId="59758" xr:uid="{00000000-0005-0000-0000-0000A2E00000}"/>
    <cellStyle name="Normal 4 5 2 2 2 6 3" xfId="46515" xr:uid="{00000000-0005-0000-0000-0000A3E00000}"/>
    <cellStyle name="Normal 4 5 2 2 2 7" xfId="20009" xr:uid="{00000000-0005-0000-0000-0000A4E00000}"/>
    <cellStyle name="Normal 4 5 2 2 2 7 2" xfId="51880" xr:uid="{00000000-0005-0000-0000-0000A5E00000}"/>
    <cellStyle name="Normal 4 5 2 2 2 8" xfId="46484" xr:uid="{00000000-0005-0000-0000-0000A6E00000}"/>
    <cellStyle name="Normal 4 5 2 2 3" xfId="14637" xr:uid="{00000000-0005-0000-0000-0000A7E00000}"/>
    <cellStyle name="Normal 4 5 2 2 3 2" xfId="14638" xr:uid="{00000000-0005-0000-0000-0000A8E00000}"/>
    <cellStyle name="Normal 4 5 2 2 3 2 2" xfId="14639" xr:uid="{00000000-0005-0000-0000-0000A9E00000}"/>
    <cellStyle name="Normal 4 5 2 2 3 2 2 2" xfId="14640" xr:uid="{00000000-0005-0000-0000-0000AAE00000}"/>
    <cellStyle name="Normal 4 5 2 2 3 2 2 2 2" xfId="14641" xr:uid="{00000000-0005-0000-0000-0000ABE00000}"/>
    <cellStyle name="Normal 4 5 2 2 3 2 2 2 2 2" xfId="31836" xr:uid="{00000000-0005-0000-0000-0000ACE00000}"/>
    <cellStyle name="Normal 4 5 2 2 3 2 2 2 2 2 2" xfId="63707" xr:uid="{00000000-0005-0000-0000-0000ADE00000}"/>
    <cellStyle name="Normal 4 5 2 2 3 2 2 2 2 3" xfId="46520" xr:uid="{00000000-0005-0000-0000-0000AEE00000}"/>
    <cellStyle name="Normal 4 5 2 2 3 2 2 2 3" xfId="23958" xr:uid="{00000000-0005-0000-0000-0000AFE00000}"/>
    <cellStyle name="Normal 4 5 2 2 3 2 2 2 3 2" xfId="55829" xr:uid="{00000000-0005-0000-0000-0000B0E00000}"/>
    <cellStyle name="Normal 4 5 2 2 3 2 2 2 4" xfId="46519" xr:uid="{00000000-0005-0000-0000-0000B1E00000}"/>
    <cellStyle name="Normal 4 5 2 2 3 2 2 3" xfId="14642" xr:uid="{00000000-0005-0000-0000-0000B2E00000}"/>
    <cellStyle name="Normal 4 5 2 2 3 2 2 3 2" xfId="27897" xr:uid="{00000000-0005-0000-0000-0000B3E00000}"/>
    <cellStyle name="Normal 4 5 2 2 3 2 2 3 2 2" xfId="59768" xr:uid="{00000000-0005-0000-0000-0000B4E00000}"/>
    <cellStyle name="Normal 4 5 2 2 3 2 2 3 3" xfId="46521" xr:uid="{00000000-0005-0000-0000-0000B5E00000}"/>
    <cellStyle name="Normal 4 5 2 2 3 2 2 4" xfId="20019" xr:uid="{00000000-0005-0000-0000-0000B6E00000}"/>
    <cellStyle name="Normal 4 5 2 2 3 2 2 4 2" xfId="51890" xr:uid="{00000000-0005-0000-0000-0000B7E00000}"/>
    <cellStyle name="Normal 4 5 2 2 3 2 2 5" xfId="46518" xr:uid="{00000000-0005-0000-0000-0000B8E00000}"/>
    <cellStyle name="Normal 4 5 2 2 3 2 3" xfId="14643" xr:uid="{00000000-0005-0000-0000-0000B9E00000}"/>
    <cellStyle name="Normal 4 5 2 2 3 2 3 2" xfId="14644" xr:uid="{00000000-0005-0000-0000-0000BAE00000}"/>
    <cellStyle name="Normal 4 5 2 2 3 2 3 2 2" xfId="31835" xr:uid="{00000000-0005-0000-0000-0000BBE00000}"/>
    <cellStyle name="Normal 4 5 2 2 3 2 3 2 2 2" xfId="63706" xr:uid="{00000000-0005-0000-0000-0000BCE00000}"/>
    <cellStyle name="Normal 4 5 2 2 3 2 3 2 3" xfId="46523" xr:uid="{00000000-0005-0000-0000-0000BDE00000}"/>
    <cellStyle name="Normal 4 5 2 2 3 2 3 3" xfId="23957" xr:uid="{00000000-0005-0000-0000-0000BEE00000}"/>
    <cellStyle name="Normal 4 5 2 2 3 2 3 3 2" xfId="55828" xr:uid="{00000000-0005-0000-0000-0000BFE00000}"/>
    <cellStyle name="Normal 4 5 2 2 3 2 3 4" xfId="46522" xr:uid="{00000000-0005-0000-0000-0000C0E00000}"/>
    <cellStyle name="Normal 4 5 2 2 3 2 4" xfId="14645" xr:uid="{00000000-0005-0000-0000-0000C1E00000}"/>
    <cellStyle name="Normal 4 5 2 2 3 2 4 2" xfId="27896" xr:uid="{00000000-0005-0000-0000-0000C2E00000}"/>
    <cellStyle name="Normal 4 5 2 2 3 2 4 2 2" xfId="59767" xr:uid="{00000000-0005-0000-0000-0000C3E00000}"/>
    <cellStyle name="Normal 4 5 2 2 3 2 4 3" xfId="46524" xr:uid="{00000000-0005-0000-0000-0000C4E00000}"/>
    <cellStyle name="Normal 4 5 2 2 3 2 5" xfId="20018" xr:uid="{00000000-0005-0000-0000-0000C5E00000}"/>
    <cellStyle name="Normal 4 5 2 2 3 2 5 2" xfId="51889" xr:uid="{00000000-0005-0000-0000-0000C6E00000}"/>
    <cellStyle name="Normal 4 5 2 2 3 2 6" xfId="46517" xr:uid="{00000000-0005-0000-0000-0000C7E00000}"/>
    <cellStyle name="Normal 4 5 2 2 3 3" xfId="14646" xr:uid="{00000000-0005-0000-0000-0000C8E00000}"/>
    <cellStyle name="Normal 4 5 2 2 3 3 2" xfId="14647" xr:uid="{00000000-0005-0000-0000-0000C9E00000}"/>
    <cellStyle name="Normal 4 5 2 2 3 3 2 2" xfId="14648" xr:uid="{00000000-0005-0000-0000-0000CAE00000}"/>
    <cellStyle name="Normal 4 5 2 2 3 3 2 2 2" xfId="31837" xr:uid="{00000000-0005-0000-0000-0000CBE00000}"/>
    <cellStyle name="Normal 4 5 2 2 3 3 2 2 2 2" xfId="63708" xr:uid="{00000000-0005-0000-0000-0000CCE00000}"/>
    <cellStyle name="Normal 4 5 2 2 3 3 2 2 3" xfId="46527" xr:uid="{00000000-0005-0000-0000-0000CDE00000}"/>
    <cellStyle name="Normal 4 5 2 2 3 3 2 3" xfId="23959" xr:uid="{00000000-0005-0000-0000-0000CEE00000}"/>
    <cellStyle name="Normal 4 5 2 2 3 3 2 3 2" xfId="55830" xr:uid="{00000000-0005-0000-0000-0000CFE00000}"/>
    <cellStyle name="Normal 4 5 2 2 3 3 2 4" xfId="46526" xr:uid="{00000000-0005-0000-0000-0000D0E00000}"/>
    <cellStyle name="Normal 4 5 2 2 3 3 3" xfId="14649" xr:uid="{00000000-0005-0000-0000-0000D1E00000}"/>
    <cellStyle name="Normal 4 5 2 2 3 3 3 2" xfId="27898" xr:uid="{00000000-0005-0000-0000-0000D2E00000}"/>
    <cellStyle name="Normal 4 5 2 2 3 3 3 2 2" xfId="59769" xr:uid="{00000000-0005-0000-0000-0000D3E00000}"/>
    <cellStyle name="Normal 4 5 2 2 3 3 3 3" xfId="46528" xr:uid="{00000000-0005-0000-0000-0000D4E00000}"/>
    <cellStyle name="Normal 4 5 2 2 3 3 4" xfId="20020" xr:uid="{00000000-0005-0000-0000-0000D5E00000}"/>
    <cellStyle name="Normal 4 5 2 2 3 3 4 2" xfId="51891" xr:uid="{00000000-0005-0000-0000-0000D6E00000}"/>
    <cellStyle name="Normal 4 5 2 2 3 3 5" xfId="46525" xr:uid="{00000000-0005-0000-0000-0000D7E00000}"/>
    <cellStyle name="Normal 4 5 2 2 3 4" xfId="14650" xr:uid="{00000000-0005-0000-0000-0000D8E00000}"/>
    <cellStyle name="Normal 4 5 2 2 3 4 2" xfId="14651" xr:uid="{00000000-0005-0000-0000-0000D9E00000}"/>
    <cellStyle name="Normal 4 5 2 2 3 4 2 2" xfId="31834" xr:uid="{00000000-0005-0000-0000-0000DAE00000}"/>
    <cellStyle name="Normal 4 5 2 2 3 4 2 2 2" xfId="63705" xr:uid="{00000000-0005-0000-0000-0000DBE00000}"/>
    <cellStyle name="Normal 4 5 2 2 3 4 2 3" xfId="46530" xr:uid="{00000000-0005-0000-0000-0000DCE00000}"/>
    <cellStyle name="Normal 4 5 2 2 3 4 3" xfId="23956" xr:uid="{00000000-0005-0000-0000-0000DDE00000}"/>
    <cellStyle name="Normal 4 5 2 2 3 4 3 2" xfId="55827" xr:uid="{00000000-0005-0000-0000-0000DEE00000}"/>
    <cellStyle name="Normal 4 5 2 2 3 4 4" xfId="46529" xr:uid="{00000000-0005-0000-0000-0000DFE00000}"/>
    <cellStyle name="Normal 4 5 2 2 3 5" xfId="14652" xr:uid="{00000000-0005-0000-0000-0000E0E00000}"/>
    <cellStyle name="Normal 4 5 2 2 3 5 2" xfId="27895" xr:uid="{00000000-0005-0000-0000-0000E1E00000}"/>
    <cellStyle name="Normal 4 5 2 2 3 5 2 2" xfId="59766" xr:uid="{00000000-0005-0000-0000-0000E2E00000}"/>
    <cellStyle name="Normal 4 5 2 2 3 5 3" xfId="46531" xr:uid="{00000000-0005-0000-0000-0000E3E00000}"/>
    <cellStyle name="Normal 4 5 2 2 3 6" xfId="20017" xr:uid="{00000000-0005-0000-0000-0000E4E00000}"/>
    <cellStyle name="Normal 4 5 2 2 3 6 2" xfId="51888" xr:uid="{00000000-0005-0000-0000-0000E5E00000}"/>
    <cellStyle name="Normal 4 5 2 2 3 7" xfId="46516" xr:uid="{00000000-0005-0000-0000-0000E6E00000}"/>
    <cellStyle name="Normal 4 5 2 2 4" xfId="14653" xr:uid="{00000000-0005-0000-0000-0000E7E00000}"/>
    <cellStyle name="Normal 4 5 2 2 4 2" xfId="14654" xr:uid="{00000000-0005-0000-0000-0000E8E00000}"/>
    <cellStyle name="Normal 4 5 2 2 4 2 2" xfId="14655" xr:uid="{00000000-0005-0000-0000-0000E9E00000}"/>
    <cellStyle name="Normal 4 5 2 2 4 2 2 2" xfId="14656" xr:uid="{00000000-0005-0000-0000-0000EAE00000}"/>
    <cellStyle name="Normal 4 5 2 2 4 2 2 2 2" xfId="31839" xr:uid="{00000000-0005-0000-0000-0000EBE00000}"/>
    <cellStyle name="Normal 4 5 2 2 4 2 2 2 2 2" xfId="63710" xr:uid="{00000000-0005-0000-0000-0000ECE00000}"/>
    <cellStyle name="Normal 4 5 2 2 4 2 2 2 3" xfId="46535" xr:uid="{00000000-0005-0000-0000-0000EDE00000}"/>
    <cellStyle name="Normal 4 5 2 2 4 2 2 3" xfId="23961" xr:uid="{00000000-0005-0000-0000-0000EEE00000}"/>
    <cellStyle name="Normal 4 5 2 2 4 2 2 3 2" xfId="55832" xr:uid="{00000000-0005-0000-0000-0000EFE00000}"/>
    <cellStyle name="Normal 4 5 2 2 4 2 2 4" xfId="46534" xr:uid="{00000000-0005-0000-0000-0000F0E00000}"/>
    <cellStyle name="Normal 4 5 2 2 4 2 3" xfId="14657" xr:uid="{00000000-0005-0000-0000-0000F1E00000}"/>
    <cellStyle name="Normal 4 5 2 2 4 2 3 2" xfId="27900" xr:uid="{00000000-0005-0000-0000-0000F2E00000}"/>
    <cellStyle name="Normal 4 5 2 2 4 2 3 2 2" xfId="59771" xr:uid="{00000000-0005-0000-0000-0000F3E00000}"/>
    <cellStyle name="Normal 4 5 2 2 4 2 3 3" xfId="46536" xr:uid="{00000000-0005-0000-0000-0000F4E00000}"/>
    <cellStyle name="Normal 4 5 2 2 4 2 4" xfId="20022" xr:uid="{00000000-0005-0000-0000-0000F5E00000}"/>
    <cellStyle name="Normal 4 5 2 2 4 2 4 2" xfId="51893" xr:uid="{00000000-0005-0000-0000-0000F6E00000}"/>
    <cellStyle name="Normal 4 5 2 2 4 2 5" xfId="46533" xr:uid="{00000000-0005-0000-0000-0000F7E00000}"/>
    <cellStyle name="Normal 4 5 2 2 4 3" xfId="14658" xr:uid="{00000000-0005-0000-0000-0000F8E00000}"/>
    <cellStyle name="Normal 4 5 2 2 4 3 2" xfId="14659" xr:uid="{00000000-0005-0000-0000-0000F9E00000}"/>
    <cellStyle name="Normal 4 5 2 2 4 3 2 2" xfId="31838" xr:uid="{00000000-0005-0000-0000-0000FAE00000}"/>
    <cellStyle name="Normal 4 5 2 2 4 3 2 2 2" xfId="63709" xr:uid="{00000000-0005-0000-0000-0000FBE00000}"/>
    <cellStyle name="Normal 4 5 2 2 4 3 2 3" xfId="46538" xr:uid="{00000000-0005-0000-0000-0000FCE00000}"/>
    <cellStyle name="Normal 4 5 2 2 4 3 3" xfId="23960" xr:uid="{00000000-0005-0000-0000-0000FDE00000}"/>
    <cellStyle name="Normal 4 5 2 2 4 3 3 2" xfId="55831" xr:uid="{00000000-0005-0000-0000-0000FEE00000}"/>
    <cellStyle name="Normal 4 5 2 2 4 3 4" xfId="46537" xr:uid="{00000000-0005-0000-0000-0000FFE00000}"/>
    <cellStyle name="Normal 4 5 2 2 4 4" xfId="14660" xr:uid="{00000000-0005-0000-0000-000000E10000}"/>
    <cellStyle name="Normal 4 5 2 2 4 4 2" xfId="27899" xr:uid="{00000000-0005-0000-0000-000001E10000}"/>
    <cellStyle name="Normal 4 5 2 2 4 4 2 2" xfId="59770" xr:uid="{00000000-0005-0000-0000-000002E10000}"/>
    <cellStyle name="Normal 4 5 2 2 4 4 3" xfId="46539" xr:uid="{00000000-0005-0000-0000-000003E10000}"/>
    <cellStyle name="Normal 4 5 2 2 4 5" xfId="20021" xr:uid="{00000000-0005-0000-0000-000004E10000}"/>
    <cellStyle name="Normal 4 5 2 2 4 5 2" xfId="51892" xr:uid="{00000000-0005-0000-0000-000005E10000}"/>
    <cellStyle name="Normal 4 5 2 2 4 6" xfId="46532" xr:uid="{00000000-0005-0000-0000-000006E10000}"/>
    <cellStyle name="Normal 4 5 2 2 5" xfId="14661" xr:uid="{00000000-0005-0000-0000-000007E10000}"/>
    <cellStyle name="Normal 4 5 2 2 5 2" xfId="14662" xr:uid="{00000000-0005-0000-0000-000008E10000}"/>
    <cellStyle name="Normal 4 5 2 2 5 2 2" xfId="14663" xr:uid="{00000000-0005-0000-0000-000009E10000}"/>
    <cellStyle name="Normal 4 5 2 2 5 2 2 2" xfId="31840" xr:uid="{00000000-0005-0000-0000-00000AE10000}"/>
    <cellStyle name="Normal 4 5 2 2 5 2 2 2 2" xfId="63711" xr:uid="{00000000-0005-0000-0000-00000BE10000}"/>
    <cellStyle name="Normal 4 5 2 2 5 2 2 3" xfId="46542" xr:uid="{00000000-0005-0000-0000-00000CE10000}"/>
    <cellStyle name="Normal 4 5 2 2 5 2 3" xfId="23962" xr:uid="{00000000-0005-0000-0000-00000DE10000}"/>
    <cellStyle name="Normal 4 5 2 2 5 2 3 2" xfId="55833" xr:uid="{00000000-0005-0000-0000-00000EE10000}"/>
    <cellStyle name="Normal 4 5 2 2 5 2 4" xfId="46541" xr:uid="{00000000-0005-0000-0000-00000FE10000}"/>
    <cellStyle name="Normal 4 5 2 2 5 3" xfId="14664" xr:uid="{00000000-0005-0000-0000-000010E10000}"/>
    <cellStyle name="Normal 4 5 2 2 5 3 2" xfId="27901" xr:uid="{00000000-0005-0000-0000-000011E10000}"/>
    <cellStyle name="Normal 4 5 2 2 5 3 2 2" xfId="59772" xr:uid="{00000000-0005-0000-0000-000012E10000}"/>
    <cellStyle name="Normal 4 5 2 2 5 3 3" xfId="46543" xr:uid="{00000000-0005-0000-0000-000013E10000}"/>
    <cellStyle name="Normal 4 5 2 2 5 4" xfId="20023" xr:uid="{00000000-0005-0000-0000-000014E10000}"/>
    <cellStyle name="Normal 4 5 2 2 5 4 2" xfId="51894" xr:uid="{00000000-0005-0000-0000-000015E10000}"/>
    <cellStyle name="Normal 4 5 2 2 5 5" xfId="46540" xr:uid="{00000000-0005-0000-0000-000016E10000}"/>
    <cellStyle name="Normal 4 5 2 2 6" xfId="14665" xr:uid="{00000000-0005-0000-0000-000017E10000}"/>
    <cellStyle name="Normal 4 5 2 2 6 2" xfId="14666" xr:uid="{00000000-0005-0000-0000-000018E10000}"/>
    <cellStyle name="Normal 4 5 2 2 6 2 2" xfId="28457" xr:uid="{00000000-0005-0000-0000-000019E10000}"/>
    <cellStyle name="Normal 4 5 2 2 6 2 2 2" xfId="60328" xr:uid="{00000000-0005-0000-0000-00001AE10000}"/>
    <cellStyle name="Normal 4 5 2 2 6 2 3" xfId="46545" xr:uid="{00000000-0005-0000-0000-00001BE10000}"/>
    <cellStyle name="Normal 4 5 2 2 6 3" xfId="20579" xr:uid="{00000000-0005-0000-0000-00001CE10000}"/>
    <cellStyle name="Normal 4 5 2 2 6 3 2" xfId="52450" xr:uid="{00000000-0005-0000-0000-00001DE10000}"/>
    <cellStyle name="Normal 4 5 2 2 6 4" xfId="46544" xr:uid="{00000000-0005-0000-0000-00001EE10000}"/>
    <cellStyle name="Normal 4 5 2 2 7" xfId="14667" xr:uid="{00000000-0005-0000-0000-00001FE10000}"/>
    <cellStyle name="Normal 4 5 2 2 7 2" xfId="24518" xr:uid="{00000000-0005-0000-0000-000020E10000}"/>
    <cellStyle name="Normal 4 5 2 2 7 2 2" xfId="56389" xr:uid="{00000000-0005-0000-0000-000021E10000}"/>
    <cellStyle name="Normal 4 5 2 2 7 3" xfId="46546" xr:uid="{00000000-0005-0000-0000-000022E10000}"/>
    <cellStyle name="Normal 4 5 2 2 8" xfId="16640" xr:uid="{00000000-0005-0000-0000-000023E10000}"/>
    <cellStyle name="Normal 4 5 2 2 8 2" xfId="48511" xr:uid="{00000000-0005-0000-0000-000024E10000}"/>
    <cellStyle name="Normal 4 5 2 2 9" xfId="46483" xr:uid="{00000000-0005-0000-0000-000025E10000}"/>
    <cellStyle name="Normal 4 5 2 3" xfId="14668" xr:uid="{00000000-0005-0000-0000-000026E10000}"/>
    <cellStyle name="Normal 4 5 2 3 2" xfId="14669" xr:uid="{00000000-0005-0000-0000-000027E10000}"/>
    <cellStyle name="Normal 4 5 2 3 2 2" xfId="14670" xr:uid="{00000000-0005-0000-0000-000028E10000}"/>
    <cellStyle name="Normal 4 5 2 3 2 2 2" xfId="14671" xr:uid="{00000000-0005-0000-0000-000029E10000}"/>
    <cellStyle name="Normal 4 5 2 3 2 2 2 2" xfId="14672" xr:uid="{00000000-0005-0000-0000-00002AE10000}"/>
    <cellStyle name="Normal 4 5 2 3 2 2 2 2 2" xfId="14673" xr:uid="{00000000-0005-0000-0000-00002BE10000}"/>
    <cellStyle name="Normal 4 5 2 3 2 2 2 2 2 2" xfId="31844" xr:uid="{00000000-0005-0000-0000-00002CE10000}"/>
    <cellStyle name="Normal 4 5 2 3 2 2 2 2 2 2 2" xfId="63715" xr:uid="{00000000-0005-0000-0000-00002DE10000}"/>
    <cellStyle name="Normal 4 5 2 3 2 2 2 2 2 3" xfId="46552" xr:uid="{00000000-0005-0000-0000-00002EE10000}"/>
    <cellStyle name="Normal 4 5 2 3 2 2 2 2 3" xfId="23966" xr:uid="{00000000-0005-0000-0000-00002FE10000}"/>
    <cellStyle name="Normal 4 5 2 3 2 2 2 2 3 2" xfId="55837" xr:uid="{00000000-0005-0000-0000-000030E10000}"/>
    <cellStyle name="Normal 4 5 2 3 2 2 2 2 4" xfId="46551" xr:uid="{00000000-0005-0000-0000-000031E10000}"/>
    <cellStyle name="Normal 4 5 2 3 2 2 2 3" xfId="14674" xr:uid="{00000000-0005-0000-0000-000032E10000}"/>
    <cellStyle name="Normal 4 5 2 3 2 2 2 3 2" xfId="27905" xr:uid="{00000000-0005-0000-0000-000033E10000}"/>
    <cellStyle name="Normal 4 5 2 3 2 2 2 3 2 2" xfId="59776" xr:uid="{00000000-0005-0000-0000-000034E10000}"/>
    <cellStyle name="Normal 4 5 2 3 2 2 2 3 3" xfId="46553" xr:uid="{00000000-0005-0000-0000-000035E10000}"/>
    <cellStyle name="Normal 4 5 2 3 2 2 2 4" xfId="20027" xr:uid="{00000000-0005-0000-0000-000036E10000}"/>
    <cellStyle name="Normal 4 5 2 3 2 2 2 4 2" xfId="51898" xr:uid="{00000000-0005-0000-0000-000037E10000}"/>
    <cellStyle name="Normal 4 5 2 3 2 2 2 5" xfId="46550" xr:uid="{00000000-0005-0000-0000-000038E10000}"/>
    <cellStyle name="Normal 4 5 2 3 2 2 3" xfId="14675" xr:uid="{00000000-0005-0000-0000-000039E10000}"/>
    <cellStyle name="Normal 4 5 2 3 2 2 3 2" xfId="14676" xr:uid="{00000000-0005-0000-0000-00003AE10000}"/>
    <cellStyle name="Normal 4 5 2 3 2 2 3 2 2" xfId="31843" xr:uid="{00000000-0005-0000-0000-00003BE10000}"/>
    <cellStyle name="Normal 4 5 2 3 2 2 3 2 2 2" xfId="63714" xr:uid="{00000000-0005-0000-0000-00003CE10000}"/>
    <cellStyle name="Normal 4 5 2 3 2 2 3 2 3" xfId="46555" xr:uid="{00000000-0005-0000-0000-00003DE10000}"/>
    <cellStyle name="Normal 4 5 2 3 2 2 3 3" xfId="23965" xr:uid="{00000000-0005-0000-0000-00003EE10000}"/>
    <cellStyle name="Normal 4 5 2 3 2 2 3 3 2" xfId="55836" xr:uid="{00000000-0005-0000-0000-00003FE10000}"/>
    <cellStyle name="Normal 4 5 2 3 2 2 3 4" xfId="46554" xr:uid="{00000000-0005-0000-0000-000040E10000}"/>
    <cellStyle name="Normal 4 5 2 3 2 2 4" xfId="14677" xr:uid="{00000000-0005-0000-0000-000041E10000}"/>
    <cellStyle name="Normal 4 5 2 3 2 2 4 2" xfId="27904" xr:uid="{00000000-0005-0000-0000-000042E10000}"/>
    <cellStyle name="Normal 4 5 2 3 2 2 4 2 2" xfId="59775" xr:uid="{00000000-0005-0000-0000-000043E10000}"/>
    <cellStyle name="Normal 4 5 2 3 2 2 4 3" xfId="46556" xr:uid="{00000000-0005-0000-0000-000044E10000}"/>
    <cellStyle name="Normal 4 5 2 3 2 2 5" xfId="20026" xr:uid="{00000000-0005-0000-0000-000045E10000}"/>
    <cellStyle name="Normal 4 5 2 3 2 2 5 2" xfId="51897" xr:uid="{00000000-0005-0000-0000-000046E10000}"/>
    <cellStyle name="Normal 4 5 2 3 2 2 6" xfId="46549" xr:uid="{00000000-0005-0000-0000-000047E10000}"/>
    <cellStyle name="Normal 4 5 2 3 2 3" xfId="14678" xr:uid="{00000000-0005-0000-0000-000048E10000}"/>
    <cellStyle name="Normal 4 5 2 3 2 3 2" xfId="14679" xr:uid="{00000000-0005-0000-0000-000049E10000}"/>
    <cellStyle name="Normal 4 5 2 3 2 3 2 2" xfId="14680" xr:uid="{00000000-0005-0000-0000-00004AE10000}"/>
    <cellStyle name="Normal 4 5 2 3 2 3 2 2 2" xfId="31845" xr:uid="{00000000-0005-0000-0000-00004BE10000}"/>
    <cellStyle name="Normal 4 5 2 3 2 3 2 2 2 2" xfId="63716" xr:uid="{00000000-0005-0000-0000-00004CE10000}"/>
    <cellStyle name="Normal 4 5 2 3 2 3 2 2 3" xfId="46559" xr:uid="{00000000-0005-0000-0000-00004DE10000}"/>
    <cellStyle name="Normal 4 5 2 3 2 3 2 3" xfId="23967" xr:uid="{00000000-0005-0000-0000-00004EE10000}"/>
    <cellStyle name="Normal 4 5 2 3 2 3 2 3 2" xfId="55838" xr:uid="{00000000-0005-0000-0000-00004FE10000}"/>
    <cellStyle name="Normal 4 5 2 3 2 3 2 4" xfId="46558" xr:uid="{00000000-0005-0000-0000-000050E10000}"/>
    <cellStyle name="Normal 4 5 2 3 2 3 3" xfId="14681" xr:uid="{00000000-0005-0000-0000-000051E10000}"/>
    <cellStyle name="Normal 4 5 2 3 2 3 3 2" xfId="27906" xr:uid="{00000000-0005-0000-0000-000052E10000}"/>
    <cellStyle name="Normal 4 5 2 3 2 3 3 2 2" xfId="59777" xr:uid="{00000000-0005-0000-0000-000053E10000}"/>
    <cellStyle name="Normal 4 5 2 3 2 3 3 3" xfId="46560" xr:uid="{00000000-0005-0000-0000-000054E10000}"/>
    <cellStyle name="Normal 4 5 2 3 2 3 4" xfId="20028" xr:uid="{00000000-0005-0000-0000-000055E10000}"/>
    <cellStyle name="Normal 4 5 2 3 2 3 4 2" xfId="51899" xr:uid="{00000000-0005-0000-0000-000056E10000}"/>
    <cellStyle name="Normal 4 5 2 3 2 3 5" xfId="46557" xr:uid="{00000000-0005-0000-0000-000057E10000}"/>
    <cellStyle name="Normal 4 5 2 3 2 4" xfId="14682" xr:uid="{00000000-0005-0000-0000-000058E10000}"/>
    <cellStyle name="Normal 4 5 2 3 2 4 2" xfId="14683" xr:uid="{00000000-0005-0000-0000-000059E10000}"/>
    <cellStyle name="Normal 4 5 2 3 2 4 2 2" xfId="31842" xr:uid="{00000000-0005-0000-0000-00005AE10000}"/>
    <cellStyle name="Normal 4 5 2 3 2 4 2 2 2" xfId="63713" xr:uid="{00000000-0005-0000-0000-00005BE10000}"/>
    <cellStyle name="Normal 4 5 2 3 2 4 2 3" xfId="46562" xr:uid="{00000000-0005-0000-0000-00005CE10000}"/>
    <cellStyle name="Normal 4 5 2 3 2 4 3" xfId="23964" xr:uid="{00000000-0005-0000-0000-00005DE10000}"/>
    <cellStyle name="Normal 4 5 2 3 2 4 3 2" xfId="55835" xr:uid="{00000000-0005-0000-0000-00005EE10000}"/>
    <cellStyle name="Normal 4 5 2 3 2 4 4" xfId="46561" xr:uid="{00000000-0005-0000-0000-00005FE10000}"/>
    <cellStyle name="Normal 4 5 2 3 2 5" xfId="14684" xr:uid="{00000000-0005-0000-0000-000060E10000}"/>
    <cellStyle name="Normal 4 5 2 3 2 5 2" xfId="27903" xr:uid="{00000000-0005-0000-0000-000061E10000}"/>
    <cellStyle name="Normal 4 5 2 3 2 5 2 2" xfId="59774" xr:uid="{00000000-0005-0000-0000-000062E10000}"/>
    <cellStyle name="Normal 4 5 2 3 2 5 3" xfId="46563" xr:uid="{00000000-0005-0000-0000-000063E10000}"/>
    <cellStyle name="Normal 4 5 2 3 2 6" xfId="20025" xr:uid="{00000000-0005-0000-0000-000064E10000}"/>
    <cellStyle name="Normal 4 5 2 3 2 6 2" xfId="51896" xr:uid="{00000000-0005-0000-0000-000065E10000}"/>
    <cellStyle name="Normal 4 5 2 3 2 7" xfId="46548" xr:uid="{00000000-0005-0000-0000-000066E10000}"/>
    <cellStyle name="Normal 4 5 2 3 3" xfId="14685" xr:uid="{00000000-0005-0000-0000-000067E10000}"/>
    <cellStyle name="Normal 4 5 2 3 3 2" xfId="14686" xr:uid="{00000000-0005-0000-0000-000068E10000}"/>
    <cellStyle name="Normal 4 5 2 3 3 2 2" xfId="14687" xr:uid="{00000000-0005-0000-0000-000069E10000}"/>
    <cellStyle name="Normal 4 5 2 3 3 2 2 2" xfId="14688" xr:uid="{00000000-0005-0000-0000-00006AE10000}"/>
    <cellStyle name="Normal 4 5 2 3 3 2 2 2 2" xfId="31847" xr:uid="{00000000-0005-0000-0000-00006BE10000}"/>
    <cellStyle name="Normal 4 5 2 3 3 2 2 2 2 2" xfId="63718" xr:uid="{00000000-0005-0000-0000-00006CE10000}"/>
    <cellStyle name="Normal 4 5 2 3 3 2 2 2 3" xfId="46567" xr:uid="{00000000-0005-0000-0000-00006DE10000}"/>
    <cellStyle name="Normal 4 5 2 3 3 2 2 3" xfId="23969" xr:uid="{00000000-0005-0000-0000-00006EE10000}"/>
    <cellStyle name="Normal 4 5 2 3 3 2 2 3 2" xfId="55840" xr:uid="{00000000-0005-0000-0000-00006FE10000}"/>
    <cellStyle name="Normal 4 5 2 3 3 2 2 4" xfId="46566" xr:uid="{00000000-0005-0000-0000-000070E10000}"/>
    <cellStyle name="Normal 4 5 2 3 3 2 3" xfId="14689" xr:uid="{00000000-0005-0000-0000-000071E10000}"/>
    <cellStyle name="Normal 4 5 2 3 3 2 3 2" xfId="27908" xr:uid="{00000000-0005-0000-0000-000072E10000}"/>
    <cellStyle name="Normal 4 5 2 3 3 2 3 2 2" xfId="59779" xr:uid="{00000000-0005-0000-0000-000073E10000}"/>
    <cellStyle name="Normal 4 5 2 3 3 2 3 3" xfId="46568" xr:uid="{00000000-0005-0000-0000-000074E10000}"/>
    <cellStyle name="Normal 4 5 2 3 3 2 4" xfId="20030" xr:uid="{00000000-0005-0000-0000-000075E10000}"/>
    <cellStyle name="Normal 4 5 2 3 3 2 4 2" xfId="51901" xr:uid="{00000000-0005-0000-0000-000076E10000}"/>
    <cellStyle name="Normal 4 5 2 3 3 2 5" xfId="46565" xr:uid="{00000000-0005-0000-0000-000077E10000}"/>
    <cellStyle name="Normal 4 5 2 3 3 3" xfId="14690" xr:uid="{00000000-0005-0000-0000-000078E10000}"/>
    <cellStyle name="Normal 4 5 2 3 3 3 2" xfId="14691" xr:uid="{00000000-0005-0000-0000-000079E10000}"/>
    <cellStyle name="Normal 4 5 2 3 3 3 2 2" xfId="31846" xr:uid="{00000000-0005-0000-0000-00007AE10000}"/>
    <cellStyle name="Normal 4 5 2 3 3 3 2 2 2" xfId="63717" xr:uid="{00000000-0005-0000-0000-00007BE10000}"/>
    <cellStyle name="Normal 4 5 2 3 3 3 2 3" xfId="46570" xr:uid="{00000000-0005-0000-0000-00007CE10000}"/>
    <cellStyle name="Normal 4 5 2 3 3 3 3" xfId="23968" xr:uid="{00000000-0005-0000-0000-00007DE10000}"/>
    <cellStyle name="Normal 4 5 2 3 3 3 3 2" xfId="55839" xr:uid="{00000000-0005-0000-0000-00007EE10000}"/>
    <cellStyle name="Normal 4 5 2 3 3 3 4" xfId="46569" xr:uid="{00000000-0005-0000-0000-00007FE10000}"/>
    <cellStyle name="Normal 4 5 2 3 3 4" xfId="14692" xr:uid="{00000000-0005-0000-0000-000080E10000}"/>
    <cellStyle name="Normal 4 5 2 3 3 4 2" xfId="27907" xr:uid="{00000000-0005-0000-0000-000081E10000}"/>
    <cellStyle name="Normal 4 5 2 3 3 4 2 2" xfId="59778" xr:uid="{00000000-0005-0000-0000-000082E10000}"/>
    <cellStyle name="Normal 4 5 2 3 3 4 3" xfId="46571" xr:uid="{00000000-0005-0000-0000-000083E10000}"/>
    <cellStyle name="Normal 4 5 2 3 3 5" xfId="20029" xr:uid="{00000000-0005-0000-0000-000084E10000}"/>
    <cellStyle name="Normal 4 5 2 3 3 5 2" xfId="51900" xr:uid="{00000000-0005-0000-0000-000085E10000}"/>
    <cellStyle name="Normal 4 5 2 3 3 6" xfId="46564" xr:uid="{00000000-0005-0000-0000-000086E10000}"/>
    <cellStyle name="Normal 4 5 2 3 4" xfId="14693" xr:uid="{00000000-0005-0000-0000-000087E10000}"/>
    <cellStyle name="Normal 4 5 2 3 4 2" xfId="14694" xr:uid="{00000000-0005-0000-0000-000088E10000}"/>
    <cellStyle name="Normal 4 5 2 3 4 2 2" xfId="14695" xr:uid="{00000000-0005-0000-0000-000089E10000}"/>
    <cellStyle name="Normal 4 5 2 3 4 2 2 2" xfId="31848" xr:uid="{00000000-0005-0000-0000-00008AE10000}"/>
    <cellStyle name="Normal 4 5 2 3 4 2 2 2 2" xfId="63719" xr:uid="{00000000-0005-0000-0000-00008BE10000}"/>
    <cellStyle name="Normal 4 5 2 3 4 2 2 3" xfId="46574" xr:uid="{00000000-0005-0000-0000-00008CE10000}"/>
    <cellStyle name="Normal 4 5 2 3 4 2 3" xfId="23970" xr:uid="{00000000-0005-0000-0000-00008DE10000}"/>
    <cellStyle name="Normal 4 5 2 3 4 2 3 2" xfId="55841" xr:uid="{00000000-0005-0000-0000-00008EE10000}"/>
    <cellStyle name="Normal 4 5 2 3 4 2 4" xfId="46573" xr:uid="{00000000-0005-0000-0000-00008FE10000}"/>
    <cellStyle name="Normal 4 5 2 3 4 3" xfId="14696" xr:uid="{00000000-0005-0000-0000-000090E10000}"/>
    <cellStyle name="Normal 4 5 2 3 4 3 2" xfId="27909" xr:uid="{00000000-0005-0000-0000-000091E10000}"/>
    <cellStyle name="Normal 4 5 2 3 4 3 2 2" xfId="59780" xr:uid="{00000000-0005-0000-0000-000092E10000}"/>
    <cellStyle name="Normal 4 5 2 3 4 3 3" xfId="46575" xr:uid="{00000000-0005-0000-0000-000093E10000}"/>
    <cellStyle name="Normal 4 5 2 3 4 4" xfId="20031" xr:uid="{00000000-0005-0000-0000-000094E10000}"/>
    <cellStyle name="Normal 4 5 2 3 4 4 2" xfId="51902" xr:uid="{00000000-0005-0000-0000-000095E10000}"/>
    <cellStyle name="Normal 4 5 2 3 4 5" xfId="46572" xr:uid="{00000000-0005-0000-0000-000096E10000}"/>
    <cellStyle name="Normal 4 5 2 3 5" xfId="14697" xr:uid="{00000000-0005-0000-0000-000097E10000}"/>
    <cellStyle name="Normal 4 5 2 3 5 2" xfId="14698" xr:uid="{00000000-0005-0000-0000-000098E10000}"/>
    <cellStyle name="Normal 4 5 2 3 5 2 2" xfId="31841" xr:uid="{00000000-0005-0000-0000-000099E10000}"/>
    <cellStyle name="Normal 4 5 2 3 5 2 2 2" xfId="63712" xr:uid="{00000000-0005-0000-0000-00009AE10000}"/>
    <cellStyle name="Normal 4 5 2 3 5 2 3" xfId="46577" xr:uid="{00000000-0005-0000-0000-00009BE10000}"/>
    <cellStyle name="Normal 4 5 2 3 5 3" xfId="23963" xr:uid="{00000000-0005-0000-0000-00009CE10000}"/>
    <cellStyle name="Normal 4 5 2 3 5 3 2" xfId="55834" xr:uid="{00000000-0005-0000-0000-00009DE10000}"/>
    <cellStyle name="Normal 4 5 2 3 5 4" xfId="46576" xr:uid="{00000000-0005-0000-0000-00009EE10000}"/>
    <cellStyle name="Normal 4 5 2 3 6" xfId="14699" xr:uid="{00000000-0005-0000-0000-00009FE10000}"/>
    <cellStyle name="Normal 4 5 2 3 6 2" xfId="27902" xr:uid="{00000000-0005-0000-0000-0000A0E10000}"/>
    <cellStyle name="Normal 4 5 2 3 6 2 2" xfId="59773" xr:uid="{00000000-0005-0000-0000-0000A1E10000}"/>
    <cellStyle name="Normal 4 5 2 3 6 3" xfId="46578" xr:uid="{00000000-0005-0000-0000-0000A2E10000}"/>
    <cellStyle name="Normal 4 5 2 3 7" xfId="20024" xr:uid="{00000000-0005-0000-0000-0000A3E10000}"/>
    <cellStyle name="Normal 4 5 2 3 7 2" xfId="51895" xr:uid="{00000000-0005-0000-0000-0000A4E10000}"/>
    <cellStyle name="Normal 4 5 2 3 8" xfId="46547" xr:uid="{00000000-0005-0000-0000-0000A5E10000}"/>
    <cellStyle name="Normal 4 5 2 4" xfId="14700" xr:uid="{00000000-0005-0000-0000-0000A6E10000}"/>
    <cellStyle name="Normal 4 5 2 4 2" xfId="14701" xr:uid="{00000000-0005-0000-0000-0000A7E10000}"/>
    <cellStyle name="Normal 4 5 2 4 2 2" xfId="14702" xr:uid="{00000000-0005-0000-0000-0000A8E10000}"/>
    <cellStyle name="Normal 4 5 2 4 2 2 2" xfId="14703" xr:uid="{00000000-0005-0000-0000-0000A9E10000}"/>
    <cellStyle name="Normal 4 5 2 4 2 2 2 2" xfId="14704" xr:uid="{00000000-0005-0000-0000-0000AAE10000}"/>
    <cellStyle name="Normal 4 5 2 4 2 2 2 2 2" xfId="31851" xr:uid="{00000000-0005-0000-0000-0000ABE10000}"/>
    <cellStyle name="Normal 4 5 2 4 2 2 2 2 2 2" xfId="63722" xr:uid="{00000000-0005-0000-0000-0000ACE10000}"/>
    <cellStyle name="Normal 4 5 2 4 2 2 2 2 3" xfId="46583" xr:uid="{00000000-0005-0000-0000-0000ADE10000}"/>
    <cellStyle name="Normal 4 5 2 4 2 2 2 3" xfId="23973" xr:uid="{00000000-0005-0000-0000-0000AEE10000}"/>
    <cellStyle name="Normal 4 5 2 4 2 2 2 3 2" xfId="55844" xr:uid="{00000000-0005-0000-0000-0000AFE10000}"/>
    <cellStyle name="Normal 4 5 2 4 2 2 2 4" xfId="46582" xr:uid="{00000000-0005-0000-0000-0000B0E10000}"/>
    <cellStyle name="Normal 4 5 2 4 2 2 3" xfId="14705" xr:uid="{00000000-0005-0000-0000-0000B1E10000}"/>
    <cellStyle name="Normal 4 5 2 4 2 2 3 2" xfId="27912" xr:uid="{00000000-0005-0000-0000-0000B2E10000}"/>
    <cellStyle name="Normal 4 5 2 4 2 2 3 2 2" xfId="59783" xr:uid="{00000000-0005-0000-0000-0000B3E10000}"/>
    <cellStyle name="Normal 4 5 2 4 2 2 3 3" xfId="46584" xr:uid="{00000000-0005-0000-0000-0000B4E10000}"/>
    <cellStyle name="Normal 4 5 2 4 2 2 4" xfId="20034" xr:uid="{00000000-0005-0000-0000-0000B5E10000}"/>
    <cellStyle name="Normal 4 5 2 4 2 2 4 2" xfId="51905" xr:uid="{00000000-0005-0000-0000-0000B6E10000}"/>
    <cellStyle name="Normal 4 5 2 4 2 2 5" xfId="46581" xr:uid="{00000000-0005-0000-0000-0000B7E10000}"/>
    <cellStyle name="Normal 4 5 2 4 2 3" xfId="14706" xr:uid="{00000000-0005-0000-0000-0000B8E10000}"/>
    <cellStyle name="Normal 4 5 2 4 2 3 2" xfId="14707" xr:uid="{00000000-0005-0000-0000-0000B9E10000}"/>
    <cellStyle name="Normal 4 5 2 4 2 3 2 2" xfId="31850" xr:uid="{00000000-0005-0000-0000-0000BAE10000}"/>
    <cellStyle name="Normal 4 5 2 4 2 3 2 2 2" xfId="63721" xr:uid="{00000000-0005-0000-0000-0000BBE10000}"/>
    <cellStyle name="Normal 4 5 2 4 2 3 2 3" xfId="46586" xr:uid="{00000000-0005-0000-0000-0000BCE10000}"/>
    <cellStyle name="Normal 4 5 2 4 2 3 3" xfId="23972" xr:uid="{00000000-0005-0000-0000-0000BDE10000}"/>
    <cellStyle name="Normal 4 5 2 4 2 3 3 2" xfId="55843" xr:uid="{00000000-0005-0000-0000-0000BEE10000}"/>
    <cellStyle name="Normal 4 5 2 4 2 3 4" xfId="46585" xr:uid="{00000000-0005-0000-0000-0000BFE10000}"/>
    <cellStyle name="Normal 4 5 2 4 2 4" xfId="14708" xr:uid="{00000000-0005-0000-0000-0000C0E10000}"/>
    <cellStyle name="Normal 4 5 2 4 2 4 2" xfId="27911" xr:uid="{00000000-0005-0000-0000-0000C1E10000}"/>
    <cellStyle name="Normal 4 5 2 4 2 4 2 2" xfId="59782" xr:uid="{00000000-0005-0000-0000-0000C2E10000}"/>
    <cellStyle name="Normal 4 5 2 4 2 4 3" xfId="46587" xr:uid="{00000000-0005-0000-0000-0000C3E10000}"/>
    <cellStyle name="Normal 4 5 2 4 2 5" xfId="20033" xr:uid="{00000000-0005-0000-0000-0000C4E10000}"/>
    <cellStyle name="Normal 4 5 2 4 2 5 2" xfId="51904" xr:uid="{00000000-0005-0000-0000-0000C5E10000}"/>
    <cellStyle name="Normal 4 5 2 4 2 6" xfId="46580" xr:uid="{00000000-0005-0000-0000-0000C6E10000}"/>
    <cellStyle name="Normal 4 5 2 4 3" xfId="14709" xr:uid="{00000000-0005-0000-0000-0000C7E10000}"/>
    <cellStyle name="Normal 4 5 2 4 3 2" xfId="14710" xr:uid="{00000000-0005-0000-0000-0000C8E10000}"/>
    <cellStyle name="Normal 4 5 2 4 3 2 2" xfId="14711" xr:uid="{00000000-0005-0000-0000-0000C9E10000}"/>
    <cellStyle name="Normal 4 5 2 4 3 2 2 2" xfId="31852" xr:uid="{00000000-0005-0000-0000-0000CAE10000}"/>
    <cellStyle name="Normal 4 5 2 4 3 2 2 2 2" xfId="63723" xr:uid="{00000000-0005-0000-0000-0000CBE10000}"/>
    <cellStyle name="Normal 4 5 2 4 3 2 2 3" xfId="46590" xr:uid="{00000000-0005-0000-0000-0000CCE10000}"/>
    <cellStyle name="Normal 4 5 2 4 3 2 3" xfId="23974" xr:uid="{00000000-0005-0000-0000-0000CDE10000}"/>
    <cellStyle name="Normal 4 5 2 4 3 2 3 2" xfId="55845" xr:uid="{00000000-0005-0000-0000-0000CEE10000}"/>
    <cellStyle name="Normal 4 5 2 4 3 2 4" xfId="46589" xr:uid="{00000000-0005-0000-0000-0000CFE10000}"/>
    <cellStyle name="Normal 4 5 2 4 3 3" xfId="14712" xr:uid="{00000000-0005-0000-0000-0000D0E10000}"/>
    <cellStyle name="Normal 4 5 2 4 3 3 2" xfId="27913" xr:uid="{00000000-0005-0000-0000-0000D1E10000}"/>
    <cellStyle name="Normal 4 5 2 4 3 3 2 2" xfId="59784" xr:uid="{00000000-0005-0000-0000-0000D2E10000}"/>
    <cellStyle name="Normal 4 5 2 4 3 3 3" xfId="46591" xr:uid="{00000000-0005-0000-0000-0000D3E10000}"/>
    <cellStyle name="Normal 4 5 2 4 3 4" xfId="20035" xr:uid="{00000000-0005-0000-0000-0000D4E10000}"/>
    <cellStyle name="Normal 4 5 2 4 3 4 2" xfId="51906" xr:uid="{00000000-0005-0000-0000-0000D5E10000}"/>
    <cellStyle name="Normal 4 5 2 4 3 5" xfId="46588" xr:uid="{00000000-0005-0000-0000-0000D6E10000}"/>
    <cellStyle name="Normal 4 5 2 4 4" xfId="14713" xr:uid="{00000000-0005-0000-0000-0000D7E10000}"/>
    <cellStyle name="Normal 4 5 2 4 4 2" xfId="14714" xr:uid="{00000000-0005-0000-0000-0000D8E10000}"/>
    <cellStyle name="Normal 4 5 2 4 4 2 2" xfId="31849" xr:uid="{00000000-0005-0000-0000-0000D9E10000}"/>
    <cellStyle name="Normal 4 5 2 4 4 2 2 2" xfId="63720" xr:uid="{00000000-0005-0000-0000-0000DAE10000}"/>
    <cellStyle name="Normal 4 5 2 4 4 2 3" xfId="46593" xr:uid="{00000000-0005-0000-0000-0000DBE10000}"/>
    <cellStyle name="Normal 4 5 2 4 4 3" xfId="23971" xr:uid="{00000000-0005-0000-0000-0000DCE10000}"/>
    <cellStyle name="Normal 4 5 2 4 4 3 2" xfId="55842" xr:uid="{00000000-0005-0000-0000-0000DDE10000}"/>
    <cellStyle name="Normal 4 5 2 4 4 4" xfId="46592" xr:uid="{00000000-0005-0000-0000-0000DEE10000}"/>
    <cellStyle name="Normal 4 5 2 4 5" xfId="14715" xr:uid="{00000000-0005-0000-0000-0000DFE10000}"/>
    <cellStyle name="Normal 4 5 2 4 5 2" xfId="27910" xr:uid="{00000000-0005-0000-0000-0000E0E10000}"/>
    <cellStyle name="Normal 4 5 2 4 5 2 2" xfId="59781" xr:uid="{00000000-0005-0000-0000-0000E1E10000}"/>
    <cellStyle name="Normal 4 5 2 4 5 3" xfId="46594" xr:uid="{00000000-0005-0000-0000-0000E2E10000}"/>
    <cellStyle name="Normal 4 5 2 4 6" xfId="20032" xr:uid="{00000000-0005-0000-0000-0000E3E10000}"/>
    <cellStyle name="Normal 4 5 2 4 6 2" xfId="51903" xr:uid="{00000000-0005-0000-0000-0000E4E10000}"/>
    <cellStyle name="Normal 4 5 2 4 7" xfId="46579" xr:uid="{00000000-0005-0000-0000-0000E5E10000}"/>
    <cellStyle name="Normal 4 5 2 5" xfId="14716" xr:uid="{00000000-0005-0000-0000-0000E6E10000}"/>
    <cellStyle name="Normal 4 5 2 5 2" xfId="14717" xr:uid="{00000000-0005-0000-0000-0000E7E10000}"/>
    <cellStyle name="Normal 4 5 2 5 2 2" xfId="14718" xr:uid="{00000000-0005-0000-0000-0000E8E10000}"/>
    <cellStyle name="Normal 4 5 2 5 2 2 2" xfId="14719" xr:uid="{00000000-0005-0000-0000-0000E9E10000}"/>
    <cellStyle name="Normal 4 5 2 5 2 2 2 2" xfId="31854" xr:uid="{00000000-0005-0000-0000-0000EAE10000}"/>
    <cellStyle name="Normal 4 5 2 5 2 2 2 2 2" xfId="63725" xr:uid="{00000000-0005-0000-0000-0000EBE10000}"/>
    <cellStyle name="Normal 4 5 2 5 2 2 2 3" xfId="46598" xr:uid="{00000000-0005-0000-0000-0000ECE10000}"/>
    <cellStyle name="Normal 4 5 2 5 2 2 3" xfId="23976" xr:uid="{00000000-0005-0000-0000-0000EDE10000}"/>
    <cellStyle name="Normal 4 5 2 5 2 2 3 2" xfId="55847" xr:uid="{00000000-0005-0000-0000-0000EEE10000}"/>
    <cellStyle name="Normal 4 5 2 5 2 2 4" xfId="46597" xr:uid="{00000000-0005-0000-0000-0000EFE10000}"/>
    <cellStyle name="Normal 4 5 2 5 2 3" xfId="14720" xr:uid="{00000000-0005-0000-0000-0000F0E10000}"/>
    <cellStyle name="Normal 4 5 2 5 2 3 2" xfId="27915" xr:uid="{00000000-0005-0000-0000-0000F1E10000}"/>
    <cellStyle name="Normal 4 5 2 5 2 3 2 2" xfId="59786" xr:uid="{00000000-0005-0000-0000-0000F2E10000}"/>
    <cellStyle name="Normal 4 5 2 5 2 3 3" xfId="46599" xr:uid="{00000000-0005-0000-0000-0000F3E10000}"/>
    <cellStyle name="Normal 4 5 2 5 2 4" xfId="20037" xr:uid="{00000000-0005-0000-0000-0000F4E10000}"/>
    <cellStyle name="Normal 4 5 2 5 2 4 2" xfId="51908" xr:uid="{00000000-0005-0000-0000-0000F5E10000}"/>
    <cellStyle name="Normal 4 5 2 5 2 5" xfId="46596" xr:uid="{00000000-0005-0000-0000-0000F6E10000}"/>
    <cellStyle name="Normal 4 5 2 5 3" xfId="14721" xr:uid="{00000000-0005-0000-0000-0000F7E10000}"/>
    <cellStyle name="Normal 4 5 2 5 3 2" xfId="14722" xr:uid="{00000000-0005-0000-0000-0000F8E10000}"/>
    <cellStyle name="Normal 4 5 2 5 3 2 2" xfId="31853" xr:uid="{00000000-0005-0000-0000-0000F9E10000}"/>
    <cellStyle name="Normal 4 5 2 5 3 2 2 2" xfId="63724" xr:uid="{00000000-0005-0000-0000-0000FAE10000}"/>
    <cellStyle name="Normal 4 5 2 5 3 2 3" xfId="46601" xr:uid="{00000000-0005-0000-0000-0000FBE10000}"/>
    <cellStyle name="Normal 4 5 2 5 3 3" xfId="23975" xr:uid="{00000000-0005-0000-0000-0000FCE10000}"/>
    <cellStyle name="Normal 4 5 2 5 3 3 2" xfId="55846" xr:uid="{00000000-0005-0000-0000-0000FDE10000}"/>
    <cellStyle name="Normal 4 5 2 5 3 4" xfId="46600" xr:uid="{00000000-0005-0000-0000-0000FEE10000}"/>
    <cellStyle name="Normal 4 5 2 5 4" xfId="14723" xr:uid="{00000000-0005-0000-0000-0000FFE10000}"/>
    <cellStyle name="Normal 4 5 2 5 4 2" xfId="27914" xr:uid="{00000000-0005-0000-0000-000000E20000}"/>
    <cellStyle name="Normal 4 5 2 5 4 2 2" xfId="59785" xr:uid="{00000000-0005-0000-0000-000001E20000}"/>
    <cellStyle name="Normal 4 5 2 5 4 3" xfId="46602" xr:uid="{00000000-0005-0000-0000-000002E20000}"/>
    <cellStyle name="Normal 4 5 2 5 5" xfId="20036" xr:uid="{00000000-0005-0000-0000-000003E20000}"/>
    <cellStyle name="Normal 4 5 2 5 5 2" xfId="51907" xr:uid="{00000000-0005-0000-0000-000004E20000}"/>
    <cellStyle name="Normal 4 5 2 5 6" xfId="46595" xr:uid="{00000000-0005-0000-0000-000005E20000}"/>
    <cellStyle name="Normal 4 5 2 6" xfId="14724" xr:uid="{00000000-0005-0000-0000-000006E20000}"/>
    <cellStyle name="Normal 4 5 2 6 2" xfId="14725" xr:uid="{00000000-0005-0000-0000-000007E20000}"/>
    <cellStyle name="Normal 4 5 2 6 2 2" xfId="14726" xr:uid="{00000000-0005-0000-0000-000008E20000}"/>
    <cellStyle name="Normal 4 5 2 6 2 2 2" xfId="31855" xr:uid="{00000000-0005-0000-0000-000009E20000}"/>
    <cellStyle name="Normal 4 5 2 6 2 2 2 2" xfId="63726" xr:uid="{00000000-0005-0000-0000-00000AE20000}"/>
    <cellStyle name="Normal 4 5 2 6 2 2 3" xfId="46605" xr:uid="{00000000-0005-0000-0000-00000BE20000}"/>
    <cellStyle name="Normal 4 5 2 6 2 3" xfId="23977" xr:uid="{00000000-0005-0000-0000-00000CE20000}"/>
    <cellStyle name="Normal 4 5 2 6 2 3 2" xfId="55848" xr:uid="{00000000-0005-0000-0000-00000DE20000}"/>
    <cellStyle name="Normal 4 5 2 6 2 4" xfId="46604" xr:uid="{00000000-0005-0000-0000-00000EE20000}"/>
    <cellStyle name="Normal 4 5 2 6 3" xfId="14727" xr:uid="{00000000-0005-0000-0000-00000FE20000}"/>
    <cellStyle name="Normal 4 5 2 6 3 2" xfId="27916" xr:uid="{00000000-0005-0000-0000-000010E20000}"/>
    <cellStyle name="Normal 4 5 2 6 3 2 2" xfId="59787" xr:uid="{00000000-0005-0000-0000-000011E20000}"/>
    <cellStyle name="Normal 4 5 2 6 3 3" xfId="46606" xr:uid="{00000000-0005-0000-0000-000012E20000}"/>
    <cellStyle name="Normal 4 5 2 6 4" xfId="20038" xr:uid="{00000000-0005-0000-0000-000013E20000}"/>
    <cellStyle name="Normal 4 5 2 6 4 2" xfId="51909" xr:uid="{00000000-0005-0000-0000-000014E20000}"/>
    <cellStyle name="Normal 4 5 2 6 5" xfId="46603" xr:uid="{00000000-0005-0000-0000-000015E20000}"/>
    <cellStyle name="Normal 4 5 2 7" xfId="14728" xr:uid="{00000000-0005-0000-0000-000016E20000}"/>
    <cellStyle name="Normal 4 5 2 7 2" xfId="14729" xr:uid="{00000000-0005-0000-0000-000017E20000}"/>
    <cellStyle name="Normal 4 5 2 7 2 2" xfId="28334" xr:uid="{00000000-0005-0000-0000-000018E20000}"/>
    <cellStyle name="Normal 4 5 2 7 2 2 2" xfId="60205" xr:uid="{00000000-0005-0000-0000-000019E20000}"/>
    <cellStyle name="Normal 4 5 2 7 2 3" xfId="46608" xr:uid="{00000000-0005-0000-0000-00001AE20000}"/>
    <cellStyle name="Normal 4 5 2 7 3" xfId="20456" xr:uid="{00000000-0005-0000-0000-00001BE20000}"/>
    <cellStyle name="Normal 4 5 2 7 3 2" xfId="52327" xr:uid="{00000000-0005-0000-0000-00001CE20000}"/>
    <cellStyle name="Normal 4 5 2 7 4" xfId="46607" xr:uid="{00000000-0005-0000-0000-00001DE20000}"/>
    <cellStyle name="Normal 4 5 2 8" xfId="14730" xr:uid="{00000000-0005-0000-0000-00001EE20000}"/>
    <cellStyle name="Normal 4 5 2 8 2" xfId="24395" xr:uid="{00000000-0005-0000-0000-00001FE20000}"/>
    <cellStyle name="Normal 4 5 2 8 2 2" xfId="56266" xr:uid="{00000000-0005-0000-0000-000020E20000}"/>
    <cellStyle name="Normal 4 5 2 8 3" xfId="46609" xr:uid="{00000000-0005-0000-0000-000021E20000}"/>
    <cellStyle name="Normal 4 5 2 9" xfId="16517" xr:uid="{00000000-0005-0000-0000-000022E20000}"/>
    <cellStyle name="Normal 4 5 2 9 2" xfId="48388" xr:uid="{00000000-0005-0000-0000-000023E20000}"/>
    <cellStyle name="Normal 4 5 3" xfId="14731" xr:uid="{00000000-0005-0000-0000-000024E20000}"/>
    <cellStyle name="Normal 4 5 3 10" xfId="46610" xr:uid="{00000000-0005-0000-0000-000025E20000}"/>
    <cellStyle name="Normal 4 5 3 2" xfId="14732" xr:uid="{00000000-0005-0000-0000-000026E20000}"/>
    <cellStyle name="Normal 4 5 3 2 2" xfId="14733" xr:uid="{00000000-0005-0000-0000-000027E20000}"/>
    <cellStyle name="Normal 4 5 3 2 2 2" xfId="14734" xr:uid="{00000000-0005-0000-0000-000028E20000}"/>
    <cellStyle name="Normal 4 5 3 2 2 2 2" xfId="14735" xr:uid="{00000000-0005-0000-0000-000029E20000}"/>
    <cellStyle name="Normal 4 5 3 2 2 2 2 2" xfId="14736" xr:uid="{00000000-0005-0000-0000-00002AE20000}"/>
    <cellStyle name="Normal 4 5 3 2 2 2 2 2 2" xfId="14737" xr:uid="{00000000-0005-0000-0000-00002BE20000}"/>
    <cellStyle name="Normal 4 5 3 2 2 2 2 2 2 2" xfId="14738" xr:uid="{00000000-0005-0000-0000-00002CE20000}"/>
    <cellStyle name="Normal 4 5 3 2 2 2 2 2 2 2 2" xfId="31859" xr:uid="{00000000-0005-0000-0000-00002DE20000}"/>
    <cellStyle name="Normal 4 5 3 2 2 2 2 2 2 2 2 2" xfId="63730" xr:uid="{00000000-0005-0000-0000-00002EE20000}"/>
    <cellStyle name="Normal 4 5 3 2 2 2 2 2 2 2 3" xfId="46617" xr:uid="{00000000-0005-0000-0000-00002FE20000}"/>
    <cellStyle name="Normal 4 5 3 2 2 2 2 2 2 3" xfId="23981" xr:uid="{00000000-0005-0000-0000-000030E20000}"/>
    <cellStyle name="Normal 4 5 3 2 2 2 2 2 2 3 2" xfId="55852" xr:uid="{00000000-0005-0000-0000-000031E20000}"/>
    <cellStyle name="Normal 4 5 3 2 2 2 2 2 2 4" xfId="46616" xr:uid="{00000000-0005-0000-0000-000032E20000}"/>
    <cellStyle name="Normal 4 5 3 2 2 2 2 2 3" xfId="14739" xr:uid="{00000000-0005-0000-0000-000033E20000}"/>
    <cellStyle name="Normal 4 5 3 2 2 2 2 2 3 2" xfId="27920" xr:uid="{00000000-0005-0000-0000-000034E20000}"/>
    <cellStyle name="Normal 4 5 3 2 2 2 2 2 3 2 2" xfId="59791" xr:uid="{00000000-0005-0000-0000-000035E20000}"/>
    <cellStyle name="Normal 4 5 3 2 2 2 2 2 3 3" xfId="46618" xr:uid="{00000000-0005-0000-0000-000036E20000}"/>
    <cellStyle name="Normal 4 5 3 2 2 2 2 2 4" xfId="20042" xr:uid="{00000000-0005-0000-0000-000037E20000}"/>
    <cellStyle name="Normal 4 5 3 2 2 2 2 2 4 2" xfId="51913" xr:uid="{00000000-0005-0000-0000-000038E20000}"/>
    <cellStyle name="Normal 4 5 3 2 2 2 2 2 5" xfId="46615" xr:uid="{00000000-0005-0000-0000-000039E20000}"/>
    <cellStyle name="Normal 4 5 3 2 2 2 2 3" xfId="14740" xr:uid="{00000000-0005-0000-0000-00003AE20000}"/>
    <cellStyle name="Normal 4 5 3 2 2 2 2 3 2" xfId="14741" xr:uid="{00000000-0005-0000-0000-00003BE20000}"/>
    <cellStyle name="Normal 4 5 3 2 2 2 2 3 2 2" xfId="31858" xr:uid="{00000000-0005-0000-0000-00003CE20000}"/>
    <cellStyle name="Normal 4 5 3 2 2 2 2 3 2 2 2" xfId="63729" xr:uid="{00000000-0005-0000-0000-00003DE20000}"/>
    <cellStyle name="Normal 4 5 3 2 2 2 2 3 2 3" xfId="46620" xr:uid="{00000000-0005-0000-0000-00003EE20000}"/>
    <cellStyle name="Normal 4 5 3 2 2 2 2 3 3" xfId="23980" xr:uid="{00000000-0005-0000-0000-00003FE20000}"/>
    <cellStyle name="Normal 4 5 3 2 2 2 2 3 3 2" xfId="55851" xr:uid="{00000000-0005-0000-0000-000040E20000}"/>
    <cellStyle name="Normal 4 5 3 2 2 2 2 3 4" xfId="46619" xr:uid="{00000000-0005-0000-0000-000041E20000}"/>
    <cellStyle name="Normal 4 5 3 2 2 2 2 4" xfId="14742" xr:uid="{00000000-0005-0000-0000-000042E20000}"/>
    <cellStyle name="Normal 4 5 3 2 2 2 2 4 2" xfId="27919" xr:uid="{00000000-0005-0000-0000-000043E20000}"/>
    <cellStyle name="Normal 4 5 3 2 2 2 2 4 2 2" xfId="59790" xr:uid="{00000000-0005-0000-0000-000044E20000}"/>
    <cellStyle name="Normal 4 5 3 2 2 2 2 4 3" xfId="46621" xr:uid="{00000000-0005-0000-0000-000045E20000}"/>
    <cellStyle name="Normal 4 5 3 2 2 2 2 5" xfId="20041" xr:uid="{00000000-0005-0000-0000-000046E20000}"/>
    <cellStyle name="Normal 4 5 3 2 2 2 2 5 2" xfId="51912" xr:uid="{00000000-0005-0000-0000-000047E20000}"/>
    <cellStyle name="Normal 4 5 3 2 2 2 2 6" xfId="46614" xr:uid="{00000000-0005-0000-0000-000048E20000}"/>
    <cellStyle name="Normal 4 5 3 2 2 2 3" xfId="14743" xr:uid="{00000000-0005-0000-0000-000049E20000}"/>
    <cellStyle name="Normal 4 5 3 2 2 2 3 2" xfId="14744" xr:uid="{00000000-0005-0000-0000-00004AE20000}"/>
    <cellStyle name="Normal 4 5 3 2 2 2 3 2 2" xfId="14745" xr:uid="{00000000-0005-0000-0000-00004BE20000}"/>
    <cellStyle name="Normal 4 5 3 2 2 2 3 2 2 2" xfId="31860" xr:uid="{00000000-0005-0000-0000-00004CE20000}"/>
    <cellStyle name="Normal 4 5 3 2 2 2 3 2 2 2 2" xfId="63731" xr:uid="{00000000-0005-0000-0000-00004DE20000}"/>
    <cellStyle name="Normal 4 5 3 2 2 2 3 2 2 3" xfId="46624" xr:uid="{00000000-0005-0000-0000-00004EE20000}"/>
    <cellStyle name="Normal 4 5 3 2 2 2 3 2 3" xfId="23982" xr:uid="{00000000-0005-0000-0000-00004FE20000}"/>
    <cellStyle name="Normal 4 5 3 2 2 2 3 2 3 2" xfId="55853" xr:uid="{00000000-0005-0000-0000-000050E20000}"/>
    <cellStyle name="Normal 4 5 3 2 2 2 3 2 4" xfId="46623" xr:uid="{00000000-0005-0000-0000-000051E20000}"/>
    <cellStyle name="Normal 4 5 3 2 2 2 3 3" xfId="14746" xr:uid="{00000000-0005-0000-0000-000052E20000}"/>
    <cellStyle name="Normal 4 5 3 2 2 2 3 3 2" xfId="27921" xr:uid="{00000000-0005-0000-0000-000053E20000}"/>
    <cellStyle name="Normal 4 5 3 2 2 2 3 3 2 2" xfId="59792" xr:uid="{00000000-0005-0000-0000-000054E20000}"/>
    <cellStyle name="Normal 4 5 3 2 2 2 3 3 3" xfId="46625" xr:uid="{00000000-0005-0000-0000-000055E20000}"/>
    <cellStyle name="Normal 4 5 3 2 2 2 3 4" xfId="20043" xr:uid="{00000000-0005-0000-0000-000056E20000}"/>
    <cellStyle name="Normal 4 5 3 2 2 2 3 4 2" xfId="51914" xr:uid="{00000000-0005-0000-0000-000057E20000}"/>
    <cellStyle name="Normal 4 5 3 2 2 2 3 5" xfId="46622" xr:uid="{00000000-0005-0000-0000-000058E20000}"/>
    <cellStyle name="Normal 4 5 3 2 2 2 4" xfId="14747" xr:uid="{00000000-0005-0000-0000-000059E20000}"/>
    <cellStyle name="Normal 4 5 3 2 2 2 4 2" xfId="14748" xr:uid="{00000000-0005-0000-0000-00005AE20000}"/>
    <cellStyle name="Normal 4 5 3 2 2 2 4 2 2" xfId="31857" xr:uid="{00000000-0005-0000-0000-00005BE20000}"/>
    <cellStyle name="Normal 4 5 3 2 2 2 4 2 2 2" xfId="63728" xr:uid="{00000000-0005-0000-0000-00005CE20000}"/>
    <cellStyle name="Normal 4 5 3 2 2 2 4 2 3" xfId="46627" xr:uid="{00000000-0005-0000-0000-00005DE20000}"/>
    <cellStyle name="Normal 4 5 3 2 2 2 4 3" xfId="23979" xr:uid="{00000000-0005-0000-0000-00005EE20000}"/>
    <cellStyle name="Normal 4 5 3 2 2 2 4 3 2" xfId="55850" xr:uid="{00000000-0005-0000-0000-00005FE20000}"/>
    <cellStyle name="Normal 4 5 3 2 2 2 4 4" xfId="46626" xr:uid="{00000000-0005-0000-0000-000060E20000}"/>
    <cellStyle name="Normal 4 5 3 2 2 2 5" xfId="14749" xr:uid="{00000000-0005-0000-0000-000061E20000}"/>
    <cellStyle name="Normal 4 5 3 2 2 2 5 2" xfId="27918" xr:uid="{00000000-0005-0000-0000-000062E20000}"/>
    <cellStyle name="Normal 4 5 3 2 2 2 5 2 2" xfId="59789" xr:uid="{00000000-0005-0000-0000-000063E20000}"/>
    <cellStyle name="Normal 4 5 3 2 2 2 5 3" xfId="46628" xr:uid="{00000000-0005-0000-0000-000064E20000}"/>
    <cellStyle name="Normal 4 5 3 2 2 2 6" xfId="20040" xr:uid="{00000000-0005-0000-0000-000065E20000}"/>
    <cellStyle name="Normal 4 5 3 2 2 2 6 2" xfId="51911" xr:uid="{00000000-0005-0000-0000-000066E20000}"/>
    <cellStyle name="Normal 4 5 3 2 2 2 7" xfId="46613" xr:uid="{00000000-0005-0000-0000-000067E20000}"/>
    <cellStyle name="Normal 4 5 3 2 2 3" xfId="14750" xr:uid="{00000000-0005-0000-0000-000068E20000}"/>
    <cellStyle name="Normal 4 5 3 2 2 3 2" xfId="14751" xr:uid="{00000000-0005-0000-0000-000069E20000}"/>
    <cellStyle name="Normal 4 5 3 2 2 3 2 2" xfId="14752" xr:uid="{00000000-0005-0000-0000-00006AE20000}"/>
    <cellStyle name="Normal 4 5 3 2 2 3 2 2 2" xfId="14753" xr:uid="{00000000-0005-0000-0000-00006BE20000}"/>
    <cellStyle name="Normal 4 5 3 2 2 3 2 2 2 2" xfId="31862" xr:uid="{00000000-0005-0000-0000-00006CE20000}"/>
    <cellStyle name="Normal 4 5 3 2 2 3 2 2 2 2 2" xfId="63733" xr:uid="{00000000-0005-0000-0000-00006DE20000}"/>
    <cellStyle name="Normal 4 5 3 2 2 3 2 2 2 3" xfId="46632" xr:uid="{00000000-0005-0000-0000-00006EE20000}"/>
    <cellStyle name="Normal 4 5 3 2 2 3 2 2 3" xfId="23984" xr:uid="{00000000-0005-0000-0000-00006FE20000}"/>
    <cellStyle name="Normal 4 5 3 2 2 3 2 2 3 2" xfId="55855" xr:uid="{00000000-0005-0000-0000-000070E20000}"/>
    <cellStyle name="Normal 4 5 3 2 2 3 2 2 4" xfId="46631" xr:uid="{00000000-0005-0000-0000-000071E20000}"/>
    <cellStyle name="Normal 4 5 3 2 2 3 2 3" xfId="14754" xr:uid="{00000000-0005-0000-0000-000072E20000}"/>
    <cellStyle name="Normal 4 5 3 2 2 3 2 3 2" xfId="27923" xr:uid="{00000000-0005-0000-0000-000073E20000}"/>
    <cellStyle name="Normal 4 5 3 2 2 3 2 3 2 2" xfId="59794" xr:uid="{00000000-0005-0000-0000-000074E20000}"/>
    <cellStyle name="Normal 4 5 3 2 2 3 2 3 3" xfId="46633" xr:uid="{00000000-0005-0000-0000-000075E20000}"/>
    <cellStyle name="Normal 4 5 3 2 2 3 2 4" xfId="20045" xr:uid="{00000000-0005-0000-0000-000076E20000}"/>
    <cellStyle name="Normal 4 5 3 2 2 3 2 4 2" xfId="51916" xr:uid="{00000000-0005-0000-0000-000077E20000}"/>
    <cellStyle name="Normal 4 5 3 2 2 3 2 5" xfId="46630" xr:uid="{00000000-0005-0000-0000-000078E20000}"/>
    <cellStyle name="Normal 4 5 3 2 2 3 3" xfId="14755" xr:uid="{00000000-0005-0000-0000-000079E20000}"/>
    <cellStyle name="Normal 4 5 3 2 2 3 3 2" xfId="14756" xr:uid="{00000000-0005-0000-0000-00007AE20000}"/>
    <cellStyle name="Normal 4 5 3 2 2 3 3 2 2" xfId="31861" xr:uid="{00000000-0005-0000-0000-00007BE20000}"/>
    <cellStyle name="Normal 4 5 3 2 2 3 3 2 2 2" xfId="63732" xr:uid="{00000000-0005-0000-0000-00007CE20000}"/>
    <cellStyle name="Normal 4 5 3 2 2 3 3 2 3" xfId="46635" xr:uid="{00000000-0005-0000-0000-00007DE20000}"/>
    <cellStyle name="Normal 4 5 3 2 2 3 3 3" xfId="23983" xr:uid="{00000000-0005-0000-0000-00007EE20000}"/>
    <cellStyle name="Normal 4 5 3 2 2 3 3 3 2" xfId="55854" xr:uid="{00000000-0005-0000-0000-00007FE20000}"/>
    <cellStyle name="Normal 4 5 3 2 2 3 3 4" xfId="46634" xr:uid="{00000000-0005-0000-0000-000080E20000}"/>
    <cellStyle name="Normal 4 5 3 2 2 3 4" xfId="14757" xr:uid="{00000000-0005-0000-0000-000081E20000}"/>
    <cellStyle name="Normal 4 5 3 2 2 3 4 2" xfId="27922" xr:uid="{00000000-0005-0000-0000-000082E20000}"/>
    <cellStyle name="Normal 4 5 3 2 2 3 4 2 2" xfId="59793" xr:uid="{00000000-0005-0000-0000-000083E20000}"/>
    <cellStyle name="Normal 4 5 3 2 2 3 4 3" xfId="46636" xr:uid="{00000000-0005-0000-0000-000084E20000}"/>
    <cellStyle name="Normal 4 5 3 2 2 3 5" xfId="20044" xr:uid="{00000000-0005-0000-0000-000085E20000}"/>
    <cellStyle name="Normal 4 5 3 2 2 3 5 2" xfId="51915" xr:uid="{00000000-0005-0000-0000-000086E20000}"/>
    <cellStyle name="Normal 4 5 3 2 2 3 6" xfId="46629" xr:uid="{00000000-0005-0000-0000-000087E20000}"/>
    <cellStyle name="Normal 4 5 3 2 2 4" xfId="14758" xr:uid="{00000000-0005-0000-0000-000088E20000}"/>
    <cellStyle name="Normal 4 5 3 2 2 4 2" xfId="14759" xr:uid="{00000000-0005-0000-0000-000089E20000}"/>
    <cellStyle name="Normal 4 5 3 2 2 4 2 2" xfId="14760" xr:uid="{00000000-0005-0000-0000-00008AE20000}"/>
    <cellStyle name="Normal 4 5 3 2 2 4 2 2 2" xfId="31863" xr:uid="{00000000-0005-0000-0000-00008BE20000}"/>
    <cellStyle name="Normal 4 5 3 2 2 4 2 2 2 2" xfId="63734" xr:uid="{00000000-0005-0000-0000-00008CE20000}"/>
    <cellStyle name="Normal 4 5 3 2 2 4 2 2 3" xfId="46639" xr:uid="{00000000-0005-0000-0000-00008DE20000}"/>
    <cellStyle name="Normal 4 5 3 2 2 4 2 3" xfId="23985" xr:uid="{00000000-0005-0000-0000-00008EE20000}"/>
    <cellStyle name="Normal 4 5 3 2 2 4 2 3 2" xfId="55856" xr:uid="{00000000-0005-0000-0000-00008FE20000}"/>
    <cellStyle name="Normal 4 5 3 2 2 4 2 4" xfId="46638" xr:uid="{00000000-0005-0000-0000-000090E20000}"/>
    <cellStyle name="Normal 4 5 3 2 2 4 3" xfId="14761" xr:uid="{00000000-0005-0000-0000-000091E20000}"/>
    <cellStyle name="Normal 4 5 3 2 2 4 3 2" xfId="27924" xr:uid="{00000000-0005-0000-0000-000092E20000}"/>
    <cellStyle name="Normal 4 5 3 2 2 4 3 2 2" xfId="59795" xr:uid="{00000000-0005-0000-0000-000093E20000}"/>
    <cellStyle name="Normal 4 5 3 2 2 4 3 3" xfId="46640" xr:uid="{00000000-0005-0000-0000-000094E20000}"/>
    <cellStyle name="Normal 4 5 3 2 2 4 4" xfId="20046" xr:uid="{00000000-0005-0000-0000-000095E20000}"/>
    <cellStyle name="Normal 4 5 3 2 2 4 4 2" xfId="51917" xr:uid="{00000000-0005-0000-0000-000096E20000}"/>
    <cellStyle name="Normal 4 5 3 2 2 4 5" xfId="46637" xr:uid="{00000000-0005-0000-0000-000097E20000}"/>
    <cellStyle name="Normal 4 5 3 2 2 5" xfId="14762" xr:uid="{00000000-0005-0000-0000-000098E20000}"/>
    <cellStyle name="Normal 4 5 3 2 2 5 2" xfId="14763" xr:uid="{00000000-0005-0000-0000-000099E20000}"/>
    <cellStyle name="Normal 4 5 3 2 2 5 2 2" xfId="31856" xr:uid="{00000000-0005-0000-0000-00009AE20000}"/>
    <cellStyle name="Normal 4 5 3 2 2 5 2 2 2" xfId="63727" xr:uid="{00000000-0005-0000-0000-00009BE20000}"/>
    <cellStyle name="Normal 4 5 3 2 2 5 2 3" xfId="46642" xr:uid="{00000000-0005-0000-0000-00009CE20000}"/>
    <cellStyle name="Normal 4 5 3 2 2 5 3" xfId="23978" xr:uid="{00000000-0005-0000-0000-00009DE20000}"/>
    <cellStyle name="Normal 4 5 3 2 2 5 3 2" xfId="55849" xr:uid="{00000000-0005-0000-0000-00009EE20000}"/>
    <cellStyle name="Normal 4 5 3 2 2 5 4" xfId="46641" xr:uid="{00000000-0005-0000-0000-00009FE20000}"/>
    <cellStyle name="Normal 4 5 3 2 2 6" xfId="14764" xr:uid="{00000000-0005-0000-0000-0000A0E20000}"/>
    <cellStyle name="Normal 4 5 3 2 2 6 2" xfId="27917" xr:uid="{00000000-0005-0000-0000-0000A1E20000}"/>
    <cellStyle name="Normal 4 5 3 2 2 6 2 2" xfId="59788" xr:uid="{00000000-0005-0000-0000-0000A2E20000}"/>
    <cellStyle name="Normal 4 5 3 2 2 6 3" xfId="46643" xr:uid="{00000000-0005-0000-0000-0000A3E20000}"/>
    <cellStyle name="Normal 4 5 3 2 2 7" xfId="20039" xr:uid="{00000000-0005-0000-0000-0000A4E20000}"/>
    <cellStyle name="Normal 4 5 3 2 2 7 2" xfId="51910" xr:uid="{00000000-0005-0000-0000-0000A5E20000}"/>
    <cellStyle name="Normal 4 5 3 2 2 8" xfId="46612" xr:uid="{00000000-0005-0000-0000-0000A6E20000}"/>
    <cellStyle name="Normal 4 5 3 2 3" xfId="14765" xr:uid="{00000000-0005-0000-0000-0000A7E20000}"/>
    <cellStyle name="Normal 4 5 3 2 3 2" xfId="14766" xr:uid="{00000000-0005-0000-0000-0000A8E20000}"/>
    <cellStyle name="Normal 4 5 3 2 3 2 2" xfId="14767" xr:uid="{00000000-0005-0000-0000-0000A9E20000}"/>
    <cellStyle name="Normal 4 5 3 2 3 2 2 2" xfId="14768" xr:uid="{00000000-0005-0000-0000-0000AAE20000}"/>
    <cellStyle name="Normal 4 5 3 2 3 2 2 2 2" xfId="14769" xr:uid="{00000000-0005-0000-0000-0000ABE20000}"/>
    <cellStyle name="Normal 4 5 3 2 3 2 2 2 2 2" xfId="31866" xr:uid="{00000000-0005-0000-0000-0000ACE20000}"/>
    <cellStyle name="Normal 4 5 3 2 3 2 2 2 2 2 2" xfId="63737" xr:uid="{00000000-0005-0000-0000-0000ADE20000}"/>
    <cellStyle name="Normal 4 5 3 2 3 2 2 2 2 3" xfId="46648" xr:uid="{00000000-0005-0000-0000-0000AEE20000}"/>
    <cellStyle name="Normal 4 5 3 2 3 2 2 2 3" xfId="23988" xr:uid="{00000000-0005-0000-0000-0000AFE20000}"/>
    <cellStyle name="Normal 4 5 3 2 3 2 2 2 3 2" xfId="55859" xr:uid="{00000000-0005-0000-0000-0000B0E20000}"/>
    <cellStyle name="Normal 4 5 3 2 3 2 2 2 4" xfId="46647" xr:uid="{00000000-0005-0000-0000-0000B1E20000}"/>
    <cellStyle name="Normal 4 5 3 2 3 2 2 3" xfId="14770" xr:uid="{00000000-0005-0000-0000-0000B2E20000}"/>
    <cellStyle name="Normal 4 5 3 2 3 2 2 3 2" xfId="27927" xr:uid="{00000000-0005-0000-0000-0000B3E20000}"/>
    <cellStyle name="Normal 4 5 3 2 3 2 2 3 2 2" xfId="59798" xr:uid="{00000000-0005-0000-0000-0000B4E20000}"/>
    <cellStyle name="Normal 4 5 3 2 3 2 2 3 3" xfId="46649" xr:uid="{00000000-0005-0000-0000-0000B5E20000}"/>
    <cellStyle name="Normal 4 5 3 2 3 2 2 4" xfId="20049" xr:uid="{00000000-0005-0000-0000-0000B6E20000}"/>
    <cellStyle name="Normal 4 5 3 2 3 2 2 4 2" xfId="51920" xr:uid="{00000000-0005-0000-0000-0000B7E20000}"/>
    <cellStyle name="Normal 4 5 3 2 3 2 2 5" xfId="46646" xr:uid="{00000000-0005-0000-0000-0000B8E20000}"/>
    <cellStyle name="Normal 4 5 3 2 3 2 3" xfId="14771" xr:uid="{00000000-0005-0000-0000-0000B9E20000}"/>
    <cellStyle name="Normal 4 5 3 2 3 2 3 2" xfId="14772" xr:uid="{00000000-0005-0000-0000-0000BAE20000}"/>
    <cellStyle name="Normal 4 5 3 2 3 2 3 2 2" xfId="31865" xr:uid="{00000000-0005-0000-0000-0000BBE20000}"/>
    <cellStyle name="Normal 4 5 3 2 3 2 3 2 2 2" xfId="63736" xr:uid="{00000000-0005-0000-0000-0000BCE20000}"/>
    <cellStyle name="Normal 4 5 3 2 3 2 3 2 3" xfId="46651" xr:uid="{00000000-0005-0000-0000-0000BDE20000}"/>
    <cellStyle name="Normal 4 5 3 2 3 2 3 3" xfId="23987" xr:uid="{00000000-0005-0000-0000-0000BEE20000}"/>
    <cellStyle name="Normal 4 5 3 2 3 2 3 3 2" xfId="55858" xr:uid="{00000000-0005-0000-0000-0000BFE20000}"/>
    <cellStyle name="Normal 4 5 3 2 3 2 3 4" xfId="46650" xr:uid="{00000000-0005-0000-0000-0000C0E20000}"/>
    <cellStyle name="Normal 4 5 3 2 3 2 4" xfId="14773" xr:uid="{00000000-0005-0000-0000-0000C1E20000}"/>
    <cellStyle name="Normal 4 5 3 2 3 2 4 2" xfId="27926" xr:uid="{00000000-0005-0000-0000-0000C2E20000}"/>
    <cellStyle name="Normal 4 5 3 2 3 2 4 2 2" xfId="59797" xr:uid="{00000000-0005-0000-0000-0000C3E20000}"/>
    <cellStyle name="Normal 4 5 3 2 3 2 4 3" xfId="46652" xr:uid="{00000000-0005-0000-0000-0000C4E20000}"/>
    <cellStyle name="Normal 4 5 3 2 3 2 5" xfId="20048" xr:uid="{00000000-0005-0000-0000-0000C5E20000}"/>
    <cellStyle name="Normal 4 5 3 2 3 2 5 2" xfId="51919" xr:uid="{00000000-0005-0000-0000-0000C6E20000}"/>
    <cellStyle name="Normal 4 5 3 2 3 2 6" xfId="46645" xr:uid="{00000000-0005-0000-0000-0000C7E20000}"/>
    <cellStyle name="Normal 4 5 3 2 3 3" xfId="14774" xr:uid="{00000000-0005-0000-0000-0000C8E20000}"/>
    <cellStyle name="Normal 4 5 3 2 3 3 2" xfId="14775" xr:uid="{00000000-0005-0000-0000-0000C9E20000}"/>
    <cellStyle name="Normal 4 5 3 2 3 3 2 2" xfId="14776" xr:uid="{00000000-0005-0000-0000-0000CAE20000}"/>
    <cellStyle name="Normal 4 5 3 2 3 3 2 2 2" xfId="31867" xr:uid="{00000000-0005-0000-0000-0000CBE20000}"/>
    <cellStyle name="Normal 4 5 3 2 3 3 2 2 2 2" xfId="63738" xr:uid="{00000000-0005-0000-0000-0000CCE20000}"/>
    <cellStyle name="Normal 4 5 3 2 3 3 2 2 3" xfId="46655" xr:uid="{00000000-0005-0000-0000-0000CDE20000}"/>
    <cellStyle name="Normal 4 5 3 2 3 3 2 3" xfId="23989" xr:uid="{00000000-0005-0000-0000-0000CEE20000}"/>
    <cellStyle name="Normal 4 5 3 2 3 3 2 3 2" xfId="55860" xr:uid="{00000000-0005-0000-0000-0000CFE20000}"/>
    <cellStyle name="Normal 4 5 3 2 3 3 2 4" xfId="46654" xr:uid="{00000000-0005-0000-0000-0000D0E20000}"/>
    <cellStyle name="Normal 4 5 3 2 3 3 3" xfId="14777" xr:uid="{00000000-0005-0000-0000-0000D1E20000}"/>
    <cellStyle name="Normal 4 5 3 2 3 3 3 2" xfId="27928" xr:uid="{00000000-0005-0000-0000-0000D2E20000}"/>
    <cellStyle name="Normal 4 5 3 2 3 3 3 2 2" xfId="59799" xr:uid="{00000000-0005-0000-0000-0000D3E20000}"/>
    <cellStyle name="Normal 4 5 3 2 3 3 3 3" xfId="46656" xr:uid="{00000000-0005-0000-0000-0000D4E20000}"/>
    <cellStyle name="Normal 4 5 3 2 3 3 4" xfId="20050" xr:uid="{00000000-0005-0000-0000-0000D5E20000}"/>
    <cellStyle name="Normal 4 5 3 2 3 3 4 2" xfId="51921" xr:uid="{00000000-0005-0000-0000-0000D6E20000}"/>
    <cellStyle name="Normal 4 5 3 2 3 3 5" xfId="46653" xr:uid="{00000000-0005-0000-0000-0000D7E20000}"/>
    <cellStyle name="Normal 4 5 3 2 3 4" xfId="14778" xr:uid="{00000000-0005-0000-0000-0000D8E20000}"/>
    <cellStyle name="Normal 4 5 3 2 3 4 2" xfId="14779" xr:uid="{00000000-0005-0000-0000-0000D9E20000}"/>
    <cellStyle name="Normal 4 5 3 2 3 4 2 2" xfId="31864" xr:uid="{00000000-0005-0000-0000-0000DAE20000}"/>
    <cellStyle name="Normal 4 5 3 2 3 4 2 2 2" xfId="63735" xr:uid="{00000000-0005-0000-0000-0000DBE20000}"/>
    <cellStyle name="Normal 4 5 3 2 3 4 2 3" xfId="46658" xr:uid="{00000000-0005-0000-0000-0000DCE20000}"/>
    <cellStyle name="Normal 4 5 3 2 3 4 3" xfId="23986" xr:uid="{00000000-0005-0000-0000-0000DDE20000}"/>
    <cellStyle name="Normal 4 5 3 2 3 4 3 2" xfId="55857" xr:uid="{00000000-0005-0000-0000-0000DEE20000}"/>
    <cellStyle name="Normal 4 5 3 2 3 4 4" xfId="46657" xr:uid="{00000000-0005-0000-0000-0000DFE20000}"/>
    <cellStyle name="Normal 4 5 3 2 3 5" xfId="14780" xr:uid="{00000000-0005-0000-0000-0000E0E20000}"/>
    <cellStyle name="Normal 4 5 3 2 3 5 2" xfId="27925" xr:uid="{00000000-0005-0000-0000-0000E1E20000}"/>
    <cellStyle name="Normal 4 5 3 2 3 5 2 2" xfId="59796" xr:uid="{00000000-0005-0000-0000-0000E2E20000}"/>
    <cellStyle name="Normal 4 5 3 2 3 5 3" xfId="46659" xr:uid="{00000000-0005-0000-0000-0000E3E20000}"/>
    <cellStyle name="Normal 4 5 3 2 3 6" xfId="20047" xr:uid="{00000000-0005-0000-0000-0000E4E20000}"/>
    <cellStyle name="Normal 4 5 3 2 3 6 2" xfId="51918" xr:uid="{00000000-0005-0000-0000-0000E5E20000}"/>
    <cellStyle name="Normal 4 5 3 2 3 7" xfId="46644" xr:uid="{00000000-0005-0000-0000-0000E6E20000}"/>
    <cellStyle name="Normal 4 5 3 2 4" xfId="14781" xr:uid="{00000000-0005-0000-0000-0000E7E20000}"/>
    <cellStyle name="Normal 4 5 3 2 4 2" xfId="14782" xr:uid="{00000000-0005-0000-0000-0000E8E20000}"/>
    <cellStyle name="Normal 4 5 3 2 4 2 2" xfId="14783" xr:uid="{00000000-0005-0000-0000-0000E9E20000}"/>
    <cellStyle name="Normal 4 5 3 2 4 2 2 2" xfId="14784" xr:uid="{00000000-0005-0000-0000-0000EAE20000}"/>
    <cellStyle name="Normal 4 5 3 2 4 2 2 2 2" xfId="31869" xr:uid="{00000000-0005-0000-0000-0000EBE20000}"/>
    <cellStyle name="Normal 4 5 3 2 4 2 2 2 2 2" xfId="63740" xr:uid="{00000000-0005-0000-0000-0000ECE20000}"/>
    <cellStyle name="Normal 4 5 3 2 4 2 2 2 3" xfId="46663" xr:uid="{00000000-0005-0000-0000-0000EDE20000}"/>
    <cellStyle name="Normal 4 5 3 2 4 2 2 3" xfId="23991" xr:uid="{00000000-0005-0000-0000-0000EEE20000}"/>
    <cellStyle name="Normal 4 5 3 2 4 2 2 3 2" xfId="55862" xr:uid="{00000000-0005-0000-0000-0000EFE20000}"/>
    <cellStyle name="Normal 4 5 3 2 4 2 2 4" xfId="46662" xr:uid="{00000000-0005-0000-0000-0000F0E20000}"/>
    <cellStyle name="Normal 4 5 3 2 4 2 3" xfId="14785" xr:uid="{00000000-0005-0000-0000-0000F1E20000}"/>
    <cellStyle name="Normal 4 5 3 2 4 2 3 2" xfId="27930" xr:uid="{00000000-0005-0000-0000-0000F2E20000}"/>
    <cellStyle name="Normal 4 5 3 2 4 2 3 2 2" xfId="59801" xr:uid="{00000000-0005-0000-0000-0000F3E20000}"/>
    <cellStyle name="Normal 4 5 3 2 4 2 3 3" xfId="46664" xr:uid="{00000000-0005-0000-0000-0000F4E20000}"/>
    <cellStyle name="Normal 4 5 3 2 4 2 4" xfId="20052" xr:uid="{00000000-0005-0000-0000-0000F5E20000}"/>
    <cellStyle name="Normal 4 5 3 2 4 2 4 2" xfId="51923" xr:uid="{00000000-0005-0000-0000-0000F6E20000}"/>
    <cellStyle name="Normal 4 5 3 2 4 2 5" xfId="46661" xr:uid="{00000000-0005-0000-0000-0000F7E20000}"/>
    <cellStyle name="Normal 4 5 3 2 4 3" xfId="14786" xr:uid="{00000000-0005-0000-0000-0000F8E20000}"/>
    <cellStyle name="Normal 4 5 3 2 4 3 2" xfId="14787" xr:uid="{00000000-0005-0000-0000-0000F9E20000}"/>
    <cellStyle name="Normal 4 5 3 2 4 3 2 2" xfId="31868" xr:uid="{00000000-0005-0000-0000-0000FAE20000}"/>
    <cellStyle name="Normal 4 5 3 2 4 3 2 2 2" xfId="63739" xr:uid="{00000000-0005-0000-0000-0000FBE20000}"/>
    <cellStyle name="Normal 4 5 3 2 4 3 2 3" xfId="46666" xr:uid="{00000000-0005-0000-0000-0000FCE20000}"/>
    <cellStyle name="Normal 4 5 3 2 4 3 3" xfId="23990" xr:uid="{00000000-0005-0000-0000-0000FDE20000}"/>
    <cellStyle name="Normal 4 5 3 2 4 3 3 2" xfId="55861" xr:uid="{00000000-0005-0000-0000-0000FEE20000}"/>
    <cellStyle name="Normal 4 5 3 2 4 3 4" xfId="46665" xr:uid="{00000000-0005-0000-0000-0000FFE20000}"/>
    <cellStyle name="Normal 4 5 3 2 4 4" xfId="14788" xr:uid="{00000000-0005-0000-0000-000000E30000}"/>
    <cellStyle name="Normal 4 5 3 2 4 4 2" xfId="27929" xr:uid="{00000000-0005-0000-0000-000001E30000}"/>
    <cellStyle name="Normal 4 5 3 2 4 4 2 2" xfId="59800" xr:uid="{00000000-0005-0000-0000-000002E30000}"/>
    <cellStyle name="Normal 4 5 3 2 4 4 3" xfId="46667" xr:uid="{00000000-0005-0000-0000-000003E30000}"/>
    <cellStyle name="Normal 4 5 3 2 4 5" xfId="20051" xr:uid="{00000000-0005-0000-0000-000004E30000}"/>
    <cellStyle name="Normal 4 5 3 2 4 5 2" xfId="51922" xr:uid="{00000000-0005-0000-0000-000005E30000}"/>
    <cellStyle name="Normal 4 5 3 2 4 6" xfId="46660" xr:uid="{00000000-0005-0000-0000-000006E30000}"/>
    <cellStyle name="Normal 4 5 3 2 5" xfId="14789" xr:uid="{00000000-0005-0000-0000-000007E30000}"/>
    <cellStyle name="Normal 4 5 3 2 5 2" xfId="14790" xr:uid="{00000000-0005-0000-0000-000008E30000}"/>
    <cellStyle name="Normal 4 5 3 2 5 2 2" xfId="14791" xr:uid="{00000000-0005-0000-0000-000009E30000}"/>
    <cellStyle name="Normal 4 5 3 2 5 2 2 2" xfId="31870" xr:uid="{00000000-0005-0000-0000-00000AE30000}"/>
    <cellStyle name="Normal 4 5 3 2 5 2 2 2 2" xfId="63741" xr:uid="{00000000-0005-0000-0000-00000BE30000}"/>
    <cellStyle name="Normal 4 5 3 2 5 2 2 3" xfId="46670" xr:uid="{00000000-0005-0000-0000-00000CE30000}"/>
    <cellStyle name="Normal 4 5 3 2 5 2 3" xfId="23992" xr:uid="{00000000-0005-0000-0000-00000DE30000}"/>
    <cellStyle name="Normal 4 5 3 2 5 2 3 2" xfId="55863" xr:uid="{00000000-0005-0000-0000-00000EE30000}"/>
    <cellStyle name="Normal 4 5 3 2 5 2 4" xfId="46669" xr:uid="{00000000-0005-0000-0000-00000FE30000}"/>
    <cellStyle name="Normal 4 5 3 2 5 3" xfId="14792" xr:uid="{00000000-0005-0000-0000-000010E30000}"/>
    <cellStyle name="Normal 4 5 3 2 5 3 2" xfId="27931" xr:uid="{00000000-0005-0000-0000-000011E30000}"/>
    <cellStyle name="Normal 4 5 3 2 5 3 2 2" xfId="59802" xr:uid="{00000000-0005-0000-0000-000012E30000}"/>
    <cellStyle name="Normal 4 5 3 2 5 3 3" xfId="46671" xr:uid="{00000000-0005-0000-0000-000013E30000}"/>
    <cellStyle name="Normal 4 5 3 2 5 4" xfId="20053" xr:uid="{00000000-0005-0000-0000-000014E30000}"/>
    <cellStyle name="Normal 4 5 3 2 5 4 2" xfId="51924" xr:uid="{00000000-0005-0000-0000-000015E30000}"/>
    <cellStyle name="Normal 4 5 3 2 5 5" xfId="46668" xr:uid="{00000000-0005-0000-0000-000016E30000}"/>
    <cellStyle name="Normal 4 5 3 2 6" xfId="14793" xr:uid="{00000000-0005-0000-0000-000017E30000}"/>
    <cellStyle name="Normal 4 5 3 2 6 2" xfId="14794" xr:uid="{00000000-0005-0000-0000-000018E30000}"/>
    <cellStyle name="Normal 4 5 3 2 6 2 2" xfId="28498" xr:uid="{00000000-0005-0000-0000-000019E30000}"/>
    <cellStyle name="Normal 4 5 3 2 6 2 2 2" xfId="60369" xr:uid="{00000000-0005-0000-0000-00001AE30000}"/>
    <cellStyle name="Normal 4 5 3 2 6 2 3" xfId="46673" xr:uid="{00000000-0005-0000-0000-00001BE30000}"/>
    <cellStyle name="Normal 4 5 3 2 6 3" xfId="20620" xr:uid="{00000000-0005-0000-0000-00001CE30000}"/>
    <cellStyle name="Normal 4 5 3 2 6 3 2" xfId="52491" xr:uid="{00000000-0005-0000-0000-00001DE30000}"/>
    <cellStyle name="Normal 4 5 3 2 6 4" xfId="46672" xr:uid="{00000000-0005-0000-0000-00001EE30000}"/>
    <cellStyle name="Normal 4 5 3 2 7" xfId="14795" xr:uid="{00000000-0005-0000-0000-00001FE30000}"/>
    <cellStyle name="Normal 4 5 3 2 7 2" xfId="24559" xr:uid="{00000000-0005-0000-0000-000020E30000}"/>
    <cellStyle name="Normal 4 5 3 2 7 2 2" xfId="56430" xr:uid="{00000000-0005-0000-0000-000021E30000}"/>
    <cellStyle name="Normal 4 5 3 2 7 3" xfId="46674" xr:uid="{00000000-0005-0000-0000-000022E30000}"/>
    <cellStyle name="Normal 4 5 3 2 8" xfId="16681" xr:uid="{00000000-0005-0000-0000-000023E30000}"/>
    <cellStyle name="Normal 4 5 3 2 8 2" xfId="48552" xr:uid="{00000000-0005-0000-0000-000024E30000}"/>
    <cellStyle name="Normal 4 5 3 2 9" xfId="46611" xr:uid="{00000000-0005-0000-0000-000025E30000}"/>
    <cellStyle name="Normal 4 5 3 3" xfId="14796" xr:uid="{00000000-0005-0000-0000-000026E30000}"/>
    <cellStyle name="Normal 4 5 3 3 2" xfId="14797" xr:uid="{00000000-0005-0000-0000-000027E30000}"/>
    <cellStyle name="Normal 4 5 3 3 2 2" xfId="14798" xr:uid="{00000000-0005-0000-0000-000028E30000}"/>
    <cellStyle name="Normal 4 5 3 3 2 2 2" xfId="14799" xr:uid="{00000000-0005-0000-0000-000029E30000}"/>
    <cellStyle name="Normal 4 5 3 3 2 2 2 2" xfId="14800" xr:uid="{00000000-0005-0000-0000-00002AE30000}"/>
    <cellStyle name="Normal 4 5 3 3 2 2 2 2 2" xfId="14801" xr:uid="{00000000-0005-0000-0000-00002BE30000}"/>
    <cellStyle name="Normal 4 5 3 3 2 2 2 2 2 2" xfId="31874" xr:uid="{00000000-0005-0000-0000-00002CE30000}"/>
    <cellStyle name="Normal 4 5 3 3 2 2 2 2 2 2 2" xfId="63745" xr:uid="{00000000-0005-0000-0000-00002DE30000}"/>
    <cellStyle name="Normal 4 5 3 3 2 2 2 2 2 3" xfId="46680" xr:uid="{00000000-0005-0000-0000-00002EE30000}"/>
    <cellStyle name="Normal 4 5 3 3 2 2 2 2 3" xfId="23996" xr:uid="{00000000-0005-0000-0000-00002FE30000}"/>
    <cellStyle name="Normal 4 5 3 3 2 2 2 2 3 2" xfId="55867" xr:uid="{00000000-0005-0000-0000-000030E30000}"/>
    <cellStyle name="Normal 4 5 3 3 2 2 2 2 4" xfId="46679" xr:uid="{00000000-0005-0000-0000-000031E30000}"/>
    <cellStyle name="Normal 4 5 3 3 2 2 2 3" xfId="14802" xr:uid="{00000000-0005-0000-0000-000032E30000}"/>
    <cellStyle name="Normal 4 5 3 3 2 2 2 3 2" xfId="27935" xr:uid="{00000000-0005-0000-0000-000033E30000}"/>
    <cellStyle name="Normal 4 5 3 3 2 2 2 3 2 2" xfId="59806" xr:uid="{00000000-0005-0000-0000-000034E30000}"/>
    <cellStyle name="Normal 4 5 3 3 2 2 2 3 3" xfId="46681" xr:uid="{00000000-0005-0000-0000-000035E30000}"/>
    <cellStyle name="Normal 4 5 3 3 2 2 2 4" xfId="20057" xr:uid="{00000000-0005-0000-0000-000036E30000}"/>
    <cellStyle name="Normal 4 5 3 3 2 2 2 4 2" xfId="51928" xr:uid="{00000000-0005-0000-0000-000037E30000}"/>
    <cellStyle name="Normal 4 5 3 3 2 2 2 5" xfId="46678" xr:uid="{00000000-0005-0000-0000-000038E30000}"/>
    <cellStyle name="Normal 4 5 3 3 2 2 3" xfId="14803" xr:uid="{00000000-0005-0000-0000-000039E30000}"/>
    <cellStyle name="Normal 4 5 3 3 2 2 3 2" xfId="14804" xr:uid="{00000000-0005-0000-0000-00003AE30000}"/>
    <cellStyle name="Normal 4 5 3 3 2 2 3 2 2" xfId="31873" xr:uid="{00000000-0005-0000-0000-00003BE30000}"/>
    <cellStyle name="Normal 4 5 3 3 2 2 3 2 2 2" xfId="63744" xr:uid="{00000000-0005-0000-0000-00003CE30000}"/>
    <cellStyle name="Normal 4 5 3 3 2 2 3 2 3" xfId="46683" xr:uid="{00000000-0005-0000-0000-00003DE30000}"/>
    <cellStyle name="Normal 4 5 3 3 2 2 3 3" xfId="23995" xr:uid="{00000000-0005-0000-0000-00003EE30000}"/>
    <cellStyle name="Normal 4 5 3 3 2 2 3 3 2" xfId="55866" xr:uid="{00000000-0005-0000-0000-00003FE30000}"/>
    <cellStyle name="Normal 4 5 3 3 2 2 3 4" xfId="46682" xr:uid="{00000000-0005-0000-0000-000040E30000}"/>
    <cellStyle name="Normal 4 5 3 3 2 2 4" xfId="14805" xr:uid="{00000000-0005-0000-0000-000041E30000}"/>
    <cellStyle name="Normal 4 5 3 3 2 2 4 2" xfId="27934" xr:uid="{00000000-0005-0000-0000-000042E30000}"/>
    <cellStyle name="Normal 4 5 3 3 2 2 4 2 2" xfId="59805" xr:uid="{00000000-0005-0000-0000-000043E30000}"/>
    <cellStyle name="Normal 4 5 3 3 2 2 4 3" xfId="46684" xr:uid="{00000000-0005-0000-0000-000044E30000}"/>
    <cellStyle name="Normal 4 5 3 3 2 2 5" xfId="20056" xr:uid="{00000000-0005-0000-0000-000045E30000}"/>
    <cellStyle name="Normal 4 5 3 3 2 2 5 2" xfId="51927" xr:uid="{00000000-0005-0000-0000-000046E30000}"/>
    <cellStyle name="Normal 4 5 3 3 2 2 6" xfId="46677" xr:uid="{00000000-0005-0000-0000-000047E30000}"/>
    <cellStyle name="Normal 4 5 3 3 2 3" xfId="14806" xr:uid="{00000000-0005-0000-0000-000048E30000}"/>
    <cellStyle name="Normal 4 5 3 3 2 3 2" xfId="14807" xr:uid="{00000000-0005-0000-0000-000049E30000}"/>
    <cellStyle name="Normal 4 5 3 3 2 3 2 2" xfId="14808" xr:uid="{00000000-0005-0000-0000-00004AE30000}"/>
    <cellStyle name="Normal 4 5 3 3 2 3 2 2 2" xfId="31875" xr:uid="{00000000-0005-0000-0000-00004BE30000}"/>
    <cellStyle name="Normal 4 5 3 3 2 3 2 2 2 2" xfId="63746" xr:uid="{00000000-0005-0000-0000-00004CE30000}"/>
    <cellStyle name="Normal 4 5 3 3 2 3 2 2 3" xfId="46687" xr:uid="{00000000-0005-0000-0000-00004DE30000}"/>
    <cellStyle name="Normal 4 5 3 3 2 3 2 3" xfId="23997" xr:uid="{00000000-0005-0000-0000-00004EE30000}"/>
    <cellStyle name="Normal 4 5 3 3 2 3 2 3 2" xfId="55868" xr:uid="{00000000-0005-0000-0000-00004FE30000}"/>
    <cellStyle name="Normal 4 5 3 3 2 3 2 4" xfId="46686" xr:uid="{00000000-0005-0000-0000-000050E30000}"/>
    <cellStyle name="Normal 4 5 3 3 2 3 3" xfId="14809" xr:uid="{00000000-0005-0000-0000-000051E30000}"/>
    <cellStyle name="Normal 4 5 3 3 2 3 3 2" xfId="27936" xr:uid="{00000000-0005-0000-0000-000052E30000}"/>
    <cellStyle name="Normal 4 5 3 3 2 3 3 2 2" xfId="59807" xr:uid="{00000000-0005-0000-0000-000053E30000}"/>
    <cellStyle name="Normal 4 5 3 3 2 3 3 3" xfId="46688" xr:uid="{00000000-0005-0000-0000-000054E30000}"/>
    <cellStyle name="Normal 4 5 3 3 2 3 4" xfId="20058" xr:uid="{00000000-0005-0000-0000-000055E30000}"/>
    <cellStyle name="Normal 4 5 3 3 2 3 4 2" xfId="51929" xr:uid="{00000000-0005-0000-0000-000056E30000}"/>
    <cellStyle name="Normal 4 5 3 3 2 3 5" xfId="46685" xr:uid="{00000000-0005-0000-0000-000057E30000}"/>
    <cellStyle name="Normal 4 5 3 3 2 4" xfId="14810" xr:uid="{00000000-0005-0000-0000-000058E30000}"/>
    <cellStyle name="Normal 4 5 3 3 2 4 2" xfId="14811" xr:uid="{00000000-0005-0000-0000-000059E30000}"/>
    <cellStyle name="Normal 4 5 3 3 2 4 2 2" xfId="31872" xr:uid="{00000000-0005-0000-0000-00005AE30000}"/>
    <cellStyle name="Normal 4 5 3 3 2 4 2 2 2" xfId="63743" xr:uid="{00000000-0005-0000-0000-00005BE30000}"/>
    <cellStyle name="Normal 4 5 3 3 2 4 2 3" xfId="46690" xr:uid="{00000000-0005-0000-0000-00005CE30000}"/>
    <cellStyle name="Normal 4 5 3 3 2 4 3" xfId="23994" xr:uid="{00000000-0005-0000-0000-00005DE30000}"/>
    <cellStyle name="Normal 4 5 3 3 2 4 3 2" xfId="55865" xr:uid="{00000000-0005-0000-0000-00005EE30000}"/>
    <cellStyle name="Normal 4 5 3 3 2 4 4" xfId="46689" xr:uid="{00000000-0005-0000-0000-00005FE30000}"/>
    <cellStyle name="Normal 4 5 3 3 2 5" xfId="14812" xr:uid="{00000000-0005-0000-0000-000060E30000}"/>
    <cellStyle name="Normal 4 5 3 3 2 5 2" xfId="27933" xr:uid="{00000000-0005-0000-0000-000061E30000}"/>
    <cellStyle name="Normal 4 5 3 3 2 5 2 2" xfId="59804" xr:uid="{00000000-0005-0000-0000-000062E30000}"/>
    <cellStyle name="Normal 4 5 3 3 2 5 3" xfId="46691" xr:uid="{00000000-0005-0000-0000-000063E30000}"/>
    <cellStyle name="Normal 4 5 3 3 2 6" xfId="20055" xr:uid="{00000000-0005-0000-0000-000064E30000}"/>
    <cellStyle name="Normal 4 5 3 3 2 6 2" xfId="51926" xr:uid="{00000000-0005-0000-0000-000065E30000}"/>
    <cellStyle name="Normal 4 5 3 3 2 7" xfId="46676" xr:uid="{00000000-0005-0000-0000-000066E30000}"/>
    <cellStyle name="Normal 4 5 3 3 3" xfId="14813" xr:uid="{00000000-0005-0000-0000-000067E30000}"/>
    <cellStyle name="Normal 4 5 3 3 3 2" xfId="14814" xr:uid="{00000000-0005-0000-0000-000068E30000}"/>
    <cellStyle name="Normal 4 5 3 3 3 2 2" xfId="14815" xr:uid="{00000000-0005-0000-0000-000069E30000}"/>
    <cellStyle name="Normal 4 5 3 3 3 2 2 2" xfId="14816" xr:uid="{00000000-0005-0000-0000-00006AE30000}"/>
    <cellStyle name="Normal 4 5 3 3 3 2 2 2 2" xfId="31877" xr:uid="{00000000-0005-0000-0000-00006BE30000}"/>
    <cellStyle name="Normal 4 5 3 3 3 2 2 2 2 2" xfId="63748" xr:uid="{00000000-0005-0000-0000-00006CE30000}"/>
    <cellStyle name="Normal 4 5 3 3 3 2 2 2 3" xfId="46695" xr:uid="{00000000-0005-0000-0000-00006DE30000}"/>
    <cellStyle name="Normal 4 5 3 3 3 2 2 3" xfId="23999" xr:uid="{00000000-0005-0000-0000-00006EE30000}"/>
    <cellStyle name="Normal 4 5 3 3 3 2 2 3 2" xfId="55870" xr:uid="{00000000-0005-0000-0000-00006FE30000}"/>
    <cellStyle name="Normal 4 5 3 3 3 2 2 4" xfId="46694" xr:uid="{00000000-0005-0000-0000-000070E30000}"/>
    <cellStyle name="Normal 4 5 3 3 3 2 3" xfId="14817" xr:uid="{00000000-0005-0000-0000-000071E30000}"/>
    <cellStyle name="Normal 4 5 3 3 3 2 3 2" xfId="27938" xr:uid="{00000000-0005-0000-0000-000072E30000}"/>
    <cellStyle name="Normal 4 5 3 3 3 2 3 2 2" xfId="59809" xr:uid="{00000000-0005-0000-0000-000073E30000}"/>
    <cellStyle name="Normal 4 5 3 3 3 2 3 3" xfId="46696" xr:uid="{00000000-0005-0000-0000-000074E30000}"/>
    <cellStyle name="Normal 4 5 3 3 3 2 4" xfId="20060" xr:uid="{00000000-0005-0000-0000-000075E30000}"/>
    <cellStyle name="Normal 4 5 3 3 3 2 4 2" xfId="51931" xr:uid="{00000000-0005-0000-0000-000076E30000}"/>
    <cellStyle name="Normal 4 5 3 3 3 2 5" xfId="46693" xr:uid="{00000000-0005-0000-0000-000077E30000}"/>
    <cellStyle name="Normal 4 5 3 3 3 3" xfId="14818" xr:uid="{00000000-0005-0000-0000-000078E30000}"/>
    <cellStyle name="Normal 4 5 3 3 3 3 2" xfId="14819" xr:uid="{00000000-0005-0000-0000-000079E30000}"/>
    <cellStyle name="Normal 4 5 3 3 3 3 2 2" xfId="31876" xr:uid="{00000000-0005-0000-0000-00007AE30000}"/>
    <cellStyle name="Normal 4 5 3 3 3 3 2 2 2" xfId="63747" xr:uid="{00000000-0005-0000-0000-00007BE30000}"/>
    <cellStyle name="Normal 4 5 3 3 3 3 2 3" xfId="46698" xr:uid="{00000000-0005-0000-0000-00007CE30000}"/>
    <cellStyle name="Normal 4 5 3 3 3 3 3" xfId="23998" xr:uid="{00000000-0005-0000-0000-00007DE30000}"/>
    <cellStyle name="Normal 4 5 3 3 3 3 3 2" xfId="55869" xr:uid="{00000000-0005-0000-0000-00007EE30000}"/>
    <cellStyle name="Normal 4 5 3 3 3 3 4" xfId="46697" xr:uid="{00000000-0005-0000-0000-00007FE30000}"/>
    <cellStyle name="Normal 4 5 3 3 3 4" xfId="14820" xr:uid="{00000000-0005-0000-0000-000080E30000}"/>
    <cellStyle name="Normal 4 5 3 3 3 4 2" xfId="27937" xr:uid="{00000000-0005-0000-0000-000081E30000}"/>
    <cellStyle name="Normal 4 5 3 3 3 4 2 2" xfId="59808" xr:uid="{00000000-0005-0000-0000-000082E30000}"/>
    <cellStyle name="Normal 4 5 3 3 3 4 3" xfId="46699" xr:uid="{00000000-0005-0000-0000-000083E30000}"/>
    <cellStyle name="Normal 4 5 3 3 3 5" xfId="20059" xr:uid="{00000000-0005-0000-0000-000084E30000}"/>
    <cellStyle name="Normal 4 5 3 3 3 5 2" xfId="51930" xr:uid="{00000000-0005-0000-0000-000085E30000}"/>
    <cellStyle name="Normal 4 5 3 3 3 6" xfId="46692" xr:uid="{00000000-0005-0000-0000-000086E30000}"/>
    <cellStyle name="Normal 4 5 3 3 4" xfId="14821" xr:uid="{00000000-0005-0000-0000-000087E30000}"/>
    <cellStyle name="Normal 4 5 3 3 4 2" xfId="14822" xr:uid="{00000000-0005-0000-0000-000088E30000}"/>
    <cellStyle name="Normal 4 5 3 3 4 2 2" xfId="14823" xr:uid="{00000000-0005-0000-0000-000089E30000}"/>
    <cellStyle name="Normal 4 5 3 3 4 2 2 2" xfId="31878" xr:uid="{00000000-0005-0000-0000-00008AE30000}"/>
    <cellStyle name="Normal 4 5 3 3 4 2 2 2 2" xfId="63749" xr:uid="{00000000-0005-0000-0000-00008BE30000}"/>
    <cellStyle name="Normal 4 5 3 3 4 2 2 3" xfId="46702" xr:uid="{00000000-0005-0000-0000-00008CE30000}"/>
    <cellStyle name="Normal 4 5 3 3 4 2 3" xfId="24000" xr:uid="{00000000-0005-0000-0000-00008DE30000}"/>
    <cellStyle name="Normal 4 5 3 3 4 2 3 2" xfId="55871" xr:uid="{00000000-0005-0000-0000-00008EE30000}"/>
    <cellStyle name="Normal 4 5 3 3 4 2 4" xfId="46701" xr:uid="{00000000-0005-0000-0000-00008FE30000}"/>
    <cellStyle name="Normal 4 5 3 3 4 3" xfId="14824" xr:uid="{00000000-0005-0000-0000-000090E30000}"/>
    <cellStyle name="Normal 4 5 3 3 4 3 2" xfId="27939" xr:uid="{00000000-0005-0000-0000-000091E30000}"/>
    <cellStyle name="Normal 4 5 3 3 4 3 2 2" xfId="59810" xr:uid="{00000000-0005-0000-0000-000092E30000}"/>
    <cellStyle name="Normal 4 5 3 3 4 3 3" xfId="46703" xr:uid="{00000000-0005-0000-0000-000093E30000}"/>
    <cellStyle name="Normal 4 5 3 3 4 4" xfId="20061" xr:uid="{00000000-0005-0000-0000-000094E30000}"/>
    <cellStyle name="Normal 4 5 3 3 4 4 2" xfId="51932" xr:uid="{00000000-0005-0000-0000-000095E30000}"/>
    <cellStyle name="Normal 4 5 3 3 4 5" xfId="46700" xr:uid="{00000000-0005-0000-0000-000096E30000}"/>
    <cellStyle name="Normal 4 5 3 3 5" xfId="14825" xr:uid="{00000000-0005-0000-0000-000097E30000}"/>
    <cellStyle name="Normal 4 5 3 3 5 2" xfId="14826" xr:uid="{00000000-0005-0000-0000-000098E30000}"/>
    <cellStyle name="Normal 4 5 3 3 5 2 2" xfId="31871" xr:uid="{00000000-0005-0000-0000-000099E30000}"/>
    <cellStyle name="Normal 4 5 3 3 5 2 2 2" xfId="63742" xr:uid="{00000000-0005-0000-0000-00009AE30000}"/>
    <cellStyle name="Normal 4 5 3 3 5 2 3" xfId="46705" xr:uid="{00000000-0005-0000-0000-00009BE30000}"/>
    <cellStyle name="Normal 4 5 3 3 5 3" xfId="23993" xr:uid="{00000000-0005-0000-0000-00009CE30000}"/>
    <cellStyle name="Normal 4 5 3 3 5 3 2" xfId="55864" xr:uid="{00000000-0005-0000-0000-00009DE30000}"/>
    <cellStyle name="Normal 4 5 3 3 5 4" xfId="46704" xr:uid="{00000000-0005-0000-0000-00009EE30000}"/>
    <cellStyle name="Normal 4 5 3 3 6" xfId="14827" xr:uid="{00000000-0005-0000-0000-00009FE30000}"/>
    <cellStyle name="Normal 4 5 3 3 6 2" xfId="27932" xr:uid="{00000000-0005-0000-0000-0000A0E30000}"/>
    <cellStyle name="Normal 4 5 3 3 6 2 2" xfId="59803" xr:uid="{00000000-0005-0000-0000-0000A1E30000}"/>
    <cellStyle name="Normal 4 5 3 3 6 3" xfId="46706" xr:uid="{00000000-0005-0000-0000-0000A2E30000}"/>
    <cellStyle name="Normal 4 5 3 3 7" xfId="20054" xr:uid="{00000000-0005-0000-0000-0000A3E30000}"/>
    <cellStyle name="Normal 4 5 3 3 7 2" xfId="51925" xr:uid="{00000000-0005-0000-0000-0000A4E30000}"/>
    <cellStyle name="Normal 4 5 3 3 8" xfId="46675" xr:uid="{00000000-0005-0000-0000-0000A5E30000}"/>
    <cellStyle name="Normal 4 5 3 4" xfId="14828" xr:uid="{00000000-0005-0000-0000-0000A6E30000}"/>
    <cellStyle name="Normal 4 5 3 4 2" xfId="14829" xr:uid="{00000000-0005-0000-0000-0000A7E30000}"/>
    <cellStyle name="Normal 4 5 3 4 2 2" xfId="14830" xr:uid="{00000000-0005-0000-0000-0000A8E30000}"/>
    <cellStyle name="Normal 4 5 3 4 2 2 2" xfId="14831" xr:uid="{00000000-0005-0000-0000-0000A9E30000}"/>
    <cellStyle name="Normal 4 5 3 4 2 2 2 2" xfId="14832" xr:uid="{00000000-0005-0000-0000-0000AAE30000}"/>
    <cellStyle name="Normal 4 5 3 4 2 2 2 2 2" xfId="31881" xr:uid="{00000000-0005-0000-0000-0000ABE30000}"/>
    <cellStyle name="Normal 4 5 3 4 2 2 2 2 2 2" xfId="63752" xr:uid="{00000000-0005-0000-0000-0000ACE30000}"/>
    <cellStyle name="Normal 4 5 3 4 2 2 2 2 3" xfId="46711" xr:uid="{00000000-0005-0000-0000-0000ADE30000}"/>
    <cellStyle name="Normal 4 5 3 4 2 2 2 3" xfId="24003" xr:uid="{00000000-0005-0000-0000-0000AEE30000}"/>
    <cellStyle name="Normal 4 5 3 4 2 2 2 3 2" xfId="55874" xr:uid="{00000000-0005-0000-0000-0000AFE30000}"/>
    <cellStyle name="Normal 4 5 3 4 2 2 2 4" xfId="46710" xr:uid="{00000000-0005-0000-0000-0000B0E30000}"/>
    <cellStyle name="Normal 4 5 3 4 2 2 3" xfId="14833" xr:uid="{00000000-0005-0000-0000-0000B1E30000}"/>
    <cellStyle name="Normal 4 5 3 4 2 2 3 2" xfId="27942" xr:uid="{00000000-0005-0000-0000-0000B2E30000}"/>
    <cellStyle name="Normal 4 5 3 4 2 2 3 2 2" xfId="59813" xr:uid="{00000000-0005-0000-0000-0000B3E30000}"/>
    <cellStyle name="Normal 4 5 3 4 2 2 3 3" xfId="46712" xr:uid="{00000000-0005-0000-0000-0000B4E30000}"/>
    <cellStyle name="Normal 4 5 3 4 2 2 4" xfId="20064" xr:uid="{00000000-0005-0000-0000-0000B5E30000}"/>
    <cellStyle name="Normal 4 5 3 4 2 2 4 2" xfId="51935" xr:uid="{00000000-0005-0000-0000-0000B6E30000}"/>
    <cellStyle name="Normal 4 5 3 4 2 2 5" xfId="46709" xr:uid="{00000000-0005-0000-0000-0000B7E30000}"/>
    <cellStyle name="Normal 4 5 3 4 2 3" xfId="14834" xr:uid="{00000000-0005-0000-0000-0000B8E30000}"/>
    <cellStyle name="Normal 4 5 3 4 2 3 2" xfId="14835" xr:uid="{00000000-0005-0000-0000-0000B9E30000}"/>
    <cellStyle name="Normal 4 5 3 4 2 3 2 2" xfId="31880" xr:uid="{00000000-0005-0000-0000-0000BAE30000}"/>
    <cellStyle name="Normal 4 5 3 4 2 3 2 2 2" xfId="63751" xr:uid="{00000000-0005-0000-0000-0000BBE30000}"/>
    <cellStyle name="Normal 4 5 3 4 2 3 2 3" xfId="46714" xr:uid="{00000000-0005-0000-0000-0000BCE30000}"/>
    <cellStyle name="Normal 4 5 3 4 2 3 3" xfId="24002" xr:uid="{00000000-0005-0000-0000-0000BDE30000}"/>
    <cellStyle name="Normal 4 5 3 4 2 3 3 2" xfId="55873" xr:uid="{00000000-0005-0000-0000-0000BEE30000}"/>
    <cellStyle name="Normal 4 5 3 4 2 3 4" xfId="46713" xr:uid="{00000000-0005-0000-0000-0000BFE30000}"/>
    <cellStyle name="Normal 4 5 3 4 2 4" xfId="14836" xr:uid="{00000000-0005-0000-0000-0000C0E30000}"/>
    <cellStyle name="Normal 4 5 3 4 2 4 2" xfId="27941" xr:uid="{00000000-0005-0000-0000-0000C1E30000}"/>
    <cellStyle name="Normal 4 5 3 4 2 4 2 2" xfId="59812" xr:uid="{00000000-0005-0000-0000-0000C2E30000}"/>
    <cellStyle name="Normal 4 5 3 4 2 4 3" xfId="46715" xr:uid="{00000000-0005-0000-0000-0000C3E30000}"/>
    <cellStyle name="Normal 4 5 3 4 2 5" xfId="20063" xr:uid="{00000000-0005-0000-0000-0000C4E30000}"/>
    <cellStyle name="Normal 4 5 3 4 2 5 2" xfId="51934" xr:uid="{00000000-0005-0000-0000-0000C5E30000}"/>
    <cellStyle name="Normal 4 5 3 4 2 6" xfId="46708" xr:uid="{00000000-0005-0000-0000-0000C6E30000}"/>
    <cellStyle name="Normal 4 5 3 4 3" xfId="14837" xr:uid="{00000000-0005-0000-0000-0000C7E30000}"/>
    <cellStyle name="Normal 4 5 3 4 3 2" xfId="14838" xr:uid="{00000000-0005-0000-0000-0000C8E30000}"/>
    <cellStyle name="Normal 4 5 3 4 3 2 2" xfId="14839" xr:uid="{00000000-0005-0000-0000-0000C9E30000}"/>
    <cellStyle name="Normal 4 5 3 4 3 2 2 2" xfId="31882" xr:uid="{00000000-0005-0000-0000-0000CAE30000}"/>
    <cellStyle name="Normal 4 5 3 4 3 2 2 2 2" xfId="63753" xr:uid="{00000000-0005-0000-0000-0000CBE30000}"/>
    <cellStyle name="Normal 4 5 3 4 3 2 2 3" xfId="46718" xr:uid="{00000000-0005-0000-0000-0000CCE30000}"/>
    <cellStyle name="Normal 4 5 3 4 3 2 3" xfId="24004" xr:uid="{00000000-0005-0000-0000-0000CDE30000}"/>
    <cellStyle name="Normal 4 5 3 4 3 2 3 2" xfId="55875" xr:uid="{00000000-0005-0000-0000-0000CEE30000}"/>
    <cellStyle name="Normal 4 5 3 4 3 2 4" xfId="46717" xr:uid="{00000000-0005-0000-0000-0000CFE30000}"/>
    <cellStyle name="Normal 4 5 3 4 3 3" xfId="14840" xr:uid="{00000000-0005-0000-0000-0000D0E30000}"/>
    <cellStyle name="Normal 4 5 3 4 3 3 2" xfId="27943" xr:uid="{00000000-0005-0000-0000-0000D1E30000}"/>
    <cellStyle name="Normal 4 5 3 4 3 3 2 2" xfId="59814" xr:uid="{00000000-0005-0000-0000-0000D2E30000}"/>
    <cellStyle name="Normal 4 5 3 4 3 3 3" xfId="46719" xr:uid="{00000000-0005-0000-0000-0000D3E30000}"/>
    <cellStyle name="Normal 4 5 3 4 3 4" xfId="20065" xr:uid="{00000000-0005-0000-0000-0000D4E30000}"/>
    <cellStyle name="Normal 4 5 3 4 3 4 2" xfId="51936" xr:uid="{00000000-0005-0000-0000-0000D5E30000}"/>
    <cellStyle name="Normal 4 5 3 4 3 5" xfId="46716" xr:uid="{00000000-0005-0000-0000-0000D6E30000}"/>
    <cellStyle name="Normal 4 5 3 4 4" xfId="14841" xr:uid="{00000000-0005-0000-0000-0000D7E30000}"/>
    <cellStyle name="Normal 4 5 3 4 4 2" xfId="14842" xr:uid="{00000000-0005-0000-0000-0000D8E30000}"/>
    <cellStyle name="Normal 4 5 3 4 4 2 2" xfId="31879" xr:uid="{00000000-0005-0000-0000-0000D9E30000}"/>
    <cellStyle name="Normal 4 5 3 4 4 2 2 2" xfId="63750" xr:uid="{00000000-0005-0000-0000-0000DAE30000}"/>
    <cellStyle name="Normal 4 5 3 4 4 2 3" xfId="46721" xr:uid="{00000000-0005-0000-0000-0000DBE30000}"/>
    <cellStyle name="Normal 4 5 3 4 4 3" xfId="24001" xr:uid="{00000000-0005-0000-0000-0000DCE30000}"/>
    <cellStyle name="Normal 4 5 3 4 4 3 2" xfId="55872" xr:uid="{00000000-0005-0000-0000-0000DDE30000}"/>
    <cellStyle name="Normal 4 5 3 4 4 4" xfId="46720" xr:uid="{00000000-0005-0000-0000-0000DEE30000}"/>
    <cellStyle name="Normal 4 5 3 4 5" xfId="14843" xr:uid="{00000000-0005-0000-0000-0000DFE30000}"/>
    <cellStyle name="Normal 4 5 3 4 5 2" xfId="27940" xr:uid="{00000000-0005-0000-0000-0000E0E30000}"/>
    <cellStyle name="Normal 4 5 3 4 5 2 2" xfId="59811" xr:uid="{00000000-0005-0000-0000-0000E1E30000}"/>
    <cellStyle name="Normal 4 5 3 4 5 3" xfId="46722" xr:uid="{00000000-0005-0000-0000-0000E2E30000}"/>
    <cellStyle name="Normal 4 5 3 4 6" xfId="20062" xr:uid="{00000000-0005-0000-0000-0000E3E30000}"/>
    <cellStyle name="Normal 4 5 3 4 6 2" xfId="51933" xr:uid="{00000000-0005-0000-0000-0000E4E30000}"/>
    <cellStyle name="Normal 4 5 3 4 7" xfId="46707" xr:uid="{00000000-0005-0000-0000-0000E5E30000}"/>
    <cellStyle name="Normal 4 5 3 5" xfId="14844" xr:uid="{00000000-0005-0000-0000-0000E6E30000}"/>
    <cellStyle name="Normal 4 5 3 5 2" xfId="14845" xr:uid="{00000000-0005-0000-0000-0000E7E30000}"/>
    <cellStyle name="Normal 4 5 3 5 2 2" xfId="14846" xr:uid="{00000000-0005-0000-0000-0000E8E30000}"/>
    <cellStyle name="Normal 4 5 3 5 2 2 2" xfId="14847" xr:uid="{00000000-0005-0000-0000-0000E9E30000}"/>
    <cellStyle name="Normal 4 5 3 5 2 2 2 2" xfId="31884" xr:uid="{00000000-0005-0000-0000-0000EAE30000}"/>
    <cellStyle name="Normal 4 5 3 5 2 2 2 2 2" xfId="63755" xr:uid="{00000000-0005-0000-0000-0000EBE30000}"/>
    <cellStyle name="Normal 4 5 3 5 2 2 2 3" xfId="46726" xr:uid="{00000000-0005-0000-0000-0000ECE30000}"/>
    <cellStyle name="Normal 4 5 3 5 2 2 3" xfId="24006" xr:uid="{00000000-0005-0000-0000-0000EDE30000}"/>
    <cellStyle name="Normal 4 5 3 5 2 2 3 2" xfId="55877" xr:uid="{00000000-0005-0000-0000-0000EEE30000}"/>
    <cellStyle name="Normal 4 5 3 5 2 2 4" xfId="46725" xr:uid="{00000000-0005-0000-0000-0000EFE30000}"/>
    <cellStyle name="Normal 4 5 3 5 2 3" xfId="14848" xr:uid="{00000000-0005-0000-0000-0000F0E30000}"/>
    <cellStyle name="Normal 4 5 3 5 2 3 2" xfId="27945" xr:uid="{00000000-0005-0000-0000-0000F1E30000}"/>
    <cellStyle name="Normal 4 5 3 5 2 3 2 2" xfId="59816" xr:uid="{00000000-0005-0000-0000-0000F2E30000}"/>
    <cellStyle name="Normal 4 5 3 5 2 3 3" xfId="46727" xr:uid="{00000000-0005-0000-0000-0000F3E30000}"/>
    <cellStyle name="Normal 4 5 3 5 2 4" xfId="20067" xr:uid="{00000000-0005-0000-0000-0000F4E30000}"/>
    <cellStyle name="Normal 4 5 3 5 2 4 2" xfId="51938" xr:uid="{00000000-0005-0000-0000-0000F5E30000}"/>
    <cellStyle name="Normal 4 5 3 5 2 5" xfId="46724" xr:uid="{00000000-0005-0000-0000-0000F6E30000}"/>
    <cellStyle name="Normal 4 5 3 5 3" xfId="14849" xr:uid="{00000000-0005-0000-0000-0000F7E30000}"/>
    <cellStyle name="Normal 4 5 3 5 3 2" xfId="14850" xr:uid="{00000000-0005-0000-0000-0000F8E30000}"/>
    <cellStyle name="Normal 4 5 3 5 3 2 2" xfId="31883" xr:uid="{00000000-0005-0000-0000-0000F9E30000}"/>
    <cellStyle name="Normal 4 5 3 5 3 2 2 2" xfId="63754" xr:uid="{00000000-0005-0000-0000-0000FAE30000}"/>
    <cellStyle name="Normal 4 5 3 5 3 2 3" xfId="46729" xr:uid="{00000000-0005-0000-0000-0000FBE30000}"/>
    <cellStyle name="Normal 4 5 3 5 3 3" xfId="24005" xr:uid="{00000000-0005-0000-0000-0000FCE30000}"/>
    <cellStyle name="Normal 4 5 3 5 3 3 2" xfId="55876" xr:uid="{00000000-0005-0000-0000-0000FDE30000}"/>
    <cellStyle name="Normal 4 5 3 5 3 4" xfId="46728" xr:uid="{00000000-0005-0000-0000-0000FEE30000}"/>
    <cellStyle name="Normal 4 5 3 5 4" xfId="14851" xr:uid="{00000000-0005-0000-0000-0000FFE30000}"/>
    <cellStyle name="Normal 4 5 3 5 4 2" xfId="27944" xr:uid="{00000000-0005-0000-0000-000000E40000}"/>
    <cellStyle name="Normal 4 5 3 5 4 2 2" xfId="59815" xr:uid="{00000000-0005-0000-0000-000001E40000}"/>
    <cellStyle name="Normal 4 5 3 5 4 3" xfId="46730" xr:uid="{00000000-0005-0000-0000-000002E40000}"/>
    <cellStyle name="Normal 4 5 3 5 5" xfId="20066" xr:uid="{00000000-0005-0000-0000-000003E40000}"/>
    <cellStyle name="Normal 4 5 3 5 5 2" xfId="51937" xr:uid="{00000000-0005-0000-0000-000004E40000}"/>
    <cellStyle name="Normal 4 5 3 5 6" xfId="46723" xr:uid="{00000000-0005-0000-0000-000005E40000}"/>
    <cellStyle name="Normal 4 5 3 6" xfId="14852" xr:uid="{00000000-0005-0000-0000-000006E40000}"/>
    <cellStyle name="Normal 4 5 3 6 2" xfId="14853" xr:uid="{00000000-0005-0000-0000-000007E40000}"/>
    <cellStyle name="Normal 4 5 3 6 2 2" xfId="14854" xr:uid="{00000000-0005-0000-0000-000008E40000}"/>
    <cellStyle name="Normal 4 5 3 6 2 2 2" xfId="31885" xr:uid="{00000000-0005-0000-0000-000009E40000}"/>
    <cellStyle name="Normal 4 5 3 6 2 2 2 2" xfId="63756" xr:uid="{00000000-0005-0000-0000-00000AE40000}"/>
    <cellStyle name="Normal 4 5 3 6 2 2 3" xfId="46733" xr:uid="{00000000-0005-0000-0000-00000BE40000}"/>
    <cellStyle name="Normal 4 5 3 6 2 3" xfId="24007" xr:uid="{00000000-0005-0000-0000-00000CE40000}"/>
    <cellStyle name="Normal 4 5 3 6 2 3 2" xfId="55878" xr:uid="{00000000-0005-0000-0000-00000DE40000}"/>
    <cellStyle name="Normal 4 5 3 6 2 4" xfId="46732" xr:uid="{00000000-0005-0000-0000-00000EE40000}"/>
    <cellStyle name="Normal 4 5 3 6 3" xfId="14855" xr:uid="{00000000-0005-0000-0000-00000FE40000}"/>
    <cellStyle name="Normal 4 5 3 6 3 2" xfId="27946" xr:uid="{00000000-0005-0000-0000-000010E40000}"/>
    <cellStyle name="Normal 4 5 3 6 3 2 2" xfId="59817" xr:uid="{00000000-0005-0000-0000-000011E40000}"/>
    <cellStyle name="Normal 4 5 3 6 3 3" xfId="46734" xr:uid="{00000000-0005-0000-0000-000012E40000}"/>
    <cellStyle name="Normal 4 5 3 6 4" xfId="20068" xr:uid="{00000000-0005-0000-0000-000013E40000}"/>
    <cellStyle name="Normal 4 5 3 6 4 2" xfId="51939" xr:uid="{00000000-0005-0000-0000-000014E40000}"/>
    <cellStyle name="Normal 4 5 3 6 5" xfId="46731" xr:uid="{00000000-0005-0000-0000-000015E40000}"/>
    <cellStyle name="Normal 4 5 3 7" xfId="14856" xr:uid="{00000000-0005-0000-0000-000016E40000}"/>
    <cellStyle name="Normal 4 5 3 7 2" xfId="14857" xr:uid="{00000000-0005-0000-0000-000017E40000}"/>
    <cellStyle name="Normal 4 5 3 7 2 2" xfId="28375" xr:uid="{00000000-0005-0000-0000-000018E40000}"/>
    <cellStyle name="Normal 4 5 3 7 2 2 2" xfId="60246" xr:uid="{00000000-0005-0000-0000-000019E40000}"/>
    <cellStyle name="Normal 4 5 3 7 2 3" xfId="46736" xr:uid="{00000000-0005-0000-0000-00001AE40000}"/>
    <cellStyle name="Normal 4 5 3 7 3" xfId="20497" xr:uid="{00000000-0005-0000-0000-00001BE40000}"/>
    <cellStyle name="Normal 4 5 3 7 3 2" xfId="52368" xr:uid="{00000000-0005-0000-0000-00001CE40000}"/>
    <cellStyle name="Normal 4 5 3 7 4" xfId="46735" xr:uid="{00000000-0005-0000-0000-00001DE40000}"/>
    <cellStyle name="Normal 4 5 3 8" xfId="14858" xr:uid="{00000000-0005-0000-0000-00001EE40000}"/>
    <cellStyle name="Normal 4 5 3 8 2" xfId="24436" xr:uid="{00000000-0005-0000-0000-00001FE40000}"/>
    <cellStyle name="Normal 4 5 3 8 2 2" xfId="56307" xr:uid="{00000000-0005-0000-0000-000020E40000}"/>
    <cellStyle name="Normal 4 5 3 8 3" xfId="46737" xr:uid="{00000000-0005-0000-0000-000021E40000}"/>
    <cellStyle name="Normal 4 5 3 9" xfId="16558" xr:uid="{00000000-0005-0000-0000-000022E40000}"/>
    <cellStyle name="Normal 4 5 3 9 2" xfId="48429" xr:uid="{00000000-0005-0000-0000-000023E40000}"/>
    <cellStyle name="Normal 4 5 4" xfId="14859" xr:uid="{00000000-0005-0000-0000-000024E40000}"/>
    <cellStyle name="Normal 4 5 4 2" xfId="14860" xr:uid="{00000000-0005-0000-0000-000025E40000}"/>
    <cellStyle name="Normal 4 5 4 2 2" xfId="14861" xr:uid="{00000000-0005-0000-0000-000026E40000}"/>
    <cellStyle name="Normal 4 5 4 2 2 2" xfId="14862" xr:uid="{00000000-0005-0000-0000-000027E40000}"/>
    <cellStyle name="Normal 4 5 4 2 2 2 2" xfId="14863" xr:uid="{00000000-0005-0000-0000-000028E40000}"/>
    <cellStyle name="Normal 4 5 4 2 2 2 2 2" xfId="14864" xr:uid="{00000000-0005-0000-0000-000029E40000}"/>
    <cellStyle name="Normal 4 5 4 2 2 2 2 2 2" xfId="14865" xr:uid="{00000000-0005-0000-0000-00002AE40000}"/>
    <cellStyle name="Normal 4 5 4 2 2 2 2 2 2 2" xfId="31889" xr:uid="{00000000-0005-0000-0000-00002BE40000}"/>
    <cellStyle name="Normal 4 5 4 2 2 2 2 2 2 2 2" xfId="63760" xr:uid="{00000000-0005-0000-0000-00002CE40000}"/>
    <cellStyle name="Normal 4 5 4 2 2 2 2 2 2 3" xfId="46744" xr:uid="{00000000-0005-0000-0000-00002DE40000}"/>
    <cellStyle name="Normal 4 5 4 2 2 2 2 2 3" xfId="24011" xr:uid="{00000000-0005-0000-0000-00002EE40000}"/>
    <cellStyle name="Normal 4 5 4 2 2 2 2 2 3 2" xfId="55882" xr:uid="{00000000-0005-0000-0000-00002FE40000}"/>
    <cellStyle name="Normal 4 5 4 2 2 2 2 2 4" xfId="46743" xr:uid="{00000000-0005-0000-0000-000030E40000}"/>
    <cellStyle name="Normal 4 5 4 2 2 2 2 3" xfId="14866" xr:uid="{00000000-0005-0000-0000-000031E40000}"/>
    <cellStyle name="Normal 4 5 4 2 2 2 2 3 2" xfId="27950" xr:uid="{00000000-0005-0000-0000-000032E40000}"/>
    <cellStyle name="Normal 4 5 4 2 2 2 2 3 2 2" xfId="59821" xr:uid="{00000000-0005-0000-0000-000033E40000}"/>
    <cellStyle name="Normal 4 5 4 2 2 2 2 3 3" xfId="46745" xr:uid="{00000000-0005-0000-0000-000034E40000}"/>
    <cellStyle name="Normal 4 5 4 2 2 2 2 4" xfId="20072" xr:uid="{00000000-0005-0000-0000-000035E40000}"/>
    <cellStyle name="Normal 4 5 4 2 2 2 2 4 2" xfId="51943" xr:uid="{00000000-0005-0000-0000-000036E40000}"/>
    <cellStyle name="Normal 4 5 4 2 2 2 2 5" xfId="46742" xr:uid="{00000000-0005-0000-0000-000037E40000}"/>
    <cellStyle name="Normal 4 5 4 2 2 2 3" xfId="14867" xr:uid="{00000000-0005-0000-0000-000038E40000}"/>
    <cellStyle name="Normal 4 5 4 2 2 2 3 2" xfId="14868" xr:uid="{00000000-0005-0000-0000-000039E40000}"/>
    <cellStyle name="Normal 4 5 4 2 2 2 3 2 2" xfId="31888" xr:uid="{00000000-0005-0000-0000-00003AE40000}"/>
    <cellStyle name="Normal 4 5 4 2 2 2 3 2 2 2" xfId="63759" xr:uid="{00000000-0005-0000-0000-00003BE40000}"/>
    <cellStyle name="Normal 4 5 4 2 2 2 3 2 3" xfId="46747" xr:uid="{00000000-0005-0000-0000-00003CE40000}"/>
    <cellStyle name="Normal 4 5 4 2 2 2 3 3" xfId="24010" xr:uid="{00000000-0005-0000-0000-00003DE40000}"/>
    <cellStyle name="Normal 4 5 4 2 2 2 3 3 2" xfId="55881" xr:uid="{00000000-0005-0000-0000-00003EE40000}"/>
    <cellStyle name="Normal 4 5 4 2 2 2 3 4" xfId="46746" xr:uid="{00000000-0005-0000-0000-00003FE40000}"/>
    <cellStyle name="Normal 4 5 4 2 2 2 4" xfId="14869" xr:uid="{00000000-0005-0000-0000-000040E40000}"/>
    <cellStyle name="Normal 4 5 4 2 2 2 4 2" xfId="27949" xr:uid="{00000000-0005-0000-0000-000041E40000}"/>
    <cellStyle name="Normal 4 5 4 2 2 2 4 2 2" xfId="59820" xr:uid="{00000000-0005-0000-0000-000042E40000}"/>
    <cellStyle name="Normal 4 5 4 2 2 2 4 3" xfId="46748" xr:uid="{00000000-0005-0000-0000-000043E40000}"/>
    <cellStyle name="Normal 4 5 4 2 2 2 5" xfId="20071" xr:uid="{00000000-0005-0000-0000-000044E40000}"/>
    <cellStyle name="Normal 4 5 4 2 2 2 5 2" xfId="51942" xr:uid="{00000000-0005-0000-0000-000045E40000}"/>
    <cellStyle name="Normal 4 5 4 2 2 2 6" xfId="46741" xr:uid="{00000000-0005-0000-0000-000046E40000}"/>
    <cellStyle name="Normal 4 5 4 2 2 3" xfId="14870" xr:uid="{00000000-0005-0000-0000-000047E40000}"/>
    <cellStyle name="Normal 4 5 4 2 2 3 2" xfId="14871" xr:uid="{00000000-0005-0000-0000-000048E40000}"/>
    <cellStyle name="Normal 4 5 4 2 2 3 2 2" xfId="14872" xr:uid="{00000000-0005-0000-0000-000049E40000}"/>
    <cellStyle name="Normal 4 5 4 2 2 3 2 2 2" xfId="31890" xr:uid="{00000000-0005-0000-0000-00004AE40000}"/>
    <cellStyle name="Normal 4 5 4 2 2 3 2 2 2 2" xfId="63761" xr:uid="{00000000-0005-0000-0000-00004BE40000}"/>
    <cellStyle name="Normal 4 5 4 2 2 3 2 2 3" xfId="46751" xr:uid="{00000000-0005-0000-0000-00004CE40000}"/>
    <cellStyle name="Normal 4 5 4 2 2 3 2 3" xfId="24012" xr:uid="{00000000-0005-0000-0000-00004DE40000}"/>
    <cellStyle name="Normal 4 5 4 2 2 3 2 3 2" xfId="55883" xr:uid="{00000000-0005-0000-0000-00004EE40000}"/>
    <cellStyle name="Normal 4 5 4 2 2 3 2 4" xfId="46750" xr:uid="{00000000-0005-0000-0000-00004FE40000}"/>
    <cellStyle name="Normal 4 5 4 2 2 3 3" xfId="14873" xr:uid="{00000000-0005-0000-0000-000050E40000}"/>
    <cellStyle name="Normal 4 5 4 2 2 3 3 2" xfId="27951" xr:uid="{00000000-0005-0000-0000-000051E40000}"/>
    <cellStyle name="Normal 4 5 4 2 2 3 3 2 2" xfId="59822" xr:uid="{00000000-0005-0000-0000-000052E40000}"/>
    <cellStyle name="Normal 4 5 4 2 2 3 3 3" xfId="46752" xr:uid="{00000000-0005-0000-0000-000053E40000}"/>
    <cellStyle name="Normal 4 5 4 2 2 3 4" xfId="20073" xr:uid="{00000000-0005-0000-0000-000054E40000}"/>
    <cellStyle name="Normal 4 5 4 2 2 3 4 2" xfId="51944" xr:uid="{00000000-0005-0000-0000-000055E40000}"/>
    <cellStyle name="Normal 4 5 4 2 2 3 5" xfId="46749" xr:uid="{00000000-0005-0000-0000-000056E40000}"/>
    <cellStyle name="Normal 4 5 4 2 2 4" xfId="14874" xr:uid="{00000000-0005-0000-0000-000057E40000}"/>
    <cellStyle name="Normal 4 5 4 2 2 4 2" xfId="14875" xr:uid="{00000000-0005-0000-0000-000058E40000}"/>
    <cellStyle name="Normal 4 5 4 2 2 4 2 2" xfId="31887" xr:uid="{00000000-0005-0000-0000-000059E40000}"/>
    <cellStyle name="Normal 4 5 4 2 2 4 2 2 2" xfId="63758" xr:uid="{00000000-0005-0000-0000-00005AE40000}"/>
    <cellStyle name="Normal 4 5 4 2 2 4 2 3" xfId="46754" xr:uid="{00000000-0005-0000-0000-00005BE40000}"/>
    <cellStyle name="Normal 4 5 4 2 2 4 3" xfId="24009" xr:uid="{00000000-0005-0000-0000-00005CE40000}"/>
    <cellStyle name="Normal 4 5 4 2 2 4 3 2" xfId="55880" xr:uid="{00000000-0005-0000-0000-00005DE40000}"/>
    <cellStyle name="Normal 4 5 4 2 2 4 4" xfId="46753" xr:uid="{00000000-0005-0000-0000-00005EE40000}"/>
    <cellStyle name="Normal 4 5 4 2 2 5" xfId="14876" xr:uid="{00000000-0005-0000-0000-00005FE40000}"/>
    <cellStyle name="Normal 4 5 4 2 2 5 2" xfId="27948" xr:uid="{00000000-0005-0000-0000-000060E40000}"/>
    <cellStyle name="Normal 4 5 4 2 2 5 2 2" xfId="59819" xr:uid="{00000000-0005-0000-0000-000061E40000}"/>
    <cellStyle name="Normal 4 5 4 2 2 5 3" xfId="46755" xr:uid="{00000000-0005-0000-0000-000062E40000}"/>
    <cellStyle name="Normal 4 5 4 2 2 6" xfId="20070" xr:uid="{00000000-0005-0000-0000-000063E40000}"/>
    <cellStyle name="Normal 4 5 4 2 2 6 2" xfId="51941" xr:uid="{00000000-0005-0000-0000-000064E40000}"/>
    <cellStyle name="Normal 4 5 4 2 2 7" xfId="46740" xr:uid="{00000000-0005-0000-0000-000065E40000}"/>
    <cellStyle name="Normal 4 5 4 2 3" xfId="14877" xr:uid="{00000000-0005-0000-0000-000066E40000}"/>
    <cellStyle name="Normal 4 5 4 2 3 2" xfId="14878" xr:uid="{00000000-0005-0000-0000-000067E40000}"/>
    <cellStyle name="Normal 4 5 4 2 3 2 2" xfId="14879" xr:uid="{00000000-0005-0000-0000-000068E40000}"/>
    <cellStyle name="Normal 4 5 4 2 3 2 2 2" xfId="14880" xr:uid="{00000000-0005-0000-0000-000069E40000}"/>
    <cellStyle name="Normal 4 5 4 2 3 2 2 2 2" xfId="31892" xr:uid="{00000000-0005-0000-0000-00006AE40000}"/>
    <cellStyle name="Normal 4 5 4 2 3 2 2 2 2 2" xfId="63763" xr:uid="{00000000-0005-0000-0000-00006BE40000}"/>
    <cellStyle name="Normal 4 5 4 2 3 2 2 2 3" xfId="46759" xr:uid="{00000000-0005-0000-0000-00006CE40000}"/>
    <cellStyle name="Normal 4 5 4 2 3 2 2 3" xfId="24014" xr:uid="{00000000-0005-0000-0000-00006DE40000}"/>
    <cellStyle name="Normal 4 5 4 2 3 2 2 3 2" xfId="55885" xr:uid="{00000000-0005-0000-0000-00006EE40000}"/>
    <cellStyle name="Normal 4 5 4 2 3 2 2 4" xfId="46758" xr:uid="{00000000-0005-0000-0000-00006FE40000}"/>
    <cellStyle name="Normal 4 5 4 2 3 2 3" xfId="14881" xr:uid="{00000000-0005-0000-0000-000070E40000}"/>
    <cellStyle name="Normal 4 5 4 2 3 2 3 2" xfId="27953" xr:uid="{00000000-0005-0000-0000-000071E40000}"/>
    <cellStyle name="Normal 4 5 4 2 3 2 3 2 2" xfId="59824" xr:uid="{00000000-0005-0000-0000-000072E40000}"/>
    <cellStyle name="Normal 4 5 4 2 3 2 3 3" xfId="46760" xr:uid="{00000000-0005-0000-0000-000073E40000}"/>
    <cellStyle name="Normal 4 5 4 2 3 2 4" xfId="20075" xr:uid="{00000000-0005-0000-0000-000074E40000}"/>
    <cellStyle name="Normal 4 5 4 2 3 2 4 2" xfId="51946" xr:uid="{00000000-0005-0000-0000-000075E40000}"/>
    <cellStyle name="Normal 4 5 4 2 3 2 5" xfId="46757" xr:uid="{00000000-0005-0000-0000-000076E40000}"/>
    <cellStyle name="Normal 4 5 4 2 3 3" xfId="14882" xr:uid="{00000000-0005-0000-0000-000077E40000}"/>
    <cellStyle name="Normal 4 5 4 2 3 3 2" xfId="14883" xr:uid="{00000000-0005-0000-0000-000078E40000}"/>
    <cellStyle name="Normal 4 5 4 2 3 3 2 2" xfId="31891" xr:uid="{00000000-0005-0000-0000-000079E40000}"/>
    <cellStyle name="Normal 4 5 4 2 3 3 2 2 2" xfId="63762" xr:uid="{00000000-0005-0000-0000-00007AE40000}"/>
    <cellStyle name="Normal 4 5 4 2 3 3 2 3" xfId="46762" xr:uid="{00000000-0005-0000-0000-00007BE40000}"/>
    <cellStyle name="Normal 4 5 4 2 3 3 3" xfId="24013" xr:uid="{00000000-0005-0000-0000-00007CE40000}"/>
    <cellStyle name="Normal 4 5 4 2 3 3 3 2" xfId="55884" xr:uid="{00000000-0005-0000-0000-00007DE40000}"/>
    <cellStyle name="Normal 4 5 4 2 3 3 4" xfId="46761" xr:uid="{00000000-0005-0000-0000-00007EE40000}"/>
    <cellStyle name="Normal 4 5 4 2 3 4" xfId="14884" xr:uid="{00000000-0005-0000-0000-00007FE40000}"/>
    <cellStyle name="Normal 4 5 4 2 3 4 2" xfId="27952" xr:uid="{00000000-0005-0000-0000-000080E40000}"/>
    <cellStyle name="Normal 4 5 4 2 3 4 2 2" xfId="59823" xr:uid="{00000000-0005-0000-0000-000081E40000}"/>
    <cellStyle name="Normal 4 5 4 2 3 4 3" xfId="46763" xr:uid="{00000000-0005-0000-0000-000082E40000}"/>
    <cellStyle name="Normal 4 5 4 2 3 5" xfId="20074" xr:uid="{00000000-0005-0000-0000-000083E40000}"/>
    <cellStyle name="Normal 4 5 4 2 3 5 2" xfId="51945" xr:uid="{00000000-0005-0000-0000-000084E40000}"/>
    <cellStyle name="Normal 4 5 4 2 3 6" xfId="46756" xr:uid="{00000000-0005-0000-0000-000085E40000}"/>
    <cellStyle name="Normal 4 5 4 2 4" xfId="14885" xr:uid="{00000000-0005-0000-0000-000086E40000}"/>
    <cellStyle name="Normal 4 5 4 2 4 2" xfId="14886" xr:uid="{00000000-0005-0000-0000-000087E40000}"/>
    <cellStyle name="Normal 4 5 4 2 4 2 2" xfId="14887" xr:uid="{00000000-0005-0000-0000-000088E40000}"/>
    <cellStyle name="Normal 4 5 4 2 4 2 2 2" xfId="31893" xr:uid="{00000000-0005-0000-0000-000089E40000}"/>
    <cellStyle name="Normal 4 5 4 2 4 2 2 2 2" xfId="63764" xr:uid="{00000000-0005-0000-0000-00008AE40000}"/>
    <cellStyle name="Normal 4 5 4 2 4 2 2 3" xfId="46766" xr:uid="{00000000-0005-0000-0000-00008BE40000}"/>
    <cellStyle name="Normal 4 5 4 2 4 2 3" xfId="24015" xr:uid="{00000000-0005-0000-0000-00008CE40000}"/>
    <cellStyle name="Normal 4 5 4 2 4 2 3 2" xfId="55886" xr:uid="{00000000-0005-0000-0000-00008DE40000}"/>
    <cellStyle name="Normal 4 5 4 2 4 2 4" xfId="46765" xr:uid="{00000000-0005-0000-0000-00008EE40000}"/>
    <cellStyle name="Normal 4 5 4 2 4 3" xfId="14888" xr:uid="{00000000-0005-0000-0000-00008FE40000}"/>
    <cellStyle name="Normal 4 5 4 2 4 3 2" xfId="27954" xr:uid="{00000000-0005-0000-0000-000090E40000}"/>
    <cellStyle name="Normal 4 5 4 2 4 3 2 2" xfId="59825" xr:uid="{00000000-0005-0000-0000-000091E40000}"/>
    <cellStyle name="Normal 4 5 4 2 4 3 3" xfId="46767" xr:uid="{00000000-0005-0000-0000-000092E40000}"/>
    <cellStyle name="Normal 4 5 4 2 4 4" xfId="20076" xr:uid="{00000000-0005-0000-0000-000093E40000}"/>
    <cellStyle name="Normal 4 5 4 2 4 4 2" xfId="51947" xr:uid="{00000000-0005-0000-0000-000094E40000}"/>
    <cellStyle name="Normal 4 5 4 2 4 5" xfId="46764" xr:uid="{00000000-0005-0000-0000-000095E40000}"/>
    <cellStyle name="Normal 4 5 4 2 5" xfId="14889" xr:uid="{00000000-0005-0000-0000-000096E40000}"/>
    <cellStyle name="Normal 4 5 4 2 5 2" xfId="14890" xr:uid="{00000000-0005-0000-0000-000097E40000}"/>
    <cellStyle name="Normal 4 5 4 2 5 2 2" xfId="31886" xr:uid="{00000000-0005-0000-0000-000098E40000}"/>
    <cellStyle name="Normal 4 5 4 2 5 2 2 2" xfId="63757" xr:uid="{00000000-0005-0000-0000-000099E40000}"/>
    <cellStyle name="Normal 4 5 4 2 5 2 3" xfId="46769" xr:uid="{00000000-0005-0000-0000-00009AE40000}"/>
    <cellStyle name="Normal 4 5 4 2 5 3" xfId="24008" xr:uid="{00000000-0005-0000-0000-00009BE40000}"/>
    <cellStyle name="Normal 4 5 4 2 5 3 2" xfId="55879" xr:uid="{00000000-0005-0000-0000-00009CE40000}"/>
    <cellStyle name="Normal 4 5 4 2 5 4" xfId="46768" xr:uid="{00000000-0005-0000-0000-00009DE40000}"/>
    <cellStyle name="Normal 4 5 4 2 6" xfId="14891" xr:uid="{00000000-0005-0000-0000-00009EE40000}"/>
    <cellStyle name="Normal 4 5 4 2 6 2" xfId="27947" xr:uid="{00000000-0005-0000-0000-00009FE40000}"/>
    <cellStyle name="Normal 4 5 4 2 6 2 2" xfId="59818" xr:uid="{00000000-0005-0000-0000-0000A0E40000}"/>
    <cellStyle name="Normal 4 5 4 2 6 3" xfId="46770" xr:uid="{00000000-0005-0000-0000-0000A1E40000}"/>
    <cellStyle name="Normal 4 5 4 2 7" xfId="20069" xr:uid="{00000000-0005-0000-0000-0000A2E40000}"/>
    <cellStyle name="Normal 4 5 4 2 7 2" xfId="51940" xr:uid="{00000000-0005-0000-0000-0000A3E40000}"/>
    <cellStyle name="Normal 4 5 4 2 8" xfId="46739" xr:uid="{00000000-0005-0000-0000-0000A4E40000}"/>
    <cellStyle name="Normal 4 5 4 3" xfId="14892" xr:uid="{00000000-0005-0000-0000-0000A5E40000}"/>
    <cellStyle name="Normal 4 5 4 3 2" xfId="14893" xr:uid="{00000000-0005-0000-0000-0000A6E40000}"/>
    <cellStyle name="Normal 4 5 4 3 2 2" xfId="14894" xr:uid="{00000000-0005-0000-0000-0000A7E40000}"/>
    <cellStyle name="Normal 4 5 4 3 2 2 2" xfId="14895" xr:uid="{00000000-0005-0000-0000-0000A8E40000}"/>
    <cellStyle name="Normal 4 5 4 3 2 2 2 2" xfId="14896" xr:uid="{00000000-0005-0000-0000-0000A9E40000}"/>
    <cellStyle name="Normal 4 5 4 3 2 2 2 2 2" xfId="31896" xr:uid="{00000000-0005-0000-0000-0000AAE40000}"/>
    <cellStyle name="Normal 4 5 4 3 2 2 2 2 2 2" xfId="63767" xr:uid="{00000000-0005-0000-0000-0000ABE40000}"/>
    <cellStyle name="Normal 4 5 4 3 2 2 2 2 3" xfId="46775" xr:uid="{00000000-0005-0000-0000-0000ACE40000}"/>
    <cellStyle name="Normal 4 5 4 3 2 2 2 3" xfId="24018" xr:uid="{00000000-0005-0000-0000-0000ADE40000}"/>
    <cellStyle name="Normal 4 5 4 3 2 2 2 3 2" xfId="55889" xr:uid="{00000000-0005-0000-0000-0000AEE40000}"/>
    <cellStyle name="Normal 4 5 4 3 2 2 2 4" xfId="46774" xr:uid="{00000000-0005-0000-0000-0000AFE40000}"/>
    <cellStyle name="Normal 4 5 4 3 2 2 3" xfId="14897" xr:uid="{00000000-0005-0000-0000-0000B0E40000}"/>
    <cellStyle name="Normal 4 5 4 3 2 2 3 2" xfId="27957" xr:uid="{00000000-0005-0000-0000-0000B1E40000}"/>
    <cellStyle name="Normal 4 5 4 3 2 2 3 2 2" xfId="59828" xr:uid="{00000000-0005-0000-0000-0000B2E40000}"/>
    <cellStyle name="Normal 4 5 4 3 2 2 3 3" xfId="46776" xr:uid="{00000000-0005-0000-0000-0000B3E40000}"/>
    <cellStyle name="Normal 4 5 4 3 2 2 4" xfId="20079" xr:uid="{00000000-0005-0000-0000-0000B4E40000}"/>
    <cellStyle name="Normal 4 5 4 3 2 2 4 2" xfId="51950" xr:uid="{00000000-0005-0000-0000-0000B5E40000}"/>
    <cellStyle name="Normal 4 5 4 3 2 2 5" xfId="46773" xr:uid="{00000000-0005-0000-0000-0000B6E40000}"/>
    <cellStyle name="Normal 4 5 4 3 2 3" xfId="14898" xr:uid="{00000000-0005-0000-0000-0000B7E40000}"/>
    <cellStyle name="Normal 4 5 4 3 2 3 2" xfId="14899" xr:uid="{00000000-0005-0000-0000-0000B8E40000}"/>
    <cellStyle name="Normal 4 5 4 3 2 3 2 2" xfId="31895" xr:uid="{00000000-0005-0000-0000-0000B9E40000}"/>
    <cellStyle name="Normal 4 5 4 3 2 3 2 2 2" xfId="63766" xr:uid="{00000000-0005-0000-0000-0000BAE40000}"/>
    <cellStyle name="Normal 4 5 4 3 2 3 2 3" xfId="46778" xr:uid="{00000000-0005-0000-0000-0000BBE40000}"/>
    <cellStyle name="Normal 4 5 4 3 2 3 3" xfId="24017" xr:uid="{00000000-0005-0000-0000-0000BCE40000}"/>
    <cellStyle name="Normal 4 5 4 3 2 3 3 2" xfId="55888" xr:uid="{00000000-0005-0000-0000-0000BDE40000}"/>
    <cellStyle name="Normal 4 5 4 3 2 3 4" xfId="46777" xr:uid="{00000000-0005-0000-0000-0000BEE40000}"/>
    <cellStyle name="Normal 4 5 4 3 2 4" xfId="14900" xr:uid="{00000000-0005-0000-0000-0000BFE40000}"/>
    <cellStyle name="Normal 4 5 4 3 2 4 2" xfId="27956" xr:uid="{00000000-0005-0000-0000-0000C0E40000}"/>
    <cellStyle name="Normal 4 5 4 3 2 4 2 2" xfId="59827" xr:uid="{00000000-0005-0000-0000-0000C1E40000}"/>
    <cellStyle name="Normal 4 5 4 3 2 4 3" xfId="46779" xr:uid="{00000000-0005-0000-0000-0000C2E40000}"/>
    <cellStyle name="Normal 4 5 4 3 2 5" xfId="20078" xr:uid="{00000000-0005-0000-0000-0000C3E40000}"/>
    <cellStyle name="Normal 4 5 4 3 2 5 2" xfId="51949" xr:uid="{00000000-0005-0000-0000-0000C4E40000}"/>
    <cellStyle name="Normal 4 5 4 3 2 6" xfId="46772" xr:uid="{00000000-0005-0000-0000-0000C5E40000}"/>
    <cellStyle name="Normal 4 5 4 3 3" xfId="14901" xr:uid="{00000000-0005-0000-0000-0000C6E40000}"/>
    <cellStyle name="Normal 4 5 4 3 3 2" xfId="14902" xr:uid="{00000000-0005-0000-0000-0000C7E40000}"/>
    <cellStyle name="Normal 4 5 4 3 3 2 2" xfId="14903" xr:uid="{00000000-0005-0000-0000-0000C8E40000}"/>
    <cellStyle name="Normal 4 5 4 3 3 2 2 2" xfId="31897" xr:uid="{00000000-0005-0000-0000-0000C9E40000}"/>
    <cellStyle name="Normal 4 5 4 3 3 2 2 2 2" xfId="63768" xr:uid="{00000000-0005-0000-0000-0000CAE40000}"/>
    <cellStyle name="Normal 4 5 4 3 3 2 2 3" xfId="46782" xr:uid="{00000000-0005-0000-0000-0000CBE40000}"/>
    <cellStyle name="Normal 4 5 4 3 3 2 3" xfId="24019" xr:uid="{00000000-0005-0000-0000-0000CCE40000}"/>
    <cellStyle name="Normal 4 5 4 3 3 2 3 2" xfId="55890" xr:uid="{00000000-0005-0000-0000-0000CDE40000}"/>
    <cellStyle name="Normal 4 5 4 3 3 2 4" xfId="46781" xr:uid="{00000000-0005-0000-0000-0000CEE40000}"/>
    <cellStyle name="Normal 4 5 4 3 3 3" xfId="14904" xr:uid="{00000000-0005-0000-0000-0000CFE40000}"/>
    <cellStyle name="Normal 4 5 4 3 3 3 2" xfId="27958" xr:uid="{00000000-0005-0000-0000-0000D0E40000}"/>
    <cellStyle name="Normal 4 5 4 3 3 3 2 2" xfId="59829" xr:uid="{00000000-0005-0000-0000-0000D1E40000}"/>
    <cellStyle name="Normal 4 5 4 3 3 3 3" xfId="46783" xr:uid="{00000000-0005-0000-0000-0000D2E40000}"/>
    <cellStyle name="Normal 4 5 4 3 3 4" xfId="20080" xr:uid="{00000000-0005-0000-0000-0000D3E40000}"/>
    <cellStyle name="Normal 4 5 4 3 3 4 2" xfId="51951" xr:uid="{00000000-0005-0000-0000-0000D4E40000}"/>
    <cellStyle name="Normal 4 5 4 3 3 5" xfId="46780" xr:uid="{00000000-0005-0000-0000-0000D5E40000}"/>
    <cellStyle name="Normal 4 5 4 3 4" xfId="14905" xr:uid="{00000000-0005-0000-0000-0000D6E40000}"/>
    <cellStyle name="Normal 4 5 4 3 4 2" xfId="14906" xr:uid="{00000000-0005-0000-0000-0000D7E40000}"/>
    <cellStyle name="Normal 4 5 4 3 4 2 2" xfId="31894" xr:uid="{00000000-0005-0000-0000-0000D8E40000}"/>
    <cellStyle name="Normal 4 5 4 3 4 2 2 2" xfId="63765" xr:uid="{00000000-0005-0000-0000-0000D9E40000}"/>
    <cellStyle name="Normal 4 5 4 3 4 2 3" xfId="46785" xr:uid="{00000000-0005-0000-0000-0000DAE40000}"/>
    <cellStyle name="Normal 4 5 4 3 4 3" xfId="24016" xr:uid="{00000000-0005-0000-0000-0000DBE40000}"/>
    <cellStyle name="Normal 4 5 4 3 4 3 2" xfId="55887" xr:uid="{00000000-0005-0000-0000-0000DCE40000}"/>
    <cellStyle name="Normal 4 5 4 3 4 4" xfId="46784" xr:uid="{00000000-0005-0000-0000-0000DDE40000}"/>
    <cellStyle name="Normal 4 5 4 3 5" xfId="14907" xr:uid="{00000000-0005-0000-0000-0000DEE40000}"/>
    <cellStyle name="Normal 4 5 4 3 5 2" xfId="27955" xr:uid="{00000000-0005-0000-0000-0000DFE40000}"/>
    <cellStyle name="Normal 4 5 4 3 5 2 2" xfId="59826" xr:uid="{00000000-0005-0000-0000-0000E0E40000}"/>
    <cellStyle name="Normal 4 5 4 3 5 3" xfId="46786" xr:uid="{00000000-0005-0000-0000-0000E1E40000}"/>
    <cellStyle name="Normal 4 5 4 3 6" xfId="20077" xr:uid="{00000000-0005-0000-0000-0000E2E40000}"/>
    <cellStyle name="Normal 4 5 4 3 6 2" xfId="51948" xr:uid="{00000000-0005-0000-0000-0000E3E40000}"/>
    <cellStyle name="Normal 4 5 4 3 7" xfId="46771" xr:uid="{00000000-0005-0000-0000-0000E4E40000}"/>
    <cellStyle name="Normal 4 5 4 4" xfId="14908" xr:uid="{00000000-0005-0000-0000-0000E5E40000}"/>
    <cellStyle name="Normal 4 5 4 4 2" xfId="14909" xr:uid="{00000000-0005-0000-0000-0000E6E40000}"/>
    <cellStyle name="Normal 4 5 4 4 2 2" xfId="14910" xr:uid="{00000000-0005-0000-0000-0000E7E40000}"/>
    <cellStyle name="Normal 4 5 4 4 2 2 2" xfId="14911" xr:uid="{00000000-0005-0000-0000-0000E8E40000}"/>
    <cellStyle name="Normal 4 5 4 4 2 2 2 2" xfId="31899" xr:uid="{00000000-0005-0000-0000-0000E9E40000}"/>
    <cellStyle name="Normal 4 5 4 4 2 2 2 2 2" xfId="63770" xr:uid="{00000000-0005-0000-0000-0000EAE40000}"/>
    <cellStyle name="Normal 4 5 4 4 2 2 2 3" xfId="46790" xr:uid="{00000000-0005-0000-0000-0000EBE40000}"/>
    <cellStyle name="Normal 4 5 4 4 2 2 3" xfId="24021" xr:uid="{00000000-0005-0000-0000-0000ECE40000}"/>
    <cellStyle name="Normal 4 5 4 4 2 2 3 2" xfId="55892" xr:uid="{00000000-0005-0000-0000-0000EDE40000}"/>
    <cellStyle name="Normal 4 5 4 4 2 2 4" xfId="46789" xr:uid="{00000000-0005-0000-0000-0000EEE40000}"/>
    <cellStyle name="Normal 4 5 4 4 2 3" xfId="14912" xr:uid="{00000000-0005-0000-0000-0000EFE40000}"/>
    <cellStyle name="Normal 4 5 4 4 2 3 2" xfId="27960" xr:uid="{00000000-0005-0000-0000-0000F0E40000}"/>
    <cellStyle name="Normal 4 5 4 4 2 3 2 2" xfId="59831" xr:uid="{00000000-0005-0000-0000-0000F1E40000}"/>
    <cellStyle name="Normal 4 5 4 4 2 3 3" xfId="46791" xr:uid="{00000000-0005-0000-0000-0000F2E40000}"/>
    <cellStyle name="Normal 4 5 4 4 2 4" xfId="20082" xr:uid="{00000000-0005-0000-0000-0000F3E40000}"/>
    <cellStyle name="Normal 4 5 4 4 2 4 2" xfId="51953" xr:uid="{00000000-0005-0000-0000-0000F4E40000}"/>
    <cellStyle name="Normal 4 5 4 4 2 5" xfId="46788" xr:uid="{00000000-0005-0000-0000-0000F5E40000}"/>
    <cellStyle name="Normal 4 5 4 4 3" xfId="14913" xr:uid="{00000000-0005-0000-0000-0000F6E40000}"/>
    <cellStyle name="Normal 4 5 4 4 3 2" xfId="14914" xr:uid="{00000000-0005-0000-0000-0000F7E40000}"/>
    <cellStyle name="Normal 4 5 4 4 3 2 2" xfId="31898" xr:uid="{00000000-0005-0000-0000-0000F8E40000}"/>
    <cellStyle name="Normal 4 5 4 4 3 2 2 2" xfId="63769" xr:uid="{00000000-0005-0000-0000-0000F9E40000}"/>
    <cellStyle name="Normal 4 5 4 4 3 2 3" xfId="46793" xr:uid="{00000000-0005-0000-0000-0000FAE40000}"/>
    <cellStyle name="Normal 4 5 4 4 3 3" xfId="24020" xr:uid="{00000000-0005-0000-0000-0000FBE40000}"/>
    <cellStyle name="Normal 4 5 4 4 3 3 2" xfId="55891" xr:uid="{00000000-0005-0000-0000-0000FCE40000}"/>
    <cellStyle name="Normal 4 5 4 4 3 4" xfId="46792" xr:uid="{00000000-0005-0000-0000-0000FDE40000}"/>
    <cellStyle name="Normal 4 5 4 4 4" xfId="14915" xr:uid="{00000000-0005-0000-0000-0000FEE40000}"/>
    <cellStyle name="Normal 4 5 4 4 4 2" xfId="27959" xr:uid="{00000000-0005-0000-0000-0000FFE40000}"/>
    <cellStyle name="Normal 4 5 4 4 4 2 2" xfId="59830" xr:uid="{00000000-0005-0000-0000-000000E50000}"/>
    <cellStyle name="Normal 4 5 4 4 4 3" xfId="46794" xr:uid="{00000000-0005-0000-0000-000001E50000}"/>
    <cellStyle name="Normal 4 5 4 4 5" xfId="20081" xr:uid="{00000000-0005-0000-0000-000002E50000}"/>
    <cellStyle name="Normal 4 5 4 4 5 2" xfId="51952" xr:uid="{00000000-0005-0000-0000-000003E50000}"/>
    <cellStyle name="Normal 4 5 4 4 6" xfId="46787" xr:uid="{00000000-0005-0000-0000-000004E50000}"/>
    <cellStyle name="Normal 4 5 4 5" xfId="14916" xr:uid="{00000000-0005-0000-0000-000005E50000}"/>
    <cellStyle name="Normal 4 5 4 5 2" xfId="14917" xr:uid="{00000000-0005-0000-0000-000006E50000}"/>
    <cellStyle name="Normal 4 5 4 5 2 2" xfId="14918" xr:uid="{00000000-0005-0000-0000-000007E50000}"/>
    <cellStyle name="Normal 4 5 4 5 2 2 2" xfId="31900" xr:uid="{00000000-0005-0000-0000-000008E50000}"/>
    <cellStyle name="Normal 4 5 4 5 2 2 2 2" xfId="63771" xr:uid="{00000000-0005-0000-0000-000009E50000}"/>
    <cellStyle name="Normal 4 5 4 5 2 2 3" xfId="46797" xr:uid="{00000000-0005-0000-0000-00000AE50000}"/>
    <cellStyle name="Normal 4 5 4 5 2 3" xfId="24022" xr:uid="{00000000-0005-0000-0000-00000BE50000}"/>
    <cellStyle name="Normal 4 5 4 5 2 3 2" xfId="55893" xr:uid="{00000000-0005-0000-0000-00000CE50000}"/>
    <cellStyle name="Normal 4 5 4 5 2 4" xfId="46796" xr:uid="{00000000-0005-0000-0000-00000DE50000}"/>
    <cellStyle name="Normal 4 5 4 5 3" xfId="14919" xr:uid="{00000000-0005-0000-0000-00000EE50000}"/>
    <cellStyle name="Normal 4 5 4 5 3 2" xfId="27961" xr:uid="{00000000-0005-0000-0000-00000FE50000}"/>
    <cellStyle name="Normal 4 5 4 5 3 2 2" xfId="59832" xr:uid="{00000000-0005-0000-0000-000010E50000}"/>
    <cellStyle name="Normal 4 5 4 5 3 3" xfId="46798" xr:uid="{00000000-0005-0000-0000-000011E50000}"/>
    <cellStyle name="Normal 4 5 4 5 4" xfId="20083" xr:uid="{00000000-0005-0000-0000-000012E50000}"/>
    <cellStyle name="Normal 4 5 4 5 4 2" xfId="51954" xr:uid="{00000000-0005-0000-0000-000013E50000}"/>
    <cellStyle name="Normal 4 5 4 5 5" xfId="46795" xr:uid="{00000000-0005-0000-0000-000014E50000}"/>
    <cellStyle name="Normal 4 5 4 6" xfId="14920" xr:uid="{00000000-0005-0000-0000-000015E50000}"/>
    <cellStyle name="Normal 4 5 4 6 2" xfId="14921" xr:uid="{00000000-0005-0000-0000-000016E50000}"/>
    <cellStyle name="Normal 4 5 4 6 2 2" xfId="28416" xr:uid="{00000000-0005-0000-0000-000017E50000}"/>
    <cellStyle name="Normal 4 5 4 6 2 2 2" xfId="60287" xr:uid="{00000000-0005-0000-0000-000018E50000}"/>
    <cellStyle name="Normal 4 5 4 6 2 3" xfId="46800" xr:uid="{00000000-0005-0000-0000-000019E50000}"/>
    <cellStyle name="Normal 4 5 4 6 3" xfId="20538" xr:uid="{00000000-0005-0000-0000-00001AE50000}"/>
    <cellStyle name="Normal 4 5 4 6 3 2" xfId="52409" xr:uid="{00000000-0005-0000-0000-00001BE50000}"/>
    <cellStyle name="Normal 4 5 4 6 4" xfId="46799" xr:uid="{00000000-0005-0000-0000-00001CE50000}"/>
    <cellStyle name="Normal 4 5 4 7" xfId="14922" xr:uid="{00000000-0005-0000-0000-00001DE50000}"/>
    <cellStyle name="Normal 4 5 4 7 2" xfId="24477" xr:uid="{00000000-0005-0000-0000-00001EE50000}"/>
    <cellStyle name="Normal 4 5 4 7 2 2" xfId="56348" xr:uid="{00000000-0005-0000-0000-00001FE50000}"/>
    <cellStyle name="Normal 4 5 4 7 3" xfId="46801" xr:uid="{00000000-0005-0000-0000-000020E50000}"/>
    <cellStyle name="Normal 4 5 4 8" xfId="16599" xr:uid="{00000000-0005-0000-0000-000021E50000}"/>
    <cellStyle name="Normal 4 5 4 8 2" xfId="48470" xr:uid="{00000000-0005-0000-0000-000022E50000}"/>
    <cellStyle name="Normal 4 5 4 9" xfId="46738" xr:uid="{00000000-0005-0000-0000-000023E50000}"/>
    <cellStyle name="Normal 4 5 5" xfId="14923" xr:uid="{00000000-0005-0000-0000-000024E50000}"/>
    <cellStyle name="Normal 4 5 5 2" xfId="14924" xr:uid="{00000000-0005-0000-0000-000025E50000}"/>
    <cellStyle name="Normal 4 5 5 2 2" xfId="14925" xr:uid="{00000000-0005-0000-0000-000026E50000}"/>
    <cellStyle name="Normal 4 5 5 2 2 2" xfId="14926" xr:uid="{00000000-0005-0000-0000-000027E50000}"/>
    <cellStyle name="Normal 4 5 5 2 2 2 2" xfId="14927" xr:uid="{00000000-0005-0000-0000-000028E50000}"/>
    <cellStyle name="Normal 4 5 5 2 2 2 2 2" xfId="14928" xr:uid="{00000000-0005-0000-0000-000029E50000}"/>
    <cellStyle name="Normal 4 5 5 2 2 2 2 2 2" xfId="31903" xr:uid="{00000000-0005-0000-0000-00002AE50000}"/>
    <cellStyle name="Normal 4 5 5 2 2 2 2 2 2 2" xfId="63774" xr:uid="{00000000-0005-0000-0000-00002BE50000}"/>
    <cellStyle name="Normal 4 5 5 2 2 2 2 2 3" xfId="46807" xr:uid="{00000000-0005-0000-0000-00002CE50000}"/>
    <cellStyle name="Normal 4 5 5 2 2 2 2 3" xfId="24025" xr:uid="{00000000-0005-0000-0000-00002DE50000}"/>
    <cellStyle name="Normal 4 5 5 2 2 2 2 3 2" xfId="55896" xr:uid="{00000000-0005-0000-0000-00002EE50000}"/>
    <cellStyle name="Normal 4 5 5 2 2 2 2 4" xfId="46806" xr:uid="{00000000-0005-0000-0000-00002FE50000}"/>
    <cellStyle name="Normal 4 5 5 2 2 2 3" xfId="14929" xr:uid="{00000000-0005-0000-0000-000030E50000}"/>
    <cellStyle name="Normal 4 5 5 2 2 2 3 2" xfId="27964" xr:uid="{00000000-0005-0000-0000-000031E50000}"/>
    <cellStyle name="Normal 4 5 5 2 2 2 3 2 2" xfId="59835" xr:uid="{00000000-0005-0000-0000-000032E50000}"/>
    <cellStyle name="Normal 4 5 5 2 2 2 3 3" xfId="46808" xr:uid="{00000000-0005-0000-0000-000033E50000}"/>
    <cellStyle name="Normal 4 5 5 2 2 2 4" xfId="20086" xr:uid="{00000000-0005-0000-0000-000034E50000}"/>
    <cellStyle name="Normal 4 5 5 2 2 2 4 2" xfId="51957" xr:uid="{00000000-0005-0000-0000-000035E50000}"/>
    <cellStyle name="Normal 4 5 5 2 2 2 5" xfId="46805" xr:uid="{00000000-0005-0000-0000-000036E50000}"/>
    <cellStyle name="Normal 4 5 5 2 2 3" xfId="14930" xr:uid="{00000000-0005-0000-0000-000037E50000}"/>
    <cellStyle name="Normal 4 5 5 2 2 3 2" xfId="14931" xr:uid="{00000000-0005-0000-0000-000038E50000}"/>
    <cellStyle name="Normal 4 5 5 2 2 3 2 2" xfId="31902" xr:uid="{00000000-0005-0000-0000-000039E50000}"/>
    <cellStyle name="Normal 4 5 5 2 2 3 2 2 2" xfId="63773" xr:uid="{00000000-0005-0000-0000-00003AE50000}"/>
    <cellStyle name="Normal 4 5 5 2 2 3 2 3" xfId="46810" xr:uid="{00000000-0005-0000-0000-00003BE50000}"/>
    <cellStyle name="Normal 4 5 5 2 2 3 3" xfId="24024" xr:uid="{00000000-0005-0000-0000-00003CE50000}"/>
    <cellStyle name="Normal 4 5 5 2 2 3 3 2" xfId="55895" xr:uid="{00000000-0005-0000-0000-00003DE50000}"/>
    <cellStyle name="Normal 4 5 5 2 2 3 4" xfId="46809" xr:uid="{00000000-0005-0000-0000-00003EE50000}"/>
    <cellStyle name="Normal 4 5 5 2 2 4" xfId="14932" xr:uid="{00000000-0005-0000-0000-00003FE50000}"/>
    <cellStyle name="Normal 4 5 5 2 2 4 2" xfId="27963" xr:uid="{00000000-0005-0000-0000-000040E50000}"/>
    <cellStyle name="Normal 4 5 5 2 2 4 2 2" xfId="59834" xr:uid="{00000000-0005-0000-0000-000041E50000}"/>
    <cellStyle name="Normal 4 5 5 2 2 4 3" xfId="46811" xr:uid="{00000000-0005-0000-0000-000042E50000}"/>
    <cellStyle name="Normal 4 5 5 2 2 5" xfId="20085" xr:uid="{00000000-0005-0000-0000-000043E50000}"/>
    <cellStyle name="Normal 4 5 5 2 2 5 2" xfId="51956" xr:uid="{00000000-0005-0000-0000-000044E50000}"/>
    <cellStyle name="Normal 4 5 5 2 2 6" xfId="46804" xr:uid="{00000000-0005-0000-0000-000045E50000}"/>
    <cellStyle name="Normal 4 5 5 2 3" xfId="14933" xr:uid="{00000000-0005-0000-0000-000046E50000}"/>
    <cellStyle name="Normal 4 5 5 2 3 2" xfId="14934" xr:uid="{00000000-0005-0000-0000-000047E50000}"/>
    <cellStyle name="Normal 4 5 5 2 3 2 2" xfId="14935" xr:uid="{00000000-0005-0000-0000-000048E50000}"/>
    <cellStyle name="Normal 4 5 5 2 3 2 2 2" xfId="31904" xr:uid="{00000000-0005-0000-0000-000049E50000}"/>
    <cellStyle name="Normal 4 5 5 2 3 2 2 2 2" xfId="63775" xr:uid="{00000000-0005-0000-0000-00004AE50000}"/>
    <cellStyle name="Normal 4 5 5 2 3 2 2 3" xfId="46814" xr:uid="{00000000-0005-0000-0000-00004BE50000}"/>
    <cellStyle name="Normal 4 5 5 2 3 2 3" xfId="24026" xr:uid="{00000000-0005-0000-0000-00004CE50000}"/>
    <cellStyle name="Normal 4 5 5 2 3 2 3 2" xfId="55897" xr:uid="{00000000-0005-0000-0000-00004DE50000}"/>
    <cellStyle name="Normal 4 5 5 2 3 2 4" xfId="46813" xr:uid="{00000000-0005-0000-0000-00004EE50000}"/>
    <cellStyle name="Normal 4 5 5 2 3 3" xfId="14936" xr:uid="{00000000-0005-0000-0000-00004FE50000}"/>
    <cellStyle name="Normal 4 5 5 2 3 3 2" xfId="27965" xr:uid="{00000000-0005-0000-0000-000050E50000}"/>
    <cellStyle name="Normal 4 5 5 2 3 3 2 2" xfId="59836" xr:uid="{00000000-0005-0000-0000-000051E50000}"/>
    <cellStyle name="Normal 4 5 5 2 3 3 3" xfId="46815" xr:uid="{00000000-0005-0000-0000-000052E50000}"/>
    <cellStyle name="Normal 4 5 5 2 3 4" xfId="20087" xr:uid="{00000000-0005-0000-0000-000053E50000}"/>
    <cellStyle name="Normal 4 5 5 2 3 4 2" xfId="51958" xr:uid="{00000000-0005-0000-0000-000054E50000}"/>
    <cellStyle name="Normal 4 5 5 2 3 5" xfId="46812" xr:uid="{00000000-0005-0000-0000-000055E50000}"/>
    <cellStyle name="Normal 4 5 5 2 4" xfId="14937" xr:uid="{00000000-0005-0000-0000-000056E50000}"/>
    <cellStyle name="Normal 4 5 5 2 4 2" xfId="14938" xr:uid="{00000000-0005-0000-0000-000057E50000}"/>
    <cellStyle name="Normal 4 5 5 2 4 2 2" xfId="31901" xr:uid="{00000000-0005-0000-0000-000058E50000}"/>
    <cellStyle name="Normal 4 5 5 2 4 2 2 2" xfId="63772" xr:uid="{00000000-0005-0000-0000-000059E50000}"/>
    <cellStyle name="Normal 4 5 5 2 4 2 3" xfId="46817" xr:uid="{00000000-0005-0000-0000-00005AE50000}"/>
    <cellStyle name="Normal 4 5 5 2 4 3" xfId="24023" xr:uid="{00000000-0005-0000-0000-00005BE50000}"/>
    <cellStyle name="Normal 4 5 5 2 4 3 2" xfId="55894" xr:uid="{00000000-0005-0000-0000-00005CE50000}"/>
    <cellStyle name="Normal 4 5 5 2 4 4" xfId="46816" xr:uid="{00000000-0005-0000-0000-00005DE50000}"/>
    <cellStyle name="Normal 4 5 5 2 5" xfId="14939" xr:uid="{00000000-0005-0000-0000-00005EE50000}"/>
    <cellStyle name="Normal 4 5 5 2 5 2" xfId="27962" xr:uid="{00000000-0005-0000-0000-00005FE50000}"/>
    <cellStyle name="Normal 4 5 5 2 5 2 2" xfId="59833" xr:uid="{00000000-0005-0000-0000-000060E50000}"/>
    <cellStyle name="Normal 4 5 5 2 5 3" xfId="46818" xr:uid="{00000000-0005-0000-0000-000061E50000}"/>
    <cellStyle name="Normal 4 5 5 2 6" xfId="20084" xr:uid="{00000000-0005-0000-0000-000062E50000}"/>
    <cellStyle name="Normal 4 5 5 2 6 2" xfId="51955" xr:uid="{00000000-0005-0000-0000-000063E50000}"/>
    <cellStyle name="Normal 4 5 5 2 7" xfId="46803" xr:uid="{00000000-0005-0000-0000-000064E50000}"/>
    <cellStyle name="Normal 4 5 5 3" xfId="14940" xr:uid="{00000000-0005-0000-0000-000065E50000}"/>
    <cellStyle name="Normal 4 5 5 3 2" xfId="14941" xr:uid="{00000000-0005-0000-0000-000066E50000}"/>
    <cellStyle name="Normal 4 5 5 3 2 2" xfId="14942" xr:uid="{00000000-0005-0000-0000-000067E50000}"/>
    <cellStyle name="Normal 4 5 5 3 2 2 2" xfId="14943" xr:uid="{00000000-0005-0000-0000-000068E50000}"/>
    <cellStyle name="Normal 4 5 5 3 2 2 2 2" xfId="31906" xr:uid="{00000000-0005-0000-0000-000069E50000}"/>
    <cellStyle name="Normal 4 5 5 3 2 2 2 2 2" xfId="63777" xr:uid="{00000000-0005-0000-0000-00006AE50000}"/>
    <cellStyle name="Normal 4 5 5 3 2 2 2 3" xfId="46822" xr:uid="{00000000-0005-0000-0000-00006BE50000}"/>
    <cellStyle name="Normal 4 5 5 3 2 2 3" xfId="24028" xr:uid="{00000000-0005-0000-0000-00006CE50000}"/>
    <cellStyle name="Normal 4 5 5 3 2 2 3 2" xfId="55899" xr:uid="{00000000-0005-0000-0000-00006DE50000}"/>
    <cellStyle name="Normal 4 5 5 3 2 2 4" xfId="46821" xr:uid="{00000000-0005-0000-0000-00006EE50000}"/>
    <cellStyle name="Normal 4 5 5 3 2 3" xfId="14944" xr:uid="{00000000-0005-0000-0000-00006FE50000}"/>
    <cellStyle name="Normal 4 5 5 3 2 3 2" xfId="27967" xr:uid="{00000000-0005-0000-0000-000070E50000}"/>
    <cellStyle name="Normal 4 5 5 3 2 3 2 2" xfId="59838" xr:uid="{00000000-0005-0000-0000-000071E50000}"/>
    <cellStyle name="Normal 4 5 5 3 2 3 3" xfId="46823" xr:uid="{00000000-0005-0000-0000-000072E50000}"/>
    <cellStyle name="Normal 4 5 5 3 2 4" xfId="20089" xr:uid="{00000000-0005-0000-0000-000073E50000}"/>
    <cellStyle name="Normal 4 5 5 3 2 4 2" xfId="51960" xr:uid="{00000000-0005-0000-0000-000074E50000}"/>
    <cellStyle name="Normal 4 5 5 3 2 5" xfId="46820" xr:uid="{00000000-0005-0000-0000-000075E50000}"/>
    <cellStyle name="Normal 4 5 5 3 3" xfId="14945" xr:uid="{00000000-0005-0000-0000-000076E50000}"/>
    <cellStyle name="Normal 4 5 5 3 3 2" xfId="14946" xr:uid="{00000000-0005-0000-0000-000077E50000}"/>
    <cellStyle name="Normal 4 5 5 3 3 2 2" xfId="31905" xr:uid="{00000000-0005-0000-0000-000078E50000}"/>
    <cellStyle name="Normal 4 5 5 3 3 2 2 2" xfId="63776" xr:uid="{00000000-0005-0000-0000-000079E50000}"/>
    <cellStyle name="Normal 4 5 5 3 3 2 3" xfId="46825" xr:uid="{00000000-0005-0000-0000-00007AE50000}"/>
    <cellStyle name="Normal 4 5 5 3 3 3" xfId="24027" xr:uid="{00000000-0005-0000-0000-00007BE50000}"/>
    <cellStyle name="Normal 4 5 5 3 3 3 2" xfId="55898" xr:uid="{00000000-0005-0000-0000-00007CE50000}"/>
    <cellStyle name="Normal 4 5 5 3 3 4" xfId="46824" xr:uid="{00000000-0005-0000-0000-00007DE50000}"/>
    <cellStyle name="Normal 4 5 5 3 4" xfId="14947" xr:uid="{00000000-0005-0000-0000-00007EE50000}"/>
    <cellStyle name="Normal 4 5 5 3 4 2" xfId="27966" xr:uid="{00000000-0005-0000-0000-00007FE50000}"/>
    <cellStyle name="Normal 4 5 5 3 4 2 2" xfId="59837" xr:uid="{00000000-0005-0000-0000-000080E50000}"/>
    <cellStyle name="Normal 4 5 5 3 4 3" xfId="46826" xr:uid="{00000000-0005-0000-0000-000081E50000}"/>
    <cellStyle name="Normal 4 5 5 3 5" xfId="20088" xr:uid="{00000000-0005-0000-0000-000082E50000}"/>
    <cellStyle name="Normal 4 5 5 3 5 2" xfId="51959" xr:uid="{00000000-0005-0000-0000-000083E50000}"/>
    <cellStyle name="Normal 4 5 5 3 6" xfId="46819" xr:uid="{00000000-0005-0000-0000-000084E50000}"/>
    <cellStyle name="Normal 4 5 5 4" xfId="14948" xr:uid="{00000000-0005-0000-0000-000085E50000}"/>
    <cellStyle name="Normal 4 5 5 4 2" xfId="14949" xr:uid="{00000000-0005-0000-0000-000086E50000}"/>
    <cellStyle name="Normal 4 5 5 4 2 2" xfId="14950" xr:uid="{00000000-0005-0000-0000-000087E50000}"/>
    <cellStyle name="Normal 4 5 5 4 2 2 2" xfId="31907" xr:uid="{00000000-0005-0000-0000-000088E50000}"/>
    <cellStyle name="Normal 4 5 5 4 2 2 2 2" xfId="63778" xr:uid="{00000000-0005-0000-0000-000089E50000}"/>
    <cellStyle name="Normal 4 5 5 4 2 2 3" xfId="46829" xr:uid="{00000000-0005-0000-0000-00008AE50000}"/>
    <cellStyle name="Normal 4 5 5 4 2 3" xfId="24029" xr:uid="{00000000-0005-0000-0000-00008BE50000}"/>
    <cellStyle name="Normal 4 5 5 4 2 3 2" xfId="55900" xr:uid="{00000000-0005-0000-0000-00008CE50000}"/>
    <cellStyle name="Normal 4 5 5 4 2 4" xfId="46828" xr:uid="{00000000-0005-0000-0000-00008DE50000}"/>
    <cellStyle name="Normal 4 5 5 4 3" xfId="14951" xr:uid="{00000000-0005-0000-0000-00008EE50000}"/>
    <cellStyle name="Normal 4 5 5 4 3 2" xfId="27968" xr:uid="{00000000-0005-0000-0000-00008FE50000}"/>
    <cellStyle name="Normal 4 5 5 4 3 2 2" xfId="59839" xr:uid="{00000000-0005-0000-0000-000090E50000}"/>
    <cellStyle name="Normal 4 5 5 4 3 3" xfId="46830" xr:uid="{00000000-0005-0000-0000-000091E50000}"/>
    <cellStyle name="Normal 4 5 5 4 4" xfId="20090" xr:uid="{00000000-0005-0000-0000-000092E50000}"/>
    <cellStyle name="Normal 4 5 5 4 4 2" xfId="51961" xr:uid="{00000000-0005-0000-0000-000093E50000}"/>
    <cellStyle name="Normal 4 5 5 4 5" xfId="46827" xr:uid="{00000000-0005-0000-0000-000094E50000}"/>
    <cellStyle name="Normal 4 5 5 5" xfId="14952" xr:uid="{00000000-0005-0000-0000-000095E50000}"/>
    <cellStyle name="Normal 4 5 5 5 2" xfId="14953" xr:uid="{00000000-0005-0000-0000-000096E50000}"/>
    <cellStyle name="Normal 4 5 5 5 2 2" xfId="28293" xr:uid="{00000000-0005-0000-0000-000097E50000}"/>
    <cellStyle name="Normal 4 5 5 5 2 2 2" xfId="60164" xr:uid="{00000000-0005-0000-0000-000098E50000}"/>
    <cellStyle name="Normal 4 5 5 5 2 3" xfId="46832" xr:uid="{00000000-0005-0000-0000-000099E50000}"/>
    <cellStyle name="Normal 4 5 5 5 3" xfId="20415" xr:uid="{00000000-0005-0000-0000-00009AE50000}"/>
    <cellStyle name="Normal 4 5 5 5 3 2" xfId="52286" xr:uid="{00000000-0005-0000-0000-00009BE50000}"/>
    <cellStyle name="Normal 4 5 5 5 4" xfId="46831" xr:uid="{00000000-0005-0000-0000-00009CE50000}"/>
    <cellStyle name="Normal 4 5 5 6" xfId="14954" xr:uid="{00000000-0005-0000-0000-00009DE50000}"/>
    <cellStyle name="Normal 4 5 5 6 2" xfId="24354" xr:uid="{00000000-0005-0000-0000-00009EE50000}"/>
    <cellStyle name="Normal 4 5 5 6 2 2" xfId="56225" xr:uid="{00000000-0005-0000-0000-00009FE50000}"/>
    <cellStyle name="Normal 4 5 5 6 3" xfId="46833" xr:uid="{00000000-0005-0000-0000-0000A0E50000}"/>
    <cellStyle name="Normal 4 5 5 7" xfId="16476" xr:uid="{00000000-0005-0000-0000-0000A1E50000}"/>
    <cellStyle name="Normal 4 5 5 7 2" xfId="48347" xr:uid="{00000000-0005-0000-0000-0000A2E50000}"/>
    <cellStyle name="Normal 4 5 5 8" xfId="46802" xr:uid="{00000000-0005-0000-0000-0000A3E50000}"/>
    <cellStyle name="Normal 4 5 6" xfId="14955" xr:uid="{00000000-0005-0000-0000-0000A4E50000}"/>
    <cellStyle name="Normal 4 5 6 2" xfId="14956" xr:uid="{00000000-0005-0000-0000-0000A5E50000}"/>
    <cellStyle name="Normal 4 5 6 2 2" xfId="14957" xr:uid="{00000000-0005-0000-0000-0000A6E50000}"/>
    <cellStyle name="Normal 4 5 6 2 2 2" xfId="14958" xr:uid="{00000000-0005-0000-0000-0000A7E50000}"/>
    <cellStyle name="Normal 4 5 6 2 2 2 2" xfId="14959" xr:uid="{00000000-0005-0000-0000-0000A8E50000}"/>
    <cellStyle name="Normal 4 5 6 2 2 2 2 2" xfId="31910" xr:uid="{00000000-0005-0000-0000-0000A9E50000}"/>
    <cellStyle name="Normal 4 5 6 2 2 2 2 2 2" xfId="63781" xr:uid="{00000000-0005-0000-0000-0000AAE50000}"/>
    <cellStyle name="Normal 4 5 6 2 2 2 2 3" xfId="46838" xr:uid="{00000000-0005-0000-0000-0000ABE50000}"/>
    <cellStyle name="Normal 4 5 6 2 2 2 3" xfId="24032" xr:uid="{00000000-0005-0000-0000-0000ACE50000}"/>
    <cellStyle name="Normal 4 5 6 2 2 2 3 2" xfId="55903" xr:uid="{00000000-0005-0000-0000-0000ADE50000}"/>
    <cellStyle name="Normal 4 5 6 2 2 2 4" xfId="46837" xr:uid="{00000000-0005-0000-0000-0000AEE50000}"/>
    <cellStyle name="Normal 4 5 6 2 2 3" xfId="14960" xr:uid="{00000000-0005-0000-0000-0000AFE50000}"/>
    <cellStyle name="Normal 4 5 6 2 2 3 2" xfId="27971" xr:uid="{00000000-0005-0000-0000-0000B0E50000}"/>
    <cellStyle name="Normal 4 5 6 2 2 3 2 2" xfId="59842" xr:uid="{00000000-0005-0000-0000-0000B1E50000}"/>
    <cellStyle name="Normal 4 5 6 2 2 3 3" xfId="46839" xr:uid="{00000000-0005-0000-0000-0000B2E50000}"/>
    <cellStyle name="Normal 4 5 6 2 2 4" xfId="20093" xr:uid="{00000000-0005-0000-0000-0000B3E50000}"/>
    <cellStyle name="Normal 4 5 6 2 2 4 2" xfId="51964" xr:uid="{00000000-0005-0000-0000-0000B4E50000}"/>
    <cellStyle name="Normal 4 5 6 2 2 5" xfId="46836" xr:uid="{00000000-0005-0000-0000-0000B5E50000}"/>
    <cellStyle name="Normal 4 5 6 2 3" xfId="14961" xr:uid="{00000000-0005-0000-0000-0000B6E50000}"/>
    <cellStyle name="Normal 4 5 6 2 3 2" xfId="14962" xr:uid="{00000000-0005-0000-0000-0000B7E50000}"/>
    <cellStyle name="Normal 4 5 6 2 3 2 2" xfId="31909" xr:uid="{00000000-0005-0000-0000-0000B8E50000}"/>
    <cellStyle name="Normal 4 5 6 2 3 2 2 2" xfId="63780" xr:uid="{00000000-0005-0000-0000-0000B9E50000}"/>
    <cellStyle name="Normal 4 5 6 2 3 2 3" xfId="46841" xr:uid="{00000000-0005-0000-0000-0000BAE50000}"/>
    <cellStyle name="Normal 4 5 6 2 3 3" xfId="24031" xr:uid="{00000000-0005-0000-0000-0000BBE50000}"/>
    <cellStyle name="Normal 4 5 6 2 3 3 2" xfId="55902" xr:uid="{00000000-0005-0000-0000-0000BCE50000}"/>
    <cellStyle name="Normal 4 5 6 2 3 4" xfId="46840" xr:uid="{00000000-0005-0000-0000-0000BDE50000}"/>
    <cellStyle name="Normal 4 5 6 2 4" xfId="14963" xr:uid="{00000000-0005-0000-0000-0000BEE50000}"/>
    <cellStyle name="Normal 4 5 6 2 4 2" xfId="27970" xr:uid="{00000000-0005-0000-0000-0000BFE50000}"/>
    <cellStyle name="Normal 4 5 6 2 4 2 2" xfId="59841" xr:uid="{00000000-0005-0000-0000-0000C0E50000}"/>
    <cellStyle name="Normal 4 5 6 2 4 3" xfId="46842" xr:uid="{00000000-0005-0000-0000-0000C1E50000}"/>
    <cellStyle name="Normal 4 5 6 2 5" xfId="20092" xr:uid="{00000000-0005-0000-0000-0000C2E50000}"/>
    <cellStyle name="Normal 4 5 6 2 5 2" xfId="51963" xr:uid="{00000000-0005-0000-0000-0000C3E50000}"/>
    <cellStyle name="Normal 4 5 6 2 6" xfId="46835" xr:uid="{00000000-0005-0000-0000-0000C4E50000}"/>
    <cellStyle name="Normal 4 5 6 3" xfId="14964" xr:uid="{00000000-0005-0000-0000-0000C5E50000}"/>
    <cellStyle name="Normal 4 5 6 3 2" xfId="14965" xr:uid="{00000000-0005-0000-0000-0000C6E50000}"/>
    <cellStyle name="Normal 4 5 6 3 2 2" xfId="14966" xr:uid="{00000000-0005-0000-0000-0000C7E50000}"/>
    <cellStyle name="Normal 4 5 6 3 2 2 2" xfId="31911" xr:uid="{00000000-0005-0000-0000-0000C8E50000}"/>
    <cellStyle name="Normal 4 5 6 3 2 2 2 2" xfId="63782" xr:uid="{00000000-0005-0000-0000-0000C9E50000}"/>
    <cellStyle name="Normal 4 5 6 3 2 2 3" xfId="46845" xr:uid="{00000000-0005-0000-0000-0000CAE50000}"/>
    <cellStyle name="Normal 4 5 6 3 2 3" xfId="24033" xr:uid="{00000000-0005-0000-0000-0000CBE50000}"/>
    <cellStyle name="Normal 4 5 6 3 2 3 2" xfId="55904" xr:uid="{00000000-0005-0000-0000-0000CCE50000}"/>
    <cellStyle name="Normal 4 5 6 3 2 4" xfId="46844" xr:uid="{00000000-0005-0000-0000-0000CDE50000}"/>
    <cellStyle name="Normal 4 5 6 3 3" xfId="14967" xr:uid="{00000000-0005-0000-0000-0000CEE50000}"/>
    <cellStyle name="Normal 4 5 6 3 3 2" xfId="27972" xr:uid="{00000000-0005-0000-0000-0000CFE50000}"/>
    <cellStyle name="Normal 4 5 6 3 3 2 2" xfId="59843" xr:uid="{00000000-0005-0000-0000-0000D0E50000}"/>
    <cellStyle name="Normal 4 5 6 3 3 3" xfId="46846" xr:uid="{00000000-0005-0000-0000-0000D1E50000}"/>
    <cellStyle name="Normal 4 5 6 3 4" xfId="20094" xr:uid="{00000000-0005-0000-0000-0000D2E50000}"/>
    <cellStyle name="Normal 4 5 6 3 4 2" xfId="51965" xr:uid="{00000000-0005-0000-0000-0000D3E50000}"/>
    <cellStyle name="Normal 4 5 6 3 5" xfId="46843" xr:uid="{00000000-0005-0000-0000-0000D4E50000}"/>
    <cellStyle name="Normal 4 5 6 4" xfId="14968" xr:uid="{00000000-0005-0000-0000-0000D5E50000}"/>
    <cellStyle name="Normal 4 5 6 4 2" xfId="14969" xr:uid="{00000000-0005-0000-0000-0000D6E50000}"/>
    <cellStyle name="Normal 4 5 6 4 2 2" xfId="31908" xr:uid="{00000000-0005-0000-0000-0000D7E50000}"/>
    <cellStyle name="Normal 4 5 6 4 2 2 2" xfId="63779" xr:uid="{00000000-0005-0000-0000-0000D8E50000}"/>
    <cellStyle name="Normal 4 5 6 4 2 3" xfId="46848" xr:uid="{00000000-0005-0000-0000-0000D9E50000}"/>
    <cellStyle name="Normal 4 5 6 4 3" xfId="24030" xr:uid="{00000000-0005-0000-0000-0000DAE50000}"/>
    <cellStyle name="Normal 4 5 6 4 3 2" xfId="55901" xr:uid="{00000000-0005-0000-0000-0000DBE50000}"/>
    <cellStyle name="Normal 4 5 6 4 4" xfId="46847" xr:uid="{00000000-0005-0000-0000-0000DCE50000}"/>
    <cellStyle name="Normal 4 5 6 5" xfId="14970" xr:uid="{00000000-0005-0000-0000-0000DDE50000}"/>
    <cellStyle name="Normal 4 5 6 5 2" xfId="27969" xr:uid="{00000000-0005-0000-0000-0000DEE50000}"/>
    <cellStyle name="Normal 4 5 6 5 2 2" xfId="59840" xr:uid="{00000000-0005-0000-0000-0000DFE50000}"/>
    <cellStyle name="Normal 4 5 6 5 3" xfId="46849" xr:uid="{00000000-0005-0000-0000-0000E0E50000}"/>
    <cellStyle name="Normal 4 5 6 6" xfId="20091" xr:uid="{00000000-0005-0000-0000-0000E1E50000}"/>
    <cellStyle name="Normal 4 5 6 6 2" xfId="51962" xr:uid="{00000000-0005-0000-0000-0000E2E50000}"/>
    <cellStyle name="Normal 4 5 6 7" xfId="46834" xr:uid="{00000000-0005-0000-0000-0000E3E50000}"/>
    <cellStyle name="Normal 4 5 7" xfId="14971" xr:uid="{00000000-0005-0000-0000-0000E4E50000}"/>
    <cellStyle name="Normal 4 5 7 2" xfId="14972" xr:uid="{00000000-0005-0000-0000-0000E5E50000}"/>
    <cellStyle name="Normal 4 5 7 2 2" xfId="14973" xr:uid="{00000000-0005-0000-0000-0000E6E50000}"/>
    <cellStyle name="Normal 4 5 7 2 2 2" xfId="14974" xr:uid="{00000000-0005-0000-0000-0000E7E50000}"/>
    <cellStyle name="Normal 4 5 7 2 2 2 2" xfId="31913" xr:uid="{00000000-0005-0000-0000-0000E8E50000}"/>
    <cellStyle name="Normal 4 5 7 2 2 2 2 2" xfId="63784" xr:uid="{00000000-0005-0000-0000-0000E9E50000}"/>
    <cellStyle name="Normal 4 5 7 2 2 2 3" xfId="46853" xr:uid="{00000000-0005-0000-0000-0000EAE50000}"/>
    <cellStyle name="Normal 4 5 7 2 2 3" xfId="24035" xr:uid="{00000000-0005-0000-0000-0000EBE50000}"/>
    <cellStyle name="Normal 4 5 7 2 2 3 2" xfId="55906" xr:uid="{00000000-0005-0000-0000-0000ECE50000}"/>
    <cellStyle name="Normal 4 5 7 2 2 4" xfId="46852" xr:uid="{00000000-0005-0000-0000-0000EDE50000}"/>
    <cellStyle name="Normal 4 5 7 2 3" xfId="14975" xr:uid="{00000000-0005-0000-0000-0000EEE50000}"/>
    <cellStyle name="Normal 4 5 7 2 3 2" xfId="27974" xr:uid="{00000000-0005-0000-0000-0000EFE50000}"/>
    <cellStyle name="Normal 4 5 7 2 3 2 2" xfId="59845" xr:uid="{00000000-0005-0000-0000-0000F0E50000}"/>
    <cellStyle name="Normal 4 5 7 2 3 3" xfId="46854" xr:uid="{00000000-0005-0000-0000-0000F1E50000}"/>
    <cellStyle name="Normal 4 5 7 2 4" xfId="20096" xr:uid="{00000000-0005-0000-0000-0000F2E50000}"/>
    <cellStyle name="Normal 4 5 7 2 4 2" xfId="51967" xr:uid="{00000000-0005-0000-0000-0000F3E50000}"/>
    <cellStyle name="Normal 4 5 7 2 5" xfId="46851" xr:uid="{00000000-0005-0000-0000-0000F4E50000}"/>
    <cellStyle name="Normal 4 5 7 3" xfId="14976" xr:uid="{00000000-0005-0000-0000-0000F5E50000}"/>
    <cellStyle name="Normal 4 5 7 3 2" xfId="14977" xr:uid="{00000000-0005-0000-0000-0000F6E50000}"/>
    <cellStyle name="Normal 4 5 7 3 2 2" xfId="31912" xr:uid="{00000000-0005-0000-0000-0000F7E50000}"/>
    <cellStyle name="Normal 4 5 7 3 2 2 2" xfId="63783" xr:uid="{00000000-0005-0000-0000-0000F8E50000}"/>
    <cellStyle name="Normal 4 5 7 3 2 3" xfId="46856" xr:uid="{00000000-0005-0000-0000-0000F9E50000}"/>
    <cellStyle name="Normal 4 5 7 3 3" xfId="24034" xr:uid="{00000000-0005-0000-0000-0000FAE50000}"/>
    <cellStyle name="Normal 4 5 7 3 3 2" xfId="55905" xr:uid="{00000000-0005-0000-0000-0000FBE50000}"/>
    <cellStyle name="Normal 4 5 7 3 4" xfId="46855" xr:uid="{00000000-0005-0000-0000-0000FCE50000}"/>
    <cellStyle name="Normal 4 5 7 4" xfId="14978" xr:uid="{00000000-0005-0000-0000-0000FDE50000}"/>
    <cellStyle name="Normal 4 5 7 4 2" xfId="27973" xr:uid="{00000000-0005-0000-0000-0000FEE50000}"/>
    <cellStyle name="Normal 4 5 7 4 2 2" xfId="59844" xr:uid="{00000000-0005-0000-0000-0000FFE50000}"/>
    <cellStyle name="Normal 4 5 7 4 3" xfId="46857" xr:uid="{00000000-0005-0000-0000-000000E60000}"/>
    <cellStyle name="Normal 4 5 7 5" xfId="20095" xr:uid="{00000000-0005-0000-0000-000001E60000}"/>
    <cellStyle name="Normal 4 5 7 5 2" xfId="51966" xr:uid="{00000000-0005-0000-0000-000002E60000}"/>
    <cellStyle name="Normal 4 5 7 6" xfId="46850" xr:uid="{00000000-0005-0000-0000-000003E60000}"/>
    <cellStyle name="Normal 4 5 8" xfId="14979" xr:uid="{00000000-0005-0000-0000-000004E60000}"/>
    <cellStyle name="Normal 4 5 8 2" xfId="14980" xr:uid="{00000000-0005-0000-0000-000005E60000}"/>
    <cellStyle name="Normal 4 5 8 2 2" xfId="14981" xr:uid="{00000000-0005-0000-0000-000006E60000}"/>
    <cellStyle name="Normal 4 5 8 2 2 2" xfId="31914" xr:uid="{00000000-0005-0000-0000-000007E60000}"/>
    <cellStyle name="Normal 4 5 8 2 2 2 2" xfId="63785" xr:uid="{00000000-0005-0000-0000-000008E60000}"/>
    <cellStyle name="Normal 4 5 8 2 2 3" xfId="46860" xr:uid="{00000000-0005-0000-0000-000009E60000}"/>
    <cellStyle name="Normal 4 5 8 2 3" xfId="24036" xr:uid="{00000000-0005-0000-0000-00000AE60000}"/>
    <cellStyle name="Normal 4 5 8 2 3 2" xfId="55907" xr:uid="{00000000-0005-0000-0000-00000BE60000}"/>
    <cellStyle name="Normal 4 5 8 2 4" xfId="46859" xr:uid="{00000000-0005-0000-0000-00000CE60000}"/>
    <cellStyle name="Normal 4 5 8 3" xfId="14982" xr:uid="{00000000-0005-0000-0000-00000DE60000}"/>
    <cellStyle name="Normal 4 5 8 3 2" xfId="27975" xr:uid="{00000000-0005-0000-0000-00000EE60000}"/>
    <cellStyle name="Normal 4 5 8 3 2 2" xfId="59846" xr:uid="{00000000-0005-0000-0000-00000FE60000}"/>
    <cellStyle name="Normal 4 5 8 3 3" xfId="46861" xr:uid="{00000000-0005-0000-0000-000010E60000}"/>
    <cellStyle name="Normal 4 5 8 4" xfId="20097" xr:uid="{00000000-0005-0000-0000-000011E60000}"/>
    <cellStyle name="Normal 4 5 8 4 2" xfId="51968" xr:uid="{00000000-0005-0000-0000-000012E60000}"/>
    <cellStyle name="Normal 4 5 8 5" xfId="46858" xr:uid="{00000000-0005-0000-0000-000013E60000}"/>
    <cellStyle name="Normal 4 5 9" xfId="14983" xr:uid="{00000000-0005-0000-0000-000014E60000}"/>
    <cellStyle name="Normal 4 5 9 2" xfId="14984" xr:uid="{00000000-0005-0000-0000-000015E60000}"/>
    <cellStyle name="Normal 4 5 9 2 2" xfId="28252" xr:uid="{00000000-0005-0000-0000-000016E60000}"/>
    <cellStyle name="Normal 4 5 9 2 2 2" xfId="60123" xr:uid="{00000000-0005-0000-0000-000017E60000}"/>
    <cellStyle name="Normal 4 5 9 2 3" xfId="46863" xr:uid="{00000000-0005-0000-0000-000018E60000}"/>
    <cellStyle name="Normal 4 5 9 3" xfId="20374" xr:uid="{00000000-0005-0000-0000-000019E60000}"/>
    <cellStyle name="Normal 4 5 9 3 2" xfId="52245" xr:uid="{00000000-0005-0000-0000-00001AE60000}"/>
    <cellStyle name="Normal 4 5 9 4" xfId="46862" xr:uid="{00000000-0005-0000-0000-00001BE60000}"/>
    <cellStyle name="Normal 4 6" xfId="197" xr:uid="{00000000-0005-0000-0000-00001CE60000}"/>
    <cellStyle name="Normal 4 6 10" xfId="14986" xr:uid="{00000000-0005-0000-0000-00001DE60000}"/>
    <cellStyle name="Normal 4 6 10 2" xfId="24338" xr:uid="{00000000-0005-0000-0000-00001EE60000}"/>
    <cellStyle name="Normal 4 6 10 2 2" xfId="56209" xr:uid="{00000000-0005-0000-0000-00001FE60000}"/>
    <cellStyle name="Normal 4 6 10 3" xfId="46865" xr:uid="{00000000-0005-0000-0000-000020E60000}"/>
    <cellStyle name="Normal 4 6 11" xfId="16460" xr:uid="{00000000-0005-0000-0000-000021E60000}"/>
    <cellStyle name="Normal 4 6 11 2" xfId="48331" xr:uid="{00000000-0005-0000-0000-000022E60000}"/>
    <cellStyle name="Normal 4 6 12" xfId="14985" xr:uid="{00000000-0005-0000-0000-000023E60000}"/>
    <cellStyle name="Normal 4 6 12 2" xfId="46864" xr:uid="{00000000-0005-0000-0000-000024E60000}"/>
    <cellStyle name="Normal 4 6 13" xfId="32187" xr:uid="{00000000-0005-0000-0000-000025E60000}"/>
    <cellStyle name="Normal 4 6 2" xfId="216" xr:uid="{00000000-0005-0000-0000-000026E60000}"/>
    <cellStyle name="Normal 4 6 2 10" xfId="14987" xr:uid="{00000000-0005-0000-0000-000027E60000}"/>
    <cellStyle name="Normal 4 6 2 10 2" xfId="46866" xr:uid="{00000000-0005-0000-0000-000028E60000}"/>
    <cellStyle name="Normal 4 6 2 11" xfId="32196" xr:uid="{00000000-0005-0000-0000-000029E60000}"/>
    <cellStyle name="Normal 4 6 2 2" xfId="14988" xr:uid="{00000000-0005-0000-0000-00002AE60000}"/>
    <cellStyle name="Normal 4 6 2 2 2" xfId="14989" xr:uid="{00000000-0005-0000-0000-00002BE60000}"/>
    <cellStyle name="Normal 4 6 2 2 2 2" xfId="14990" xr:uid="{00000000-0005-0000-0000-00002CE60000}"/>
    <cellStyle name="Normal 4 6 2 2 2 2 2" xfId="14991" xr:uid="{00000000-0005-0000-0000-00002DE60000}"/>
    <cellStyle name="Normal 4 6 2 2 2 2 2 2" xfId="14992" xr:uid="{00000000-0005-0000-0000-00002EE60000}"/>
    <cellStyle name="Normal 4 6 2 2 2 2 2 2 2" xfId="14993" xr:uid="{00000000-0005-0000-0000-00002FE60000}"/>
    <cellStyle name="Normal 4 6 2 2 2 2 2 2 2 2" xfId="14994" xr:uid="{00000000-0005-0000-0000-000030E60000}"/>
    <cellStyle name="Normal 4 6 2 2 2 2 2 2 2 2 2" xfId="31918" xr:uid="{00000000-0005-0000-0000-000031E60000}"/>
    <cellStyle name="Normal 4 6 2 2 2 2 2 2 2 2 2 2" xfId="63789" xr:uid="{00000000-0005-0000-0000-000032E60000}"/>
    <cellStyle name="Normal 4 6 2 2 2 2 2 2 2 2 3" xfId="46873" xr:uid="{00000000-0005-0000-0000-000033E60000}"/>
    <cellStyle name="Normal 4 6 2 2 2 2 2 2 2 3" xfId="24040" xr:uid="{00000000-0005-0000-0000-000034E60000}"/>
    <cellStyle name="Normal 4 6 2 2 2 2 2 2 2 3 2" xfId="55911" xr:uid="{00000000-0005-0000-0000-000035E60000}"/>
    <cellStyle name="Normal 4 6 2 2 2 2 2 2 2 4" xfId="46872" xr:uid="{00000000-0005-0000-0000-000036E60000}"/>
    <cellStyle name="Normal 4 6 2 2 2 2 2 2 3" xfId="14995" xr:uid="{00000000-0005-0000-0000-000037E60000}"/>
    <cellStyle name="Normal 4 6 2 2 2 2 2 2 3 2" xfId="27979" xr:uid="{00000000-0005-0000-0000-000038E60000}"/>
    <cellStyle name="Normal 4 6 2 2 2 2 2 2 3 2 2" xfId="59850" xr:uid="{00000000-0005-0000-0000-000039E60000}"/>
    <cellStyle name="Normal 4 6 2 2 2 2 2 2 3 3" xfId="46874" xr:uid="{00000000-0005-0000-0000-00003AE60000}"/>
    <cellStyle name="Normal 4 6 2 2 2 2 2 2 4" xfId="20101" xr:uid="{00000000-0005-0000-0000-00003BE60000}"/>
    <cellStyle name="Normal 4 6 2 2 2 2 2 2 4 2" xfId="51972" xr:uid="{00000000-0005-0000-0000-00003CE60000}"/>
    <cellStyle name="Normal 4 6 2 2 2 2 2 2 5" xfId="46871" xr:uid="{00000000-0005-0000-0000-00003DE60000}"/>
    <cellStyle name="Normal 4 6 2 2 2 2 2 3" xfId="14996" xr:uid="{00000000-0005-0000-0000-00003EE60000}"/>
    <cellStyle name="Normal 4 6 2 2 2 2 2 3 2" xfId="14997" xr:uid="{00000000-0005-0000-0000-00003FE60000}"/>
    <cellStyle name="Normal 4 6 2 2 2 2 2 3 2 2" xfId="31917" xr:uid="{00000000-0005-0000-0000-000040E60000}"/>
    <cellStyle name="Normal 4 6 2 2 2 2 2 3 2 2 2" xfId="63788" xr:uid="{00000000-0005-0000-0000-000041E60000}"/>
    <cellStyle name="Normal 4 6 2 2 2 2 2 3 2 3" xfId="46876" xr:uid="{00000000-0005-0000-0000-000042E60000}"/>
    <cellStyle name="Normal 4 6 2 2 2 2 2 3 3" xfId="24039" xr:uid="{00000000-0005-0000-0000-000043E60000}"/>
    <cellStyle name="Normal 4 6 2 2 2 2 2 3 3 2" xfId="55910" xr:uid="{00000000-0005-0000-0000-000044E60000}"/>
    <cellStyle name="Normal 4 6 2 2 2 2 2 3 4" xfId="46875" xr:uid="{00000000-0005-0000-0000-000045E60000}"/>
    <cellStyle name="Normal 4 6 2 2 2 2 2 4" xfId="14998" xr:uid="{00000000-0005-0000-0000-000046E60000}"/>
    <cellStyle name="Normal 4 6 2 2 2 2 2 4 2" xfId="27978" xr:uid="{00000000-0005-0000-0000-000047E60000}"/>
    <cellStyle name="Normal 4 6 2 2 2 2 2 4 2 2" xfId="59849" xr:uid="{00000000-0005-0000-0000-000048E60000}"/>
    <cellStyle name="Normal 4 6 2 2 2 2 2 4 3" xfId="46877" xr:uid="{00000000-0005-0000-0000-000049E60000}"/>
    <cellStyle name="Normal 4 6 2 2 2 2 2 5" xfId="20100" xr:uid="{00000000-0005-0000-0000-00004AE60000}"/>
    <cellStyle name="Normal 4 6 2 2 2 2 2 5 2" xfId="51971" xr:uid="{00000000-0005-0000-0000-00004BE60000}"/>
    <cellStyle name="Normal 4 6 2 2 2 2 2 6" xfId="46870" xr:uid="{00000000-0005-0000-0000-00004CE60000}"/>
    <cellStyle name="Normal 4 6 2 2 2 2 3" xfId="14999" xr:uid="{00000000-0005-0000-0000-00004DE60000}"/>
    <cellStyle name="Normal 4 6 2 2 2 2 3 2" xfId="15000" xr:uid="{00000000-0005-0000-0000-00004EE60000}"/>
    <cellStyle name="Normal 4 6 2 2 2 2 3 2 2" xfId="15001" xr:uid="{00000000-0005-0000-0000-00004FE60000}"/>
    <cellStyle name="Normal 4 6 2 2 2 2 3 2 2 2" xfId="31919" xr:uid="{00000000-0005-0000-0000-000050E60000}"/>
    <cellStyle name="Normal 4 6 2 2 2 2 3 2 2 2 2" xfId="63790" xr:uid="{00000000-0005-0000-0000-000051E60000}"/>
    <cellStyle name="Normal 4 6 2 2 2 2 3 2 2 3" xfId="46880" xr:uid="{00000000-0005-0000-0000-000052E60000}"/>
    <cellStyle name="Normal 4 6 2 2 2 2 3 2 3" xfId="24041" xr:uid="{00000000-0005-0000-0000-000053E60000}"/>
    <cellStyle name="Normal 4 6 2 2 2 2 3 2 3 2" xfId="55912" xr:uid="{00000000-0005-0000-0000-000054E60000}"/>
    <cellStyle name="Normal 4 6 2 2 2 2 3 2 4" xfId="46879" xr:uid="{00000000-0005-0000-0000-000055E60000}"/>
    <cellStyle name="Normal 4 6 2 2 2 2 3 3" xfId="15002" xr:uid="{00000000-0005-0000-0000-000056E60000}"/>
    <cellStyle name="Normal 4 6 2 2 2 2 3 3 2" xfId="27980" xr:uid="{00000000-0005-0000-0000-000057E60000}"/>
    <cellStyle name="Normal 4 6 2 2 2 2 3 3 2 2" xfId="59851" xr:uid="{00000000-0005-0000-0000-000058E60000}"/>
    <cellStyle name="Normal 4 6 2 2 2 2 3 3 3" xfId="46881" xr:uid="{00000000-0005-0000-0000-000059E60000}"/>
    <cellStyle name="Normal 4 6 2 2 2 2 3 4" xfId="20102" xr:uid="{00000000-0005-0000-0000-00005AE60000}"/>
    <cellStyle name="Normal 4 6 2 2 2 2 3 4 2" xfId="51973" xr:uid="{00000000-0005-0000-0000-00005BE60000}"/>
    <cellStyle name="Normal 4 6 2 2 2 2 3 5" xfId="46878" xr:uid="{00000000-0005-0000-0000-00005CE60000}"/>
    <cellStyle name="Normal 4 6 2 2 2 2 4" xfId="15003" xr:uid="{00000000-0005-0000-0000-00005DE60000}"/>
    <cellStyle name="Normal 4 6 2 2 2 2 4 2" xfId="15004" xr:uid="{00000000-0005-0000-0000-00005EE60000}"/>
    <cellStyle name="Normal 4 6 2 2 2 2 4 2 2" xfId="31916" xr:uid="{00000000-0005-0000-0000-00005FE60000}"/>
    <cellStyle name="Normal 4 6 2 2 2 2 4 2 2 2" xfId="63787" xr:uid="{00000000-0005-0000-0000-000060E60000}"/>
    <cellStyle name="Normal 4 6 2 2 2 2 4 2 3" xfId="46883" xr:uid="{00000000-0005-0000-0000-000061E60000}"/>
    <cellStyle name="Normal 4 6 2 2 2 2 4 3" xfId="24038" xr:uid="{00000000-0005-0000-0000-000062E60000}"/>
    <cellStyle name="Normal 4 6 2 2 2 2 4 3 2" xfId="55909" xr:uid="{00000000-0005-0000-0000-000063E60000}"/>
    <cellStyle name="Normal 4 6 2 2 2 2 4 4" xfId="46882" xr:uid="{00000000-0005-0000-0000-000064E60000}"/>
    <cellStyle name="Normal 4 6 2 2 2 2 5" xfId="15005" xr:uid="{00000000-0005-0000-0000-000065E60000}"/>
    <cellStyle name="Normal 4 6 2 2 2 2 5 2" xfId="27977" xr:uid="{00000000-0005-0000-0000-000066E60000}"/>
    <cellStyle name="Normal 4 6 2 2 2 2 5 2 2" xfId="59848" xr:uid="{00000000-0005-0000-0000-000067E60000}"/>
    <cellStyle name="Normal 4 6 2 2 2 2 5 3" xfId="46884" xr:uid="{00000000-0005-0000-0000-000068E60000}"/>
    <cellStyle name="Normal 4 6 2 2 2 2 6" xfId="20099" xr:uid="{00000000-0005-0000-0000-000069E60000}"/>
    <cellStyle name="Normal 4 6 2 2 2 2 6 2" xfId="51970" xr:uid="{00000000-0005-0000-0000-00006AE60000}"/>
    <cellStyle name="Normal 4 6 2 2 2 2 7" xfId="46869" xr:uid="{00000000-0005-0000-0000-00006BE60000}"/>
    <cellStyle name="Normal 4 6 2 2 2 3" xfId="15006" xr:uid="{00000000-0005-0000-0000-00006CE60000}"/>
    <cellStyle name="Normal 4 6 2 2 2 3 2" xfId="15007" xr:uid="{00000000-0005-0000-0000-00006DE60000}"/>
    <cellStyle name="Normal 4 6 2 2 2 3 2 2" xfId="15008" xr:uid="{00000000-0005-0000-0000-00006EE60000}"/>
    <cellStyle name="Normal 4 6 2 2 2 3 2 2 2" xfId="15009" xr:uid="{00000000-0005-0000-0000-00006FE60000}"/>
    <cellStyle name="Normal 4 6 2 2 2 3 2 2 2 2" xfId="31921" xr:uid="{00000000-0005-0000-0000-000070E60000}"/>
    <cellStyle name="Normal 4 6 2 2 2 3 2 2 2 2 2" xfId="63792" xr:uid="{00000000-0005-0000-0000-000071E60000}"/>
    <cellStyle name="Normal 4 6 2 2 2 3 2 2 2 3" xfId="46888" xr:uid="{00000000-0005-0000-0000-000072E60000}"/>
    <cellStyle name="Normal 4 6 2 2 2 3 2 2 3" xfId="24043" xr:uid="{00000000-0005-0000-0000-000073E60000}"/>
    <cellStyle name="Normal 4 6 2 2 2 3 2 2 3 2" xfId="55914" xr:uid="{00000000-0005-0000-0000-000074E60000}"/>
    <cellStyle name="Normal 4 6 2 2 2 3 2 2 4" xfId="46887" xr:uid="{00000000-0005-0000-0000-000075E60000}"/>
    <cellStyle name="Normal 4 6 2 2 2 3 2 3" xfId="15010" xr:uid="{00000000-0005-0000-0000-000076E60000}"/>
    <cellStyle name="Normal 4 6 2 2 2 3 2 3 2" xfId="27982" xr:uid="{00000000-0005-0000-0000-000077E60000}"/>
    <cellStyle name="Normal 4 6 2 2 2 3 2 3 2 2" xfId="59853" xr:uid="{00000000-0005-0000-0000-000078E60000}"/>
    <cellStyle name="Normal 4 6 2 2 2 3 2 3 3" xfId="46889" xr:uid="{00000000-0005-0000-0000-000079E60000}"/>
    <cellStyle name="Normal 4 6 2 2 2 3 2 4" xfId="20104" xr:uid="{00000000-0005-0000-0000-00007AE60000}"/>
    <cellStyle name="Normal 4 6 2 2 2 3 2 4 2" xfId="51975" xr:uid="{00000000-0005-0000-0000-00007BE60000}"/>
    <cellStyle name="Normal 4 6 2 2 2 3 2 5" xfId="46886" xr:uid="{00000000-0005-0000-0000-00007CE60000}"/>
    <cellStyle name="Normal 4 6 2 2 2 3 3" xfId="15011" xr:uid="{00000000-0005-0000-0000-00007DE60000}"/>
    <cellStyle name="Normal 4 6 2 2 2 3 3 2" xfId="15012" xr:uid="{00000000-0005-0000-0000-00007EE60000}"/>
    <cellStyle name="Normal 4 6 2 2 2 3 3 2 2" xfId="31920" xr:uid="{00000000-0005-0000-0000-00007FE60000}"/>
    <cellStyle name="Normal 4 6 2 2 2 3 3 2 2 2" xfId="63791" xr:uid="{00000000-0005-0000-0000-000080E60000}"/>
    <cellStyle name="Normal 4 6 2 2 2 3 3 2 3" xfId="46891" xr:uid="{00000000-0005-0000-0000-000081E60000}"/>
    <cellStyle name="Normal 4 6 2 2 2 3 3 3" xfId="24042" xr:uid="{00000000-0005-0000-0000-000082E60000}"/>
    <cellStyle name="Normal 4 6 2 2 2 3 3 3 2" xfId="55913" xr:uid="{00000000-0005-0000-0000-000083E60000}"/>
    <cellStyle name="Normal 4 6 2 2 2 3 3 4" xfId="46890" xr:uid="{00000000-0005-0000-0000-000084E60000}"/>
    <cellStyle name="Normal 4 6 2 2 2 3 4" xfId="15013" xr:uid="{00000000-0005-0000-0000-000085E60000}"/>
    <cellStyle name="Normal 4 6 2 2 2 3 4 2" xfId="27981" xr:uid="{00000000-0005-0000-0000-000086E60000}"/>
    <cellStyle name="Normal 4 6 2 2 2 3 4 2 2" xfId="59852" xr:uid="{00000000-0005-0000-0000-000087E60000}"/>
    <cellStyle name="Normal 4 6 2 2 2 3 4 3" xfId="46892" xr:uid="{00000000-0005-0000-0000-000088E60000}"/>
    <cellStyle name="Normal 4 6 2 2 2 3 5" xfId="20103" xr:uid="{00000000-0005-0000-0000-000089E60000}"/>
    <cellStyle name="Normal 4 6 2 2 2 3 5 2" xfId="51974" xr:uid="{00000000-0005-0000-0000-00008AE60000}"/>
    <cellStyle name="Normal 4 6 2 2 2 3 6" xfId="46885" xr:uid="{00000000-0005-0000-0000-00008BE60000}"/>
    <cellStyle name="Normal 4 6 2 2 2 4" xfId="15014" xr:uid="{00000000-0005-0000-0000-00008CE60000}"/>
    <cellStyle name="Normal 4 6 2 2 2 4 2" xfId="15015" xr:uid="{00000000-0005-0000-0000-00008DE60000}"/>
    <cellStyle name="Normal 4 6 2 2 2 4 2 2" xfId="15016" xr:uid="{00000000-0005-0000-0000-00008EE60000}"/>
    <cellStyle name="Normal 4 6 2 2 2 4 2 2 2" xfId="31922" xr:uid="{00000000-0005-0000-0000-00008FE60000}"/>
    <cellStyle name="Normal 4 6 2 2 2 4 2 2 2 2" xfId="63793" xr:uid="{00000000-0005-0000-0000-000090E60000}"/>
    <cellStyle name="Normal 4 6 2 2 2 4 2 2 3" xfId="46895" xr:uid="{00000000-0005-0000-0000-000091E60000}"/>
    <cellStyle name="Normal 4 6 2 2 2 4 2 3" xfId="24044" xr:uid="{00000000-0005-0000-0000-000092E60000}"/>
    <cellStyle name="Normal 4 6 2 2 2 4 2 3 2" xfId="55915" xr:uid="{00000000-0005-0000-0000-000093E60000}"/>
    <cellStyle name="Normal 4 6 2 2 2 4 2 4" xfId="46894" xr:uid="{00000000-0005-0000-0000-000094E60000}"/>
    <cellStyle name="Normal 4 6 2 2 2 4 3" xfId="15017" xr:uid="{00000000-0005-0000-0000-000095E60000}"/>
    <cellStyle name="Normal 4 6 2 2 2 4 3 2" xfId="27983" xr:uid="{00000000-0005-0000-0000-000096E60000}"/>
    <cellStyle name="Normal 4 6 2 2 2 4 3 2 2" xfId="59854" xr:uid="{00000000-0005-0000-0000-000097E60000}"/>
    <cellStyle name="Normal 4 6 2 2 2 4 3 3" xfId="46896" xr:uid="{00000000-0005-0000-0000-000098E60000}"/>
    <cellStyle name="Normal 4 6 2 2 2 4 4" xfId="20105" xr:uid="{00000000-0005-0000-0000-000099E60000}"/>
    <cellStyle name="Normal 4 6 2 2 2 4 4 2" xfId="51976" xr:uid="{00000000-0005-0000-0000-00009AE60000}"/>
    <cellStyle name="Normal 4 6 2 2 2 4 5" xfId="46893" xr:uid="{00000000-0005-0000-0000-00009BE60000}"/>
    <cellStyle name="Normal 4 6 2 2 2 5" xfId="15018" xr:uid="{00000000-0005-0000-0000-00009CE60000}"/>
    <cellStyle name="Normal 4 6 2 2 2 5 2" xfId="15019" xr:uid="{00000000-0005-0000-0000-00009DE60000}"/>
    <cellStyle name="Normal 4 6 2 2 2 5 2 2" xfId="31915" xr:uid="{00000000-0005-0000-0000-00009EE60000}"/>
    <cellStyle name="Normal 4 6 2 2 2 5 2 2 2" xfId="63786" xr:uid="{00000000-0005-0000-0000-00009FE60000}"/>
    <cellStyle name="Normal 4 6 2 2 2 5 2 3" xfId="46898" xr:uid="{00000000-0005-0000-0000-0000A0E60000}"/>
    <cellStyle name="Normal 4 6 2 2 2 5 3" xfId="24037" xr:uid="{00000000-0005-0000-0000-0000A1E60000}"/>
    <cellStyle name="Normal 4 6 2 2 2 5 3 2" xfId="55908" xr:uid="{00000000-0005-0000-0000-0000A2E60000}"/>
    <cellStyle name="Normal 4 6 2 2 2 5 4" xfId="46897" xr:uid="{00000000-0005-0000-0000-0000A3E60000}"/>
    <cellStyle name="Normal 4 6 2 2 2 6" xfId="15020" xr:uid="{00000000-0005-0000-0000-0000A4E60000}"/>
    <cellStyle name="Normal 4 6 2 2 2 6 2" xfId="27976" xr:uid="{00000000-0005-0000-0000-0000A5E60000}"/>
    <cellStyle name="Normal 4 6 2 2 2 6 2 2" xfId="59847" xr:uid="{00000000-0005-0000-0000-0000A6E60000}"/>
    <cellStyle name="Normal 4 6 2 2 2 6 3" xfId="46899" xr:uid="{00000000-0005-0000-0000-0000A7E60000}"/>
    <cellStyle name="Normal 4 6 2 2 2 7" xfId="20098" xr:uid="{00000000-0005-0000-0000-0000A8E60000}"/>
    <cellStyle name="Normal 4 6 2 2 2 7 2" xfId="51969" xr:uid="{00000000-0005-0000-0000-0000A9E60000}"/>
    <cellStyle name="Normal 4 6 2 2 2 8" xfId="46868" xr:uid="{00000000-0005-0000-0000-0000AAE60000}"/>
    <cellStyle name="Normal 4 6 2 2 3" xfId="15021" xr:uid="{00000000-0005-0000-0000-0000ABE60000}"/>
    <cellStyle name="Normal 4 6 2 2 3 2" xfId="15022" xr:uid="{00000000-0005-0000-0000-0000ACE60000}"/>
    <cellStyle name="Normal 4 6 2 2 3 2 2" xfId="15023" xr:uid="{00000000-0005-0000-0000-0000ADE60000}"/>
    <cellStyle name="Normal 4 6 2 2 3 2 2 2" xfId="15024" xr:uid="{00000000-0005-0000-0000-0000AEE60000}"/>
    <cellStyle name="Normal 4 6 2 2 3 2 2 2 2" xfId="15025" xr:uid="{00000000-0005-0000-0000-0000AFE60000}"/>
    <cellStyle name="Normal 4 6 2 2 3 2 2 2 2 2" xfId="31925" xr:uid="{00000000-0005-0000-0000-0000B0E60000}"/>
    <cellStyle name="Normal 4 6 2 2 3 2 2 2 2 2 2" xfId="63796" xr:uid="{00000000-0005-0000-0000-0000B1E60000}"/>
    <cellStyle name="Normal 4 6 2 2 3 2 2 2 2 3" xfId="46904" xr:uid="{00000000-0005-0000-0000-0000B2E60000}"/>
    <cellStyle name="Normal 4 6 2 2 3 2 2 2 3" xfId="24047" xr:uid="{00000000-0005-0000-0000-0000B3E60000}"/>
    <cellStyle name="Normal 4 6 2 2 3 2 2 2 3 2" xfId="55918" xr:uid="{00000000-0005-0000-0000-0000B4E60000}"/>
    <cellStyle name="Normal 4 6 2 2 3 2 2 2 4" xfId="46903" xr:uid="{00000000-0005-0000-0000-0000B5E60000}"/>
    <cellStyle name="Normal 4 6 2 2 3 2 2 3" xfId="15026" xr:uid="{00000000-0005-0000-0000-0000B6E60000}"/>
    <cellStyle name="Normal 4 6 2 2 3 2 2 3 2" xfId="27986" xr:uid="{00000000-0005-0000-0000-0000B7E60000}"/>
    <cellStyle name="Normal 4 6 2 2 3 2 2 3 2 2" xfId="59857" xr:uid="{00000000-0005-0000-0000-0000B8E60000}"/>
    <cellStyle name="Normal 4 6 2 2 3 2 2 3 3" xfId="46905" xr:uid="{00000000-0005-0000-0000-0000B9E60000}"/>
    <cellStyle name="Normal 4 6 2 2 3 2 2 4" xfId="20108" xr:uid="{00000000-0005-0000-0000-0000BAE60000}"/>
    <cellStyle name="Normal 4 6 2 2 3 2 2 4 2" xfId="51979" xr:uid="{00000000-0005-0000-0000-0000BBE60000}"/>
    <cellStyle name="Normal 4 6 2 2 3 2 2 5" xfId="46902" xr:uid="{00000000-0005-0000-0000-0000BCE60000}"/>
    <cellStyle name="Normal 4 6 2 2 3 2 3" xfId="15027" xr:uid="{00000000-0005-0000-0000-0000BDE60000}"/>
    <cellStyle name="Normal 4 6 2 2 3 2 3 2" xfId="15028" xr:uid="{00000000-0005-0000-0000-0000BEE60000}"/>
    <cellStyle name="Normal 4 6 2 2 3 2 3 2 2" xfId="31924" xr:uid="{00000000-0005-0000-0000-0000BFE60000}"/>
    <cellStyle name="Normal 4 6 2 2 3 2 3 2 2 2" xfId="63795" xr:uid="{00000000-0005-0000-0000-0000C0E60000}"/>
    <cellStyle name="Normal 4 6 2 2 3 2 3 2 3" xfId="46907" xr:uid="{00000000-0005-0000-0000-0000C1E60000}"/>
    <cellStyle name="Normal 4 6 2 2 3 2 3 3" xfId="24046" xr:uid="{00000000-0005-0000-0000-0000C2E60000}"/>
    <cellStyle name="Normal 4 6 2 2 3 2 3 3 2" xfId="55917" xr:uid="{00000000-0005-0000-0000-0000C3E60000}"/>
    <cellStyle name="Normal 4 6 2 2 3 2 3 4" xfId="46906" xr:uid="{00000000-0005-0000-0000-0000C4E60000}"/>
    <cellStyle name="Normal 4 6 2 2 3 2 4" xfId="15029" xr:uid="{00000000-0005-0000-0000-0000C5E60000}"/>
    <cellStyle name="Normal 4 6 2 2 3 2 4 2" xfId="27985" xr:uid="{00000000-0005-0000-0000-0000C6E60000}"/>
    <cellStyle name="Normal 4 6 2 2 3 2 4 2 2" xfId="59856" xr:uid="{00000000-0005-0000-0000-0000C7E60000}"/>
    <cellStyle name="Normal 4 6 2 2 3 2 4 3" xfId="46908" xr:uid="{00000000-0005-0000-0000-0000C8E60000}"/>
    <cellStyle name="Normal 4 6 2 2 3 2 5" xfId="20107" xr:uid="{00000000-0005-0000-0000-0000C9E60000}"/>
    <cellStyle name="Normal 4 6 2 2 3 2 5 2" xfId="51978" xr:uid="{00000000-0005-0000-0000-0000CAE60000}"/>
    <cellStyle name="Normal 4 6 2 2 3 2 6" xfId="46901" xr:uid="{00000000-0005-0000-0000-0000CBE60000}"/>
    <cellStyle name="Normal 4 6 2 2 3 3" xfId="15030" xr:uid="{00000000-0005-0000-0000-0000CCE60000}"/>
    <cellStyle name="Normal 4 6 2 2 3 3 2" xfId="15031" xr:uid="{00000000-0005-0000-0000-0000CDE60000}"/>
    <cellStyle name="Normal 4 6 2 2 3 3 2 2" xfId="15032" xr:uid="{00000000-0005-0000-0000-0000CEE60000}"/>
    <cellStyle name="Normal 4 6 2 2 3 3 2 2 2" xfId="31926" xr:uid="{00000000-0005-0000-0000-0000CFE60000}"/>
    <cellStyle name="Normal 4 6 2 2 3 3 2 2 2 2" xfId="63797" xr:uid="{00000000-0005-0000-0000-0000D0E60000}"/>
    <cellStyle name="Normal 4 6 2 2 3 3 2 2 3" xfId="46911" xr:uid="{00000000-0005-0000-0000-0000D1E60000}"/>
    <cellStyle name="Normal 4 6 2 2 3 3 2 3" xfId="24048" xr:uid="{00000000-0005-0000-0000-0000D2E60000}"/>
    <cellStyle name="Normal 4 6 2 2 3 3 2 3 2" xfId="55919" xr:uid="{00000000-0005-0000-0000-0000D3E60000}"/>
    <cellStyle name="Normal 4 6 2 2 3 3 2 4" xfId="46910" xr:uid="{00000000-0005-0000-0000-0000D4E60000}"/>
    <cellStyle name="Normal 4 6 2 2 3 3 3" xfId="15033" xr:uid="{00000000-0005-0000-0000-0000D5E60000}"/>
    <cellStyle name="Normal 4 6 2 2 3 3 3 2" xfId="27987" xr:uid="{00000000-0005-0000-0000-0000D6E60000}"/>
    <cellStyle name="Normal 4 6 2 2 3 3 3 2 2" xfId="59858" xr:uid="{00000000-0005-0000-0000-0000D7E60000}"/>
    <cellStyle name="Normal 4 6 2 2 3 3 3 3" xfId="46912" xr:uid="{00000000-0005-0000-0000-0000D8E60000}"/>
    <cellStyle name="Normal 4 6 2 2 3 3 4" xfId="20109" xr:uid="{00000000-0005-0000-0000-0000D9E60000}"/>
    <cellStyle name="Normal 4 6 2 2 3 3 4 2" xfId="51980" xr:uid="{00000000-0005-0000-0000-0000DAE60000}"/>
    <cellStyle name="Normal 4 6 2 2 3 3 5" xfId="46909" xr:uid="{00000000-0005-0000-0000-0000DBE60000}"/>
    <cellStyle name="Normal 4 6 2 2 3 4" xfId="15034" xr:uid="{00000000-0005-0000-0000-0000DCE60000}"/>
    <cellStyle name="Normal 4 6 2 2 3 4 2" xfId="15035" xr:uid="{00000000-0005-0000-0000-0000DDE60000}"/>
    <cellStyle name="Normal 4 6 2 2 3 4 2 2" xfId="31923" xr:uid="{00000000-0005-0000-0000-0000DEE60000}"/>
    <cellStyle name="Normal 4 6 2 2 3 4 2 2 2" xfId="63794" xr:uid="{00000000-0005-0000-0000-0000DFE60000}"/>
    <cellStyle name="Normal 4 6 2 2 3 4 2 3" xfId="46914" xr:uid="{00000000-0005-0000-0000-0000E0E60000}"/>
    <cellStyle name="Normal 4 6 2 2 3 4 3" xfId="24045" xr:uid="{00000000-0005-0000-0000-0000E1E60000}"/>
    <cellStyle name="Normal 4 6 2 2 3 4 3 2" xfId="55916" xr:uid="{00000000-0005-0000-0000-0000E2E60000}"/>
    <cellStyle name="Normal 4 6 2 2 3 4 4" xfId="46913" xr:uid="{00000000-0005-0000-0000-0000E3E60000}"/>
    <cellStyle name="Normal 4 6 2 2 3 5" xfId="15036" xr:uid="{00000000-0005-0000-0000-0000E4E60000}"/>
    <cellStyle name="Normal 4 6 2 2 3 5 2" xfId="27984" xr:uid="{00000000-0005-0000-0000-0000E5E60000}"/>
    <cellStyle name="Normal 4 6 2 2 3 5 2 2" xfId="59855" xr:uid="{00000000-0005-0000-0000-0000E6E60000}"/>
    <cellStyle name="Normal 4 6 2 2 3 5 3" xfId="46915" xr:uid="{00000000-0005-0000-0000-0000E7E60000}"/>
    <cellStyle name="Normal 4 6 2 2 3 6" xfId="20106" xr:uid="{00000000-0005-0000-0000-0000E8E60000}"/>
    <cellStyle name="Normal 4 6 2 2 3 6 2" xfId="51977" xr:uid="{00000000-0005-0000-0000-0000E9E60000}"/>
    <cellStyle name="Normal 4 6 2 2 3 7" xfId="46900" xr:uid="{00000000-0005-0000-0000-0000EAE60000}"/>
    <cellStyle name="Normal 4 6 2 2 4" xfId="15037" xr:uid="{00000000-0005-0000-0000-0000EBE60000}"/>
    <cellStyle name="Normal 4 6 2 2 4 2" xfId="15038" xr:uid="{00000000-0005-0000-0000-0000ECE60000}"/>
    <cellStyle name="Normal 4 6 2 2 4 2 2" xfId="15039" xr:uid="{00000000-0005-0000-0000-0000EDE60000}"/>
    <cellStyle name="Normal 4 6 2 2 4 2 2 2" xfId="15040" xr:uid="{00000000-0005-0000-0000-0000EEE60000}"/>
    <cellStyle name="Normal 4 6 2 2 4 2 2 2 2" xfId="31928" xr:uid="{00000000-0005-0000-0000-0000EFE60000}"/>
    <cellStyle name="Normal 4 6 2 2 4 2 2 2 2 2" xfId="63799" xr:uid="{00000000-0005-0000-0000-0000F0E60000}"/>
    <cellStyle name="Normal 4 6 2 2 4 2 2 2 3" xfId="46919" xr:uid="{00000000-0005-0000-0000-0000F1E60000}"/>
    <cellStyle name="Normal 4 6 2 2 4 2 2 3" xfId="24050" xr:uid="{00000000-0005-0000-0000-0000F2E60000}"/>
    <cellStyle name="Normal 4 6 2 2 4 2 2 3 2" xfId="55921" xr:uid="{00000000-0005-0000-0000-0000F3E60000}"/>
    <cellStyle name="Normal 4 6 2 2 4 2 2 4" xfId="46918" xr:uid="{00000000-0005-0000-0000-0000F4E60000}"/>
    <cellStyle name="Normal 4 6 2 2 4 2 3" xfId="15041" xr:uid="{00000000-0005-0000-0000-0000F5E60000}"/>
    <cellStyle name="Normal 4 6 2 2 4 2 3 2" xfId="27989" xr:uid="{00000000-0005-0000-0000-0000F6E60000}"/>
    <cellStyle name="Normal 4 6 2 2 4 2 3 2 2" xfId="59860" xr:uid="{00000000-0005-0000-0000-0000F7E60000}"/>
    <cellStyle name="Normal 4 6 2 2 4 2 3 3" xfId="46920" xr:uid="{00000000-0005-0000-0000-0000F8E60000}"/>
    <cellStyle name="Normal 4 6 2 2 4 2 4" xfId="20111" xr:uid="{00000000-0005-0000-0000-0000F9E60000}"/>
    <cellStyle name="Normal 4 6 2 2 4 2 4 2" xfId="51982" xr:uid="{00000000-0005-0000-0000-0000FAE60000}"/>
    <cellStyle name="Normal 4 6 2 2 4 2 5" xfId="46917" xr:uid="{00000000-0005-0000-0000-0000FBE60000}"/>
    <cellStyle name="Normal 4 6 2 2 4 3" xfId="15042" xr:uid="{00000000-0005-0000-0000-0000FCE60000}"/>
    <cellStyle name="Normal 4 6 2 2 4 3 2" xfId="15043" xr:uid="{00000000-0005-0000-0000-0000FDE60000}"/>
    <cellStyle name="Normal 4 6 2 2 4 3 2 2" xfId="31927" xr:uid="{00000000-0005-0000-0000-0000FEE60000}"/>
    <cellStyle name="Normal 4 6 2 2 4 3 2 2 2" xfId="63798" xr:uid="{00000000-0005-0000-0000-0000FFE60000}"/>
    <cellStyle name="Normal 4 6 2 2 4 3 2 3" xfId="46922" xr:uid="{00000000-0005-0000-0000-000000E70000}"/>
    <cellStyle name="Normal 4 6 2 2 4 3 3" xfId="24049" xr:uid="{00000000-0005-0000-0000-000001E70000}"/>
    <cellStyle name="Normal 4 6 2 2 4 3 3 2" xfId="55920" xr:uid="{00000000-0005-0000-0000-000002E70000}"/>
    <cellStyle name="Normal 4 6 2 2 4 3 4" xfId="46921" xr:uid="{00000000-0005-0000-0000-000003E70000}"/>
    <cellStyle name="Normal 4 6 2 2 4 4" xfId="15044" xr:uid="{00000000-0005-0000-0000-000004E70000}"/>
    <cellStyle name="Normal 4 6 2 2 4 4 2" xfId="27988" xr:uid="{00000000-0005-0000-0000-000005E70000}"/>
    <cellStyle name="Normal 4 6 2 2 4 4 2 2" xfId="59859" xr:uid="{00000000-0005-0000-0000-000006E70000}"/>
    <cellStyle name="Normal 4 6 2 2 4 4 3" xfId="46923" xr:uid="{00000000-0005-0000-0000-000007E70000}"/>
    <cellStyle name="Normal 4 6 2 2 4 5" xfId="20110" xr:uid="{00000000-0005-0000-0000-000008E70000}"/>
    <cellStyle name="Normal 4 6 2 2 4 5 2" xfId="51981" xr:uid="{00000000-0005-0000-0000-000009E70000}"/>
    <cellStyle name="Normal 4 6 2 2 4 6" xfId="46916" xr:uid="{00000000-0005-0000-0000-00000AE70000}"/>
    <cellStyle name="Normal 4 6 2 2 5" xfId="15045" xr:uid="{00000000-0005-0000-0000-00000BE70000}"/>
    <cellStyle name="Normal 4 6 2 2 5 2" xfId="15046" xr:uid="{00000000-0005-0000-0000-00000CE70000}"/>
    <cellStyle name="Normal 4 6 2 2 5 2 2" xfId="15047" xr:uid="{00000000-0005-0000-0000-00000DE70000}"/>
    <cellStyle name="Normal 4 6 2 2 5 2 2 2" xfId="31929" xr:uid="{00000000-0005-0000-0000-00000EE70000}"/>
    <cellStyle name="Normal 4 6 2 2 5 2 2 2 2" xfId="63800" xr:uid="{00000000-0005-0000-0000-00000FE70000}"/>
    <cellStyle name="Normal 4 6 2 2 5 2 2 3" xfId="46926" xr:uid="{00000000-0005-0000-0000-000010E70000}"/>
    <cellStyle name="Normal 4 6 2 2 5 2 3" xfId="24051" xr:uid="{00000000-0005-0000-0000-000011E70000}"/>
    <cellStyle name="Normal 4 6 2 2 5 2 3 2" xfId="55922" xr:uid="{00000000-0005-0000-0000-000012E70000}"/>
    <cellStyle name="Normal 4 6 2 2 5 2 4" xfId="46925" xr:uid="{00000000-0005-0000-0000-000013E70000}"/>
    <cellStyle name="Normal 4 6 2 2 5 3" xfId="15048" xr:uid="{00000000-0005-0000-0000-000014E70000}"/>
    <cellStyle name="Normal 4 6 2 2 5 3 2" xfId="27990" xr:uid="{00000000-0005-0000-0000-000015E70000}"/>
    <cellStyle name="Normal 4 6 2 2 5 3 2 2" xfId="59861" xr:uid="{00000000-0005-0000-0000-000016E70000}"/>
    <cellStyle name="Normal 4 6 2 2 5 3 3" xfId="46927" xr:uid="{00000000-0005-0000-0000-000017E70000}"/>
    <cellStyle name="Normal 4 6 2 2 5 4" xfId="20112" xr:uid="{00000000-0005-0000-0000-000018E70000}"/>
    <cellStyle name="Normal 4 6 2 2 5 4 2" xfId="51983" xr:uid="{00000000-0005-0000-0000-000019E70000}"/>
    <cellStyle name="Normal 4 6 2 2 5 5" xfId="46924" xr:uid="{00000000-0005-0000-0000-00001AE70000}"/>
    <cellStyle name="Normal 4 6 2 2 6" xfId="15049" xr:uid="{00000000-0005-0000-0000-00001BE70000}"/>
    <cellStyle name="Normal 4 6 2 2 6 2" xfId="15050" xr:uid="{00000000-0005-0000-0000-00001CE70000}"/>
    <cellStyle name="Normal 4 6 2 2 6 2 2" xfId="28441" xr:uid="{00000000-0005-0000-0000-00001DE70000}"/>
    <cellStyle name="Normal 4 6 2 2 6 2 2 2" xfId="60312" xr:uid="{00000000-0005-0000-0000-00001EE70000}"/>
    <cellStyle name="Normal 4 6 2 2 6 2 3" xfId="46929" xr:uid="{00000000-0005-0000-0000-00001FE70000}"/>
    <cellStyle name="Normal 4 6 2 2 6 3" xfId="20563" xr:uid="{00000000-0005-0000-0000-000020E70000}"/>
    <cellStyle name="Normal 4 6 2 2 6 3 2" xfId="52434" xr:uid="{00000000-0005-0000-0000-000021E70000}"/>
    <cellStyle name="Normal 4 6 2 2 6 4" xfId="46928" xr:uid="{00000000-0005-0000-0000-000022E70000}"/>
    <cellStyle name="Normal 4 6 2 2 7" xfId="15051" xr:uid="{00000000-0005-0000-0000-000023E70000}"/>
    <cellStyle name="Normal 4 6 2 2 7 2" xfId="24502" xr:uid="{00000000-0005-0000-0000-000024E70000}"/>
    <cellStyle name="Normal 4 6 2 2 7 2 2" xfId="56373" xr:uid="{00000000-0005-0000-0000-000025E70000}"/>
    <cellStyle name="Normal 4 6 2 2 7 3" xfId="46930" xr:uid="{00000000-0005-0000-0000-000026E70000}"/>
    <cellStyle name="Normal 4 6 2 2 8" xfId="16624" xr:uid="{00000000-0005-0000-0000-000027E70000}"/>
    <cellStyle name="Normal 4 6 2 2 8 2" xfId="48495" xr:uid="{00000000-0005-0000-0000-000028E70000}"/>
    <cellStyle name="Normal 4 6 2 2 9" xfId="46867" xr:uid="{00000000-0005-0000-0000-000029E70000}"/>
    <cellStyle name="Normal 4 6 2 3" xfId="15052" xr:uid="{00000000-0005-0000-0000-00002AE70000}"/>
    <cellStyle name="Normal 4 6 2 3 2" xfId="15053" xr:uid="{00000000-0005-0000-0000-00002BE70000}"/>
    <cellStyle name="Normal 4 6 2 3 2 2" xfId="15054" xr:uid="{00000000-0005-0000-0000-00002CE70000}"/>
    <cellStyle name="Normal 4 6 2 3 2 2 2" xfId="15055" xr:uid="{00000000-0005-0000-0000-00002DE70000}"/>
    <cellStyle name="Normal 4 6 2 3 2 2 2 2" xfId="15056" xr:uid="{00000000-0005-0000-0000-00002EE70000}"/>
    <cellStyle name="Normal 4 6 2 3 2 2 2 2 2" xfId="15057" xr:uid="{00000000-0005-0000-0000-00002FE70000}"/>
    <cellStyle name="Normal 4 6 2 3 2 2 2 2 2 2" xfId="31933" xr:uid="{00000000-0005-0000-0000-000030E70000}"/>
    <cellStyle name="Normal 4 6 2 3 2 2 2 2 2 2 2" xfId="63804" xr:uid="{00000000-0005-0000-0000-000031E70000}"/>
    <cellStyle name="Normal 4 6 2 3 2 2 2 2 2 3" xfId="46936" xr:uid="{00000000-0005-0000-0000-000032E70000}"/>
    <cellStyle name="Normal 4 6 2 3 2 2 2 2 3" xfId="24055" xr:uid="{00000000-0005-0000-0000-000033E70000}"/>
    <cellStyle name="Normal 4 6 2 3 2 2 2 2 3 2" xfId="55926" xr:uid="{00000000-0005-0000-0000-000034E70000}"/>
    <cellStyle name="Normal 4 6 2 3 2 2 2 2 4" xfId="46935" xr:uid="{00000000-0005-0000-0000-000035E70000}"/>
    <cellStyle name="Normal 4 6 2 3 2 2 2 3" xfId="15058" xr:uid="{00000000-0005-0000-0000-000036E70000}"/>
    <cellStyle name="Normal 4 6 2 3 2 2 2 3 2" xfId="27994" xr:uid="{00000000-0005-0000-0000-000037E70000}"/>
    <cellStyle name="Normal 4 6 2 3 2 2 2 3 2 2" xfId="59865" xr:uid="{00000000-0005-0000-0000-000038E70000}"/>
    <cellStyle name="Normal 4 6 2 3 2 2 2 3 3" xfId="46937" xr:uid="{00000000-0005-0000-0000-000039E70000}"/>
    <cellStyle name="Normal 4 6 2 3 2 2 2 4" xfId="20116" xr:uid="{00000000-0005-0000-0000-00003AE70000}"/>
    <cellStyle name="Normal 4 6 2 3 2 2 2 4 2" xfId="51987" xr:uid="{00000000-0005-0000-0000-00003BE70000}"/>
    <cellStyle name="Normal 4 6 2 3 2 2 2 5" xfId="46934" xr:uid="{00000000-0005-0000-0000-00003CE70000}"/>
    <cellStyle name="Normal 4 6 2 3 2 2 3" xfId="15059" xr:uid="{00000000-0005-0000-0000-00003DE70000}"/>
    <cellStyle name="Normal 4 6 2 3 2 2 3 2" xfId="15060" xr:uid="{00000000-0005-0000-0000-00003EE70000}"/>
    <cellStyle name="Normal 4 6 2 3 2 2 3 2 2" xfId="31932" xr:uid="{00000000-0005-0000-0000-00003FE70000}"/>
    <cellStyle name="Normal 4 6 2 3 2 2 3 2 2 2" xfId="63803" xr:uid="{00000000-0005-0000-0000-000040E70000}"/>
    <cellStyle name="Normal 4 6 2 3 2 2 3 2 3" xfId="46939" xr:uid="{00000000-0005-0000-0000-000041E70000}"/>
    <cellStyle name="Normal 4 6 2 3 2 2 3 3" xfId="24054" xr:uid="{00000000-0005-0000-0000-000042E70000}"/>
    <cellStyle name="Normal 4 6 2 3 2 2 3 3 2" xfId="55925" xr:uid="{00000000-0005-0000-0000-000043E70000}"/>
    <cellStyle name="Normal 4 6 2 3 2 2 3 4" xfId="46938" xr:uid="{00000000-0005-0000-0000-000044E70000}"/>
    <cellStyle name="Normal 4 6 2 3 2 2 4" xfId="15061" xr:uid="{00000000-0005-0000-0000-000045E70000}"/>
    <cellStyle name="Normal 4 6 2 3 2 2 4 2" xfId="27993" xr:uid="{00000000-0005-0000-0000-000046E70000}"/>
    <cellStyle name="Normal 4 6 2 3 2 2 4 2 2" xfId="59864" xr:uid="{00000000-0005-0000-0000-000047E70000}"/>
    <cellStyle name="Normal 4 6 2 3 2 2 4 3" xfId="46940" xr:uid="{00000000-0005-0000-0000-000048E70000}"/>
    <cellStyle name="Normal 4 6 2 3 2 2 5" xfId="20115" xr:uid="{00000000-0005-0000-0000-000049E70000}"/>
    <cellStyle name="Normal 4 6 2 3 2 2 5 2" xfId="51986" xr:uid="{00000000-0005-0000-0000-00004AE70000}"/>
    <cellStyle name="Normal 4 6 2 3 2 2 6" xfId="46933" xr:uid="{00000000-0005-0000-0000-00004BE70000}"/>
    <cellStyle name="Normal 4 6 2 3 2 3" xfId="15062" xr:uid="{00000000-0005-0000-0000-00004CE70000}"/>
    <cellStyle name="Normal 4 6 2 3 2 3 2" xfId="15063" xr:uid="{00000000-0005-0000-0000-00004DE70000}"/>
    <cellStyle name="Normal 4 6 2 3 2 3 2 2" xfId="15064" xr:uid="{00000000-0005-0000-0000-00004EE70000}"/>
    <cellStyle name="Normal 4 6 2 3 2 3 2 2 2" xfId="31934" xr:uid="{00000000-0005-0000-0000-00004FE70000}"/>
    <cellStyle name="Normal 4 6 2 3 2 3 2 2 2 2" xfId="63805" xr:uid="{00000000-0005-0000-0000-000050E70000}"/>
    <cellStyle name="Normal 4 6 2 3 2 3 2 2 3" xfId="46943" xr:uid="{00000000-0005-0000-0000-000051E70000}"/>
    <cellStyle name="Normal 4 6 2 3 2 3 2 3" xfId="24056" xr:uid="{00000000-0005-0000-0000-000052E70000}"/>
    <cellStyle name="Normal 4 6 2 3 2 3 2 3 2" xfId="55927" xr:uid="{00000000-0005-0000-0000-000053E70000}"/>
    <cellStyle name="Normal 4 6 2 3 2 3 2 4" xfId="46942" xr:uid="{00000000-0005-0000-0000-000054E70000}"/>
    <cellStyle name="Normal 4 6 2 3 2 3 3" xfId="15065" xr:uid="{00000000-0005-0000-0000-000055E70000}"/>
    <cellStyle name="Normal 4 6 2 3 2 3 3 2" xfId="27995" xr:uid="{00000000-0005-0000-0000-000056E70000}"/>
    <cellStyle name="Normal 4 6 2 3 2 3 3 2 2" xfId="59866" xr:uid="{00000000-0005-0000-0000-000057E70000}"/>
    <cellStyle name="Normal 4 6 2 3 2 3 3 3" xfId="46944" xr:uid="{00000000-0005-0000-0000-000058E70000}"/>
    <cellStyle name="Normal 4 6 2 3 2 3 4" xfId="20117" xr:uid="{00000000-0005-0000-0000-000059E70000}"/>
    <cellStyle name="Normal 4 6 2 3 2 3 4 2" xfId="51988" xr:uid="{00000000-0005-0000-0000-00005AE70000}"/>
    <cellStyle name="Normal 4 6 2 3 2 3 5" xfId="46941" xr:uid="{00000000-0005-0000-0000-00005BE70000}"/>
    <cellStyle name="Normal 4 6 2 3 2 4" xfId="15066" xr:uid="{00000000-0005-0000-0000-00005CE70000}"/>
    <cellStyle name="Normal 4 6 2 3 2 4 2" xfId="15067" xr:uid="{00000000-0005-0000-0000-00005DE70000}"/>
    <cellStyle name="Normal 4 6 2 3 2 4 2 2" xfId="31931" xr:uid="{00000000-0005-0000-0000-00005EE70000}"/>
    <cellStyle name="Normal 4 6 2 3 2 4 2 2 2" xfId="63802" xr:uid="{00000000-0005-0000-0000-00005FE70000}"/>
    <cellStyle name="Normal 4 6 2 3 2 4 2 3" xfId="46946" xr:uid="{00000000-0005-0000-0000-000060E70000}"/>
    <cellStyle name="Normal 4 6 2 3 2 4 3" xfId="24053" xr:uid="{00000000-0005-0000-0000-000061E70000}"/>
    <cellStyle name="Normal 4 6 2 3 2 4 3 2" xfId="55924" xr:uid="{00000000-0005-0000-0000-000062E70000}"/>
    <cellStyle name="Normal 4 6 2 3 2 4 4" xfId="46945" xr:uid="{00000000-0005-0000-0000-000063E70000}"/>
    <cellStyle name="Normal 4 6 2 3 2 5" xfId="15068" xr:uid="{00000000-0005-0000-0000-000064E70000}"/>
    <cellStyle name="Normal 4 6 2 3 2 5 2" xfId="27992" xr:uid="{00000000-0005-0000-0000-000065E70000}"/>
    <cellStyle name="Normal 4 6 2 3 2 5 2 2" xfId="59863" xr:uid="{00000000-0005-0000-0000-000066E70000}"/>
    <cellStyle name="Normal 4 6 2 3 2 5 3" xfId="46947" xr:uid="{00000000-0005-0000-0000-000067E70000}"/>
    <cellStyle name="Normal 4 6 2 3 2 6" xfId="20114" xr:uid="{00000000-0005-0000-0000-000068E70000}"/>
    <cellStyle name="Normal 4 6 2 3 2 6 2" xfId="51985" xr:uid="{00000000-0005-0000-0000-000069E70000}"/>
    <cellStyle name="Normal 4 6 2 3 2 7" xfId="46932" xr:uid="{00000000-0005-0000-0000-00006AE70000}"/>
    <cellStyle name="Normal 4 6 2 3 3" xfId="15069" xr:uid="{00000000-0005-0000-0000-00006BE70000}"/>
    <cellStyle name="Normal 4 6 2 3 3 2" xfId="15070" xr:uid="{00000000-0005-0000-0000-00006CE70000}"/>
    <cellStyle name="Normal 4 6 2 3 3 2 2" xfId="15071" xr:uid="{00000000-0005-0000-0000-00006DE70000}"/>
    <cellStyle name="Normal 4 6 2 3 3 2 2 2" xfId="15072" xr:uid="{00000000-0005-0000-0000-00006EE70000}"/>
    <cellStyle name="Normal 4 6 2 3 3 2 2 2 2" xfId="31936" xr:uid="{00000000-0005-0000-0000-00006FE70000}"/>
    <cellStyle name="Normal 4 6 2 3 3 2 2 2 2 2" xfId="63807" xr:uid="{00000000-0005-0000-0000-000070E70000}"/>
    <cellStyle name="Normal 4 6 2 3 3 2 2 2 3" xfId="46951" xr:uid="{00000000-0005-0000-0000-000071E70000}"/>
    <cellStyle name="Normal 4 6 2 3 3 2 2 3" xfId="24058" xr:uid="{00000000-0005-0000-0000-000072E70000}"/>
    <cellStyle name="Normal 4 6 2 3 3 2 2 3 2" xfId="55929" xr:uid="{00000000-0005-0000-0000-000073E70000}"/>
    <cellStyle name="Normal 4 6 2 3 3 2 2 4" xfId="46950" xr:uid="{00000000-0005-0000-0000-000074E70000}"/>
    <cellStyle name="Normal 4 6 2 3 3 2 3" xfId="15073" xr:uid="{00000000-0005-0000-0000-000075E70000}"/>
    <cellStyle name="Normal 4 6 2 3 3 2 3 2" xfId="27997" xr:uid="{00000000-0005-0000-0000-000076E70000}"/>
    <cellStyle name="Normal 4 6 2 3 3 2 3 2 2" xfId="59868" xr:uid="{00000000-0005-0000-0000-000077E70000}"/>
    <cellStyle name="Normal 4 6 2 3 3 2 3 3" xfId="46952" xr:uid="{00000000-0005-0000-0000-000078E70000}"/>
    <cellStyle name="Normal 4 6 2 3 3 2 4" xfId="20119" xr:uid="{00000000-0005-0000-0000-000079E70000}"/>
    <cellStyle name="Normal 4 6 2 3 3 2 4 2" xfId="51990" xr:uid="{00000000-0005-0000-0000-00007AE70000}"/>
    <cellStyle name="Normal 4 6 2 3 3 2 5" xfId="46949" xr:uid="{00000000-0005-0000-0000-00007BE70000}"/>
    <cellStyle name="Normal 4 6 2 3 3 3" xfId="15074" xr:uid="{00000000-0005-0000-0000-00007CE70000}"/>
    <cellStyle name="Normal 4 6 2 3 3 3 2" xfId="15075" xr:uid="{00000000-0005-0000-0000-00007DE70000}"/>
    <cellStyle name="Normal 4 6 2 3 3 3 2 2" xfId="31935" xr:uid="{00000000-0005-0000-0000-00007EE70000}"/>
    <cellStyle name="Normal 4 6 2 3 3 3 2 2 2" xfId="63806" xr:uid="{00000000-0005-0000-0000-00007FE70000}"/>
    <cellStyle name="Normal 4 6 2 3 3 3 2 3" xfId="46954" xr:uid="{00000000-0005-0000-0000-000080E70000}"/>
    <cellStyle name="Normal 4 6 2 3 3 3 3" xfId="24057" xr:uid="{00000000-0005-0000-0000-000081E70000}"/>
    <cellStyle name="Normal 4 6 2 3 3 3 3 2" xfId="55928" xr:uid="{00000000-0005-0000-0000-000082E70000}"/>
    <cellStyle name="Normal 4 6 2 3 3 3 4" xfId="46953" xr:uid="{00000000-0005-0000-0000-000083E70000}"/>
    <cellStyle name="Normal 4 6 2 3 3 4" xfId="15076" xr:uid="{00000000-0005-0000-0000-000084E70000}"/>
    <cellStyle name="Normal 4 6 2 3 3 4 2" xfId="27996" xr:uid="{00000000-0005-0000-0000-000085E70000}"/>
    <cellStyle name="Normal 4 6 2 3 3 4 2 2" xfId="59867" xr:uid="{00000000-0005-0000-0000-000086E70000}"/>
    <cellStyle name="Normal 4 6 2 3 3 4 3" xfId="46955" xr:uid="{00000000-0005-0000-0000-000087E70000}"/>
    <cellStyle name="Normal 4 6 2 3 3 5" xfId="20118" xr:uid="{00000000-0005-0000-0000-000088E70000}"/>
    <cellStyle name="Normal 4 6 2 3 3 5 2" xfId="51989" xr:uid="{00000000-0005-0000-0000-000089E70000}"/>
    <cellStyle name="Normal 4 6 2 3 3 6" xfId="46948" xr:uid="{00000000-0005-0000-0000-00008AE70000}"/>
    <cellStyle name="Normal 4 6 2 3 4" xfId="15077" xr:uid="{00000000-0005-0000-0000-00008BE70000}"/>
    <cellStyle name="Normal 4 6 2 3 4 2" xfId="15078" xr:uid="{00000000-0005-0000-0000-00008CE70000}"/>
    <cellStyle name="Normal 4 6 2 3 4 2 2" xfId="15079" xr:uid="{00000000-0005-0000-0000-00008DE70000}"/>
    <cellStyle name="Normal 4 6 2 3 4 2 2 2" xfId="31937" xr:uid="{00000000-0005-0000-0000-00008EE70000}"/>
    <cellStyle name="Normal 4 6 2 3 4 2 2 2 2" xfId="63808" xr:uid="{00000000-0005-0000-0000-00008FE70000}"/>
    <cellStyle name="Normal 4 6 2 3 4 2 2 3" xfId="46958" xr:uid="{00000000-0005-0000-0000-000090E70000}"/>
    <cellStyle name="Normal 4 6 2 3 4 2 3" xfId="24059" xr:uid="{00000000-0005-0000-0000-000091E70000}"/>
    <cellStyle name="Normal 4 6 2 3 4 2 3 2" xfId="55930" xr:uid="{00000000-0005-0000-0000-000092E70000}"/>
    <cellStyle name="Normal 4 6 2 3 4 2 4" xfId="46957" xr:uid="{00000000-0005-0000-0000-000093E70000}"/>
    <cellStyle name="Normal 4 6 2 3 4 3" xfId="15080" xr:uid="{00000000-0005-0000-0000-000094E70000}"/>
    <cellStyle name="Normal 4 6 2 3 4 3 2" xfId="27998" xr:uid="{00000000-0005-0000-0000-000095E70000}"/>
    <cellStyle name="Normal 4 6 2 3 4 3 2 2" xfId="59869" xr:uid="{00000000-0005-0000-0000-000096E70000}"/>
    <cellStyle name="Normal 4 6 2 3 4 3 3" xfId="46959" xr:uid="{00000000-0005-0000-0000-000097E70000}"/>
    <cellStyle name="Normal 4 6 2 3 4 4" xfId="20120" xr:uid="{00000000-0005-0000-0000-000098E70000}"/>
    <cellStyle name="Normal 4 6 2 3 4 4 2" xfId="51991" xr:uid="{00000000-0005-0000-0000-000099E70000}"/>
    <cellStyle name="Normal 4 6 2 3 4 5" xfId="46956" xr:uid="{00000000-0005-0000-0000-00009AE70000}"/>
    <cellStyle name="Normal 4 6 2 3 5" xfId="15081" xr:uid="{00000000-0005-0000-0000-00009BE70000}"/>
    <cellStyle name="Normal 4 6 2 3 5 2" xfId="15082" xr:uid="{00000000-0005-0000-0000-00009CE70000}"/>
    <cellStyle name="Normal 4 6 2 3 5 2 2" xfId="31930" xr:uid="{00000000-0005-0000-0000-00009DE70000}"/>
    <cellStyle name="Normal 4 6 2 3 5 2 2 2" xfId="63801" xr:uid="{00000000-0005-0000-0000-00009EE70000}"/>
    <cellStyle name="Normal 4 6 2 3 5 2 3" xfId="46961" xr:uid="{00000000-0005-0000-0000-00009FE70000}"/>
    <cellStyle name="Normal 4 6 2 3 5 3" xfId="24052" xr:uid="{00000000-0005-0000-0000-0000A0E70000}"/>
    <cellStyle name="Normal 4 6 2 3 5 3 2" xfId="55923" xr:uid="{00000000-0005-0000-0000-0000A1E70000}"/>
    <cellStyle name="Normal 4 6 2 3 5 4" xfId="46960" xr:uid="{00000000-0005-0000-0000-0000A2E70000}"/>
    <cellStyle name="Normal 4 6 2 3 6" xfId="15083" xr:uid="{00000000-0005-0000-0000-0000A3E70000}"/>
    <cellStyle name="Normal 4 6 2 3 6 2" xfId="27991" xr:uid="{00000000-0005-0000-0000-0000A4E70000}"/>
    <cellStyle name="Normal 4 6 2 3 6 2 2" xfId="59862" xr:uid="{00000000-0005-0000-0000-0000A5E70000}"/>
    <cellStyle name="Normal 4 6 2 3 6 3" xfId="46962" xr:uid="{00000000-0005-0000-0000-0000A6E70000}"/>
    <cellStyle name="Normal 4 6 2 3 7" xfId="20113" xr:uid="{00000000-0005-0000-0000-0000A7E70000}"/>
    <cellStyle name="Normal 4 6 2 3 7 2" xfId="51984" xr:uid="{00000000-0005-0000-0000-0000A8E70000}"/>
    <cellStyle name="Normal 4 6 2 3 8" xfId="46931" xr:uid="{00000000-0005-0000-0000-0000A9E70000}"/>
    <cellStyle name="Normal 4 6 2 4" xfId="15084" xr:uid="{00000000-0005-0000-0000-0000AAE70000}"/>
    <cellStyle name="Normal 4 6 2 4 2" xfId="15085" xr:uid="{00000000-0005-0000-0000-0000ABE70000}"/>
    <cellStyle name="Normal 4 6 2 4 2 2" xfId="15086" xr:uid="{00000000-0005-0000-0000-0000ACE70000}"/>
    <cellStyle name="Normal 4 6 2 4 2 2 2" xfId="15087" xr:uid="{00000000-0005-0000-0000-0000ADE70000}"/>
    <cellStyle name="Normal 4 6 2 4 2 2 2 2" xfId="15088" xr:uid="{00000000-0005-0000-0000-0000AEE70000}"/>
    <cellStyle name="Normal 4 6 2 4 2 2 2 2 2" xfId="31940" xr:uid="{00000000-0005-0000-0000-0000AFE70000}"/>
    <cellStyle name="Normal 4 6 2 4 2 2 2 2 2 2" xfId="63811" xr:uid="{00000000-0005-0000-0000-0000B0E70000}"/>
    <cellStyle name="Normal 4 6 2 4 2 2 2 2 3" xfId="46967" xr:uid="{00000000-0005-0000-0000-0000B1E70000}"/>
    <cellStyle name="Normal 4 6 2 4 2 2 2 3" xfId="24062" xr:uid="{00000000-0005-0000-0000-0000B2E70000}"/>
    <cellStyle name="Normal 4 6 2 4 2 2 2 3 2" xfId="55933" xr:uid="{00000000-0005-0000-0000-0000B3E70000}"/>
    <cellStyle name="Normal 4 6 2 4 2 2 2 4" xfId="46966" xr:uid="{00000000-0005-0000-0000-0000B4E70000}"/>
    <cellStyle name="Normal 4 6 2 4 2 2 3" xfId="15089" xr:uid="{00000000-0005-0000-0000-0000B5E70000}"/>
    <cellStyle name="Normal 4 6 2 4 2 2 3 2" xfId="28001" xr:uid="{00000000-0005-0000-0000-0000B6E70000}"/>
    <cellStyle name="Normal 4 6 2 4 2 2 3 2 2" xfId="59872" xr:uid="{00000000-0005-0000-0000-0000B7E70000}"/>
    <cellStyle name="Normal 4 6 2 4 2 2 3 3" xfId="46968" xr:uid="{00000000-0005-0000-0000-0000B8E70000}"/>
    <cellStyle name="Normal 4 6 2 4 2 2 4" xfId="20123" xr:uid="{00000000-0005-0000-0000-0000B9E70000}"/>
    <cellStyle name="Normal 4 6 2 4 2 2 4 2" xfId="51994" xr:uid="{00000000-0005-0000-0000-0000BAE70000}"/>
    <cellStyle name="Normal 4 6 2 4 2 2 5" xfId="46965" xr:uid="{00000000-0005-0000-0000-0000BBE70000}"/>
    <cellStyle name="Normal 4 6 2 4 2 3" xfId="15090" xr:uid="{00000000-0005-0000-0000-0000BCE70000}"/>
    <cellStyle name="Normal 4 6 2 4 2 3 2" xfId="15091" xr:uid="{00000000-0005-0000-0000-0000BDE70000}"/>
    <cellStyle name="Normal 4 6 2 4 2 3 2 2" xfId="31939" xr:uid="{00000000-0005-0000-0000-0000BEE70000}"/>
    <cellStyle name="Normal 4 6 2 4 2 3 2 2 2" xfId="63810" xr:uid="{00000000-0005-0000-0000-0000BFE70000}"/>
    <cellStyle name="Normal 4 6 2 4 2 3 2 3" xfId="46970" xr:uid="{00000000-0005-0000-0000-0000C0E70000}"/>
    <cellStyle name="Normal 4 6 2 4 2 3 3" xfId="24061" xr:uid="{00000000-0005-0000-0000-0000C1E70000}"/>
    <cellStyle name="Normal 4 6 2 4 2 3 3 2" xfId="55932" xr:uid="{00000000-0005-0000-0000-0000C2E70000}"/>
    <cellStyle name="Normal 4 6 2 4 2 3 4" xfId="46969" xr:uid="{00000000-0005-0000-0000-0000C3E70000}"/>
    <cellStyle name="Normal 4 6 2 4 2 4" xfId="15092" xr:uid="{00000000-0005-0000-0000-0000C4E70000}"/>
    <cellStyle name="Normal 4 6 2 4 2 4 2" xfId="28000" xr:uid="{00000000-0005-0000-0000-0000C5E70000}"/>
    <cellStyle name="Normal 4 6 2 4 2 4 2 2" xfId="59871" xr:uid="{00000000-0005-0000-0000-0000C6E70000}"/>
    <cellStyle name="Normal 4 6 2 4 2 4 3" xfId="46971" xr:uid="{00000000-0005-0000-0000-0000C7E70000}"/>
    <cellStyle name="Normal 4 6 2 4 2 5" xfId="20122" xr:uid="{00000000-0005-0000-0000-0000C8E70000}"/>
    <cellStyle name="Normal 4 6 2 4 2 5 2" xfId="51993" xr:uid="{00000000-0005-0000-0000-0000C9E70000}"/>
    <cellStyle name="Normal 4 6 2 4 2 6" xfId="46964" xr:uid="{00000000-0005-0000-0000-0000CAE70000}"/>
    <cellStyle name="Normal 4 6 2 4 3" xfId="15093" xr:uid="{00000000-0005-0000-0000-0000CBE70000}"/>
    <cellStyle name="Normal 4 6 2 4 3 2" xfId="15094" xr:uid="{00000000-0005-0000-0000-0000CCE70000}"/>
    <cellStyle name="Normal 4 6 2 4 3 2 2" xfId="15095" xr:uid="{00000000-0005-0000-0000-0000CDE70000}"/>
    <cellStyle name="Normal 4 6 2 4 3 2 2 2" xfId="31941" xr:uid="{00000000-0005-0000-0000-0000CEE70000}"/>
    <cellStyle name="Normal 4 6 2 4 3 2 2 2 2" xfId="63812" xr:uid="{00000000-0005-0000-0000-0000CFE70000}"/>
    <cellStyle name="Normal 4 6 2 4 3 2 2 3" xfId="46974" xr:uid="{00000000-0005-0000-0000-0000D0E70000}"/>
    <cellStyle name="Normal 4 6 2 4 3 2 3" xfId="24063" xr:uid="{00000000-0005-0000-0000-0000D1E70000}"/>
    <cellStyle name="Normal 4 6 2 4 3 2 3 2" xfId="55934" xr:uid="{00000000-0005-0000-0000-0000D2E70000}"/>
    <cellStyle name="Normal 4 6 2 4 3 2 4" xfId="46973" xr:uid="{00000000-0005-0000-0000-0000D3E70000}"/>
    <cellStyle name="Normal 4 6 2 4 3 3" xfId="15096" xr:uid="{00000000-0005-0000-0000-0000D4E70000}"/>
    <cellStyle name="Normal 4 6 2 4 3 3 2" xfId="28002" xr:uid="{00000000-0005-0000-0000-0000D5E70000}"/>
    <cellStyle name="Normal 4 6 2 4 3 3 2 2" xfId="59873" xr:uid="{00000000-0005-0000-0000-0000D6E70000}"/>
    <cellStyle name="Normal 4 6 2 4 3 3 3" xfId="46975" xr:uid="{00000000-0005-0000-0000-0000D7E70000}"/>
    <cellStyle name="Normal 4 6 2 4 3 4" xfId="20124" xr:uid="{00000000-0005-0000-0000-0000D8E70000}"/>
    <cellStyle name="Normal 4 6 2 4 3 4 2" xfId="51995" xr:uid="{00000000-0005-0000-0000-0000D9E70000}"/>
    <cellStyle name="Normal 4 6 2 4 3 5" xfId="46972" xr:uid="{00000000-0005-0000-0000-0000DAE70000}"/>
    <cellStyle name="Normal 4 6 2 4 4" xfId="15097" xr:uid="{00000000-0005-0000-0000-0000DBE70000}"/>
    <cellStyle name="Normal 4 6 2 4 4 2" xfId="15098" xr:uid="{00000000-0005-0000-0000-0000DCE70000}"/>
    <cellStyle name="Normal 4 6 2 4 4 2 2" xfId="31938" xr:uid="{00000000-0005-0000-0000-0000DDE70000}"/>
    <cellStyle name="Normal 4 6 2 4 4 2 2 2" xfId="63809" xr:uid="{00000000-0005-0000-0000-0000DEE70000}"/>
    <cellStyle name="Normal 4 6 2 4 4 2 3" xfId="46977" xr:uid="{00000000-0005-0000-0000-0000DFE70000}"/>
    <cellStyle name="Normal 4 6 2 4 4 3" xfId="24060" xr:uid="{00000000-0005-0000-0000-0000E0E70000}"/>
    <cellStyle name="Normal 4 6 2 4 4 3 2" xfId="55931" xr:uid="{00000000-0005-0000-0000-0000E1E70000}"/>
    <cellStyle name="Normal 4 6 2 4 4 4" xfId="46976" xr:uid="{00000000-0005-0000-0000-0000E2E70000}"/>
    <cellStyle name="Normal 4 6 2 4 5" xfId="15099" xr:uid="{00000000-0005-0000-0000-0000E3E70000}"/>
    <cellStyle name="Normal 4 6 2 4 5 2" xfId="27999" xr:uid="{00000000-0005-0000-0000-0000E4E70000}"/>
    <cellStyle name="Normal 4 6 2 4 5 2 2" xfId="59870" xr:uid="{00000000-0005-0000-0000-0000E5E70000}"/>
    <cellStyle name="Normal 4 6 2 4 5 3" xfId="46978" xr:uid="{00000000-0005-0000-0000-0000E6E70000}"/>
    <cellStyle name="Normal 4 6 2 4 6" xfId="20121" xr:uid="{00000000-0005-0000-0000-0000E7E70000}"/>
    <cellStyle name="Normal 4 6 2 4 6 2" xfId="51992" xr:uid="{00000000-0005-0000-0000-0000E8E70000}"/>
    <cellStyle name="Normal 4 6 2 4 7" xfId="46963" xr:uid="{00000000-0005-0000-0000-0000E9E70000}"/>
    <cellStyle name="Normal 4 6 2 5" xfId="15100" xr:uid="{00000000-0005-0000-0000-0000EAE70000}"/>
    <cellStyle name="Normal 4 6 2 5 2" xfId="15101" xr:uid="{00000000-0005-0000-0000-0000EBE70000}"/>
    <cellStyle name="Normal 4 6 2 5 2 2" xfId="15102" xr:uid="{00000000-0005-0000-0000-0000ECE70000}"/>
    <cellStyle name="Normal 4 6 2 5 2 2 2" xfId="15103" xr:uid="{00000000-0005-0000-0000-0000EDE70000}"/>
    <cellStyle name="Normal 4 6 2 5 2 2 2 2" xfId="31943" xr:uid="{00000000-0005-0000-0000-0000EEE70000}"/>
    <cellStyle name="Normal 4 6 2 5 2 2 2 2 2" xfId="63814" xr:uid="{00000000-0005-0000-0000-0000EFE70000}"/>
    <cellStyle name="Normal 4 6 2 5 2 2 2 3" xfId="46982" xr:uid="{00000000-0005-0000-0000-0000F0E70000}"/>
    <cellStyle name="Normal 4 6 2 5 2 2 3" xfId="24065" xr:uid="{00000000-0005-0000-0000-0000F1E70000}"/>
    <cellStyle name="Normal 4 6 2 5 2 2 3 2" xfId="55936" xr:uid="{00000000-0005-0000-0000-0000F2E70000}"/>
    <cellStyle name="Normal 4 6 2 5 2 2 4" xfId="46981" xr:uid="{00000000-0005-0000-0000-0000F3E70000}"/>
    <cellStyle name="Normal 4 6 2 5 2 3" xfId="15104" xr:uid="{00000000-0005-0000-0000-0000F4E70000}"/>
    <cellStyle name="Normal 4 6 2 5 2 3 2" xfId="28004" xr:uid="{00000000-0005-0000-0000-0000F5E70000}"/>
    <cellStyle name="Normal 4 6 2 5 2 3 2 2" xfId="59875" xr:uid="{00000000-0005-0000-0000-0000F6E70000}"/>
    <cellStyle name="Normal 4 6 2 5 2 3 3" xfId="46983" xr:uid="{00000000-0005-0000-0000-0000F7E70000}"/>
    <cellStyle name="Normal 4 6 2 5 2 4" xfId="20126" xr:uid="{00000000-0005-0000-0000-0000F8E70000}"/>
    <cellStyle name="Normal 4 6 2 5 2 4 2" xfId="51997" xr:uid="{00000000-0005-0000-0000-0000F9E70000}"/>
    <cellStyle name="Normal 4 6 2 5 2 5" xfId="46980" xr:uid="{00000000-0005-0000-0000-0000FAE70000}"/>
    <cellStyle name="Normal 4 6 2 5 3" xfId="15105" xr:uid="{00000000-0005-0000-0000-0000FBE70000}"/>
    <cellStyle name="Normal 4 6 2 5 3 2" xfId="15106" xr:uid="{00000000-0005-0000-0000-0000FCE70000}"/>
    <cellStyle name="Normal 4 6 2 5 3 2 2" xfId="31942" xr:uid="{00000000-0005-0000-0000-0000FDE70000}"/>
    <cellStyle name="Normal 4 6 2 5 3 2 2 2" xfId="63813" xr:uid="{00000000-0005-0000-0000-0000FEE70000}"/>
    <cellStyle name="Normal 4 6 2 5 3 2 3" xfId="46985" xr:uid="{00000000-0005-0000-0000-0000FFE70000}"/>
    <cellStyle name="Normal 4 6 2 5 3 3" xfId="24064" xr:uid="{00000000-0005-0000-0000-000000E80000}"/>
    <cellStyle name="Normal 4 6 2 5 3 3 2" xfId="55935" xr:uid="{00000000-0005-0000-0000-000001E80000}"/>
    <cellStyle name="Normal 4 6 2 5 3 4" xfId="46984" xr:uid="{00000000-0005-0000-0000-000002E80000}"/>
    <cellStyle name="Normal 4 6 2 5 4" xfId="15107" xr:uid="{00000000-0005-0000-0000-000003E80000}"/>
    <cellStyle name="Normal 4 6 2 5 4 2" xfId="28003" xr:uid="{00000000-0005-0000-0000-000004E80000}"/>
    <cellStyle name="Normal 4 6 2 5 4 2 2" xfId="59874" xr:uid="{00000000-0005-0000-0000-000005E80000}"/>
    <cellStyle name="Normal 4 6 2 5 4 3" xfId="46986" xr:uid="{00000000-0005-0000-0000-000006E80000}"/>
    <cellStyle name="Normal 4 6 2 5 5" xfId="20125" xr:uid="{00000000-0005-0000-0000-000007E80000}"/>
    <cellStyle name="Normal 4 6 2 5 5 2" xfId="51996" xr:uid="{00000000-0005-0000-0000-000008E80000}"/>
    <cellStyle name="Normal 4 6 2 5 6" xfId="46979" xr:uid="{00000000-0005-0000-0000-000009E80000}"/>
    <cellStyle name="Normal 4 6 2 6" xfId="15108" xr:uid="{00000000-0005-0000-0000-00000AE80000}"/>
    <cellStyle name="Normal 4 6 2 6 2" xfId="15109" xr:uid="{00000000-0005-0000-0000-00000BE80000}"/>
    <cellStyle name="Normal 4 6 2 6 2 2" xfId="15110" xr:uid="{00000000-0005-0000-0000-00000CE80000}"/>
    <cellStyle name="Normal 4 6 2 6 2 2 2" xfId="31944" xr:uid="{00000000-0005-0000-0000-00000DE80000}"/>
    <cellStyle name="Normal 4 6 2 6 2 2 2 2" xfId="63815" xr:uid="{00000000-0005-0000-0000-00000EE80000}"/>
    <cellStyle name="Normal 4 6 2 6 2 2 3" xfId="46989" xr:uid="{00000000-0005-0000-0000-00000FE80000}"/>
    <cellStyle name="Normal 4 6 2 6 2 3" xfId="24066" xr:uid="{00000000-0005-0000-0000-000010E80000}"/>
    <cellStyle name="Normal 4 6 2 6 2 3 2" xfId="55937" xr:uid="{00000000-0005-0000-0000-000011E80000}"/>
    <cellStyle name="Normal 4 6 2 6 2 4" xfId="46988" xr:uid="{00000000-0005-0000-0000-000012E80000}"/>
    <cellStyle name="Normal 4 6 2 6 3" xfId="15111" xr:uid="{00000000-0005-0000-0000-000013E80000}"/>
    <cellStyle name="Normal 4 6 2 6 3 2" xfId="28005" xr:uid="{00000000-0005-0000-0000-000014E80000}"/>
    <cellStyle name="Normal 4 6 2 6 3 2 2" xfId="59876" xr:uid="{00000000-0005-0000-0000-000015E80000}"/>
    <cellStyle name="Normal 4 6 2 6 3 3" xfId="46990" xr:uid="{00000000-0005-0000-0000-000016E80000}"/>
    <cellStyle name="Normal 4 6 2 6 4" xfId="20127" xr:uid="{00000000-0005-0000-0000-000017E80000}"/>
    <cellStyle name="Normal 4 6 2 6 4 2" xfId="51998" xr:uid="{00000000-0005-0000-0000-000018E80000}"/>
    <cellStyle name="Normal 4 6 2 6 5" xfId="46987" xr:uid="{00000000-0005-0000-0000-000019E80000}"/>
    <cellStyle name="Normal 4 6 2 7" xfId="15112" xr:uid="{00000000-0005-0000-0000-00001AE80000}"/>
    <cellStyle name="Normal 4 6 2 7 2" xfId="15113" xr:uid="{00000000-0005-0000-0000-00001BE80000}"/>
    <cellStyle name="Normal 4 6 2 7 2 2" xfId="28318" xr:uid="{00000000-0005-0000-0000-00001CE80000}"/>
    <cellStyle name="Normal 4 6 2 7 2 2 2" xfId="60189" xr:uid="{00000000-0005-0000-0000-00001DE80000}"/>
    <cellStyle name="Normal 4 6 2 7 2 3" xfId="46992" xr:uid="{00000000-0005-0000-0000-00001EE80000}"/>
    <cellStyle name="Normal 4 6 2 7 3" xfId="20440" xr:uid="{00000000-0005-0000-0000-00001FE80000}"/>
    <cellStyle name="Normal 4 6 2 7 3 2" xfId="52311" xr:uid="{00000000-0005-0000-0000-000020E80000}"/>
    <cellStyle name="Normal 4 6 2 7 4" xfId="46991" xr:uid="{00000000-0005-0000-0000-000021E80000}"/>
    <cellStyle name="Normal 4 6 2 8" xfId="15114" xr:uid="{00000000-0005-0000-0000-000022E80000}"/>
    <cellStyle name="Normal 4 6 2 8 2" xfId="24379" xr:uid="{00000000-0005-0000-0000-000023E80000}"/>
    <cellStyle name="Normal 4 6 2 8 2 2" xfId="56250" xr:uid="{00000000-0005-0000-0000-000024E80000}"/>
    <cellStyle name="Normal 4 6 2 8 3" xfId="46993" xr:uid="{00000000-0005-0000-0000-000025E80000}"/>
    <cellStyle name="Normal 4 6 2 9" xfId="16501" xr:uid="{00000000-0005-0000-0000-000026E80000}"/>
    <cellStyle name="Normal 4 6 2 9 2" xfId="48372" xr:uid="{00000000-0005-0000-0000-000027E80000}"/>
    <cellStyle name="Normal 4 6 3" xfId="15115" xr:uid="{00000000-0005-0000-0000-000028E80000}"/>
    <cellStyle name="Normal 4 6 3 10" xfId="46994" xr:uid="{00000000-0005-0000-0000-000029E80000}"/>
    <cellStyle name="Normal 4 6 3 2" xfId="15116" xr:uid="{00000000-0005-0000-0000-00002AE80000}"/>
    <cellStyle name="Normal 4 6 3 2 2" xfId="15117" xr:uid="{00000000-0005-0000-0000-00002BE80000}"/>
    <cellStyle name="Normal 4 6 3 2 2 2" xfId="15118" xr:uid="{00000000-0005-0000-0000-00002CE80000}"/>
    <cellStyle name="Normal 4 6 3 2 2 2 2" xfId="15119" xr:uid="{00000000-0005-0000-0000-00002DE80000}"/>
    <cellStyle name="Normal 4 6 3 2 2 2 2 2" xfId="15120" xr:uid="{00000000-0005-0000-0000-00002EE80000}"/>
    <cellStyle name="Normal 4 6 3 2 2 2 2 2 2" xfId="15121" xr:uid="{00000000-0005-0000-0000-00002FE80000}"/>
    <cellStyle name="Normal 4 6 3 2 2 2 2 2 2 2" xfId="15122" xr:uid="{00000000-0005-0000-0000-000030E80000}"/>
    <cellStyle name="Normal 4 6 3 2 2 2 2 2 2 2 2" xfId="31948" xr:uid="{00000000-0005-0000-0000-000031E80000}"/>
    <cellStyle name="Normal 4 6 3 2 2 2 2 2 2 2 2 2" xfId="63819" xr:uid="{00000000-0005-0000-0000-000032E80000}"/>
    <cellStyle name="Normal 4 6 3 2 2 2 2 2 2 2 3" xfId="47001" xr:uid="{00000000-0005-0000-0000-000033E80000}"/>
    <cellStyle name="Normal 4 6 3 2 2 2 2 2 2 3" xfId="24070" xr:uid="{00000000-0005-0000-0000-000034E80000}"/>
    <cellStyle name="Normal 4 6 3 2 2 2 2 2 2 3 2" xfId="55941" xr:uid="{00000000-0005-0000-0000-000035E80000}"/>
    <cellStyle name="Normal 4 6 3 2 2 2 2 2 2 4" xfId="47000" xr:uid="{00000000-0005-0000-0000-000036E80000}"/>
    <cellStyle name="Normal 4 6 3 2 2 2 2 2 3" xfId="15123" xr:uid="{00000000-0005-0000-0000-000037E80000}"/>
    <cellStyle name="Normal 4 6 3 2 2 2 2 2 3 2" xfId="28009" xr:uid="{00000000-0005-0000-0000-000038E80000}"/>
    <cellStyle name="Normal 4 6 3 2 2 2 2 2 3 2 2" xfId="59880" xr:uid="{00000000-0005-0000-0000-000039E80000}"/>
    <cellStyle name="Normal 4 6 3 2 2 2 2 2 3 3" xfId="47002" xr:uid="{00000000-0005-0000-0000-00003AE80000}"/>
    <cellStyle name="Normal 4 6 3 2 2 2 2 2 4" xfId="20131" xr:uid="{00000000-0005-0000-0000-00003BE80000}"/>
    <cellStyle name="Normal 4 6 3 2 2 2 2 2 4 2" xfId="52002" xr:uid="{00000000-0005-0000-0000-00003CE80000}"/>
    <cellStyle name="Normal 4 6 3 2 2 2 2 2 5" xfId="46999" xr:uid="{00000000-0005-0000-0000-00003DE80000}"/>
    <cellStyle name="Normal 4 6 3 2 2 2 2 3" xfId="15124" xr:uid="{00000000-0005-0000-0000-00003EE80000}"/>
    <cellStyle name="Normal 4 6 3 2 2 2 2 3 2" xfId="15125" xr:uid="{00000000-0005-0000-0000-00003FE80000}"/>
    <cellStyle name="Normal 4 6 3 2 2 2 2 3 2 2" xfId="31947" xr:uid="{00000000-0005-0000-0000-000040E80000}"/>
    <cellStyle name="Normal 4 6 3 2 2 2 2 3 2 2 2" xfId="63818" xr:uid="{00000000-0005-0000-0000-000041E80000}"/>
    <cellStyle name="Normal 4 6 3 2 2 2 2 3 2 3" xfId="47004" xr:uid="{00000000-0005-0000-0000-000042E80000}"/>
    <cellStyle name="Normal 4 6 3 2 2 2 2 3 3" xfId="24069" xr:uid="{00000000-0005-0000-0000-000043E80000}"/>
    <cellStyle name="Normal 4 6 3 2 2 2 2 3 3 2" xfId="55940" xr:uid="{00000000-0005-0000-0000-000044E80000}"/>
    <cellStyle name="Normal 4 6 3 2 2 2 2 3 4" xfId="47003" xr:uid="{00000000-0005-0000-0000-000045E80000}"/>
    <cellStyle name="Normal 4 6 3 2 2 2 2 4" xfId="15126" xr:uid="{00000000-0005-0000-0000-000046E80000}"/>
    <cellStyle name="Normal 4 6 3 2 2 2 2 4 2" xfId="28008" xr:uid="{00000000-0005-0000-0000-000047E80000}"/>
    <cellStyle name="Normal 4 6 3 2 2 2 2 4 2 2" xfId="59879" xr:uid="{00000000-0005-0000-0000-000048E80000}"/>
    <cellStyle name="Normal 4 6 3 2 2 2 2 4 3" xfId="47005" xr:uid="{00000000-0005-0000-0000-000049E80000}"/>
    <cellStyle name="Normal 4 6 3 2 2 2 2 5" xfId="20130" xr:uid="{00000000-0005-0000-0000-00004AE80000}"/>
    <cellStyle name="Normal 4 6 3 2 2 2 2 5 2" xfId="52001" xr:uid="{00000000-0005-0000-0000-00004BE80000}"/>
    <cellStyle name="Normal 4 6 3 2 2 2 2 6" xfId="46998" xr:uid="{00000000-0005-0000-0000-00004CE80000}"/>
    <cellStyle name="Normal 4 6 3 2 2 2 3" xfId="15127" xr:uid="{00000000-0005-0000-0000-00004DE80000}"/>
    <cellStyle name="Normal 4 6 3 2 2 2 3 2" xfId="15128" xr:uid="{00000000-0005-0000-0000-00004EE80000}"/>
    <cellStyle name="Normal 4 6 3 2 2 2 3 2 2" xfId="15129" xr:uid="{00000000-0005-0000-0000-00004FE80000}"/>
    <cellStyle name="Normal 4 6 3 2 2 2 3 2 2 2" xfId="31949" xr:uid="{00000000-0005-0000-0000-000050E80000}"/>
    <cellStyle name="Normal 4 6 3 2 2 2 3 2 2 2 2" xfId="63820" xr:uid="{00000000-0005-0000-0000-000051E80000}"/>
    <cellStyle name="Normal 4 6 3 2 2 2 3 2 2 3" xfId="47008" xr:uid="{00000000-0005-0000-0000-000052E80000}"/>
    <cellStyle name="Normal 4 6 3 2 2 2 3 2 3" xfId="24071" xr:uid="{00000000-0005-0000-0000-000053E80000}"/>
    <cellStyle name="Normal 4 6 3 2 2 2 3 2 3 2" xfId="55942" xr:uid="{00000000-0005-0000-0000-000054E80000}"/>
    <cellStyle name="Normal 4 6 3 2 2 2 3 2 4" xfId="47007" xr:uid="{00000000-0005-0000-0000-000055E80000}"/>
    <cellStyle name="Normal 4 6 3 2 2 2 3 3" xfId="15130" xr:uid="{00000000-0005-0000-0000-000056E80000}"/>
    <cellStyle name="Normal 4 6 3 2 2 2 3 3 2" xfId="28010" xr:uid="{00000000-0005-0000-0000-000057E80000}"/>
    <cellStyle name="Normal 4 6 3 2 2 2 3 3 2 2" xfId="59881" xr:uid="{00000000-0005-0000-0000-000058E80000}"/>
    <cellStyle name="Normal 4 6 3 2 2 2 3 3 3" xfId="47009" xr:uid="{00000000-0005-0000-0000-000059E80000}"/>
    <cellStyle name="Normal 4 6 3 2 2 2 3 4" xfId="20132" xr:uid="{00000000-0005-0000-0000-00005AE80000}"/>
    <cellStyle name="Normal 4 6 3 2 2 2 3 4 2" xfId="52003" xr:uid="{00000000-0005-0000-0000-00005BE80000}"/>
    <cellStyle name="Normal 4 6 3 2 2 2 3 5" xfId="47006" xr:uid="{00000000-0005-0000-0000-00005CE80000}"/>
    <cellStyle name="Normal 4 6 3 2 2 2 4" xfId="15131" xr:uid="{00000000-0005-0000-0000-00005DE80000}"/>
    <cellStyle name="Normal 4 6 3 2 2 2 4 2" xfId="15132" xr:uid="{00000000-0005-0000-0000-00005EE80000}"/>
    <cellStyle name="Normal 4 6 3 2 2 2 4 2 2" xfId="31946" xr:uid="{00000000-0005-0000-0000-00005FE80000}"/>
    <cellStyle name="Normal 4 6 3 2 2 2 4 2 2 2" xfId="63817" xr:uid="{00000000-0005-0000-0000-000060E80000}"/>
    <cellStyle name="Normal 4 6 3 2 2 2 4 2 3" xfId="47011" xr:uid="{00000000-0005-0000-0000-000061E80000}"/>
    <cellStyle name="Normal 4 6 3 2 2 2 4 3" xfId="24068" xr:uid="{00000000-0005-0000-0000-000062E80000}"/>
    <cellStyle name="Normal 4 6 3 2 2 2 4 3 2" xfId="55939" xr:uid="{00000000-0005-0000-0000-000063E80000}"/>
    <cellStyle name="Normal 4 6 3 2 2 2 4 4" xfId="47010" xr:uid="{00000000-0005-0000-0000-000064E80000}"/>
    <cellStyle name="Normal 4 6 3 2 2 2 5" xfId="15133" xr:uid="{00000000-0005-0000-0000-000065E80000}"/>
    <cellStyle name="Normal 4 6 3 2 2 2 5 2" xfId="28007" xr:uid="{00000000-0005-0000-0000-000066E80000}"/>
    <cellStyle name="Normal 4 6 3 2 2 2 5 2 2" xfId="59878" xr:uid="{00000000-0005-0000-0000-000067E80000}"/>
    <cellStyle name="Normal 4 6 3 2 2 2 5 3" xfId="47012" xr:uid="{00000000-0005-0000-0000-000068E80000}"/>
    <cellStyle name="Normal 4 6 3 2 2 2 6" xfId="20129" xr:uid="{00000000-0005-0000-0000-000069E80000}"/>
    <cellStyle name="Normal 4 6 3 2 2 2 6 2" xfId="52000" xr:uid="{00000000-0005-0000-0000-00006AE80000}"/>
    <cellStyle name="Normal 4 6 3 2 2 2 7" xfId="46997" xr:uid="{00000000-0005-0000-0000-00006BE80000}"/>
    <cellStyle name="Normal 4 6 3 2 2 3" xfId="15134" xr:uid="{00000000-0005-0000-0000-00006CE80000}"/>
    <cellStyle name="Normal 4 6 3 2 2 3 2" xfId="15135" xr:uid="{00000000-0005-0000-0000-00006DE80000}"/>
    <cellStyle name="Normal 4 6 3 2 2 3 2 2" xfId="15136" xr:uid="{00000000-0005-0000-0000-00006EE80000}"/>
    <cellStyle name="Normal 4 6 3 2 2 3 2 2 2" xfId="15137" xr:uid="{00000000-0005-0000-0000-00006FE80000}"/>
    <cellStyle name="Normal 4 6 3 2 2 3 2 2 2 2" xfId="31951" xr:uid="{00000000-0005-0000-0000-000070E80000}"/>
    <cellStyle name="Normal 4 6 3 2 2 3 2 2 2 2 2" xfId="63822" xr:uid="{00000000-0005-0000-0000-000071E80000}"/>
    <cellStyle name="Normal 4 6 3 2 2 3 2 2 2 3" xfId="47016" xr:uid="{00000000-0005-0000-0000-000072E80000}"/>
    <cellStyle name="Normal 4 6 3 2 2 3 2 2 3" xfId="24073" xr:uid="{00000000-0005-0000-0000-000073E80000}"/>
    <cellStyle name="Normal 4 6 3 2 2 3 2 2 3 2" xfId="55944" xr:uid="{00000000-0005-0000-0000-000074E80000}"/>
    <cellStyle name="Normal 4 6 3 2 2 3 2 2 4" xfId="47015" xr:uid="{00000000-0005-0000-0000-000075E80000}"/>
    <cellStyle name="Normal 4 6 3 2 2 3 2 3" xfId="15138" xr:uid="{00000000-0005-0000-0000-000076E80000}"/>
    <cellStyle name="Normal 4 6 3 2 2 3 2 3 2" xfId="28012" xr:uid="{00000000-0005-0000-0000-000077E80000}"/>
    <cellStyle name="Normal 4 6 3 2 2 3 2 3 2 2" xfId="59883" xr:uid="{00000000-0005-0000-0000-000078E80000}"/>
    <cellStyle name="Normal 4 6 3 2 2 3 2 3 3" xfId="47017" xr:uid="{00000000-0005-0000-0000-000079E80000}"/>
    <cellStyle name="Normal 4 6 3 2 2 3 2 4" xfId="20134" xr:uid="{00000000-0005-0000-0000-00007AE80000}"/>
    <cellStyle name="Normal 4 6 3 2 2 3 2 4 2" xfId="52005" xr:uid="{00000000-0005-0000-0000-00007BE80000}"/>
    <cellStyle name="Normal 4 6 3 2 2 3 2 5" xfId="47014" xr:uid="{00000000-0005-0000-0000-00007CE80000}"/>
    <cellStyle name="Normal 4 6 3 2 2 3 3" xfId="15139" xr:uid="{00000000-0005-0000-0000-00007DE80000}"/>
    <cellStyle name="Normal 4 6 3 2 2 3 3 2" xfId="15140" xr:uid="{00000000-0005-0000-0000-00007EE80000}"/>
    <cellStyle name="Normal 4 6 3 2 2 3 3 2 2" xfId="31950" xr:uid="{00000000-0005-0000-0000-00007FE80000}"/>
    <cellStyle name="Normal 4 6 3 2 2 3 3 2 2 2" xfId="63821" xr:uid="{00000000-0005-0000-0000-000080E80000}"/>
    <cellStyle name="Normal 4 6 3 2 2 3 3 2 3" xfId="47019" xr:uid="{00000000-0005-0000-0000-000081E80000}"/>
    <cellStyle name="Normal 4 6 3 2 2 3 3 3" xfId="24072" xr:uid="{00000000-0005-0000-0000-000082E80000}"/>
    <cellStyle name="Normal 4 6 3 2 2 3 3 3 2" xfId="55943" xr:uid="{00000000-0005-0000-0000-000083E80000}"/>
    <cellStyle name="Normal 4 6 3 2 2 3 3 4" xfId="47018" xr:uid="{00000000-0005-0000-0000-000084E80000}"/>
    <cellStyle name="Normal 4 6 3 2 2 3 4" xfId="15141" xr:uid="{00000000-0005-0000-0000-000085E80000}"/>
    <cellStyle name="Normal 4 6 3 2 2 3 4 2" xfId="28011" xr:uid="{00000000-0005-0000-0000-000086E80000}"/>
    <cellStyle name="Normal 4 6 3 2 2 3 4 2 2" xfId="59882" xr:uid="{00000000-0005-0000-0000-000087E80000}"/>
    <cellStyle name="Normal 4 6 3 2 2 3 4 3" xfId="47020" xr:uid="{00000000-0005-0000-0000-000088E80000}"/>
    <cellStyle name="Normal 4 6 3 2 2 3 5" xfId="20133" xr:uid="{00000000-0005-0000-0000-000089E80000}"/>
    <cellStyle name="Normal 4 6 3 2 2 3 5 2" xfId="52004" xr:uid="{00000000-0005-0000-0000-00008AE80000}"/>
    <cellStyle name="Normal 4 6 3 2 2 3 6" xfId="47013" xr:uid="{00000000-0005-0000-0000-00008BE80000}"/>
    <cellStyle name="Normal 4 6 3 2 2 4" xfId="15142" xr:uid="{00000000-0005-0000-0000-00008CE80000}"/>
    <cellStyle name="Normal 4 6 3 2 2 4 2" xfId="15143" xr:uid="{00000000-0005-0000-0000-00008DE80000}"/>
    <cellStyle name="Normal 4 6 3 2 2 4 2 2" xfId="15144" xr:uid="{00000000-0005-0000-0000-00008EE80000}"/>
    <cellStyle name="Normal 4 6 3 2 2 4 2 2 2" xfId="31952" xr:uid="{00000000-0005-0000-0000-00008FE80000}"/>
    <cellStyle name="Normal 4 6 3 2 2 4 2 2 2 2" xfId="63823" xr:uid="{00000000-0005-0000-0000-000090E80000}"/>
    <cellStyle name="Normal 4 6 3 2 2 4 2 2 3" xfId="47023" xr:uid="{00000000-0005-0000-0000-000091E80000}"/>
    <cellStyle name="Normal 4 6 3 2 2 4 2 3" xfId="24074" xr:uid="{00000000-0005-0000-0000-000092E80000}"/>
    <cellStyle name="Normal 4 6 3 2 2 4 2 3 2" xfId="55945" xr:uid="{00000000-0005-0000-0000-000093E80000}"/>
    <cellStyle name="Normal 4 6 3 2 2 4 2 4" xfId="47022" xr:uid="{00000000-0005-0000-0000-000094E80000}"/>
    <cellStyle name="Normal 4 6 3 2 2 4 3" xfId="15145" xr:uid="{00000000-0005-0000-0000-000095E80000}"/>
    <cellStyle name="Normal 4 6 3 2 2 4 3 2" xfId="28013" xr:uid="{00000000-0005-0000-0000-000096E80000}"/>
    <cellStyle name="Normal 4 6 3 2 2 4 3 2 2" xfId="59884" xr:uid="{00000000-0005-0000-0000-000097E80000}"/>
    <cellStyle name="Normal 4 6 3 2 2 4 3 3" xfId="47024" xr:uid="{00000000-0005-0000-0000-000098E80000}"/>
    <cellStyle name="Normal 4 6 3 2 2 4 4" xfId="20135" xr:uid="{00000000-0005-0000-0000-000099E80000}"/>
    <cellStyle name="Normal 4 6 3 2 2 4 4 2" xfId="52006" xr:uid="{00000000-0005-0000-0000-00009AE80000}"/>
    <cellStyle name="Normal 4 6 3 2 2 4 5" xfId="47021" xr:uid="{00000000-0005-0000-0000-00009BE80000}"/>
    <cellStyle name="Normal 4 6 3 2 2 5" xfId="15146" xr:uid="{00000000-0005-0000-0000-00009CE80000}"/>
    <cellStyle name="Normal 4 6 3 2 2 5 2" xfId="15147" xr:uid="{00000000-0005-0000-0000-00009DE80000}"/>
    <cellStyle name="Normal 4 6 3 2 2 5 2 2" xfId="31945" xr:uid="{00000000-0005-0000-0000-00009EE80000}"/>
    <cellStyle name="Normal 4 6 3 2 2 5 2 2 2" xfId="63816" xr:uid="{00000000-0005-0000-0000-00009FE80000}"/>
    <cellStyle name="Normal 4 6 3 2 2 5 2 3" xfId="47026" xr:uid="{00000000-0005-0000-0000-0000A0E80000}"/>
    <cellStyle name="Normal 4 6 3 2 2 5 3" xfId="24067" xr:uid="{00000000-0005-0000-0000-0000A1E80000}"/>
    <cellStyle name="Normal 4 6 3 2 2 5 3 2" xfId="55938" xr:uid="{00000000-0005-0000-0000-0000A2E80000}"/>
    <cellStyle name="Normal 4 6 3 2 2 5 4" xfId="47025" xr:uid="{00000000-0005-0000-0000-0000A3E80000}"/>
    <cellStyle name="Normal 4 6 3 2 2 6" xfId="15148" xr:uid="{00000000-0005-0000-0000-0000A4E80000}"/>
    <cellStyle name="Normal 4 6 3 2 2 6 2" xfId="28006" xr:uid="{00000000-0005-0000-0000-0000A5E80000}"/>
    <cellStyle name="Normal 4 6 3 2 2 6 2 2" xfId="59877" xr:uid="{00000000-0005-0000-0000-0000A6E80000}"/>
    <cellStyle name="Normal 4 6 3 2 2 6 3" xfId="47027" xr:uid="{00000000-0005-0000-0000-0000A7E80000}"/>
    <cellStyle name="Normal 4 6 3 2 2 7" xfId="20128" xr:uid="{00000000-0005-0000-0000-0000A8E80000}"/>
    <cellStyle name="Normal 4 6 3 2 2 7 2" xfId="51999" xr:uid="{00000000-0005-0000-0000-0000A9E80000}"/>
    <cellStyle name="Normal 4 6 3 2 2 8" xfId="46996" xr:uid="{00000000-0005-0000-0000-0000AAE80000}"/>
    <cellStyle name="Normal 4 6 3 2 3" xfId="15149" xr:uid="{00000000-0005-0000-0000-0000ABE80000}"/>
    <cellStyle name="Normal 4 6 3 2 3 2" xfId="15150" xr:uid="{00000000-0005-0000-0000-0000ACE80000}"/>
    <cellStyle name="Normal 4 6 3 2 3 2 2" xfId="15151" xr:uid="{00000000-0005-0000-0000-0000ADE80000}"/>
    <cellStyle name="Normal 4 6 3 2 3 2 2 2" xfId="15152" xr:uid="{00000000-0005-0000-0000-0000AEE80000}"/>
    <cellStyle name="Normal 4 6 3 2 3 2 2 2 2" xfId="15153" xr:uid="{00000000-0005-0000-0000-0000AFE80000}"/>
    <cellStyle name="Normal 4 6 3 2 3 2 2 2 2 2" xfId="31955" xr:uid="{00000000-0005-0000-0000-0000B0E80000}"/>
    <cellStyle name="Normal 4 6 3 2 3 2 2 2 2 2 2" xfId="63826" xr:uid="{00000000-0005-0000-0000-0000B1E80000}"/>
    <cellStyle name="Normal 4 6 3 2 3 2 2 2 2 3" xfId="47032" xr:uid="{00000000-0005-0000-0000-0000B2E80000}"/>
    <cellStyle name="Normal 4 6 3 2 3 2 2 2 3" xfId="24077" xr:uid="{00000000-0005-0000-0000-0000B3E80000}"/>
    <cellStyle name="Normal 4 6 3 2 3 2 2 2 3 2" xfId="55948" xr:uid="{00000000-0005-0000-0000-0000B4E80000}"/>
    <cellStyle name="Normal 4 6 3 2 3 2 2 2 4" xfId="47031" xr:uid="{00000000-0005-0000-0000-0000B5E80000}"/>
    <cellStyle name="Normal 4 6 3 2 3 2 2 3" xfId="15154" xr:uid="{00000000-0005-0000-0000-0000B6E80000}"/>
    <cellStyle name="Normal 4 6 3 2 3 2 2 3 2" xfId="28016" xr:uid="{00000000-0005-0000-0000-0000B7E80000}"/>
    <cellStyle name="Normal 4 6 3 2 3 2 2 3 2 2" xfId="59887" xr:uid="{00000000-0005-0000-0000-0000B8E80000}"/>
    <cellStyle name="Normal 4 6 3 2 3 2 2 3 3" xfId="47033" xr:uid="{00000000-0005-0000-0000-0000B9E80000}"/>
    <cellStyle name="Normal 4 6 3 2 3 2 2 4" xfId="20138" xr:uid="{00000000-0005-0000-0000-0000BAE80000}"/>
    <cellStyle name="Normal 4 6 3 2 3 2 2 4 2" xfId="52009" xr:uid="{00000000-0005-0000-0000-0000BBE80000}"/>
    <cellStyle name="Normal 4 6 3 2 3 2 2 5" xfId="47030" xr:uid="{00000000-0005-0000-0000-0000BCE80000}"/>
    <cellStyle name="Normal 4 6 3 2 3 2 3" xfId="15155" xr:uid="{00000000-0005-0000-0000-0000BDE80000}"/>
    <cellStyle name="Normal 4 6 3 2 3 2 3 2" xfId="15156" xr:uid="{00000000-0005-0000-0000-0000BEE80000}"/>
    <cellStyle name="Normal 4 6 3 2 3 2 3 2 2" xfId="31954" xr:uid="{00000000-0005-0000-0000-0000BFE80000}"/>
    <cellStyle name="Normal 4 6 3 2 3 2 3 2 2 2" xfId="63825" xr:uid="{00000000-0005-0000-0000-0000C0E80000}"/>
    <cellStyle name="Normal 4 6 3 2 3 2 3 2 3" xfId="47035" xr:uid="{00000000-0005-0000-0000-0000C1E80000}"/>
    <cellStyle name="Normal 4 6 3 2 3 2 3 3" xfId="24076" xr:uid="{00000000-0005-0000-0000-0000C2E80000}"/>
    <cellStyle name="Normal 4 6 3 2 3 2 3 3 2" xfId="55947" xr:uid="{00000000-0005-0000-0000-0000C3E80000}"/>
    <cellStyle name="Normal 4 6 3 2 3 2 3 4" xfId="47034" xr:uid="{00000000-0005-0000-0000-0000C4E80000}"/>
    <cellStyle name="Normal 4 6 3 2 3 2 4" xfId="15157" xr:uid="{00000000-0005-0000-0000-0000C5E80000}"/>
    <cellStyle name="Normal 4 6 3 2 3 2 4 2" xfId="28015" xr:uid="{00000000-0005-0000-0000-0000C6E80000}"/>
    <cellStyle name="Normal 4 6 3 2 3 2 4 2 2" xfId="59886" xr:uid="{00000000-0005-0000-0000-0000C7E80000}"/>
    <cellStyle name="Normal 4 6 3 2 3 2 4 3" xfId="47036" xr:uid="{00000000-0005-0000-0000-0000C8E80000}"/>
    <cellStyle name="Normal 4 6 3 2 3 2 5" xfId="20137" xr:uid="{00000000-0005-0000-0000-0000C9E80000}"/>
    <cellStyle name="Normal 4 6 3 2 3 2 5 2" xfId="52008" xr:uid="{00000000-0005-0000-0000-0000CAE80000}"/>
    <cellStyle name="Normal 4 6 3 2 3 2 6" xfId="47029" xr:uid="{00000000-0005-0000-0000-0000CBE80000}"/>
    <cellStyle name="Normal 4 6 3 2 3 3" xfId="15158" xr:uid="{00000000-0005-0000-0000-0000CCE80000}"/>
    <cellStyle name="Normal 4 6 3 2 3 3 2" xfId="15159" xr:uid="{00000000-0005-0000-0000-0000CDE80000}"/>
    <cellStyle name="Normal 4 6 3 2 3 3 2 2" xfId="15160" xr:uid="{00000000-0005-0000-0000-0000CEE80000}"/>
    <cellStyle name="Normal 4 6 3 2 3 3 2 2 2" xfId="31956" xr:uid="{00000000-0005-0000-0000-0000CFE80000}"/>
    <cellStyle name="Normal 4 6 3 2 3 3 2 2 2 2" xfId="63827" xr:uid="{00000000-0005-0000-0000-0000D0E80000}"/>
    <cellStyle name="Normal 4 6 3 2 3 3 2 2 3" xfId="47039" xr:uid="{00000000-0005-0000-0000-0000D1E80000}"/>
    <cellStyle name="Normal 4 6 3 2 3 3 2 3" xfId="24078" xr:uid="{00000000-0005-0000-0000-0000D2E80000}"/>
    <cellStyle name="Normal 4 6 3 2 3 3 2 3 2" xfId="55949" xr:uid="{00000000-0005-0000-0000-0000D3E80000}"/>
    <cellStyle name="Normal 4 6 3 2 3 3 2 4" xfId="47038" xr:uid="{00000000-0005-0000-0000-0000D4E80000}"/>
    <cellStyle name="Normal 4 6 3 2 3 3 3" xfId="15161" xr:uid="{00000000-0005-0000-0000-0000D5E80000}"/>
    <cellStyle name="Normal 4 6 3 2 3 3 3 2" xfId="28017" xr:uid="{00000000-0005-0000-0000-0000D6E80000}"/>
    <cellStyle name="Normal 4 6 3 2 3 3 3 2 2" xfId="59888" xr:uid="{00000000-0005-0000-0000-0000D7E80000}"/>
    <cellStyle name="Normal 4 6 3 2 3 3 3 3" xfId="47040" xr:uid="{00000000-0005-0000-0000-0000D8E80000}"/>
    <cellStyle name="Normal 4 6 3 2 3 3 4" xfId="20139" xr:uid="{00000000-0005-0000-0000-0000D9E80000}"/>
    <cellStyle name="Normal 4 6 3 2 3 3 4 2" xfId="52010" xr:uid="{00000000-0005-0000-0000-0000DAE80000}"/>
    <cellStyle name="Normal 4 6 3 2 3 3 5" xfId="47037" xr:uid="{00000000-0005-0000-0000-0000DBE80000}"/>
    <cellStyle name="Normal 4 6 3 2 3 4" xfId="15162" xr:uid="{00000000-0005-0000-0000-0000DCE80000}"/>
    <cellStyle name="Normal 4 6 3 2 3 4 2" xfId="15163" xr:uid="{00000000-0005-0000-0000-0000DDE80000}"/>
    <cellStyle name="Normal 4 6 3 2 3 4 2 2" xfId="31953" xr:uid="{00000000-0005-0000-0000-0000DEE80000}"/>
    <cellStyle name="Normal 4 6 3 2 3 4 2 2 2" xfId="63824" xr:uid="{00000000-0005-0000-0000-0000DFE80000}"/>
    <cellStyle name="Normal 4 6 3 2 3 4 2 3" xfId="47042" xr:uid="{00000000-0005-0000-0000-0000E0E80000}"/>
    <cellStyle name="Normal 4 6 3 2 3 4 3" xfId="24075" xr:uid="{00000000-0005-0000-0000-0000E1E80000}"/>
    <cellStyle name="Normal 4 6 3 2 3 4 3 2" xfId="55946" xr:uid="{00000000-0005-0000-0000-0000E2E80000}"/>
    <cellStyle name="Normal 4 6 3 2 3 4 4" xfId="47041" xr:uid="{00000000-0005-0000-0000-0000E3E80000}"/>
    <cellStyle name="Normal 4 6 3 2 3 5" xfId="15164" xr:uid="{00000000-0005-0000-0000-0000E4E80000}"/>
    <cellStyle name="Normal 4 6 3 2 3 5 2" xfId="28014" xr:uid="{00000000-0005-0000-0000-0000E5E80000}"/>
    <cellStyle name="Normal 4 6 3 2 3 5 2 2" xfId="59885" xr:uid="{00000000-0005-0000-0000-0000E6E80000}"/>
    <cellStyle name="Normal 4 6 3 2 3 5 3" xfId="47043" xr:uid="{00000000-0005-0000-0000-0000E7E80000}"/>
    <cellStyle name="Normal 4 6 3 2 3 6" xfId="20136" xr:uid="{00000000-0005-0000-0000-0000E8E80000}"/>
    <cellStyle name="Normal 4 6 3 2 3 6 2" xfId="52007" xr:uid="{00000000-0005-0000-0000-0000E9E80000}"/>
    <cellStyle name="Normal 4 6 3 2 3 7" xfId="47028" xr:uid="{00000000-0005-0000-0000-0000EAE80000}"/>
    <cellStyle name="Normal 4 6 3 2 4" xfId="15165" xr:uid="{00000000-0005-0000-0000-0000EBE80000}"/>
    <cellStyle name="Normal 4 6 3 2 4 2" xfId="15166" xr:uid="{00000000-0005-0000-0000-0000ECE80000}"/>
    <cellStyle name="Normal 4 6 3 2 4 2 2" xfId="15167" xr:uid="{00000000-0005-0000-0000-0000EDE80000}"/>
    <cellStyle name="Normal 4 6 3 2 4 2 2 2" xfId="15168" xr:uid="{00000000-0005-0000-0000-0000EEE80000}"/>
    <cellStyle name="Normal 4 6 3 2 4 2 2 2 2" xfId="31958" xr:uid="{00000000-0005-0000-0000-0000EFE80000}"/>
    <cellStyle name="Normal 4 6 3 2 4 2 2 2 2 2" xfId="63829" xr:uid="{00000000-0005-0000-0000-0000F0E80000}"/>
    <cellStyle name="Normal 4 6 3 2 4 2 2 2 3" xfId="47047" xr:uid="{00000000-0005-0000-0000-0000F1E80000}"/>
    <cellStyle name="Normal 4 6 3 2 4 2 2 3" xfId="24080" xr:uid="{00000000-0005-0000-0000-0000F2E80000}"/>
    <cellStyle name="Normal 4 6 3 2 4 2 2 3 2" xfId="55951" xr:uid="{00000000-0005-0000-0000-0000F3E80000}"/>
    <cellStyle name="Normal 4 6 3 2 4 2 2 4" xfId="47046" xr:uid="{00000000-0005-0000-0000-0000F4E80000}"/>
    <cellStyle name="Normal 4 6 3 2 4 2 3" xfId="15169" xr:uid="{00000000-0005-0000-0000-0000F5E80000}"/>
    <cellStyle name="Normal 4 6 3 2 4 2 3 2" xfId="28019" xr:uid="{00000000-0005-0000-0000-0000F6E80000}"/>
    <cellStyle name="Normal 4 6 3 2 4 2 3 2 2" xfId="59890" xr:uid="{00000000-0005-0000-0000-0000F7E80000}"/>
    <cellStyle name="Normal 4 6 3 2 4 2 3 3" xfId="47048" xr:uid="{00000000-0005-0000-0000-0000F8E80000}"/>
    <cellStyle name="Normal 4 6 3 2 4 2 4" xfId="20141" xr:uid="{00000000-0005-0000-0000-0000F9E80000}"/>
    <cellStyle name="Normal 4 6 3 2 4 2 4 2" xfId="52012" xr:uid="{00000000-0005-0000-0000-0000FAE80000}"/>
    <cellStyle name="Normal 4 6 3 2 4 2 5" xfId="47045" xr:uid="{00000000-0005-0000-0000-0000FBE80000}"/>
    <cellStyle name="Normal 4 6 3 2 4 3" xfId="15170" xr:uid="{00000000-0005-0000-0000-0000FCE80000}"/>
    <cellStyle name="Normal 4 6 3 2 4 3 2" xfId="15171" xr:uid="{00000000-0005-0000-0000-0000FDE80000}"/>
    <cellStyle name="Normal 4 6 3 2 4 3 2 2" xfId="31957" xr:uid="{00000000-0005-0000-0000-0000FEE80000}"/>
    <cellStyle name="Normal 4 6 3 2 4 3 2 2 2" xfId="63828" xr:uid="{00000000-0005-0000-0000-0000FFE80000}"/>
    <cellStyle name="Normal 4 6 3 2 4 3 2 3" xfId="47050" xr:uid="{00000000-0005-0000-0000-000000E90000}"/>
    <cellStyle name="Normal 4 6 3 2 4 3 3" xfId="24079" xr:uid="{00000000-0005-0000-0000-000001E90000}"/>
    <cellStyle name="Normal 4 6 3 2 4 3 3 2" xfId="55950" xr:uid="{00000000-0005-0000-0000-000002E90000}"/>
    <cellStyle name="Normal 4 6 3 2 4 3 4" xfId="47049" xr:uid="{00000000-0005-0000-0000-000003E90000}"/>
    <cellStyle name="Normal 4 6 3 2 4 4" xfId="15172" xr:uid="{00000000-0005-0000-0000-000004E90000}"/>
    <cellStyle name="Normal 4 6 3 2 4 4 2" xfId="28018" xr:uid="{00000000-0005-0000-0000-000005E90000}"/>
    <cellStyle name="Normal 4 6 3 2 4 4 2 2" xfId="59889" xr:uid="{00000000-0005-0000-0000-000006E90000}"/>
    <cellStyle name="Normal 4 6 3 2 4 4 3" xfId="47051" xr:uid="{00000000-0005-0000-0000-000007E90000}"/>
    <cellStyle name="Normal 4 6 3 2 4 5" xfId="20140" xr:uid="{00000000-0005-0000-0000-000008E90000}"/>
    <cellStyle name="Normal 4 6 3 2 4 5 2" xfId="52011" xr:uid="{00000000-0005-0000-0000-000009E90000}"/>
    <cellStyle name="Normal 4 6 3 2 4 6" xfId="47044" xr:uid="{00000000-0005-0000-0000-00000AE90000}"/>
    <cellStyle name="Normal 4 6 3 2 5" xfId="15173" xr:uid="{00000000-0005-0000-0000-00000BE90000}"/>
    <cellStyle name="Normal 4 6 3 2 5 2" xfId="15174" xr:uid="{00000000-0005-0000-0000-00000CE90000}"/>
    <cellStyle name="Normal 4 6 3 2 5 2 2" xfId="15175" xr:uid="{00000000-0005-0000-0000-00000DE90000}"/>
    <cellStyle name="Normal 4 6 3 2 5 2 2 2" xfId="31959" xr:uid="{00000000-0005-0000-0000-00000EE90000}"/>
    <cellStyle name="Normal 4 6 3 2 5 2 2 2 2" xfId="63830" xr:uid="{00000000-0005-0000-0000-00000FE90000}"/>
    <cellStyle name="Normal 4 6 3 2 5 2 2 3" xfId="47054" xr:uid="{00000000-0005-0000-0000-000010E90000}"/>
    <cellStyle name="Normal 4 6 3 2 5 2 3" xfId="24081" xr:uid="{00000000-0005-0000-0000-000011E90000}"/>
    <cellStyle name="Normal 4 6 3 2 5 2 3 2" xfId="55952" xr:uid="{00000000-0005-0000-0000-000012E90000}"/>
    <cellStyle name="Normal 4 6 3 2 5 2 4" xfId="47053" xr:uid="{00000000-0005-0000-0000-000013E90000}"/>
    <cellStyle name="Normal 4 6 3 2 5 3" xfId="15176" xr:uid="{00000000-0005-0000-0000-000014E90000}"/>
    <cellStyle name="Normal 4 6 3 2 5 3 2" xfId="28020" xr:uid="{00000000-0005-0000-0000-000015E90000}"/>
    <cellStyle name="Normal 4 6 3 2 5 3 2 2" xfId="59891" xr:uid="{00000000-0005-0000-0000-000016E90000}"/>
    <cellStyle name="Normal 4 6 3 2 5 3 3" xfId="47055" xr:uid="{00000000-0005-0000-0000-000017E90000}"/>
    <cellStyle name="Normal 4 6 3 2 5 4" xfId="20142" xr:uid="{00000000-0005-0000-0000-000018E90000}"/>
    <cellStyle name="Normal 4 6 3 2 5 4 2" xfId="52013" xr:uid="{00000000-0005-0000-0000-000019E90000}"/>
    <cellStyle name="Normal 4 6 3 2 5 5" xfId="47052" xr:uid="{00000000-0005-0000-0000-00001AE90000}"/>
    <cellStyle name="Normal 4 6 3 2 6" xfId="15177" xr:uid="{00000000-0005-0000-0000-00001BE90000}"/>
    <cellStyle name="Normal 4 6 3 2 6 2" xfId="15178" xr:uid="{00000000-0005-0000-0000-00001CE90000}"/>
    <cellStyle name="Normal 4 6 3 2 6 2 2" xfId="28482" xr:uid="{00000000-0005-0000-0000-00001DE90000}"/>
    <cellStyle name="Normal 4 6 3 2 6 2 2 2" xfId="60353" xr:uid="{00000000-0005-0000-0000-00001EE90000}"/>
    <cellStyle name="Normal 4 6 3 2 6 2 3" xfId="47057" xr:uid="{00000000-0005-0000-0000-00001FE90000}"/>
    <cellStyle name="Normal 4 6 3 2 6 3" xfId="20604" xr:uid="{00000000-0005-0000-0000-000020E90000}"/>
    <cellStyle name="Normal 4 6 3 2 6 3 2" xfId="52475" xr:uid="{00000000-0005-0000-0000-000021E90000}"/>
    <cellStyle name="Normal 4 6 3 2 6 4" xfId="47056" xr:uid="{00000000-0005-0000-0000-000022E90000}"/>
    <cellStyle name="Normal 4 6 3 2 7" xfId="15179" xr:uid="{00000000-0005-0000-0000-000023E90000}"/>
    <cellStyle name="Normal 4 6 3 2 7 2" xfId="24543" xr:uid="{00000000-0005-0000-0000-000024E90000}"/>
    <cellStyle name="Normal 4 6 3 2 7 2 2" xfId="56414" xr:uid="{00000000-0005-0000-0000-000025E90000}"/>
    <cellStyle name="Normal 4 6 3 2 7 3" xfId="47058" xr:uid="{00000000-0005-0000-0000-000026E90000}"/>
    <cellStyle name="Normal 4 6 3 2 8" xfId="16665" xr:uid="{00000000-0005-0000-0000-000027E90000}"/>
    <cellStyle name="Normal 4 6 3 2 8 2" xfId="48536" xr:uid="{00000000-0005-0000-0000-000028E90000}"/>
    <cellStyle name="Normal 4 6 3 2 9" xfId="46995" xr:uid="{00000000-0005-0000-0000-000029E90000}"/>
    <cellStyle name="Normal 4 6 3 3" xfId="15180" xr:uid="{00000000-0005-0000-0000-00002AE90000}"/>
    <cellStyle name="Normal 4 6 3 3 2" xfId="15181" xr:uid="{00000000-0005-0000-0000-00002BE90000}"/>
    <cellStyle name="Normal 4 6 3 3 2 2" xfId="15182" xr:uid="{00000000-0005-0000-0000-00002CE90000}"/>
    <cellStyle name="Normal 4 6 3 3 2 2 2" xfId="15183" xr:uid="{00000000-0005-0000-0000-00002DE90000}"/>
    <cellStyle name="Normal 4 6 3 3 2 2 2 2" xfId="15184" xr:uid="{00000000-0005-0000-0000-00002EE90000}"/>
    <cellStyle name="Normal 4 6 3 3 2 2 2 2 2" xfId="15185" xr:uid="{00000000-0005-0000-0000-00002FE90000}"/>
    <cellStyle name="Normal 4 6 3 3 2 2 2 2 2 2" xfId="31963" xr:uid="{00000000-0005-0000-0000-000030E90000}"/>
    <cellStyle name="Normal 4 6 3 3 2 2 2 2 2 2 2" xfId="63834" xr:uid="{00000000-0005-0000-0000-000031E90000}"/>
    <cellStyle name="Normal 4 6 3 3 2 2 2 2 2 3" xfId="47064" xr:uid="{00000000-0005-0000-0000-000032E90000}"/>
    <cellStyle name="Normal 4 6 3 3 2 2 2 2 3" xfId="24085" xr:uid="{00000000-0005-0000-0000-000033E90000}"/>
    <cellStyle name="Normal 4 6 3 3 2 2 2 2 3 2" xfId="55956" xr:uid="{00000000-0005-0000-0000-000034E90000}"/>
    <cellStyle name="Normal 4 6 3 3 2 2 2 2 4" xfId="47063" xr:uid="{00000000-0005-0000-0000-000035E90000}"/>
    <cellStyle name="Normal 4 6 3 3 2 2 2 3" xfId="15186" xr:uid="{00000000-0005-0000-0000-000036E90000}"/>
    <cellStyle name="Normal 4 6 3 3 2 2 2 3 2" xfId="28024" xr:uid="{00000000-0005-0000-0000-000037E90000}"/>
    <cellStyle name="Normal 4 6 3 3 2 2 2 3 2 2" xfId="59895" xr:uid="{00000000-0005-0000-0000-000038E90000}"/>
    <cellStyle name="Normal 4 6 3 3 2 2 2 3 3" xfId="47065" xr:uid="{00000000-0005-0000-0000-000039E90000}"/>
    <cellStyle name="Normal 4 6 3 3 2 2 2 4" xfId="20146" xr:uid="{00000000-0005-0000-0000-00003AE90000}"/>
    <cellStyle name="Normal 4 6 3 3 2 2 2 4 2" xfId="52017" xr:uid="{00000000-0005-0000-0000-00003BE90000}"/>
    <cellStyle name="Normal 4 6 3 3 2 2 2 5" xfId="47062" xr:uid="{00000000-0005-0000-0000-00003CE90000}"/>
    <cellStyle name="Normal 4 6 3 3 2 2 3" xfId="15187" xr:uid="{00000000-0005-0000-0000-00003DE90000}"/>
    <cellStyle name="Normal 4 6 3 3 2 2 3 2" xfId="15188" xr:uid="{00000000-0005-0000-0000-00003EE90000}"/>
    <cellStyle name="Normal 4 6 3 3 2 2 3 2 2" xfId="31962" xr:uid="{00000000-0005-0000-0000-00003FE90000}"/>
    <cellStyle name="Normal 4 6 3 3 2 2 3 2 2 2" xfId="63833" xr:uid="{00000000-0005-0000-0000-000040E90000}"/>
    <cellStyle name="Normal 4 6 3 3 2 2 3 2 3" xfId="47067" xr:uid="{00000000-0005-0000-0000-000041E90000}"/>
    <cellStyle name="Normal 4 6 3 3 2 2 3 3" xfId="24084" xr:uid="{00000000-0005-0000-0000-000042E90000}"/>
    <cellStyle name="Normal 4 6 3 3 2 2 3 3 2" xfId="55955" xr:uid="{00000000-0005-0000-0000-000043E90000}"/>
    <cellStyle name="Normal 4 6 3 3 2 2 3 4" xfId="47066" xr:uid="{00000000-0005-0000-0000-000044E90000}"/>
    <cellStyle name="Normal 4 6 3 3 2 2 4" xfId="15189" xr:uid="{00000000-0005-0000-0000-000045E90000}"/>
    <cellStyle name="Normal 4 6 3 3 2 2 4 2" xfId="28023" xr:uid="{00000000-0005-0000-0000-000046E90000}"/>
    <cellStyle name="Normal 4 6 3 3 2 2 4 2 2" xfId="59894" xr:uid="{00000000-0005-0000-0000-000047E90000}"/>
    <cellStyle name="Normal 4 6 3 3 2 2 4 3" xfId="47068" xr:uid="{00000000-0005-0000-0000-000048E90000}"/>
    <cellStyle name="Normal 4 6 3 3 2 2 5" xfId="20145" xr:uid="{00000000-0005-0000-0000-000049E90000}"/>
    <cellStyle name="Normal 4 6 3 3 2 2 5 2" xfId="52016" xr:uid="{00000000-0005-0000-0000-00004AE90000}"/>
    <cellStyle name="Normal 4 6 3 3 2 2 6" xfId="47061" xr:uid="{00000000-0005-0000-0000-00004BE90000}"/>
    <cellStyle name="Normal 4 6 3 3 2 3" xfId="15190" xr:uid="{00000000-0005-0000-0000-00004CE90000}"/>
    <cellStyle name="Normal 4 6 3 3 2 3 2" xfId="15191" xr:uid="{00000000-0005-0000-0000-00004DE90000}"/>
    <cellStyle name="Normal 4 6 3 3 2 3 2 2" xfId="15192" xr:uid="{00000000-0005-0000-0000-00004EE90000}"/>
    <cellStyle name="Normal 4 6 3 3 2 3 2 2 2" xfId="31964" xr:uid="{00000000-0005-0000-0000-00004FE90000}"/>
    <cellStyle name="Normal 4 6 3 3 2 3 2 2 2 2" xfId="63835" xr:uid="{00000000-0005-0000-0000-000050E90000}"/>
    <cellStyle name="Normal 4 6 3 3 2 3 2 2 3" xfId="47071" xr:uid="{00000000-0005-0000-0000-000051E90000}"/>
    <cellStyle name="Normal 4 6 3 3 2 3 2 3" xfId="24086" xr:uid="{00000000-0005-0000-0000-000052E90000}"/>
    <cellStyle name="Normal 4 6 3 3 2 3 2 3 2" xfId="55957" xr:uid="{00000000-0005-0000-0000-000053E90000}"/>
    <cellStyle name="Normal 4 6 3 3 2 3 2 4" xfId="47070" xr:uid="{00000000-0005-0000-0000-000054E90000}"/>
    <cellStyle name="Normal 4 6 3 3 2 3 3" xfId="15193" xr:uid="{00000000-0005-0000-0000-000055E90000}"/>
    <cellStyle name="Normal 4 6 3 3 2 3 3 2" xfId="28025" xr:uid="{00000000-0005-0000-0000-000056E90000}"/>
    <cellStyle name="Normal 4 6 3 3 2 3 3 2 2" xfId="59896" xr:uid="{00000000-0005-0000-0000-000057E90000}"/>
    <cellStyle name="Normal 4 6 3 3 2 3 3 3" xfId="47072" xr:uid="{00000000-0005-0000-0000-000058E90000}"/>
    <cellStyle name="Normal 4 6 3 3 2 3 4" xfId="20147" xr:uid="{00000000-0005-0000-0000-000059E90000}"/>
    <cellStyle name="Normal 4 6 3 3 2 3 4 2" xfId="52018" xr:uid="{00000000-0005-0000-0000-00005AE90000}"/>
    <cellStyle name="Normal 4 6 3 3 2 3 5" xfId="47069" xr:uid="{00000000-0005-0000-0000-00005BE90000}"/>
    <cellStyle name="Normal 4 6 3 3 2 4" xfId="15194" xr:uid="{00000000-0005-0000-0000-00005CE90000}"/>
    <cellStyle name="Normal 4 6 3 3 2 4 2" xfId="15195" xr:uid="{00000000-0005-0000-0000-00005DE90000}"/>
    <cellStyle name="Normal 4 6 3 3 2 4 2 2" xfId="31961" xr:uid="{00000000-0005-0000-0000-00005EE90000}"/>
    <cellStyle name="Normal 4 6 3 3 2 4 2 2 2" xfId="63832" xr:uid="{00000000-0005-0000-0000-00005FE90000}"/>
    <cellStyle name="Normal 4 6 3 3 2 4 2 3" xfId="47074" xr:uid="{00000000-0005-0000-0000-000060E90000}"/>
    <cellStyle name="Normal 4 6 3 3 2 4 3" xfId="24083" xr:uid="{00000000-0005-0000-0000-000061E90000}"/>
    <cellStyle name="Normal 4 6 3 3 2 4 3 2" xfId="55954" xr:uid="{00000000-0005-0000-0000-000062E90000}"/>
    <cellStyle name="Normal 4 6 3 3 2 4 4" xfId="47073" xr:uid="{00000000-0005-0000-0000-000063E90000}"/>
    <cellStyle name="Normal 4 6 3 3 2 5" xfId="15196" xr:uid="{00000000-0005-0000-0000-000064E90000}"/>
    <cellStyle name="Normal 4 6 3 3 2 5 2" xfId="28022" xr:uid="{00000000-0005-0000-0000-000065E90000}"/>
    <cellStyle name="Normal 4 6 3 3 2 5 2 2" xfId="59893" xr:uid="{00000000-0005-0000-0000-000066E90000}"/>
    <cellStyle name="Normal 4 6 3 3 2 5 3" xfId="47075" xr:uid="{00000000-0005-0000-0000-000067E90000}"/>
    <cellStyle name="Normal 4 6 3 3 2 6" xfId="20144" xr:uid="{00000000-0005-0000-0000-000068E90000}"/>
    <cellStyle name="Normal 4 6 3 3 2 6 2" xfId="52015" xr:uid="{00000000-0005-0000-0000-000069E90000}"/>
    <cellStyle name="Normal 4 6 3 3 2 7" xfId="47060" xr:uid="{00000000-0005-0000-0000-00006AE90000}"/>
    <cellStyle name="Normal 4 6 3 3 3" xfId="15197" xr:uid="{00000000-0005-0000-0000-00006BE90000}"/>
    <cellStyle name="Normal 4 6 3 3 3 2" xfId="15198" xr:uid="{00000000-0005-0000-0000-00006CE90000}"/>
    <cellStyle name="Normal 4 6 3 3 3 2 2" xfId="15199" xr:uid="{00000000-0005-0000-0000-00006DE90000}"/>
    <cellStyle name="Normal 4 6 3 3 3 2 2 2" xfId="15200" xr:uid="{00000000-0005-0000-0000-00006EE90000}"/>
    <cellStyle name="Normal 4 6 3 3 3 2 2 2 2" xfId="31966" xr:uid="{00000000-0005-0000-0000-00006FE90000}"/>
    <cellStyle name="Normal 4 6 3 3 3 2 2 2 2 2" xfId="63837" xr:uid="{00000000-0005-0000-0000-000070E90000}"/>
    <cellStyle name="Normal 4 6 3 3 3 2 2 2 3" xfId="47079" xr:uid="{00000000-0005-0000-0000-000071E90000}"/>
    <cellStyle name="Normal 4 6 3 3 3 2 2 3" xfId="24088" xr:uid="{00000000-0005-0000-0000-000072E90000}"/>
    <cellStyle name="Normal 4 6 3 3 3 2 2 3 2" xfId="55959" xr:uid="{00000000-0005-0000-0000-000073E90000}"/>
    <cellStyle name="Normal 4 6 3 3 3 2 2 4" xfId="47078" xr:uid="{00000000-0005-0000-0000-000074E90000}"/>
    <cellStyle name="Normal 4 6 3 3 3 2 3" xfId="15201" xr:uid="{00000000-0005-0000-0000-000075E90000}"/>
    <cellStyle name="Normal 4 6 3 3 3 2 3 2" xfId="28027" xr:uid="{00000000-0005-0000-0000-000076E90000}"/>
    <cellStyle name="Normal 4 6 3 3 3 2 3 2 2" xfId="59898" xr:uid="{00000000-0005-0000-0000-000077E90000}"/>
    <cellStyle name="Normal 4 6 3 3 3 2 3 3" xfId="47080" xr:uid="{00000000-0005-0000-0000-000078E90000}"/>
    <cellStyle name="Normal 4 6 3 3 3 2 4" xfId="20149" xr:uid="{00000000-0005-0000-0000-000079E90000}"/>
    <cellStyle name="Normal 4 6 3 3 3 2 4 2" xfId="52020" xr:uid="{00000000-0005-0000-0000-00007AE90000}"/>
    <cellStyle name="Normal 4 6 3 3 3 2 5" xfId="47077" xr:uid="{00000000-0005-0000-0000-00007BE90000}"/>
    <cellStyle name="Normal 4 6 3 3 3 3" xfId="15202" xr:uid="{00000000-0005-0000-0000-00007CE90000}"/>
    <cellStyle name="Normal 4 6 3 3 3 3 2" xfId="15203" xr:uid="{00000000-0005-0000-0000-00007DE90000}"/>
    <cellStyle name="Normal 4 6 3 3 3 3 2 2" xfId="31965" xr:uid="{00000000-0005-0000-0000-00007EE90000}"/>
    <cellStyle name="Normal 4 6 3 3 3 3 2 2 2" xfId="63836" xr:uid="{00000000-0005-0000-0000-00007FE90000}"/>
    <cellStyle name="Normal 4 6 3 3 3 3 2 3" xfId="47082" xr:uid="{00000000-0005-0000-0000-000080E90000}"/>
    <cellStyle name="Normal 4 6 3 3 3 3 3" xfId="24087" xr:uid="{00000000-0005-0000-0000-000081E90000}"/>
    <cellStyle name="Normal 4 6 3 3 3 3 3 2" xfId="55958" xr:uid="{00000000-0005-0000-0000-000082E90000}"/>
    <cellStyle name="Normal 4 6 3 3 3 3 4" xfId="47081" xr:uid="{00000000-0005-0000-0000-000083E90000}"/>
    <cellStyle name="Normal 4 6 3 3 3 4" xfId="15204" xr:uid="{00000000-0005-0000-0000-000084E90000}"/>
    <cellStyle name="Normal 4 6 3 3 3 4 2" xfId="28026" xr:uid="{00000000-0005-0000-0000-000085E90000}"/>
    <cellStyle name="Normal 4 6 3 3 3 4 2 2" xfId="59897" xr:uid="{00000000-0005-0000-0000-000086E90000}"/>
    <cellStyle name="Normal 4 6 3 3 3 4 3" xfId="47083" xr:uid="{00000000-0005-0000-0000-000087E90000}"/>
    <cellStyle name="Normal 4 6 3 3 3 5" xfId="20148" xr:uid="{00000000-0005-0000-0000-000088E90000}"/>
    <cellStyle name="Normal 4 6 3 3 3 5 2" xfId="52019" xr:uid="{00000000-0005-0000-0000-000089E90000}"/>
    <cellStyle name="Normal 4 6 3 3 3 6" xfId="47076" xr:uid="{00000000-0005-0000-0000-00008AE90000}"/>
    <cellStyle name="Normal 4 6 3 3 4" xfId="15205" xr:uid="{00000000-0005-0000-0000-00008BE90000}"/>
    <cellStyle name="Normal 4 6 3 3 4 2" xfId="15206" xr:uid="{00000000-0005-0000-0000-00008CE90000}"/>
    <cellStyle name="Normal 4 6 3 3 4 2 2" xfId="15207" xr:uid="{00000000-0005-0000-0000-00008DE90000}"/>
    <cellStyle name="Normal 4 6 3 3 4 2 2 2" xfId="31967" xr:uid="{00000000-0005-0000-0000-00008EE90000}"/>
    <cellStyle name="Normal 4 6 3 3 4 2 2 2 2" xfId="63838" xr:uid="{00000000-0005-0000-0000-00008FE90000}"/>
    <cellStyle name="Normal 4 6 3 3 4 2 2 3" xfId="47086" xr:uid="{00000000-0005-0000-0000-000090E90000}"/>
    <cellStyle name="Normal 4 6 3 3 4 2 3" xfId="24089" xr:uid="{00000000-0005-0000-0000-000091E90000}"/>
    <cellStyle name="Normal 4 6 3 3 4 2 3 2" xfId="55960" xr:uid="{00000000-0005-0000-0000-000092E90000}"/>
    <cellStyle name="Normal 4 6 3 3 4 2 4" xfId="47085" xr:uid="{00000000-0005-0000-0000-000093E90000}"/>
    <cellStyle name="Normal 4 6 3 3 4 3" xfId="15208" xr:uid="{00000000-0005-0000-0000-000094E90000}"/>
    <cellStyle name="Normal 4 6 3 3 4 3 2" xfId="28028" xr:uid="{00000000-0005-0000-0000-000095E90000}"/>
    <cellStyle name="Normal 4 6 3 3 4 3 2 2" xfId="59899" xr:uid="{00000000-0005-0000-0000-000096E90000}"/>
    <cellStyle name="Normal 4 6 3 3 4 3 3" xfId="47087" xr:uid="{00000000-0005-0000-0000-000097E90000}"/>
    <cellStyle name="Normal 4 6 3 3 4 4" xfId="20150" xr:uid="{00000000-0005-0000-0000-000098E90000}"/>
    <cellStyle name="Normal 4 6 3 3 4 4 2" xfId="52021" xr:uid="{00000000-0005-0000-0000-000099E90000}"/>
    <cellStyle name="Normal 4 6 3 3 4 5" xfId="47084" xr:uid="{00000000-0005-0000-0000-00009AE90000}"/>
    <cellStyle name="Normal 4 6 3 3 5" xfId="15209" xr:uid="{00000000-0005-0000-0000-00009BE90000}"/>
    <cellStyle name="Normal 4 6 3 3 5 2" xfId="15210" xr:uid="{00000000-0005-0000-0000-00009CE90000}"/>
    <cellStyle name="Normal 4 6 3 3 5 2 2" xfId="31960" xr:uid="{00000000-0005-0000-0000-00009DE90000}"/>
    <cellStyle name="Normal 4 6 3 3 5 2 2 2" xfId="63831" xr:uid="{00000000-0005-0000-0000-00009EE90000}"/>
    <cellStyle name="Normal 4 6 3 3 5 2 3" xfId="47089" xr:uid="{00000000-0005-0000-0000-00009FE90000}"/>
    <cellStyle name="Normal 4 6 3 3 5 3" xfId="24082" xr:uid="{00000000-0005-0000-0000-0000A0E90000}"/>
    <cellStyle name="Normal 4 6 3 3 5 3 2" xfId="55953" xr:uid="{00000000-0005-0000-0000-0000A1E90000}"/>
    <cellStyle name="Normal 4 6 3 3 5 4" xfId="47088" xr:uid="{00000000-0005-0000-0000-0000A2E90000}"/>
    <cellStyle name="Normal 4 6 3 3 6" xfId="15211" xr:uid="{00000000-0005-0000-0000-0000A3E90000}"/>
    <cellStyle name="Normal 4 6 3 3 6 2" xfId="28021" xr:uid="{00000000-0005-0000-0000-0000A4E90000}"/>
    <cellStyle name="Normal 4 6 3 3 6 2 2" xfId="59892" xr:uid="{00000000-0005-0000-0000-0000A5E90000}"/>
    <cellStyle name="Normal 4 6 3 3 6 3" xfId="47090" xr:uid="{00000000-0005-0000-0000-0000A6E90000}"/>
    <cellStyle name="Normal 4 6 3 3 7" xfId="20143" xr:uid="{00000000-0005-0000-0000-0000A7E90000}"/>
    <cellStyle name="Normal 4 6 3 3 7 2" xfId="52014" xr:uid="{00000000-0005-0000-0000-0000A8E90000}"/>
    <cellStyle name="Normal 4 6 3 3 8" xfId="47059" xr:uid="{00000000-0005-0000-0000-0000A9E90000}"/>
    <cellStyle name="Normal 4 6 3 4" xfId="15212" xr:uid="{00000000-0005-0000-0000-0000AAE90000}"/>
    <cellStyle name="Normal 4 6 3 4 2" xfId="15213" xr:uid="{00000000-0005-0000-0000-0000ABE90000}"/>
    <cellStyle name="Normal 4 6 3 4 2 2" xfId="15214" xr:uid="{00000000-0005-0000-0000-0000ACE90000}"/>
    <cellStyle name="Normal 4 6 3 4 2 2 2" xfId="15215" xr:uid="{00000000-0005-0000-0000-0000ADE90000}"/>
    <cellStyle name="Normal 4 6 3 4 2 2 2 2" xfId="15216" xr:uid="{00000000-0005-0000-0000-0000AEE90000}"/>
    <cellStyle name="Normal 4 6 3 4 2 2 2 2 2" xfId="31970" xr:uid="{00000000-0005-0000-0000-0000AFE90000}"/>
    <cellStyle name="Normal 4 6 3 4 2 2 2 2 2 2" xfId="63841" xr:uid="{00000000-0005-0000-0000-0000B0E90000}"/>
    <cellStyle name="Normal 4 6 3 4 2 2 2 2 3" xfId="47095" xr:uid="{00000000-0005-0000-0000-0000B1E90000}"/>
    <cellStyle name="Normal 4 6 3 4 2 2 2 3" xfId="24092" xr:uid="{00000000-0005-0000-0000-0000B2E90000}"/>
    <cellStyle name="Normal 4 6 3 4 2 2 2 3 2" xfId="55963" xr:uid="{00000000-0005-0000-0000-0000B3E90000}"/>
    <cellStyle name="Normal 4 6 3 4 2 2 2 4" xfId="47094" xr:uid="{00000000-0005-0000-0000-0000B4E90000}"/>
    <cellStyle name="Normal 4 6 3 4 2 2 3" xfId="15217" xr:uid="{00000000-0005-0000-0000-0000B5E90000}"/>
    <cellStyle name="Normal 4 6 3 4 2 2 3 2" xfId="28031" xr:uid="{00000000-0005-0000-0000-0000B6E90000}"/>
    <cellStyle name="Normal 4 6 3 4 2 2 3 2 2" xfId="59902" xr:uid="{00000000-0005-0000-0000-0000B7E90000}"/>
    <cellStyle name="Normal 4 6 3 4 2 2 3 3" xfId="47096" xr:uid="{00000000-0005-0000-0000-0000B8E90000}"/>
    <cellStyle name="Normal 4 6 3 4 2 2 4" xfId="20153" xr:uid="{00000000-0005-0000-0000-0000B9E90000}"/>
    <cellStyle name="Normal 4 6 3 4 2 2 4 2" xfId="52024" xr:uid="{00000000-0005-0000-0000-0000BAE90000}"/>
    <cellStyle name="Normal 4 6 3 4 2 2 5" xfId="47093" xr:uid="{00000000-0005-0000-0000-0000BBE90000}"/>
    <cellStyle name="Normal 4 6 3 4 2 3" xfId="15218" xr:uid="{00000000-0005-0000-0000-0000BCE90000}"/>
    <cellStyle name="Normal 4 6 3 4 2 3 2" xfId="15219" xr:uid="{00000000-0005-0000-0000-0000BDE90000}"/>
    <cellStyle name="Normal 4 6 3 4 2 3 2 2" xfId="31969" xr:uid="{00000000-0005-0000-0000-0000BEE90000}"/>
    <cellStyle name="Normal 4 6 3 4 2 3 2 2 2" xfId="63840" xr:uid="{00000000-0005-0000-0000-0000BFE90000}"/>
    <cellStyle name="Normal 4 6 3 4 2 3 2 3" xfId="47098" xr:uid="{00000000-0005-0000-0000-0000C0E90000}"/>
    <cellStyle name="Normal 4 6 3 4 2 3 3" xfId="24091" xr:uid="{00000000-0005-0000-0000-0000C1E90000}"/>
    <cellStyle name="Normal 4 6 3 4 2 3 3 2" xfId="55962" xr:uid="{00000000-0005-0000-0000-0000C2E90000}"/>
    <cellStyle name="Normal 4 6 3 4 2 3 4" xfId="47097" xr:uid="{00000000-0005-0000-0000-0000C3E90000}"/>
    <cellStyle name="Normal 4 6 3 4 2 4" xfId="15220" xr:uid="{00000000-0005-0000-0000-0000C4E90000}"/>
    <cellStyle name="Normal 4 6 3 4 2 4 2" xfId="28030" xr:uid="{00000000-0005-0000-0000-0000C5E90000}"/>
    <cellStyle name="Normal 4 6 3 4 2 4 2 2" xfId="59901" xr:uid="{00000000-0005-0000-0000-0000C6E90000}"/>
    <cellStyle name="Normal 4 6 3 4 2 4 3" xfId="47099" xr:uid="{00000000-0005-0000-0000-0000C7E90000}"/>
    <cellStyle name="Normal 4 6 3 4 2 5" xfId="20152" xr:uid="{00000000-0005-0000-0000-0000C8E90000}"/>
    <cellStyle name="Normal 4 6 3 4 2 5 2" xfId="52023" xr:uid="{00000000-0005-0000-0000-0000C9E90000}"/>
    <cellStyle name="Normal 4 6 3 4 2 6" xfId="47092" xr:uid="{00000000-0005-0000-0000-0000CAE90000}"/>
    <cellStyle name="Normal 4 6 3 4 3" xfId="15221" xr:uid="{00000000-0005-0000-0000-0000CBE90000}"/>
    <cellStyle name="Normal 4 6 3 4 3 2" xfId="15222" xr:uid="{00000000-0005-0000-0000-0000CCE90000}"/>
    <cellStyle name="Normal 4 6 3 4 3 2 2" xfId="15223" xr:uid="{00000000-0005-0000-0000-0000CDE90000}"/>
    <cellStyle name="Normal 4 6 3 4 3 2 2 2" xfId="31971" xr:uid="{00000000-0005-0000-0000-0000CEE90000}"/>
    <cellStyle name="Normal 4 6 3 4 3 2 2 2 2" xfId="63842" xr:uid="{00000000-0005-0000-0000-0000CFE90000}"/>
    <cellStyle name="Normal 4 6 3 4 3 2 2 3" xfId="47102" xr:uid="{00000000-0005-0000-0000-0000D0E90000}"/>
    <cellStyle name="Normal 4 6 3 4 3 2 3" xfId="24093" xr:uid="{00000000-0005-0000-0000-0000D1E90000}"/>
    <cellStyle name="Normal 4 6 3 4 3 2 3 2" xfId="55964" xr:uid="{00000000-0005-0000-0000-0000D2E90000}"/>
    <cellStyle name="Normal 4 6 3 4 3 2 4" xfId="47101" xr:uid="{00000000-0005-0000-0000-0000D3E90000}"/>
    <cellStyle name="Normal 4 6 3 4 3 3" xfId="15224" xr:uid="{00000000-0005-0000-0000-0000D4E90000}"/>
    <cellStyle name="Normal 4 6 3 4 3 3 2" xfId="28032" xr:uid="{00000000-0005-0000-0000-0000D5E90000}"/>
    <cellStyle name="Normal 4 6 3 4 3 3 2 2" xfId="59903" xr:uid="{00000000-0005-0000-0000-0000D6E90000}"/>
    <cellStyle name="Normal 4 6 3 4 3 3 3" xfId="47103" xr:uid="{00000000-0005-0000-0000-0000D7E90000}"/>
    <cellStyle name="Normal 4 6 3 4 3 4" xfId="20154" xr:uid="{00000000-0005-0000-0000-0000D8E90000}"/>
    <cellStyle name="Normal 4 6 3 4 3 4 2" xfId="52025" xr:uid="{00000000-0005-0000-0000-0000D9E90000}"/>
    <cellStyle name="Normal 4 6 3 4 3 5" xfId="47100" xr:uid="{00000000-0005-0000-0000-0000DAE90000}"/>
    <cellStyle name="Normal 4 6 3 4 4" xfId="15225" xr:uid="{00000000-0005-0000-0000-0000DBE90000}"/>
    <cellStyle name="Normal 4 6 3 4 4 2" xfId="15226" xr:uid="{00000000-0005-0000-0000-0000DCE90000}"/>
    <cellStyle name="Normal 4 6 3 4 4 2 2" xfId="31968" xr:uid="{00000000-0005-0000-0000-0000DDE90000}"/>
    <cellStyle name="Normal 4 6 3 4 4 2 2 2" xfId="63839" xr:uid="{00000000-0005-0000-0000-0000DEE90000}"/>
    <cellStyle name="Normal 4 6 3 4 4 2 3" xfId="47105" xr:uid="{00000000-0005-0000-0000-0000DFE90000}"/>
    <cellStyle name="Normal 4 6 3 4 4 3" xfId="24090" xr:uid="{00000000-0005-0000-0000-0000E0E90000}"/>
    <cellStyle name="Normal 4 6 3 4 4 3 2" xfId="55961" xr:uid="{00000000-0005-0000-0000-0000E1E90000}"/>
    <cellStyle name="Normal 4 6 3 4 4 4" xfId="47104" xr:uid="{00000000-0005-0000-0000-0000E2E90000}"/>
    <cellStyle name="Normal 4 6 3 4 5" xfId="15227" xr:uid="{00000000-0005-0000-0000-0000E3E90000}"/>
    <cellStyle name="Normal 4 6 3 4 5 2" xfId="28029" xr:uid="{00000000-0005-0000-0000-0000E4E90000}"/>
    <cellStyle name="Normal 4 6 3 4 5 2 2" xfId="59900" xr:uid="{00000000-0005-0000-0000-0000E5E90000}"/>
    <cellStyle name="Normal 4 6 3 4 5 3" xfId="47106" xr:uid="{00000000-0005-0000-0000-0000E6E90000}"/>
    <cellStyle name="Normal 4 6 3 4 6" xfId="20151" xr:uid="{00000000-0005-0000-0000-0000E7E90000}"/>
    <cellStyle name="Normal 4 6 3 4 6 2" xfId="52022" xr:uid="{00000000-0005-0000-0000-0000E8E90000}"/>
    <cellStyle name="Normal 4 6 3 4 7" xfId="47091" xr:uid="{00000000-0005-0000-0000-0000E9E90000}"/>
    <cellStyle name="Normal 4 6 3 5" xfId="15228" xr:uid="{00000000-0005-0000-0000-0000EAE90000}"/>
    <cellStyle name="Normal 4 6 3 5 2" xfId="15229" xr:uid="{00000000-0005-0000-0000-0000EBE90000}"/>
    <cellStyle name="Normal 4 6 3 5 2 2" xfId="15230" xr:uid="{00000000-0005-0000-0000-0000ECE90000}"/>
    <cellStyle name="Normal 4 6 3 5 2 2 2" xfId="15231" xr:uid="{00000000-0005-0000-0000-0000EDE90000}"/>
    <cellStyle name="Normal 4 6 3 5 2 2 2 2" xfId="31973" xr:uid="{00000000-0005-0000-0000-0000EEE90000}"/>
    <cellStyle name="Normal 4 6 3 5 2 2 2 2 2" xfId="63844" xr:uid="{00000000-0005-0000-0000-0000EFE90000}"/>
    <cellStyle name="Normal 4 6 3 5 2 2 2 3" xfId="47110" xr:uid="{00000000-0005-0000-0000-0000F0E90000}"/>
    <cellStyle name="Normal 4 6 3 5 2 2 3" xfId="24095" xr:uid="{00000000-0005-0000-0000-0000F1E90000}"/>
    <cellStyle name="Normal 4 6 3 5 2 2 3 2" xfId="55966" xr:uid="{00000000-0005-0000-0000-0000F2E90000}"/>
    <cellStyle name="Normal 4 6 3 5 2 2 4" xfId="47109" xr:uid="{00000000-0005-0000-0000-0000F3E90000}"/>
    <cellStyle name="Normal 4 6 3 5 2 3" xfId="15232" xr:uid="{00000000-0005-0000-0000-0000F4E90000}"/>
    <cellStyle name="Normal 4 6 3 5 2 3 2" xfId="28034" xr:uid="{00000000-0005-0000-0000-0000F5E90000}"/>
    <cellStyle name="Normal 4 6 3 5 2 3 2 2" xfId="59905" xr:uid="{00000000-0005-0000-0000-0000F6E90000}"/>
    <cellStyle name="Normal 4 6 3 5 2 3 3" xfId="47111" xr:uid="{00000000-0005-0000-0000-0000F7E90000}"/>
    <cellStyle name="Normal 4 6 3 5 2 4" xfId="20156" xr:uid="{00000000-0005-0000-0000-0000F8E90000}"/>
    <cellStyle name="Normal 4 6 3 5 2 4 2" xfId="52027" xr:uid="{00000000-0005-0000-0000-0000F9E90000}"/>
    <cellStyle name="Normal 4 6 3 5 2 5" xfId="47108" xr:uid="{00000000-0005-0000-0000-0000FAE90000}"/>
    <cellStyle name="Normal 4 6 3 5 3" xfId="15233" xr:uid="{00000000-0005-0000-0000-0000FBE90000}"/>
    <cellStyle name="Normal 4 6 3 5 3 2" xfId="15234" xr:uid="{00000000-0005-0000-0000-0000FCE90000}"/>
    <cellStyle name="Normal 4 6 3 5 3 2 2" xfId="31972" xr:uid="{00000000-0005-0000-0000-0000FDE90000}"/>
    <cellStyle name="Normal 4 6 3 5 3 2 2 2" xfId="63843" xr:uid="{00000000-0005-0000-0000-0000FEE90000}"/>
    <cellStyle name="Normal 4 6 3 5 3 2 3" xfId="47113" xr:uid="{00000000-0005-0000-0000-0000FFE90000}"/>
    <cellStyle name="Normal 4 6 3 5 3 3" xfId="24094" xr:uid="{00000000-0005-0000-0000-000000EA0000}"/>
    <cellStyle name="Normal 4 6 3 5 3 3 2" xfId="55965" xr:uid="{00000000-0005-0000-0000-000001EA0000}"/>
    <cellStyle name="Normal 4 6 3 5 3 4" xfId="47112" xr:uid="{00000000-0005-0000-0000-000002EA0000}"/>
    <cellStyle name="Normal 4 6 3 5 4" xfId="15235" xr:uid="{00000000-0005-0000-0000-000003EA0000}"/>
    <cellStyle name="Normal 4 6 3 5 4 2" xfId="28033" xr:uid="{00000000-0005-0000-0000-000004EA0000}"/>
    <cellStyle name="Normal 4 6 3 5 4 2 2" xfId="59904" xr:uid="{00000000-0005-0000-0000-000005EA0000}"/>
    <cellStyle name="Normal 4 6 3 5 4 3" xfId="47114" xr:uid="{00000000-0005-0000-0000-000006EA0000}"/>
    <cellStyle name="Normal 4 6 3 5 5" xfId="20155" xr:uid="{00000000-0005-0000-0000-000007EA0000}"/>
    <cellStyle name="Normal 4 6 3 5 5 2" xfId="52026" xr:uid="{00000000-0005-0000-0000-000008EA0000}"/>
    <cellStyle name="Normal 4 6 3 5 6" xfId="47107" xr:uid="{00000000-0005-0000-0000-000009EA0000}"/>
    <cellStyle name="Normal 4 6 3 6" xfId="15236" xr:uid="{00000000-0005-0000-0000-00000AEA0000}"/>
    <cellStyle name="Normal 4 6 3 6 2" xfId="15237" xr:uid="{00000000-0005-0000-0000-00000BEA0000}"/>
    <cellStyle name="Normal 4 6 3 6 2 2" xfId="15238" xr:uid="{00000000-0005-0000-0000-00000CEA0000}"/>
    <cellStyle name="Normal 4 6 3 6 2 2 2" xfId="31974" xr:uid="{00000000-0005-0000-0000-00000DEA0000}"/>
    <cellStyle name="Normal 4 6 3 6 2 2 2 2" xfId="63845" xr:uid="{00000000-0005-0000-0000-00000EEA0000}"/>
    <cellStyle name="Normal 4 6 3 6 2 2 3" xfId="47117" xr:uid="{00000000-0005-0000-0000-00000FEA0000}"/>
    <cellStyle name="Normal 4 6 3 6 2 3" xfId="24096" xr:uid="{00000000-0005-0000-0000-000010EA0000}"/>
    <cellStyle name="Normal 4 6 3 6 2 3 2" xfId="55967" xr:uid="{00000000-0005-0000-0000-000011EA0000}"/>
    <cellStyle name="Normal 4 6 3 6 2 4" xfId="47116" xr:uid="{00000000-0005-0000-0000-000012EA0000}"/>
    <cellStyle name="Normal 4 6 3 6 3" xfId="15239" xr:uid="{00000000-0005-0000-0000-000013EA0000}"/>
    <cellStyle name="Normal 4 6 3 6 3 2" xfId="28035" xr:uid="{00000000-0005-0000-0000-000014EA0000}"/>
    <cellStyle name="Normal 4 6 3 6 3 2 2" xfId="59906" xr:uid="{00000000-0005-0000-0000-000015EA0000}"/>
    <cellStyle name="Normal 4 6 3 6 3 3" xfId="47118" xr:uid="{00000000-0005-0000-0000-000016EA0000}"/>
    <cellStyle name="Normal 4 6 3 6 4" xfId="20157" xr:uid="{00000000-0005-0000-0000-000017EA0000}"/>
    <cellStyle name="Normal 4 6 3 6 4 2" xfId="52028" xr:uid="{00000000-0005-0000-0000-000018EA0000}"/>
    <cellStyle name="Normal 4 6 3 6 5" xfId="47115" xr:uid="{00000000-0005-0000-0000-000019EA0000}"/>
    <cellStyle name="Normal 4 6 3 7" xfId="15240" xr:uid="{00000000-0005-0000-0000-00001AEA0000}"/>
    <cellStyle name="Normal 4 6 3 7 2" xfId="15241" xr:uid="{00000000-0005-0000-0000-00001BEA0000}"/>
    <cellStyle name="Normal 4 6 3 7 2 2" xfId="28359" xr:uid="{00000000-0005-0000-0000-00001CEA0000}"/>
    <cellStyle name="Normal 4 6 3 7 2 2 2" xfId="60230" xr:uid="{00000000-0005-0000-0000-00001DEA0000}"/>
    <cellStyle name="Normal 4 6 3 7 2 3" xfId="47120" xr:uid="{00000000-0005-0000-0000-00001EEA0000}"/>
    <cellStyle name="Normal 4 6 3 7 3" xfId="20481" xr:uid="{00000000-0005-0000-0000-00001FEA0000}"/>
    <cellStyle name="Normal 4 6 3 7 3 2" xfId="52352" xr:uid="{00000000-0005-0000-0000-000020EA0000}"/>
    <cellStyle name="Normal 4 6 3 7 4" xfId="47119" xr:uid="{00000000-0005-0000-0000-000021EA0000}"/>
    <cellStyle name="Normal 4 6 3 8" xfId="15242" xr:uid="{00000000-0005-0000-0000-000022EA0000}"/>
    <cellStyle name="Normal 4 6 3 8 2" xfId="24420" xr:uid="{00000000-0005-0000-0000-000023EA0000}"/>
    <cellStyle name="Normal 4 6 3 8 2 2" xfId="56291" xr:uid="{00000000-0005-0000-0000-000024EA0000}"/>
    <cellStyle name="Normal 4 6 3 8 3" xfId="47121" xr:uid="{00000000-0005-0000-0000-000025EA0000}"/>
    <cellStyle name="Normal 4 6 3 9" xfId="16542" xr:uid="{00000000-0005-0000-0000-000026EA0000}"/>
    <cellStyle name="Normal 4 6 3 9 2" xfId="48413" xr:uid="{00000000-0005-0000-0000-000027EA0000}"/>
    <cellStyle name="Normal 4 6 4" xfId="15243" xr:uid="{00000000-0005-0000-0000-000028EA0000}"/>
    <cellStyle name="Normal 4 6 4 2" xfId="15244" xr:uid="{00000000-0005-0000-0000-000029EA0000}"/>
    <cellStyle name="Normal 4 6 4 2 2" xfId="15245" xr:uid="{00000000-0005-0000-0000-00002AEA0000}"/>
    <cellStyle name="Normal 4 6 4 2 2 2" xfId="15246" xr:uid="{00000000-0005-0000-0000-00002BEA0000}"/>
    <cellStyle name="Normal 4 6 4 2 2 2 2" xfId="15247" xr:uid="{00000000-0005-0000-0000-00002CEA0000}"/>
    <cellStyle name="Normal 4 6 4 2 2 2 2 2" xfId="15248" xr:uid="{00000000-0005-0000-0000-00002DEA0000}"/>
    <cellStyle name="Normal 4 6 4 2 2 2 2 2 2" xfId="15249" xr:uid="{00000000-0005-0000-0000-00002EEA0000}"/>
    <cellStyle name="Normal 4 6 4 2 2 2 2 2 2 2" xfId="31978" xr:uid="{00000000-0005-0000-0000-00002FEA0000}"/>
    <cellStyle name="Normal 4 6 4 2 2 2 2 2 2 2 2" xfId="63849" xr:uid="{00000000-0005-0000-0000-000030EA0000}"/>
    <cellStyle name="Normal 4 6 4 2 2 2 2 2 2 3" xfId="47128" xr:uid="{00000000-0005-0000-0000-000031EA0000}"/>
    <cellStyle name="Normal 4 6 4 2 2 2 2 2 3" xfId="24100" xr:uid="{00000000-0005-0000-0000-000032EA0000}"/>
    <cellStyle name="Normal 4 6 4 2 2 2 2 2 3 2" xfId="55971" xr:uid="{00000000-0005-0000-0000-000033EA0000}"/>
    <cellStyle name="Normal 4 6 4 2 2 2 2 2 4" xfId="47127" xr:uid="{00000000-0005-0000-0000-000034EA0000}"/>
    <cellStyle name="Normal 4 6 4 2 2 2 2 3" xfId="15250" xr:uid="{00000000-0005-0000-0000-000035EA0000}"/>
    <cellStyle name="Normal 4 6 4 2 2 2 2 3 2" xfId="28039" xr:uid="{00000000-0005-0000-0000-000036EA0000}"/>
    <cellStyle name="Normal 4 6 4 2 2 2 2 3 2 2" xfId="59910" xr:uid="{00000000-0005-0000-0000-000037EA0000}"/>
    <cellStyle name="Normal 4 6 4 2 2 2 2 3 3" xfId="47129" xr:uid="{00000000-0005-0000-0000-000038EA0000}"/>
    <cellStyle name="Normal 4 6 4 2 2 2 2 4" xfId="20161" xr:uid="{00000000-0005-0000-0000-000039EA0000}"/>
    <cellStyle name="Normal 4 6 4 2 2 2 2 4 2" xfId="52032" xr:uid="{00000000-0005-0000-0000-00003AEA0000}"/>
    <cellStyle name="Normal 4 6 4 2 2 2 2 5" xfId="47126" xr:uid="{00000000-0005-0000-0000-00003BEA0000}"/>
    <cellStyle name="Normal 4 6 4 2 2 2 3" xfId="15251" xr:uid="{00000000-0005-0000-0000-00003CEA0000}"/>
    <cellStyle name="Normal 4 6 4 2 2 2 3 2" xfId="15252" xr:uid="{00000000-0005-0000-0000-00003DEA0000}"/>
    <cellStyle name="Normal 4 6 4 2 2 2 3 2 2" xfId="31977" xr:uid="{00000000-0005-0000-0000-00003EEA0000}"/>
    <cellStyle name="Normal 4 6 4 2 2 2 3 2 2 2" xfId="63848" xr:uid="{00000000-0005-0000-0000-00003FEA0000}"/>
    <cellStyle name="Normal 4 6 4 2 2 2 3 2 3" xfId="47131" xr:uid="{00000000-0005-0000-0000-000040EA0000}"/>
    <cellStyle name="Normal 4 6 4 2 2 2 3 3" xfId="24099" xr:uid="{00000000-0005-0000-0000-000041EA0000}"/>
    <cellStyle name="Normal 4 6 4 2 2 2 3 3 2" xfId="55970" xr:uid="{00000000-0005-0000-0000-000042EA0000}"/>
    <cellStyle name="Normal 4 6 4 2 2 2 3 4" xfId="47130" xr:uid="{00000000-0005-0000-0000-000043EA0000}"/>
    <cellStyle name="Normal 4 6 4 2 2 2 4" xfId="15253" xr:uid="{00000000-0005-0000-0000-000044EA0000}"/>
    <cellStyle name="Normal 4 6 4 2 2 2 4 2" xfId="28038" xr:uid="{00000000-0005-0000-0000-000045EA0000}"/>
    <cellStyle name="Normal 4 6 4 2 2 2 4 2 2" xfId="59909" xr:uid="{00000000-0005-0000-0000-000046EA0000}"/>
    <cellStyle name="Normal 4 6 4 2 2 2 4 3" xfId="47132" xr:uid="{00000000-0005-0000-0000-000047EA0000}"/>
    <cellStyle name="Normal 4 6 4 2 2 2 5" xfId="20160" xr:uid="{00000000-0005-0000-0000-000048EA0000}"/>
    <cellStyle name="Normal 4 6 4 2 2 2 5 2" xfId="52031" xr:uid="{00000000-0005-0000-0000-000049EA0000}"/>
    <cellStyle name="Normal 4 6 4 2 2 2 6" xfId="47125" xr:uid="{00000000-0005-0000-0000-00004AEA0000}"/>
    <cellStyle name="Normal 4 6 4 2 2 3" xfId="15254" xr:uid="{00000000-0005-0000-0000-00004BEA0000}"/>
    <cellStyle name="Normal 4 6 4 2 2 3 2" xfId="15255" xr:uid="{00000000-0005-0000-0000-00004CEA0000}"/>
    <cellStyle name="Normal 4 6 4 2 2 3 2 2" xfId="15256" xr:uid="{00000000-0005-0000-0000-00004DEA0000}"/>
    <cellStyle name="Normal 4 6 4 2 2 3 2 2 2" xfId="31979" xr:uid="{00000000-0005-0000-0000-00004EEA0000}"/>
    <cellStyle name="Normal 4 6 4 2 2 3 2 2 2 2" xfId="63850" xr:uid="{00000000-0005-0000-0000-00004FEA0000}"/>
    <cellStyle name="Normal 4 6 4 2 2 3 2 2 3" xfId="47135" xr:uid="{00000000-0005-0000-0000-000050EA0000}"/>
    <cellStyle name="Normal 4 6 4 2 2 3 2 3" xfId="24101" xr:uid="{00000000-0005-0000-0000-000051EA0000}"/>
    <cellStyle name="Normal 4 6 4 2 2 3 2 3 2" xfId="55972" xr:uid="{00000000-0005-0000-0000-000052EA0000}"/>
    <cellStyle name="Normal 4 6 4 2 2 3 2 4" xfId="47134" xr:uid="{00000000-0005-0000-0000-000053EA0000}"/>
    <cellStyle name="Normal 4 6 4 2 2 3 3" xfId="15257" xr:uid="{00000000-0005-0000-0000-000054EA0000}"/>
    <cellStyle name="Normal 4 6 4 2 2 3 3 2" xfId="28040" xr:uid="{00000000-0005-0000-0000-000055EA0000}"/>
    <cellStyle name="Normal 4 6 4 2 2 3 3 2 2" xfId="59911" xr:uid="{00000000-0005-0000-0000-000056EA0000}"/>
    <cellStyle name="Normal 4 6 4 2 2 3 3 3" xfId="47136" xr:uid="{00000000-0005-0000-0000-000057EA0000}"/>
    <cellStyle name="Normal 4 6 4 2 2 3 4" xfId="20162" xr:uid="{00000000-0005-0000-0000-000058EA0000}"/>
    <cellStyle name="Normal 4 6 4 2 2 3 4 2" xfId="52033" xr:uid="{00000000-0005-0000-0000-000059EA0000}"/>
    <cellStyle name="Normal 4 6 4 2 2 3 5" xfId="47133" xr:uid="{00000000-0005-0000-0000-00005AEA0000}"/>
    <cellStyle name="Normal 4 6 4 2 2 4" xfId="15258" xr:uid="{00000000-0005-0000-0000-00005BEA0000}"/>
    <cellStyle name="Normal 4 6 4 2 2 4 2" xfId="15259" xr:uid="{00000000-0005-0000-0000-00005CEA0000}"/>
    <cellStyle name="Normal 4 6 4 2 2 4 2 2" xfId="31976" xr:uid="{00000000-0005-0000-0000-00005DEA0000}"/>
    <cellStyle name="Normal 4 6 4 2 2 4 2 2 2" xfId="63847" xr:uid="{00000000-0005-0000-0000-00005EEA0000}"/>
    <cellStyle name="Normal 4 6 4 2 2 4 2 3" xfId="47138" xr:uid="{00000000-0005-0000-0000-00005FEA0000}"/>
    <cellStyle name="Normal 4 6 4 2 2 4 3" xfId="24098" xr:uid="{00000000-0005-0000-0000-000060EA0000}"/>
    <cellStyle name="Normal 4 6 4 2 2 4 3 2" xfId="55969" xr:uid="{00000000-0005-0000-0000-000061EA0000}"/>
    <cellStyle name="Normal 4 6 4 2 2 4 4" xfId="47137" xr:uid="{00000000-0005-0000-0000-000062EA0000}"/>
    <cellStyle name="Normal 4 6 4 2 2 5" xfId="15260" xr:uid="{00000000-0005-0000-0000-000063EA0000}"/>
    <cellStyle name="Normal 4 6 4 2 2 5 2" xfId="28037" xr:uid="{00000000-0005-0000-0000-000064EA0000}"/>
    <cellStyle name="Normal 4 6 4 2 2 5 2 2" xfId="59908" xr:uid="{00000000-0005-0000-0000-000065EA0000}"/>
    <cellStyle name="Normal 4 6 4 2 2 5 3" xfId="47139" xr:uid="{00000000-0005-0000-0000-000066EA0000}"/>
    <cellStyle name="Normal 4 6 4 2 2 6" xfId="20159" xr:uid="{00000000-0005-0000-0000-000067EA0000}"/>
    <cellStyle name="Normal 4 6 4 2 2 6 2" xfId="52030" xr:uid="{00000000-0005-0000-0000-000068EA0000}"/>
    <cellStyle name="Normal 4 6 4 2 2 7" xfId="47124" xr:uid="{00000000-0005-0000-0000-000069EA0000}"/>
    <cellStyle name="Normal 4 6 4 2 3" xfId="15261" xr:uid="{00000000-0005-0000-0000-00006AEA0000}"/>
    <cellStyle name="Normal 4 6 4 2 3 2" xfId="15262" xr:uid="{00000000-0005-0000-0000-00006BEA0000}"/>
    <cellStyle name="Normal 4 6 4 2 3 2 2" xfId="15263" xr:uid="{00000000-0005-0000-0000-00006CEA0000}"/>
    <cellStyle name="Normal 4 6 4 2 3 2 2 2" xfId="15264" xr:uid="{00000000-0005-0000-0000-00006DEA0000}"/>
    <cellStyle name="Normal 4 6 4 2 3 2 2 2 2" xfId="31981" xr:uid="{00000000-0005-0000-0000-00006EEA0000}"/>
    <cellStyle name="Normal 4 6 4 2 3 2 2 2 2 2" xfId="63852" xr:uid="{00000000-0005-0000-0000-00006FEA0000}"/>
    <cellStyle name="Normal 4 6 4 2 3 2 2 2 3" xfId="47143" xr:uid="{00000000-0005-0000-0000-000070EA0000}"/>
    <cellStyle name="Normal 4 6 4 2 3 2 2 3" xfId="24103" xr:uid="{00000000-0005-0000-0000-000071EA0000}"/>
    <cellStyle name="Normal 4 6 4 2 3 2 2 3 2" xfId="55974" xr:uid="{00000000-0005-0000-0000-000072EA0000}"/>
    <cellStyle name="Normal 4 6 4 2 3 2 2 4" xfId="47142" xr:uid="{00000000-0005-0000-0000-000073EA0000}"/>
    <cellStyle name="Normal 4 6 4 2 3 2 3" xfId="15265" xr:uid="{00000000-0005-0000-0000-000074EA0000}"/>
    <cellStyle name="Normal 4 6 4 2 3 2 3 2" xfId="28042" xr:uid="{00000000-0005-0000-0000-000075EA0000}"/>
    <cellStyle name="Normal 4 6 4 2 3 2 3 2 2" xfId="59913" xr:uid="{00000000-0005-0000-0000-000076EA0000}"/>
    <cellStyle name="Normal 4 6 4 2 3 2 3 3" xfId="47144" xr:uid="{00000000-0005-0000-0000-000077EA0000}"/>
    <cellStyle name="Normal 4 6 4 2 3 2 4" xfId="20164" xr:uid="{00000000-0005-0000-0000-000078EA0000}"/>
    <cellStyle name="Normal 4 6 4 2 3 2 4 2" xfId="52035" xr:uid="{00000000-0005-0000-0000-000079EA0000}"/>
    <cellStyle name="Normal 4 6 4 2 3 2 5" xfId="47141" xr:uid="{00000000-0005-0000-0000-00007AEA0000}"/>
    <cellStyle name="Normal 4 6 4 2 3 3" xfId="15266" xr:uid="{00000000-0005-0000-0000-00007BEA0000}"/>
    <cellStyle name="Normal 4 6 4 2 3 3 2" xfId="15267" xr:uid="{00000000-0005-0000-0000-00007CEA0000}"/>
    <cellStyle name="Normal 4 6 4 2 3 3 2 2" xfId="31980" xr:uid="{00000000-0005-0000-0000-00007DEA0000}"/>
    <cellStyle name="Normal 4 6 4 2 3 3 2 2 2" xfId="63851" xr:uid="{00000000-0005-0000-0000-00007EEA0000}"/>
    <cellStyle name="Normal 4 6 4 2 3 3 2 3" xfId="47146" xr:uid="{00000000-0005-0000-0000-00007FEA0000}"/>
    <cellStyle name="Normal 4 6 4 2 3 3 3" xfId="24102" xr:uid="{00000000-0005-0000-0000-000080EA0000}"/>
    <cellStyle name="Normal 4 6 4 2 3 3 3 2" xfId="55973" xr:uid="{00000000-0005-0000-0000-000081EA0000}"/>
    <cellStyle name="Normal 4 6 4 2 3 3 4" xfId="47145" xr:uid="{00000000-0005-0000-0000-000082EA0000}"/>
    <cellStyle name="Normal 4 6 4 2 3 4" xfId="15268" xr:uid="{00000000-0005-0000-0000-000083EA0000}"/>
    <cellStyle name="Normal 4 6 4 2 3 4 2" xfId="28041" xr:uid="{00000000-0005-0000-0000-000084EA0000}"/>
    <cellStyle name="Normal 4 6 4 2 3 4 2 2" xfId="59912" xr:uid="{00000000-0005-0000-0000-000085EA0000}"/>
    <cellStyle name="Normal 4 6 4 2 3 4 3" xfId="47147" xr:uid="{00000000-0005-0000-0000-000086EA0000}"/>
    <cellStyle name="Normal 4 6 4 2 3 5" xfId="20163" xr:uid="{00000000-0005-0000-0000-000087EA0000}"/>
    <cellStyle name="Normal 4 6 4 2 3 5 2" xfId="52034" xr:uid="{00000000-0005-0000-0000-000088EA0000}"/>
    <cellStyle name="Normal 4 6 4 2 3 6" xfId="47140" xr:uid="{00000000-0005-0000-0000-000089EA0000}"/>
    <cellStyle name="Normal 4 6 4 2 4" xfId="15269" xr:uid="{00000000-0005-0000-0000-00008AEA0000}"/>
    <cellStyle name="Normal 4 6 4 2 4 2" xfId="15270" xr:uid="{00000000-0005-0000-0000-00008BEA0000}"/>
    <cellStyle name="Normal 4 6 4 2 4 2 2" xfId="15271" xr:uid="{00000000-0005-0000-0000-00008CEA0000}"/>
    <cellStyle name="Normal 4 6 4 2 4 2 2 2" xfId="31982" xr:uid="{00000000-0005-0000-0000-00008DEA0000}"/>
    <cellStyle name="Normal 4 6 4 2 4 2 2 2 2" xfId="63853" xr:uid="{00000000-0005-0000-0000-00008EEA0000}"/>
    <cellStyle name="Normal 4 6 4 2 4 2 2 3" xfId="47150" xr:uid="{00000000-0005-0000-0000-00008FEA0000}"/>
    <cellStyle name="Normal 4 6 4 2 4 2 3" xfId="24104" xr:uid="{00000000-0005-0000-0000-000090EA0000}"/>
    <cellStyle name="Normal 4 6 4 2 4 2 3 2" xfId="55975" xr:uid="{00000000-0005-0000-0000-000091EA0000}"/>
    <cellStyle name="Normal 4 6 4 2 4 2 4" xfId="47149" xr:uid="{00000000-0005-0000-0000-000092EA0000}"/>
    <cellStyle name="Normal 4 6 4 2 4 3" xfId="15272" xr:uid="{00000000-0005-0000-0000-000093EA0000}"/>
    <cellStyle name="Normal 4 6 4 2 4 3 2" xfId="28043" xr:uid="{00000000-0005-0000-0000-000094EA0000}"/>
    <cellStyle name="Normal 4 6 4 2 4 3 2 2" xfId="59914" xr:uid="{00000000-0005-0000-0000-000095EA0000}"/>
    <cellStyle name="Normal 4 6 4 2 4 3 3" xfId="47151" xr:uid="{00000000-0005-0000-0000-000096EA0000}"/>
    <cellStyle name="Normal 4 6 4 2 4 4" xfId="20165" xr:uid="{00000000-0005-0000-0000-000097EA0000}"/>
    <cellStyle name="Normal 4 6 4 2 4 4 2" xfId="52036" xr:uid="{00000000-0005-0000-0000-000098EA0000}"/>
    <cellStyle name="Normal 4 6 4 2 4 5" xfId="47148" xr:uid="{00000000-0005-0000-0000-000099EA0000}"/>
    <cellStyle name="Normal 4 6 4 2 5" xfId="15273" xr:uid="{00000000-0005-0000-0000-00009AEA0000}"/>
    <cellStyle name="Normal 4 6 4 2 5 2" xfId="15274" xr:uid="{00000000-0005-0000-0000-00009BEA0000}"/>
    <cellStyle name="Normal 4 6 4 2 5 2 2" xfId="31975" xr:uid="{00000000-0005-0000-0000-00009CEA0000}"/>
    <cellStyle name="Normal 4 6 4 2 5 2 2 2" xfId="63846" xr:uid="{00000000-0005-0000-0000-00009DEA0000}"/>
    <cellStyle name="Normal 4 6 4 2 5 2 3" xfId="47153" xr:uid="{00000000-0005-0000-0000-00009EEA0000}"/>
    <cellStyle name="Normal 4 6 4 2 5 3" xfId="24097" xr:uid="{00000000-0005-0000-0000-00009FEA0000}"/>
    <cellStyle name="Normal 4 6 4 2 5 3 2" xfId="55968" xr:uid="{00000000-0005-0000-0000-0000A0EA0000}"/>
    <cellStyle name="Normal 4 6 4 2 5 4" xfId="47152" xr:uid="{00000000-0005-0000-0000-0000A1EA0000}"/>
    <cellStyle name="Normal 4 6 4 2 6" xfId="15275" xr:uid="{00000000-0005-0000-0000-0000A2EA0000}"/>
    <cellStyle name="Normal 4 6 4 2 6 2" xfId="28036" xr:uid="{00000000-0005-0000-0000-0000A3EA0000}"/>
    <cellStyle name="Normal 4 6 4 2 6 2 2" xfId="59907" xr:uid="{00000000-0005-0000-0000-0000A4EA0000}"/>
    <cellStyle name="Normal 4 6 4 2 6 3" xfId="47154" xr:uid="{00000000-0005-0000-0000-0000A5EA0000}"/>
    <cellStyle name="Normal 4 6 4 2 7" xfId="20158" xr:uid="{00000000-0005-0000-0000-0000A6EA0000}"/>
    <cellStyle name="Normal 4 6 4 2 7 2" xfId="52029" xr:uid="{00000000-0005-0000-0000-0000A7EA0000}"/>
    <cellStyle name="Normal 4 6 4 2 8" xfId="47123" xr:uid="{00000000-0005-0000-0000-0000A8EA0000}"/>
    <cellStyle name="Normal 4 6 4 3" xfId="15276" xr:uid="{00000000-0005-0000-0000-0000A9EA0000}"/>
    <cellStyle name="Normal 4 6 4 3 2" xfId="15277" xr:uid="{00000000-0005-0000-0000-0000AAEA0000}"/>
    <cellStyle name="Normal 4 6 4 3 2 2" xfId="15278" xr:uid="{00000000-0005-0000-0000-0000ABEA0000}"/>
    <cellStyle name="Normal 4 6 4 3 2 2 2" xfId="15279" xr:uid="{00000000-0005-0000-0000-0000ACEA0000}"/>
    <cellStyle name="Normal 4 6 4 3 2 2 2 2" xfId="15280" xr:uid="{00000000-0005-0000-0000-0000ADEA0000}"/>
    <cellStyle name="Normal 4 6 4 3 2 2 2 2 2" xfId="31985" xr:uid="{00000000-0005-0000-0000-0000AEEA0000}"/>
    <cellStyle name="Normal 4 6 4 3 2 2 2 2 2 2" xfId="63856" xr:uid="{00000000-0005-0000-0000-0000AFEA0000}"/>
    <cellStyle name="Normal 4 6 4 3 2 2 2 2 3" xfId="47159" xr:uid="{00000000-0005-0000-0000-0000B0EA0000}"/>
    <cellStyle name="Normal 4 6 4 3 2 2 2 3" xfId="24107" xr:uid="{00000000-0005-0000-0000-0000B1EA0000}"/>
    <cellStyle name="Normal 4 6 4 3 2 2 2 3 2" xfId="55978" xr:uid="{00000000-0005-0000-0000-0000B2EA0000}"/>
    <cellStyle name="Normal 4 6 4 3 2 2 2 4" xfId="47158" xr:uid="{00000000-0005-0000-0000-0000B3EA0000}"/>
    <cellStyle name="Normal 4 6 4 3 2 2 3" xfId="15281" xr:uid="{00000000-0005-0000-0000-0000B4EA0000}"/>
    <cellStyle name="Normal 4 6 4 3 2 2 3 2" xfId="28046" xr:uid="{00000000-0005-0000-0000-0000B5EA0000}"/>
    <cellStyle name="Normal 4 6 4 3 2 2 3 2 2" xfId="59917" xr:uid="{00000000-0005-0000-0000-0000B6EA0000}"/>
    <cellStyle name="Normal 4 6 4 3 2 2 3 3" xfId="47160" xr:uid="{00000000-0005-0000-0000-0000B7EA0000}"/>
    <cellStyle name="Normal 4 6 4 3 2 2 4" xfId="20168" xr:uid="{00000000-0005-0000-0000-0000B8EA0000}"/>
    <cellStyle name="Normal 4 6 4 3 2 2 4 2" xfId="52039" xr:uid="{00000000-0005-0000-0000-0000B9EA0000}"/>
    <cellStyle name="Normal 4 6 4 3 2 2 5" xfId="47157" xr:uid="{00000000-0005-0000-0000-0000BAEA0000}"/>
    <cellStyle name="Normal 4 6 4 3 2 3" xfId="15282" xr:uid="{00000000-0005-0000-0000-0000BBEA0000}"/>
    <cellStyle name="Normal 4 6 4 3 2 3 2" xfId="15283" xr:uid="{00000000-0005-0000-0000-0000BCEA0000}"/>
    <cellStyle name="Normal 4 6 4 3 2 3 2 2" xfId="31984" xr:uid="{00000000-0005-0000-0000-0000BDEA0000}"/>
    <cellStyle name="Normal 4 6 4 3 2 3 2 2 2" xfId="63855" xr:uid="{00000000-0005-0000-0000-0000BEEA0000}"/>
    <cellStyle name="Normal 4 6 4 3 2 3 2 3" xfId="47162" xr:uid="{00000000-0005-0000-0000-0000BFEA0000}"/>
    <cellStyle name="Normal 4 6 4 3 2 3 3" xfId="24106" xr:uid="{00000000-0005-0000-0000-0000C0EA0000}"/>
    <cellStyle name="Normal 4 6 4 3 2 3 3 2" xfId="55977" xr:uid="{00000000-0005-0000-0000-0000C1EA0000}"/>
    <cellStyle name="Normal 4 6 4 3 2 3 4" xfId="47161" xr:uid="{00000000-0005-0000-0000-0000C2EA0000}"/>
    <cellStyle name="Normal 4 6 4 3 2 4" xfId="15284" xr:uid="{00000000-0005-0000-0000-0000C3EA0000}"/>
    <cellStyle name="Normal 4 6 4 3 2 4 2" xfId="28045" xr:uid="{00000000-0005-0000-0000-0000C4EA0000}"/>
    <cellStyle name="Normal 4 6 4 3 2 4 2 2" xfId="59916" xr:uid="{00000000-0005-0000-0000-0000C5EA0000}"/>
    <cellStyle name="Normal 4 6 4 3 2 4 3" xfId="47163" xr:uid="{00000000-0005-0000-0000-0000C6EA0000}"/>
    <cellStyle name="Normal 4 6 4 3 2 5" xfId="20167" xr:uid="{00000000-0005-0000-0000-0000C7EA0000}"/>
    <cellStyle name="Normal 4 6 4 3 2 5 2" xfId="52038" xr:uid="{00000000-0005-0000-0000-0000C8EA0000}"/>
    <cellStyle name="Normal 4 6 4 3 2 6" xfId="47156" xr:uid="{00000000-0005-0000-0000-0000C9EA0000}"/>
    <cellStyle name="Normal 4 6 4 3 3" xfId="15285" xr:uid="{00000000-0005-0000-0000-0000CAEA0000}"/>
    <cellStyle name="Normal 4 6 4 3 3 2" xfId="15286" xr:uid="{00000000-0005-0000-0000-0000CBEA0000}"/>
    <cellStyle name="Normal 4 6 4 3 3 2 2" xfId="15287" xr:uid="{00000000-0005-0000-0000-0000CCEA0000}"/>
    <cellStyle name="Normal 4 6 4 3 3 2 2 2" xfId="31986" xr:uid="{00000000-0005-0000-0000-0000CDEA0000}"/>
    <cellStyle name="Normal 4 6 4 3 3 2 2 2 2" xfId="63857" xr:uid="{00000000-0005-0000-0000-0000CEEA0000}"/>
    <cellStyle name="Normal 4 6 4 3 3 2 2 3" xfId="47166" xr:uid="{00000000-0005-0000-0000-0000CFEA0000}"/>
    <cellStyle name="Normal 4 6 4 3 3 2 3" xfId="24108" xr:uid="{00000000-0005-0000-0000-0000D0EA0000}"/>
    <cellStyle name="Normal 4 6 4 3 3 2 3 2" xfId="55979" xr:uid="{00000000-0005-0000-0000-0000D1EA0000}"/>
    <cellStyle name="Normal 4 6 4 3 3 2 4" xfId="47165" xr:uid="{00000000-0005-0000-0000-0000D2EA0000}"/>
    <cellStyle name="Normal 4 6 4 3 3 3" xfId="15288" xr:uid="{00000000-0005-0000-0000-0000D3EA0000}"/>
    <cellStyle name="Normal 4 6 4 3 3 3 2" xfId="28047" xr:uid="{00000000-0005-0000-0000-0000D4EA0000}"/>
    <cellStyle name="Normal 4 6 4 3 3 3 2 2" xfId="59918" xr:uid="{00000000-0005-0000-0000-0000D5EA0000}"/>
    <cellStyle name="Normal 4 6 4 3 3 3 3" xfId="47167" xr:uid="{00000000-0005-0000-0000-0000D6EA0000}"/>
    <cellStyle name="Normal 4 6 4 3 3 4" xfId="20169" xr:uid="{00000000-0005-0000-0000-0000D7EA0000}"/>
    <cellStyle name="Normal 4 6 4 3 3 4 2" xfId="52040" xr:uid="{00000000-0005-0000-0000-0000D8EA0000}"/>
    <cellStyle name="Normal 4 6 4 3 3 5" xfId="47164" xr:uid="{00000000-0005-0000-0000-0000D9EA0000}"/>
    <cellStyle name="Normal 4 6 4 3 4" xfId="15289" xr:uid="{00000000-0005-0000-0000-0000DAEA0000}"/>
    <cellStyle name="Normal 4 6 4 3 4 2" xfId="15290" xr:uid="{00000000-0005-0000-0000-0000DBEA0000}"/>
    <cellStyle name="Normal 4 6 4 3 4 2 2" xfId="31983" xr:uid="{00000000-0005-0000-0000-0000DCEA0000}"/>
    <cellStyle name="Normal 4 6 4 3 4 2 2 2" xfId="63854" xr:uid="{00000000-0005-0000-0000-0000DDEA0000}"/>
    <cellStyle name="Normal 4 6 4 3 4 2 3" xfId="47169" xr:uid="{00000000-0005-0000-0000-0000DEEA0000}"/>
    <cellStyle name="Normal 4 6 4 3 4 3" xfId="24105" xr:uid="{00000000-0005-0000-0000-0000DFEA0000}"/>
    <cellStyle name="Normal 4 6 4 3 4 3 2" xfId="55976" xr:uid="{00000000-0005-0000-0000-0000E0EA0000}"/>
    <cellStyle name="Normal 4 6 4 3 4 4" xfId="47168" xr:uid="{00000000-0005-0000-0000-0000E1EA0000}"/>
    <cellStyle name="Normal 4 6 4 3 5" xfId="15291" xr:uid="{00000000-0005-0000-0000-0000E2EA0000}"/>
    <cellStyle name="Normal 4 6 4 3 5 2" xfId="28044" xr:uid="{00000000-0005-0000-0000-0000E3EA0000}"/>
    <cellStyle name="Normal 4 6 4 3 5 2 2" xfId="59915" xr:uid="{00000000-0005-0000-0000-0000E4EA0000}"/>
    <cellStyle name="Normal 4 6 4 3 5 3" xfId="47170" xr:uid="{00000000-0005-0000-0000-0000E5EA0000}"/>
    <cellStyle name="Normal 4 6 4 3 6" xfId="20166" xr:uid="{00000000-0005-0000-0000-0000E6EA0000}"/>
    <cellStyle name="Normal 4 6 4 3 6 2" xfId="52037" xr:uid="{00000000-0005-0000-0000-0000E7EA0000}"/>
    <cellStyle name="Normal 4 6 4 3 7" xfId="47155" xr:uid="{00000000-0005-0000-0000-0000E8EA0000}"/>
    <cellStyle name="Normal 4 6 4 4" xfId="15292" xr:uid="{00000000-0005-0000-0000-0000E9EA0000}"/>
    <cellStyle name="Normal 4 6 4 4 2" xfId="15293" xr:uid="{00000000-0005-0000-0000-0000EAEA0000}"/>
    <cellStyle name="Normal 4 6 4 4 2 2" xfId="15294" xr:uid="{00000000-0005-0000-0000-0000EBEA0000}"/>
    <cellStyle name="Normal 4 6 4 4 2 2 2" xfId="15295" xr:uid="{00000000-0005-0000-0000-0000ECEA0000}"/>
    <cellStyle name="Normal 4 6 4 4 2 2 2 2" xfId="31988" xr:uid="{00000000-0005-0000-0000-0000EDEA0000}"/>
    <cellStyle name="Normal 4 6 4 4 2 2 2 2 2" xfId="63859" xr:uid="{00000000-0005-0000-0000-0000EEEA0000}"/>
    <cellStyle name="Normal 4 6 4 4 2 2 2 3" xfId="47174" xr:uid="{00000000-0005-0000-0000-0000EFEA0000}"/>
    <cellStyle name="Normal 4 6 4 4 2 2 3" xfId="24110" xr:uid="{00000000-0005-0000-0000-0000F0EA0000}"/>
    <cellStyle name="Normal 4 6 4 4 2 2 3 2" xfId="55981" xr:uid="{00000000-0005-0000-0000-0000F1EA0000}"/>
    <cellStyle name="Normal 4 6 4 4 2 2 4" xfId="47173" xr:uid="{00000000-0005-0000-0000-0000F2EA0000}"/>
    <cellStyle name="Normal 4 6 4 4 2 3" xfId="15296" xr:uid="{00000000-0005-0000-0000-0000F3EA0000}"/>
    <cellStyle name="Normal 4 6 4 4 2 3 2" xfId="28049" xr:uid="{00000000-0005-0000-0000-0000F4EA0000}"/>
    <cellStyle name="Normal 4 6 4 4 2 3 2 2" xfId="59920" xr:uid="{00000000-0005-0000-0000-0000F5EA0000}"/>
    <cellStyle name="Normal 4 6 4 4 2 3 3" xfId="47175" xr:uid="{00000000-0005-0000-0000-0000F6EA0000}"/>
    <cellStyle name="Normal 4 6 4 4 2 4" xfId="20171" xr:uid="{00000000-0005-0000-0000-0000F7EA0000}"/>
    <cellStyle name="Normal 4 6 4 4 2 4 2" xfId="52042" xr:uid="{00000000-0005-0000-0000-0000F8EA0000}"/>
    <cellStyle name="Normal 4 6 4 4 2 5" xfId="47172" xr:uid="{00000000-0005-0000-0000-0000F9EA0000}"/>
    <cellStyle name="Normal 4 6 4 4 3" xfId="15297" xr:uid="{00000000-0005-0000-0000-0000FAEA0000}"/>
    <cellStyle name="Normal 4 6 4 4 3 2" xfId="15298" xr:uid="{00000000-0005-0000-0000-0000FBEA0000}"/>
    <cellStyle name="Normal 4 6 4 4 3 2 2" xfId="31987" xr:uid="{00000000-0005-0000-0000-0000FCEA0000}"/>
    <cellStyle name="Normal 4 6 4 4 3 2 2 2" xfId="63858" xr:uid="{00000000-0005-0000-0000-0000FDEA0000}"/>
    <cellStyle name="Normal 4 6 4 4 3 2 3" xfId="47177" xr:uid="{00000000-0005-0000-0000-0000FEEA0000}"/>
    <cellStyle name="Normal 4 6 4 4 3 3" xfId="24109" xr:uid="{00000000-0005-0000-0000-0000FFEA0000}"/>
    <cellStyle name="Normal 4 6 4 4 3 3 2" xfId="55980" xr:uid="{00000000-0005-0000-0000-000000EB0000}"/>
    <cellStyle name="Normal 4 6 4 4 3 4" xfId="47176" xr:uid="{00000000-0005-0000-0000-000001EB0000}"/>
    <cellStyle name="Normal 4 6 4 4 4" xfId="15299" xr:uid="{00000000-0005-0000-0000-000002EB0000}"/>
    <cellStyle name="Normal 4 6 4 4 4 2" xfId="28048" xr:uid="{00000000-0005-0000-0000-000003EB0000}"/>
    <cellStyle name="Normal 4 6 4 4 4 2 2" xfId="59919" xr:uid="{00000000-0005-0000-0000-000004EB0000}"/>
    <cellStyle name="Normal 4 6 4 4 4 3" xfId="47178" xr:uid="{00000000-0005-0000-0000-000005EB0000}"/>
    <cellStyle name="Normal 4 6 4 4 5" xfId="20170" xr:uid="{00000000-0005-0000-0000-000006EB0000}"/>
    <cellStyle name="Normal 4 6 4 4 5 2" xfId="52041" xr:uid="{00000000-0005-0000-0000-000007EB0000}"/>
    <cellStyle name="Normal 4 6 4 4 6" xfId="47171" xr:uid="{00000000-0005-0000-0000-000008EB0000}"/>
    <cellStyle name="Normal 4 6 4 5" xfId="15300" xr:uid="{00000000-0005-0000-0000-000009EB0000}"/>
    <cellStyle name="Normal 4 6 4 5 2" xfId="15301" xr:uid="{00000000-0005-0000-0000-00000AEB0000}"/>
    <cellStyle name="Normal 4 6 4 5 2 2" xfId="15302" xr:uid="{00000000-0005-0000-0000-00000BEB0000}"/>
    <cellStyle name="Normal 4 6 4 5 2 2 2" xfId="31989" xr:uid="{00000000-0005-0000-0000-00000CEB0000}"/>
    <cellStyle name="Normal 4 6 4 5 2 2 2 2" xfId="63860" xr:uid="{00000000-0005-0000-0000-00000DEB0000}"/>
    <cellStyle name="Normal 4 6 4 5 2 2 3" xfId="47181" xr:uid="{00000000-0005-0000-0000-00000EEB0000}"/>
    <cellStyle name="Normal 4 6 4 5 2 3" xfId="24111" xr:uid="{00000000-0005-0000-0000-00000FEB0000}"/>
    <cellStyle name="Normal 4 6 4 5 2 3 2" xfId="55982" xr:uid="{00000000-0005-0000-0000-000010EB0000}"/>
    <cellStyle name="Normal 4 6 4 5 2 4" xfId="47180" xr:uid="{00000000-0005-0000-0000-000011EB0000}"/>
    <cellStyle name="Normal 4 6 4 5 3" xfId="15303" xr:uid="{00000000-0005-0000-0000-000012EB0000}"/>
    <cellStyle name="Normal 4 6 4 5 3 2" xfId="28050" xr:uid="{00000000-0005-0000-0000-000013EB0000}"/>
    <cellStyle name="Normal 4 6 4 5 3 2 2" xfId="59921" xr:uid="{00000000-0005-0000-0000-000014EB0000}"/>
    <cellStyle name="Normal 4 6 4 5 3 3" xfId="47182" xr:uid="{00000000-0005-0000-0000-000015EB0000}"/>
    <cellStyle name="Normal 4 6 4 5 4" xfId="20172" xr:uid="{00000000-0005-0000-0000-000016EB0000}"/>
    <cellStyle name="Normal 4 6 4 5 4 2" xfId="52043" xr:uid="{00000000-0005-0000-0000-000017EB0000}"/>
    <cellStyle name="Normal 4 6 4 5 5" xfId="47179" xr:uid="{00000000-0005-0000-0000-000018EB0000}"/>
    <cellStyle name="Normal 4 6 4 6" xfId="15304" xr:uid="{00000000-0005-0000-0000-000019EB0000}"/>
    <cellStyle name="Normal 4 6 4 6 2" xfId="15305" xr:uid="{00000000-0005-0000-0000-00001AEB0000}"/>
    <cellStyle name="Normal 4 6 4 6 2 2" xfId="28400" xr:uid="{00000000-0005-0000-0000-00001BEB0000}"/>
    <cellStyle name="Normal 4 6 4 6 2 2 2" xfId="60271" xr:uid="{00000000-0005-0000-0000-00001CEB0000}"/>
    <cellStyle name="Normal 4 6 4 6 2 3" xfId="47184" xr:uid="{00000000-0005-0000-0000-00001DEB0000}"/>
    <cellStyle name="Normal 4 6 4 6 3" xfId="20522" xr:uid="{00000000-0005-0000-0000-00001EEB0000}"/>
    <cellStyle name="Normal 4 6 4 6 3 2" xfId="52393" xr:uid="{00000000-0005-0000-0000-00001FEB0000}"/>
    <cellStyle name="Normal 4 6 4 6 4" xfId="47183" xr:uid="{00000000-0005-0000-0000-000020EB0000}"/>
    <cellStyle name="Normal 4 6 4 7" xfId="15306" xr:uid="{00000000-0005-0000-0000-000021EB0000}"/>
    <cellStyle name="Normal 4 6 4 7 2" xfId="24461" xr:uid="{00000000-0005-0000-0000-000022EB0000}"/>
    <cellStyle name="Normal 4 6 4 7 2 2" xfId="56332" xr:uid="{00000000-0005-0000-0000-000023EB0000}"/>
    <cellStyle name="Normal 4 6 4 7 3" xfId="47185" xr:uid="{00000000-0005-0000-0000-000024EB0000}"/>
    <cellStyle name="Normal 4 6 4 8" xfId="16583" xr:uid="{00000000-0005-0000-0000-000025EB0000}"/>
    <cellStyle name="Normal 4 6 4 8 2" xfId="48454" xr:uid="{00000000-0005-0000-0000-000026EB0000}"/>
    <cellStyle name="Normal 4 6 4 9" xfId="47122" xr:uid="{00000000-0005-0000-0000-000027EB0000}"/>
    <cellStyle name="Normal 4 6 5" xfId="15307" xr:uid="{00000000-0005-0000-0000-000028EB0000}"/>
    <cellStyle name="Normal 4 6 5 2" xfId="15308" xr:uid="{00000000-0005-0000-0000-000029EB0000}"/>
    <cellStyle name="Normal 4 6 5 2 2" xfId="15309" xr:uid="{00000000-0005-0000-0000-00002AEB0000}"/>
    <cellStyle name="Normal 4 6 5 2 2 2" xfId="15310" xr:uid="{00000000-0005-0000-0000-00002BEB0000}"/>
    <cellStyle name="Normal 4 6 5 2 2 2 2" xfId="15311" xr:uid="{00000000-0005-0000-0000-00002CEB0000}"/>
    <cellStyle name="Normal 4 6 5 2 2 2 2 2" xfId="15312" xr:uid="{00000000-0005-0000-0000-00002DEB0000}"/>
    <cellStyle name="Normal 4 6 5 2 2 2 2 2 2" xfId="31993" xr:uid="{00000000-0005-0000-0000-00002EEB0000}"/>
    <cellStyle name="Normal 4 6 5 2 2 2 2 2 2 2" xfId="63864" xr:uid="{00000000-0005-0000-0000-00002FEB0000}"/>
    <cellStyle name="Normal 4 6 5 2 2 2 2 2 3" xfId="47191" xr:uid="{00000000-0005-0000-0000-000030EB0000}"/>
    <cellStyle name="Normal 4 6 5 2 2 2 2 3" xfId="24115" xr:uid="{00000000-0005-0000-0000-000031EB0000}"/>
    <cellStyle name="Normal 4 6 5 2 2 2 2 3 2" xfId="55986" xr:uid="{00000000-0005-0000-0000-000032EB0000}"/>
    <cellStyle name="Normal 4 6 5 2 2 2 2 4" xfId="47190" xr:uid="{00000000-0005-0000-0000-000033EB0000}"/>
    <cellStyle name="Normal 4 6 5 2 2 2 3" xfId="15313" xr:uid="{00000000-0005-0000-0000-000034EB0000}"/>
    <cellStyle name="Normal 4 6 5 2 2 2 3 2" xfId="28054" xr:uid="{00000000-0005-0000-0000-000035EB0000}"/>
    <cellStyle name="Normal 4 6 5 2 2 2 3 2 2" xfId="59925" xr:uid="{00000000-0005-0000-0000-000036EB0000}"/>
    <cellStyle name="Normal 4 6 5 2 2 2 3 3" xfId="47192" xr:uid="{00000000-0005-0000-0000-000037EB0000}"/>
    <cellStyle name="Normal 4 6 5 2 2 2 4" xfId="20176" xr:uid="{00000000-0005-0000-0000-000038EB0000}"/>
    <cellStyle name="Normal 4 6 5 2 2 2 4 2" xfId="52047" xr:uid="{00000000-0005-0000-0000-000039EB0000}"/>
    <cellStyle name="Normal 4 6 5 2 2 2 5" xfId="47189" xr:uid="{00000000-0005-0000-0000-00003AEB0000}"/>
    <cellStyle name="Normal 4 6 5 2 2 3" xfId="15314" xr:uid="{00000000-0005-0000-0000-00003BEB0000}"/>
    <cellStyle name="Normal 4 6 5 2 2 3 2" xfId="15315" xr:uid="{00000000-0005-0000-0000-00003CEB0000}"/>
    <cellStyle name="Normal 4 6 5 2 2 3 2 2" xfId="31992" xr:uid="{00000000-0005-0000-0000-00003DEB0000}"/>
    <cellStyle name="Normal 4 6 5 2 2 3 2 2 2" xfId="63863" xr:uid="{00000000-0005-0000-0000-00003EEB0000}"/>
    <cellStyle name="Normal 4 6 5 2 2 3 2 3" xfId="47194" xr:uid="{00000000-0005-0000-0000-00003FEB0000}"/>
    <cellStyle name="Normal 4 6 5 2 2 3 3" xfId="24114" xr:uid="{00000000-0005-0000-0000-000040EB0000}"/>
    <cellStyle name="Normal 4 6 5 2 2 3 3 2" xfId="55985" xr:uid="{00000000-0005-0000-0000-000041EB0000}"/>
    <cellStyle name="Normal 4 6 5 2 2 3 4" xfId="47193" xr:uid="{00000000-0005-0000-0000-000042EB0000}"/>
    <cellStyle name="Normal 4 6 5 2 2 4" xfId="15316" xr:uid="{00000000-0005-0000-0000-000043EB0000}"/>
    <cellStyle name="Normal 4 6 5 2 2 4 2" xfId="28053" xr:uid="{00000000-0005-0000-0000-000044EB0000}"/>
    <cellStyle name="Normal 4 6 5 2 2 4 2 2" xfId="59924" xr:uid="{00000000-0005-0000-0000-000045EB0000}"/>
    <cellStyle name="Normal 4 6 5 2 2 4 3" xfId="47195" xr:uid="{00000000-0005-0000-0000-000046EB0000}"/>
    <cellStyle name="Normal 4 6 5 2 2 5" xfId="20175" xr:uid="{00000000-0005-0000-0000-000047EB0000}"/>
    <cellStyle name="Normal 4 6 5 2 2 5 2" xfId="52046" xr:uid="{00000000-0005-0000-0000-000048EB0000}"/>
    <cellStyle name="Normal 4 6 5 2 2 6" xfId="47188" xr:uid="{00000000-0005-0000-0000-000049EB0000}"/>
    <cellStyle name="Normal 4 6 5 2 3" xfId="15317" xr:uid="{00000000-0005-0000-0000-00004AEB0000}"/>
    <cellStyle name="Normal 4 6 5 2 3 2" xfId="15318" xr:uid="{00000000-0005-0000-0000-00004BEB0000}"/>
    <cellStyle name="Normal 4 6 5 2 3 2 2" xfId="15319" xr:uid="{00000000-0005-0000-0000-00004CEB0000}"/>
    <cellStyle name="Normal 4 6 5 2 3 2 2 2" xfId="31994" xr:uid="{00000000-0005-0000-0000-00004DEB0000}"/>
    <cellStyle name="Normal 4 6 5 2 3 2 2 2 2" xfId="63865" xr:uid="{00000000-0005-0000-0000-00004EEB0000}"/>
    <cellStyle name="Normal 4 6 5 2 3 2 2 3" xfId="47198" xr:uid="{00000000-0005-0000-0000-00004FEB0000}"/>
    <cellStyle name="Normal 4 6 5 2 3 2 3" xfId="24116" xr:uid="{00000000-0005-0000-0000-000050EB0000}"/>
    <cellStyle name="Normal 4 6 5 2 3 2 3 2" xfId="55987" xr:uid="{00000000-0005-0000-0000-000051EB0000}"/>
    <cellStyle name="Normal 4 6 5 2 3 2 4" xfId="47197" xr:uid="{00000000-0005-0000-0000-000052EB0000}"/>
    <cellStyle name="Normal 4 6 5 2 3 3" xfId="15320" xr:uid="{00000000-0005-0000-0000-000053EB0000}"/>
    <cellStyle name="Normal 4 6 5 2 3 3 2" xfId="28055" xr:uid="{00000000-0005-0000-0000-000054EB0000}"/>
    <cellStyle name="Normal 4 6 5 2 3 3 2 2" xfId="59926" xr:uid="{00000000-0005-0000-0000-000055EB0000}"/>
    <cellStyle name="Normal 4 6 5 2 3 3 3" xfId="47199" xr:uid="{00000000-0005-0000-0000-000056EB0000}"/>
    <cellStyle name="Normal 4 6 5 2 3 4" xfId="20177" xr:uid="{00000000-0005-0000-0000-000057EB0000}"/>
    <cellStyle name="Normal 4 6 5 2 3 4 2" xfId="52048" xr:uid="{00000000-0005-0000-0000-000058EB0000}"/>
    <cellStyle name="Normal 4 6 5 2 3 5" xfId="47196" xr:uid="{00000000-0005-0000-0000-000059EB0000}"/>
    <cellStyle name="Normal 4 6 5 2 4" xfId="15321" xr:uid="{00000000-0005-0000-0000-00005AEB0000}"/>
    <cellStyle name="Normal 4 6 5 2 4 2" xfId="15322" xr:uid="{00000000-0005-0000-0000-00005BEB0000}"/>
    <cellStyle name="Normal 4 6 5 2 4 2 2" xfId="31991" xr:uid="{00000000-0005-0000-0000-00005CEB0000}"/>
    <cellStyle name="Normal 4 6 5 2 4 2 2 2" xfId="63862" xr:uid="{00000000-0005-0000-0000-00005DEB0000}"/>
    <cellStyle name="Normal 4 6 5 2 4 2 3" xfId="47201" xr:uid="{00000000-0005-0000-0000-00005EEB0000}"/>
    <cellStyle name="Normal 4 6 5 2 4 3" xfId="24113" xr:uid="{00000000-0005-0000-0000-00005FEB0000}"/>
    <cellStyle name="Normal 4 6 5 2 4 3 2" xfId="55984" xr:uid="{00000000-0005-0000-0000-000060EB0000}"/>
    <cellStyle name="Normal 4 6 5 2 4 4" xfId="47200" xr:uid="{00000000-0005-0000-0000-000061EB0000}"/>
    <cellStyle name="Normal 4 6 5 2 5" xfId="15323" xr:uid="{00000000-0005-0000-0000-000062EB0000}"/>
    <cellStyle name="Normal 4 6 5 2 5 2" xfId="28052" xr:uid="{00000000-0005-0000-0000-000063EB0000}"/>
    <cellStyle name="Normal 4 6 5 2 5 2 2" xfId="59923" xr:uid="{00000000-0005-0000-0000-000064EB0000}"/>
    <cellStyle name="Normal 4 6 5 2 5 3" xfId="47202" xr:uid="{00000000-0005-0000-0000-000065EB0000}"/>
    <cellStyle name="Normal 4 6 5 2 6" xfId="20174" xr:uid="{00000000-0005-0000-0000-000066EB0000}"/>
    <cellStyle name="Normal 4 6 5 2 6 2" xfId="52045" xr:uid="{00000000-0005-0000-0000-000067EB0000}"/>
    <cellStyle name="Normal 4 6 5 2 7" xfId="47187" xr:uid="{00000000-0005-0000-0000-000068EB0000}"/>
    <cellStyle name="Normal 4 6 5 3" xfId="15324" xr:uid="{00000000-0005-0000-0000-000069EB0000}"/>
    <cellStyle name="Normal 4 6 5 3 2" xfId="15325" xr:uid="{00000000-0005-0000-0000-00006AEB0000}"/>
    <cellStyle name="Normal 4 6 5 3 2 2" xfId="15326" xr:uid="{00000000-0005-0000-0000-00006BEB0000}"/>
    <cellStyle name="Normal 4 6 5 3 2 2 2" xfId="15327" xr:uid="{00000000-0005-0000-0000-00006CEB0000}"/>
    <cellStyle name="Normal 4 6 5 3 2 2 2 2" xfId="31996" xr:uid="{00000000-0005-0000-0000-00006DEB0000}"/>
    <cellStyle name="Normal 4 6 5 3 2 2 2 2 2" xfId="63867" xr:uid="{00000000-0005-0000-0000-00006EEB0000}"/>
    <cellStyle name="Normal 4 6 5 3 2 2 2 3" xfId="47206" xr:uid="{00000000-0005-0000-0000-00006FEB0000}"/>
    <cellStyle name="Normal 4 6 5 3 2 2 3" xfId="24118" xr:uid="{00000000-0005-0000-0000-000070EB0000}"/>
    <cellStyle name="Normal 4 6 5 3 2 2 3 2" xfId="55989" xr:uid="{00000000-0005-0000-0000-000071EB0000}"/>
    <cellStyle name="Normal 4 6 5 3 2 2 4" xfId="47205" xr:uid="{00000000-0005-0000-0000-000072EB0000}"/>
    <cellStyle name="Normal 4 6 5 3 2 3" xfId="15328" xr:uid="{00000000-0005-0000-0000-000073EB0000}"/>
    <cellStyle name="Normal 4 6 5 3 2 3 2" xfId="28057" xr:uid="{00000000-0005-0000-0000-000074EB0000}"/>
    <cellStyle name="Normal 4 6 5 3 2 3 2 2" xfId="59928" xr:uid="{00000000-0005-0000-0000-000075EB0000}"/>
    <cellStyle name="Normal 4 6 5 3 2 3 3" xfId="47207" xr:uid="{00000000-0005-0000-0000-000076EB0000}"/>
    <cellStyle name="Normal 4 6 5 3 2 4" xfId="20179" xr:uid="{00000000-0005-0000-0000-000077EB0000}"/>
    <cellStyle name="Normal 4 6 5 3 2 4 2" xfId="52050" xr:uid="{00000000-0005-0000-0000-000078EB0000}"/>
    <cellStyle name="Normal 4 6 5 3 2 5" xfId="47204" xr:uid="{00000000-0005-0000-0000-000079EB0000}"/>
    <cellStyle name="Normal 4 6 5 3 3" xfId="15329" xr:uid="{00000000-0005-0000-0000-00007AEB0000}"/>
    <cellStyle name="Normal 4 6 5 3 3 2" xfId="15330" xr:uid="{00000000-0005-0000-0000-00007BEB0000}"/>
    <cellStyle name="Normal 4 6 5 3 3 2 2" xfId="31995" xr:uid="{00000000-0005-0000-0000-00007CEB0000}"/>
    <cellStyle name="Normal 4 6 5 3 3 2 2 2" xfId="63866" xr:uid="{00000000-0005-0000-0000-00007DEB0000}"/>
    <cellStyle name="Normal 4 6 5 3 3 2 3" xfId="47209" xr:uid="{00000000-0005-0000-0000-00007EEB0000}"/>
    <cellStyle name="Normal 4 6 5 3 3 3" xfId="24117" xr:uid="{00000000-0005-0000-0000-00007FEB0000}"/>
    <cellStyle name="Normal 4 6 5 3 3 3 2" xfId="55988" xr:uid="{00000000-0005-0000-0000-000080EB0000}"/>
    <cellStyle name="Normal 4 6 5 3 3 4" xfId="47208" xr:uid="{00000000-0005-0000-0000-000081EB0000}"/>
    <cellStyle name="Normal 4 6 5 3 4" xfId="15331" xr:uid="{00000000-0005-0000-0000-000082EB0000}"/>
    <cellStyle name="Normal 4 6 5 3 4 2" xfId="28056" xr:uid="{00000000-0005-0000-0000-000083EB0000}"/>
    <cellStyle name="Normal 4 6 5 3 4 2 2" xfId="59927" xr:uid="{00000000-0005-0000-0000-000084EB0000}"/>
    <cellStyle name="Normal 4 6 5 3 4 3" xfId="47210" xr:uid="{00000000-0005-0000-0000-000085EB0000}"/>
    <cellStyle name="Normal 4 6 5 3 5" xfId="20178" xr:uid="{00000000-0005-0000-0000-000086EB0000}"/>
    <cellStyle name="Normal 4 6 5 3 5 2" xfId="52049" xr:uid="{00000000-0005-0000-0000-000087EB0000}"/>
    <cellStyle name="Normal 4 6 5 3 6" xfId="47203" xr:uid="{00000000-0005-0000-0000-000088EB0000}"/>
    <cellStyle name="Normal 4 6 5 4" xfId="15332" xr:uid="{00000000-0005-0000-0000-000089EB0000}"/>
    <cellStyle name="Normal 4 6 5 4 2" xfId="15333" xr:uid="{00000000-0005-0000-0000-00008AEB0000}"/>
    <cellStyle name="Normal 4 6 5 4 2 2" xfId="15334" xr:uid="{00000000-0005-0000-0000-00008BEB0000}"/>
    <cellStyle name="Normal 4 6 5 4 2 2 2" xfId="31997" xr:uid="{00000000-0005-0000-0000-00008CEB0000}"/>
    <cellStyle name="Normal 4 6 5 4 2 2 2 2" xfId="63868" xr:uid="{00000000-0005-0000-0000-00008DEB0000}"/>
    <cellStyle name="Normal 4 6 5 4 2 2 3" xfId="47213" xr:uid="{00000000-0005-0000-0000-00008EEB0000}"/>
    <cellStyle name="Normal 4 6 5 4 2 3" xfId="24119" xr:uid="{00000000-0005-0000-0000-00008FEB0000}"/>
    <cellStyle name="Normal 4 6 5 4 2 3 2" xfId="55990" xr:uid="{00000000-0005-0000-0000-000090EB0000}"/>
    <cellStyle name="Normal 4 6 5 4 2 4" xfId="47212" xr:uid="{00000000-0005-0000-0000-000091EB0000}"/>
    <cellStyle name="Normal 4 6 5 4 3" xfId="15335" xr:uid="{00000000-0005-0000-0000-000092EB0000}"/>
    <cellStyle name="Normal 4 6 5 4 3 2" xfId="28058" xr:uid="{00000000-0005-0000-0000-000093EB0000}"/>
    <cellStyle name="Normal 4 6 5 4 3 2 2" xfId="59929" xr:uid="{00000000-0005-0000-0000-000094EB0000}"/>
    <cellStyle name="Normal 4 6 5 4 3 3" xfId="47214" xr:uid="{00000000-0005-0000-0000-000095EB0000}"/>
    <cellStyle name="Normal 4 6 5 4 4" xfId="20180" xr:uid="{00000000-0005-0000-0000-000096EB0000}"/>
    <cellStyle name="Normal 4 6 5 4 4 2" xfId="52051" xr:uid="{00000000-0005-0000-0000-000097EB0000}"/>
    <cellStyle name="Normal 4 6 5 4 5" xfId="47211" xr:uid="{00000000-0005-0000-0000-000098EB0000}"/>
    <cellStyle name="Normal 4 6 5 5" xfId="15336" xr:uid="{00000000-0005-0000-0000-000099EB0000}"/>
    <cellStyle name="Normal 4 6 5 5 2" xfId="15337" xr:uid="{00000000-0005-0000-0000-00009AEB0000}"/>
    <cellStyle name="Normal 4 6 5 5 2 2" xfId="31990" xr:uid="{00000000-0005-0000-0000-00009BEB0000}"/>
    <cellStyle name="Normal 4 6 5 5 2 2 2" xfId="63861" xr:uid="{00000000-0005-0000-0000-00009CEB0000}"/>
    <cellStyle name="Normal 4 6 5 5 2 3" xfId="47216" xr:uid="{00000000-0005-0000-0000-00009DEB0000}"/>
    <cellStyle name="Normal 4 6 5 5 3" xfId="24112" xr:uid="{00000000-0005-0000-0000-00009EEB0000}"/>
    <cellStyle name="Normal 4 6 5 5 3 2" xfId="55983" xr:uid="{00000000-0005-0000-0000-00009FEB0000}"/>
    <cellStyle name="Normal 4 6 5 5 4" xfId="47215" xr:uid="{00000000-0005-0000-0000-0000A0EB0000}"/>
    <cellStyle name="Normal 4 6 5 6" xfId="15338" xr:uid="{00000000-0005-0000-0000-0000A1EB0000}"/>
    <cellStyle name="Normal 4 6 5 6 2" xfId="28051" xr:uid="{00000000-0005-0000-0000-0000A2EB0000}"/>
    <cellStyle name="Normal 4 6 5 6 2 2" xfId="59922" xr:uid="{00000000-0005-0000-0000-0000A3EB0000}"/>
    <cellStyle name="Normal 4 6 5 6 3" xfId="47217" xr:uid="{00000000-0005-0000-0000-0000A4EB0000}"/>
    <cellStyle name="Normal 4 6 5 7" xfId="20173" xr:uid="{00000000-0005-0000-0000-0000A5EB0000}"/>
    <cellStyle name="Normal 4 6 5 7 2" xfId="52044" xr:uid="{00000000-0005-0000-0000-0000A6EB0000}"/>
    <cellStyle name="Normal 4 6 5 8" xfId="47186" xr:uid="{00000000-0005-0000-0000-0000A7EB0000}"/>
    <cellStyle name="Normal 4 6 6" xfId="15339" xr:uid="{00000000-0005-0000-0000-0000A8EB0000}"/>
    <cellStyle name="Normal 4 6 6 2" xfId="15340" xr:uid="{00000000-0005-0000-0000-0000A9EB0000}"/>
    <cellStyle name="Normal 4 6 6 2 2" xfId="15341" xr:uid="{00000000-0005-0000-0000-0000AAEB0000}"/>
    <cellStyle name="Normal 4 6 6 2 2 2" xfId="15342" xr:uid="{00000000-0005-0000-0000-0000ABEB0000}"/>
    <cellStyle name="Normal 4 6 6 2 2 2 2" xfId="15343" xr:uid="{00000000-0005-0000-0000-0000ACEB0000}"/>
    <cellStyle name="Normal 4 6 6 2 2 2 2 2" xfId="32000" xr:uid="{00000000-0005-0000-0000-0000ADEB0000}"/>
    <cellStyle name="Normal 4 6 6 2 2 2 2 2 2" xfId="63871" xr:uid="{00000000-0005-0000-0000-0000AEEB0000}"/>
    <cellStyle name="Normal 4 6 6 2 2 2 2 3" xfId="47222" xr:uid="{00000000-0005-0000-0000-0000AFEB0000}"/>
    <cellStyle name="Normal 4 6 6 2 2 2 3" xfId="24122" xr:uid="{00000000-0005-0000-0000-0000B0EB0000}"/>
    <cellStyle name="Normal 4 6 6 2 2 2 3 2" xfId="55993" xr:uid="{00000000-0005-0000-0000-0000B1EB0000}"/>
    <cellStyle name="Normal 4 6 6 2 2 2 4" xfId="47221" xr:uid="{00000000-0005-0000-0000-0000B2EB0000}"/>
    <cellStyle name="Normal 4 6 6 2 2 3" xfId="15344" xr:uid="{00000000-0005-0000-0000-0000B3EB0000}"/>
    <cellStyle name="Normal 4 6 6 2 2 3 2" xfId="28061" xr:uid="{00000000-0005-0000-0000-0000B4EB0000}"/>
    <cellStyle name="Normal 4 6 6 2 2 3 2 2" xfId="59932" xr:uid="{00000000-0005-0000-0000-0000B5EB0000}"/>
    <cellStyle name="Normal 4 6 6 2 2 3 3" xfId="47223" xr:uid="{00000000-0005-0000-0000-0000B6EB0000}"/>
    <cellStyle name="Normal 4 6 6 2 2 4" xfId="20183" xr:uid="{00000000-0005-0000-0000-0000B7EB0000}"/>
    <cellStyle name="Normal 4 6 6 2 2 4 2" xfId="52054" xr:uid="{00000000-0005-0000-0000-0000B8EB0000}"/>
    <cellStyle name="Normal 4 6 6 2 2 5" xfId="47220" xr:uid="{00000000-0005-0000-0000-0000B9EB0000}"/>
    <cellStyle name="Normal 4 6 6 2 3" xfId="15345" xr:uid="{00000000-0005-0000-0000-0000BAEB0000}"/>
    <cellStyle name="Normal 4 6 6 2 3 2" xfId="15346" xr:uid="{00000000-0005-0000-0000-0000BBEB0000}"/>
    <cellStyle name="Normal 4 6 6 2 3 2 2" xfId="31999" xr:uid="{00000000-0005-0000-0000-0000BCEB0000}"/>
    <cellStyle name="Normal 4 6 6 2 3 2 2 2" xfId="63870" xr:uid="{00000000-0005-0000-0000-0000BDEB0000}"/>
    <cellStyle name="Normal 4 6 6 2 3 2 3" xfId="47225" xr:uid="{00000000-0005-0000-0000-0000BEEB0000}"/>
    <cellStyle name="Normal 4 6 6 2 3 3" xfId="24121" xr:uid="{00000000-0005-0000-0000-0000BFEB0000}"/>
    <cellStyle name="Normal 4 6 6 2 3 3 2" xfId="55992" xr:uid="{00000000-0005-0000-0000-0000C0EB0000}"/>
    <cellStyle name="Normal 4 6 6 2 3 4" xfId="47224" xr:uid="{00000000-0005-0000-0000-0000C1EB0000}"/>
    <cellStyle name="Normal 4 6 6 2 4" xfId="15347" xr:uid="{00000000-0005-0000-0000-0000C2EB0000}"/>
    <cellStyle name="Normal 4 6 6 2 4 2" xfId="28060" xr:uid="{00000000-0005-0000-0000-0000C3EB0000}"/>
    <cellStyle name="Normal 4 6 6 2 4 2 2" xfId="59931" xr:uid="{00000000-0005-0000-0000-0000C4EB0000}"/>
    <cellStyle name="Normal 4 6 6 2 4 3" xfId="47226" xr:uid="{00000000-0005-0000-0000-0000C5EB0000}"/>
    <cellStyle name="Normal 4 6 6 2 5" xfId="20182" xr:uid="{00000000-0005-0000-0000-0000C6EB0000}"/>
    <cellStyle name="Normal 4 6 6 2 5 2" xfId="52053" xr:uid="{00000000-0005-0000-0000-0000C7EB0000}"/>
    <cellStyle name="Normal 4 6 6 2 6" xfId="47219" xr:uid="{00000000-0005-0000-0000-0000C8EB0000}"/>
    <cellStyle name="Normal 4 6 6 3" xfId="15348" xr:uid="{00000000-0005-0000-0000-0000C9EB0000}"/>
    <cellStyle name="Normal 4 6 6 3 2" xfId="15349" xr:uid="{00000000-0005-0000-0000-0000CAEB0000}"/>
    <cellStyle name="Normal 4 6 6 3 2 2" xfId="15350" xr:uid="{00000000-0005-0000-0000-0000CBEB0000}"/>
    <cellStyle name="Normal 4 6 6 3 2 2 2" xfId="32001" xr:uid="{00000000-0005-0000-0000-0000CCEB0000}"/>
    <cellStyle name="Normal 4 6 6 3 2 2 2 2" xfId="63872" xr:uid="{00000000-0005-0000-0000-0000CDEB0000}"/>
    <cellStyle name="Normal 4 6 6 3 2 2 3" xfId="47229" xr:uid="{00000000-0005-0000-0000-0000CEEB0000}"/>
    <cellStyle name="Normal 4 6 6 3 2 3" xfId="24123" xr:uid="{00000000-0005-0000-0000-0000CFEB0000}"/>
    <cellStyle name="Normal 4 6 6 3 2 3 2" xfId="55994" xr:uid="{00000000-0005-0000-0000-0000D0EB0000}"/>
    <cellStyle name="Normal 4 6 6 3 2 4" xfId="47228" xr:uid="{00000000-0005-0000-0000-0000D1EB0000}"/>
    <cellStyle name="Normal 4 6 6 3 3" xfId="15351" xr:uid="{00000000-0005-0000-0000-0000D2EB0000}"/>
    <cellStyle name="Normal 4 6 6 3 3 2" xfId="28062" xr:uid="{00000000-0005-0000-0000-0000D3EB0000}"/>
    <cellStyle name="Normal 4 6 6 3 3 2 2" xfId="59933" xr:uid="{00000000-0005-0000-0000-0000D4EB0000}"/>
    <cellStyle name="Normal 4 6 6 3 3 3" xfId="47230" xr:uid="{00000000-0005-0000-0000-0000D5EB0000}"/>
    <cellStyle name="Normal 4 6 6 3 4" xfId="20184" xr:uid="{00000000-0005-0000-0000-0000D6EB0000}"/>
    <cellStyle name="Normal 4 6 6 3 4 2" xfId="52055" xr:uid="{00000000-0005-0000-0000-0000D7EB0000}"/>
    <cellStyle name="Normal 4 6 6 3 5" xfId="47227" xr:uid="{00000000-0005-0000-0000-0000D8EB0000}"/>
    <cellStyle name="Normal 4 6 6 4" xfId="15352" xr:uid="{00000000-0005-0000-0000-0000D9EB0000}"/>
    <cellStyle name="Normal 4 6 6 4 2" xfId="15353" xr:uid="{00000000-0005-0000-0000-0000DAEB0000}"/>
    <cellStyle name="Normal 4 6 6 4 2 2" xfId="31998" xr:uid="{00000000-0005-0000-0000-0000DBEB0000}"/>
    <cellStyle name="Normal 4 6 6 4 2 2 2" xfId="63869" xr:uid="{00000000-0005-0000-0000-0000DCEB0000}"/>
    <cellStyle name="Normal 4 6 6 4 2 3" xfId="47232" xr:uid="{00000000-0005-0000-0000-0000DDEB0000}"/>
    <cellStyle name="Normal 4 6 6 4 3" xfId="24120" xr:uid="{00000000-0005-0000-0000-0000DEEB0000}"/>
    <cellStyle name="Normal 4 6 6 4 3 2" xfId="55991" xr:uid="{00000000-0005-0000-0000-0000DFEB0000}"/>
    <cellStyle name="Normal 4 6 6 4 4" xfId="47231" xr:uid="{00000000-0005-0000-0000-0000E0EB0000}"/>
    <cellStyle name="Normal 4 6 6 5" xfId="15354" xr:uid="{00000000-0005-0000-0000-0000E1EB0000}"/>
    <cellStyle name="Normal 4 6 6 5 2" xfId="28059" xr:uid="{00000000-0005-0000-0000-0000E2EB0000}"/>
    <cellStyle name="Normal 4 6 6 5 2 2" xfId="59930" xr:uid="{00000000-0005-0000-0000-0000E3EB0000}"/>
    <cellStyle name="Normal 4 6 6 5 3" xfId="47233" xr:uid="{00000000-0005-0000-0000-0000E4EB0000}"/>
    <cellStyle name="Normal 4 6 6 6" xfId="20181" xr:uid="{00000000-0005-0000-0000-0000E5EB0000}"/>
    <cellStyle name="Normal 4 6 6 6 2" xfId="52052" xr:uid="{00000000-0005-0000-0000-0000E6EB0000}"/>
    <cellStyle name="Normal 4 6 6 7" xfId="47218" xr:uid="{00000000-0005-0000-0000-0000E7EB0000}"/>
    <cellStyle name="Normal 4 6 7" xfId="15355" xr:uid="{00000000-0005-0000-0000-0000E8EB0000}"/>
    <cellStyle name="Normal 4 6 7 2" xfId="15356" xr:uid="{00000000-0005-0000-0000-0000E9EB0000}"/>
    <cellStyle name="Normal 4 6 7 2 2" xfId="15357" xr:uid="{00000000-0005-0000-0000-0000EAEB0000}"/>
    <cellStyle name="Normal 4 6 7 2 2 2" xfId="15358" xr:uid="{00000000-0005-0000-0000-0000EBEB0000}"/>
    <cellStyle name="Normal 4 6 7 2 2 2 2" xfId="32003" xr:uid="{00000000-0005-0000-0000-0000ECEB0000}"/>
    <cellStyle name="Normal 4 6 7 2 2 2 2 2" xfId="63874" xr:uid="{00000000-0005-0000-0000-0000EDEB0000}"/>
    <cellStyle name="Normal 4 6 7 2 2 2 3" xfId="47237" xr:uid="{00000000-0005-0000-0000-0000EEEB0000}"/>
    <cellStyle name="Normal 4 6 7 2 2 3" xfId="24125" xr:uid="{00000000-0005-0000-0000-0000EFEB0000}"/>
    <cellStyle name="Normal 4 6 7 2 2 3 2" xfId="55996" xr:uid="{00000000-0005-0000-0000-0000F0EB0000}"/>
    <cellStyle name="Normal 4 6 7 2 2 4" xfId="47236" xr:uid="{00000000-0005-0000-0000-0000F1EB0000}"/>
    <cellStyle name="Normal 4 6 7 2 3" xfId="15359" xr:uid="{00000000-0005-0000-0000-0000F2EB0000}"/>
    <cellStyle name="Normal 4 6 7 2 3 2" xfId="28064" xr:uid="{00000000-0005-0000-0000-0000F3EB0000}"/>
    <cellStyle name="Normal 4 6 7 2 3 2 2" xfId="59935" xr:uid="{00000000-0005-0000-0000-0000F4EB0000}"/>
    <cellStyle name="Normal 4 6 7 2 3 3" xfId="47238" xr:uid="{00000000-0005-0000-0000-0000F5EB0000}"/>
    <cellStyle name="Normal 4 6 7 2 4" xfId="20186" xr:uid="{00000000-0005-0000-0000-0000F6EB0000}"/>
    <cellStyle name="Normal 4 6 7 2 4 2" xfId="52057" xr:uid="{00000000-0005-0000-0000-0000F7EB0000}"/>
    <cellStyle name="Normal 4 6 7 2 5" xfId="47235" xr:uid="{00000000-0005-0000-0000-0000F8EB0000}"/>
    <cellStyle name="Normal 4 6 7 3" xfId="15360" xr:uid="{00000000-0005-0000-0000-0000F9EB0000}"/>
    <cellStyle name="Normal 4 6 7 3 2" xfId="15361" xr:uid="{00000000-0005-0000-0000-0000FAEB0000}"/>
    <cellStyle name="Normal 4 6 7 3 2 2" xfId="32002" xr:uid="{00000000-0005-0000-0000-0000FBEB0000}"/>
    <cellStyle name="Normal 4 6 7 3 2 2 2" xfId="63873" xr:uid="{00000000-0005-0000-0000-0000FCEB0000}"/>
    <cellStyle name="Normal 4 6 7 3 2 3" xfId="47240" xr:uid="{00000000-0005-0000-0000-0000FDEB0000}"/>
    <cellStyle name="Normal 4 6 7 3 3" xfId="24124" xr:uid="{00000000-0005-0000-0000-0000FEEB0000}"/>
    <cellStyle name="Normal 4 6 7 3 3 2" xfId="55995" xr:uid="{00000000-0005-0000-0000-0000FFEB0000}"/>
    <cellStyle name="Normal 4 6 7 3 4" xfId="47239" xr:uid="{00000000-0005-0000-0000-000000EC0000}"/>
    <cellStyle name="Normal 4 6 7 4" xfId="15362" xr:uid="{00000000-0005-0000-0000-000001EC0000}"/>
    <cellStyle name="Normal 4 6 7 4 2" xfId="28063" xr:uid="{00000000-0005-0000-0000-000002EC0000}"/>
    <cellStyle name="Normal 4 6 7 4 2 2" xfId="59934" xr:uid="{00000000-0005-0000-0000-000003EC0000}"/>
    <cellStyle name="Normal 4 6 7 4 3" xfId="47241" xr:uid="{00000000-0005-0000-0000-000004EC0000}"/>
    <cellStyle name="Normal 4 6 7 5" xfId="20185" xr:uid="{00000000-0005-0000-0000-000005EC0000}"/>
    <cellStyle name="Normal 4 6 7 5 2" xfId="52056" xr:uid="{00000000-0005-0000-0000-000006EC0000}"/>
    <cellStyle name="Normal 4 6 7 6" xfId="47234" xr:uid="{00000000-0005-0000-0000-000007EC0000}"/>
    <cellStyle name="Normal 4 6 8" xfId="15363" xr:uid="{00000000-0005-0000-0000-000008EC0000}"/>
    <cellStyle name="Normal 4 6 8 2" xfId="15364" xr:uid="{00000000-0005-0000-0000-000009EC0000}"/>
    <cellStyle name="Normal 4 6 8 2 2" xfId="15365" xr:uid="{00000000-0005-0000-0000-00000AEC0000}"/>
    <cellStyle name="Normal 4 6 8 2 2 2" xfId="32004" xr:uid="{00000000-0005-0000-0000-00000BEC0000}"/>
    <cellStyle name="Normal 4 6 8 2 2 2 2" xfId="63875" xr:uid="{00000000-0005-0000-0000-00000CEC0000}"/>
    <cellStyle name="Normal 4 6 8 2 2 3" xfId="47244" xr:uid="{00000000-0005-0000-0000-00000DEC0000}"/>
    <cellStyle name="Normal 4 6 8 2 3" xfId="24126" xr:uid="{00000000-0005-0000-0000-00000EEC0000}"/>
    <cellStyle name="Normal 4 6 8 2 3 2" xfId="55997" xr:uid="{00000000-0005-0000-0000-00000FEC0000}"/>
    <cellStyle name="Normal 4 6 8 2 4" xfId="47243" xr:uid="{00000000-0005-0000-0000-000010EC0000}"/>
    <cellStyle name="Normal 4 6 8 3" xfId="15366" xr:uid="{00000000-0005-0000-0000-000011EC0000}"/>
    <cellStyle name="Normal 4 6 8 3 2" xfId="28065" xr:uid="{00000000-0005-0000-0000-000012EC0000}"/>
    <cellStyle name="Normal 4 6 8 3 2 2" xfId="59936" xr:uid="{00000000-0005-0000-0000-000013EC0000}"/>
    <cellStyle name="Normal 4 6 8 3 3" xfId="47245" xr:uid="{00000000-0005-0000-0000-000014EC0000}"/>
    <cellStyle name="Normal 4 6 8 4" xfId="20187" xr:uid="{00000000-0005-0000-0000-000015EC0000}"/>
    <cellStyle name="Normal 4 6 8 4 2" xfId="52058" xr:uid="{00000000-0005-0000-0000-000016EC0000}"/>
    <cellStyle name="Normal 4 6 8 5" xfId="47242" xr:uid="{00000000-0005-0000-0000-000017EC0000}"/>
    <cellStyle name="Normal 4 6 9" xfId="15367" xr:uid="{00000000-0005-0000-0000-000018EC0000}"/>
    <cellStyle name="Normal 4 6 9 2" xfId="15368" xr:uid="{00000000-0005-0000-0000-000019EC0000}"/>
    <cellStyle name="Normal 4 6 9 2 2" xfId="28277" xr:uid="{00000000-0005-0000-0000-00001AEC0000}"/>
    <cellStyle name="Normal 4 6 9 2 2 2" xfId="60148" xr:uid="{00000000-0005-0000-0000-00001BEC0000}"/>
    <cellStyle name="Normal 4 6 9 2 3" xfId="47247" xr:uid="{00000000-0005-0000-0000-00001CEC0000}"/>
    <cellStyle name="Normal 4 6 9 3" xfId="20399" xr:uid="{00000000-0005-0000-0000-00001DEC0000}"/>
    <cellStyle name="Normal 4 6 9 3 2" xfId="52270" xr:uid="{00000000-0005-0000-0000-00001EEC0000}"/>
    <cellStyle name="Normal 4 6 9 4" xfId="47246" xr:uid="{00000000-0005-0000-0000-00001FEC0000}"/>
    <cellStyle name="Normal 4 7" xfId="221" xr:uid="{00000000-0005-0000-0000-000020EC0000}"/>
    <cellStyle name="Normal 4 7 10" xfId="15369" xr:uid="{00000000-0005-0000-0000-000021EC0000}"/>
    <cellStyle name="Normal 4 7 10 2" xfId="47248" xr:uid="{00000000-0005-0000-0000-000022EC0000}"/>
    <cellStyle name="Normal 4 7 11" xfId="32199" xr:uid="{00000000-0005-0000-0000-000023EC0000}"/>
    <cellStyle name="Normal 4 7 2" xfId="15370" xr:uid="{00000000-0005-0000-0000-000024EC0000}"/>
    <cellStyle name="Normal 4 7 2 2" xfId="15371" xr:uid="{00000000-0005-0000-0000-000025EC0000}"/>
    <cellStyle name="Normal 4 7 2 2 2" xfId="15372" xr:uid="{00000000-0005-0000-0000-000026EC0000}"/>
    <cellStyle name="Normal 4 7 2 2 2 2" xfId="15373" xr:uid="{00000000-0005-0000-0000-000027EC0000}"/>
    <cellStyle name="Normal 4 7 2 2 2 2 2" xfId="15374" xr:uid="{00000000-0005-0000-0000-000028EC0000}"/>
    <cellStyle name="Normal 4 7 2 2 2 2 2 2" xfId="15375" xr:uid="{00000000-0005-0000-0000-000029EC0000}"/>
    <cellStyle name="Normal 4 7 2 2 2 2 2 2 2" xfId="15376" xr:uid="{00000000-0005-0000-0000-00002AEC0000}"/>
    <cellStyle name="Normal 4 7 2 2 2 2 2 2 2 2" xfId="32008" xr:uid="{00000000-0005-0000-0000-00002BEC0000}"/>
    <cellStyle name="Normal 4 7 2 2 2 2 2 2 2 2 2" xfId="63879" xr:uid="{00000000-0005-0000-0000-00002CEC0000}"/>
    <cellStyle name="Normal 4 7 2 2 2 2 2 2 2 3" xfId="47255" xr:uid="{00000000-0005-0000-0000-00002DEC0000}"/>
    <cellStyle name="Normal 4 7 2 2 2 2 2 2 3" xfId="24130" xr:uid="{00000000-0005-0000-0000-00002EEC0000}"/>
    <cellStyle name="Normal 4 7 2 2 2 2 2 2 3 2" xfId="56001" xr:uid="{00000000-0005-0000-0000-00002FEC0000}"/>
    <cellStyle name="Normal 4 7 2 2 2 2 2 2 4" xfId="47254" xr:uid="{00000000-0005-0000-0000-000030EC0000}"/>
    <cellStyle name="Normal 4 7 2 2 2 2 2 3" xfId="15377" xr:uid="{00000000-0005-0000-0000-000031EC0000}"/>
    <cellStyle name="Normal 4 7 2 2 2 2 2 3 2" xfId="28069" xr:uid="{00000000-0005-0000-0000-000032EC0000}"/>
    <cellStyle name="Normal 4 7 2 2 2 2 2 3 2 2" xfId="59940" xr:uid="{00000000-0005-0000-0000-000033EC0000}"/>
    <cellStyle name="Normal 4 7 2 2 2 2 2 3 3" xfId="47256" xr:uid="{00000000-0005-0000-0000-000034EC0000}"/>
    <cellStyle name="Normal 4 7 2 2 2 2 2 4" xfId="20191" xr:uid="{00000000-0005-0000-0000-000035EC0000}"/>
    <cellStyle name="Normal 4 7 2 2 2 2 2 4 2" xfId="52062" xr:uid="{00000000-0005-0000-0000-000036EC0000}"/>
    <cellStyle name="Normal 4 7 2 2 2 2 2 5" xfId="47253" xr:uid="{00000000-0005-0000-0000-000037EC0000}"/>
    <cellStyle name="Normal 4 7 2 2 2 2 3" xfId="15378" xr:uid="{00000000-0005-0000-0000-000038EC0000}"/>
    <cellStyle name="Normal 4 7 2 2 2 2 3 2" xfId="15379" xr:uid="{00000000-0005-0000-0000-000039EC0000}"/>
    <cellStyle name="Normal 4 7 2 2 2 2 3 2 2" xfId="32007" xr:uid="{00000000-0005-0000-0000-00003AEC0000}"/>
    <cellStyle name="Normal 4 7 2 2 2 2 3 2 2 2" xfId="63878" xr:uid="{00000000-0005-0000-0000-00003BEC0000}"/>
    <cellStyle name="Normal 4 7 2 2 2 2 3 2 3" xfId="47258" xr:uid="{00000000-0005-0000-0000-00003CEC0000}"/>
    <cellStyle name="Normal 4 7 2 2 2 2 3 3" xfId="24129" xr:uid="{00000000-0005-0000-0000-00003DEC0000}"/>
    <cellStyle name="Normal 4 7 2 2 2 2 3 3 2" xfId="56000" xr:uid="{00000000-0005-0000-0000-00003EEC0000}"/>
    <cellStyle name="Normal 4 7 2 2 2 2 3 4" xfId="47257" xr:uid="{00000000-0005-0000-0000-00003FEC0000}"/>
    <cellStyle name="Normal 4 7 2 2 2 2 4" xfId="15380" xr:uid="{00000000-0005-0000-0000-000040EC0000}"/>
    <cellStyle name="Normal 4 7 2 2 2 2 4 2" xfId="28068" xr:uid="{00000000-0005-0000-0000-000041EC0000}"/>
    <cellStyle name="Normal 4 7 2 2 2 2 4 2 2" xfId="59939" xr:uid="{00000000-0005-0000-0000-000042EC0000}"/>
    <cellStyle name="Normal 4 7 2 2 2 2 4 3" xfId="47259" xr:uid="{00000000-0005-0000-0000-000043EC0000}"/>
    <cellStyle name="Normal 4 7 2 2 2 2 5" xfId="20190" xr:uid="{00000000-0005-0000-0000-000044EC0000}"/>
    <cellStyle name="Normal 4 7 2 2 2 2 5 2" xfId="52061" xr:uid="{00000000-0005-0000-0000-000045EC0000}"/>
    <cellStyle name="Normal 4 7 2 2 2 2 6" xfId="47252" xr:uid="{00000000-0005-0000-0000-000046EC0000}"/>
    <cellStyle name="Normal 4 7 2 2 2 3" xfId="15381" xr:uid="{00000000-0005-0000-0000-000047EC0000}"/>
    <cellStyle name="Normal 4 7 2 2 2 3 2" xfId="15382" xr:uid="{00000000-0005-0000-0000-000048EC0000}"/>
    <cellStyle name="Normal 4 7 2 2 2 3 2 2" xfId="15383" xr:uid="{00000000-0005-0000-0000-000049EC0000}"/>
    <cellStyle name="Normal 4 7 2 2 2 3 2 2 2" xfId="32009" xr:uid="{00000000-0005-0000-0000-00004AEC0000}"/>
    <cellStyle name="Normal 4 7 2 2 2 3 2 2 2 2" xfId="63880" xr:uid="{00000000-0005-0000-0000-00004BEC0000}"/>
    <cellStyle name="Normal 4 7 2 2 2 3 2 2 3" xfId="47262" xr:uid="{00000000-0005-0000-0000-00004CEC0000}"/>
    <cellStyle name="Normal 4 7 2 2 2 3 2 3" xfId="24131" xr:uid="{00000000-0005-0000-0000-00004DEC0000}"/>
    <cellStyle name="Normal 4 7 2 2 2 3 2 3 2" xfId="56002" xr:uid="{00000000-0005-0000-0000-00004EEC0000}"/>
    <cellStyle name="Normal 4 7 2 2 2 3 2 4" xfId="47261" xr:uid="{00000000-0005-0000-0000-00004FEC0000}"/>
    <cellStyle name="Normal 4 7 2 2 2 3 3" xfId="15384" xr:uid="{00000000-0005-0000-0000-000050EC0000}"/>
    <cellStyle name="Normal 4 7 2 2 2 3 3 2" xfId="28070" xr:uid="{00000000-0005-0000-0000-000051EC0000}"/>
    <cellStyle name="Normal 4 7 2 2 2 3 3 2 2" xfId="59941" xr:uid="{00000000-0005-0000-0000-000052EC0000}"/>
    <cellStyle name="Normal 4 7 2 2 2 3 3 3" xfId="47263" xr:uid="{00000000-0005-0000-0000-000053EC0000}"/>
    <cellStyle name="Normal 4 7 2 2 2 3 4" xfId="20192" xr:uid="{00000000-0005-0000-0000-000054EC0000}"/>
    <cellStyle name="Normal 4 7 2 2 2 3 4 2" xfId="52063" xr:uid="{00000000-0005-0000-0000-000055EC0000}"/>
    <cellStyle name="Normal 4 7 2 2 2 3 5" xfId="47260" xr:uid="{00000000-0005-0000-0000-000056EC0000}"/>
    <cellStyle name="Normal 4 7 2 2 2 4" xfId="15385" xr:uid="{00000000-0005-0000-0000-000057EC0000}"/>
    <cellStyle name="Normal 4 7 2 2 2 4 2" xfId="15386" xr:uid="{00000000-0005-0000-0000-000058EC0000}"/>
    <cellStyle name="Normal 4 7 2 2 2 4 2 2" xfId="32006" xr:uid="{00000000-0005-0000-0000-000059EC0000}"/>
    <cellStyle name="Normal 4 7 2 2 2 4 2 2 2" xfId="63877" xr:uid="{00000000-0005-0000-0000-00005AEC0000}"/>
    <cellStyle name="Normal 4 7 2 2 2 4 2 3" xfId="47265" xr:uid="{00000000-0005-0000-0000-00005BEC0000}"/>
    <cellStyle name="Normal 4 7 2 2 2 4 3" xfId="24128" xr:uid="{00000000-0005-0000-0000-00005CEC0000}"/>
    <cellStyle name="Normal 4 7 2 2 2 4 3 2" xfId="55999" xr:uid="{00000000-0005-0000-0000-00005DEC0000}"/>
    <cellStyle name="Normal 4 7 2 2 2 4 4" xfId="47264" xr:uid="{00000000-0005-0000-0000-00005EEC0000}"/>
    <cellStyle name="Normal 4 7 2 2 2 5" xfId="15387" xr:uid="{00000000-0005-0000-0000-00005FEC0000}"/>
    <cellStyle name="Normal 4 7 2 2 2 5 2" xfId="28067" xr:uid="{00000000-0005-0000-0000-000060EC0000}"/>
    <cellStyle name="Normal 4 7 2 2 2 5 2 2" xfId="59938" xr:uid="{00000000-0005-0000-0000-000061EC0000}"/>
    <cellStyle name="Normal 4 7 2 2 2 5 3" xfId="47266" xr:uid="{00000000-0005-0000-0000-000062EC0000}"/>
    <cellStyle name="Normal 4 7 2 2 2 6" xfId="20189" xr:uid="{00000000-0005-0000-0000-000063EC0000}"/>
    <cellStyle name="Normal 4 7 2 2 2 6 2" xfId="52060" xr:uid="{00000000-0005-0000-0000-000064EC0000}"/>
    <cellStyle name="Normal 4 7 2 2 2 7" xfId="47251" xr:uid="{00000000-0005-0000-0000-000065EC0000}"/>
    <cellStyle name="Normal 4 7 2 2 3" xfId="15388" xr:uid="{00000000-0005-0000-0000-000066EC0000}"/>
    <cellStyle name="Normal 4 7 2 2 3 2" xfId="15389" xr:uid="{00000000-0005-0000-0000-000067EC0000}"/>
    <cellStyle name="Normal 4 7 2 2 3 2 2" xfId="15390" xr:uid="{00000000-0005-0000-0000-000068EC0000}"/>
    <cellStyle name="Normal 4 7 2 2 3 2 2 2" xfId="15391" xr:uid="{00000000-0005-0000-0000-000069EC0000}"/>
    <cellStyle name="Normal 4 7 2 2 3 2 2 2 2" xfId="32011" xr:uid="{00000000-0005-0000-0000-00006AEC0000}"/>
    <cellStyle name="Normal 4 7 2 2 3 2 2 2 2 2" xfId="63882" xr:uid="{00000000-0005-0000-0000-00006BEC0000}"/>
    <cellStyle name="Normal 4 7 2 2 3 2 2 2 3" xfId="47270" xr:uid="{00000000-0005-0000-0000-00006CEC0000}"/>
    <cellStyle name="Normal 4 7 2 2 3 2 2 3" xfId="24133" xr:uid="{00000000-0005-0000-0000-00006DEC0000}"/>
    <cellStyle name="Normal 4 7 2 2 3 2 2 3 2" xfId="56004" xr:uid="{00000000-0005-0000-0000-00006EEC0000}"/>
    <cellStyle name="Normal 4 7 2 2 3 2 2 4" xfId="47269" xr:uid="{00000000-0005-0000-0000-00006FEC0000}"/>
    <cellStyle name="Normal 4 7 2 2 3 2 3" xfId="15392" xr:uid="{00000000-0005-0000-0000-000070EC0000}"/>
    <cellStyle name="Normal 4 7 2 2 3 2 3 2" xfId="28072" xr:uid="{00000000-0005-0000-0000-000071EC0000}"/>
    <cellStyle name="Normal 4 7 2 2 3 2 3 2 2" xfId="59943" xr:uid="{00000000-0005-0000-0000-000072EC0000}"/>
    <cellStyle name="Normal 4 7 2 2 3 2 3 3" xfId="47271" xr:uid="{00000000-0005-0000-0000-000073EC0000}"/>
    <cellStyle name="Normal 4 7 2 2 3 2 4" xfId="20194" xr:uid="{00000000-0005-0000-0000-000074EC0000}"/>
    <cellStyle name="Normal 4 7 2 2 3 2 4 2" xfId="52065" xr:uid="{00000000-0005-0000-0000-000075EC0000}"/>
    <cellStyle name="Normal 4 7 2 2 3 2 5" xfId="47268" xr:uid="{00000000-0005-0000-0000-000076EC0000}"/>
    <cellStyle name="Normal 4 7 2 2 3 3" xfId="15393" xr:uid="{00000000-0005-0000-0000-000077EC0000}"/>
    <cellStyle name="Normal 4 7 2 2 3 3 2" xfId="15394" xr:uid="{00000000-0005-0000-0000-000078EC0000}"/>
    <cellStyle name="Normal 4 7 2 2 3 3 2 2" xfId="32010" xr:uid="{00000000-0005-0000-0000-000079EC0000}"/>
    <cellStyle name="Normal 4 7 2 2 3 3 2 2 2" xfId="63881" xr:uid="{00000000-0005-0000-0000-00007AEC0000}"/>
    <cellStyle name="Normal 4 7 2 2 3 3 2 3" xfId="47273" xr:uid="{00000000-0005-0000-0000-00007BEC0000}"/>
    <cellStyle name="Normal 4 7 2 2 3 3 3" xfId="24132" xr:uid="{00000000-0005-0000-0000-00007CEC0000}"/>
    <cellStyle name="Normal 4 7 2 2 3 3 3 2" xfId="56003" xr:uid="{00000000-0005-0000-0000-00007DEC0000}"/>
    <cellStyle name="Normal 4 7 2 2 3 3 4" xfId="47272" xr:uid="{00000000-0005-0000-0000-00007EEC0000}"/>
    <cellStyle name="Normal 4 7 2 2 3 4" xfId="15395" xr:uid="{00000000-0005-0000-0000-00007FEC0000}"/>
    <cellStyle name="Normal 4 7 2 2 3 4 2" xfId="28071" xr:uid="{00000000-0005-0000-0000-000080EC0000}"/>
    <cellStyle name="Normal 4 7 2 2 3 4 2 2" xfId="59942" xr:uid="{00000000-0005-0000-0000-000081EC0000}"/>
    <cellStyle name="Normal 4 7 2 2 3 4 3" xfId="47274" xr:uid="{00000000-0005-0000-0000-000082EC0000}"/>
    <cellStyle name="Normal 4 7 2 2 3 5" xfId="20193" xr:uid="{00000000-0005-0000-0000-000083EC0000}"/>
    <cellStyle name="Normal 4 7 2 2 3 5 2" xfId="52064" xr:uid="{00000000-0005-0000-0000-000084EC0000}"/>
    <cellStyle name="Normal 4 7 2 2 3 6" xfId="47267" xr:uid="{00000000-0005-0000-0000-000085EC0000}"/>
    <cellStyle name="Normal 4 7 2 2 4" xfId="15396" xr:uid="{00000000-0005-0000-0000-000086EC0000}"/>
    <cellStyle name="Normal 4 7 2 2 4 2" xfId="15397" xr:uid="{00000000-0005-0000-0000-000087EC0000}"/>
    <cellStyle name="Normal 4 7 2 2 4 2 2" xfId="15398" xr:uid="{00000000-0005-0000-0000-000088EC0000}"/>
    <cellStyle name="Normal 4 7 2 2 4 2 2 2" xfId="32012" xr:uid="{00000000-0005-0000-0000-000089EC0000}"/>
    <cellStyle name="Normal 4 7 2 2 4 2 2 2 2" xfId="63883" xr:uid="{00000000-0005-0000-0000-00008AEC0000}"/>
    <cellStyle name="Normal 4 7 2 2 4 2 2 3" xfId="47277" xr:uid="{00000000-0005-0000-0000-00008BEC0000}"/>
    <cellStyle name="Normal 4 7 2 2 4 2 3" xfId="24134" xr:uid="{00000000-0005-0000-0000-00008CEC0000}"/>
    <cellStyle name="Normal 4 7 2 2 4 2 3 2" xfId="56005" xr:uid="{00000000-0005-0000-0000-00008DEC0000}"/>
    <cellStyle name="Normal 4 7 2 2 4 2 4" xfId="47276" xr:uid="{00000000-0005-0000-0000-00008EEC0000}"/>
    <cellStyle name="Normal 4 7 2 2 4 3" xfId="15399" xr:uid="{00000000-0005-0000-0000-00008FEC0000}"/>
    <cellStyle name="Normal 4 7 2 2 4 3 2" xfId="28073" xr:uid="{00000000-0005-0000-0000-000090EC0000}"/>
    <cellStyle name="Normal 4 7 2 2 4 3 2 2" xfId="59944" xr:uid="{00000000-0005-0000-0000-000091EC0000}"/>
    <cellStyle name="Normal 4 7 2 2 4 3 3" xfId="47278" xr:uid="{00000000-0005-0000-0000-000092EC0000}"/>
    <cellStyle name="Normal 4 7 2 2 4 4" xfId="20195" xr:uid="{00000000-0005-0000-0000-000093EC0000}"/>
    <cellStyle name="Normal 4 7 2 2 4 4 2" xfId="52066" xr:uid="{00000000-0005-0000-0000-000094EC0000}"/>
    <cellStyle name="Normal 4 7 2 2 4 5" xfId="47275" xr:uid="{00000000-0005-0000-0000-000095EC0000}"/>
    <cellStyle name="Normal 4 7 2 2 5" xfId="15400" xr:uid="{00000000-0005-0000-0000-000096EC0000}"/>
    <cellStyle name="Normal 4 7 2 2 5 2" xfId="15401" xr:uid="{00000000-0005-0000-0000-000097EC0000}"/>
    <cellStyle name="Normal 4 7 2 2 5 2 2" xfId="32005" xr:uid="{00000000-0005-0000-0000-000098EC0000}"/>
    <cellStyle name="Normal 4 7 2 2 5 2 2 2" xfId="63876" xr:uid="{00000000-0005-0000-0000-000099EC0000}"/>
    <cellStyle name="Normal 4 7 2 2 5 2 3" xfId="47280" xr:uid="{00000000-0005-0000-0000-00009AEC0000}"/>
    <cellStyle name="Normal 4 7 2 2 5 3" xfId="24127" xr:uid="{00000000-0005-0000-0000-00009BEC0000}"/>
    <cellStyle name="Normal 4 7 2 2 5 3 2" xfId="55998" xr:uid="{00000000-0005-0000-0000-00009CEC0000}"/>
    <cellStyle name="Normal 4 7 2 2 5 4" xfId="47279" xr:uid="{00000000-0005-0000-0000-00009DEC0000}"/>
    <cellStyle name="Normal 4 7 2 2 6" xfId="15402" xr:uid="{00000000-0005-0000-0000-00009EEC0000}"/>
    <cellStyle name="Normal 4 7 2 2 6 2" xfId="28066" xr:uid="{00000000-0005-0000-0000-00009FEC0000}"/>
    <cellStyle name="Normal 4 7 2 2 6 2 2" xfId="59937" xr:uid="{00000000-0005-0000-0000-0000A0EC0000}"/>
    <cellStyle name="Normal 4 7 2 2 6 3" xfId="47281" xr:uid="{00000000-0005-0000-0000-0000A1EC0000}"/>
    <cellStyle name="Normal 4 7 2 2 7" xfId="20188" xr:uid="{00000000-0005-0000-0000-0000A2EC0000}"/>
    <cellStyle name="Normal 4 7 2 2 7 2" xfId="52059" xr:uid="{00000000-0005-0000-0000-0000A3EC0000}"/>
    <cellStyle name="Normal 4 7 2 2 8" xfId="47250" xr:uid="{00000000-0005-0000-0000-0000A4EC0000}"/>
    <cellStyle name="Normal 4 7 2 3" xfId="15403" xr:uid="{00000000-0005-0000-0000-0000A5EC0000}"/>
    <cellStyle name="Normal 4 7 2 3 2" xfId="15404" xr:uid="{00000000-0005-0000-0000-0000A6EC0000}"/>
    <cellStyle name="Normal 4 7 2 3 2 2" xfId="15405" xr:uid="{00000000-0005-0000-0000-0000A7EC0000}"/>
    <cellStyle name="Normal 4 7 2 3 2 2 2" xfId="15406" xr:uid="{00000000-0005-0000-0000-0000A8EC0000}"/>
    <cellStyle name="Normal 4 7 2 3 2 2 2 2" xfId="15407" xr:uid="{00000000-0005-0000-0000-0000A9EC0000}"/>
    <cellStyle name="Normal 4 7 2 3 2 2 2 2 2" xfId="32015" xr:uid="{00000000-0005-0000-0000-0000AAEC0000}"/>
    <cellStyle name="Normal 4 7 2 3 2 2 2 2 2 2" xfId="63886" xr:uid="{00000000-0005-0000-0000-0000ABEC0000}"/>
    <cellStyle name="Normal 4 7 2 3 2 2 2 2 3" xfId="47286" xr:uid="{00000000-0005-0000-0000-0000ACEC0000}"/>
    <cellStyle name="Normal 4 7 2 3 2 2 2 3" xfId="24137" xr:uid="{00000000-0005-0000-0000-0000ADEC0000}"/>
    <cellStyle name="Normal 4 7 2 3 2 2 2 3 2" xfId="56008" xr:uid="{00000000-0005-0000-0000-0000AEEC0000}"/>
    <cellStyle name="Normal 4 7 2 3 2 2 2 4" xfId="47285" xr:uid="{00000000-0005-0000-0000-0000AFEC0000}"/>
    <cellStyle name="Normal 4 7 2 3 2 2 3" xfId="15408" xr:uid="{00000000-0005-0000-0000-0000B0EC0000}"/>
    <cellStyle name="Normal 4 7 2 3 2 2 3 2" xfId="28076" xr:uid="{00000000-0005-0000-0000-0000B1EC0000}"/>
    <cellStyle name="Normal 4 7 2 3 2 2 3 2 2" xfId="59947" xr:uid="{00000000-0005-0000-0000-0000B2EC0000}"/>
    <cellStyle name="Normal 4 7 2 3 2 2 3 3" xfId="47287" xr:uid="{00000000-0005-0000-0000-0000B3EC0000}"/>
    <cellStyle name="Normal 4 7 2 3 2 2 4" xfId="20198" xr:uid="{00000000-0005-0000-0000-0000B4EC0000}"/>
    <cellStyle name="Normal 4 7 2 3 2 2 4 2" xfId="52069" xr:uid="{00000000-0005-0000-0000-0000B5EC0000}"/>
    <cellStyle name="Normal 4 7 2 3 2 2 5" xfId="47284" xr:uid="{00000000-0005-0000-0000-0000B6EC0000}"/>
    <cellStyle name="Normal 4 7 2 3 2 3" xfId="15409" xr:uid="{00000000-0005-0000-0000-0000B7EC0000}"/>
    <cellStyle name="Normal 4 7 2 3 2 3 2" xfId="15410" xr:uid="{00000000-0005-0000-0000-0000B8EC0000}"/>
    <cellStyle name="Normal 4 7 2 3 2 3 2 2" xfId="32014" xr:uid="{00000000-0005-0000-0000-0000B9EC0000}"/>
    <cellStyle name="Normal 4 7 2 3 2 3 2 2 2" xfId="63885" xr:uid="{00000000-0005-0000-0000-0000BAEC0000}"/>
    <cellStyle name="Normal 4 7 2 3 2 3 2 3" xfId="47289" xr:uid="{00000000-0005-0000-0000-0000BBEC0000}"/>
    <cellStyle name="Normal 4 7 2 3 2 3 3" xfId="24136" xr:uid="{00000000-0005-0000-0000-0000BCEC0000}"/>
    <cellStyle name="Normal 4 7 2 3 2 3 3 2" xfId="56007" xr:uid="{00000000-0005-0000-0000-0000BDEC0000}"/>
    <cellStyle name="Normal 4 7 2 3 2 3 4" xfId="47288" xr:uid="{00000000-0005-0000-0000-0000BEEC0000}"/>
    <cellStyle name="Normal 4 7 2 3 2 4" xfId="15411" xr:uid="{00000000-0005-0000-0000-0000BFEC0000}"/>
    <cellStyle name="Normal 4 7 2 3 2 4 2" xfId="28075" xr:uid="{00000000-0005-0000-0000-0000C0EC0000}"/>
    <cellStyle name="Normal 4 7 2 3 2 4 2 2" xfId="59946" xr:uid="{00000000-0005-0000-0000-0000C1EC0000}"/>
    <cellStyle name="Normal 4 7 2 3 2 4 3" xfId="47290" xr:uid="{00000000-0005-0000-0000-0000C2EC0000}"/>
    <cellStyle name="Normal 4 7 2 3 2 5" xfId="20197" xr:uid="{00000000-0005-0000-0000-0000C3EC0000}"/>
    <cellStyle name="Normal 4 7 2 3 2 5 2" xfId="52068" xr:uid="{00000000-0005-0000-0000-0000C4EC0000}"/>
    <cellStyle name="Normal 4 7 2 3 2 6" xfId="47283" xr:uid="{00000000-0005-0000-0000-0000C5EC0000}"/>
    <cellStyle name="Normal 4 7 2 3 3" xfId="15412" xr:uid="{00000000-0005-0000-0000-0000C6EC0000}"/>
    <cellStyle name="Normal 4 7 2 3 3 2" xfId="15413" xr:uid="{00000000-0005-0000-0000-0000C7EC0000}"/>
    <cellStyle name="Normal 4 7 2 3 3 2 2" xfId="15414" xr:uid="{00000000-0005-0000-0000-0000C8EC0000}"/>
    <cellStyle name="Normal 4 7 2 3 3 2 2 2" xfId="32016" xr:uid="{00000000-0005-0000-0000-0000C9EC0000}"/>
    <cellStyle name="Normal 4 7 2 3 3 2 2 2 2" xfId="63887" xr:uid="{00000000-0005-0000-0000-0000CAEC0000}"/>
    <cellStyle name="Normal 4 7 2 3 3 2 2 3" xfId="47293" xr:uid="{00000000-0005-0000-0000-0000CBEC0000}"/>
    <cellStyle name="Normal 4 7 2 3 3 2 3" xfId="24138" xr:uid="{00000000-0005-0000-0000-0000CCEC0000}"/>
    <cellStyle name="Normal 4 7 2 3 3 2 3 2" xfId="56009" xr:uid="{00000000-0005-0000-0000-0000CDEC0000}"/>
    <cellStyle name="Normal 4 7 2 3 3 2 4" xfId="47292" xr:uid="{00000000-0005-0000-0000-0000CEEC0000}"/>
    <cellStyle name="Normal 4 7 2 3 3 3" xfId="15415" xr:uid="{00000000-0005-0000-0000-0000CFEC0000}"/>
    <cellStyle name="Normal 4 7 2 3 3 3 2" xfId="28077" xr:uid="{00000000-0005-0000-0000-0000D0EC0000}"/>
    <cellStyle name="Normal 4 7 2 3 3 3 2 2" xfId="59948" xr:uid="{00000000-0005-0000-0000-0000D1EC0000}"/>
    <cellStyle name="Normal 4 7 2 3 3 3 3" xfId="47294" xr:uid="{00000000-0005-0000-0000-0000D2EC0000}"/>
    <cellStyle name="Normal 4 7 2 3 3 4" xfId="20199" xr:uid="{00000000-0005-0000-0000-0000D3EC0000}"/>
    <cellStyle name="Normal 4 7 2 3 3 4 2" xfId="52070" xr:uid="{00000000-0005-0000-0000-0000D4EC0000}"/>
    <cellStyle name="Normal 4 7 2 3 3 5" xfId="47291" xr:uid="{00000000-0005-0000-0000-0000D5EC0000}"/>
    <cellStyle name="Normal 4 7 2 3 4" xfId="15416" xr:uid="{00000000-0005-0000-0000-0000D6EC0000}"/>
    <cellStyle name="Normal 4 7 2 3 4 2" xfId="15417" xr:uid="{00000000-0005-0000-0000-0000D7EC0000}"/>
    <cellStyle name="Normal 4 7 2 3 4 2 2" xfId="32013" xr:uid="{00000000-0005-0000-0000-0000D8EC0000}"/>
    <cellStyle name="Normal 4 7 2 3 4 2 2 2" xfId="63884" xr:uid="{00000000-0005-0000-0000-0000D9EC0000}"/>
    <cellStyle name="Normal 4 7 2 3 4 2 3" xfId="47296" xr:uid="{00000000-0005-0000-0000-0000DAEC0000}"/>
    <cellStyle name="Normal 4 7 2 3 4 3" xfId="24135" xr:uid="{00000000-0005-0000-0000-0000DBEC0000}"/>
    <cellStyle name="Normal 4 7 2 3 4 3 2" xfId="56006" xr:uid="{00000000-0005-0000-0000-0000DCEC0000}"/>
    <cellStyle name="Normal 4 7 2 3 4 4" xfId="47295" xr:uid="{00000000-0005-0000-0000-0000DDEC0000}"/>
    <cellStyle name="Normal 4 7 2 3 5" xfId="15418" xr:uid="{00000000-0005-0000-0000-0000DEEC0000}"/>
    <cellStyle name="Normal 4 7 2 3 5 2" xfId="28074" xr:uid="{00000000-0005-0000-0000-0000DFEC0000}"/>
    <cellStyle name="Normal 4 7 2 3 5 2 2" xfId="59945" xr:uid="{00000000-0005-0000-0000-0000E0EC0000}"/>
    <cellStyle name="Normal 4 7 2 3 5 3" xfId="47297" xr:uid="{00000000-0005-0000-0000-0000E1EC0000}"/>
    <cellStyle name="Normal 4 7 2 3 6" xfId="20196" xr:uid="{00000000-0005-0000-0000-0000E2EC0000}"/>
    <cellStyle name="Normal 4 7 2 3 6 2" xfId="52067" xr:uid="{00000000-0005-0000-0000-0000E3EC0000}"/>
    <cellStyle name="Normal 4 7 2 3 7" xfId="47282" xr:uid="{00000000-0005-0000-0000-0000E4EC0000}"/>
    <cellStyle name="Normal 4 7 2 4" xfId="15419" xr:uid="{00000000-0005-0000-0000-0000E5EC0000}"/>
    <cellStyle name="Normal 4 7 2 4 2" xfId="15420" xr:uid="{00000000-0005-0000-0000-0000E6EC0000}"/>
    <cellStyle name="Normal 4 7 2 4 2 2" xfId="15421" xr:uid="{00000000-0005-0000-0000-0000E7EC0000}"/>
    <cellStyle name="Normal 4 7 2 4 2 2 2" xfId="15422" xr:uid="{00000000-0005-0000-0000-0000E8EC0000}"/>
    <cellStyle name="Normal 4 7 2 4 2 2 2 2" xfId="32018" xr:uid="{00000000-0005-0000-0000-0000E9EC0000}"/>
    <cellStyle name="Normal 4 7 2 4 2 2 2 2 2" xfId="63889" xr:uid="{00000000-0005-0000-0000-0000EAEC0000}"/>
    <cellStyle name="Normal 4 7 2 4 2 2 2 3" xfId="47301" xr:uid="{00000000-0005-0000-0000-0000EBEC0000}"/>
    <cellStyle name="Normal 4 7 2 4 2 2 3" xfId="24140" xr:uid="{00000000-0005-0000-0000-0000ECEC0000}"/>
    <cellStyle name="Normal 4 7 2 4 2 2 3 2" xfId="56011" xr:uid="{00000000-0005-0000-0000-0000EDEC0000}"/>
    <cellStyle name="Normal 4 7 2 4 2 2 4" xfId="47300" xr:uid="{00000000-0005-0000-0000-0000EEEC0000}"/>
    <cellStyle name="Normal 4 7 2 4 2 3" xfId="15423" xr:uid="{00000000-0005-0000-0000-0000EFEC0000}"/>
    <cellStyle name="Normal 4 7 2 4 2 3 2" xfId="28079" xr:uid="{00000000-0005-0000-0000-0000F0EC0000}"/>
    <cellStyle name="Normal 4 7 2 4 2 3 2 2" xfId="59950" xr:uid="{00000000-0005-0000-0000-0000F1EC0000}"/>
    <cellStyle name="Normal 4 7 2 4 2 3 3" xfId="47302" xr:uid="{00000000-0005-0000-0000-0000F2EC0000}"/>
    <cellStyle name="Normal 4 7 2 4 2 4" xfId="20201" xr:uid="{00000000-0005-0000-0000-0000F3EC0000}"/>
    <cellStyle name="Normal 4 7 2 4 2 4 2" xfId="52072" xr:uid="{00000000-0005-0000-0000-0000F4EC0000}"/>
    <cellStyle name="Normal 4 7 2 4 2 5" xfId="47299" xr:uid="{00000000-0005-0000-0000-0000F5EC0000}"/>
    <cellStyle name="Normal 4 7 2 4 3" xfId="15424" xr:uid="{00000000-0005-0000-0000-0000F6EC0000}"/>
    <cellStyle name="Normal 4 7 2 4 3 2" xfId="15425" xr:uid="{00000000-0005-0000-0000-0000F7EC0000}"/>
    <cellStyle name="Normal 4 7 2 4 3 2 2" xfId="32017" xr:uid="{00000000-0005-0000-0000-0000F8EC0000}"/>
    <cellStyle name="Normal 4 7 2 4 3 2 2 2" xfId="63888" xr:uid="{00000000-0005-0000-0000-0000F9EC0000}"/>
    <cellStyle name="Normal 4 7 2 4 3 2 3" xfId="47304" xr:uid="{00000000-0005-0000-0000-0000FAEC0000}"/>
    <cellStyle name="Normal 4 7 2 4 3 3" xfId="24139" xr:uid="{00000000-0005-0000-0000-0000FBEC0000}"/>
    <cellStyle name="Normal 4 7 2 4 3 3 2" xfId="56010" xr:uid="{00000000-0005-0000-0000-0000FCEC0000}"/>
    <cellStyle name="Normal 4 7 2 4 3 4" xfId="47303" xr:uid="{00000000-0005-0000-0000-0000FDEC0000}"/>
    <cellStyle name="Normal 4 7 2 4 4" xfId="15426" xr:uid="{00000000-0005-0000-0000-0000FEEC0000}"/>
    <cellStyle name="Normal 4 7 2 4 4 2" xfId="28078" xr:uid="{00000000-0005-0000-0000-0000FFEC0000}"/>
    <cellStyle name="Normal 4 7 2 4 4 2 2" xfId="59949" xr:uid="{00000000-0005-0000-0000-000000ED0000}"/>
    <cellStyle name="Normal 4 7 2 4 4 3" xfId="47305" xr:uid="{00000000-0005-0000-0000-000001ED0000}"/>
    <cellStyle name="Normal 4 7 2 4 5" xfId="20200" xr:uid="{00000000-0005-0000-0000-000002ED0000}"/>
    <cellStyle name="Normal 4 7 2 4 5 2" xfId="52071" xr:uid="{00000000-0005-0000-0000-000003ED0000}"/>
    <cellStyle name="Normal 4 7 2 4 6" xfId="47298" xr:uid="{00000000-0005-0000-0000-000004ED0000}"/>
    <cellStyle name="Normal 4 7 2 5" xfId="15427" xr:uid="{00000000-0005-0000-0000-000005ED0000}"/>
    <cellStyle name="Normal 4 7 2 5 2" xfId="15428" xr:uid="{00000000-0005-0000-0000-000006ED0000}"/>
    <cellStyle name="Normal 4 7 2 5 2 2" xfId="15429" xr:uid="{00000000-0005-0000-0000-000007ED0000}"/>
    <cellStyle name="Normal 4 7 2 5 2 2 2" xfId="32019" xr:uid="{00000000-0005-0000-0000-000008ED0000}"/>
    <cellStyle name="Normal 4 7 2 5 2 2 2 2" xfId="63890" xr:uid="{00000000-0005-0000-0000-000009ED0000}"/>
    <cellStyle name="Normal 4 7 2 5 2 2 3" xfId="47308" xr:uid="{00000000-0005-0000-0000-00000AED0000}"/>
    <cellStyle name="Normal 4 7 2 5 2 3" xfId="24141" xr:uid="{00000000-0005-0000-0000-00000BED0000}"/>
    <cellStyle name="Normal 4 7 2 5 2 3 2" xfId="56012" xr:uid="{00000000-0005-0000-0000-00000CED0000}"/>
    <cellStyle name="Normal 4 7 2 5 2 4" xfId="47307" xr:uid="{00000000-0005-0000-0000-00000DED0000}"/>
    <cellStyle name="Normal 4 7 2 5 3" xfId="15430" xr:uid="{00000000-0005-0000-0000-00000EED0000}"/>
    <cellStyle name="Normal 4 7 2 5 3 2" xfId="28080" xr:uid="{00000000-0005-0000-0000-00000FED0000}"/>
    <cellStyle name="Normal 4 7 2 5 3 2 2" xfId="59951" xr:uid="{00000000-0005-0000-0000-000010ED0000}"/>
    <cellStyle name="Normal 4 7 2 5 3 3" xfId="47309" xr:uid="{00000000-0005-0000-0000-000011ED0000}"/>
    <cellStyle name="Normal 4 7 2 5 4" xfId="20202" xr:uid="{00000000-0005-0000-0000-000012ED0000}"/>
    <cellStyle name="Normal 4 7 2 5 4 2" xfId="52073" xr:uid="{00000000-0005-0000-0000-000013ED0000}"/>
    <cellStyle name="Normal 4 7 2 5 5" xfId="47306" xr:uid="{00000000-0005-0000-0000-000014ED0000}"/>
    <cellStyle name="Normal 4 7 2 6" xfId="15431" xr:uid="{00000000-0005-0000-0000-000015ED0000}"/>
    <cellStyle name="Normal 4 7 2 6 2" xfId="15432" xr:uid="{00000000-0005-0000-0000-000016ED0000}"/>
    <cellStyle name="Normal 4 7 2 6 2 2" xfId="28424" xr:uid="{00000000-0005-0000-0000-000017ED0000}"/>
    <cellStyle name="Normal 4 7 2 6 2 2 2" xfId="60295" xr:uid="{00000000-0005-0000-0000-000018ED0000}"/>
    <cellStyle name="Normal 4 7 2 6 2 3" xfId="47311" xr:uid="{00000000-0005-0000-0000-000019ED0000}"/>
    <cellStyle name="Normal 4 7 2 6 3" xfId="20546" xr:uid="{00000000-0005-0000-0000-00001AED0000}"/>
    <cellStyle name="Normal 4 7 2 6 3 2" xfId="52417" xr:uid="{00000000-0005-0000-0000-00001BED0000}"/>
    <cellStyle name="Normal 4 7 2 6 4" xfId="47310" xr:uid="{00000000-0005-0000-0000-00001CED0000}"/>
    <cellStyle name="Normal 4 7 2 7" xfId="15433" xr:uid="{00000000-0005-0000-0000-00001DED0000}"/>
    <cellStyle name="Normal 4 7 2 7 2" xfId="24485" xr:uid="{00000000-0005-0000-0000-00001EED0000}"/>
    <cellStyle name="Normal 4 7 2 7 2 2" xfId="56356" xr:uid="{00000000-0005-0000-0000-00001FED0000}"/>
    <cellStyle name="Normal 4 7 2 7 3" xfId="47312" xr:uid="{00000000-0005-0000-0000-000020ED0000}"/>
    <cellStyle name="Normal 4 7 2 8" xfId="16607" xr:uid="{00000000-0005-0000-0000-000021ED0000}"/>
    <cellStyle name="Normal 4 7 2 8 2" xfId="48478" xr:uid="{00000000-0005-0000-0000-000022ED0000}"/>
    <cellStyle name="Normal 4 7 2 9" xfId="47249" xr:uid="{00000000-0005-0000-0000-000023ED0000}"/>
    <cellStyle name="Normal 4 7 3" xfId="15434" xr:uid="{00000000-0005-0000-0000-000024ED0000}"/>
    <cellStyle name="Normal 4 7 3 2" xfId="15435" xr:uid="{00000000-0005-0000-0000-000025ED0000}"/>
    <cellStyle name="Normal 4 7 3 2 2" xfId="15436" xr:uid="{00000000-0005-0000-0000-000026ED0000}"/>
    <cellStyle name="Normal 4 7 3 2 2 2" xfId="15437" xr:uid="{00000000-0005-0000-0000-000027ED0000}"/>
    <cellStyle name="Normal 4 7 3 2 2 2 2" xfId="15438" xr:uid="{00000000-0005-0000-0000-000028ED0000}"/>
    <cellStyle name="Normal 4 7 3 2 2 2 2 2" xfId="15439" xr:uid="{00000000-0005-0000-0000-000029ED0000}"/>
    <cellStyle name="Normal 4 7 3 2 2 2 2 2 2" xfId="32023" xr:uid="{00000000-0005-0000-0000-00002AED0000}"/>
    <cellStyle name="Normal 4 7 3 2 2 2 2 2 2 2" xfId="63894" xr:uid="{00000000-0005-0000-0000-00002BED0000}"/>
    <cellStyle name="Normal 4 7 3 2 2 2 2 2 3" xfId="47318" xr:uid="{00000000-0005-0000-0000-00002CED0000}"/>
    <cellStyle name="Normal 4 7 3 2 2 2 2 3" xfId="24145" xr:uid="{00000000-0005-0000-0000-00002DED0000}"/>
    <cellStyle name="Normal 4 7 3 2 2 2 2 3 2" xfId="56016" xr:uid="{00000000-0005-0000-0000-00002EED0000}"/>
    <cellStyle name="Normal 4 7 3 2 2 2 2 4" xfId="47317" xr:uid="{00000000-0005-0000-0000-00002FED0000}"/>
    <cellStyle name="Normal 4 7 3 2 2 2 3" xfId="15440" xr:uid="{00000000-0005-0000-0000-000030ED0000}"/>
    <cellStyle name="Normal 4 7 3 2 2 2 3 2" xfId="28084" xr:uid="{00000000-0005-0000-0000-000031ED0000}"/>
    <cellStyle name="Normal 4 7 3 2 2 2 3 2 2" xfId="59955" xr:uid="{00000000-0005-0000-0000-000032ED0000}"/>
    <cellStyle name="Normal 4 7 3 2 2 2 3 3" xfId="47319" xr:uid="{00000000-0005-0000-0000-000033ED0000}"/>
    <cellStyle name="Normal 4 7 3 2 2 2 4" xfId="20206" xr:uid="{00000000-0005-0000-0000-000034ED0000}"/>
    <cellStyle name="Normal 4 7 3 2 2 2 4 2" xfId="52077" xr:uid="{00000000-0005-0000-0000-000035ED0000}"/>
    <cellStyle name="Normal 4 7 3 2 2 2 5" xfId="47316" xr:uid="{00000000-0005-0000-0000-000036ED0000}"/>
    <cellStyle name="Normal 4 7 3 2 2 3" xfId="15441" xr:uid="{00000000-0005-0000-0000-000037ED0000}"/>
    <cellStyle name="Normal 4 7 3 2 2 3 2" xfId="15442" xr:uid="{00000000-0005-0000-0000-000038ED0000}"/>
    <cellStyle name="Normal 4 7 3 2 2 3 2 2" xfId="32022" xr:uid="{00000000-0005-0000-0000-000039ED0000}"/>
    <cellStyle name="Normal 4 7 3 2 2 3 2 2 2" xfId="63893" xr:uid="{00000000-0005-0000-0000-00003AED0000}"/>
    <cellStyle name="Normal 4 7 3 2 2 3 2 3" xfId="47321" xr:uid="{00000000-0005-0000-0000-00003BED0000}"/>
    <cellStyle name="Normal 4 7 3 2 2 3 3" xfId="24144" xr:uid="{00000000-0005-0000-0000-00003CED0000}"/>
    <cellStyle name="Normal 4 7 3 2 2 3 3 2" xfId="56015" xr:uid="{00000000-0005-0000-0000-00003DED0000}"/>
    <cellStyle name="Normal 4 7 3 2 2 3 4" xfId="47320" xr:uid="{00000000-0005-0000-0000-00003EED0000}"/>
    <cellStyle name="Normal 4 7 3 2 2 4" xfId="15443" xr:uid="{00000000-0005-0000-0000-00003FED0000}"/>
    <cellStyle name="Normal 4 7 3 2 2 4 2" xfId="28083" xr:uid="{00000000-0005-0000-0000-000040ED0000}"/>
    <cellStyle name="Normal 4 7 3 2 2 4 2 2" xfId="59954" xr:uid="{00000000-0005-0000-0000-000041ED0000}"/>
    <cellStyle name="Normal 4 7 3 2 2 4 3" xfId="47322" xr:uid="{00000000-0005-0000-0000-000042ED0000}"/>
    <cellStyle name="Normal 4 7 3 2 2 5" xfId="20205" xr:uid="{00000000-0005-0000-0000-000043ED0000}"/>
    <cellStyle name="Normal 4 7 3 2 2 5 2" xfId="52076" xr:uid="{00000000-0005-0000-0000-000044ED0000}"/>
    <cellStyle name="Normal 4 7 3 2 2 6" xfId="47315" xr:uid="{00000000-0005-0000-0000-000045ED0000}"/>
    <cellStyle name="Normal 4 7 3 2 3" xfId="15444" xr:uid="{00000000-0005-0000-0000-000046ED0000}"/>
    <cellStyle name="Normal 4 7 3 2 3 2" xfId="15445" xr:uid="{00000000-0005-0000-0000-000047ED0000}"/>
    <cellStyle name="Normal 4 7 3 2 3 2 2" xfId="15446" xr:uid="{00000000-0005-0000-0000-000048ED0000}"/>
    <cellStyle name="Normal 4 7 3 2 3 2 2 2" xfId="32024" xr:uid="{00000000-0005-0000-0000-000049ED0000}"/>
    <cellStyle name="Normal 4 7 3 2 3 2 2 2 2" xfId="63895" xr:uid="{00000000-0005-0000-0000-00004AED0000}"/>
    <cellStyle name="Normal 4 7 3 2 3 2 2 3" xfId="47325" xr:uid="{00000000-0005-0000-0000-00004BED0000}"/>
    <cellStyle name="Normal 4 7 3 2 3 2 3" xfId="24146" xr:uid="{00000000-0005-0000-0000-00004CED0000}"/>
    <cellStyle name="Normal 4 7 3 2 3 2 3 2" xfId="56017" xr:uid="{00000000-0005-0000-0000-00004DED0000}"/>
    <cellStyle name="Normal 4 7 3 2 3 2 4" xfId="47324" xr:uid="{00000000-0005-0000-0000-00004EED0000}"/>
    <cellStyle name="Normal 4 7 3 2 3 3" xfId="15447" xr:uid="{00000000-0005-0000-0000-00004FED0000}"/>
    <cellStyle name="Normal 4 7 3 2 3 3 2" xfId="28085" xr:uid="{00000000-0005-0000-0000-000050ED0000}"/>
    <cellStyle name="Normal 4 7 3 2 3 3 2 2" xfId="59956" xr:uid="{00000000-0005-0000-0000-000051ED0000}"/>
    <cellStyle name="Normal 4 7 3 2 3 3 3" xfId="47326" xr:uid="{00000000-0005-0000-0000-000052ED0000}"/>
    <cellStyle name="Normal 4 7 3 2 3 4" xfId="20207" xr:uid="{00000000-0005-0000-0000-000053ED0000}"/>
    <cellStyle name="Normal 4 7 3 2 3 4 2" xfId="52078" xr:uid="{00000000-0005-0000-0000-000054ED0000}"/>
    <cellStyle name="Normal 4 7 3 2 3 5" xfId="47323" xr:uid="{00000000-0005-0000-0000-000055ED0000}"/>
    <cellStyle name="Normal 4 7 3 2 4" xfId="15448" xr:uid="{00000000-0005-0000-0000-000056ED0000}"/>
    <cellStyle name="Normal 4 7 3 2 4 2" xfId="15449" xr:uid="{00000000-0005-0000-0000-000057ED0000}"/>
    <cellStyle name="Normal 4 7 3 2 4 2 2" xfId="32021" xr:uid="{00000000-0005-0000-0000-000058ED0000}"/>
    <cellStyle name="Normal 4 7 3 2 4 2 2 2" xfId="63892" xr:uid="{00000000-0005-0000-0000-000059ED0000}"/>
    <cellStyle name="Normal 4 7 3 2 4 2 3" xfId="47328" xr:uid="{00000000-0005-0000-0000-00005AED0000}"/>
    <cellStyle name="Normal 4 7 3 2 4 3" xfId="24143" xr:uid="{00000000-0005-0000-0000-00005BED0000}"/>
    <cellStyle name="Normal 4 7 3 2 4 3 2" xfId="56014" xr:uid="{00000000-0005-0000-0000-00005CED0000}"/>
    <cellStyle name="Normal 4 7 3 2 4 4" xfId="47327" xr:uid="{00000000-0005-0000-0000-00005DED0000}"/>
    <cellStyle name="Normal 4 7 3 2 5" xfId="15450" xr:uid="{00000000-0005-0000-0000-00005EED0000}"/>
    <cellStyle name="Normal 4 7 3 2 5 2" xfId="28082" xr:uid="{00000000-0005-0000-0000-00005FED0000}"/>
    <cellStyle name="Normal 4 7 3 2 5 2 2" xfId="59953" xr:uid="{00000000-0005-0000-0000-000060ED0000}"/>
    <cellStyle name="Normal 4 7 3 2 5 3" xfId="47329" xr:uid="{00000000-0005-0000-0000-000061ED0000}"/>
    <cellStyle name="Normal 4 7 3 2 6" xfId="20204" xr:uid="{00000000-0005-0000-0000-000062ED0000}"/>
    <cellStyle name="Normal 4 7 3 2 6 2" xfId="52075" xr:uid="{00000000-0005-0000-0000-000063ED0000}"/>
    <cellStyle name="Normal 4 7 3 2 7" xfId="47314" xr:uid="{00000000-0005-0000-0000-000064ED0000}"/>
    <cellStyle name="Normal 4 7 3 3" xfId="15451" xr:uid="{00000000-0005-0000-0000-000065ED0000}"/>
    <cellStyle name="Normal 4 7 3 3 2" xfId="15452" xr:uid="{00000000-0005-0000-0000-000066ED0000}"/>
    <cellStyle name="Normal 4 7 3 3 2 2" xfId="15453" xr:uid="{00000000-0005-0000-0000-000067ED0000}"/>
    <cellStyle name="Normal 4 7 3 3 2 2 2" xfId="15454" xr:uid="{00000000-0005-0000-0000-000068ED0000}"/>
    <cellStyle name="Normal 4 7 3 3 2 2 2 2" xfId="32026" xr:uid="{00000000-0005-0000-0000-000069ED0000}"/>
    <cellStyle name="Normal 4 7 3 3 2 2 2 2 2" xfId="63897" xr:uid="{00000000-0005-0000-0000-00006AED0000}"/>
    <cellStyle name="Normal 4 7 3 3 2 2 2 3" xfId="47333" xr:uid="{00000000-0005-0000-0000-00006BED0000}"/>
    <cellStyle name="Normal 4 7 3 3 2 2 3" xfId="24148" xr:uid="{00000000-0005-0000-0000-00006CED0000}"/>
    <cellStyle name="Normal 4 7 3 3 2 2 3 2" xfId="56019" xr:uid="{00000000-0005-0000-0000-00006DED0000}"/>
    <cellStyle name="Normal 4 7 3 3 2 2 4" xfId="47332" xr:uid="{00000000-0005-0000-0000-00006EED0000}"/>
    <cellStyle name="Normal 4 7 3 3 2 3" xfId="15455" xr:uid="{00000000-0005-0000-0000-00006FED0000}"/>
    <cellStyle name="Normal 4 7 3 3 2 3 2" xfId="28087" xr:uid="{00000000-0005-0000-0000-000070ED0000}"/>
    <cellStyle name="Normal 4 7 3 3 2 3 2 2" xfId="59958" xr:uid="{00000000-0005-0000-0000-000071ED0000}"/>
    <cellStyle name="Normal 4 7 3 3 2 3 3" xfId="47334" xr:uid="{00000000-0005-0000-0000-000072ED0000}"/>
    <cellStyle name="Normal 4 7 3 3 2 4" xfId="20209" xr:uid="{00000000-0005-0000-0000-000073ED0000}"/>
    <cellStyle name="Normal 4 7 3 3 2 4 2" xfId="52080" xr:uid="{00000000-0005-0000-0000-000074ED0000}"/>
    <cellStyle name="Normal 4 7 3 3 2 5" xfId="47331" xr:uid="{00000000-0005-0000-0000-000075ED0000}"/>
    <cellStyle name="Normal 4 7 3 3 3" xfId="15456" xr:uid="{00000000-0005-0000-0000-000076ED0000}"/>
    <cellStyle name="Normal 4 7 3 3 3 2" xfId="15457" xr:uid="{00000000-0005-0000-0000-000077ED0000}"/>
    <cellStyle name="Normal 4 7 3 3 3 2 2" xfId="32025" xr:uid="{00000000-0005-0000-0000-000078ED0000}"/>
    <cellStyle name="Normal 4 7 3 3 3 2 2 2" xfId="63896" xr:uid="{00000000-0005-0000-0000-000079ED0000}"/>
    <cellStyle name="Normal 4 7 3 3 3 2 3" xfId="47336" xr:uid="{00000000-0005-0000-0000-00007AED0000}"/>
    <cellStyle name="Normal 4 7 3 3 3 3" xfId="24147" xr:uid="{00000000-0005-0000-0000-00007BED0000}"/>
    <cellStyle name="Normal 4 7 3 3 3 3 2" xfId="56018" xr:uid="{00000000-0005-0000-0000-00007CED0000}"/>
    <cellStyle name="Normal 4 7 3 3 3 4" xfId="47335" xr:uid="{00000000-0005-0000-0000-00007DED0000}"/>
    <cellStyle name="Normal 4 7 3 3 4" xfId="15458" xr:uid="{00000000-0005-0000-0000-00007EED0000}"/>
    <cellStyle name="Normal 4 7 3 3 4 2" xfId="28086" xr:uid="{00000000-0005-0000-0000-00007FED0000}"/>
    <cellStyle name="Normal 4 7 3 3 4 2 2" xfId="59957" xr:uid="{00000000-0005-0000-0000-000080ED0000}"/>
    <cellStyle name="Normal 4 7 3 3 4 3" xfId="47337" xr:uid="{00000000-0005-0000-0000-000081ED0000}"/>
    <cellStyle name="Normal 4 7 3 3 5" xfId="20208" xr:uid="{00000000-0005-0000-0000-000082ED0000}"/>
    <cellStyle name="Normal 4 7 3 3 5 2" xfId="52079" xr:uid="{00000000-0005-0000-0000-000083ED0000}"/>
    <cellStyle name="Normal 4 7 3 3 6" xfId="47330" xr:uid="{00000000-0005-0000-0000-000084ED0000}"/>
    <cellStyle name="Normal 4 7 3 4" xfId="15459" xr:uid="{00000000-0005-0000-0000-000085ED0000}"/>
    <cellStyle name="Normal 4 7 3 4 2" xfId="15460" xr:uid="{00000000-0005-0000-0000-000086ED0000}"/>
    <cellStyle name="Normal 4 7 3 4 2 2" xfId="15461" xr:uid="{00000000-0005-0000-0000-000087ED0000}"/>
    <cellStyle name="Normal 4 7 3 4 2 2 2" xfId="32027" xr:uid="{00000000-0005-0000-0000-000088ED0000}"/>
    <cellStyle name="Normal 4 7 3 4 2 2 2 2" xfId="63898" xr:uid="{00000000-0005-0000-0000-000089ED0000}"/>
    <cellStyle name="Normal 4 7 3 4 2 2 3" xfId="47340" xr:uid="{00000000-0005-0000-0000-00008AED0000}"/>
    <cellStyle name="Normal 4 7 3 4 2 3" xfId="24149" xr:uid="{00000000-0005-0000-0000-00008BED0000}"/>
    <cellStyle name="Normal 4 7 3 4 2 3 2" xfId="56020" xr:uid="{00000000-0005-0000-0000-00008CED0000}"/>
    <cellStyle name="Normal 4 7 3 4 2 4" xfId="47339" xr:uid="{00000000-0005-0000-0000-00008DED0000}"/>
    <cellStyle name="Normal 4 7 3 4 3" xfId="15462" xr:uid="{00000000-0005-0000-0000-00008EED0000}"/>
    <cellStyle name="Normal 4 7 3 4 3 2" xfId="28088" xr:uid="{00000000-0005-0000-0000-00008FED0000}"/>
    <cellStyle name="Normal 4 7 3 4 3 2 2" xfId="59959" xr:uid="{00000000-0005-0000-0000-000090ED0000}"/>
    <cellStyle name="Normal 4 7 3 4 3 3" xfId="47341" xr:uid="{00000000-0005-0000-0000-000091ED0000}"/>
    <cellStyle name="Normal 4 7 3 4 4" xfId="20210" xr:uid="{00000000-0005-0000-0000-000092ED0000}"/>
    <cellStyle name="Normal 4 7 3 4 4 2" xfId="52081" xr:uid="{00000000-0005-0000-0000-000093ED0000}"/>
    <cellStyle name="Normal 4 7 3 4 5" xfId="47338" xr:uid="{00000000-0005-0000-0000-000094ED0000}"/>
    <cellStyle name="Normal 4 7 3 5" xfId="15463" xr:uid="{00000000-0005-0000-0000-000095ED0000}"/>
    <cellStyle name="Normal 4 7 3 5 2" xfId="15464" xr:uid="{00000000-0005-0000-0000-000096ED0000}"/>
    <cellStyle name="Normal 4 7 3 5 2 2" xfId="32020" xr:uid="{00000000-0005-0000-0000-000097ED0000}"/>
    <cellStyle name="Normal 4 7 3 5 2 2 2" xfId="63891" xr:uid="{00000000-0005-0000-0000-000098ED0000}"/>
    <cellStyle name="Normal 4 7 3 5 2 3" xfId="47343" xr:uid="{00000000-0005-0000-0000-000099ED0000}"/>
    <cellStyle name="Normal 4 7 3 5 3" xfId="24142" xr:uid="{00000000-0005-0000-0000-00009AED0000}"/>
    <cellStyle name="Normal 4 7 3 5 3 2" xfId="56013" xr:uid="{00000000-0005-0000-0000-00009BED0000}"/>
    <cellStyle name="Normal 4 7 3 5 4" xfId="47342" xr:uid="{00000000-0005-0000-0000-00009CED0000}"/>
    <cellStyle name="Normal 4 7 3 6" xfId="15465" xr:uid="{00000000-0005-0000-0000-00009DED0000}"/>
    <cellStyle name="Normal 4 7 3 6 2" xfId="28081" xr:uid="{00000000-0005-0000-0000-00009EED0000}"/>
    <cellStyle name="Normal 4 7 3 6 2 2" xfId="59952" xr:uid="{00000000-0005-0000-0000-00009FED0000}"/>
    <cellStyle name="Normal 4 7 3 6 3" xfId="47344" xr:uid="{00000000-0005-0000-0000-0000A0ED0000}"/>
    <cellStyle name="Normal 4 7 3 7" xfId="20203" xr:uid="{00000000-0005-0000-0000-0000A1ED0000}"/>
    <cellStyle name="Normal 4 7 3 7 2" xfId="52074" xr:uid="{00000000-0005-0000-0000-0000A2ED0000}"/>
    <cellStyle name="Normal 4 7 3 8" xfId="47313" xr:uid="{00000000-0005-0000-0000-0000A3ED0000}"/>
    <cellStyle name="Normal 4 7 4" xfId="15466" xr:uid="{00000000-0005-0000-0000-0000A4ED0000}"/>
    <cellStyle name="Normal 4 7 4 2" xfId="15467" xr:uid="{00000000-0005-0000-0000-0000A5ED0000}"/>
    <cellStyle name="Normal 4 7 4 2 2" xfId="15468" xr:uid="{00000000-0005-0000-0000-0000A6ED0000}"/>
    <cellStyle name="Normal 4 7 4 2 2 2" xfId="15469" xr:uid="{00000000-0005-0000-0000-0000A7ED0000}"/>
    <cellStyle name="Normal 4 7 4 2 2 2 2" xfId="15470" xr:uid="{00000000-0005-0000-0000-0000A8ED0000}"/>
    <cellStyle name="Normal 4 7 4 2 2 2 2 2" xfId="32030" xr:uid="{00000000-0005-0000-0000-0000A9ED0000}"/>
    <cellStyle name="Normal 4 7 4 2 2 2 2 2 2" xfId="63901" xr:uid="{00000000-0005-0000-0000-0000AAED0000}"/>
    <cellStyle name="Normal 4 7 4 2 2 2 2 3" xfId="47349" xr:uid="{00000000-0005-0000-0000-0000ABED0000}"/>
    <cellStyle name="Normal 4 7 4 2 2 2 3" xfId="24152" xr:uid="{00000000-0005-0000-0000-0000ACED0000}"/>
    <cellStyle name="Normal 4 7 4 2 2 2 3 2" xfId="56023" xr:uid="{00000000-0005-0000-0000-0000ADED0000}"/>
    <cellStyle name="Normal 4 7 4 2 2 2 4" xfId="47348" xr:uid="{00000000-0005-0000-0000-0000AEED0000}"/>
    <cellStyle name="Normal 4 7 4 2 2 3" xfId="15471" xr:uid="{00000000-0005-0000-0000-0000AFED0000}"/>
    <cellStyle name="Normal 4 7 4 2 2 3 2" xfId="28091" xr:uid="{00000000-0005-0000-0000-0000B0ED0000}"/>
    <cellStyle name="Normal 4 7 4 2 2 3 2 2" xfId="59962" xr:uid="{00000000-0005-0000-0000-0000B1ED0000}"/>
    <cellStyle name="Normal 4 7 4 2 2 3 3" xfId="47350" xr:uid="{00000000-0005-0000-0000-0000B2ED0000}"/>
    <cellStyle name="Normal 4 7 4 2 2 4" xfId="20213" xr:uid="{00000000-0005-0000-0000-0000B3ED0000}"/>
    <cellStyle name="Normal 4 7 4 2 2 4 2" xfId="52084" xr:uid="{00000000-0005-0000-0000-0000B4ED0000}"/>
    <cellStyle name="Normal 4 7 4 2 2 5" xfId="47347" xr:uid="{00000000-0005-0000-0000-0000B5ED0000}"/>
    <cellStyle name="Normal 4 7 4 2 3" xfId="15472" xr:uid="{00000000-0005-0000-0000-0000B6ED0000}"/>
    <cellStyle name="Normal 4 7 4 2 3 2" xfId="15473" xr:uid="{00000000-0005-0000-0000-0000B7ED0000}"/>
    <cellStyle name="Normal 4 7 4 2 3 2 2" xfId="32029" xr:uid="{00000000-0005-0000-0000-0000B8ED0000}"/>
    <cellStyle name="Normal 4 7 4 2 3 2 2 2" xfId="63900" xr:uid="{00000000-0005-0000-0000-0000B9ED0000}"/>
    <cellStyle name="Normal 4 7 4 2 3 2 3" xfId="47352" xr:uid="{00000000-0005-0000-0000-0000BAED0000}"/>
    <cellStyle name="Normal 4 7 4 2 3 3" xfId="24151" xr:uid="{00000000-0005-0000-0000-0000BBED0000}"/>
    <cellStyle name="Normal 4 7 4 2 3 3 2" xfId="56022" xr:uid="{00000000-0005-0000-0000-0000BCED0000}"/>
    <cellStyle name="Normal 4 7 4 2 3 4" xfId="47351" xr:uid="{00000000-0005-0000-0000-0000BDED0000}"/>
    <cellStyle name="Normal 4 7 4 2 4" xfId="15474" xr:uid="{00000000-0005-0000-0000-0000BEED0000}"/>
    <cellStyle name="Normal 4 7 4 2 4 2" xfId="28090" xr:uid="{00000000-0005-0000-0000-0000BFED0000}"/>
    <cellStyle name="Normal 4 7 4 2 4 2 2" xfId="59961" xr:uid="{00000000-0005-0000-0000-0000C0ED0000}"/>
    <cellStyle name="Normal 4 7 4 2 4 3" xfId="47353" xr:uid="{00000000-0005-0000-0000-0000C1ED0000}"/>
    <cellStyle name="Normal 4 7 4 2 5" xfId="20212" xr:uid="{00000000-0005-0000-0000-0000C2ED0000}"/>
    <cellStyle name="Normal 4 7 4 2 5 2" xfId="52083" xr:uid="{00000000-0005-0000-0000-0000C3ED0000}"/>
    <cellStyle name="Normal 4 7 4 2 6" xfId="47346" xr:uid="{00000000-0005-0000-0000-0000C4ED0000}"/>
    <cellStyle name="Normal 4 7 4 3" xfId="15475" xr:uid="{00000000-0005-0000-0000-0000C5ED0000}"/>
    <cellStyle name="Normal 4 7 4 3 2" xfId="15476" xr:uid="{00000000-0005-0000-0000-0000C6ED0000}"/>
    <cellStyle name="Normal 4 7 4 3 2 2" xfId="15477" xr:uid="{00000000-0005-0000-0000-0000C7ED0000}"/>
    <cellStyle name="Normal 4 7 4 3 2 2 2" xfId="32031" xr:uid="{00000000-0005-0000-0000-0000C8ED0000}"/>
    <cellStyle name="Normal 4 7 4 3 2 2 2 2" xfId="63902" xr:uid="{00000000-0005-0000-0000-0000C9ED0000}"/>
    <cellStyle name="Normal 4 7 4 3 2 2 3" xfId="47356" xr:uid="{00000000-0005-0000-0000-0000CAED0000}"/>
    <cellStyle name="Normal 4 7 4 3 2 3" xfId="24153" xr:uid="{00000000-0005-0000-0000-0000CBED0000}"/>
    <cellStyle name="Normal 4 7 4 3 2 3 2" xfId="56024" xr:uid="{00000000-0005-0000-0000-0000CCED0000}"/>
    <cellStyle name="Normal 4 7 4 3 2 4" xfId="47355" xr:uid="{00000000-0005-0000-0000-0000CDED0000}"/>
    <cellStyle name="Normal 4 7 4 3 3" xfId="15478" xr:uid="{00000000-0005-0000-0000-0000CEED0000}"/>
    <cellStyle name="Normal 4 7 4 3 3 2" xfId="28092" xr:uid="{00000000-0005-0000-0000-0000CFED0000}"/>
    <cellStyle name="Normal 4 7 4 3 3 2 2" xfId="59963" xr:uid="{00000000-0005-0000-0000-0000D0ED0000}"/>
    <cellStyle name="Normal 4 7 4 3 3 3" xfId="47357" xr:uid="{00000000-0005-0000-0000-0000D1ED0000}"/>
    <cellStyle name="Normal 4 7 4 3 4" xfId="20214" xr:uid="{00000000-0005-0000-0000-0000D2ED0000}"/>
    <cellStyle name="Normal 4 7 4 3 4 2" xfId="52085" xr:uid="{00000000-0005-0000-0000-0000D3ED0000}"/>
    <cellStyle name="Normal 4 7 4 3 5" xfId="47354" xr:uid="{00000000-0005-0000-0000-0000D4ED0000}"/>
    <cellStyle name="Normal 4 7 4 4" xfId="15479" xr:uid="{00000000-0005-0000-0000-0000D5ED0000}"/>
    <cellStyle name="Normal 4 7 4 4 2" xfId="15480" xr:uid="{00000000-0005-0000-0000-0000D6ED0000}"/>
    <cellStyle name="Normal 4 7 4 4 2 2" xfId="32028" xr:uid="{00000000-0005-0000-0000-0000D7ED0000}"/>
    <cellStyle name="Normal 4 7 4 4 2 2 2" xfId="63899" xr:uid="{00000000-0005-0000-0000-0000D8ED0000}"/>
    <cellStyle name="Normal 4 7 4 4 2 3" xfId="47359" xr:uid="{00000000-0005-0000-0000-0000D9ED0000}"/>
    <cellStyle name="Normal 4 7 4 4 3" xfId="24150" xr:uid="{00000000-0005-0000-0000-0000DAED0000}"/>
    <cellStyle name="Normal 4 7 4 4 3 2" xfId="56021" xr:uid="{00000000-0005-0000-0000-0000DBED0000}"/>
    <cellStyle name="Normal 4 7 4 4 4" xfId="47358" xr:uid="{00000000-0005-0000-0000-0000DCED0000}"/>
    <cellStyle name="Normal 4 7 4 5" xfId="15481" xr:uid="{00000000-0005-0000-0000-0000DDED0000}"/>
    <cellStyle name="Normal 4 7 4 5 2" xfId="28089" xr:uid="{00000000-0005-0000-0000-0000DEED0000}"/>
    <cellStyle name="Normal 4 7 4 5 2 2" xfId="59960" xr:uid="{00000000-0005-0000-0000-0000DFED0000}"/>
    <cellStyle name="Normal 4 7 4 5 3" xfId="47360" xr:uid="{00000000-0005-0000-0000-0000E0ED0000}"/>
    <cellStyle name="Normal 4 7 4 6" xfId="20211" xr:uid="{00000000-0005-0000-0000-0000E1ED0000}"/>
    <cellStyle name="Normal 4 7 4 6 2" xfId="52082" xr:uid="{00000000-0005-0000-0000-0000E2ED0000}"/>
    <cellStyle name="Normal 4 7 4 7" xfId="47345" xr:uid="{00000000-0005-0000-0000-0000E3ED0000}"/>
    <cellStyle name="Normal 4 7 5" xfId="15482" xr:uid="{00000000-0005-0000-0000-0000E4ED0000}"/>
    <cellStyle name="Normal 4 7 5 2" xfId="15483" xr:uid="{00000000-0005-0000-0000-0000E5ED0000}"/>
    <cellStyle name="Normal 4 7 5 2 2" xfId="15484" xr:uid="{00000000-0005-0000-0000-0000E6ED0000}"/>
    <cellStyle name="Normal 4 7 5 2 2 2" xfId="15485" xr:uid="{00000000-0005-0000-0000-0000E7ED0000}"/>
    <cellStyle name="Normal 4 7 5 2 2 2 2" xfId="32033" xr:uid="{00000000-0005-0000-0000-0000E8ED0000}"/>
    <cellStyle name="Normal 4 7 5 2 2 2 2 2" xfId="63904" xr:uid="{00000000-0005-0000-0000-0000E9ED0000}"/>
    <cellStyle name="Normal 4 7 5 2 2 2 3" xfId="47364" xr:uid="{00000000-0005-0000-0000-0000EAED0000}"/>
    <cellStyle name="Normal 4 7 5 2 2 3" xfId="24155" xr:uid="{00000000-0005-0000-0000-0000EBED0000}"/>
    <cellStyle name="Normal 4 7 5 2 2 3 2" xfId="56026" xr:uid="{00000000-0005-0000-0000-0000ECED0000}"/>
    <cellStyle name="Normal 4 7 5 2 2 4" xfId="47363" xr:uid="{00000000-0005-0000-0000-0000EDED0000}"/>
    <cellStyle name="Normal 4 7 5 2 3" xfId="15486" xr:uid="{00000000-0005-0000-0000-0000EEED0000}"/>
    <cellStyle name="Normal 4 7 5 2 3 2" xfId="28094" xr:uid="{00000000-0005-0000-0000-0000EFED0000}"/>
    <cellStyle name="Normal 4 7 5 2 3 2 2" xfId="59965" xr:uid="{00000000-0005-0000-0000-0000F0ED0000}"/>
    <cellStyle name="Normal 4 7 5 2 3 3" xfId="47365" xr:uid="{00000000-0005-0000-0000-0000F1ED0000}"/>
    <cellStyle name="Normal 4 7 5 2 4" xfId="20216" xr:uid="{00000000-0005-0000-0000-0000F2ED0000}"/>
    <cellStyle name="Normal 4 7 5 2 4 2" xfId="52087" xr:uid="{00000000-0005-0000-0000-0000F3ED0000}"/>
    <cellStyle name="Normal 4 7 5 2 5" xfId="47362" xr:uid="{00000000-0005-0000-0000-0000F4ED0000}"/>
    <cellStyle name="Normal 4 7 5 3" xfId="15487" xr:uid="{00000000-0005-0000-0000-0000F5ED0000}"/>
    <cellStyle name="Normal 4 7 5 3 2" xfId="15488" xr:uid="{00000000-0005-0000-0000-0000F6ED0000}"/>
    <cellStyle name="Normal 4 7 5 3 2 2" xfId="32032" xr:uid="{00000000-0005-0000-0000-0000F7ED0000}"/>
    <cellStyle name="Normal 4 7 5 3 2 2 2" xfId="63903" xr:uid="{00000000-0005-0000-0000-0000F8ED0000}"/>
    <cellStyle name="Normal 4 7 5 3 2 3" xfId="47367" xr:uid="{00000000-0005-0000-0000-0000F9ED0000}"/>
    <cellStyle name="Normal 4 7 5 3 3" xfId="24154" xr:uid="{00000000-0005-0000-0000-0000FAED0000}"/>
    <cellStyle name="Normal 4 7 5 3 3 2" xfId="56025" xr:uid="{00000000-0005-0000-0000-0000FBED0000}"/>
    <cellStyle name="Normal 4 7 5 3 4" xfId="47366" xr:uid="{00000000-0005-0000-0000-0000FCED0000}"/>
    <cellStyle name="Normal 4 7 5 4" xfId="15489" xr:uid="{00000000-0005-0000-0000-0000FDED0000}"/>
    <cellStyle name="Normal 4 7 5 4 2" xfId="28093" xr:uid="{00000000-0005-0000-0000-0000FEED0000}"/>
    <cellStyle name="Normal 4 7 5 4 2 2" xfId="59964" xr:uid="{00000000-0005-0000-0000-0000FFED0000}"/>
    <cellStyle name="Normal 4 7 5 4 3" xfId="47368" xr:uid="{00000000-0005-0000-0000-000000EE0000}"/>
    <cellStyle name="Normal 4 7 5 5" xfId="20215" xr:uid="{00000000-0005-0000-0000-000001EE0000}"/>
    <cellStyle name="Normal 4 7 5 5 2" xfId="52086" xr:uid="{00000000-0005-0000-0000-000002EE0000}"/>
    <cellStyle name="Normal 4 7 5 6" xfId="47361" xr:uid="{00000000-0005-0000-0000-000003EE0000}"/>
    <cellStyle name="Normal 4 7 6" xfId="15490" xr:uid="{00000000-0005-0000-0000-000004EE0000}"/>
    <cellStyle name="Normal 4 7 6 2" xfId="15491" xr:uid="{00000000-0005-0000-0000-000005EE0000}"/>
    <cellStyle name="Normal 4 7 6 2 2" xfId="15492" xr:uid="{00000000-0005-0000-0000-000006EE0000}"/>
    <cellStyle name="Normal 4 7 6 2 2 2" xfId="32034" xr:uid="{00000000-0005-0000-0000-000007EE0000}"/>
    <cellStyle name="Normal 4 7 6 2 2 2 2" xfId="63905" xr:uid="{00000000-0005-0000-0000-000008EE0000}"/>
    <cellStyle name="Normal 4 7 6 2 2 3" xfId="47371" xr:uid="{00000000-0005-0000-0000-000009EE0000}"/>
    <cellStyle name="Normal 4 7 6 2 3" xfId="24156" xr:uid="{00000000-0005-0000-0000-00000AEE0000}"/>
    <cellStyle name="Normal 4 7 6 2 3 2" xfId="56027" xr:uid="{00000000-0005-0000-0000-00000BEE0000}"/>
    <cellStyle name="Normal 4 7 6 2 4" xfId="47370" xr:uid="{00000000-0005-0000-0000-00000CEE0000}"/>
    <cellStyle name="Normal 4 7 6 3" xfId="15493" xr:uid="{00000000-0005-0000-0000-00000DEE0000}"/>
    <cellStyle name="Normal 4 7 6 3 2" xfId="28095" xr:uid="{00000000-0005-0000-0000-00000EEE0000}"/>
    <cellStyle name="Normal 4 7 6 3 2 2" xfId="59966" xr:uid="{00000000-0005-0000-0000-00000FEE0000}"/>
    <cellStyle name="Normal 4 7 6 3 3" xfId="47372" xr:uid="{00000000-0005-0000-0000-000010EE0000}"/>
    <cellStyle name="Normal 4 7 6 4" xfId="20217" xr:uid="{00000000-0005-0000-0000-000011EE0000}"/>
    <cellStyle name="Normal 4 7 6 4 2" xfId="52088" xr:uid="{00000000-0005-0000-0000-000012EE0000}"/>
    <cellStyle name="Normal 4 7 6 5" xfId="47369" xr:uid="{00000000-0005-0000-0000-000013EE0000}"/>
    <cellStyle name="Normal 4 7 7" xfId="15494" xr:uid="{00000000-0005-0000-0000-000014EE0000}"/>
    <cellStyle name="Normal 4 7 7 2" xfId="15495" xr:uid="{00000000-0005-0000-0000-000015EE0000}"/>
    <cellStyle name="Normal 4 7 7 2 2" xfId="28301" xr:uid="{00000000-0005-0000-0000-000016EE0000}"/>
    <cellStyle name="Normal 4 7 7 2 2 2" xfId="60172" xr:uid="{00000000-0005-0000-0000-000017EE0000}"/>
    <cellStyle name="Normal 4 7 7 2 3" xfId="47374" xr:uid="{00000000-0005-0000-0000-000018EE0000}"/>
    <cellStyle name="Normal 4 7 7 3" xfId="20423" xr:uid="{00000000-0005-0000-0000-000019EE0000}"/>
    <cellStyle name="Normal 4 7 7 3 2" xfId="52294" xr:uid="{00000000-0005-0000-0000-00001AEE0000}"/>
    <cellStyle name="Normal 4 7 7 4" xfId="47373" xr:uid="{00000000-0005-0000-0000-00001BEE0000}"/>
    <cellStyle name="Normal 4 7 8" xfId="15496" xr:uid="{00000000-0005-0000-0000-00001CEE0000}"/>
    <cellStyle name="Normal 4 7 8 2" xfId="24362" xr:uid="{00000000-0005-0000-0000-00001DEE0000}"/>
    <cellStyle name="Normal 4 7 8 2 2" xfId="56233" xr:uid="{00000000-0005-0000-0000-00001EEE0000}"/>
    <cellStyle name="Normal 4 7 8 3" xfId="47375" xr:uid="{00000000-0005-0000-0000-00001FEE0000}"/>
    <cellStyle name="Normal 4 7 9" xfId="16484" xr:uid="{00000000-0005-0000-0000-000020EE0000}"/>
    <cellStyle name="Normal 4 7 9 2" xfId="48355" xr:uid="{00000000-0005-0000-0000-000021EE0000}"/>
    <cellStyle name="Normal 4 8" xfId="15497" xr:uid="{00000000-0005-0000-0000-000022EE0000}"/>
    <cellStyle name="Normal 4 8 10" xfId="47376" xr:uid="{00000000-0005-0000-0000-000023EE0000}"/>
    <cellStyle name="Normal 4 8 2" xfId="15498" xr:uid="{00000000-0005-0000-0000-000024EE0000}"/>
    <cellStyle name="Normal 4 8 2 2" xfId="15499" xr:uid="{00000000-0005-0000-0000-000025EE0000}"/>
    <cellStyle name="Normal 4 8 2 2 2" xfId="15500" xr:uid="{00000000-0005-0000-0000-000026EE0000}"/>
    <cellStyle name="Normal 4 8 2 2 2 2" xfId="15501" xr:uid="{00000000-0005-0000-0000-000027EE0000}"/>
    <cellStyle name="Normal 4 8 2 2 2 2 2" xfId="15502" xr:uid="{00000000-0005-0000-0000-000028EE0000}"/>
    <cellStyle name="Normal 4 8 2 2 2 2 2 2" xfId="15503" xr:uid="{00000000-0005-0000-0000-000029EE0000}"/>
    <cellStyle name="Normal 4 8 2 2 2 2 2 2 2" xfId="15504" xr:uid="{00000000-0005-0000-0000-00002AEE0000}"/>
    <cellStyle name="Normal 4 8 2 2 2 2 2 2 2 2" xfId="32038" xr:uid="{00000000-0005-0000-0000-00002BEE0000}"/>
    <cellStyle name="Normal 4 8 2 2 2 2 2 2 2 2 2" xfId="63909" xr:uid="{00000000-0005-0000-0000-00002CEE0000}"/>
    <cellStyle name="Normal 4 8 2 2 2 2 2 2 2 3" xfId="47383" xr:uid="{00000000-0005-0000-0000-00002DEE0000}"/>
    <cellStyle name="Normal 4 8 2 2 2 2 2 2 3" xfId="24160" xr:uid="{00000000-0005-0000-0000-00002EEE0000}"/>
    <cellStyle name="Normal 4 8 2 2 2 2 2 2 3 2" xfId="56031" xr:uid="{00000000-0005-0000-0000-00002FEE0000}"/>
    <cellStyle name="Normal 4 8 2 2 2 2 2 2 4" xfId="47382" xr:uid="{00000000-0005-0000-0000-000030EE0000}"/>
    <cellStyle name="Normal 4 8 2 2 2 2 2 3" xfId="15505" xr:uid="{00000000-0005-0000-0000-000031EE0000}"/>
    <cellStyle name="Normal 4 8 2 2 2 2 2 3 2" xfId="28099" xr:uid="{00000000-0005-0000-0000-000032EE0000}"/>
    <cellStyle name="Normal 4 8 2 2 2 2 2 3 2 2" xfId="59970" xr:uid="{00000000-0005-0000-0000-000033EE0000}"/>
    <cellStyle name="Normal 4 8 2 2 2 2 2 3 3" xfId="47384" xr:uid="{00000000-0005-0000-0000-000034EE0000}"/>
    <cellStyle name="Normal 4 8 2 2 2 2 2 4" xfId="20221" xr:uid="{00000000-0005-0000-0000-000035EE0000}"/>
    <cellStyle name="Normal 4 8 2 2 2 2 2 4 2" xfId="52092" xr:uid="{00000000-0005-0000-0000-000036EE0000}"/>
    <cellStyle name="Normal 4 8 2 2 2 2 2 5" xfId="47381" xr:uid="{00000000-0005-0000-0000-000037EE0000}"/>
    <cellStyle name="Normal 4 8 2 2 2 2 3" xfId="15506" xr:uid="{00000000-0005-0000-0000-000038EE0000}"/>
    <cellStyle name="Normal 4 8 2 2 2 2 3 2" xfId="15507" xr:uid="{00000000-0005-0000-0000-000039EE0000}"/>
    <cellStyle name="Normal 4 8 2 2 2 2 3 2 2" xfId="32037" xr:uid="{00000000-0005-0000-0000-00003AEE0000}"/>
    <cellStyle name="Normal 4 8 2 2 2 2 3 2 2 2" xfId="63908" xr:uid="{00000000-0005-0000-0000-00003BEE0000}"/>
    <cellStyle name="Normal 4 8 2 2 2 2 3 2 3" xfId="47386" xr:uid="{00000000-0005-0000-0000-00003CEE0000}"/>
    <cellStyle name="Normal 4 8 2 2 2 2 3 3" xfId="24159" xr:uid="{00000000-0005-0000-0000-00003DEE0000}"/>
    <cellStyle name="Normal 4 8 2 2 2 2 3 3 2" xfId="56030" xr:uid="{00000000-0005-0000-0000-00003EEE0000}"/>
    <cellStyle name="Normal 4 8 2 2 2 2 3 4" xfId="47385" xr:uid="{00000000-0005-0000-0000-00003FEE0000}"/>
    <cellStyle name="Normal 4 8 2 2 2 2 4" xfId="15508" xr:uid="{00000000-0005-0000-0000-000040EE0000}"/>
    <cellStyle name="Normal 4 8 2 2 2 2 4 2" xfId="28098" xr:uid="{00000000-0005-0000-0000-000041EE0000}"/>
    <cellStyle name="Normal 4 8 2 2 2 2 4 2 2" xfId="59969" xr:uid="{00000000-0005-0000-0000-000042EE0000}"/>
    <cellStyle name="Normal 4 8 2 2 2 2 4 3" xfId="47387" xr:uid="{00000000-0005-0000-0000-000043EE0000}"/>
    <cellStyle name="Normal 4 8 2 2 2 2 5" xfId="20220" xr:uid="{00000000-0005-0000-0000-000044EE0000}"/>
    <cellStyle name="Normal 4 8 2 2 2 2 5 2" xfId="52091" xr:uid="{00000000-0005-0000-0000-000045EE0000}"/>
    <cellStyle name="Normal 4 8 2 2 2 2 6" xfId="47380" xr:uid="{00000000-0005-0000-0000-000046EE0000}"/>
    <cellStyle name="Normal 4 8 2 2 2 3" xfId="15509" xr:uid="{00000000-0005-0000-0000-000047EE0000}"/>
    <cellStyle name="Normal 4 8 2 2 2 3 2" xfId="15510" xr:uid="{00000000-0005-0000-0000-000048EE0000}"/>
    <cellStyle name="Normal 4 8 2 2 2 3 2 2" xfId="15511" xr:uid="{00000000-0005-0000-0000-000049EE0000}"/>
    <cellStyle name="Normal 4 8 2 2 2 3 2 2 2" xfId="32039" xr:uid="{00000000-0005-0000-0000-00004AEE0000}"/>
    <cellStyle name="Normal 4 8 2 2 2 3 2 2 2 2" xfId="63910" xr:uid="{00000000-0005-0000-0000-00004BEE0000}"/>
    <cellStyle name="Normal 4 8 2 2 2 3 2 2 3" xfId="47390" xr:uid="{00000000-0005-0000-0000-00004CEE0000}"/>
    <cellStyle name="Normal 4 8 2 2 2 3 2 3" xfId="24161" xr:uid="{00000000-0005-0000-0000-00004DEE0000}"/>
    <cellStyle name="Normal 4 8 2 2 2 3 2 3 2" xfId="56032" xr:uid="{00000000-0005-0000-0000-00004EEE0000}"/>
    <cellStyle name="Normal 4 8 2 2 2 3 2 4" xfId="47389" xr:uid="{00000000-0005-0000-0000-00004FEE0000}"/>
    <cellStyle name="Normal 4 8 2 2 2 3 3" xfId="15512" xr:uid="{00000000-0005-0000-0000-000050EE0000}"/>
    <cellStyle name="Normal 4 8 2 2 2 3 3 2" xfId="28100" xr:uid="{00000000-0005-0000-0000-000051EE0000}"/>
    <cellStyle name="Normal 4 8 2 2 2 3 3 2 2" xfId="59971" xr:uid="{00000000-0005-0000-0000-000052EE0000}"/>
    <cellStyle name="Normal 4 8 2 2 2 3 3 3" xfId="47391" xr:uid="{00000000-0005-0000-0000-000053EE0000}"/>
    <cellStyle name="Normal 4 8 2 2 2 3 4" xfId="20222" xr:uid="{00000000-0005-0000-0000-000054EE0000}"/>
    <cellStyle name="Normal 4 8 2 2 2 3 4 2" xfId="52093" xr:uid="{00000000-0005-0000-0000-000055EE0000}"/>
    <cellStyle name="Normal 4 8 2 2 2 3 5" xfId="47388" xr:uid="{00000000-0005-0000-0000-000056EE0000}"/>
    <cellStyle name="Normal 4 8 2 2 2 4" xfId="15513" xr:uid="{00000000-0005-0000-0000-000057EE0000}"/>
    <cellStyle name="Normal 4 8 2 2 2 4 2" xfId="15514" xr:uid="{00000000-0005-0000-0000-000058EE0000}"/>
    <cellStyle name="Normal 4 8 2 2 2 4 2 2" xfId="32036" xr:uid="{00000000-0005-0000-0000-000059EE0000}"/>
    <cellStyle name="Normal 4 8 2 2 2 4 2 2 2" xfId="63907" xr:uid="{00000000-0005-0000-0000-00005AEE0000}"/>
    <cellStyle name="Normal 4 8 2 2 2 4 2 3" xfId="47393" xr:uid="{00000000-0005-0000-0000-00005BEE0000}"/>
    <cellStyle name="Normal 4 8 2 2 2 4 3" xfId="24158" xr:uid="{00000000-0005-0000-0000-00005CEE0000}"/>
    <cellStyle name="Normal 4 8 2 2 2 4 3 2" xfId="56029" xr:uid="{00000000-0005-0000-0000-00005DEE0000}"/>
    <cellStyle name="Normal 4 8 2 2 2 4 4" xfId="47392" xr:uid="{00000000-0005-0000-0000-00005EEE0000}"/>
    <cellStyle name="Normal 4 8 2 2 2 5" xfId="15515" xr:uid="{00000000-0005-0000-0000-00005FEE0000}"/>
    <cellStyle name="Normal 4 8 2 2 2 5 2" xfId="28097" xr:uid="{00000000-0005-0000-0000-000060EE0000}"/>
    <cellStyle name="Normal 4 8 2 2 2 5 2 2" xfId="59968" xr:uid="{00000000-0005-0000-0000-000061EE0000}"/>
    <cellStyle name="Normal 4 8 2 2 2 5 3" xfId="47394" xr:uid="{00000000-0005-0000-0000-000062EE0000}"/>
    <cellStyle name="Normal 4 8 2 2 2 6" xfId="20219" xr:uid="{00000000-0005-0000-0000-000063EE0000}"/>
    <cellStyle name="Normal 4 8 2 2 2 6 2" xfId="52090" xr:uid="{00000000-0005-0000-0000-000064EE0000}"/>
    <cellStyle name="Normal 4 8 2 2 2 7" xfId="47379" xr:uid="{00000000-0005-0000-0000-000065EE0000}"/>
    <cellStyle name="Normal 4 8 2 2 3" xfId="15516" xr:uid="{00000000-0005-0000-0000-000066EE0000}"/>
    <cellStyle name="Normal 4 8 2 2 3 2" xfId="15517" xr:uid="{00000000-0005-0000-0000-000067EE0000}"/>
    <cellStyle name="Normal 4 8 2 2 3 2 2" xfId="15518" xr:uid="{00000000-0005-0000-0000-000068EE0000}"/>
    <cellStyle name="Normal 4 8 2 2 3 2 2 2" xfId="15519" xr:uid="{00000000-0005-0000-0000-000069EE0000}"/>
    <cellStyle name="Normal 4 8 2 2 3 2 2 2 2" xfId="32041" xr:uid="{00000000-0005-0000-0000-00006AEE0000}"/>
    <cellStyle name="Normal 4 8 2 2 3 2 2 2 2 2" xfId="63912" xr:uid="{00000000-0005-0000-0000-00006BEE0000}"/>
    <cellStyle name="Normal 4 8 2 2 3 2 2 2 3" xfId="47398" xr:uid="{00000000-0005-0000-0000-00006CEE0000}"/>
    <cellStyle name="Normal 4 8 2 2 3 2 2 3" xfId="24163" xr:uid="{00000000-0005-0000-0000-00006DEE0000}"/>
    <cellStyle name="Normal 4 8 2 2 3 2 2 3 2" xfId="56034" xr:uid="{00000000-0005-0000-0000-00006EEE0000}"/>
    <cellStyle name="Normal 4 8 2 2 3 2 2 4" xfId="47397" xr:uid="{00000000-0005-0000-0000-00006FEE0000}"/>
    <cellStyle name="Normal 4 8 2 2 3 2 3" xfId="15520" xr:uid="{00000000-0005-0000-0000-000070EE0000}"/>
    <cellStyle name="Normal 4 8 2 2 3 2 3 2" xfId="28102" xr:uid="{00000000-0005-0000-0000-000071EE0000}"/>
    <cellStyle name="Normal 4 8 2 2 3 2 3 2 2" xfId="59973" xr:uid="{00000000-0005-0000-0000-000072EE0000}"/>
    <cellStyle name="Normal 4 8 2 2 3 2 3 3" xfId="47399" xr:uid="{00000000-0005-0000-0000-000073EE0000}"/>
    <cellStyle name="Normal 4 8 2 2 3 2 4" xfId="20224" xr:uid="{00000000-0005-0000-0000-000074EE0000}"/>
    <cellStyle name="Normal 4 8 2 2 3 2 4 2" xfId="52095" xr:uid="{00000000-0005-0000-0000-000075EE0000}"/>
    <cellStyle name="Normal 4 8 2 2 3 2 5" xfId="47396" xr:uid="{00000000-0005-0000-0000-000076EE0000}"/>
    <cellStyle name="Normal 4 8 2 2 3 3" xfId="15521" xr:uid="{00000000-0005-0000-0000-000077EE0000}"/>
    <cellStyle name="Normal 4 8 2 2 3 3 2" xfId="15522" xr:uid="{00000000-0005-0000-0000-000078EE0000}"/>
    <cellStyle name="Normal 4 8 2 2 3 3 2 2" xfId="32040" xr:uid="{00000000-0005-0000-0000-000079EE0000}"/>
    <cellStyle name="Normal 4 8 2 2 3 3 2 2 2" xfId="63911" xr:uid="{00000000-0005-0000-0000-00007AEE0000}"/>
    <cellStyle name="Normal 4 8 2 2 3 3 2 3" xfId="47401" xr:uid="{00000000-0005-0000-0000-00007BEE0000}"/>
    <cellStyle name="Normal 4 8 2 2 3 3 3" xfId="24162" xr:uid="{00000000-0005-0000-0000-00007CEE0000}"/>
    <cellStyle name="Normal 4 8 2 2 3 3 3 2" xfId="56033" xr:uid="{00000000-0005-0000-0000-00007DEE0000}"/>
    <cellStyle name="Normal 4 8 2 2 3 3 4" xfId="47400" xr:uid="{00000000-0005-0000-0000-00007EEE0000}"/>
    <cellStyle name="Normal 4 8 2 2 3 4" xfId="15523" xr:uid="{00000000-0005-0000-0000-00007FEE0000}"/>
    <cellStyle name="Normal 4 8 2 2 3 4 2" xfId="28101" xr:uid="{00000000-0005-0000-0000-000080EE0000}"/>
    <cellStyle name="Normal 4 8 2 2 3 4 2 2" xfId="59972" xr:uid="{00000000-0005-0000-0000-000081EE0000}"/>
    <cellStyle name="Normal 4 8 2 2 3 4 3" xfId="47402" xr:uid="{00000000-0005-0000-0000-000082EE0000}"/>
    <cellStyle name="Normal 4 8 2 2 3 5" xfId="20223" xr:uid="{00000000-0005-0000-0000-000083EE0000}"/>
    <cellStyle name="Normal 4 8 2 2 3 5 2" xfId="52094" xr:uid="{00000000-0005-0000-0000-000084EE0000}"/>
    <cellStyle name="Normal 4 8 2 2 3 6" xfId="47395" xr:uid="{00000000-0005-0000-0000-000085EE0000}"/>
    <cellStyle name="Normal 4 8 2 2 4" xfId="15524" xr:uid="{00000000-0005-0000-0000-000086EE0000}"/>
    <cellStyle name="Normal 4 8 2 2 4 2" xfId="15525" xr:uid="{00000000-0005-0000-0000-000087EE0000}"/>
    <cellStyle name="Normal 4 8 2 2 4 2 2" xfId="15526" xr:uid="{00000000-0005-0000-0000-000088EE0000}"/>
    <cellStyle name="Normal 4 8 2 2 4 2 2 2" xfId="32042" xr:uid="{00000000-0005-0000-0000-000089EE0000}"/>
    <cellStyle name="Normal 4 8 2 2 4 2 2 2 2" xfId="63913" xr:uid="{00000000-0005-0000-0000-00008AEE0000}"/>
    <cellStyle name="Normal 4 8 2 2 4 2 2 3" xfId="47405" xr:uid="{00000000-0005-0000-0000-00008BEE0000}"/>
    <cellStyle name="Normal 4 8 2 2 4 2 3" xfId="24164" xr:uid="{00000000-0005-0000-0000-00008CEE0000}"/>
    <cellStyle name="Normal 4 8 2 2 4 2 3 2" xfId="56035" xr:uid="{00000000-0005-0000-0000-00008DEE0000}"/>
    <cellStyle name="Normal 4 8 2 2 4 2 4" xfId="47404" xr:uid="{00000000-0005-0000-0000-00008EEE0000}"/>
    <cellStyle name="Normal 4 8 2 2 4 3" xfId="15527" xr:uid="{00000000-0005-0000-0000-00008FEE0000}"/>
    <cellStyle name="Normal 4 8 2 2 4 3 2" xfId="28103" xr:uid="{00000000-0005-0000-0000-000090EE0000}"/>
    <cellStyle name="Normal 4 8 2 2 4 3 2 2" xfId="59974" xr:uid="{00000000-0005-0000-0000-000091EE0000}"/>
    <cellStyle name="Normal 4 8 2 2 4 3 3" xfId="47406" xr:uid="{00000000-0005-0000-0000-000092EE0000}"/>
    <cellStyle name="Normal 4 8 2 2 4 4" xfId="20225" xr:uid="{00000000-0005-0000-0000-000093EE0000}"/>
    <cellStyle name="Normal 4 8 2 2 4 4 2" xfId="52096" xr:uid="{00000000-0005-0000-0000-000094EE0000}"/>
    <cellStyle name="Normal 4 8 2 2 4 5" xfId="47403" xr:uid="{00000000-0005-0000-0000-000095EE0000}"/>
    <cellStyle name="Normal 4 8 2 2 5" xfId="15528" xr:uid="{00000000-0005-0000-0000-000096EE0000}"/>
    <cellStyle name="Normal 4 8 2 2 5 2" xfId="15529" xr:uid="{00000000-0005-0000-0000-000097EE0000}"/>
    <cellStyle name="Normal 4 8 2 2 5 2 2" xfId="32035" xr:uid="{00000000-0005-0000-0000-000098EE0000}"/>
    <cellStyle name="Normal 4 8 2 2 5 2 2 2" xfId="63906" xr:uid="{00000000-0005-0000-0000-000099EE0000}"/>
    <cellStyle name="Normal 4 8 2 2 5 2 3" xfId="47408" xr:uid="{00000000-0005-0000-0000-00009AEE0000}"/>
    <cellStyle name="Normal 4 8 2 2 5 3" xfId="24157" xr:uid="{00000000-0005-0000-0000-00009BEE0000}"/>
    <cellStyle name="Normal 4 8 2 2 5 3 2" xfId="56028" xr:uid="{00000000-0005-0000-0000-00009CEE0000}"/>
    <cellStyle name="Normal 4 8 2 2 5 4" xfId="47407" xr:uid="{00000000-0005-0000-0000-00009DEE0000}"/>
    <cellStyle name="Normal 4 8 2 2 6" xfId="15530" xr:uid="{00000000-0005-0000-0000-00009EEE0000}"/>
    <cellStyle name="Normal 4 8 2 2 6 2" xfId="28096" xr:uid="{00000000-0005-0000-0000-00009FEE0000}"/>
    <cellStyle name="Normal 4 8 2 2 6 2 2" xfId="59967" xr:uid="{00000000-0005-0000-0000-0000A0EE0000}"/>
    <cellStyle name="Normal 4 8 2 2 6 3" xfId="47409" xr:uid="{00000000-0005-0000-0000-0000A1EE0000}"/>
    <cellStyle name="Normal 4 8 2 2 7" xfId="20218" xr:uid="{00000000-0005-0000-0000-0000A2EE0000}"/>
    <cellStyle name="Normal 4 8 2 2 7 2" xfId="52089" xr:uid="{00000000-0005-0000-0000-0000A3EE0000}"/>
    <cellStyle name="Normal 4 8 2 2 8" xfId="47378" xr:uid="{00000000-0005-0000-0000-0000A4EE0000}"/>
    <cellStyle name="Normal 4 8 2 3" xfId="15531" xr:uid="{00000000-0005-0000-0000-0000A5EE0000}"/>
    <cellStyle name="Normal 4 8 2 3 2" xfId="15532" xr:uid="{00000000-0005-0000-0000-0000A6EE0000}"/>
    <cellStyle name="Normal 4 8 2 3 2 2" xfId="15533" xr:uid="{00000000-0005-0000-0000-0000A7EE0000}"/>
    <cellStyle name="Normal 4 8 2 3 2 2 2" xfId="15534" xr:uid="{00000000-0005-0000-0000-0000A8EE0000}"/>
    <cellStyle name="Normal 4 8 2 3 2 2 2 2" xfId="15535" xr:uid="{00000000-0005-0000-0000-0000A9EE0000}"/>
    <cellStyle name="Normal 4 8 2 3 2 2 2 2 2" xfId="32045" xr:uid="{00000000-0005-0000-0000-0000AAEE0000}"/>
    <cellStyle name="Normal 4 8 2 3 2 2 2 2 2 2" xfId="63916" xr:uid="{00000000-0005-0000-0000-0000ABEE0000}"/>
    <cellStyle name="Normal 4 8 2 3 2 2 2 2 3" xfId="47414" xr:uid="{00000000-0005-0000-0000-0000ACEE0000}"/>
    <cellStyle name="Normal 4 8 2 3 2 2 2 3" xfId="24167" xr:uid="{00000000-0005-0000-0000-0000ADEE0000}"/>
    <cellStyle name="Normal 4 8 2 3 2 2 2 3 2" xfId="56038" xr:uid="{00000000-0005-0000-0000-0000AEEE0000}"/>
    <cellStyle name="Normal 4 8 2 3 2 2 2 4" xfId="47413" xr:uid="{00000000-0005-0000-0000-0000AFEE0000}"/>
    <cellStyle name="Normal 4 8 2 3 2 2 3" xfId="15536" xr:uid="{00000000-0005-0000-0000-0000B0EE0000}"/>
    <cellStyle name="Normal 4 8 2 3 2 2 3 2" xfId="28106" xr:uid="{00000000-0005-0000-0000-0000B1EE0000}"/>
    <cellStyle name="Normal 4 8 2 3 2 2 3 2 2" xfId="59977" xr:uid="{00000000-0005-0000-0000-0000B2EE0000}"/>
    <cellStyle name="Normal 4 8 2 3 2 2 3 3" xfId="47415" xr:uid="{00000000-0005-0000-0000-0000B3EE0000}"/>
    <cellStyle name="Normal 4 8 2 3 2 2 4" xfId="20228" xr:uid="{00000000-0005-0000-0000-0000B4EE0000}"/>
    <cellStyle name="Normal 4 8 2 3 2 2 4 2" xfId="52099" xr:uid="{00000000-0005-0000-0000-0000B5EE0000}"/>
    <cellStyle name="Normal 4 8 2 3 2 2 5" xfId="47412" xr:uid="{00000000-0005-0000-0000-0000B6EE0000}"/>
    <cellStyle name="Normal 4 8 2 3 2 3" xfId="15537" xr:uid="{00000000-0005-0000-0000-0000B7EE0000}"/>
    <cellStyle name="Normal 4 8 2 3 2 3 2" xfId="15538" xr:uid="{00000000-0005-0000-0000-0000B8EE0000}"/>
    <cellStyle name="Normal 4 8 2 3 2 3 2 2" xfId="32044" xr:uid="{00000000-0005-0000-0000-0000B9EE0000}"/>
    <cellStyle name="Normal 4 8 2 3 2 3 2 2 2" xfId="63915" xr:uid="{00000000-0005-0000-0000-0000BAEE0000}"/>
    <cellStyle name="Normal 4 8 2 3 2 3 2 3" xfId="47417" xr:uid="{00000000-0005-0000-0000-0000BBEE0000}"/>
    <cellStyle name="Normal 4 8 2 3 2 3 3" xfId="24166" xr:uid="{00000000-0005-0000-0000-0000BCEE0000}"/>
    <cellStyle name="Normal 4 8 2 3 2 3 3 2" xfId="56037" xr:uid="{00000000-0005-0000-0000-0000BDEE0000}"/>
    <cellStyle name="Normal 4 8 2 3 2 3 4" xfId="47416" xr:uid="{00000000-0005-0000-0000-0000BEEE0000}"/>
    <cellStyle name="Normal 4 8 2 3 2 4" xfId="15539" xr:uid="{00000000-0005-0000-0000-0000BFEE0000}"/>
    <cellStyle name="Normal 4 8 2 3 2 4 2" xfId="28105" xr:uid="{00000000-0005-0000-0000-0000C0EE0000}"/>
    <cellStyle name="Normal 4 8 2 3 2 4 2 2" xfId="59976" xr:uid="{00000000-0005-0000-0000-0000C1EE0000}"/>
    <cellStyle name="Normal 4 8 2 3 2 4 3" xfId="47418" xr:uid="{00000000-0005-0000-0000-0000C2EE0000}"/>
    <cellStyle name="Normal 4 8 2 3 2 5" xfId="20227" xr:uid="{00000000-0005-0000-0000-0000C3EE0000}"/>
    <cellStyle name="Normal 4 8 2 3 2 5 2" xfId="52098" xr:uid="{00000000-0005-0000-0000-0000C4EE0000}"/>
    <cellStyle name="Normal 4 8 2 3 2 6" xfId="47411" xr:uid="{00000000-0005-0000-0000-0000C5EE0000}"/>
    <cellStyle name="Normal 4 8 2 3 3" xfId="15540" xr:uid="{00000000-0005-0000-0000-0000C6EE0000}"/>
    <cellStyle name="Normal 4 8 2 3 3 2" xfId="15541" xr:uid="{00000000-0005-0000-0000-0000C7EE0000}"/>
    <cellStyle name="Normal 4 8 2 3 3 2 2" xfId="15542" xr:uid="{00000000-0005-0000-0000-0000C8EE0000}"/>
    <cellStyle name="Normal 4 8 2 3 3 2 2 2" xfId="32046" xr:uid="{00000000-0005-0000-0000-0000C9EE0000}"/>
    <cellStyle name="Normal 4 8 2 3 3 2 2 2 2" xfId="63917" xr:uid="{00000000-0005-0000-0000-0000CAEE0000}"/>
    <cellStyle name="Normal 4 8 2 3 3 2 2 3" xfId="47421" xr:uid="{00000000-0005-0000-0000-0000CBEE0000}"/>
    <cellStyle name="Normal 4 8 2 3 3 2 3" xfId="24168" xr:uid="{00000000-0005-0000-0000-0000CCEE0000}"/>
    <cellStyle name="Normal 4 8 2 3 3 2 3 2" xfId="56039" xr:uid="{00000000-0005-0000-0000-0000CDEE0000}"/>
    <cellStyle name="Normal 4 8 2 3 3 2 4" xfId="47420" xr:uid="{00000000-0005-0000-0000-0000CEEE0000}"/>
    <cellStyle name="Normal 4 8 2 3 3 3" xfId="15543" xr:uid="{00000000-0005-0000-0000-0000CFEE0000}"/>
    <cellStyle name="Normal 4 8 2 3 3 3 2" xfId="28107" xr:uid="{00000000-0005-0000-0000-0000D0EE0000}"/>
    <cellStyle name="Normal 4 8 2 3 3 3 2 2" xfId="59978" xr:uid="{00000000-0005-0000-0000-0000D1EE0000}"/>
    <cellStyle name="Normal 4 8 2 3 3 3 3" xfId="47422" xr:uid="{00000000-0005-0000-0000-0000D2EE0000}"/>
    <cellStyle name="Normal 4 8 2 3 3 4" xfId="20229" xr:uid="{00000000-0005-0000-0000-0000D3EE0000}"/>
    <cellStyle name="Normal 4 8 2 3 3 4 2" xfId="52100" xr:uid="{00000000-0005-0000-0000-0000D4EE0000}"/>
    <cellStyle name="Normal 4 8 2 3 3 5" xfId="47419" xr:uid="{00000000-0005-0000-0000-0000D5EE0000}"/>
    <cellStyle name="Normal 4 8 2 3 4" xfId="15544" xr:uid="{00000000-0005-0000-0000-0000D6EE0000}"/>
    <cellStyle name="Normal 4 8 2 3 4 2" xfId="15545" xr:uid="{00000000-0005-0000-0000-0000D7EE0000}"/>
    <cellStyle name="Normal 4 8 2 3 4 2 2" xfId="32043" xr:uid="{00000000-0005-0000-0000-0000D8EE0000}"/>
    <cellStyle name="Normal 4 8 2 3 4 2 2 2" xfId="63914" xr:uid="{00000000-0005-0000-0000-0000D9EE0000}"/>
    <cellStyle name="Normal 4 8 2 3 4 2 3" xfId="47424" xr:uid="{00000000-0005-0000-0000-0000DAEE0000}"/>
    <cellStyle name="Normal 4 8 2 3 4 3" xfId="24165" xr:uid="{00000000-0005-0000-0000-0000DBEE0000}"/>
    <cellStyle name="Normal 4 8 2 3 4 3 2" xfId="56036" xr:uid="{00000000-0005-0000-0000-0000DCEE0000}"/>
    <cellStyle name="Normal 4 8 2 3 4 4" xfId="47423" xr:uid="{00000000-0005-0000-0000-0000DDEE0000}"/>
    <cellStyle name="Normal 4 8 2 3 5" xfId="15546" xr:uid="{00000000-0005-0000-0000-0000DEEE0000}"/>
    <cellStyle name="Normal 4 8 2 3 5 2" xfId="28104" xr:uid="{00000000-0005-0000-0000-0000DFEE0000}"/>
    <cellStyle name="Normal 4 8 2 3 5 2 2" xfId="59975" xr:uid="{00000000-0005-0000-0000-0000E0EE0000}"/>
    <cellStyle name="Normal 4 8 2 3 5 3" xfId="47425" xr:uid="{00000000-0005-0000-0000-0000E1EE0000}"/>
    <cellStyle name="Normal 4 8 2 3 6" xfId="20226" xr:uid="{00000000-0005-0000-0000-0000E2EE0000}"/>
    <cellStyle name="Normal 4 8 2 3 6 2" xfId="52097" xr:uid="{00000000-0005-0000-0000-0000E3EE0000}"/>
    <cellStyle name="Normal 4 8 2 3 7" xfId="47410" xr:uid="{00000000-0005-0000-0000-0000E4EE0000}"/>
    <cellStyle name="Normal 4 8 2 4" xfId="15547" xr:uid="{00000000-0005-0000-0000-0000E5EE0000}"/>
    <cellStyle name="Normal 4 8 2 4 2" xfId="15548" xr:uid="{00000000-0005-0000-0000-0000E6EE0000}"/>
    <cellStyle name="Normal 4 8 2 4 2 2" xfId="15549" xr:uid="{00000000-0005-0000-0000-0000E7EE0000}"/>
    <cellStyle name="Normal 4 8 2 4 2 2 2" xfId="15550" xr:uid="{00000000-0005-0000-0000-0000E8EE0000}"/>
    <cellStyle name="Normal 4 8 2 4 2 2 2 2" xfId="32048" xr:uid="{00000000-0005-0000-0000-0000E9EE0000}"/>
    <cellStyle name="Normal 4 8 2 4 2 2 2 2 2" xfId="63919" xr:uid="{00000000-0005-0000-0000-0000EAEE0000}"/>
    <cellStyle name="Normal 4 8 2 4 2 2 2 3" xfId="47429" xr:uid="{00000000-0005-0000-0000-0000EBEE0000}"/>
    <cellStyle name="Normal 4 8 2 4 2 2 3" xfId="24170" xr:uid="{00000000-0005-0000-0000-0000ECEE0000}"/>
    <cellStyle name="Normal 4 8 2 4 2 2 3 2" xfId="56041" xr:uid="{00000000-0005-0000-0000-0000EDEE0000}"/>
    <cellStyle name="Normal 4 8 2 4 2 2 4" xfId="47428" xr:uid="{00000000-0005-0000-0000-0000EEEE0000}"/>
    <cellStyle name="Normal 4 8 2 4 2 3" xfId="15551" xr:uid="{00000000-0005-0000-0000-0000EFEE0000}"/>
    <cellStyle name="Normal 4 8 2 4 2 3 2" xfId="28109" xr:uid="{00000000-0005-0000-0000-0000F0EE0000}"/>
    <cellStyle name="Normal 4 8 2 4 2 3 2 2" xfId="59980" xr:uid="{00000000-0005-0000-0000-0000F1EE0000}"/>
    <cellStyle name="Normal 4 8 2 4 2 3 3" xfId="47430" xr:uid="{00000000-0005-0000-0000-0000F2EE0000}"/>
    <cellStyle name="Normal 4 8 2 4 2 4" xfId="20231" xr:uid="{00000000-0005-0000-0000-0000F3EE0000}"/>
    <cellStyle name="Normal 4 8 2 4 2 4 2" xfId="52102" xr:uid="{00000000-0005-0000-0000-0000F4EE0000}"/>
    <cellStyle name="Normal 4 8 2 4 2 5" xfId="47427" xr:uid="{00000000-0005-0000-0000-0000F5EE0000}"/>
    <cellStyle name="Normal 4 8 2 4 3" xfId="15552" xr:uid="{00000000-0005-0000-0000-0000F6EE0000}"/>
    <cellStyle name="Normal 4 8 2 4 3 2" xfId="15553" xr:uid="{00000000-0005-0000-0000-0000F7EE0000}"/>
    <cellStyle name="Normal 4 8 2 4 3 2 2" xfId="32047" xr:uid="{00000000-0005-0000-0000-0000F8EE0000}"/>
    <cellStyle name="Normal 4 8 2 4 3 2 2 2" xfId="63918" xr:uid="{00000000-0005-0000-0000-0000F9EE0000}"/>
    <cellStyle name="Normal 4 8 2 4 3 2 3" xfId="47432" xr:uid="{00000000-0005-0000-0000-0000FAEE0000}"/>
    <cellStyle name="Normal 4 8 2 4 3 3" xfId="24169" xr:uid="{00000000-0005-0000-0000-0000FBEE0000}"/>
    <cellStyle name="Normal 4 8 2 4 3 3 2" xfId="56040" xr:uid="{00000000-0005-0000-0000-0000FCEE0000}"/>
    <cellStyle name="Normal 4 8 2 4 3 4" xfId="47431" xr:uid="{00000000-0005-0000-0000-0000FDEE0000}"/>
    <cellStyle name="Normal 4 8 2 4 4" xfId="15554" xr:uid="{00000000-0005-0000-0000-0000FEEE0000}"/>
    <cellStyle name="Normal 4 8 2 4 4 2" xfId="28108" xr:uid="{00000000-0005-0000-0000-0000FFEE0000}"/>
    <cellStyle name="Normal 4 8 2 4 4 2 2" xfId="59979" xr:uid="{00000000-0005-0000-0000-000000EF0000}"/>
    <cellStyle name="Normal 4 8 2 4 4 3" xfId="47433" xr:uid="{00000000-0005-0000-0000-000001EF0000}"/>
    <cellStyle name="Normal 4 8 2 4 5" xfId="20230" xr:uid="{00000000-0005-0000-0000-000002EF0000}"/>
    <cellStyle name="Normal 4 8 2 4 5 2" xfId="52101" xr:uid="{00000000-0005-0000-0000-000003EF0000}"/>
    <cellStyle name="Normal 4 8 2 4 6" xfId="47426" xr:uid="{00000000-0005-0000-0000-000004EF0000}"/>
    <cellStyle name="Normal 4 8 2 5" xfId="15555" xr:uid="{00000000-0005-0000-0000-000005EF0000}"/>
    <cellStyle name="Normal 4 8 2 5 2" xfId="15556" xr:uid="{00000000-0005-0000-0000-000006EF0000}"/>
    <cellStyle name="Normal 4 8 2 5 2 2" xfId="15557" xr:uid="{00000000-0005-0000-0000-000007EF0000}"/>
    <cellStyle name="Normal 4 8 2 5 2 2 2" xfId="32049" xr:uid="{00000000-0005-0000-0000-000008EF0000}"/>
    <cellStyle name="Normal 4 8 2 5 2 2 2 2" xfId="63920" xr:uid="{00000000-0005-0000-0000-000009EF0000}"/>
    <cellStyle name="Normal 4 8 2 5 2 2 3" xfId="47436" xr:uid="{00000000-0005-0000-0000-00000AEF0000}"/>
    <cellStyle name="Normal 4 8 2 5 2 3" xfId="24171" xr:uid="{00000000-0005-0000-0000-00000BEF0000}"/>
    <cellStyle name="Normal 4 8 2 5 2 3 2" xfId="56042" xr:uid="{00000000-0005-0000-0000-00000CEF0000}"/>
    <cellStyle name="Normal 4 8 2 5 2 4" xfId="47435" xr:uid="{00000000-0005-0000-0000-00000DEF0000}"/>
    <cellStyle name="Normal 4 8 2 5 3" xfId="15558" xr:uid="{00000000-0005-0000-0000-00000EEF0000}"/>
    <cellStyle name="Normal 4 8 2 5 3 2" xfId="28110" xr:uid="{00000000-0005-0000-0000-00000FEF0000}"/>
    <cellStyle name="Normal 4 8 2 5 3 2 2" xfId="59981" xr:uid="{00000000-0005-0000-0000-000010EF0000}"/>
    <cellStyle name="Normal 4 8 2 5 3 3" xfId="47437" xr:uid="{00000000-0005-0000-0000-000011EF0000}"/>
    <cellStyle name="Normal 4 8 2 5 4" xfId="20232" xr:uid="{00000000-0005-0000-0000-000012EF0000}"/>
    <cellStyle name="Normal 4 8 2 5 4 2" xfId="52103" xr:uid="{00000000-0005-0000-0000-000013EF0000}"/>
    <cellStyle name="Normal 4 8 2 5 5" xfId="47434" xr:uid="{00000000-0005-0000-0000-000014EF0000}"/>
    <cellStyle name="Normal 4 8 2 6" xfId="15559" xr:uid="{00000000-0005-0000-0000-000015EF0000}"/>
    <cellStyle name="Normal 4 8 2 6 2" xfId="15560" xr:uid="{00000000-0005-0000-0000-000016EF0000}"/>
    <cellStyle name="Normal 4 8 2 6 2 2" xfId="28465" xr:uid="{00000000-0005-0000-0000-000017EF0000}"/>
    <cellStyle name="Normal 4 8 2 6 2 2 2" xfId="60336" xr:uid="{00000000-0005-0000-0000-000018EF0000}"/>
    <cellStyle name="Normal 4 8 2 6 2 3" xfId="47439" xr:uid="{00000000-0005-0000-0000-000019EF0000}"/>
    <cellStyle name="Normal 4 8 2 6 3" xfId="20587" xr:uid="{00000000-0005-0000-0000-00001AEF0000}"/>
    <cellStyle name="Normal 4 8 2 6 3 2" xfId="52458" xr:uid="{00000000-0005-0000-0000-00001BEF0000}"/>
    <cellStyle name="Normal 4 8 2 6 4" xfId="47438" xr:uid="{00000000-0005-0000-0000-00001CEF0000}"/>
    <cellStyle name="Normal 4 8 2 7" xfId="15561" xr:uid="{00000000-0005-0000-0000-00001DEF0000}"/>
    <cellStyle name="Normal 4 8 2 7 2" xfId="24526" xr:uid="{00000000-0005-0000-0000-00001EEF0000}"/>
    <cellStyle name="Normal 4 8 2 7 2 2" xfId="56397" xr:uid="{00000000-0005-0000-0000-00001FEF0000}"/>
    <cellStyle name="Normal 4 8 2 7 3" xfId="47440" xr:uid="{00000000-0005-0000-0000-000020EF0000}"/>
    <cellStyle name="Normal 4 8 2 8" xfId="16648" xr:uid="{00000000-0005-0000-0000-000021EF0000}"/>
    <cellStyle name="Normal 4 8 2 8 2" xfId="48519" xr:uid="{00000000-0005-0000-0000-000022EF0000}"/>
    <cellStyle name="Normal 4 8 2 9" xfId="47377" xr:uid="{00000000-0005-0000-0000-000023EF0000}"/>
    <cellStyle name="Normal 4 8 3" xfId="15562" xr:uid="{00000000-0005-0000-0000-000024EF0000}"/>
    <cellStyle name="Normal 4 8 3 2" xfId="15563" xr:uid="{00000000-0005-0000-0000-000025EF0000}"/>
    <cellStyle name="Normal 4 8 3 2 2" xfId="15564" xr:uid="{00000000-0005-0000-0000-000026EF0000}"/>
    <cellStyle name="Normal 4 8 3 2 2 2" xfId="15565" xr:uid="{00000000-0005-0000-0000-000027EF0000}"/>
    <cellStyle name="Normal 4 8 3 2 2 2 2" xfId="15566" xr:uid="{00000000-0005-0000-0000-000028EF0000}"/>
    <cellStyle name="Normal 4 8 3 2 2 2 2 2" xfId="15567" xr:uid="{00000000-0005-0000-0000-000029EF0000}"/>
    <cellStyle name="Normal 4 8 3 2 2 2 2 2 2" xfId="32053" xr:uid="{00000000-0005-0000-0000-00002AEF0000}"/>
    <cellStyle name="Normal 4 8 3 2 2 2 2 2 2 2" xfId="63924" xr:uid="{00000000-0005-0000-0000-00002BEF0000}"/>
    <cellStyle name="Normal 4 8 3 2 2 2 2 2 3" xfId="47446" xr:uid="{00000000-0005-0000-0000-00002CEF0000}"/>
    <cellStyle name="Normal 4 8 3 2 2 2 2 3" xfId="24175" xr:uid="{00000000-0005-0000-0000-00002DEF0000}"/>
    <cellStyle name="Normal 4 8 3 2 2 2 2 3 2" xfId="56046" xr:uid="{00000000-0005-0000-0000-00002EEF0000}"/>
    <cellStyle name="Normal 4 8 3 2 2 2 2 4" xfId="47445" xr:uid="{00000000-0005-0000-0000-00002FEF0000}"/>
    <cellStyle name="Normal 4 8 3 2 2 2 3" xfId="15568" xr:uid="{00000000-0005-0000-0000-000030EF0000}"/>
    <cellStyle name="Normal 4 8 3 2 2 2 3 2" xfId="28114" xr:uid="{00000000-0005-0000-0000-000031EF0000}"/>
    <cellStyle name="Normal 4 8 3 2 2 2 3 2 2" xfId="59985" xr:uid="{00000000-0005-0000-0000-000032EF0000}"/>
    <cellStyle name="Normal 4 8 3 2 2 2 3 3" xfId="47447" xr:uid="{00000000-0005-0000-0000-000033EF0000}"/>
    <cellStyle name="Normal 4 8 3 2 2 2 4" xfId="20236" xr:uid="{00000000-0005-0000-0000-000034EF0000}"/>
    <cellStyle name="Normal 4 8 3 2 2 2 4 2" xfId="52107" xr:uid="{00000000-0005-0000-0000-000035EF0000}"/>
    <cellStyle name="Normal 4 8 3 2 2 2 5" xfId="47444" xr:uid="{00000000-0005-0000-0000-000036EF0000}"/>
    <cellStyle name="Normal 4 8 3 2 2 3" xfId="15569" xr:uid="{00000000-0005-0000-0000-000037EF0000}"/>
    <cellStyle name="Normal 4 8 3 2 2 3 2" xfId="15570" xr:uid="{00000000-0005-0000-0000-000038EF0000}"/>
    <cellStyle name="Normal 4 8 3 2 2 3 2 2" xfId="32052" xr:uid="{00000000-0005-0000-0000-000039EF0000}"/>
    <cellStyle name="Normal 4 8 3 2 2 3 2 2 2" xfId="63923" xr:uid="{00000000-0005-0000-0000-00003AEF0000}"/>
    <cellStyle name="Normal 4 8 3 2 2 3 2 3" xfId="47449" xr:uid="{00000000-0005-0000-0000-00003BEF0000}"/>
    <cellStyle name="Normal 4 8 3 2 2 3 3" xfId="24174" xr:uid="{00000000-0005-0000-0000-00003CEF0000}"/>
    <cellStyle name="Normal 4 8 3 2 2 3 3 2" xfId="56045" xr:uid="{00000000-0005-0000-0000-00003DEF0000}"/>
    <cellStyle name="Normal 4 8 3 2 2 3 4" xfId="47448" xr:uid="{00000000-0005-0000-0000-00003EEF0000}"/>
    <cellStyle name="Normal 4 8 3 2 2 4" xfId="15571" xr:uid="{00000000-0005-0000-0000-00003FEF0000}"/>
    <cellStyle name="Normal 4 8 3 2 2 4 2" xfId="28113" xr:uid="{00000000-0005-0000-0000-000040EF0000}"/>
    <cellStyle name="Normal 4 8 3 2 2 4 2 2" xfId="59984" xr:uid="{00000000-0005-0000-0000-000041EF0000}"/>
    <cellStyle name="Normal 4 8 3 2 2 4 3" xfId="47450" xr:uid="{00000000-0005-0000-0000-000042EF0000}"/>
    <cellStyle name="Normal 4 8 3 2 2 5" xfId="20235" xr:uid="{00000000-0005-0000-0000-000043EF0000}"/>
    <cellStyle name="Normal 4 8 3 2 2 5 2" xfId="52106" xr:uid="{00000000-0005-0000-0000-000044EF0000}"/>
    <cellStyle name="Normal 4 8 3 2 2 6" xfId="47443" xr:uid="{00000000-0005-0000-0000-000045EF0000}"/>
    <cellStyle name="Normal 4 8 3 2 3" xfId="15572" xr:uid="{00000000-0005-0000-0000-000046EF0000}"/>
    <cellStyle name="Normal 4 8 3 2 3 2" xfId="15573" xr:uid="{00000000-0005-0000-0000-000047EF0000}"/>
    <cellStyle name="Normal 4 8 3 2 3 2 2" xfId="15574" xr:uid="{00000000-0005-0000-0000-000048EF0000}"/>
    <cellStyle name="Normal 4 8 3 2 3 2 2 2" xfId="32054" xr:uid="{00000000-0005-0000-0000-000049EF0000}"/>
    <cellStyle name="Normal 4 8 3 2 3 2 2 2 2" xfId="63925" xr:uid="{00000000-0005-0000-0000-00004AEF0000}"/>
    <cellStyle name="Normal 4 8 3 2 3 2 2 3" xfId="47453" xr:uid="{00000000-0005-0000-0000-00004BEF0000}"/>
    <cellStyle name="Normal 4 8 3 2 3 2 3" xfId="24176" xr:uid="{00000000-0005-0000-0000-00004CEF0000}"/>
    <cellStyle name="Normal 4 8 3 2 3 2 3 2" xfId="56047" xr:uid="{00000000-0005-0000-0000-00004DEF0000}"/>
    <cellStyle name="Normal 4 8 3 2 3 2 4" xfId="47452" xr:uid="{00000000-0005-0000-0000-00004EEF0000}"/>
    <cellStyle name="Normal 4 8 3 2 3 3" xfId="15575" xr:uid="{00000000-0005-0000-0000-00004FEF0000}"/>
    <cellStyle name="Normal 4 8 3 2 3 3 2" xfId="28115" xr:uid="{00000000-0005-0000-0000-000050EF0000}"/>
    <cellStyle name="Normal 4 8 3 2 3 3 2 2" xfId="59986" xr:uid="{00000000-0005-0000-0000-000051EF0000}"/>
    <cellStyle name="Normal 4 8 3 2 3 3 3" xfId="47454" xr:uid="{00000000-0005-0000-0000-000052EF0000}"/>
    <cellStyle name="Normal 4 8 3 2 3 4" xfId="20237" xr:uid="{00000000-0005-0000-0000-000053EF0000}"/>
    <cellStyle name="Normal 4 8 3 2 3 4 2" xfId="52108" xr:uid="{00000000-0005-0000-0000-000054EF0000}"/>
    <cellStyle name="Normal 4 8 3 2 3 5" xfId="47451" xr:uid="{00000000-0005-0000-0000-000055EF0000}"/>
    <cellStyle name="Normal 4 8 3 2 4" xfId="15576" xr:uid="{00000000-0005-0000-0000-000056EF0000}"/>
    <cellStyle name="Normal 4 8 3 2 4 2" xfId="15577" xr:uid="{00000000-0005-0000-0000-000057EF0000}"/>
    <cellStyle name="Normal 4 8 3 2 4 2 2" xfId="32051" xr:uid="{00000000-0005-0000-0000-000058EF0000}"/>
    <cellStyle name="Normal 4 8 3 2 4 2 2 2" xfId="63922" xr:uid="{00000000-0005-0000-0000-000059EF0000}"/>
    <cellStyle name="Normal 4 8 3 2 4 2 3" xfId="47456" xr:uid="{00000000-0005-0000-0000-00005AEF0000}"/>
    <cellStyle name="Normal 4 8 3 2 4 3" xfId="24173" xr:uid="{00000000-0005-0000-0000-00005BEF0000}"/>
    <cellStyle name="Normal 4 8 3 2 4 3 2" xfId="56044" xr:uid="{00000000-0005-0000-0000-00005CEF0000}"/>
    <cellStyle name="Normal 4 8 3 2 4 4" xfId="47455" xr:uid="{00000000-0005-0000-0000-00005DEF0000}"/>
    <cellStyle name="Normal 4 8 3 2 5" xfId="15578" xr:uid="{00000000-0005-0000-0000-00005EEF0000}"/>
    <cellStyle name="Normal 4 8 3 2 5 2" xfId="28112" xr:uid="{00000000-0005-0000-0000-00005FEF0000}"/>
    <cellStyle name="Normal 4 8 3 2 5 2 2" xfId="59983" xr:uid="{00000000-0005-0000-0000-000060EF0000}"/>
    <cellStyle name="Normal 4 8 3 2 5 3" xfId="47457" xr:uid="{00000000-0005-0000-0000-000061EF0000}"/>
    <cellStyle name="Normal 4 8 3 2 6" xfId="20234" xr:uid="{00000000-0005-0000-0000-000062EF0000}"/>
    <cellStyle name="Normal 4 8 3 2 6 2" xfId="52105" xr:uid="{00000000-0005-0000-0000-000063EF0000}"/>
    <cellStyle name="Normal 4 8 3 2 7" xfId="47442" xr:uid="{00000000-0005-0000-0000-000064EF0000}"/>
    <cellStyle name="Normal 4 8 3 3" xfId="15579" xr:uid="{00000000-0005-0000-0000-000065EF0000}"/>
    <cellStyle name="Normal 4 8 3 3 2" xfId="15580" xr:uid="{00000000-0005-0000-0000-000066EF0000}"/>
    <cellStyle name="Normal 4 8 3 3 2 2" xfId="15581" xr:uid="{00000000-0005-0000-0000-000067EF0000}"/>
    <cellStyle name="Normal 4 8 3 3 2 2 2" xfId="15582" xr:uid="{00000000-0005-0000-0000-000068EF0000}"/>
    <cellStyle name="Normal 4 8 3 3 2 2 2 2" xfId="32056" xr:uid="{00000000-0005-0000-0000-000069EF0000}"/>
    <cellStyle name="Normal 4 8 3 3 2 2 2 2 2" xfId="63927" xr:uid="{00000000-0005-0000-0000-00006AEF0000}"/>
    <cellStyle name="Normal 4 8 3 3 2 2 2 3" xfId="47461" xr:uid="{00000000-0005-0000-0000-00006BEF0000}"/>
    <cellStyle name="Normal 4 8 3 3 2 2 3" xfId="24178" xr:uid="{00000000-0005-0000-0000-00006CEF0000}"/>
    <cellStyle name="Normal 4 8 3 3 2 2 3 2" xfId="56049" xr:uid="{00000000-0005-0000-0000-00006DEF0000}"/>
    <cellStyle name="Normal 4 8 3 3 2 2 4" xfId="47460" xr:uid="{00000000-0005-0000-0000-00006EEF0000}"/>
    <cellStyle name="Normal 4 8 3 3 2 3" xfId="15583" xr:uid="{00000000-0005-0000-0000-00006FEF0000}"/>
    <cellStyle name="Normal 4 8 3 3 2 3 2" xfId="28117" xr:uid="{00000000-0005-0000-0000-000070EF0000}"/>
    <cellStyle name="Normal 4 8 3 3 2 3 2 2" xfId="59988" xr:uid="{00000000-0005-0000-0000-000071EF0000}"/>
    <cellStyle name="Normal 4 8 3 3 2 3 3" xfId="47462" xr:uid="{00000000-0005-0000-0000-000072EF0000}"/>
    <cellStyle name="Normal 4 8 3 3 2 4" xfId="20239" xr:uid="{00000000-0005-0000-0000-000073EF0000}"/>
    <cellStyle name="Normal 4 8 3 3 2 4 2" xfId="52110" xr:uid="{00000000-0005-0000-0000-000074EF0000}"/>
    <cellStyle name="Normal 4 8 3 3 2 5" xfId="47459" xr:uid="{00000000-0005-0000-0000-000075EF0000}"/>
    <cellStyle name="Normal 4 8 3 3 3" xfId="15584" xr:uid="{00000000-0005-0000-0000-000076EF0000}"/>
    <cellStyle name="Normal 4 8 3 3 3 2" xfId="15585" xr:uid="{00000000-0005-0000-0000-000077EF0000}"/>
    <cellStyle name="Normal 4 8 3 3 3 2 2" xfId="32055" xr:uid="{00000000-0005-0000-0000-000078EF0000}"/>
    <cellStyle name="Normal 4 8 3 3 3 2 2 2" xfId="63926" xr:uid="{00000000-0005-0000-0000-000079EF0000}"/>
    <cellStyle name="Normal 4 8 3 3 3 2 3" xfId="47464" xr:uid="{00000000-0005-0000-0000-00007AEF0000}"/>
    <cellStyle name="Normal 4 8 3 3 3 3" xfId="24177" xr:uid="{00000000-0005-0000-0000-00007BEF0000}"/>
    <cellStyle name="Normal 4 8 3 3 3 3 2" xfId="56048" xr:uid="{00000000-0005-0000-0000-00007CEF0000}"/>
    <cellStyle name="Normal 4 8 3 3 3 4" xfId="47463" xr:uid="{00000000-0005-0000-0000-00007DEF0000}"/>
    <cellStyle name="Normal 4 8 3 3 4" xfId="15586" xr:uid="{00000000-0005-0000-0000-00007EEF0000}"/>
    <cellStyle name="Normal 4 8 3 3 4 2" xfId="28116" xr:uid="{00000000-0005-0000-0000-00007FEF0000}"/>
    <cellStyle name="Normal 4 8 3 3 4 2 2" xfId="59987" xr:uid="{00000000-0005-0000-0000-000080EF0000}"/>
    <cellStyle name="Normal 4 8 3 3 4 3" xfId="47465" xr:uid="{00000000-0005-0000-0000-000081EF0000}"/>
    <cellStyle name="Normal 4 8 3 3 5" xfId="20238" xr:uid="{00000000-0005-0000-0000-000082EF0000}"/>
    <cellStyle name="Normal 4 8 3 3 5 2" xfId="52109" xr:uid="{00000000-0005-0000-0000-000083EF0000}"/>
    <cellStyle name="Normal 4 8 3 3 6" xfId="47458" xr:uid="{00000000-0005-0000-0000-000084EF0000}"/>
    <cellStyle name="Normal 4 8 3 4" xfId="15587" xr:uid="{00000000-0005-0000-0000-000085EF0000}"/>
    <cellStyle name="Normal 4 8 3 4 2" xfId="15588" xr:uid="{00000000-0005-0000-0000-000086EF0000}"/>
    <cellStyle name="Normal 4 8 3 4 2 2" xfId="15589" xr:uid="{00000000-0005-0000-0000-000087EF0000}"/>
    <cellStyle name="Normal 4 8 3 4 2 2 2" xfId="32057" xr:uid="{00000000-0005-0000-0000-000088EF0000}"/>
    <cellStyle name="Normal 4 8 3 4 2 2 2 2" xfId="63928" xr:uid="{00000000-0005-0000-0000-000089EF0000}"/>
    <cellStyle name="Normal 4 8 3 4 2 2 3" xfId="47468" xr:uid="{00000000-0005-0000-0000-00008AEF0000}"/>
    <cellStyle name="Normal 4 8 3 4 2 3" xfId="24179" xr:uid="{00000000-0005-0000-0000-00008BEF0000}"/>
    <cellStyle name="Normal 4 8 3 4 2 3 2" xfId="56050" xr:uid="{00000000-0005-0000-0000-00008CEF0000}"/>
    <cellStyle name="Normal 4 8 3 4 2 4" xfId="47467" xr:uid="{00000000-0005-0000-0000-00008DEF0000}"/>
    <cellStyle name="Normal 4 8 3 4 3" xfId="15590" xr:uid="{00000000-0005-0000-0000-00008EEF0000}"/>
    <cellStyle name="Normal 4 8 3 4 3 2" xfId="28118" xr:uid="{00000000-0005-0000-0000-00008FEF0000}"/>
    <cellStyle name="Normal 4 8 3 4 3 2 2" xfId="59989" xr:uid="{00000000-0005-0000-0000-000090EF0000}"/>
    <cellStyle name="Normal 4 8 3 4 3 3" xfId="47469" xr:uid="{00000000-0005-0000-0000-000091EF0000}"/>
    <cellStyle name="Normal 4 8 3 4 4" xfId="20240" xr:uid="{00000000-0005-0000-0000-000092EF0000}"/>
    <cellStyle name="Normal 4 8 3 4 4 2" xfId="52111" xr:uid="{00000000-0005-0000-0000-000093EF0000}"/>
    <cellStyle name="Normal 4 8 3 4 5" xfId="47466" xr:uid="{00000000-0005-0000-0000-000094EF0000}"/>
    <cellStyle name="Normal 4 8 3 5" xfId="15591" xr:uid="{00000000-0005-0000-0000-000095EF0000}"/>
    <cellStyle name="Normal 4 8 3 5 2" xfId="15592" xr:uid="{00000000-0005-0000-0000-000096EF0000}"/>
    <cellStyle name="Normal 4 8 3 5 2 2" xfId="32050" xr:uid="{00000000-0005-0000-0000-000097EF0000}"/>
    <cellStyle name="Normal 4 8 3 5 2 2 2" xfId="63921" xr:uid="{00000000-0005-0000-0000-000098EF0000}"/>
    <cellStyle name="Normal 4 8 3 5 2 3" xfId="47471" xr:uid="{00000000-0005-0000-0000-000099EF0000}"/>
    <cellStyle name="Normal 4 8 3 5 3" xfId="24172" xr:uid="{00000000-0005-0000-0000-00009AEF0000}"/>
    <cellStyle name="Normal 4 8 3 5 3 2" xfId="56043" xr:uid="{00000000-0005-0000-0000-00009BEF0000}"/>
    <cellStyle name="Normal 4 8 3 5 4" xfId="47470" xr:uid="{00000000-0005-0000-0000-00009CEF0000}"/>
    <cellStyle name="Normal 4 8 3 6" xfId="15593" xr:uid="{00000000-0005-0000-0000-00009DEF0000}"/>
    <cellStyle name="Normal 4 8 3 6 2" xfId="28111" xr:uid="{00000000-0005-0000-0000-00009EEF0000}"/>
    <cellStyle name="Normal 4 8 3 6 2 2" xfId="59982" xr:uid="{00000000-0005-0000-0000-00009FEF0000}"/>
    <cellStyle name="Normal 4 8 3 6 3" xfId="47472" xr:uid="{00000000-0005-0000-0000-0000A0EF0000}"/>
    <cellStyle name="Normal 4 8 3 7" xfId="20233" xr:uid="{00000000-0005-0000-0000-0000A1EF0000}"/>
    <cellStyle name="Normal 4 8 3 7 2" xfId="52104" xr:uid="{00000000-0005-0000-0000-0000A2EF0000}"/>
    <cellStyle name="Normal 4 8 3 8" xfId="47441" xr:uid="{00000000-0005-0000-0000-0000A3EF0000}"/>
    <cellStyle name="Normal 4 8 4" xfId="15594" xr:uid="{00000000-0005-0000-0000-0000A4EF0000}"/>
    <cellStyle name="Normal 4 8 4 2" xfId="15595" xr:uid="{00000000-0005-0000-0000-0000A5EF0000}"/>
    <cellStyle name="Normal 4 8 4 2 2" xfId="15596" xr:uid="{00000000-0005-0000-0000-0000A6EF0000}"/>
    <cellStyle name="Normal 4 8 4 2 2 2" xfId="15597" xr:uid="{00000000-0005-0000-0000-0000A7EF0000}"/>
    <cellStyle name="Normal 4 8 4 2 2 2 2" xfId="15598" xr:uid="{00000000-0005-0000-0000-0000A8EF0000}"/>
    <cellStyle name="Normal 4 8 4 2 2 2 2 2" xfId="32060" xr:uid="{00000000-0005-0000-0000-0000A9EF0000}"/>
    <cellStyle name="Normal 4 8 4 2 2 2 2 2 2" xfId="63931" xr:uid="{00000000-0005-0000-0000-0000AAEF0000}"/>
    <cellStyle name="Normal 4 8 4 2 2 2 2 3" xfId="47477" xr:uid="{00000000-0005-0000-0000-0000ABEF0000}"/>
    <cellStyle name="Normal 4 8 4 2 2 2 3" xfId="24182" xr:uid="{00000000-0005-0000-0000-0000ACEF0000}"/>
    <cellStyle name="Normal 4 8 4 2 2 2 3 2" xfId="56053" xr:uid="{00000000-0005-0000-0000-0000ADEF0000}"/>
    <cellStyle name="Normal 4 8 4 2 2 2 4" xfId="47476" xr:uid="{00000000-0005-0000-0000-0000AEEF0000}"/>
    <cellStyle name="Normal 4 8 4 2 2 3" xfId="15599" xr:uid="{00000000-0005-0000-0000-0000AFEF0000}"/>
    <cellStyle name="Normal 4 8 4 2 2 3 2" xfId="28121" xr:uid="{00000000-0005-0000-0000-0000B0EF0000}"/>
    <cellStyle name="Normal 4 8 4 2 2 3 2 2" xfId="59992" xr:uid="{00000000-0005-0000-0000-0000B1EF0000}"/>
    <cellStyle name="Normal 4 8 4 2 2 3 3" xfId="47478" xr:uid="{00000000-0005-0000-0000-0000B2EF0000}"/>
    <cellStyle name="Normal 4 8 4 2 2 4" xfId="20243" xr:uid="{00000000-0005-0000-0000-0000B3EF0000}"/>
    <cellStyle name="Normal 4 8 4 2 2 4 2" xfId="52114" xr:uid="{00000000-0005-0000-0000-0000B4EF0000}"/>
    <cellStyle name="Normal 4 8 4 2 2 5" xfId="47475" xr:uid="{00000000-0005-0000-0000-0000B5EF0000}"/>
    <cellStyle name="Normal 4 8 4 2 3" xfId="15600" xr:uid="{00000000-0005-0000-0000-0000B6EF0000}"/>
    <cellStyle name="Normal 4 8 4 2 3 2" xfId="15601" xr:uid="{00000000-0005-0000-0000-0000B7EF0000}"/>
    <cellStyle name="Normal 4 8 4 2 3 2 2" xfId="32059" xr:uid="{00000000-0005-0000-0000-0000B8EF0000}"/>
    <cellStyle name="Normal 4 8 4 2 3 2 2 2" xfId="63930" xr:uid="{00000000-0005-0000-0000-0000B9EF0000}"/>
    <cellStyle name="Normal 4 8 4 2 3 2 3" xfId="47480" xr:uid="{00000000-0005-0000-0000-0000BAEF0000}"/>
    <cellStyle name="Normal 4 8 4 2 3 3" xfId="24181" xr:uid="{00000000-0005-0000-0000-0000BBEF0000}"/>
    <cellStyle name="Normal 4 8 4 2 3 3 2" xfId="56052" xr:uid="{00000000-0005-0000-0000-0000BCEF0000}"/>
    <cellStyle name="Normal 4 8 4 2 3 4" xfId="47479" xr:uid="{00000000-0005-0000-0000-0000BDEF0000}"/>
    <cellStyle name="Normal 4 8 4 2 4" xfId="15602" xr:uid="{00000000-0005-0000-0000-0000BEEF0000}"/>
    <cellStyle name="Normal 4 8 4 2 4 2" xfId="28120" xr:uid="{00000000-0005-0000-0000-0000BFEF0000}"/>
    <cellStyle name="Normal 4 8 4 2 4 2 2" xfId="59991" xr:uid="{00000000-0005-0000-0000-0000C0EF0000}"/>
    <cellStyle name="Normal 4 8 4 2 4 3" xfId="47481" xr:uid="{00000000-0005-0000-0000-0000C1EF0000}"/>
    <cellStyle name="Normal 4 8 4 2 5" xfId="20242" xr:uid="{00000000-0005-0000-0000-0000C2EF0000}"/>
    <cellStyle name="Normal 4 8 4 2 5 2" xfId="52113" xr:uid="{00000000-0005-0000-0000-0000C3EF0000}"/>
    <cellStyle name="Normal 4 8 4 2 6" xfId="47474" xr:uid="{00000000-0005-0000-0000-0000C4EF0000}"/>
    <cellStyle name="Normal 4 8 4 3" xfId="15603" xr:uid="{00000000-0005-0000-0000-0000C5EF0000}"/>
    <cellStyle name="Normal 4 8 4 3 2" xfId="15604" xr:uid="{00000000-0005-0000-0000-0000C6EF0000}"/>
    <cellStyle name="Normal 4 8 4 3 2 2" xfId="15605" xr:uid="{00000000-0005-0000-0000-0000C7EF0000}"/>
    <cellStyle name="Normal 4 8 4 3 2 2 2" xfId="32061" xr:uid="{00000000-0005-0000-0000-0000C8EF0000}"/>
    <cellStyle name="Normal 4 8 4 3 2 2 2 2" xfId="63932" xr:uid="{00000000-0005-0000-0000-0000C9EF0000}"/>
    <cellStyle name="Normal 4 8 4 3 2 2 3" xfId="47484" xr:uid="{00000000-0005-0000-0000-0000CAEF0000}"/>
    <cellStyle name="Normal 4 8 4 3 2 3" xfId="24183" xr:uid="{00000000-0005-0000-0000-0000CBEF0000}"/>
    <cellStyle name="Normal 4 8 4 3 2 3 2" xfId="56054" xr:uid="{00000000-0005-0000-0000-0000CCEF0000}"/>
    <cellStyle name="Normal 4 8 4 3 2 4" xfId="47483" xr:uid="{00000000-0005-0000-0000-0000CDEF0000}"/>
    <cellStyle name="Normal 4 8 4 3 3" xfId="15606" xr:uid="{00000000-0005-0000-0000-0000CEEF0000}"/>
    <cellStyle name="Normal 4 8 4 3 3 2" xfId="28122" xr:uid="{00000000-0005-0000-0000-0000CFEF0000}"/>
    <cellStyle name="Normal 4 8 4 3 3 2 2" xfId="59993" xr:uid="{00000000-0005-0000-0000-0000D0EF0000}"/>
    <cellStyle name="Normal 4 8 4 3 3 3" xfId="47485" xr:uid="{00000000-0005-0000-0000-0000D1EF0000}"/>
    <cellStyle name="Normal 4 8 4 3 4" xfId="20244" xr:uid="{00000000-0005-0000-0000-0000D2EF0000}"/>
    <cellStyle name="Normal 4 8 4 3 4 2" xfId="52115" xr:uid="{00000000-0005-0000-0000-0000D3EF0000}"/>
    <cellStyle name="Normal 4 8 4 3 5" xfId="47482" xr:uid="{00000000-0005-0000-0000-0000D4EF0000}"/>
    <cellStyle name="Normal 4 8 4 4" xfId="15607" xr:uid="{00000000-0005-0000-0000-0000D5EF0000}"/>
    <cellStyle name="Normal 4 8 4 4 2" xfId="15608" xr:uid="{00000000-0005-0000-0000-0000D6EF0000}"/>
    <cellStyle name="Normal 4 8 4 4 2 2" xfId="32058" xr:uid="{00000000-0005-0000-0000-0000D7EF0000}"/>
    <cellStyle name="Normal 4 8 4 4 2 2 2" xfId="63929" xr:uid="{00000000-0005-0000-0000-0000D8EF0000}"/>
    <cellStyle name="Normal 4 8 4 4 2 3" xfId="47487" xr:uid="{00000000-0005-0000-0000-0000D9EF0000}"/>
    <cellStyle name="Normal 4 8 4 4 3" xfId="24180" xr:uid="{00000000-0005-0000-0000-0000DAEF0000}"/>
    <cellStyle name="Normal 4 8 4 4 3 2" xfId="56051" xr:uid="{00000000-0005-0000-0000-0000DBEF0000}"/>
    <cellStyle name="Normal 4 8 4 4 4" xfId="47486" xr:uid="{00000000-0005-0000-0000-0000DCEF0000}"/>
    <cellStyle name="Normal 4 8 4 5" xfId="15609" xr:uid="{00000000-0005-0000-0000-0000DDEF0000}"/>
    <cellStyle name="Normal 4 8 4 5 2" xfId="28119" xr:uid="{00000000-0005-0000-0000-0000DEEF0000}"/>
    <cellStyle name="Normal 4 8 4 5 2 2" xfId="59990" xr:uid="{00000000-0005-0000-0000-0000DFEF0000}"/>
    <cellStyle name="Normal 4 8 4 5 3" xfId="47488" xr:uid="{00000000-0005-0000-0000-0000E0EF0000}"/>
    <cellStyle name="Normal 4 8 4 6" xfId="20241" xr:uid="{00000000-0005-0000-0000-0000E1EF0000}"/>
    <cellStyle name="Normal 4 8 4 6 2" xfId="52112" xr:uid="{00000000-0005-0000-0000-0000E2EF0000}"/>
    <cellStyle name="Normal 4 8 4 7" xfId="47473" xr:uid="{00000000-0005-0000-0000-0000E3EF0000}"/>
    <cellStyle name="Normal 4 8 5" xfId="15610" xr:uid="{00000000-0005-0000-0000-0000E4EF0000}"/>
    <cellStyle name="Normal 4 8 5 2" xfId="15611" xr:uid="{00000000-0005-0000-0000-0000E5EF0000}"/>
    <cellStyle name="Normal 4 8 5 2 2" xfId="15612" xr:uid="{00000000-0005-0000-0000-0000E6EF0000}"/>
    <cellStyle name="Normal 4 8 5 2 2 2" xfId="15613" xr:uid="{00000000-0005-0000-0000-0000E7EF0000}"/>
    <cellStyle name="Normal 4 8 5 2 2 2 2" xfId="32063" xr:uid="{00000000-0005-0000-0000-0000E8EF0000}"/>
    <cellStyle name="Normal 4 8 5 2 2 2 2 2" xfId="63934" xr:uid="{00000000-0005-0000-0000-0000E9EF0000}"/>
    <cellStyle name="Normal 4 8 5 2 2 2 3" xfId="47492" xr:uid="{00000000-0005-0000-0000-0000EAEF0000}"/>
    <cellStyle name="Normal 4 8 5 2 2 3" xfId="24185" xr:uid="{00000000-0005-0000-0000-0000EBEF0000}"/>
    <cellStyle name="Normal 4 8 5 2 2 3 2" xfId="56056" xr:uid="{00000000-0005-0000-0000-0000ECEF0000}"/>
    <cellStyle name="Normal 4 8 5 2 2 4" xfId="47491" xr:uid="{00000000-0005-0000-0000-0000EDEF0000}"/>
    <cellStyle name="Normal 4 8 5 2 3" xfId="15614" xr:uid="{00000000-0005-0000-0000-0000EEEF0000}"/>
    <cellStyle name="Normal 4 8 5 2 3 2" xfId="28124" xr:uid="{00000000-0005-0000-0000-0000EFEF0000}"/>
    <cellStyle name="Normal 4 8 5 2 3 2 2" xfId="59995" xr:uid="{00000000-0005-0000-0000-0000F0EF0000}"/>
    <cellStyle name="Normal 4 8 5 2 3 3" xfId="47493" xr:uid="{00000000-0005-0000-0000-0000F1EF0000}"/>
    <cellStyle name="Normal 4 8 5 2 4" xfId="20246" xr:uid="{00000000-0005-0000-0000-0000F2EF0000}"/>
    <cellStyle name="Normal 4 8 5 2 4 2" xfId="52117" xr:uid="{00000000-0005-0000-0000-0000F3EF0000}"/>
    <cellStyle name="Normal 4 8 5 2 5" xfId="47490" xr:uid="{00000000-0005-0000-0000-0000F4EF0000}"/>
    <cellStyle name="Normal 4 8 5 3" xfId="15615" xr:uid="{00000000-0005-0000-0000-0000F5EF0000}"/>
    <cellStyle name="Normal 4 8 5 3 2" xfId="15616" xr:uid="{00000000-0005-0000-0000-0000F6EF0000}"/>
    <cellStyle name="Normal 4 8 5 3 2 2" xfId="32062" xr:uid="{00000000-0005-0000-0000-0000F7EF0000}"/>
    <cellStyle name="Normal 4 8 5 3 2 2 2" xfId="63933" xr:uid="{00000000-0005-0000-0000-0000F8EF0000}"/>
    <cellStyle name="Normal 4 8 5 3 2 3" xfId="47495" xr:uid="{00000000-0005-0000-0000-0000F9EF0000}"/>
    <cellStyle name="Normal 4 8 5 3 3" xfId="24184" xr:uid="{00000000-0005-0000-0000-0000FAEF0000}"/>
    <cellStyle name="Normal 4 8 5 3 3 2" xfId="56055" xr:uid="{00000000-0005-0000-0000-0000FBEF0000}"/>
    <cellStyle name="Normal 4 8 5 3 4" xfId="47494" xr:uid="{00000000-0005-0000-0000-0000FCEF0000}"/>
    <cellStyle name="Normal 4 8 5 4" xfId="15617" xr:uid="{00000000-0005-0000-0000-0000FDEF0000}"/>
    <cellStyle name="Normal 4 8 5 4 2" xfId="28123" xr:uid="{00000000-0005-0000-0000-0000FEEF0000}"/>
    <cellStyle name="Normal 4 8 5 4 2 2" xfId="59994" xr:uid="{00000000-0005-0000-0000-0000FFEF0000}"/>
    <cellStyle name="Normal 4 8 5 4 3" xfId="47496" xr:uid="{00000000-0005-0000-0000-000000F00000}"/>
    <cellStyle name="Normal 4 8 5 5" xfId="20245" xr:uid="{00000000-0005-0000-0000-000001F00000}"/>
    <cellStyle name="Normal 4 8 5 5 2" xfId="52116" xr:uid="{00000000-0005-0000-0000-000002F00000}"/>
    <cellStyle name="Normal 4 8 5 6" xfId="47489" xr:uid="{00000000-0005-0000-0000-000003F00000}"/>
    <cellStyle name="Normal 4 8 6" xfId="15618" xr:uid="{00000000-0005-0000-0000-000004F00000}"/>
    <cellStyle name="Normal 4 8 6 2" xfId="15619" xr:uid="{00000000-0005-0000-0000-000005F00000}"/>
    <cellStyle name="Normal 4 8 6 2 2" xfId="15620" xr:uid="{00000000-0005-0000-0000-000006F00000}"/>
    <cellStyle name="Normal 4 8 6 2 2 2" xfId="32064" xr:uid="{00000000-0005-0000-0000-000007F00000}"/>
    <cellStyle name="Normal 4 8 6 2 2 2 2" xfId="63935" xr:uid="{00000000-0005-0000-0000-000008F00000}"/>
    <cellStyle name="Normal 4 8 6 2 2 3" xfId="47499" xr:uid="{00000000-0005-0000-0000-000009F00000}"/>
    <cellStyle name="Normal 4 8 6 2 3" xfId="24186" xr:uid="{00000000-0005-0000-0000-00000AF00000}"/>
    <cellStyle name="Normal 4 8 6 2 3 2" xfId="56057" xr:uid="{00000000-0005-0000-0000-00000BF00000}"/>
    <cellStyle name="Normal 4 8 6 2 4" xfId="47498" xr:uid="{00000000-0005-0000-0000-00000CF00000}"/>
    <cellStyle name="Normal 4 8 6 3" xfId="15621" xr:uid="{00000000-0005-0000-0000-00000DF00000}"/>
    <cellStyle name="Normal 4 8 6 3 2" xfId="28125" xr:uid="{00000000-0005-0000-0000-00000EF00000}"/>
    <cellStyle name="Normal 4 8 6 3 2 2" xfId="59996" xr:uid="{00000000-0005-0000-0000-00000FF00000}"/>
    <cellStyle name="Normal 4 8 6 3 3" xfId="47500" xr:uid="{00000000-0005-0000-0000-000010F00000}"/>
    <cellStyle name="Normal 4 8 6 4" xfId="20247" xr:uid="{00000000-0005-0000-0000-000011F00000}"/>
    <cellStyle name="Normal 4 8 6 4 2" xfId="52118" xr:uid="{00000000-0005-0000-0000-000012F00000}"/>
    <cellStyle name="Normal 4 8 6 5" xfId="47497" xr:uid="{00000000-0005-0000-0000-000013F00000}"/>
    <cellStyle name="Normal 4 8 7" xfId="15622" xr:uid="{00000000-0005-0000-0000-000014F00000}"/>
    <cellStyle name="Normal 4 8 7 2" xfId="15623" xr:uid="{00000000-0005-0000-0000-000015F00000}"/>
    <cellStyle name="Normal 4 8 7 2 2" xfId="28342" xr:uid="{00000000-0005-0000-0000-000016F00000}"/>
    <cellStyle name="Normal 4 8 7 2 2 2" xfId="60213" xr:uid="{00000000-0005-0000-0000-000017F00000}"/>
    <cellStyle name="Normal 4 8 7 2 3" xfId="47502" xr:uid="{00000000-0005-0000-0000-000018F00000}"/>
    <cellStyle name="Normal 4 8 7 3" xfId="20464" xr:uid="{00000000-0005-0000-0000-000019F00000}"/>
    <cellStyle name="Normal 4 8 7 3 2" xfId="52335" xr:uid="{00000000-0005-0000-0000-00001AF00000}"/>
    <cellStyle name="Normal 4 8 7 4" xfId="47501" xr:uid="{00000000-0005-0000-0000-00001BF00000}"/>
    <cellStyle name="Normal 4 8 8" xfId="15624" xr:uid="{00000000-0005-0000-0000-00001CF00000}"/>
    <cellStyle name="Normal 4 8 8 2" xfId="24403" xr:uid="{00000000-0005-0000-0000-00001DF00000}"/>
    <cellStyle name="Normal 4 8 8 2 2" xfId="56274" xr:uid="{00000000-0005-0000-0000-00001EF00000}"/>
    <cellStyle name="Normal 4 8 8 3" xfId="47503" xr:uid="{00000000-0005-0000-0000-00001FF00000}"/>
    <cellStyle name="Normal 4 8 9" xfId="16525" xr:uid="{00000000-0005-0000-0000-000020F00000}"/>
    <cellStyle name="Normal 4 8 9 2" xfId="48396" xr:uid="{00000000-0005-0000-0000-000021F00000}"/>
    <cellStyle name="Normal 4 9" xfId="15625" xr:uid="{00000000-0005-0000-0000-000022F00000}"/>
    <cellStyle name="Normal 4 9 2" xfId="15626" xr:uid="{00000000-0005-0000-0000-000023F00000}"/>
    <cellStyle name="Normal 4 9 2 2" xfId="15627" xr:uid="{00000000-0005-0000-0000-000024F00000}"/>
    <cellStyle name="Normal 4 9 2 2 2" xfId="15628" xr:uid="{00000000-0005-0000-0000-000025F00000}"/>
    <cellStyle name="Normal 4 9 2 2 2 2" xfId="15629" xr:uid="{00000000-0005-0000-0000-000026F00000}"/>
    <cellStyle name="Normal 4 9 2 2 2 2 2" xfId="15630" xr:uid="{00000000-0005-0000-0000-000027F00000}"/>
    <cellStyle name="Normal 4 9 2 2 2 2 2 2" xfId="15631" xr:uid="{00000000-0005-0000-0000-000028F00000}"/>
    <cellStyle name="Normal 4 9 2 2 2 2 2 2 2" xfId="32068" xr:uid="{00000000-0005-0000-0000-000029F00000}"/>
    <cellStyle name="Normal 4 9 2 2 2 2 2 2 2 2" xfId="63939" xr:uid="{00000000-0005-0000-0000-00002AF00000}"/>
    <cellStyle name="Normal 4 9 2 2 2 2 2 2 3" xfId="47510" xr:uid="{00000000-0005-0000-0000-00002BF00000}"/>
    <cellStyle name="Normal 4 9 2 2 2 2 2 3" xfId="24190" xr:uid="{00000000-0005-0000-0000-00002CF00000}"/>
    <cellStyle name="Normal 4 9 2 2 2 2 2 3 2" xfId="56061" xr:uid="{00000000-0005-0000-0000-00002DF00000}"/>
    <cellStyle name="Normal 4 9 2 2 2 2 2 4" xfId="47509" xr:uid="{00000000-0005-0000-0000-00002EF00000}"/>
    <cellStyle name="Normal 4 9 2 2 2 2 3" xfId="15632" xr:uid="{00000000-0005-0000-0000-00002FF00000}"/>
    <cellStyle name="Normal 4 9 2 2 2 2 3 2" xfId="28129" xr:uid="{00000000-0005-0000-0000-000030F00000}"/>
    <cellStyle name="Normal 4 9 2 2 2 2 3 2 2" xfId="60000" xr:uid="{00000000-0005-0000-0000-000031F00000}"/>
    <cellStyle name="Normal 4 9 2 2 2 2 3 3" xfId="47511" xr:uid="{00000000-0005-0000-0000-000032F00000}"/>
    <cellStyle name="Normal 4 9 2 2 2 2 4" xfId="20251" xr:uid="{00000000-0005-0000-0000-000033F00000}"/>
    <cellStyle name="Normal 4 9 2 2 2 2 4 2" xfId="52122" xr:uid="{00000000-0005-0000-0000-000034F00000}"/>
    <cellStyle name="Normal 4 9 2 2 2 2 5" xfId="47508" xr:uid="{00000000-0005-0000-0000-000035F00000}"/>
    <cellStyle name="Normal 4 9 2 2 2 3" xfId="15633" xr:uid="{00000000-0005-0000-0000-000036F00000}"/>
    <cellStyle name="Normal 4 9 2 2 2 3 2" xfId="15634" xr:uid="{00000000-0005-0000-0000-000037F00000}"/>
    <cellStyle name="Normal 4 9 2 2 2 3 2 2" xfId="32067" xr:uid="{00000000-0005-0000-0000-000038F00000}"/>
    <cellStyle name="Normal 4 9 2 2 2 3 2 2 2" xfId="63938" xr:uid="{00000000-0005-0000-0000-000039F00000}"/>
    <cellStyle name="Normal 4 9 2 2 2 3 2 3" xfId="47513" xr:uid="{00000000-0005-0000-0000-00003AF00000}"/>
    <cellStyle name="Normal 4 9 2 2 2 3 3" xfId="24189" xr:uid="{00000000-0005-0000-0000-00003BF00000}"/>
    <cellStyle name="Normal 4 9 2 2 2 3 3 2" xfId="56060" xr:uid="{00000000-0005-0000-0000-00003CF00000}"/>
    <cellStyle name="Normal 4 9 2 2 2 3 4" xfId="47512" xr:uid="{00000000-0005-0000-0000-00003DF00000}"/>
    <cellStyle name="Normal 4 9 2 2 2 4" xfId="15635" xr:uid="{00000000-0005-0000-0000-00003EF00000}"/>
    <cellStyle name="Normal 4 9 2 2 2 4 2" xfId="28128" xr:uid="{00000000-0005-0000-0000-00003FF00000}"/>
    <cellStyle name="Normal 4 9 2 2 2 4 2 2" xfId="59999" xr:uid="{00000000-0005-0000-0000-000040F00000}"/>
    <cellStyle name="Normal 4 9 2 2 2 4 3" xfId="47514" xr:uid="{00000000-0005-0000-0000-000041F00000}"/>
    <cellStyle name="Normal 4 9 2 2 2 5" xfId="20250" xr:uid="{00000000-0005-0000-0000-000042F00000}"/>
    <cellStyle name="Normal 4 9 2 2 2 5 2" xfId="52121" xr:uid="{00000000-0005-0000-0000-000043F00000}"/>
    <cellStyle name="Normal 4 9 2 2 2 6" xfId="47507" xr:uid="{00000000-0005-0000-0000-000044F00000}"/>
    <cellStyle name="Normal 4 9 2 2 3" xfId="15636" xr:uid="{00000000-0005-0000-0000-000045F00000}"/>
    <cellStyle name="Normal 4 9 2 2 3 2" xfId="15637" xr:uid="{00000000-0005-0000-0000-000046F00000}"/>
    <cellStyle name="Normal 4 9 2 2 3 2 2" xfId="15638" xr:uid="{00000000-0005-0000-0000-000047F00000}"/>
    <cellStyle name="Normal 4 9 2 2 3 2 2 2" xfId="32069" xr:uid="{00000000-0005-0000-0000-000048F00000}"/>
    <cellStyle name="Normal 4 9 2 2 3 2 2 2 2" xfId="63940" xr:uid="{00000000-0005-0000-0000-000049F00000}"/>
    <cellStyle name="Normal 4 9 2 2 3 2 2 3" xfId="47517" xr:uid="{00000000-0005-0000-0000-00004AF00000}"/>
    <cellStyle name="Normal 4 9 2 2 3 2 3" xfId="24191" xr:uid="{00000000-0005-0000-0000-00004BF00000}"/>
    <cellStyle name="Normal 4 9 2 2 3 2 3 2" xfId="56062" xr:uid="{00000000-0005-0000-0000-00004CF00000}"/>
    <cellStyle name="Normal 4 9 2 2 3 2 4" xfId="47516" xr:uid="{00000000-0005-0000-0000-00004DF00000}"/>
    <cellStyle name="Normal 4 9 2 2 3 3" xfId="15639" xr:uid="{00000000-0005-0000-0000-00004EF00000}"/>
    <cellStyle name="Normal 4 9 2 2 3 3 2" xfId="28130" xr:uid="{00000000-0005-0000-0000-00004FF00000}"/>
    <cellStyle name="Normal 4 9 2 2 3 3 2 2" xfId="60001" xr:uid="{00000000-0005-0000-0000-000050F00000}"/>
    <cellStyle name="Normal 4 9 2 2 3 3 3" xfId="47518" xr:uid="{00000000-0005-0000-0000-000051F00000}"/>
    <cellStyle name="Normal 4 9 2 2 3 4" xfId="20252" xr:uid="{00000000-0005-0000-0000-000052F00000}"/>
    <cellStyle name="Normal 4 9 2 2 3 4 2" xfId="52123" xr:uid="{00000000-0005-0000-0000-000053F00000}"/>
    <cellStyle name="Normal 4 9 2 2 3 5" xfId="47515" xr:uid="{00000000-0005-0000-0000-000054F00000}"/>
    <cellStyle name="Normal 4 9 2 2 4" xfId="15640" xr:uid="{00000000-0005-0000-0000-000055F00000}"/>
    <cellStyle name="Normal 4 9 2 2 4 2" xfId="15641" xr:uid="{00000000-0005-0000-0000-000056F00000}"/>
    <cellStyle name="Normal 4 9 2 2 4 2 2" xfId="32066" xr:uid="{00000000-0005-0000-0000-000057F00000}"/>
    <cellStyle name="Normal 4 9 2 2 4 2 2 2" xfId="63937" xr:uid="{00000000-0005-0000-0000-000058F00000}"/>
    <cellStyle name="Normal 4 9 2 2 4 2 3" xfId="47520" xr:uid="{00000000-0005-0000-0000-000059F00000}"/>
    <cellStyle name="Normal 4 9 2 2 4 3" xfId="24188" xr:uid="{00000000-0005-0000-0000-00005AF00000}"/>
    <cellStyle name="Normal 4 9 2 2 4 3 2" xfId="56059" xr:uid="{00000000-0005-0000-0000-00005BF00000}"/>
    <cellStyle name="Normal 4 9 2 2 4 4" xfId="47519" xr:uid="{00000000-0005-0000-0000-00005CF00000}"/>
    <cellStyle name="Normal 4 9 2 2 5" xfId="15642" xr:uid="{00000000-0005-0000-0000-00005DF00000}"/>
    <cellStyle name="Normal 4 9 2 2 5 2" xfId="28127" xr:uid="{00000000-0005-0000-0000-00005EF00000}"/>
    <cellStyle name="Normal 4 9 2 2 5 2 2" xfId="59998" xr:uid="{00000000-0005-0000-0000-00005FF00000}"/>
    <cellStyle name="Normal 4 9 2 2 5 3" xfId="47521" xr:uid="{00000000-0005-0000-0000-000060F00000}"/>
    <cellStyle name="Normal 4 9 2 2 6" xfId="20249" xr:uid="{00000000-0005-0000-0000-000061F00000}"/>
    <cellStyle name="Normal 4 9 2 2 6 2" xfId="52120" xr:uid="{00000000-0005-0000-0000-000062F00000}"/>
    <cellStyle name="Normal 4 9 2 2 7" xfId="47506" xr:uid="{00000000-0005-0000-0000-000063F00000}"/>
    <cellStyle name="Normal 4 9 2 3" xfId="15643" xr:uid="{00000000-0005-0000-0000-000064F00000}"/>
    <cellStyle name="Normal 4 9 2 3 2" xfId="15644" xr:uid="{00000000-0005-0000-0000-000065F00000}"/>
    <cellStyle name="Normal 4 9 2 3 2 2" xfId="15645" xr:uid="{00000000-0005-0000-0000-000066F00000}"/>
    <cellStyle name="Normal 4 9 2 3 2 2 2" xfId="15646" xr:uid="{00000000-0005-0000-0000-000067F00000}"/>
    <cellStyle name="Normal 4 9 2 3 2 2 2 2" xfId="32071" xr:uid="{00000000-0005-0000-0000-000068F00000}"/>
    <cellStyle name="Normal 4 9 2 3 2 2 2 2 2" xfId="63942" xr:uid="{00000000-0005-0000-0000-000069F00000}"/>
    <cellStyle name="Normal 4 9 2 3 2 2 2 3" xfId="47525" xr:uid="{00000000-0005-0000-0000-00006AF00000}"/>
    <cellStyle name="Normal 4 9 2 3 2 2 3" xfId="24193" xr:uid="{00000000-0005-0000-0000-00006BF00000}"/>
    <cellStyle name="Normal 4 9 2 3 2 2 3 2" xfId="56064" xr:uid="{00000000-0005-0000-0000-00006CF00000}"/>
    <cellStyle name="Normal 4 9 2 3 2 2 4" xfId="47524" xr:uid="{00000000-0005-0000-0000-00006DF00000}"/>
    <cellStyle name="Normal 4 9 2 3 2 3" xfId="15647" xr:uid="{00000000-0005-0000-0000-00006EF00000}"/>
    <cellStyle name="Normal 4 9 2 3 2 3 2" xfId="28132" xr:uid="{00000000-0005-0000-0000-00006FF00000}"/>
    <cellStyle name="Normal 4 9 2 3 2 3 2 2" xfId="60003" xr:uid="{00000000-0005-0000-0000-000070F00000}"/>
    <cellStyle name="Normal 4 9 2 3 2 3 3" xfId="47526" xr:uid="{00000000-0005-0000-0000-000071F00000}"/>
    <cellStyle name="Normal 4 9 2 3 2 4" xfId="20254" xr:uid="{00000000-0005-0000-0000-000072F00000}"/>
    <cellStyle name="Normal 4 9 2 3 2 4 2" xfId="52125" xr:uid="{00000000-0005-0000-0000-000073F00000}"/>
    <cellStyle name="Normal 4 9 2 3 2 5" xfId="47523" xr:uid="{00000000-0005-0000-0000-000074F00000}"/>
    <cellStyle name="Normal 4 9 2 3 3" xfId="15648" xr:uid="{00000000-0005-0000-0000-000075F00000}"/>
    <cellStyle name="Normal 4 9 2 3 3 2" xfId="15649" xr:uid="{00000000-0005-0000-0000-000076F00000}"/>
    <cellStyle name="Normal 4 9 2 3 3 2 2" xfId="32070" xr:uid="{00000000-0005-0000-0000-000077F00000}"/>
    <cellStyle name="Normal 4 9 2 3 3 2 2 2" xfId="63941" xr:uid="{00000000-0005-0000-0000-000078F00000}"/>
    <cellStyle name="Normal 4 9 2 3 3 2 3" xfId="47528" xr:uid="{00000000-0005-0000-0000-000079F00000}"/>
    <cellStyle name="Normal 4 9 2 3 3 3" xfId="24192" xr:uid="{00000000-0005-0000-0000-00007AF00000}"/>
    <cellStyle name="Normal 4 9 2 3 3 3 2" xfId="56063" xr:uid="{00000000-0005-0000-0000-00007BF00000}"/>
    <cellStyle name="Normal 4 9 2 3 3 4" xfId="47527" xr:uid="{00000000-0005-0000-0000-00007CF00000}"/>
    <cellStyle name="Normal 4 9 2 3 4" xfId="15650" xr:uid="{00000000-0005-0000-0000-00007DF00000}"/>
    <cellStyle name="Normal 4 9 2 3 4 2" xfId="28131" xr:uid="{00000000-0005-0000-0000-00007EF00000}"/>
    <cellStyle name="Normal 4 9 2 3 4 2 2" xfId="60002" xr:uid="{00000000-0005-0000-0000-00007FF00000}"/>
    <cellStyle name="Normal 4 9 2 3 4 3" xfId="47529" xr:uid="{00000000-0005-0000-0000-000080F00000}"/>
    <cellStyle name="Normal 4 9 2 3 5" xfId="20253" xr:uid="{00000000-0005-0000-0000-000081F00000}"/>
    <cellStyle name="Normal 4 9 2 3 5 2" xfId="52124" xr:uid="{00000000-0005-0000-0000-000082F00000}"/>
    <cellStyle name="Normal 4 9 2 3 6" xfId="47522" xr:uid="{00000000-0005-0000-0000-000083F00000}"/>
    <cellStyle name="Normal 4 9 2 4" xfId="15651" xr:uid="{00000000-0005-0000-0000-000084F00000}"/>
    <cellStyle name="Normal 4 9 2 4 2" xfId="15652" xr:uid="{00000000-0005-0000-0000-000085F00000}"/>
    <cellStyle name="Normal 4 9 2 4 2 2" xfId="15653" xr:uid="{00000000-0005-0000-0000-000086F00000}"/>
    <cellStyle name="Normal 4 9 2 4 2 2 2" xfId="32072" xr:uid="{00000000-0005-0000-0000-000087F00000}"/>
    <cellStyle name="Normal 4 9 2 4 2 2 2 2" xfId="63943" xr:uid="{00000000-0005-0000-0000-000088F00000}"/>
    <cellStyle name="Normal 4 9 2 4 2 2 3" xfId="47532" xr:uid="{00000000-0005-0000-0000-000089F00000}"/>
    <cellStyle name="Normal 4 9 2 4 2 3" xfId="24194" xr:uid="{00000000-0005-0000-0000-00008AF00000}"/>
    <cellStyle name="Normal 4 9 2 4 2 3 2" xfId="56065" xr:uid="{00000000-0005-0000-0000-00008BF00000}"/>
    <cellStyle name="Normal 4 9 2 4 2 4" xfId="47531" xr:uid="{00000000-0005-0000-0000-00008CF00000}"/>
    <cellStyle name="Normal 4 9 2 4 3" xfId="15654" xr:uid="{00000000-0005-0000-0000-00008DF00000}"/>
    <cellStyle name="Normal 4 9 2 4 3 2" xfId="28133" xr:uid="{00000000-0005-0000-0000-00008EF00000}"/>
    <cellStyle name="Normal 4 9 2 4 3 2 2" xfId="60004" xr:uid="{00000000-0005-0000-0000-00008FF00000}"/>
    <cellStyle name="Normal 4 9 2 4 3 3" xfId="47533" xr:uid="{00000000-0005-0000-0000-000090F00000}"/>
    <cellStyle name="Normal 4 9 2 4 4" xfId="20255" xr:uid="{00000000-0005-0000-0000-000091F00000}"/>
    <cellStyle name="Normal 4 9 2 4 4 2" xfId="52126" xr:uid="{00000000-0005-0000-0000-000092F00000}"/>
    <cellStyle name="Normal 4 9 2 4 5" xfId="47530" xr:uid="{00000000-0005-0000-0000-000093F00000}"/>
    <cellStyle name="Normal 4 9 2 5" xfId="15655" xr:uid="{00000000-0005-0000-0000-000094F00000}"/>
    <cellStyle name="Normal 4 9 2 5 2" xfId="15656" xr:uid="{00000000-0005-0000-0000-000095F00000}"/>
    <cellStyle name="Normal 4 9 2 5 2 2" xfId="32065" xr:uid="{00000000-0005-0000-0000-000096F00000}"/>
    <cellStyle name="Normal 4 9 2 5 2 2 2" xfId="63936" xr:uid="{00000000-0005-0000-0000-000097F00000}"/>
    <cellStyle name="Normal 4 9 2 5 2 3" xfId="47535" xr:uid="{00000000-0005-0000-0000-000098F00000}"/>
    <cellStyle name="Normal 4 9 2 5 3" xfId="24187" xr:uid="{00000000-0005-0000-0000-000099F00000}"/>
    <cellStyle name="Normal 4 9 2 5 3 2" xfId="56058" xr:uid="{00000000-0005-0000-0000-00009AF00000}"/>
    <cellStyle name="Normal 4 9 2 5 4" xfId="47534" xr:uid="{00000000-0005-0000-0000-00009BF00000}"/>
    <cellStyle name="Normal 4 9 2 6" xfId="15657" xr:uid="{00000000-0005-0000-0000-00009CF00000}"/>
    <cellStyle name="Normal 4 9 2 6 2" xfId="28126" xr:uid="{00000000-0005-0000-0000-00009DF00000}"/>
    <cellStyle name="Normal 4 9 2 6 2 2" xfId="59997" xr:uid="{00000000-0005-0000-0000-00009EF00000}"/>
    <cellStyle name="Normal 4 9 2 6 3" xfId="47536" xr:uid="{00000000-0005-0000-0000-00009FF00000}"/>
    <cellStyle name="Normal 4 9 2 7" xfId="20248" xr:uid="{00000000-0005-0000-0000-0000A0F00000}"/>
    <cellStyle name="Normal 4 9 2 7 2" xfId="52119" xr:uid="{00000000-0005-0000-0000-0000A1F00000}"/>
    <cellStyle name="Normal 4 9 2 8" xfId="47505" xr:uid="{00000000-0005-0000-0000-0000A2F00000}"/>
    <cellStyle name="Normal 4 9 3" xfId="15658" xr:uid="{00000000-0005-0000-0000-0000A3F00000}"/>
    <cellStyle name="Normal 4 9 3 2" xfId="15659" xr:uid="{00000000-0005-0000-0000-0000A4F00000}"/>
    <cellStyle name="Normal 4 9 3 2 2" xfId="15660" xr:uid="{00000000-0005-0000-0000-0000A5F00000}"/>
    <cellStyle name="Normal 4 9 3 2 2 2" xfId="15661" xr:uid="{00000000-0005-0000-0000-0000A6F00000}"/>
    <cellStyle name="Normal 4 9 3 2 2 2 2" xfId="15662" xr:uid="{00000000-0005-0000-0000-0000A7F00000}"/>
    <cellStyle name="Normal 4 9 3 2 2 2 2 2" xfId="32075" xr:uid="{00000000-0005-0000-0000-0000A8F00000}"/>
    <cellStyle name="Normal 4 9 3 2 2 2 2 2 2" xfId="63946" xr:uid="{00000000-0005-0000-0000-0000A9F00000}"/>
    <cellStyle name="Normal 4 9 3 2 2 2 2 3" xfId="47541" xr:uid="{00000000-0005-0000-0000-0000AAF00000}"/>
    <cellStyle name="Normal 4 9 3 2 2 2 3" xfId="24197" xr:uid="{00000000-0005-0000-0000-0000ABF00000}"/>
    <cellStyle name="Normal 4 9 3 2 2 2 3 2" xfId="56068" xr:uid="{00000000-0005-0000-0000-0000ACF00000}"/>
    <cellStyle name="Normal 4 9 3 2 2 2 4" xfId="47540" xr:uid="{00000000-0005-0000-0000-0000ADF00000}"/>
    <cellStyle name="Normal 4 9 3 2 2 3" xfId="15663" xr:uid="{00000000-0005-0000-0000-0000AEF00000}"/>
    <cellStyle name="Normal 4 9 3 2 2 3 2" xfId="28136" xr:uid="{00000000-0005-0000-0000-0000AFF00000}"/>
    <cellStyle name="Normal 4 9 3 2 2 3 2 2" xfId="60007" xr:uid="{00000000-0005-0000-0000-0000B0F00000}"/>
    <cellStyle name="Normal 4 9 3 2 2 3 3" xfId="47542" xr:uid="{00000000-0005-0000-0000-0000B1F00000}"/>
    <cellStyle name="Normal 4 9 3 2 2 4" xfId="20258" xr:uid="{00000000-0005-0000-0000-0000B2F00000}"/>
    <cellStyle name="Normal 4 9 3 2 2 4 2" xfId="52129" xr:uid="{00000000-0005-0000-0000-0000B3F00000}"/>
    <cellStyle name="Normal 4 9 3 2 2 5" xfId="47539" xr:uid="{00000000-0005-0000-0000-0000B4F00000}"/>
    <cellStyle name="Normal 4 9 3 2 3" xfId="15664" xr:uid="{00000000-0005-0000-0000-0000B5F00000}"/>
    <cellStyle name="Normal 4 9 3 2 3 2" xfId="15665" xr:uid="{00000000-0005-0000-0000-0000B6F00000}"/>
    <cellStyle name="Normal 4 9 3 2 3 2 2" xfId="32074" xr:uid="{00000000-0005-0000-0000-0000B7F00000}"/>
    <cellStyle name="Normal 4 9 3 2 3 2 2 2" xfId="63945" xr:uid="{00000000-0005-0000-0000-0000B8F00000}"/>
    <cellStyle name="Normal 4 9 3 2 3 2 3" xfId="47544" xr:uid="{00000000-0005-0000-0000-0000B9F00000}"/>
    <cellStyle name="Normal 4 9 3 2 3 3" xfId="24196" xr:uid="{00000000-0005-0000-0000-0000BAF00000}"/>
    <cellStyle name="Normal 4 9 3 2 3 3 2" xfId="56067" xr:uid="{00000000-0005-0000-0000-0000BBF00000}"/>
    <cellStyle name="Normal 4 9 3 2 3 4" xfId="47543" xr:uid="{00000000-0005-0000-0000-0000BCF00000}"/>
    <cellStyle name="Normal 4 9 3 2 4" xfId="15666" xr:uid="{00000000-0005-0000-0000-0000BDF00000}"/>
    <cellStyle name="Normal 4 9 3 2 4 2" xfId="28135" xr:uid="{00000000-0005-0000-0000-0000BEF00000}"/>
    <cellStyle name="Normal 4 9 3 2 4 2 2" xfId="60006" xr:uid="{00000000-0005-0000-0000-0000BFF00000}"/>
    <cellStyle name="Normal 4 9 3 2 4 3" xfId="47545" xr:uid="{00000000-0005-0000-0000-0000C0F00000}"/>
    <cellStyle name="Normal 4 9 3 2 5" xfId="20257" xr:uid="{00000000-0005-0000-0000-0000C1F00000}"/>
    <cellStyle name="Normal 4 9 3 2 5 2" xfId="52128" xr:uid="{00000000-0005-0000-0000-0000C2F00000}"/>
    <cellStyle name="Normal 4 9 3 2 6" xfId="47538" xr:uid="{00000000-0005-0000-0000-0000C3F00000}"/>
    <cellStyle name="Normal 4 9 3 3" xfId="15667" xr:uid="{00000000-0005-0000-0000-0000C4F00000}"/>
    <cellStyle name="Normal 4 9 3 3 2" xfId="15668" xr:uid="{00000000-0005-0000-0000-0000C5F00000}"/>
    <cellStyle name="Normal 4 9 3 3 2 2" xfId="15669" xr:uid="{00000000-0005-0000-0000-0000C6F00000}"/>
    <cellStyle name="Normal 4 9 3 3 2 2 2" xfId="32076" xr:uid="{00000000-0005-0000-0000-0000C7F00000}"/>
    <cellStyle name="Normal 4 9 3 3 2 2 2 2" xfId="63947" xr:uid="{00000000-0005-0000-0000-0000C8F00000}"/>
    <cellStyle name="Normal 4 9 3 3 2 2 3" xfId="47548" xr:uid="{00000000-0005-0000-0000-0000C9F00000}"/>
    <cellStyle name="Normal 4 9 3 3 2 3" xfId="24198" xr:uid="{00000000-0005-0000-0000-0000CAF00000}"/>
    <cellStyle name="Normal 4 9 3 3 2 3 2" xfId="56069" xr:uid="{00000000-0005-0000-0000-0000CBF00000}"/>
    <cellStyle name="Normal 4 9 3 3 2 4" xfId="47547" xr:uid="{00000000-0005-0000-0000-0000CCF00000}"/>
    <cellStyle name="Normal 4 9 3 3 3" xfId="15670" xr:uid="{00000000-0005-0000-0000-0000CDF00000}"/>
    <cellStyle name="Normal 4 9 3 3 3 2" xfId="28137" xr:uid="{00000000-0005-0000-0000-0000CEF00000}"/>
    <cellStyle name="Normal 4 9 3 3 3 2 2" xfId="60008" xr:uid="{00000000-0005-0000-0000-0000CFF00000}"/>
    <cellStyle name="Normal 4 9 3 3 3 3" xfId="47549" xr:uid="{00000000-0005-0000-0000-0000D0F00000}"/>
    <cellStyle name="Normal 4 9 3 3 4" xfId="20259" xr:uid="{00000000-0005-0000-0000-0000D1F00000}"/>
    <cellStyle name="Normal 4 9 3 3 4 2" xfId="52130" xr:uid="{00000000-0005-0000-0000-0000D2F00000}"/>
    <cellStyle name="Normal 4 9 3 3 5" xfId="47546" xr:uid="{00000000-0005-0000-0000-0000D3F00000}"/>
    <cellStyle name="Normal 4 9 3 4" xfId="15671" xr:uid="{00000000-0005-0000-0000-0000D4F00000}"/>
    <cellStyle name="Normal 4 9 3 4 2" xfId="15672" xr:uid="{00000000-0005-0000-0000-0000D5F00000}"/>
    <cellStyle name="Normal 4 9 3 4 2 2" xfId="32073" xr:uid="{00000000-0005-0000-0000-0000D6F00000}"/>
    <cellStyle name="Normal 4 9 3 4 2 2 2" xfId="63944" xr:uid="{00000000-0005-0000-0000-0000D7F00000}"/>
    <cellStyle name="Normal 4 9 3 4 2 3" xfId="47551" xr:uid="{00000000-0005-0000-0000-0000D8F00000}"/>
    <cellStyle name="Normal 4 9 3 4 3" xfId="24195" xr:uid="{00000000-0005-0000-0000-0000D9F00000}"/>
    <cellStyle name="Normal 4 9 3 4 3 2" xfId="56066" xr:uid="{00000000-0005-0000-0000-0000DAF00000}"/>
    <cellStyle name="Normal 4 9 3 4 4" xfId="47550" xr:uid="{00000000-0005-0000-0000-0000DBF00000}"/>
    <cellStyle name="Normal 4 9 3 5" xfId="15673" xr:uid="{00000000-0005-0000-0000-0000DCF00000}"/>
    <cellStyle name="Normal 4 9 3 5 2" xfId="28134" xr:uid="{00000000-0005-0000-0000-0000DDF00000}"/>
    <cellStyle name="Normal 4 9 3 5 2 2" xfId="60005" xr:uid="{00000000-0005-0000-0000-0000DEF00000}"/>
    <cellStyle name="Normal 4 9 3 5 3" xfId="47552" xr:uid="{00000000-0005-0000-0000-0000DFF00000}"/>
    <cellStyle name="Normal 4 9 3 6" xfId="20256" xr:uid="{00000000-0005-0000-0000-0000E0F00000}"/>
    <cellStyle name="Normal 4 9 3 6 2" xfId="52127" xr:uid="{00000000-0005-0000-0000-0000E1F00000}"/>
    <cellStyle name="Normal 4 9 3 7" xfId="47537" xr:uid="{00000000-0005-0000-0000-0000E2F00000}"/>
    <cellStyle name="Normal 4 9 4" xfId="15674" xr:uid="{00000000-0005-0000-0000-0000E3F00000}"/>
    <cellStyle name="Normal 4 9 4 2" xfId="15675" xr:uid="{00000000-0005-0000-0000-0000E4F00000}"/>
    <cellStyle name="Normal 4 9 4 2 2" xfId="15676" xr:uid="{00000000-0005-0000-0000-0000E5F00000}"/>
    <cellStyle name="Normal 4 9 4 2 2 2" xfId="15677" xr:uid="{00000000-0005-0000-0000-0000E6F00000}"/>
    <cellStyle name="Normal 4 9 4 2 2 2 2" xfId="32078" xr:uid="{00000000-0005-0000-0000-0000E7F00000}"/>
    <cellStyle name="Normal 4 9 4 2 2 2 2 2" xfId="63949" xr:uid="{00000000-0005-0000-0000-0000E8F00000}"/>
    <cellStyle name="Normal 4 9 4 2 2 2 3" xfId="47556" xr:uid="{00000000-0005-0000-0000-0000E9F00000}"/>
    <cellStyle name="Normal 4 9 4 2 2 3" xfId="24200" xr:uid="{00000000-0005-0000-0000-0000EAF00000}"/>
    <cellStyle name="Normal 4 9 4 2 2 3 2" xfId="56071" xr:uid="{00000000-0005-0000-0000-0000EBF00000}"/>
    <cellStyle name="Normal 4 9 4 2 2 4" xfId="47555" xr:uid="{00000000-0005-0000-0000-0000ECF00000}"/>
    <cellStyle name="Normal 4 9 4 2 3" xfId="15678" xr:uid="{00000000-0005-0000-0000-0000EDF00000}"/>
    <cellStyle name="Normal 4 9 4 2 3 2" xfId="28139" xr:uid="{00000000-0005-0000-0000-0000EEF00000}"/>
    <cellStyle name="Normal 4 9 4 2 3 2 2" xfId="60010" xr:uid="{00000000-0005-0000-0000-0000EFF00000}"/>
    <cellStyle name="Normal 4 9 4 2 3 3" xfId="47557" xr:uid="{00000000-0005-0000-0000-0000F0F00000}"/>
    <cellStyle name="Normal 4 9 4 2 4" xfId="20261" xr:uid="{00000000-0005-0000-0000-0000F1F00000}"/>
    <cellStyle name="Normal 4 9 4 2 4 2" xfId="52132" xr:uid="{00000000-0005-0000-0000-0000F2F00000}"/>
    <cellStyle name="Normal 4 9 4 2 5" xfId="47554" xr:uid="{00000000-0005-0000-0000-0000F3F00000}"/>
    <cellStyle name="Normal 4 9 4 3" xfId="15679" xr:uid="{00000000-0005-0000-0000-0000F4F00000}"/>
    <cellStyle name="Normal 4 9 4 3 2" xfId="15680" xr:uid="{00000000-0005-0000-0000-0000F5F00000}"/>
    <cellStyle name="Normal 4 9 4 3 2 2" xfId="32077" xr:uid="{00000000-0005-0000-0000-0000F6F00000}"/>
    <cellStyle name="Normal 4 9 4 3 2 2 2" xfId="63948" xr:uid="{00000000-0005-0000-0000-0000F7F00000}"/>
    <cellStyle name="Normal 4 9 4 3 2 3" xfId="47559" xr:uid="{00000000-0005-0000-0000-0000F8F00000}"/>
    <cellStyle name="Normal 4 9 4 3 3" xfId="24199" xr:uid="{00000000-0005-0000-0000-0000F9F00000}"/>
    <cellStyle name="Normal 4 9 4 3 3 2" xfId="56070" xr:uid="{00000000-0005-0000-0000-0000FAF00000}"/>
    <cellStyle name="Normal 4 9 4 3 4" xfId="47558" xr:uid="{00000000-0005-0000-0000-0000FBF00000}"/>
    <cellStyle name="Normal 4 9 4 4" xfId="15681" xr:uid="{00000000-0005-0000-0000-0000FCF00000}"/>
    <cellStyle name="Normal 4 9 4 4 2" xfId="28138" xr:uid="{00000000-0005-0000-0000-0000FDF00000}"/>
    <cellStyle name="Normal 4 9 4 4 2 2" xfId="60009" xr:uid="{00000000-0005-0000-0000-0000FEF00000}"/>
    <cellStyle name="Normal 4 9 4 4 3" xfId="47560" xr:uid="{00000000-0005-0000-0000-0000FFF00000}"/>
    <cellStyle name="Normal 4 9 4 5" xfId="20260" xr:uid="{00000000-0005-0000-0000-000000F10000}"/>
    <cellStyle name="Normal 4 9 4 5 2" xfId="52131" xr:uid="{00000000-0005-0000-0000-000001F10000}"/>
    <cellStyle name="Normal 4 9 4 6" xfId="47553" xr:uid="{00000000-0005-0000-0000-000002F10000}"/>
    <cellStyle name="Normal 4 9 5" xfId="15682" xr:uid="{00000000-0005-0000-0000-000003F10000}"/>
    <cellStyle name="Normal 4 9 5 2" xfId="15683" xr:uid="{00000000-0005-0000-0000-000004F10000}"/>
    <cellStyle name="Normal 4 9 5 2 2" xfId="15684" xr:uid="{00000000-0005-0000-0000-000005F10000}"/>
    <cellStyle name="Normal 4 9 5 2 2 2" xfId="32079" xr:uid="{00000000-0005-0000-0000-000006F10000}"/>
    <cellStyle name="Normal 4 9 5 2 2 2 2" xfId="63950" xr:uid="{00000000-0005-0000-0000-000007F10000}"/>
    <cellStyle name="Normal 4 9 5 2 2 3" xfId="47563" xr:uid="{00000000-0005-0000-0000-000008F10000}"/>
    <cellStyle name="Normal 4 9 5 2 3" xfId="24201" xr:uid="{00000000-0005-0000-0000-000009F10000}"/>
    <cellStyle name="Normal 4 9 5 2 3 2" xfId="56072" xr:uid="{00000000-0005-0000-0000-00000AF10000}"/>
    <cellStyle name="Normal 4 9 5 2 4" xfId="47562" xr:uid="{00000000-0005-0000-0000-00000BF10000}"/>
    <cellStyle name="Normal 4 9 5 3" xfId="15685" xr:uid="{00000000-0005-0000-0000-00000CF10000}"/>
    <cellStyle name="Normal 4 9 5 3 2" xfId="28140" xr:uid="{00000000-0005-0000-0000-00000DF10000}"/>
    <cellStyle name="Normal 4 9 5 3 2 2" xfId="60011" xr:uid="{00000000-0005-0000-0000-00000EF10000}"/>
    <cellStyle name="Normal 4 9 5 3 3" xfId="47564" xr:uid="{00000000-0005-0000-0000-00000FF10000}"/>
    <cellStyle name="Normal 4 9 5 4" xfId="20262" xr:uid="{00000000-0005-0000-0000-000010F10000}"/>
    <cellStyle name="Normal 4 9 5 4 2" xfId="52133" xr:uid="{00000000-0005-0000-0000-000011F10000}"/>
    <cellStyle name="Normal 4 9 5 5" xfId="47561" xr:uid="{00000000-0005-0000-0000-000012F10000}"/>
    <cellStyle name="Normal 4 9 6" xfId="15686" xr:uid="{00000000-0005-0000-0000-000013F10000}"/>
    <cellStyle name="Normal 4 9 6 2" xfId="15687" xr:uid="{00000000-0005-0000-0000-000014F10000}"/>
    <cellStyle name="Normal 4 9 6 2 2" xfId="28383" xr:uid="{00000000-0005-0000-0000-000015F10000}"/>
    <cellStyle name="Normal 4 9 6 2 2 2" xfId="60254" xr:uid="{00000000-0005-0000-0000-000016F10000}"/>
    <cellStyle name="Normal 4 9 6 2 3" xfId="47566" xr:uid="{00000000-0005-0000-0000-000017F10000}"/>
    <cellStyle name="Normal 4 9 6 3" xfId="20505" xr:uid="{00000000-0005-0000-0000-000018F10000}"/>
    <cellStyle name="Normal 4 9 6 3 2" xfId="52376" xr:uid="{00000000-0005-0000-0000-000019F10000}"/>
    <cellStyle name="Normal 4 9 6 4" xfId="47565" xr:uid="{00000000-0005-0000-0000-00001AF10000}"/>
    <cellStyle name="Normal 4 9 7" xfId="15688" xr:uid="{00000000-0005-0000-0000-00001BF10000}"/>
    <cellStyle name="Normal 4 9 7 2" xfId="24444" xr:uid="{00000000-0005-0000-0000-00001CF10000}"/>
    <cellStyle name="Normal 4 9 7 2 2" xfId="56315" xr:uid="{00000000-0005-0000-0000-00001DF10000}"/>
    <cellStyle name="Normal 4 9 7 3" xfId="47567" xr:uid="{00000000-0005-0000-0000-00001EF10000}"/>
    <cellStyle name="Normal 4 9 8" xfId="16566" xr:uid="{00000000-0005-0000-0000-00001FF10000}"/>
    <cellStyle name="Normal 4 9 8 2" xfId="48437" xr:uid="{00000000-0005-0000-0000-000020F10000}"/>
    <cellStyle name="Normal 4 9 9" xfId="47504" xr:uid="{00000000-0005-0000-0000-000021F10000}"/>
    <cellStyle name="Normal 5" xfId="150" xr:uid="{00000000-0005-0000-0000-000022F10000}"/>
    <cellStyle name="Normal 5 10" xfId="15690" xr:uid="{00000000-0005-0000-0000-000023F10000}"/>
    <cellStyle name="Normal 5 10 2" xfId="24335" xr:uid="{00000000-0005-0000-0000-000024F10000}"/>
    <cellStyle name="Normal 5 10 2 2" xfId="56206" xr:uid="{00000000-0005-0000-0000-000025F10000}"/>
    <cellStyle name="Normal 5 10 3" xfId="47569" xr:uid="{00000000-0005-0000-0000-000026F10000}"/>
    <cellStyle name="Normal 5 11" xfId="16092" xr:uid="{00000000-0005-0000-0000-000027F10000}"/>
    <cellStyle name="Normal 5 11 2" xfId="16457" xr:uid="{00000000-0005-0000-0000-000028F10000}"/>
    <cellStyle name="Normal 5 11 2 2" xfId="48328" xr:uid="{00000000-0005-0000-0000-000029F10000}"/>
    <cellStyle name="Normal 5 12" xfId="15689" xr:uid="{00000000-0005-0000-0000-00002AF10000}"/>
    <cellStyle name="Normal 5 12 2" xfId="47568" xr:uid="{00000000-0005-0000-0000-00002BF10000}"/>
    <cellStyle name="Normal 5 2" xfId="151" xr:uid="{00000000-0005-0000-0000-00002CF10000}"/>
    <cellStyle name="Normal 5 2 10" xfId="15691" xr:uid="{00000000-0005-0000-0000-00002DF10000}"/>
    <cellStyle name="Normal 5 2 10 2" xfId="47570" xr:uid="{00000000-0005-0000-0000-00002EF10000}"/>
    <cellStyle name="Normal 5 2 2" xfId="152" xr:uid="{00000000-0005-0000-0000-00002FF10000}"/>
    <cellStyle name="Normal 5 2 2 2" xfId="273" xr:uid="{00000000-0005-0000-0000-000030F10000}"/>
    <cellStyle name="Normal 5 2 2 2 2" xfId="15694" xr:uid="{00000000-0005-0000-0000-000031F10000}"/>
    <cellStyle name="Normal 5 2 2 2 2 2" xfId="15695" xr:uid="{00000000-0005-0000-0000-000032F10000}"/>
    <cellStyle name="Normal 5 2 2 2 2 2 2" xfId="15696" xr:uid="{00000000-0005-0000-0000-000033F10000}"/>
    <cellStyle name="Normal 5 2 2 2 2 2 2 2" xfId="15697" xr:uid="{00000000-0005-0000-0000-000034F10000}"/>
    <cellStyle name="Normal 5 2 2 2 2 2 2 2 2" xfId="15698" xr:uid="{00000000-0005-0000-0000-000035F10000}"/>
    <cellStyle name="Normal 5 2 2 2 2 2 2 2 2 2" xfId="32083" xr:uid="{00000000-0005-0000-0000-000036F10000}"/>
    <cellStyle name="Normal 5 2 2 2 2 2 2 2 2 2 2" xfId="63954" xr:uid="{00000000-0005-0000-0000-000037F10000}"/>
    <cellStyle name="Normal 5 2 2 2 2 2 2 2 2 3" xfId="47577" xr:uid="{00000000-0005-0000-0000-000038F10000}"/>
    <cellStyle name="Normal 5 2 2 2 2 2 2 2 3" xfId="24205" xr:uid="{00000000-0005-0000-0000-000039F10000}"/>
    <cellStyle name="Normal 5 2 2 2 2 2 2 2 3 2" xfId="56076" xr:uid="{00000000-0005-0000-0000-00003AF10000}"/>
    <cellStyle name="Normal 5 2 2 2 2 2 2 2 4" xfId="47576" xr:uid="{00000000-0005-0000-0000-00003BF10000}"/>
    <cellStyle name="Normal 5 2 2 2 2 2 2 3" xfId="15699" xr:uid="{00000000-0005-0000-0000-00003CF10000}"/>
    <cellStyle name="Normal 5 2 2 2 2 2 2 3 2" xfId="28144" xr:uid="{00000000-0005-0000-0000-00003DF10000}"/>
    <cellStyle name="Normal 5 2 2 2 2 2 2 3 2 2" xfId="60015" xr:uid="{00000000-0005-0000-0000-00003EF10000}"/>
    <cellStyle name="Normal 5 2 2 2 2 2 2 3 3" xfId="47578" xr:uid="{00000000-0005-0000-0000-00003FF10000}"/>
    <cellStyle name="Normal 5 2 2 2 2 2 2 4" xfId="20266" xr:uid="{00000000-0005-0000-0000-000040F10000}"/>
    <cellStyle name="Normal 5 2 2 2 2 2 2 4 2" xfId="52137" xr:uid="{00000000-0005-0000-0000-000041F10000}"/>
    <cellStyle name="Normal 5 2 2 2 2 2 2 5" xfId="47575" xr:uid="{00000000-0005-0000-0000-000042F10000}"/>
    <cellStyle name="Normal 5 2 2 2 2 2 3" xfId="15700" xr:uid="{00000000-0005-0000-0000-000043F10000}"/>
    <cellStyle name="Normal 5 2 2 2 2 2 3 2" xfId="15701" xr:uid="{00000000-0005-0000-0000-000044F10000}"/>
    <cellStyle name="Normal 5 2 2 2 2 2 3 2 2" xfId="32082" xr:uid="{00000000-0005-0000-0000-000045F10000}"/>
    <cellStyle name="Normal 5 2 2 2 2 2 3 2 2 2" xfId="63953" xr:uid="{00000000-0005-0000-0000-000046F10000}"/>
    <cellStyle name="Normal 5 2 2 2 2 2 3 2 3" xfId="47580" xr:uid="{00000000-0005-0000-0000-000047F10000}"/>
    <cellStyle name="Normal 5 2 2 2 2 2 3 3" xfId="24204" xr:uid="{00000000-0005-0000-0000-000048F10000}"/>
    <cellStyle name="Normal 5 2 2 2 2 2 3 3 2" xfId="56075" xr:uid="{00000000-0005-0000-0000-000049F10000}"/>
    <cellStyle name="Normal 5 2 2 2 2 2 3 4" xfId="47579" xr:uid="{00000000-0005-0000-0000-00004AF10000}"/>
    <cellStyle name="Normal 5 2 2 2 2 2 4" xfId="15702" xr:uid="{00000000-0005-0000-0000-00004BF10000}"/>
    <cellStyle name="Normal 5 2 2 2 2 2 4 2" xfId="28143" xr:uid="{00000000-0005-0000-0000-00004CF10000}"/>
    <cellStyle name="Normal 5 2 2 2 2 2 4 2 2" xfId="60014" xr:uid="{00000000-0005-0000-0000-00004DF10000}"/>
    <cellStyle name="Normal 5 2 2 2 2 2 4 3" xfId="47581" xr:uid="{00000000-0005-0000-0000-00004EF10000}"/>
    <cellStyle name="Normal 5 2 2 2 2 2 5" xfId="20265" xr:uid="{00000000-0005-0000-0000-00004FF10000}"/>
    <cellStyle name="Normal 5 2 2 2 2 2 5 2" xfId="52136" xr:uid="{00000000-0005-0000-0000-000050F10000}"/>
    <cellStyle name="Normal 5 2 2 2 2 2 6" xfId="47574" xr:uid="{00000000-0005-0000-0000-000051F10000}"/>
    <cellStyle name="Normal 5 2 2 2 2 3" xfId="15703" xr:uid="{00000000-0005-0000-0000-000052F10000}"/>
    <cellStyle name="Normal 5 2 2 2 2 3 2" xfId="15704" xr:uid="{00000000-0005-0000-0000-000053F10000}"/>
    <cellStyle name="Normal 5 2 2 2 2 3 2 2" xfId="15705" xr:uid="{00000000-0005-0000-0000-000054F10000}"/>
    <cellStyle name="Normal 5 2 2 2 2 3 2 2 2" xfId="32084" xr:uid="{00000000-0005-0000-0000-000055F10000}"/>
    <cellStyle name="Normal 5 2 2 2 2 3 2 2 2 2" xfId="63955" xr:uid="{00000000-0005-0000-0000-000056F10000}"/>
    <cellStyle name="Normal 5 2 2 2 2 3 2 2 3" xfId="47584" xr:uid="{00000000-0005-0000-0000-000057F10000}"/>
    <cellStyle name="Normal 5 2 2 2 2 3 2 3" xfId="24206" xr:uid="{00000000-0005-0000-0000-000058F10000}"/>
    <cellStyle name="Normal 5 2 2 2 2 3 2 3 2" xfId="56077" xr:uid="{00000000-0005-0000-0000-000059F10000}"/>
    <cellStyle name="Normal 5 2 2 2 2 3 2 4" xfId="47583" xr:uid="{00000000-0005-0000-0000-00005AF10000}"/>
    <cellStyle name="Normal 5 2 2 2 2 3 3" xfId="15706" xr:uid="{00000000-0005-0000-0000-00005BF10000}"/>
    <cellStyle name="Normal 5 2 2 2 2 3 3 2" xfId="28145" xr:uid="{00000000-0005-0000-0000-00005CF10000}"/>
    <cellStyle name="Normal 5 2 2 2 2 3 3 2 2" xfId="60016" xr:uid="{00000000-0005-0000-0000-00005DF10000}"/>
    <cellStyle name="Normal 5 2 2 2 2 3 3 3" xfId="47585" xr:uid="{00000000-0005-0000-0000-00005EF10000}"/>
    <cellStyle name="Normal 5 2 2 2 2 3 4" xfId="20267" xr:uid="{00000000-0005-0000-0000-00005FF10000}"/>
    <cellStyle name="Normal 5 2 2 2 2 3 4 2" xfId="52138" xr:uid="{00000000-0005-0000-0000-000060F10000}"/>
    <cellStyle name="Normal 5 2 2 2 2 3 5" xfId="47582" xr:uid="{00000000-0005-0000-0000-000061F10000}"/>
    <cellStyle name="Normal 5 2 2 2 2 4" xfId="15707" xr:uid="{00000000-0005-0000-0000-000062F10000}"/>
    <cellStyle name="Normal 5 2 2 2 2 4 2" xfId="15708" xr:uid="{00000000-0005-0000-0000-000063F10000}"/>
    <cellStyle name="Normal 5 2 2 2 2 4 2 2" xfId="32081" xr:uid="{00000000-0005-0000-0000-000064F10000}"/>
    <cellStyle name="Normal 5 2 2 2 2 4 2 2 2" xfId="63952" xr:uid="{00000000-0005-0000-0000-000065F10000}"/>
    <cellStyle name="Normal 5 2 2 2 2 4 2 3" xfId="47587" xr:uid="{00000000-0005-0000-0000-000066F10000}"/>
    <cellStyle name="Normal 5 2 2 2 2 4 3" xfId="24203" xr:uid="{00000000-0005-0000-0000-000067F10000}"/>
    <cellStyle name="Normal 5 2 2 2 2 4 3 2" xfId="56074" xr:uid="{00000000-0005-0000-0000-000068F10000}"/>
    <cellStyle name="Normal 5 2 2 2 2 4 4" xfId="47586" xr:uid="{00000000-0005-0000-0000-000069F10000}"/>
    <cellStyle name="Normal 5 2 2 2 2 5" xfId="15709" xr:uid="{00000000-0005-0000-0000-00006AF10000}"/>
    <cellStyle name="Normal 5 2 2 2 2 5 2" xfId="28142" xr:uid="{00000000-0005-0000-0000-00006BF10000}"/>
    <cellStyle name="Normal 5 2 2 2 2 5 2 2" xfId="60013" xr:uid="{00000000-0005-0000-0000-00006CF10000}"/>
    <cellStyle name="Normal 5 2 2 2 2 5 3" xfId="47588" xr:uid="{00000000-0005-0000-0000-00006DF10000}"/>
    <cellStyle name="Normal 5 2 2 2 2 6" xfId="20264" xr:uid="{00000000-0005-0000-0000-00006EF10000}"/>
    <cellStyle name="Normal 5 2 2 2 2 6 2" xfId="52135" xr:uid="{00000000-0005-0000-0000-00006FF10000}"/>
    <cellStyle name="Normal 5 2 2 2 2 7" xfId="47573" xr:uid="{00000000-0005-0000-0000-000070F10000}"/>
    <cellStyle name="Normal 5 2 2 2 3" xfId="15710" xr:uid="{00000000-0005-0000-0000-000071F10000}"/>
    <cellStyle name="Normal 5 2 2 2 3 2" xfId="15711" xr:uid="{00000000-0005-0000-0000-000072F10000}"/>
    <cellStyle name="Normal 5 2 2 2 3 2 2" xfId="15712" xr:uid="{00000000-0005-0000-0000-000073F10000}"/>
    <cellStyle name="Normal 5 2 2 2 3 2 2 2" xfId="15713" xr:uid="{00000000-0005-0000-0000-000074F10000}"/>
    <cellStyle name="Normal 5 2 2 2 3 2 2 2 2" xfId="32086" xr:uid="{00000000-0005-0000-0000-000075F10000}"/>
    <cellStyle name="Normal 5 2 2 2 3 2 2 2 2 2" xfId="63957" xr:uid="{00000000-0005-0000-0000-000076F10000}"/>
    <cellStyle name="Normal 5 2 2 2 3 2 2 2 3" xfId="47592" xr:uid="{00000000-0005-0000-0000-000077F10000}"/>
    <cellStyle name="Normal 5 2 2 2 3 2 2 3" xfId="24208" xr:uid="{00000000-0005-0000-0000-000078F10000}"/>
    <cellStyle name="Normal 5 2 2 2 3 2 2 3 2" xfId="56079" xr:uid="{00000000-0005-0000-0000-000079F10000}"/>
    <cellStyle name="Normal 5 2 2 2 3 2 2 4" xfId="47591" xr:uid="{00000000-0005-0000-0000-00007AF10000}"/>
    <cellStyle name="Normal 5 2 2 2 3 2 3" xfId="15714" xr:uid="{00000000-0005-0000-0000-00007BF10000}"/>
    <cellStyle name="Normal 5 2 2 2 3 2 3 2" xfId="28147" xr:uid="{00000000-0005-0000-0000-00007CF10000}"/>
    <cellStyle name="Normal 5 2 2 2 3 2 3 2 2" xfId="60018" xr:uid="{00000000-0005-0000-0000-00007DF10000}"/>
    <cellStyle name="Normal 5 2 2 2 3 2 3 3" xfId="47593" xr:uid="{00000000-0005-0000-0000-00007EF10000}"/>
    <cellStyle name="Normal 5 2 2 2 3 2 4" xfId="20269" xr:uid="{00000000-0005-0000-0000-00007FF10000}"/>
    <cellStyle name="Normal 5 2 2 2 3 2 4 2" xfId="52140" xr:uid="{00000000-0005-0000-0000-000080F10000}"/>
    <cellStyle name="Normal 5 2 2 2 3 2 5" xfId="47590" xr:uid="{00000000-0005-0000-0000-000081F10000}"/>
    <cellStyle name="Normal 5 2 2 2 3 3" xfId="15715" xr:uid="{00000000-0005-0000-0000-000082F10000}"/>
    <cellStyle name="Normal 5 2 2 2 3 3 2" xfId="15716" xr:uid="{00000000-0005-0000-0000-000083F10000}"/>
    <cellStyle name="Normal 5 2 2 2 3 3 2 2" xfId="32085" xr:uid="{00000000-0005-0000-0000-000084F10000}"/>
    <cellStyle name="Normal 5 2 2 2 3 3 2 2 2" xfId="63956" xr:uid="{00000000-0005-0000-0000-000085F10000}"/>
    <cellStyle name="Normal 5 2 2 2 3 3 2 3" xfId="47595" xr:uid="{00000000-0005-0000-0000-000086F10000}"/>
    <cellStyle name="Normal 5 2 2 2 3 3 3" xfId="24207" xr:uid="{00000000-0005-0000-0000-000087F10000}"/>
    <cellStyle name="Normal 5 2 2 2 3 3 3 2" xfId="56078" xr:uid="{00000000-0005-0000-0000-000088F10000}"/>
    <cellStyle name="Normal 5 2 2 2 3 3 4" xfId="47594" xr:uid="{00000000-0005-0000-0000-000089F10000}"/>
    <cellStyle name="Normal 5 2 2 2 3 4" xfId="15717" xr:uid="{00000000-0005-0000-0000-00008AF10000}"/>
    <cellStyle name="Normal 5 2 2 2 3 4 2" xfId="28146" xr:uid="{00000000-0005-0000-0000-00008BF10000}"/>
    <cellStyle name="Normal 5 2 2 2 3 4 2 2" xfId="60017" xr:uid="{00000000-0005-0000-0000-00008CF10000}"/>
    <cellStyle name="Normal 5 2 2 2 3 4 3" xfId="47596" xr:uid="{00000000-0005-0000-0000-00008DF10000}"/>
    <cellStyle name="Normal 5 2 2 2 3 5" xfId="20268" xr:uid="{00000000-0005-0000-0000-00008EF10000}"/>
    <cellStyle name="Normal 5 2 2 2 3 5 2" xfId="52139" xr:uid="{00000000-0005-0000-0000-00008FF10000}"/>
    <cellStyle name="Normal 5 2 2 2 3 6" xfId="47589" xr:uid="{00000000-0005-0000-0000-000090F10000}"/>
    <cellStyle name="Normal 5 2 2 2 4" xfId="15718" xr:uid="{00000000-0005-0000-0000-000091F10000}"/>
    <cellStyle name="Normal 5 2 2 2 4 2" xfId="15719" xr:uid="{00000000-0005-0000-0000-000092F10000}"/>
    <cellStyle name="Normal 5 2 2 2 4 2 2" xfId="15720" xr:uid="{00000000-0005-0000-0000-000093F10000}"/>
    <cellStyle name="Normal 5 2 2 2 4 2 2 2" xfId="32087" xr:uid="{00000000-0005-0000-0000-000094F10000}"/>
    <cellStyle name="Normal 5 2 2 2 4 2 2 2 2" xfId="63958" xr:uid="{00000000-0005-0000-0000-000095F10000}"/>
    <cellStyle name="Normal 5 2 2 2 4 2 2 3" xfId="47599" xr:uid="{00000000-0005-0000-0000-000096F10000}"/>
    <cellStyle name="Normal 5 2 2 2 4 2 3" xfId="24209" xr:uid="{00000000-0005-0000-0000-000097F10000}"/>
    <cellStyle name="Normal 5 2 2 2 4 2 3 2" xfId="56080" xr:uid="{00000000-0005-0000-0000-000098F10000}"/>
    <cellStyle name="Normal 5 2 2 2 4 2 4" xfId="47598" xr:uid="{00000000-0005-0000-0000-000099F10000}"/>
    <cellStyle name="Normal 5 2 2 2 4 3" xfId="15721" xr:uid="{00000000-0005-0000-0000-00009AF10000}"/>
    <cellStyle name="Normal 5 2 2 2 4 3 2" xfId="28148" xr:uid="{00000000-0005-0000-0000-00009BF10000}"/>
    <cellStyle name="Normal 5 2 2 2 4 3 2 2" xfId="60019" xr:uid="{00000000-0005-0000-0000-00009CF10000}"/>
    <cellStyle name="Normal 5 2 2 2 4 3 3" xfId="47600" xr:uid="{00000000-0005-0000-0000-00009DF10000}"/>
    <cellStyle name="Normal 5 2 2 2 4 4" xfId="20270" xr:uid="{00000000-0005-0000-0000-00009EF10000}"/>
    <cellStyle name="Normal 5 2 2 2 4 4 2" xfId="52141" xr:uid="{00000000-0005-0000-0000-00009FF10000}"/>
    <cellStyle name="Normal 5 2 2 2 4 5" xfId="47597" xr:uid="{00000000-0005-0000-0000-0000A0F10000}"/>
    <cellStyle name="Normal 5 2 2 2 5" xfId="15722" xr:uid="{00000000-0005-0000-0000-0000A1F10000}"/>
    <cellStyle name="Normal 5 2 2 2 5 2" xfId="15723" xr:uid="{00000000-0005-0000-0000-0000A2F10000}"/>
    <cellStyle name="Normal 5 2 2 2 5 2 2" xfId="32080" xr:uid="{00000000-0005-0000-0000-0000A3F10000}"/>
    <cellStyle name="Normal 5 2 2 2 5 2 2 2" xfId="63951" xr:uid="{00000000-0005-0000-0000-0000A4F10000}"/>
    <cellStyle name="Normal 5 2 2 2 5 2 3" xfId="47602" xr:uid="{00000000-0005-0000-0000-0000A5F10000}"/>
    <cellStyle name="Normal 5 2 2 2 5 3" xfId="24202" xr:uid="{00000000-0005-0000-0000-0000A6F10000}"/>
    <cellStyle name="Normal 5 2 2 2 5 3 2" xfId="56073" xr:uid="{00000000-0005-0000-0000-0000A7F10000}"/>
    <cellStyle name="Normal 5 2 2 2 5 4" xfId="47601" xr:uid="{00000000-0005-0000-0000-0000A8F10000}"/>
    <cellStyle name="Normal 5 2 2 2 6" xfId="15724" xr:uid="{00000000-0005-0000-0000-0000A9F10000}"/>
    <cellStyle name="Normal 5 2 2 2 6 2" xfId="28141" xr:uid="{00000000-0005-0000-0000-0000AAF10000}"/>
    <cellStyle name="Normal 5 2 2 2 6 2 2" xfId="60012" xr:uid="{00000000-0005-0000-0000-0000ABF10000}"/>
    <cellStyle name="Normal 5 2 2 2 6 3" xfId="47603" xr:uid="{00000000-0005-0000-0000-0000ACF10000}"/>
    <cellStyle name="Normal 5 2 2 2 7" xfId="20263" xr:uid="{00000000-0005-0000-0000-0000ADF10000}"/>
    <cellStyle name="Normal 5 2 2 2 7 2" xfId="52134" xr:uid="{00000000-0005-0000-0000-0000AEF10000}"/>
    <cellStyle name="Normal 5 2 2 2 8" xfId="15693" xr:uid="{00000000-0005-0000-0000-0000AFF10000}"/>
    <cellStyle name="Normal 5 2 2 2 8 2" xfId="47572" xr:uid="{00000000-0005-0000-0000-0000B0F10000}"/>
    <cellStyle name="Normal 5 2 2 3" xfId="15725" xr:uid="{00000000-0005-0000-0000-0000B1F10000}"/>
    <cellStyle name="Normal 5 2 2 3 2" xfId="15726" xr:uid="{00000000-0005-0000-0000-0000B2F10000}"/>
    <cellStyle name="Normal 5 2 2 3 2 2" xfId="15727" xr:uid="{00000000-0005-0000-0000-0000B3F10000}"/>
    <cellStyle name="Normal 5 2 2 3 2 2 2" xfId="15728" xr:uid="{00000000-0005-0000-0000-0000B4F10000}"/>
    <cellStyle name="Normal 5 2 2 3 2 2 2 2" xfId="15729" xr:uid="{00000000-0005-0000-0000-0000B5F10000}"/>
    <cellStyle name="Normal 5 2 2 3 2 2 2 2 2" xfId="32090" xr:uid="{00000000-0005-0000-0000-0000B6F10000}"/>
    <cellStyle name="Normal 5 2 2 3 2 2 2 2 2 2" xfId="63961" xr:uid="{00000000-0005-0000-0000-0000B7F10000}"/>
    <cellStyle name="Normal 5 2 2 3 2 2 2 2 3" xfId="47608" xr:uid="{00000000-0005-0000-0000-0000B8F10000}"/>
    <cellStyle name="Normal 5 2 2 3 2 2 2 3" xfId="24212" xr:uid="{00000000-0005-0000-0000-0000B9F10000}"/>
    <cellStyle name="Normal 5 2 2 3 2 2 2 3 2" xfId="56083" xr:uid="{00000000-0005-0000-0000-0000BAF10000}"/>
    <cellStyle name="Normal 5 2 2 3 2 2 2 4" xfId="47607" xr:uid="{00000000-0005-0000-0000-0000BBF10000}"/>
    <cellStyle name="Normal 5 2 2 3 2 2 3" xfId="15730" xr:uid="{00000000-0005-0000-0000-0000BCF10000}"/>
    <cellStyle name="Normal 5 2 2 3 2 2 3 2" xfId="28151" xr:uid="{00000000-0005-0000-0000-0000BDF10000}"/>
    <cellStyle name="Normal 5 2 2 3 2 2 3 2 2" xfId="60022" xr:uid="{00000000-0005-0000-0000-0000BEF10000}"/>
    <cellStyle name="Normal 5 2 2 3 2 2 3 3" xfId="47609" xr:uid="{00000000-0005-0000-0000-0000BFF10000}"/>
    <cellStyle name="Normal 5 2 2 3 2 2 4" xfId="20273" xr:uid="{00000000-0005-0000-0000-0000C0F10000}"/>
    <cellStyle name="Normal 5 2 2 3 2 2 4 2" xfId="52144" xr:uid="{00000000-0005-0000-0000-0000C1F10000}"/>
    <cellStyle name="Normal 5 2 2 3 2 2 5" xfId="47606" xr:uid="{00000000-0005-0000-0000-0000C2F10000}"/>
    <cellStyle name="Normal 5 2 2 3 2 3" xfId="15731" xr:uid="{00000000-0005-0000-0000-0000C3F10000}"/>
    <cellStyle name="Normal 5 2 2 3 2 3 2" xfId="15732" xr:uid="{00000000-0005-0000-0000-0000C4F10000}"/>
    <cellStyle name="Normal 5 2 2 3 2 3 2 2" xfId="32089" xr:uid="{00000000-0005-0000-0000-0000C5F10000}"/>
    <cellStyle name="Normal 5 2 2 3 2 3 2 2 2" xfId="63960" xr:uid="{00000000-0005-0000-0000-0000C6F10000}"/>
    <cellStyle name="Normal 5 2 2 3 2 3 2 3" xfId="47611" xr:uid="{00000000-0005-0000-0000-0000C7F10000}"/>
    <cellStyle name="Normal 5 2 2 3 2 3 3" xfId="24211" xr:uid="{00000000-0005-0000-0000-0000C8F10000}"/>
    <cellStyle name="Normal 5 2 2 3 2 3 3 2" xfId="56082" xr:uid="{00000000-0005-0000-0000-0000C9F10000}"/>
    <cellStyle name="Normal 5 2 2 3 2 3 4" xfId="47610" xr:uid="{00000000-0005-0000-0000-0000CAF10000}"/>
    <cellStyle name="Normal 5 2 2 3 2 4" xfId="15733" xr:uid="{00000000-0005-0000-0000-0000CBF10000}"/>
    <cellStyle name="Normal 5 2 2 3 2 4 2" xfId="28150" xr:uid="{00000000-0005-0000-0000-0000CCF10000}"/>
    <cellStyle name="Normal 5 2 2 3 2 4 2 2" xfId="60021" xr:uid="{00000000-0005-0000-0000-0000CDF10000}"/>
    <cellStyle name="Normal 5 2 2 3 2 4 3" xfId="47612" xr:uid="{00000000-0005-0000-0000-0000CEF10000}"/>
    <cellStyle name="Normal 5 2 2 3 2 5" xfId="20272" xr:uid="{00000000-0005-0000-0000-0000CFF10000}"/>
    <cellStyle name="Normal 5 2 2 3 2 5 2" xfId="52143" xr:uid="{00000000-0005-0000-0000-0000D0F10000}"/>
    <cellStyle name="Normal 5 2 2 3 2 6" xfId="47605" xr:uid="{00000000-0005-0000-0000-0000D1F10000}"/>
    <cellStyle name="Normal 5 2 2 3 3" xfId="15734" xr:uid="{00000000-0005-0000-0000-0000D2F10000}"/>
    <cellStyle name="Normal 5 2 2 3 3 2" xfId="15735" xr:uid="{00000000-0005-0000-0000-0000D3F10000}"/>
    <cellStyle name="Normal 5 2 2 3 3 2 2" xfId="15736" xr:uid="{00000000-0005-0000-0000-0000D4F10000}"/>
    <cellStyle name="Normal 5 2 2 3 3 2 2 2" xfId="32091" xr:uid="{00000000-0005-0000-0000-0000D5F10000}"/>
    <cellStyle name="Normal 5 2 2 3 3 2 2 2 2" xfId="63962" xr:uid="{00000000-0005-0000-0000-0000D6F10000}"/>
    <cellStyle name="Normal 5 2 2 3 3 2 2 3" xfId="47615" xr:uid="{00000000-0005-0000-0000-0000D7F10000}"/>
    <cellStyle name="Normal 5 2 2 3 3 2 3" xfId="24213" xr:uid="{00000000-0005-0000-0000-0000D8F10000}"/>
    <cellStyle name="Normal 5 2 2 3 3 2 3 2" xfId="56084" xr:uid="{00000000-0005-0000-0000-0000D9F10000}"/>
    <cellStyle name="Normal 5 2 2 3 3 2 4" xfId="47614" xr:uid="{00000000-0005-0000-0000-0000DAF10000}"/>
    <cellStyle name="Normal 5 2 2 3 3 3" xfId="15737" xr:uid="{00000000-0005-0000-0000-0000DBF10000}"/>
    <cellStyle name="Normal 5 2 2 3 3 3 2" xfId="28152" xr:uid="{00000000-0005-0000-0000-0000DCF10000}"/>
    <cellStyle name="Normal 5 2 2 3 3 3 2 2" xfId="60023" xr:uid="{00000000-0005-0000-0000-0000DDF10000}"/>
    <cellStyle name="Normal 5 2 2 3 3 3 3" xfId="47616" xr:uid="{00000000-0005-0000-0000-0000DEF10000}"/>
    <cellStyle name="Normal 5 2 2 3 3 4" xfId="20274" xr:uid="{00000000-0005-0000-0000-0000DFF10000}"/>
    <cellStyle name="Normal 5 2 2 3 3 4 2" xfId="52145" xr:uid="{00000000-0005-0000-0000-0000E0F10000}"/>
    <cellStyle name="Normal 5 2 2 3 3 5" xfId="47613" xr:uid="{00000000-0005-0000-0000-0000E1F10000}"/>
    <cellStyle name="Normal 5 2 2 3 4" xfId="15738" xr:uid="{00000000-0005-0000-0000-0000E2F10000}"/>
    <cellStyle name="Normal 5 2 2 3 4 2" xfId="15739" xr:uid="{00000000-0005-0000-0000-0000E3F10000}"/>
    <cellStyle name="Normal 5 2 2 3 4 2 2" xfId="32088" xr:uid="{00000000-0005-0000-0000-0000E4F10000}"/>
    <cellStyle name="Normal 5 2 2 3 4 2 2 2" xfId="63959" xr:uid="{00000000-0005-0000-0000-0000E5F10000}"/>
    <cellStyle name="Normal 5 2 2 3 4 2 3" xfId="47618" xr:uid="{00000000-0005-0000-0000-0000E6F10000}"/>
    <cellStyle name="Normal 5 2 2 3 4 3" xfId="24210" xr:uid="{00000000-0005-0000-0000-0000E7F10000}"/>
    <cellStyle name="Normal 5 2 2 3 4 3 2" xfId="56081" xr:uid="{00000000-0005-0000-0000-0000E8F10000}"/>
    <cellStyle name="Normal 5 2 2 3 4 4" xfId="47617" xr:uid="{00000000-0005-0000-0000-0000E9F10000}"/>
    <cellStyle name="Normal 5 2 2 3 5" xfId="15740" xr:uid="{00000000-0005-0000-0000-0000EAF10000}"/>
    <cellStyle name="Normal 5 2 2 3 5 2" xfId="28149" xr:uid="{00000000-0005-0000-0000-0000EBF10000}"/>
    <cellStyle name="Normal 5 2 2 3 5 2 2" xfId="60020" xr:uid="{00000000-0005-0000-0000-0000ECF10000}"/>
    <cellStyle name="Normal 5 2 2 3 5 3" xfId="47619" xr:uid="{00000000-0005-0000-0000-0000EDF10000}"/>
    <cellStyle name="Normal 5 2 2 3 6" xfId="20271" xr:uid="{00000000-0005-0000-0000-0000EEF10000}"/>
    <cellStyle name="Normal 5 2 2 3 6 2" xfId="52142" xr:uid="{00000000-0005-0000-0000-0000EFF10000}"/>
    <cellStyle name="Normal 5 2 2 3 7" xfId="47604" xr:uid="{00000000-0005-0000-0000-0000F0F10000}"/>
    <cellStyle name="Normal 5 2 2 4" xfId="15741" xr:uid="{00000000-0005-0000-0000-0000F1F10000}"/>
    <cellStyle name="Normal 5 2 2 4 2" xfId="15742" xr:uid="{00000000-0005-0000-0000-0000F2F10000}"/>
    <cellStyle name="Normal 5 2 2 4 2 2" xfId="15743" xr:uid="{00000000-0005-0000-0000-0000F3F10000}"/>
    <cellStyle name="Normal 5 2 2 4 2 2 2" xfId="15744" xr:uid="{00000000-0005-0000-0000-0000F4F10000}"/>
    <cellStyle name="Normal 5 2 2 4 2 2 2 2" xfId="32093" xr:uid="{00000000-0005-0000-0000-0000F5F10000}"/>
    <cellStyle name="Normal 5 2 2 4 2 2 2 2 2" xfId="63964" xr:uid="{00000000-0005-0000-0000-0000F6F10000}"/>
    <cellStyle name="Normal 5 2 2 4 2 2 2 3" xfId="47623" xr:uid="{00000000-0005-0000-0000-0000F7F10000}"/>
    <cellStyle name="Normal 5 2 2 4 2 2 3" xfId="24215" xr:uid="{00000000-0005-0000-0000-0000F8F10000}"/>
    <cellStyle name="Normal 5 2 2 4 2 2 3 2" xfId="56086" xr:uid="{00000000-0005-0000-0000-0000F9F10000}"/>
    <cellStyle name="Normal 5 2 2 4 2 2 4" xfId="47622" xr:uid="{00000000-0005-0000-0000-0000FAF10000}"/>
    <cellStyle name="Normal 5 2 2 4 2 3" xfId="15745" xr:uid="{00000000-0005-0000-0000-0000FBF10000}"/>
    <cellStyle name="Normal 5 2 2 4 2 3 2" xfId="28154" xr:uid="{00000000-0005-0000-0000-0000FCF10000}"/>
    <cellStyle name="Normal 5 2 2 4 2 3 2 2" xfId="60025" xr:uid="{00000000-0005-0000-0000-0000FDF10000}"/>
    <cellStyle name="Normal 5 2 2 4 2 3 3" xfId="47624" xr:uid="{00000000-0005-0000-0000-0000FEF10000}"/>
    <cellStyle name="Normal 5 2 2 4 2 4" xfId="20276" xr:uid="{00000000-0005-0000-0000-0000FFF10000}"/>
    <cellStyle name="Normal 5 2 2 4 2 4 2" xfId="52147" xr:uid="{00000000-0005-0000-0000-000000F20000}"/>
    <cellStyle name="Normal 5 2 2 4 2 5" xfId="47621" xr:uid="{00000000-0005-0000-0000-000001F20000}"/>
    <cellStyle name="Normal 5 2 2 4 3" xfId="15746" xr:uid="{00000000-0005-0000-0000-000002F20000}"/>
    <cellStyle name="Normal 5 2 2 4 3 2" xfId="15747" xr:uid="{00000000-0005-0000-0000-000003F20000}"/>
    <cellStyle name="Normal 5 2 2 4 3 2 2" xfId="32092" xr:uid="{00000000-0005-0000-0000-000004F20000}"/>
    <cellStyle name="Normal 5 2 2 4 3 2 2 2" xfId="63963" xr:uid="{00000000-0005-0000-0000-000005F20000}"/>
    <cellStyle name="Normal 5 2 2 4 3 2 3" xfId="47626" xr:uid="{00000000-0005-0000-0000-000006F20000}"/>
    <cellStyle name="Normal 5 2 2 4 3 3" xfId="24214" xr:uid="{00000000-0005-0000-0000-000007F20000}"/>
    <cellStyle name="Normal 5 2 2 4 3 3 2" xfId="56085" xr:uid="{00000000-0005-0000-0000-000008F20000}"/>
    <cellStyle name="Normal 5 2 2 4 3 4" xfId="47625" xr:uid="{00000000-0005-0000-0000-000009F20000}"/>
    <cellStyle name="Normal 5 2 2 4 4" xfId="15748" xr:uid="{00000000-0005-0000-0000-00000AF20000}"/>
    <cellStyle name="Normal 5 2 2 4 4 2" xfId="28153" xr:uid="{00000000-0005-0000-0000-00000BF20000}"/>
    <cellStyle name="Normal 5 2 2 4 4 2 2" xfId="60024" xr:uid="{00000000-0005-0000-0000-00000CF20000}"/>
    <cellStyle name="Normal 5 2 2 4 4 3" xfId="47627" xr:uid="{00000000-0005-0000-0000-00000DF20000}"/>
    <cellStyle name="Normal 5 2 2 4 5" xfId="20275" xr:uid="{00000000-0005-0000-0000-00000EF20000}"/>
    <cellStyle name="Normal 5 2 2 4 5 2" xfId="52146" xr:uid="{00000000-0005-0000-0000-00000FF20000}"/>
    <cellStyle name="Normal 5 2 2 4 6" xfId="47620" xr:uid="{00000000-0005-0000-0000-000010F20000}"/>
    <cellStyle name="Normal 5 2 2 5" xfId="15749" xr:uid="{00000000-0005-0000-0000-000011F20000}"/>
    <cellStyle name="Normal 5 2 2 5 2" xfId="15750" xr:uid="{00000000-0005-0000-0000-000012F20000}"/>
    <cellStyle name="Normal 5 2 2 5 2 2" xfId="15751" xr:uid="{00000000-0005-0000-0000-000013F20000}"/>
    <cellStyle name="Normal 5 2 2 5 2 2 2" xfId="32094" xr:uid="{00000000-0005-0000-0000-000014F20000}"/>
    <cellStyle name="Normal 5 2 2 5 2 2 2 2" xfId="63965" xr:uid="{00000000-0005-0000-0000-000015F20000}"/>
    <cellStyle name="Normal 5 2 2 5 2 2 3" xfId="47630" xr:uid="{00000000-0005-0000-0000-000016F20000}"/>
    <cellStyle name="Normal 5 2 2 5 2 3" xfId="24216" xr:uid="{00000000-0005-0000-0000-000017F20000}"/>
    <cellStyle name="Normal 5 2 2 5 2 3 2" xfId="56087" xr:uid="{00000000-0005-0000-0000-000018F20000}"/>
    <cellStyle name="Normal 5 2 2 5 2 4" xfId="47629" xr:uid="{00000000-0005-0000-0000-000019F20000}"/>
    <cellStyle name="Normal 5 2 2 5 3" xfId="15752" xr:uid="{00000000-0005-0000-0000-00001AF20000}"/>
    <cellStyle name="Normal 5 2 2 5 3 2" xfId="28155" xr:uid="{00000000-0005-0000-0000-00001BF20000}"/>
    <cellStyle name="Normal 5 2 2 5 3 2 2" xfId="60026" xr:uid="{00000000-0005-0000-0000-00001CF20000}"/>
    <cellStyle name="Normal 5 2 2 5 3 3" xfId="47631" xr:uid="{00000000-0005-0000-0000-00001DF20000}"/>
    <cellStyle name="Normal 5 2 2 5 4" xfId="20277" xr:uid="{00000000-0005-0000-0000-00001EF20000}"/>
    <cellStyle name="Normal 5 2 2 5 4 2" xfId="52148" xr:uid="{00000000-0005-0000-0000-00001FF20000}"/>
    <cellStyle name="Normal 5 2 2 5 5" xfId="47628" xr:uid="{00000000-0005-0000-0000-000020F20000}"/>
    <cellStyle name="Normal 5 2 2 6" xfId="15753" xr:uid="{00000000-0005-0000-0000-000021F20000}"/>
    <cellStyle name="Normal 5 2 2 6 2" xfId="15754" xr:uid="{00000000-0005-0000-0000-000022F20000}"/>
    <cellStyle name="Normal 5 2 2 6 2 2" xfId="28438" xr:uid="{00000000-0005-0000-0000-000023F20000}"/>
    <cellStyle name="Normal 5 2 2 6 2 2 2" xfId="60309" xr:uid="{00000000-0005-0000-0000-000024F20000}"/>
    <cellStyle name="Normal 5 2 2 6 2 3" xfId="47633" xr:uid="{00000000-0005-0000-0000-000025F20000}"/>
    <cellStyle name="Normal 5 2 2 6 3" xfId="20560" xr:uid="{00000000-0005-0000-0000-000026F20000}"/>
    <cellStyle name="Normal 5 2 2 6 3 2" xfId="52431" xr:uid="{00000000-0005-0000-0000-000027F20000}"/>
    <cellStyle name="Normal 5 2 2 6 4" xfId="47632" xr:uid="{00000000-0005-0000-0000-000028F20000}"/>
    <cellStyle name="Normal 5 2 2 7" xfId="15755" xr:uid="{00000000-0005-0000-0000-000029F20000}"/>
    <cellStyle name="Normal 5 2 2 7 2" xfId="24499" xr:uid="{00000000-0005-0000-0000-00002AF20000}"/>
    <cellStyle name="Normal 5 2 2 7 2 2" xfId="56370" xr:uid="{00000000-0005-0000-0000-00002BF20000}"/>
    <cellStyle name="Normal 5 2 2 7 3" xfId="47634" xr:uid="{00000000-0005-0000-0000-00002CF20000}"/>
    <cellStyle name="Normal 5 2 2 8" xfId="16621" xr:uid="{00000000-0005-0000-0000-00002DF20000}"/>
    <cellStyle name="Normal 5 2 2 8 2" xfId="48492" xr:uid="{00000000-0005-0000-0000-00002EF20000}"/>
    <cellStyle name="Normal 5 2 2 9" xfId="15692" xr:uid="{00000000-0005-0000-0000-00002FF20000}"/>
    <cellStyle name="Normal 5 2 2 9 2" xfId="47571" xr:uid="{00000000-0005-0000-0000-000030F20000}"/>
    <cellStyle name="Normal 5 2 3" xfId="153" xr:uid="{00000000-0005-0000-0000-000031F20000}"/>
    <cellStyle name="Normal 5 2 3 2" xfId="274" xr:uid="{00000000-0005-0000-0000-000032F20000}"/>
    <cellStyle name="Normal 5 2 3 2 2" xfId="15758" xr:uid="{00000000-0005-0000-0000-000033F20000}"/>
    <cellStyle name="Normal 5 2 3 2 2 2" xfId="15759" xr:uid="{00000000-0005-0000-0000-000034F20000}"/>
    <cellStyle name="Normal 5 2 3 2 2 2 2" xfId="15760" xr:uid="{00000000-0005-0000-0000-000035F20000}"/>
    <cellStyle name="Normal 5 2 3 2 2 2 2 2" xfId="15761" xr:uid="{00000000-0005-0000-0000-000036F20000}"/>
    <cellStyle name="Normal 5 2 3 2 2 2 2 2 2" xfId="32098" xr:uid="{00000000-0005-0000-0000-000037F20000}"/>
    <cellStyle name="Normal 5 2 3 2 2 2 2 2 2 2" xfId="63969" xr:uid="{00000000-0005-0000-0000-000038F20000}"/>
    <cellStyle name="Normal 5 2 3 2 2 2 2 2 3" xfId="47640" xr:uid="{00000000-0005-0000-0000-000039F20000}"/>
    <cellStyle name="Normal 5 2 3 2 2 2 2 3" xfId="24220" xr:uid="{00000000-0005-0000-0000-00003AF20000}"/>
    <cellStyle name="Normal 5 2 3 2 2 2 2 3 2" xfId="56091" xr:uid="{00000000-0005-0000-0000-00003BF20000}"/>
    <cellStyle name="Normal 5 2 3 2 2 2 2 4" xfId="47639" xr:uid="{00000000-0005-0000-0000-00003CF20000}"/>
    <cellStyle name="Normal 5 2 3 2 2 2 3" xfId="15762" xr:uid="{00000000-0005-0000-0000-00003DF20000}"/>
    <cellStyle name="Normal 5 2 3 2 2 2 3 2" xfId="28159" xr:uid="{00000000-0005-0000-0000-00003EF20000}"/>
    <cellStyle name="Normal 5 2 3 2 2 2 3 2 2" xfId="60030" xr:uid="{00000000-0005-0000-0000-00003FF20000}"/>
    <cellStyle name="Normal 5 2 3 2 2 2 3 3" xfId="47641" xr:uid="{00000000-0005-0000-0000-000040F20000}"/>
    <cellStyle name="Normal 5 2 3 2 2 2 4" xfId="20281" xr:uid="{00000000-0005-0000-0000-000041F20000}"/>
    <cellStyle name="Normal 5 2 3 2 2 2 4 2" xfId="52152" xr:uid="{00000000-0005-0000-0000-000042F20000}"/>
    <cellStyle name="Normal 5 2 3 2 2 2 5" xfId="47638" xr:uid="{00000000-0005-0000-0000-000043F20000}"/>
    <cellStyle name="Normal 5 2 3 2 2 3" xfId="15763" xr:uid="{00000000-0005-0000-0000-000044F20000}"/>
    <cellStyle name="Normal 5 2 3 2 2 3 2" xfId="15764" xr:uid="{00000000-0005-0000-0000-000045F20000}"/>
    <cellStyle name="Normal 5 2 3 2 2 3 2 2" xfId="32097" xr:uid="{00000000-0005-0000-0000-000046F20000}"/>
    <cellStyle name="Normal 5 2 3 2 2 3 2 2 2" xfId="63968" xr:uid="{00000000-0005-0000-0000-000047F20000}"/>
    <cellStyle name="Normal 5 2 3 2 2 3 2 3" xfId="47643" xr:uid="{00000000-0005-0000-0000-000048F20000}"/>
    <cellStyle name="Normal 5 2 3 2 2 3 3" xfId="24219" xr:uid="{00000000-0005-0000-0000-000049F20000}"/>
    <cellStyle name="Normal 5 2 3 2 2 3 3 2" xfId="56090" xr:uid="{00000000-0005-0000-0000-00004AF20000}"/>
    <cellStyle name="Normal 5 2 3 2 2 3 4" xfId="47642" xr:uid="{00000000-0005-0000-0000-00004BF20000}"/>
    <cellStyle name="Normal 5 2 3 2 2 4" xfId="15765" xr:uid="{00000000-0005-0000-0000-00004CF20000}"/>
    <cellStyle name="Normal 5 2 3 2 2 4 2" xfId="28158" xr:uid="{00000000-0005-0000-0000-00004DF20000}"/>
    <cellStyle name="Normal 5 2 3 2 2 4 2 2" xfId="60029" xr:uid="{00000000-0005-0000-0000-00004EF20000}"/>
    <cellStyle name="Normal 5 2 3 2 2 4 3" xfId="47644" xr:uid="{00000000-0005-0000-0000-00004FF20000}"/>
    <cellStyle name="Normal 5 2 3 2 2 5" xfId="20280" xr:uid="{00000000-0005-0000-0000-000050F20000}"/>
    <cellStyle name="Normal 5 2 3 2 2 5 2" xfId="52151" xr:uid="{00000000-0005-0000-0000-000051F20000}"/>
    <cellStyle name="Normal 5 2 3 2 2 6" xfId="47637" xr:uid="{00000000-0005-0000-0000-000052F20000}"/>
    <cellStyle name="Normal 5 2 3 2 3" xfId="15766" xr:uid="{00000000-0005-0000-0000-000053F20000}"/>
    <cellStyle name="Normal 5 2 3 2 3 2" xfId="15767" xr:uid="{00000000-0005-0000-0000-000054F20000}"/>
    <cellStyle name="Normal 5 2 3 2 3 2 2" xfId="15768" xr:uid="{00000000-0005-0000-0000-000055F20000}"/>
    <cellStyle name="Normal 5 2 3 2 3 2 2 2" xfId="32099" xr:uid="{00000000-0005-0000-0000-000056F20000}"/>
    <cellStyle name="Normal 5 2 3 2 3 2 2 2 2" xfId="63970" xr:uid="{00000000-0005-0000-0000-000057F20000}"/>
    <cellStyle name="Normal 5 2 3 2 3 2 2 3" xfId="47647" xr:uid="{00000000-0005-0000-0000-000058F20000}"/>
    <cellStyle name="Normal 5 2 3 2 3 2 3" xfId="24221" xr:uid="{00000000-0005-0000-0000-000059F20000}"/>
    <cellStyle name="Normal 5 2 3 2 3 2 3 2" xfId="56092" xr:uid="{00000000-0005-0000-0000-00005AF20000}"/>
    <cellStyle name="Normal 5 2 3 2 3 2 4" xfId="47646" xr:uid="{00000000-0005-0000-0000-00005BF20000}"/>
    <cellStyle name="Normal 5 2 3 2 3 3" xfId="15769" xr:uid="{00000000-0005-0000-0000-00005CF20000}"/>
    <cellStyle name="Normal 5 2 3 2 3 3 2" xfId="28160" xr:uid="{00000000-0005-0000-0000-00005DF20000}"/>
    <cellStyle name="Normal 5 2 3 2 3 3 2 2" xfId="60031" xr:uid="{00000000-0005-0000-0000-00005EF20000}"/>
    <cellStyle name="Normal 5 2 3 2 3 3 3" xfId="47648" xr:uid="{00000000-0005-0000-0000-00005FF20000}"/>
    <cellStyle name="Normal 5 2 3 2 3 4" xfId="20282" xr:uid="{00000000-0005-0000-0000-000060F20000}"/>
    <cellStyle name="Normal 5 2 3 2 3 4 2" xfId="52153" xr:uid="{00000000-0005-0000-0000-000061F20000}"/>
    <cellStyle name="Normal 5 2 3 2 3 5" xfId="47645" xr:uid="{00000000-0005-0000-0000-000062F20000}"/>
    <cellStyle name="Normal 5 2 3 2 4" xfId="15770" xr:uid="{00000000-0005-0000-0000-000063F20000}"/>
    <cellStyle name="Normal 5 2 3 2 4 2" xfId="15771" xr:uid="{00000000-0005-0000-0000-000064F20000}"/>
    <cellStyle name="Normal 5 2 3 2 4 2 2" xfId="32096" xr:uid="{00000000-0005-0000-0000-000065F20000}"/>
    <cellStyle name="Normal 5 2 3 2 4 2 2 2" xfId="63967" xr:uid="{00000000-0005-0000-0000-000066F20000}"/>
    <cellStyle name="Normal 5 2 3 2 4 2 3" xfId="47650" xr:uid="{00000000-0005-0000-0000-000067F20000}"/>
    <cellStyle name="Normal 5 2 3 2 4 3" xfId="24218" xr:uid="{00000000-0005-0000-0000-000068F20000}"/>
    <cellStyle name="Normal 5 2 3 2 4 3 2" xfId="56089" xr:uid="{00000000-0005-0000-0000-000069F20000}"/>
    <cellStyle name="Normal 5 2 3 2 4 4" xfId="47649" xr:uid="{00000000-0005-0000-0000-00006AF20000}"/>
    <cellStyle name="Normal 5 2 3 2 5" xfId="15772" xr:uid="{00000000-0005-0000-0000-00006BF20000}"/>
    <cellStyle name="Normal 5 2 3 2 5 2" xfId="28157" xr:uid="{00000000-0005-0000-0000-00006CF20000}"/>
    <cellStyle name="Normal 5 2 3 2 5 2 2" xfId="60028" xr:uid="{00000000-0005-0000-0000-00006DF20000}"/>
    <cellStyle name="Normal 5 2 3 2 5 3" xfId="47651" xr:uid="{00000000-0005-0000-0000-00006EF20000}"/>
    <cellStyle name="Normal 5 2 3 2 6" xfId="20279" xr:uid="{00000000-0005-0000-0000-00006FF20000}"/>
    <cellStyle name="Normal 5 2 3 2 6 2" xfId="52150" xr:uid="{00000000-0005-0000-0000-000070F20000}"/>
    <cellStyle name="Normal 5 2 3 2 7" xfId="15757" xr:uid="{00000000-0005-0000-0000-000071F20000}"/>
    <cellStyle name="Normal 5 2 3 2 7 2" xfId="47636" xr:uid="{00000000-0005-0000-0000-000072F20000}"/>
    <cellStyle name="Normal 5 2 3 3" xfId="15773" xr:uid="{00000000-0005-0000-0000-000073F20000}"/>
    <cellStyle name="Normal 5 2 3 3 2" xfId="15774" xr:uid="{00000000-0005-0000-0000-000074F20000}"/>
    <cellStyle name="Normal 5 2 3 3 2 2" xfId="15775" xr:uid="{00000000-0005-0000-0000-000075F20000}"/>
    <cellStyle name="Normal 5 2 3 3 2 2 2" xfId="15776" xr:uid="{00000000-0005-0000-0000-000076F20000}"/>
    <cellStyle name="Normal 5 2 3 3 2 2 2 2" xfId="32101" xr:uid="{00000000-0005-0000-0000-000077F20000}"/>
    <cellStyle name="Normal 5 2 3 3 2 2 2 2 2" xfId="63972" xr:uid="{00000000-0005-0000-0000-000078F20000}"/>
    <cellStyle name="Normal 5 2 3 3 2 2 2 3" xfId="47655" xr:uid="{00000000-0005-0000-0000-000079F20000}"/>
    <cellStyle name="Normal 5 2 3 3 2 2 3" xfId="24223" xr:uid="{00000000-0005-0000-0000-00007AF20000}"/>
    <cellStyle name="Normal 5 2 3 3 2 2 3 2" xfId="56094" xr:uid="{00000000-0005-0000-0000-00007BF20000}"/>
    <cellStyle name="Normal 5 2 3 3 2 2 4" xfId="47654" xr:uid="{00000000-0005-0000-0000-00007CF20000}"/>
    <cellStyle name="Normal 5 2 3 3 2 3" xfId="15777" xr:uid="{00000000-0005-0000-0000-00007DF20000}"/>
    <cellStyle name="Normal 5 2 3 3 2 3 2" xfId="28162" xr:uid="{00000000-0005-0000-0000-00007EF20000}"/>
    <cellStyle name="Normal 5 2 3 3 2 3 2 2" xfId="60033" xr:uid="{00000000-0005-0000-0000-00007FF20000}"/>
    <cellStyle name="Normal 5 2 3 3 2 3 3" xfId="47656" xr:uid="{00000000-0005-0000-0000-000080F20000}"/>
    <cellStyle name="Normal 5 2 3 3 2 4" xfId="20284" xr:uid="{00000000-0005-0000-0000-000081F20000}"/>
    <cellStyle name="Normal 5 2 3 3 2 4 2" xfId="52155" xr:uid="{00000000-0005-0000-0000-000082F20000}"/>
    <cellStyle name="Normal 5 2 3 3 2 5" xfId="47653" xr:uid="{00000000-0005-0000-0000-000083F20000}"/>
    <cellStyle name="Normal 5 2 3 3 3" xfId="15778" xr:uid="{00000000-0005-0000-0000-000084F20000}"/>
    <cellStyle name="Normal 5 2 3 3 3 2" xfId="15779" xr:uid="{00000000-0005-0000-0000-000085F20000}"/>
    <cellStyle name="Normal 5 2 3 3 3 2 2" xfId="32100" xr:uid="{00000000-0005-0000-0000-000086F20000}"/>
    <cellStyle name="Normal 5 2 3 3 3 2 2 2" xfId="63971" xr:uid="{00000000-0005-0000-0000-000087F20000}"/>
    <cellStyle name="Normal 5 2 3 3 3 2 3" xfId="47658" xr:uid="{00000000-0005-0000-0000-000088F20000}"/>
    <cellStyle name="Normal 5 2 3 3 3 3" xfId="24222" xr:uid="{00000000-0005-0000-0000-000089F20000}"/>
    <cellStyle name="Normal 5 2 3 3 3 3 2" xfId="56093" xr:uid="{00000000-0005-0000-0000-00008AF20000}"/>
    <cellStyle name="Normal 5 2 3 3 3 4" xfId="47657" xr:uid="{00000000-0005-0000-0000-00008BF20000}"/>
    <cellStyle name="Normal 5 2 3 3 4" xfId="15780" xr:uid="{00000000-0005-0000-0000-00008CF20000}"/>
    <cellStyle name="Normal 5 2 3 3 4 2" xfId="28161" xr:uid="{00000000-0005-0000-0000-00008DF20000}"/>
    <cellStyle name="Normal 5 2 3 3 4 2 2" xfId="60032" xr:uid="{00000000-0005-0000-0000-00008EF20000}"/>
    <cellStyle name="Normal 5 2 3 3 4 3" xfId="47659" xr:uid="{00000000-0005-0000-0000-00008FF20000}"/>
    <cellStyle name="Normal 5 2 3 3 5" xfId="20283" xr:uid="{00000000-0005-0000-0000-000090F20000}"/>
    <cellStyle name="Normal 5 2 3 3 5 2" xfId="52154" xr:uid="{00000000-0005-0000-0000-000091F20000}"/>
    <cellStyle name="Normal 5 2 3 3 6" xfId="47652" xr:uid="{00000000-0005-0000-0000-000092F20000}"/>
    <cellStyle name="Normal 5 2 3 4" xfId="15781" xr:uid="{00000000-0005-0000-0000-000093F20000}"/>
    <cellStyle name="Normal 5 2 3 4 2" xfId="15782" xr:uid="{00000000-0005-0000-0000-000094F20000}"/>
    <cellStyle name="Normal 5 2 3 4 2 2" xfId="15783" xr:uid="{00000000-0005-0000-0000-000095F20000}"/>
    <cellStyle name="Normal 5 2 3 4 2 2 2" xfId="32102" xr:uid="{00000000-0005-0000-0000-000096F20000}"/>
    <cellStyle name="Normal 5 2 3 4 2 2 2 2" xfId="63973" xr:uid="{00000000-0005-0000-0000-000097F20000}"/>
    <cellStyle name="Normal 5 2 3 4 2 2 3" xfId="47662" xr:uid="{00000000-0005-0000-0000-000098F20000}"/>
    <cellStyle name="Normal 5 2 3 4 2 3" xfId="24224" xr:uid="{00000000-0005-0000-0000-000099F20000}"/>
    <cellStyle name="Normal 5 2 3 4 2 3 2" xfId="56095" xr:uid="{00000000-0005-0000-0000-00009AF20000}"/>
    <cellStyle name="Normal 5 2 3 4 2 4" xfId="47661" xr:uid="{00000000-0005-0000-0000-00009BF20000}"/>
    <cellStyle name="Normal 5 2 3 4 3" xfId="15784" xr:uid="{00000000-0005-0000-0000-00009CF20000}"/>
    <cellStyle name="Normal 5 2 3 4 3 2" xfId="28163" xr:uid="{00000000-0005-0000-0000-00009DF20000}"/>
    <cellStyle name="Normal 5 2 3 4 3 2 2" xfId="60034" xr:uid="{00000000-0005-0000-0000-00009EF20000}"/>
    <cellStyle name="Normal 5 2 3 4 3 3" xfId="47663" xr:uid="{00000000-0005-0000-0000-00009FF20000}"/>
    <cellStyle name="Normal 5 2 3 4 4" xfId="20285" xr:uid="{00000000-0005-0000-0000-0000A0F20000}"/>
    <cellStyle name="Normal 5 2 3 4 4 2" xfId="52156" xr:uid="{00000000-0005-0000-0000-0000A1F20000}"/>
    <cellStyle name="Normal 5 2 3 4 5" xfId="47660" xr:uid="{00000000-0005-0000-0000-0000A2F20000}"/>
    <cellStyle name="Normal 5 2 3 5" xfId="15785" xr:uid="{00000000-0005-0000-0000-0000A3F20000}"/>
    <cellStyle name="Normal 5 2 3 5 2" xfId="15786" xr:uid="{00000000-0005-0000-0000-0000A4F20000}"/>
    <cellStyle name="Normal 5 2 3 5 2 2" xfId="32095" xr:uid="{00000000-0005-0000-0000-0000A5F20000}"/>
    <cellStyle name="Normal 5 2 3 5 2 2 2" xfId="63966" xr:uid="{00000000-0005-0000-0000-0000A6F20000}"/>
    <cellStyle name="Normal 5 2 3 5 2 3" xfId="47665" xr:uid="{00000000-0005-0000-0000-0000A7F20000}"/>
    <cellStyle name="Normal 5 2 3 5 3" xfId="24217" xr:uid="{00000000-0005-0000-0000-0000A8F20000}"/>
    <cellStyle name="Normal 5 2 3 5 3 2" xfId="56088" xr:uid="{00000000-0005-0000-0000-0000A9F20000}"/>
    <cellStyle name="Normal 5 2 3 5 4" xfId="47664" xr:uid="{00000000-0005-0000-0000-0000AAF20000}"/>
    <cellStyle name="Normal 5 2 3 6" xfId="15787" xr:uid="{00000000-0005-0000-0000-0000ABF20000}"/>
    <cellStyle name="Normal 5 2 3 6 2" xfId="28156" xr:uid="{00000000-0005-0000-0000-0000ACF20000}"/>
    <cellStyle name="Normal 5 2 3 6 2 2" xfId="60027" xr:uid="{00000000-0005-0000-0000-0000ADF20000}"/>
    <cellStyle name="Normal 5 2 3 6 3" xfId="47666" xr:uid="{00000000-0005-0000-0000-0000AEF20000}"/>
    <cellStyle name="Normal 5 2 3 7" xfId="20278" xr:uid="{00000000-0005-0000-0000-0000AFF20000}"/>
    <cellStyle name="Normal 5 2 3 7 2" xfId="52149" xr:uid="{00000000-0005-0000-0000-0000B0F20000}"/>
    <cellStyle name="Normal 5 2 3 8" xfId="15756" xr:uid="{00000000-0005-0000-0000-0000B1F20000}"/>
    <cellStyle name="Normal 5 2 3 8 2" xfId="47635" xr:uid="{00000000-0005-0000-0000-0000B2F20000}"/>
    <cellStyle name="Normal 5 2 4" xfId="272" xr:uid="{00000000-0005-0000-0000-0000B3F20000}"/>
    <cellStyle name="Normal 5 2 4 2" xfId="15789" xr:uid="{00000000-0005-0000-0000-0000B4F20000}"/>
    <cellStyle name="Normal 5 2 4 2 2" xfId="15790" xr:uid="{00000000-0005-0000-0000-0000B5F20000}"/>
    <cellStyle name="Normal 5 2 4 2 2 2" xfId="15791" xr:uid="{00000000-0005-0000-0000-0000B6F20000}"/>
    <cellStyle name="Normal 5 2 4 2 2 2 2" xfId="15792" xr:uid="{00000000-0005-0000-0000-0000B7F20000}"/>
    <cellStyle name="Normal 5 2 4 2 2 2 2 2" xfId="32105" xr:uid="{00000000-0005-0000-0000-0000B8F20000}"/>
    <cellStyle name="Normal 5 2 4 2 2 2 2 2 2" xfId="63976" xr:uid="{00000000-0005-0000-0000-0000B9F20000}"/>
    <cellStyle name="Normal 5 2 4 2 2 2 2 3" xfId="47671" xr:uid="{00000000-0005-0000-0000-0000BAF20000}"/>
    <cellStyle name="Normal 5 2 4 2 2 2 3" xfId="24227" xr:uid="{00000000-0005-0000-0000-0000BBF20000}"/>
    <cellStyle name="Normal 5 2 4 2 2 2 3 2" xfId="56098" xr:uid="{00000000-0005-0000-0000-0000BCF20000}"/>
    <cellStyle name="Normal 5 2 4 2 2 2 4" xfId="47670" xr:uid="{00000000-0005-0000-0000-0000BDF20000}"/>
    <cellStyle name="Normal 5 2 4 2 2 3" xfId="15793" xr:uid="{00000000-0005-0000-0000-0000BEF20000}"/>
    <cellStyle name="Normal 5 2 4 2 2 3 2" xfId="28166" xr:uid="{00000000-0005-0000-0000-0000BFF20000}"/>
    <cellStyle name="Normal 5 2 4 2 2 3 2 2" xfId="60037" xr:uid="{00000000-0005-0000-0000-0000C0F20000}"/>
    <cellStyle name="Normal 5 2 4 2 2 3 3" xfId="47672" xr:uid="{00000000-0005-0000-0000-0000C1F20000}"/>
    <cellStyle name="Normal 5 2 4 2 2 4" xfId="20288" xr:uid="{00000000-0005-0000-0000-0000C2F20000}"/>
    <cellStyle name="Normal 5 2 4 2 2 4 2" xfId="52159" xr:uid="{00000000-0005-0000-0000-0000C3F20000}"/>
    <cellStyle name="Normal 5 2 4 2 2 5" xfId="47669" xr:uid="{00000000-0005-0000-0000-0000C4F20000}"/>
    <cellStyle name="Normal 5 2 4 2 3" xfId="15794" xr:uid="{00000000-0005-0000-0000-0000C5F20000}"/>
    <cellStyle name="Normal 5 2 4 2 3 2" xfId="15795" xr:uid="{00000000-0005-0000-0000-0000C6F20000}"/>
    <cellStyle name="Normal 5 2 4 2 3 2 2" xfId="32104" xr:uid="{00000000-0005-0000-0000-0000C7F20000}"/>
    <cellStyle name="Normal 5 2 4 2 3 2 2 2" xfId="63975" xr:uid="{00000000-0005-0000-0000-0000C8F20000}"/>
    <cellStyle name="Normal 5 2 4 2 3 2 3" xfId="47674" xr:uid="{00000000-0005-0000-0000-0000C9F20000}"/>
    <cellStyle name="Normal 5 2 4 2 3 3" xfId="24226" xr:uid="{00000000-0005-0000-0000-0000CAF20000}"/>
    <cellStyle name="Normal 5 2 4 2 3 3 2" xfId="56097" xr:uid="{00000000-0005-0000-0000-0000CBF20000}"/>
    <cellStyle name="Normal 5 2 4 2 3 4" xfId="47673" xr:uid="{00000000-0005-0000-0000-0000CCF20000}"/>
    <cellStyle name="Normal 5 2 4 2 4" xfId="15796" xr:uid="{00000000-0005-0000-0000-0000CDF20000}"/>
    <cellStyle name="Normal 5 2 4 2 4 2" xfId="28165" xr:uid="{00000000-0005-0000-0000-0000CEF20000}"/>
    <cellStyle name="Normal 5 2 4 2 4 2 2" xfId="60036" xr:uid="{00000000-0005-0000-0000-0000CFF20000}"/>
    <cellStyle name="Normal 5 2 4 2 4 3" xfId="47675" xr:uid="{00000000-0005-0000-0000-0000D0F20000}"/>
    <cellStyle name="Normal 5 2 4 2 5" xfId="20287" xr:uid="{00000000-0005-0000-0000-0000D1F20000}"/>
    <cellStyle name="Normal 5 2 4 2 5 2" xfId="52158" xr:uid="{00000000-0005-0000-0000-0000D2F20000}"/>
    <cellStyle name="Normal 5 2 4 2 6" xfId="47668" xr:uid="{00000000-0005-0000-0000-0000D3F20000}"/>
    <cellStyle name="Normal 5 2 4 3" xfId="15797" xr:uid="{00000000-0005-0000-0000-0000D4F20000}"/>
    <cellStyle name="Normal 5 2 4 3 2" xfId="15798" xr:uid="{00000000-0005-0000-0000-0000D5F20000}"/>
    <cellStyle name="Normal 5 2 4 3 2 2" xfId="15799" xr:uid="{00000000-0005-0000-0000-0000D6F20000}"/>
    <cellStyle name="Normal 5 2 4 3 2 2 2" xfId="32106" xr:uid="{00000000-0005-0000-0000-0000D7F20000}"/>
    <cellStyle name="Normal 5 2 4 3 2 2 2 2" xfId="63977" xr:uid="{00000000-0005-0000-0000-0000D8F20000}"/>
    <cellStyle name="Normal 5 2 4 3 2 2 3" xfId="47678" xr:uid="{00000000-0005-0000-0000-0000D9F20000}"/>
    <cellStyle name="Normal 5 2 4 3 2 3" xfId="24228" xr:uid="{00000000-0005-0000-0000-0000DAF20000}"/>
    <cellStyle name="Normal 5 2 4 3 2 3 2" xfId="56099" xr:uid="{00000000-0005-0000-0000-0000DBF20000}"/>
    <cellStyle name="Normal 5 2 4 3 2 4" xfId="47677" xr:uid="{00000000-0005-0000-0000-0000DCF20000}"/>
    <cellStyle name="Normal 5 2 4 3 3" xfId="15800" xr:uid="{00000000-0005-0000-0000-0000DDF20000}"/>
    <cellStyle name="Normal 5 2 4 3 3 2" xfId="28167" xr:uid="{00000000-0005-0000-0000-0000DEF20000}"/>
    <cellStyle name="Normal 5 2 4 3 3 2 2" xfId="60038" xr:uid="{00000000-0005-0000-0000-0000DFF20000}"/>
    <cellStyle name="Normal 5 2 4 3 3 3" xfId="47679" xr:uid="{00000000-0005-0000-0000-0000E0F20000}"/>
    <cellStyle name="Normal 5 2 4 3 4" xfId="20289" xr:uid="{00000000-0005-0000-0000-0000E1F20000}"/>
    <cellStyle name="Normal 5 2 4 3 4 2" xfId="52160" xr:uid="{00000000-0005-0000-0000-0000E2F20000}"/>
    <cellStyle name="Normal 5 2 4 3 5" xfId="47676" xr:uid="{00000000-0005-0000-0000-0000E3F20000}"/>
    <cellStyle name="Normal 5 2 4 4" xfId="15801" xr:uid="{00000000-0005-0000-0000-0000E4F20000}"/>
    <cellStyle name="Normal 5 2 4 4 2" xfId="15802" xr:uid="{00000000-0005-0000-0000-0000E5F20000}"/>
    <cellStyle name="Normal 5 2 4 4 2 2" xfId="32103" xr:uid="{00000000-0005-0000-0000-0000E6F20000}"/>
    <cellStyle name="Normal 5 2 4 4 2 2 2" xfId="63974" xr:uid="{00000000-0005-0000-0000-0000E7F20000}"/>
    <cellStyle name="Normal 5 2 4 4 2 3" xfId="47681" xr:uid="{00000000-0005-0000-0000-0000E8F20000}"/>
    <cellStyle name="Normal 5 2 4 4 3" xfId="24225" xr:uid="{00000000-0005-0000-0000-0000E9F20000}"/>
    <cellStyle name="Normal 5 2 4 4 3 2" xfId="56096" xr:uid="{00000000-0005-0000-0000-0000EAF20000}"/>
    <cellStyle name="Normal 5 2 4 4 4" xfId="47680" xr:uid="{00000000-0005-0000-0000-0000EBF20000}"/>
    <cellStyle name="Normal 5 2 4 5" xfId="15803" xr:uid="{00000000-0005-0000-0000-0000ECF20000}"/>
    <cellStyle name="Normal 5 2 4 5 2" xfId="28164" xr:uid="{00000000-0005-0000-0000-0000EDF20000}"/>
    <cellStyle name="Normal 5 2 4 5 2 2" xfId="60035" xr:uid="{00000000-0005-0000-0000-0000EEF20000}"/>
    <cellStyle name="Normal 5 2 4 5 3" xfId="47682" xr:uid="{00000000-0005-0000-0000-0000EFF20000}"/>
    <cellStyle name="Normal 5 2 4 6" xfId="20286" xr:uid="{00000000-0005-0000-0000-0000F0F20000}"/>
    <cellStyle name="Normal 5 2 4 6 2" xfId="52157" xr:uid="{00000000-0005-0000-0000-0000F1F20000}"/>
    <cellStyle name="Normal 5 2 4 7" xfId="15788" xr:uid="{00000000-0005-0000-0000-0000F2F20000}"/>
    <cellStyle name="Normal 5 2 4 7 2" xfId="47667" xr:uid="{00000000-0005-0000-0000-0000F3F20000}"/>
    <cellStyle name="Normal 5 2 5" xfId="15804" xr:uid="{00000000-0005-0000-0000-0000F4F20000}"/>
    <cellStyle name="Normal 5 2 5 2" xfId="15805" xr:uid="{00000000-0005-0000-0000-0000F5F20000}"/>
    <cellStyle name="Normal 5 2 5 2 2" xfId="15806" xr:uid="{00000000-0005-0000-0000-0000F6F20000}"/>
    <cellStyle name="Normal 5 2 5 2 2 2" xfId="15807" xr:uid="{00000000-0005-0000-0000-0000F7F20000}"/>
    <cellStyle name="Normal 5 2 5 2 2 2 2" xfId="32108" xr:uid="{00000000-0005-0000-0000-0000F8F20000}"/>
    <cellStyle name="Normal 5 2 5 2 2 2 2 2" xfId="63979" xr:uid="{00000000-0005-0000-0000-0000F9F20000}"/>
    <cellStyle name="Normal 5 2 5 2 2 2 3" xfId="47686" xr:uid="{00000000-0005-0000-0000-0000FAF20000}"/>
    <cellStyle name="Normal 5 2 5 2 2 3" xfId="24230" xr:uid="{00000000-0005-0000-0000-0000FBF20000}"/>
    <cellStyle name="Normal 5 2 5 2 2 3 2" xfId="56101" xr:uid="{00000000-0005-0000-0000-0000FCF20000}"/>
    <cellStyle name="Normal 5 2 5 2 2 4" xfId="47685" xr:uid="{00000000-0005-0000-0000-0000FDF20000}"/>
    <cellStyle name="Normal 5 2 5 2 3" xfId="15808" xr:uid="{00000000-0005-0000-0000-0000FEF20000}"/>
    <cellStyle name="Normal 5 2 5 2 3 2" xfId="28169" xr:uid="{00000000-0005-0000-0000-0000FFF20000}"/>
    <cellStyle name="Normal 5 2 5 2 3 2 2" xfId="60040" xr:uid="{00000000-0005-0000-0000-000000F30000}"/>
    <cellStyle name="Normal 5 2 5 2 3 3" xfId="47687" xr:uid="{00000000-0005-0000-0000-000001F30000}"/>
    <cellStyle name="Normal 5 2 5 2 4" xfId="20291" xr:uid="{00000000-0005-0000-0000-000002F30000}"/>
    <cellStyle name="Normal 5 2 5 2 4 2" xfId="52162" xr:uid="{00000000-0005-0000-0000-000003F30000}"/>
    <cellStyle name="Normal 5 2 5 2 5" xfId="47684" xr:uid="{00000000-0005-0000-0000-000004F30000}"/>
    <cellStyle name="Normal 5 2 5 3" xfId="15809" xr:uid="{00000000-0005-0000-0000-000005F30000}"/>
    <cellStyle name="Normal 5 2 5 3 2" xfId="15810" xr:uid="{00000000-0005-0000-0000-000006F30000}"/>
    <cellStyle name="Normal 5 2 5 3 2 2" xfId="32107" xr:uid="{00000000-0005-0000-0000-000007F30000}"/>
    <cellStyle name="Normal 5 2 5 3 2 2 2" xfId="63978" xr:uid="{00000000-0005-0000-0000-000008F30000}"/>
    <cellStyle name="Normal 5 2 5 3 2 3" xfId="47689" xr:uid="{00000000-0005-0000-0000-000009F30000}"/>
    <cellStyle name="Normal 5 2 5 3 3" xfId="24229" xr:uid="{00000000-0005-0000-0000-00000AF30000}"/>
    <cellStyle name="Normal 5 2 5 3 3 2" xfId="56100" xr:uid="{00000000-0005-0000-0000-00000BF30000}"/>
    <cellStyle name="Normal 5 2 5 3 4" xfId="47688" xr:uid="{00000000-0005-0000-0000-00000CF30000}"/>
    <cellStyle name="Normal 5 2 5 4" xfId="15811" xr:uid="{00000000-0005-0000-0000-00000DF30000}"/>
    <cellStyle name="Normal 5 2 5 4 2" xfId="28168" xr:uid="{00000000-0005-0000-0000-00000EF30000}"/>
    <cellStyle name="Normal 5 2 5 4 2 2" xfId="60039" xr:uid="{00000000-0005-0000-0000-00000FF30000}"/>
    <cellStyle name="Normal 5 2 5 4 3" xfId="47690" xr:uid="{00000000-0005-0000-0000-000010F30000}"/>
    <cellStyle name="Normal 5 2 5 5" xfId="20290" xr:uid="{00000000-0005-0000-0000-000011F30000}"/>
    <cellStyle name="Normal 5 2 5 5 2" xfId="52161" xr:uid="{00000000-0005-0000-0000-000012F30000}"/>
    <cellStyle name="Normal 5 2 5 6" xfId="47683" xr:uid="{00000000-0005-0000-0000-000013F30000}"/>
    <cellStyle name="Normal 5 2 6" xfId="15812" xr:uid="{00000000-0005-0000-0000-000014F30000}"/>
    <cellStyle name="Normal 5 2 6 2" xfId="15813" xr:uid="{00000000-0005-0000-0000-000015F30000}"/>
    <cellStyle name="Normal 5 2 6 2 2" xfId="15814" xr:uid="{00000000-0005-0000-0000-000016F30000}"/>
    <cellStyle name="Normal 5 2 6 2 2 2" xfId="32109" xr:uid="{00000000-0005-0000-0000-000017F30000}"/>
    <cellStyle name="Normal 5 2 6 2 2 2 2" xfId="63980" xr:uid="{00000000-0005-0000-0000-000018F30000}"/>
    <cellStyle name="Normal 5 2 6 2 2 3" xfId="47693" xr:uid="{00000000-0005-0000-0000-000019F30000}"/>
    <cellStyle name="Normal 5 2 6 2 3" xfId="24231" xr:uid="{00000000-0005-0000-0000-00001AF30000}"/>
    <cellStyle name="Normal 5 2 6 2 3 2" xfId="56102" xr:uid="{00000000-0005-0000-0000-00001BF30000}"/>
    <cellStyle name="Normal 5 2 6 2 4" xfId="47692" xr:uid="{00000000-0005-0000-0000-00001CF30000}"/>
    <cellStyle name="Normal 5 2 6 3" xfId="15815" xr:uid="{00000000-0005-0000-0000-00001DF30000}"/>
    <cellStyle name="Normal 5 2 6 3 2" xfId="28170" xr:uid="{00000000-0005-0000-0000-00001EF30000}"/>
    <cellStyle name="Normal 5 2 6 3 2 2" xfId="60041" xr:uid="{00000000-0005-0000-0000-00001FF30000}"/>
    <cellStyle name="Normal 5 2 6 3 3" xfId="47694" xr:uid="{00000000-0005-0000-0000-000020F30000}"/>
    <cellStyle name="Normal 5 2 6 4" xfId="20292" xr:uid="{00000000-0005-0000-0000-000021F30000}"/>
    <cellStyle name="Normal 5 2 6 4 2" xfId="52163" xr:uid="{00000000-0005-0000-0000-000022F30000}"/>
    <cellStyle name="Normal 5 2 6 5" xfId="47691" xr:uid="{00000000-0005-0000-0000-000023F30000}"/>
    <cellStyle name="Normal 5 2 7" xfId="15816" xr:uid="{00000000-0005-0000-0000-000024F30000}"/>
    <cellStyle name="Normal 5 2 7 2" xfId="15817" xr:uid="{00000000-0005-0000-0000-000025F30000}"/>
    <cellStyle name="Normal 5 2 7 2 2" xfId="28315" xr:uid="{00000000-0005-0000-0000-000026F30000}"/>
    <cellStyle name="Normal 5 2 7 2 2 2" xfId="60186" xr:uid="{00000000-0005-0000-0000-000027F30000}"/>
    <cellStyle name="Normal 5 2 7 2 3" xfId="47696" xr:uid="{00000000-0005-0000-0000-000028F30000}"/>
    <cellStyle name="Normal 5 2 7 3" xfId="20437" xr:uid="{00000000-0005-0000-0000-000029F30000}"/>
    <cellStyle name="Normal 5 2 7 3 2" xfId="52308" xr:uid="{00000000-0005-0000-0000-00002AF30000}"/>
    <cellStyle name="Normal 5 2 7 4" xfId="47695" xr:uid="{00000000-0005-0000-0000-00002BF30000}"/>
    <cellStyle name="Normal 5 2 8" xfId="15818" xr:uid="{00000000-0005-0000-0000-00002CF30000}"/>
    <cellStyle name="Normal 5 2 8 2" xfId="24376" xr:uid="{00000000-0005-0000-0000-00002DF30000}"/>
    <cellStyle name="Normal 5 2 8 2 2" xfId="56247" xr:uid="{00000000-0005-0000-0000-00002EF30000}"/>
    <cellStyle name="Normal 5 2 8 3" xfId="47697" xr:uid="{00000000-0005-0000-0000-00002FF30000}"/>
    <cellStyle name="Normal 5 2 9" xfId="16498" xr:uid="{00000000-0005-0000-0000-000030F30000}"/>
    <cellStyle name="Normal 5 2 9 2" xfId="48369" xr:uid="{00000000-0005-0000-0000-000031F30000}"/>
    <cellStyle name="Normal 5 3" xfId="154" xr:uid="{00000000-0005-0000-0000-000032F30000}"/>
    <cellStyle name="Normal 5 3 10" xfId="15819" xr:uid="{00000000-0005-0000-0000-000033F30000}"/>
    <cellStyle name="Normal 5 3 10 2" xfId="47698" xr:uid="{00000000-0005-0000-0000-000034F30000}"/>
    <cellStyle name="Normal 5 3 2" xfId="275" xr:uid="{00000000-0005-0000-0000-000035F30000}"/>
    <cellStyle name="Normal 5 3 2 2" xfId="15821" xr:uid="{00000000-0005-0000-0000-000036F30000}"/>
    <cellStyle name="Normal 5 3 2 2 2" xfId="15822" xr:uid="{00000000-0005-0000-0000-000037F30000}"/>
    <cellStyle name="Normal 5 3 2 2 2 2" xfId="15823" xr:uid="{00000000-0005-0000-0000-000038F30000}"/>
    <cellStyle name="Normal 5 3 2 2 2 2 2" xfId="15824" xr:uid="{00000000-0005-0000-0000-000039F30000}"/>
    <cellStyle name="Normal 5 3 2 2 2 2 2 2" xfId="15825" xr:uid="{00000000-0005-0000-0000-00003AF30000}"/>
    <cellStyle name="Normal 5 3 2 2 2 2 2 2 2" xfId="15826" xr:uid="{00000000-0005-0000-0000-00003BF30000}"/>
    <cellStyle name="Normal 5 3 2 2 2 2 2 2 2 2" xfId="32113" xr:uid="{00000000-0005-0000-0000-00003CF30000}"/>
    <cellStyle name="Normal 5 3 2 2 2 2 2 2 2 2 2" xfId="63984" xr:uid="{00000000-0005-0000-0000-00003DF30000}"/>
    <cellStyle name="Normal 5 3 2 2 2 2 2 2 2 3" xfId="47705" xr:uid="{00000000-0005-0000-0000-00003EF30000}"/>
    <cellStyle name="Normal 5 3 2 2 2 2 2 2 3" xfId="24235" xr:uid="{00000000-0005-0000-0000-00003FF30000}"/>
    <cellStyle name="Normal 5 3 2 2 2 2 2 2 3 2" xfId="56106" xr:uid="{00000000-0005-0000-0000-000040F30000}"/>
    <cellStyle name="Normal 5 3 2 2 2 2 2 2 4" xfId="47704" xr:uid="{00000000-0005-0000-0000-000041F30000}"/>
    <cellStyle name="Normal 5 3 2 2 2 2 2 3" xfId="15827" xr:uid="{00000000-0005-0000-0000-000042F30000}"/>
    <cellStyle name="Normal 5 3 2 2 2 2 2 3 2" xfId="28174" xr:uid="{00000000-0005-0000-0000-000043F30000}"/>
    <cellStyle name="Normal 5 3 2 2 2 2 2 3 2 2" xfId="60045" xr:uid="{00000000-0005-0000-0000-000044F30000}"/>
    <cellStyle name="Normal 5 3 2 2 2 2 2 3 3" xfId="47706" xr:uid="{00000000-0005-0000-0000-000045F30000}"/>
    <cellStyle name="Normal 5 3 2 2 2 2 2 4" xfId="20296" xr:uid="{00000000-0005-0000-0000-000046F30000}"/>
    <cellStyle name="Normal 5 3 2 2 2 2 2 4 2" xfId="52167" xr:uid="{00000000-0005-0000-0000-000047F30000}"/>
    <cellStyle name="Normal 5 3 2 2 2 2 2 5" xfId="47703" xr:uid="{00000000-0005-0000-0000-000048F30000}"/>
    <cellStyle name="Normal 5 3 2 2 2 2 3" xfId="15828" xr:uid="{00000000-0005-0000-0000-000049F30000}"/>
    <cellStyle name="Normal 5 3 2 2 2 2 3 2" xfId="15829" xr:uid="{00000000-0005-0000-0000-00004AF30000}"/>
    <cellStyle name="Normal 5 3 2 2 2 2 3 2 2" xfId="32112" xr:uid="{00000000-0005-0000-0000-00004BF30000}"/>
    <cellStyle name="Normal 5 3 2 2 2 2 3 2 2 2" xfId="63983" xr:uid="{00000000-0005-0000-0000-00004CF30000}"/>
    <cellStyle name="Normal 5 3 2 2 2 2 3 2 3" xfId="47708" xr:uid="{00000000-0005-0000-0000-00004DF30000}"/>
    <cellStyle name="Normal 5 3 2 2 2 2 3 3" xfId="24234" xr:uid="{00000000-0005-0000-0000-00004EF30000}"/>
    <cellStyle name="Normal 5 3 2 2 2 2 3 3 2" xfId="56105" xr:uid="{00000000-0005-0000-0000-00004FF30000}"/>
    <cellStyle name="Normal 5 3 2 2 2 2 3 4" xfId="47707" xr:uid="{00000000-0005-0000-0000-000050F30000}"/>
    <cellStyle name="Normal 5 3 2 2 2 2 4" xfId="15830" xr:uid="{00000000-0005-0000-0000-000051F30000}"/>
    <cellStyle name="Normal 5 3 2 2 2 2 4 2" xfId="28173" xr:uid="{00000000-0005-0000-0000-000052F30000}"/>
    <cellStyle name="Normal 5 3 2 2 2 2 4 2 2" xfId="60044" xr:uid="{00000000-0005-0000-0000-000053F30000}"/>
    <cellStyle name="Normal 5 3 2 2 2 2 4 3" xfId="47709" xr:uid="{00000000-0005-0000-0000-000054F30000}"/>
    <cellStyle name="Normal 5 3 2 2 2 2 5" xfId="20295" xr:uid="{00000000-0005-0000-0000-000055F30000}"/>
    <cellStyle name="Normal 5 3 2 2 2 2 5 2" xfId="52166" xr:uid="{00000000-0005-0000-0000-000056F30000}"/>
    <cellStyle name="Normal 5 3 2 2 2 2 6" xfId="47702" xr:uid="{00000000-0005-0000-0000-000057F30000}"/>
    <cellStyle name="Normal 5 3 2 2 2 3" xfId="15831" xr:uid="{00000000-0005-0000-0000-000058F30000}"/>
    <cellStyle name="Normal 5 3 2 2 2 3 2" xfId="15832" xr:uid="{00000000-0005-0000-0000-000059F30000}"/>
    <cellStyle name="Normal 5 3 2 2 2 3 2 2" xfId="15833" xr:uid="{00000000-0005-0000-0000-00005AF30000}"/>
    <cellStyle name="Normal 5 3 2 2 2 3 2 2 2" xfId="32114" xr:uid="{00000000-0005-0000-0000-00005BF30000}"/>
    <cellStyle name="Normal 5 3 2 2 2 3 2 2 2 2" xfId="63985" xr:uid="{00000000-0005-0000-0000-00005CF30000}"/>
    <cellStyle name="Normal 5 3 2 2 2 3 2 2 3" xfId="47712" xr:uid="{00000000-0005-0000-0000-00005DF30000}"/>
    <cellStyle name="Normal 5 3 2 2 2 3 2 3" xfId="24236" xr:uid="{00000000-0005-0000-0000-00005EF30000}"/>
    <cellStyle name="Normal 5 3 2 2 2 3 2 3 2" xfId="56107" xr:uid="{00000000-0005-0000-0000-00005FF30000}"/>
    <cellStyle name="Normal 5 3 2 2 2 3 2 4" xfId="47711" xr:uid="{00000000-0005-0000-0000-000060F30000}"/>
    <cellStyle name="Normal 5 3 2 2 2 3 3" xfId="15834" xr:uid="{00000000-0005-0000-0000-000061F30000}"/>
    <cellStyle name="Normal 5 3 2 2 2 3 3 2" xfId="28175" xr:uid="{00000000-0005-0000-0000-000062F30000}"/>
    <cellStyle name="Normal 5 3 2 2 2 3 3 2 2" xfId="60046" xr:uid="{00000000-0005-0000-0000-000063F30000}"/>
    <cellStyle name="Normal 5 3 2 2 2 3 3 3" xfId="47713" xr:uid="{00000000-0005-0000-0000-000064F30000}"/>
    <cellStyle name="Normal 5 3 2 2 2 3 4" xfId="20297" xr:uid="{00000000-0005-0000-0000-000065F30000}"/>
    <cellStyle name="Normal 5 3 2 2 2 3 4 2" xfId="52168" xr:uid="{00000000-0005-0000-0000-000066F30000}"/>
    <cellStyle name="Normal 5 3 2 2 2 3 5" xfId="47710" xr:uid="{00000000-0005-0000-0000-000067F30000}"/>
    <cellStyle name="Normal 5 3 2 2 2 4" xfId="15835" xr:uid="{00000000-0005-0000-0000-000068F30000}"/>
    <cellStyle name="Normal 5 3 2 2 2 4 2" xfId="15836" xr:uid="{00000000-0005-0000-0000-000069F30000}"/>
    <cellStyle name="Normal 5 3 2 2 2 4 2 2" xfId="32111" xr:uid="{00000000-0005-0000-0000-00006AF30000}"/>
    <cellStyle name="Normal 5 3 2 2 2 4 2 2 2" xfId="63982" xr:uid="{00000000-0005-0000-0000-00006BF30000}"/>
    <cellStyle name="Normal 5 3 2 2 2 4 2 3" xfId="47715" xr:uid="{00000000-0005-0000-0000-00006CF30000}"/>
    <cellStyle name="Normal 5 3 2 2 2 4 3" xfId="24233" xr:uid="{00000000-0005-0000-0000-00006DF30000}"/>
    <cellStyle name="Normal 5 3 2 2 2 4 3 2" xfId="56104" xr:uid="{00000000-0005-0000-0000-00006EF30000}"/>
    <cellStyle name="Normal 5 3 2 2 2 4 4" xfId="47714" xr:uid="{00000000-0005-0000-0000-00006FF30000}"/>
    <cellStyle name="Normal 5 3 2 2 2 5" xfId="15837" xr:uid="{00000000-0005-0000-0000-000070F30000}"/>
    <cellStyle name="Normal 5 3 2 2 2 5 2" xfId="28172" xr:uid="{00000000-0005-0000-0000-000071F30000}"/>
    <cellStyle name="Normal 5 3 2 2 2 5 2 2" xfId="60043" xr:uid="{00000000-0005-0000-0000-000072F30000}"/>
    <cellStyle name="Normal 5 3 2 2 2 5 3" xfId="47716" xr:uid="{00000000-0005-0000-0000-000073F30000}"/>
    <cellStyle name="Normal 5 3 2 2 2 6" xfId="20294" xr:uid="{00000000-0005-0000-0000-000074F30000}"/>
    <cellStyle name="Normal 5 3 2 2 2 6 2" xfId="52165" xr:uid="{00000000-0005-0000-0000-000075F30000}"/>
    <cellStyle name="Normal 5 3 2 2 2 7" xfId="47701" xr:uid="{00000000-0005-0000-0000-000076F30000}"/>
    <cellStyle name="Normal 5 3 2 2 3" xfId="15838" xr:uid="{00000000-0005-0000-0000-000077F30000}"/>
    <cellStyle name="Normal 5 3 2 2 3 2" xfId="15839" xr:uid="{00000000-0005-0000-0000-000078F30000}"/>
    <cellStyle name="Normal 5 3 2 2 3 2 2" xfId="15840" xr:uid="{00000000-0005-0000-0000-000079F30000}"/>
    <cellStyle name="Normal 5 3 2 2 3 2 2 2" xfId="15841" xr:uid="{00000000-0005-0000-0000-00007AF30000}"/>
    <cellStyle name="Normal 5 3 2 2 3 2 2 2 2" xfId="32116" xr:uid="{00000000-0005-0000-0000-00007BF30000}"/>
    <cellStyle name="Normal 5 3 2 2 3 2 2 2 2 2" xfId="63987" xr:uid="{00000000-0005-0000-0000-00007CF30000}"/>
    <cellStyle name="Normal 5 3 2 2 3 2 2 2 3" xfId="47720" xr:uid="{00000000-0005-0000-0000-00007DF30000}"/>
    <cellStyle name="Normal 5 3 2 2 3 2 2 3" xfId="24238" xr:uid="{00000000-0005-0000-0000-00007EF30000}"/>
    <cellStyle name="Normal 5 3 2 2 3 2 2 3 2" xfId="56109" xr:uid="{00000000-0005-0000-0000-00007FF30000}"/>
    <cellStyle name="Normal 5 3 2 2 3 2 2 4" xfId="47719" xr:uid="{00000000-0005-0000-0000-000080F30000}"/>
    <cellStyle name="Normal 5 3 2 2 3 2 3" xfId="15842" xr:uid="{00000000-0005-0000-0000-000081F30000}"/>
    <cellStyle name="Normal 5 3 2 2 3 2 3 2" xfId="28177" xr:uid="{00000000-0005-0000-0000-000082F30000}"/>
    <cellStyle name="Normal 5 3 2 2 3 2 3 2 2" xfId="60048" xr:uid="{00000000-0005-0000-0000-000083F30000}"/>
    <cellStyle name="Normal 5 3 2 2 3 2 3 3" xfId="47721" xr:uid="{00000000-0005-0000-0000-000084F30000}"/>
    <cellStyle name="Normal 5 3 2 2 3 2 4" xfId="20299" xr:uid="{00000000-0005-0000-0000-000085F30000}"/>
    <cellStyle name="Normal 5 3 2 2 3 2 4 2" xfId="52170" xr:uid="{00000000-0005-0000-0000-000086F30000}"/>
    <cellStyle name="Normal 5 3 2 2 3 2 5" xfId="47718" xr:uid="{00000000-0005-0000-0000-000087F30000}"/>
    <cellStyle name="Normal 5 3 2 2 3 3" xfId="15843" xr:uid="{00000000-0005-0000-0000-000088F30000}"/>
    <cellStyle name="Normal 5 3 2 2 3 3 2" xfId="15844" xr:uid="{00000000-0005-0000-0000-000089F30000}"/>
    <cellStyle name="Normal 5 3 2 2 3 3 2 2" xfId="32115" xr:uid="{00000000-0005-0000-0000-00008AF30000}"/>
    <cellStyle name="Normal 5 3 2 2 3 3 2 2 2" xfId="63986" xr:uid="{00000000-0005-0000-0000-00008BF30000}"/>
    <cellStyle name="Normal 5 3 2 2 3 3 2 3" xfId="47723" xr:uid="{00000000-0005-0000-0000-00008CF30000}"/>
    <cellStyle name="Normal 5 3 2 2 3 3 3" xfId="24237" xr:uid="{00000000-0005-0000-0000-00008DF30000}"/>
    <cellStyle name="Normal 5 3 2 2 3 3 3 2" xfId="56108" xr:uid="{00000000-0005-0000-0000-00008EF30000}"/>
    <cellStyle name="Normal 5 3 2 2 3 3 4" xfId="47722" xr:uid="{00000000-0005-0000-0000-00008FF30000}"/>
    <cellStyle name="Normal 5 3 2 2 3 4" xfId="15845" xr:uid="{00000000-0005-0000-0000-000090F30000}"/>
    <cellStyle name="Normal 5 3 2 2 3 4 2" xfId="28176" xr:uid="{00000000-0005-0000-0000-000091F30000}"/>
    <cellStyle name="Normal 5 3 2 2 3 4 2 2" xfId="60047" xr:uid="{00000000-0005-0000-0000-000092F30000}"/>
    <cellStyle name="Normal 5 3 2 2 3 4 3" xfId="47724" xr:uid="{00000000-0005-0000-0000-000093F30000}"/>
    <cellStyle name="Normal 5 3 2 2 3 5" xfId="20298" xr:uid="{00000000-0005-0000-0000-000094F30000}"/>
    <cellStyle name="Normal 5 3 2 2 3 5 2" xfId="52169" xr:uid="{00000000-0005-0000-0000-000095F30000}"/>
    <cellStyle name="Normal 5 3 2 2 3 6" xfId="47717" xr:uid="{00000000-0005-0000-0000-000096F30000}"/>
    <cellStyle name="Normal 5 3 2 2 4" xfId="15846" xr:uid="{00000000-0005-0000-0000-000097F30000}"/>
    <cellStyle name="Normal 5 3 2 2 4 2" xfId="15847" xr:uid="{00000000-0005-0000-0000-000098F30000}"/>
    <cellStyle name="Normal 5 3 2 2 4 2 2" xfId="15848" xr:uid="{00000000-0005-0000-0000-000099F30000}"/>
    <cellStyle name="Normal 5 3 2 2 4 2 2 2" xfId="32117" xr:uid="{00000000-0005-0000-0000-00009AF30000}"/>
    <cellStyle name="Normal 5 3 2 2 4 2 2 2 2" xfId="63988" xr:uid="{00000000-0005-0000-0000-00009BF30000}"/>
    <cellStyle name="Normal 5 3 2 2 4 2 2 3" xfId="47727" xr:uid="{00000000-0005-0000-0000-00009CF30000}"/>
    <cellStyle name="Normal 5 3 2 2 4 2 3" xfId="24239" xr:uid="{00000000-0005-0000-0000-00009DF30000}"/>
    <cellStyle name="Normal 5 3 2 2 4 2 3 2" xfId="56110" xr:uid="{00000000-0005-0000-0000-00009EF30000}"/>
    <cellStyle name="Normal 5 3 2 2 4 2 4" xfId="47726" xr:uid="{00000000-0005-0000-0000-00009FF30000}"/>
    <cellStyle name="Normal 5 3 2 2 4 3" xfId="15849" xr:uid="{00000000-0005-0000-0000-0000A0F30000}"/>
    <cellStyle name="Normal 5 3 2 2 4 3 2" xfId="28178" xr:uid="{00000000-0005-0000-0000-0000A1F30000}"/>
    <cellStyle name="Normal 5 3 2 2 4 3 2 2" xfId="60049" xr:uid="{00000000-0005-0000-0000-0000A2F30000}"/>
    <cellStyle name="Normal 5 3 2 2 4 3 3" xfId="47728" xr:uid="{00000000-0005-0000-0000-0000A3F30000}"/>
    <cellStyle name="Normal 5 3 2 2 4 4" xfId="20300" xr:uid="{00000000-0005-0000-0000-0000A4F30000}"/>
    <cellStyle name="Normal 5 3 2 2 4 4 2" xfId="52171" xr:uid="{00000000-0005-0000-0000-0000A5F30000}"/>
    <cellStyle name="Normal 5 3 2 2 4 5" xfId="47725" xr:uid="{00000000-0005-0000-0000-0000A6F30000}"/>
    <cellStyle name="Normal 5 3 2 2 5" xfId="15850" xr:uid="{00000000-0005-0000-0000-0000A7F30000}"/>
    <cellStyle name="Normal 5 3 2 2 5 2" xfId="15851" xr:uid="{00000000-0005-0000-0000-0000A8F30000}"/>
    <cellStyle name="Normal 5 3 2 2 5 2 2" xfId="32110" xr:uid="{00000000-0005-0000-0000-0000A9F30000}"/>
    <cellStyle name="Normal 5 3 2 2 5 2 2 2" xfId="63981" xr:uid="{00000000-0005-0000-0000-0000AAF30000}"/>
    <cellStyle name="Normal 5 3 2 2 5 2 3" xfId="47730" xr:uid="{00000000-0005-0000-0000-0000ABF30000}"/>
    <cellStyle name="Normal 5 3 2 2 5 3" xfId="24232" xr:uid="{00000000-0005-0000-0000-0000ACF30000}"/>
    <cellStyle name="Normal 5 3 2 2 5 3 2" xfId="56103" xr:uid="{00000000-0005-0000-0000-0000ADF30000}"/>
    <cellStyle name="Normal 5 3 2 2 5 4" xfId="47729" xr:uid="{00000000-0005-0000-0000-0000AEF30000}"/>
    <cellStyle name="Normal 5 3 2 2 6" xfId="15852" xr:uid="{00000000-0005-0000-0000-0000AFF30000}"/>
    <cellStyle name="Normal 5 3 2 2 6 2" xfId="28171" xr:uid="{00000000-0005-0000-0000-0000B0F30000}"/>
    <cellStyle name="Normal 5 3 2 2 6 2 2" xfId="60042" xr:uid="{00000000-0005-0000-0000-0000B1F30000}"/>
    <cellStyle name="Normal 5 3 2 2 6 3" xfId="47731" xr:uid="{00000000-0005-0000-0000-0000B2F30000}"/>
    <cellStyle name="Normal 5 3 2 2 7" xfId="20293" xr:uid="{00000000-0005-0000-0000-0000B3F30000}"/>
    <cellStyle name="Normal 5 3 2 2 7 2" xfId="52164" xr:uid="{00000000-0005-0000-0000-0000B4F30000}"/>
    <cellStyle name="Normal 5 3 2 2 8" xfId="47700" xr:uid="{00000000-0005-0000-0000-0000B5F30000}"/>
    <cellStyle name="Normal 5 3 2 3" xfId="15853" xr:uid="{00000000-0005-0000-0000-0000B6F30000}"/>
    <cellStyle name="Normal 5 3 2 3 2" xfId="15854" xr:uid="{00000000-0005-0000-0000-0000B7F30000}"/>
    <cellStyle name="Normal 5 3 2 3 2 2" xfId="15855" xr:uid="{00000000-0005-0000-0000-0000B8F30000}"/>
    <cellStyle name="Normal 5 3 2 3 2 2 2" xfId="15856" xr:uid="{00000000-0005-0000-0000-0000B9F30000}"/>
    <cellStyle name="Normal 5 3 2 3 2 2 2 2" xfId="15857" xr:uid="{00000000-0005-0000-0000-0000BAF30000}"/>
    <cellStyle name="Normal 5 3 2 3 2 2 2 2 2" xfId="32120" xr:uid="{00000000-0005-0000-0000-0000BBF30000}"/>
    <cellStyle name="Normal 5 3 2 3 2 2 2 2 2 2" xfId="63991" xr:uid="{00000000-0005-0000-0000-0000BCF30000}"/>
    <cellStyle name="Normal 5 3 2 3 2 2 2 2 3" xfId="47736" xr:uid="{00000000-0005-0000-0000-0000BDF30000}"/>
    <cellStyle name="Normal 5 3 2 3 2 2 2 3" xfId="24242" xr:uid="{00000000-0005-0000-0000-0000BEF30000}"/>
    <cellStyle name="Normal 5 3 2 3 2 2 2 3 2" xfId="56113" xr:uid="{00000000-0005-0000-0000-0000BFF30000}"/>
    <cellStyle name="Normal 5 3 2 3 2 2 2 4" xfId="47735" xr:uid="{00000000-0005-0000-0000-0000C0F30000}"/>
    <cellStyle name="Normal 5 3 2 3 2 2 3" xfId="15858" xr:uid="{00000000-0005-0000-0000-0000C1F30000}"/>
    <cellStyle name="Normal 5 3 2 3 2 2 3 2" xfId="28181" xr:uid="{00000000-0005-0000-0000-0000C2F30000}"/>
    <cellStyle name="Normal 5 3 2 3 2 2 3 2 2" xfId="60052" xr:uid="{00000000-0005-0000-0000-0000C3F30000}"/>
    <cellStyle name="Normal 5 3 2 3 2 2 3 3" xfId="47737" xr:uid="{00000000-0005-0000-0000-0000C4F30000}"/>
    <cellStyle name="Normal 5 3 2 3 2 2 4" xfId="20303" xr:uid="{00000000-0005-0000-0000-0000C5F30000}"/>
    <cellStyle name="Normal 5 3 2 3 2 2 4 2" xfId="52174" xr:uid="{00000000-0005-0000-0000-0000C6F30000}"/>
    <cellStyle name="Normal 5 3 2 3 2 2 5" xfId="47734" xr:uid="{00000000-0005-0000-0000-0000C7F30000}"/>
    <cellStyle name="Normal 5 3 2 3 2 3" xfId="15859" xr:uid="{00000000-0005-0000-0000-0000C8F30000}"/>
    <cellStyle name="Normal 5 3 2 3 2 3 2" xfId="15860" xr:uid="{00000000-0005-0000-0000-0000C9F30000}"/>
    <cellStyle name="Normal 5 3 2 3 2 3 2 2" xfId="32119" xr:uid="{00000000-0005-0000-0000-0000CAF30000}"/>
    <cellStyle name="Normal 5 3 2 3 2 3 2 2 2" xfId="63990" xr:uid="{00000000-0005-0000-0000-0000CBF30000}"/>
    <cellStyle name="Normal 5 3 2 3 2 3 2 3" xfId="47739" xr:uid="{00000000-0005-0000-0000-0000CCF30000}"/>
    <cellStyle name="Normal 5 3 2 3 2 3 3" xfId="24241" xr:uid="{00000000-0005-0000-0000-0000CDF30000}"/>
    <cellStyle name="Normal 5 3 2 3 2 3 3 2" xfId="56112" xr:uid="{00000000-0005-0000-0000-0000CEF30000}"/>
    <cellStyle name="Normal 5 3 2 3 2 3 4" xfId="47738" xr:uid="{00000000-0005-0000-0000-0000CFF30000}"/>
    <cellStyle name="Normal 5 3 2 3 2 4" xfId="15861" xr:uid="{00000000-0005-0000-0000-0000D0F30000}"/>
    <cellStyle name="Normal 5 3 2 3 2 4 2" xfId="28180" xr:uid="{00000000-0005-0000-0000-0000D1F30000}"/>
    <cellStyle name="Normal 5 3 2 3 2 4 2 2" xfId="60051" xr:uid="{00000000-0005-0000-0000-0000D2F30000}"/>
    <cellStyle name="Normal 5 3 2 3 2 4 3" xfId="47740" xr:uid="{00000000-0005-0000-0000-0000D3F30000}"/>
    <cellStyle name="Normal 5 3 2 3 2 5" xfId="20302" xr:uid="{00000000-0005-0000-0000-0000D4F30000}"/>
    <cellStyle name="Normal 5 3 2 3 2 5 2" xfId="52173" xr:uid="{00000000-0005-0000-0000-0000D5F30000}"/>
    <cellStyle name="Normal 5 3 2 3 2 6" xfId="47733" xr:uid="{00000000-0005-0000-0000-0000D6F30000}"/>
    <cellStyle name="Normal 5 3 2 3 3" xfId="15862" xr:uid="{00000000-0005-0000-0000-0000D7F30000}"/>
    <cellStyle name="Normal 5 3 2 3 3 2" xfId="15863" xr:uid="{00000000-0005-0000-0000-0000D8F30000}"/>
    <cellStyle name="Normal 5 3 2 3 3 2 2" xfId="15864" xr:uid="{00000000-0005-0000-0000-0000D9F30000}"/>
    <cellStyle name="Normal 5 3 2 3 3 2 2 2" xfId="32121" xr:uid="{00000000-0005-0000-0000-0000DAF30000}"/>
    <cellStyle name="Normal 5 3 2 3 3 2 2 2 2" xfId="63992" xr:uid="{00000000-0005-0000-0000-0000DBF30000}"/>
    <cellStyle name="Normal 5 3 2 3 3 2 2 3" xfId="47743" xr:uid="{00000000-0005-0000-0000-0000DCF30000}"/>
    <cellStyle name="Normal 5 3 2 3 3 2 3" xfId="24243" xr:uid="{00000000-0005-0000-0000-0000DDF30000}"/>
    <cellStyle name="Normal 5 3 2 3 3 2 3 2" xfId="56114" xr:uid="{00000000-0005-0000-0000-0000DEF30000}"/>
    <cellStyle name="Normal 5 3 2 3 3 2 4" xfId="47742" xr:uid="{00000000-0005-0000-0000-0000DFF30000}"/>
    <cellStyle name="Normal 5 3 2 3 3 3" xfId="15865" xr:uid="{00000000-0005-0000-0000-0000E0F30000}"/>
    <cellStyle name="Normal 5 3 2 3 3 3 2" xfId="28182" xr:uid="{00000000-0005-0000-0000-0000E1F30000}"/>
    <cellStyle name="Normal 5 3 2 3 3 3 2 2" xfId="60053" xr:uid="{00000000-0005-0000-0000-0000E2F30000}"/>
    <cellStyle name="Normal 5 3 2 3 3 3 3" xfId="47744" xr:uid="{00000000-0005-0000-0000-0000E3F30000}"/>
    <cellStyle name="Normal 5 3 2 3 3 4" xfId="20304" xr:uid="{00000000-0005-0000-0000-0000E4F30000}"/>
    <cellStyle name="Normal 5 3 2 3 3 4 2" xfId="52175" xr:uid="{00000000-0005-0000-0000-0000E5F30000}"/>
    <cellStyle name="Normal 5 3 2 3 3 5" xfId="47741" xr:uid="{00000000-0005-0000-0000-0000E6F30000}"/>
    <cellStyle name="Normal 5 3 2 3 4" xfId="15866" xr:uid="{00000000-0005-0000-0000-0000E7F30000}"/>
    <cellStyle name="Normal 5 3 2 3 4 2" xfId="15867" xr:uid="{00000000-0005-0000-0000-0000E8F30000}"/>
    <cellStyle name="Normal 5 3 2 3 4 2 2" xfId="32118" xr:uid="{00000000-0005-0000-0000-0000E9F30000}"/>
    <cellStyle name="Normal 5 3 2 3 4 2 2 2" xfId="63989" xr:uid="{00000000-0005-0000-0000-0000EAF30000}"/>
    <cellStyle name="Normal 5 3 2 3 4 2 3" xfId="47746" xr:uid="{00000000-0005-0000-0000-0000EBF30000}"/>
    <cellStyle name="Normal 5 3 2 3 4 3" xfId="24240" xr:uid="{00000000-0005-0000-0000-0000ECF30000}"/>
    <cellStyle name="Normal 5 3 2 3 4 3 2" xfId="56111" xr:uid="{00000000-0005-0000-0000-0000EDF30000}"/>
    <cellStyle name="Normal 5 3 2 3 4 4" xfId="47745" xr:uid="{00000000-0005-0000-0000-0000EEF30000}"/>
    <cellStyle name="Normal 5 3 2 3 5" xfId="15868" xr:uid="{00000000-0005-0000-0000-0000EFF30000}"/>
    <cellStyle name="Normal 5 3 2 3 5 2" xfId="28179" xr:uid="{00000000-0005-0000-0000-0000F0F30000}"/>
    <cellStyle name="Normal 5 3 2 3 5 2 2" xfId="60050" xr:uid="{00000000-0005-0000-0000-0000F1F30000}"/>
    <cellStyle name="Normal 5 3 2 3 5 3" xfId="47747" xr:uid="{00000000-0005-0000-0000-0000F2F30000}"/>
    <cellStyle name="Normal 5 3 2 3 6" xfId="20301" xr:uid="{00000000-0005-0000-0000-0000F3F30000}"/>
    <cellStyle name="Normal 5 3 2 3 6 2" xfId="52172" xr:uid="{00000000-0005-0000-0000-0000F4F30000}"/>
    <cellStyle name="Normal 5 3 2 3 7" xfId="47732" xr:uid="{00000000-0005-0000-0000-0000F5F30000}"/>
    <cellStyle name="Normal 5 3 2 4" xfId="15869" xr:uid="{00000000-0005-0000-0000-0000F6F30000}"/>
    <cellStyle name="Normal 5 3 2 4 2" xfId="15870" xr:uid="{00000000-0005-0000-0000-0000F7F30000}"/>
    <cellStyle name="Normal 5 3 2 4 2 2" xfId="15871" xr:uid="{00000000-0005-0000-0000-0000F8F30000}"/>
    <cellStyle name="Normal 5 3 2 4 2 2 2" xfId="15872" xr:uid="{00000000-0005-0000-0000-0000F9F30000}"/>
    <cellStyle name="Normal 5 3 2 4 2 2 2 2" xfId="32123" xr:uid="{00000000-0005-0000-0000-0000FAF30000}"/>
    <cellStyle name="Normal 5 3 2 4 2 2 2 2 2" xfId="63994" xr:uid="{00000000-0005-0000-0000-0000FBF30000}"/>
    <cellStyle name="Normal 5 3 2 4 2 2 2 3" xfId="47751" xr:uid="{00000000-0005-0000-0000-0000FCF30000}"/>
    <cellStyle name="Normal 5 3 2 4 2 2 3" xfId="24245" xr:uid="{00000000-0005-0000-0000-0000FDF30000}"/>
    <cellStyle name="Normal 5 3 2 4 2 2 3 2" xfId="56116" xr:uid="{00000000-0005-0000-0000-0000FEF30000}"/>
    <cellStyle name="Normal 5 3 2 4 2 2 4" xfId="47750" xr:uid="{00000000-0005-0000-0000-0000FFF30000}"/>
    <cellStyle name="Normal 5 3 2 4 2 3" xfId="15873" xr:uid="{00000000-0005-0000-0000-000000F40000}"/>
    <cellStyle name="Normal 5 3 2 4 2 3 2" xfId="28184" xr:uid="{00000000-0005-0000-0000-000001F40000}"/>
    <cellStyle name="Normal 5 3 2 4 2 3 2 2" xfId="60055" xr:uid="{00000000-0005-0000-0000-000002F40000}"/>
    <cellStyle name="Normal 5 3 2 4 2 3 3" xfId="47752" xr:uid="{00000000-0005-0000-0000-000003F40000}"/>
    <cellStyle name="Normal 5 3 2 4 2 4" xfId="20306" xr:uid="{00000000-0005-0000-0000-000004F40000}"/>
    <cellStyle name="Normal 5 3 2 4 2 4 2" xfId="52177" xr:uid="{00000000-0005-0000-0000-000005F40000}"/>
    <cellStyle name="Normal 5 3 2 4 2 5" xfId="47749" xr:uid="{00000000-0005-0000-0000-000006F40000}"/>
    <cellStyle name="Normal 5 3 2 4 3" xfId="15874" xr:uid="{00000000-0005-0000-0000-000007F40000}"/>
    <cellStyle name="Normal 5 3 2 4 3 2" xfId="15875" xr:uid="{00000000-0005-0000-0000-000008F40000}"/>
    <cellStyle name="Normal 5 3 2 4 3 2 2" xfId="32122" xr:uid="{00000000-0005-0000-0000-000009F40000}"/>
    <cellStyle name="Normal 5 3 2 4 3 2 2 2" xfId="63993" xr:uid="{00000000-0005-0000-0000-00000AF40000}"/>
    <cellStyle name="Normal 5 3 2 4 3 2 3" xfId="47754" xr:uid="{00000000-0005-0000-0000-00000BF40000}"/>
    <cellStyle name="Normal 5 3 2 4 3 3" xfId="24244" xr:uid="{00000000-0005-0000-0000-00000CF40000}"/>
    <cellStyle name="Normal 5 3 2 4 3 3 2" xfId="56115" xr:uid="{00000000-0005-0000-0000-00000DF40000}"/>
    <cellStyle name="Normal 5 3 2 4 3 4" xfId="47753" xr:uid="{00000000-0005-0000-0000-00000EF40000}"/>
    <cellStyle name="Normal 5 3 2 4 4" xfId="15876" xr:uid="{00000000-0005-0000-0000-00000FF40000}"/>
    <cellStyle name="Normal 5 3 2 4 4 2" xfId="28183" xr:uid="{00000000-0005-0000-0000-000010F40000}"/>
    <cellStyle name="Normal 5 3 2 4 4 2 2" xfId="60054" xr:uid="{00000000-0005-0000-0000-000011F40000}"/>
    <cellStyle name="Normal 5 3 2 4 4 3" xfId="47755" xr:uid="{00000000-0005-0000-0000-000012F40000}"/>
    <cellStyle name="Normal 5 3 2 4 5" xfId="20305" xr:uid="{00000000-0005-0000-0000-000013F40000}"/>
    <cellStyle name="Normal 5 3 2 4 5 2" xfId="52176" xr:uid="{00000000-0005-0000-0000-000014F40000}"/>
    <cellStyle name="Normal 5 3 2 4 6" xfId="47748" xr:uid="{00000000-0005-0000-0000-000015F40000}"/>
    <cellStyle name="Normal 5 3 2 5" xfId="15877" xr:uid="{00000000-0005-0000-0000-000016F40000}"/>
    <cellStyle name="Normal 5 3 2 5 2" xfId="15878" xr:uid="{00000000-0005-0000-0000-000017F40000}"/>
    <cellStyle name="Normal 5 3 2 5 2 2" xfId="15879" xr:uid="{00000000-0005-0000-0000-000018F40000}"/>
    <cellStyle name="Normal 5 3 2 5 2 2 2" xfId="32124" xr:uid="{00000000-0005-0000-0000-000019F40000}"/>
    <cellStyle name="Normal 5 3 2 5 2 2 2 2" xfId="63995" xr:uid="{00000000-0005-0000-0000-00001AF40000}"/>
    <cellStyle name="Normal 5 3 2 5 2 2 3" xfId="47758" xr:uid="{00000000-0005-0000-0000-00001BF40000}"/>
    <cellStyle name="Normal 5 3 2 5 2 3" xfId="24246" xr:uid="{00000000-0005-0000-0000-00001CF40000}"/>
    <cellStyle name="Normal 5 3 2 5 2 3 2" xfId="56117" xr:uid="{00000000-0005-0000-0000-00001DF40000}"/>
    <cellStyle name="Normal 5 3 2 5 2 4" xfId="47757" xr:uid="{00000000-0005-0000-0000-00001EF40000}"/>
    <cellStyle name="Normal 5 3 2 5 3" xfId="15880" xr:uid="{00000000-0005-0000-0000-00001FF40000}"/>
    <cellStyle name="Normal 5 3 2 5 3 2" xfId="28185" xr:uid="{00000000-0005-0000-0000-000020F40000}"/>
    <cellStyle name="Normal 5 3 2 5 3 2 2" xfId="60056" xr:uid="{00000000-0005-0000-0000-000021F40000}"/>
    <cellStyle name="Normal 5 3 2 5 3 3" xfId="47759" xr:uid="{00000000-0005-0000-0000-000022F40000}"/>
    <cellStyle name="Normal 5 3 2 5 4" xfId="20307" xr:uid="{00000000-0005-0000-0000-000023F40000}"/>
    <cellStyle name="Normal 5 3 2 5 4 2" xfId="52178" xr:uid="{00000000-0005-0000-0000-000024F40000}"/>
    <cellStyle name="Normal 5 3 2 5 5" xfId="47756" xr:uid="{00000000-0005-0000-0000-000025F40000}"/>
    <cellStyle name="Normal 5 3 2 6" xfId="15881" xr:uid="{00000000-0005-0000-0000-000026F40000}"/>
    <cellStyle name="Normal 5 3 2 6 2" xfId="15882" xr:uid="{00000000-0005-0000-0000-000027F40000}"/>
    <cellStyle name="Normal 5 3 2 6 2 2" xfId="28479" xr:uid="{00000000-0005-0000-0000-000028F40000}"/>
    <cellStyle name="Normal 5 3 2 6 2 2 2" xfId="60350" xr:uid="{00000000-0005-0000-0000-000029F40000}"/>
    <cellStyle name="Normal 5 3 2 6 2 3" xfId="47761" xr:uid="{00000000-0005-0000-0000-00002AF40000}"/>
    <cellStyle name="Normal 5 3 2 6 3" xfId="20601" xr:uid="{00000000-0005-0000-0000-00002BF40000}"/>
    <cellStyle name="Normal 5 3 2 6 3 2" xfId="52472" xr:uid="{00000000-0005-0000-0000-00002CF40000}"/>
    <cellStyle name="Normal 5 3 2 6 4" xfId="47760" xr:uid="{00000000-0005-0000-0000-00002DF40000}"/>
    <cellStyle name="Normal 5 3 2 7" xfId="15883" xr:uid="{00000000-0005-0000-0000-00002EF40000}"/>
    <cellStyle name="Normal 5 3 2 7 2" xfId="24540" xr:uid="{00000000-0005-0000-0000-00002FF40000}"/>
    <cellStyle name="Normal 5 3 2 7 2 2" xfId="56411" xr:uid="{00000000-0005-0000-0000-000030F40000}"/>
    <cellStyle name="Normal 5 3 2 7 3" xfId="47762" xr:uid="{00000000-0005-0000-0000-000031F40000}"/>
    <cellStyle name="Normal 5 3 2 8" xfId="16662" xr:uid="{00000000-0005-0000-0000-000032F40000}"/>
    <cellStyle name="Normal 5 3 2 8 2" xfId="48533" xr:uid="{00000000-0005-0000-0000-000033F40000}"/>
    <cellStyle name="Normal 5 3 2 9" xfId="15820" xr:uid="{00000000-0005-0000-0000-000034F40000}"/>
    <cellStyle name="Normal 5 3 2 9 2" xfId="47699" xr:uid="{00000000-0005-0000-0000-000035F40000}"/>
    <cellStyle name="Normal 5 3 3" xfId="15884" xr:uid="{00000000-0005-0000-0000-000036F40000}"/>
    <cellStyle name="Normal 5 3 3 2" xfId="15885" xr:uid="{00000000-0005-0000-0000-000037F40000}"/>
    <cellStyle name="Normal 5 3 3 2 2" xfId="15886" xr:uid="{00000000-0005-0000-0000-000038F40000}"/>
    <cellStyle name="Normal 5 3 3 2 2 2" xfId="15887" xr:uid="{00000000-0005-0000-0000-000039F40000}"/>
    <cellStyle name="Normal 5 3 3 2 2 2 2" xfId="15888" xr:uid="{00000000-0005-0000-0000-00003AF40000}"/>
    <cellStyle name="Normal 5 3 3 2 2 2 2 2" xfId="15889" xr:uid="{00000000-0005-0000-0000-00003BF40000}"/>
    <cellStyle name="Normal 5 3 3 2 2 2 2 2 2" xfId="32128" xr:uid="{00000000-0005-0000-0000-00003CF40000}"/>
    <cellStyle name="Normal 5 3 3 2 2 2 2 2 2 2" xfId="63999" xr:uid="{00000000-0005-0000-0000-00003DF40000}"/>
    <cellStyle name="Normal 5 3 3 2 2 2 2 2 3" xfId="47768" xr:uid="{00000000-0005-0000-0000-00003EF40000}"/>
    <cellStyle name="Normal 5 3 3 2 2 2 2 3" xfId="24250" xr:uid="{00000000-0005-0000-0000-00003FF40000}"/>
    <cellStyle name="Normal 5 3 3 2 2 2 2 3 2" xfId="56121" xr:uid="{00000000-0005-0000-0000-000040F40000}"/>
    <cellStyle name="Normal 5 3 3 2 2 2 2 4" xfId="47767" xr:uid="{00000000-0005-0000-0000-000041F40000}"/>
    <cellStyle name="Normal 5 3 3 2 2 2 3" xfId="15890" xr:uid="{00000000-0005-0000-0000-000042F40000}"/>
    <cellStyle name="Normal 5 3 3 2 2 2 3 2" xfId="28189" xr:uid="{00000000-0005-0000-0000-000043F40000}"/>
    <cellStyle name="Normal 5 3 3 2 2 2 3 2 2" xfId="60060" xr:uid="{00000000-0005-0000-0000-000044F40000}"/>
    <cellStyle name="Normal 5 3 3 2 2 2 3 3" xfId="47769" xr:uid="{00000000-0005-0000-0000-000045F40000}"/>
    <cellStyle name="Normal 5 3 3 2 2 2 4" xfId="20311" xr:uid="{00000000-0005-0000-0000-000046F40000}"/>
    <cellStyle name="Normal 5 3 3 2 2 2 4 2" xfId="52182" xr:uid="{00000000-0005-0000-0000-000047F40000}"/>
    <cellStyle name="Normal 5 3 3 2 2 2 5" xfId="47766" xr:uid="{00000000-0005-0000-0000-000048F40000}"/>
    <cellStyle name="Normal 5 3 3 2 2 3" xfId="15891" xr:uid="{00000000-0005-0000-0000-000049F40000}"/>
    <cellStyle name="Normal 5 3 3 2 2 3 2" xfId="15892" xr:uid="{00000000-0005-0000-0000-00004AF40000}"/>
    <cellStyle name="Normal 5 3 3 2 2 3 2 2" xfId="32127" xr:uid="{00000000-0005-0000-0000-00004BF40000}"/>
    <cellStyle name="Normal 5 3 3 2 2 3 2 2 2" xfId="63998" xr:uid="{00000000-0005-0000-0000-00004CF40000}"/>
    <cellStyle name="Normal 5 3 3 2 2 3 2 3" xfId="47771" xr:uid="{00000000-0005-0000-0000-00004DF40000}"/>
    <cellStyle name="Normal 5 3 3 2 2 3 3" xfId="24249" xr:uid="{00000000-0005-0000-0000-00004EF40000}"/>
    <cellStyle name="Normal 5 3 3 2 2 3 3 2" xfId="56120" xr:uid="{00000000-0005-0000-0000-00004FF40000}"/>
    <cellStyle name="Normal 5 3 3 2 2 3 4" xfId="47770" xr:uid="{00000000-0005-0000-0000-000050F40000}"/>
    <cellStyle name="Normal 5 3 3 2 2 4" xfId="15893" xr:uid="{00000000-0005-0000-0000-000051F40000}"/>
    <cellStyle name="Normal 5 3 3 2 2 4 2" xfId="28188" xr:uid="{00000000-0005-0000-0000-000052F40000}"/>
    <cellStyle name="Normal 5 3 3 2 2 4 2 2" xfId="60059" xr:uid="{00000000-0005-0000-0000-000053F40000}"/>
    <cellStyle name="Normal 5 3 3 2 2 4 3" xfId="47772" xr:uid="{00000000-0005-0000-0000-000054F40000}"/>
    <cellStyle name="Normal 5 3 3 2 2 5" xfId="20310" xr:uid="{00000000-0005-0000-0000-000055F40000}"/>
    <cellStyle name="Normal 5 3 3 2 2 5 2" xfId="52181" xr:uid="{00000000-0005-0000-0000-000056F40000}"/>
    <cellStyle name="Normal 5 3 3 2 2 6" xfId="47765" xr:uid="{00000000-0005-0000-0000-000057F40000}"/>
    <cellStyle name="Normal 5 3 3 2 3" xfId="15894" xr:uid="{00000000-0005-0000-0000-000058F40000}"/>
    <cellStyle name="Normal 5 3 3 2 3 2" xfId="15895" xr:uid="{00000000-0005-0000-0000-000059F40000}"/>
    <cellStyle name="Normal 5 3 3 2 3 2 2" xfId="15896" xr:uid="{00000000-0005-0000-0000-00005AF40000}"/>
    <cellStyle name="Normal 5 3 3 2 3 2 2 2" xfId="32129" xr:uid="{00000000-0005-0000-0000-00005BF40000}"/>
    <cellStyle name="Normal 5 3 3 2 3 2 2 2 2" xfId="64000" xr:uid="{00000000-0005-0000-0000-00005CF40000}"/>
    <cellStyle name="Normal 5 3 3 2 3 2 2 3" xfId="47775" xr:uid="{00000000-0005-0000-0000-00005DF40000}"/>
    <cellStyle name="Normal 5 3 3 2 3 2 3" xfId="24251" xr:uid="{00000000-0005-0000-0000-00005EF40000}"/>
    <cellStyle name="Normal 5 3 3 2 3 2 3 2" xfId="56122" xr:uid="{00000000-0005-0000-0000-00005FF40000}"/>
    <cellStyle name="Normal 5 3 3 2 3 2 4" xfId="47774" xr:uid="{00000000-0005-0000-0000-000060F40000}"/>
    <cellStyle name="Normal 5 3 3 2 3 3" xfId="15897" xr:uid="{00000000-0005-0000-0000-000061F40000}"/>
    <cellStyle name="Normal 5 3 3 2 3 3 2" xfId="28190" xr:uid="{00000000-0005-0000-0000-000062F40000}"/>
    <cellStyle name="Normal 5 3 3 2 3 3 2 2" xfId="60061" xr:uid="{00000000-0005-0000-0000-000063F40000}"/>
    <cellStyle name="Normal 5 3 3 2 3 3 3" xfId="47776" xr:uid="{00000000-0005-0000-0000-000064F40000}"/>
    <cellStyle name="Normal 5 3 3 2 3 4" xfId="20312" xr:uid="{00000000-0005-0000-0000-000065F40000}"/>
    <cellStyle name="Normal 5 3 3 2 3 4 2" xfId="52183" xr:uid="{00000000-0005-0000-0000-000066F40000}"/>
    <cellStyle name="Normal 5 3 3 2 3 5" xfId="47773" xr:uid="{00000000-0005-0000-0000-000067F40000}"/>
    <cellStyle name="Normal 5 3 3 2 4" xfId="15898" xr:uid="{00000000-0005-0000-0000-000068F40000}"/>
    <cellStyle name="Normal 5 3 3 2 4 2" xfId="15899" xr:uid="{00000000-0005-0000-0000-000069F40000}"/>
    <cellStyle name="Normal 5 3 3 2 4 2 2" xfId="32126" xr:uid="{00000000-0005-0000-0000-00006AF40000}"/>
    <cellStyle name="Normal 5 3 3 2 4 2 2 2" xfId="63997" xr:uid="{00000000-0005-0000-0000-00006BF40000}"/>
    <cellStyle name="Normal 5 3 3 2 4 2 3" xfId="47778" xr:uid="{00000000-0005-0000-0000-00006CF40000}"/>
    <cellStyle name="Normal 5 3 3 2 4 3" xfId="24248" xr:uid="{00000000-0005-0000-0000-00006DF40000}"/>
    <cellStyle name="Normal 5 3 3 2 4 3 2" xfId="56119" xr:uid="{00000000-0005-0000-0000-00006EF40000}"/>
    <cellStyle name="Normal 5 3 3 2 4 4" xfId="47777" xr:uid="{00000000-0005-0000-0000-00006FF40000}"/>
    <cellStyle name="Normal 5 3 3 2 5" xfId="15900" xr:uid="{00000000-0005-0000-0000-000070F40000}"/>
    <cellStyle name="Normal 5 3 3 2 5 2" xfId="28187" xr:uid="{00000000-0005-0000-0000-000071F40000}"/>
    <cellStyle name="Normal 5 3 3 2 5 2 2" xfId="60058" xr:uid="{00000000-0005-0000-0000-000072F40000}"/>
    <cellStyle name="Normal 5 3 3 2 5 3" xfId="47779" xr:uid="{00000000-0005-0000-0000-000073F40000}"/>
    <cellStyle name="Normal 5 3 3 2 6" xfId="20309" xr:uid="{00000000-0005-0000-0000-000074F40000}"/>
    <cellStyle name="Normal 5 3 3 2 6 2" xfId="52180" xr:uid="{00000000-0005-0000-0000-000075F40000}"/>
    <cellStyle name="Normal 5 3 3 2 7" xfId="47764" xr:uid="{00000000-0005-0000-0000-000076F40000}"/>
    <cellStyle name="Normal 5 3 3 3" xfId="15901" xr:uid="{00000000-0005-0000-0000-000077F40000}"/>
    <cellStyle name="Normal 5 3 3 3 2" xfId="15902" xr:uid="{00000000-0005-0000-0000-000078F40000}"/>
    <cellStyle name="Normal 5 3 3 3 2 2" xfId="15903" xr:uid="{00000000-0005-0000-0000-000079F40000}"/>
    <cellStyle name="Normal 5 3 3 3 2 2 2" xfId="15904" xr:uid="{00000000-0005-0000-0000-00007AF40000}"/>
    <cellStyle name="Normal 5 3 3 3 2 2 2 2" xfId="32131" xr:uid="{00000000-0005-0000-0000-00007BF40000}"/>
    <cellStyle name="Normal 5 3 3 3 2 2 2 2 2" xfId="64002" xr:uid="{00000000-0005-0000-0000-00007CF40000}"/>
    <cellStyle name="Normal 5 3 3 3 2 2 2 3" xfId="47783" xr:uid="{00000000-0005-0000-0000-00007DF40000}"/>
    <cellStyle name="Normal 5 3 3 3 2 2 3" xfId="24253" xr:uid="{00000000-0005-0000-0000-00007EF40000}"/>
    <cellStyle name="Normal 5 3 3 3 2 2 3 2" xfId="56124" xr:uid="{00000000-0005-0000-0000-00007FF40000}"/>
    <cellStyle name="Normal 5 3 3 3 2 2 4" xfId="47782" xr:uid="{00000000-0005-0000-0000-000080F40000}"/>
    <cellStyle name="Normal 5 3 3 3 2 3" xfId="15905" xr:uid="{00000000-0005-0000-0000-000081F40000}"/>
    <cellStyle name="Normal 5 3 3 3 2 3 2" xfId="28192" xr:uid="{00000000-0005-0000-0000-000082F40000}"/>
    <cellStyle name="Normal 5 3 3 3 2 3 2 2" xfId="60063" xr:uid="{00000000-0005-0000-0000-000083F40000}"/>
    <cellStyle name="Normal 5 3 3 3 2 3 3" xfId="47784" xr:uid="{00000000-0005-0000-0000-000084F40000}"/>
    <cellStyle name="Normal 5 3 3 3 2 4" xfId="20314" xr:uid="{00000000-0005-0000-0000-000085F40000}"/>
    <cellStyle name="Normal 5 3 3 3 2 4 2" xfId="52185" xr:uid="{00000000-0005-0000-0000-000086F40000}"/>
    <cellStyle name="Normal 5 3 3 3 2 5" xfId="47781" xr:uid="{00000000-0005-0000-0000-000087F40000}"/>
    <cellStyle name="Normal 5 3 3 3 3" xfId="15906" xr:uid="{00000000-0005-0000-0000-000088F40000}"/>
    <cellStyle name="Normal 5 3 3 3 3 2" xfId="15907" xr:uid="{00000000-0005-0000-0000-000089F40000}"/>
    <cellStyle name="Normal 5 3 3 3 3 2 2" xfId="32130" xr:uid="{00000000-0005-0000-0000-00008AF40000}"/>
    <cellStyle name="Normal 5 3 3 3 3 2 2 2" xfId="64001" xr:uid="{00000000-0005-0000-0000-00008BF40000}"/>
    <cellStyle name="Normal 5 3 3 3 3 2 3" xfId="47786" xr:uid="{00000000-0005-0000-0000-00008CF40000}"/>
    <cellStyle name="Normal 5 3 3 3 3 3" xfId="24252" xr:uid="{00000000-0005-0000-0000-00008DF40000}"/>
    <cellStyle name="Normal 5 3 3 3 3 3 2" xfId="56123" xr:uid="{00000000-0005-0000-0000-00008EF40000}"/>
    <cellStyle name="Normal 5 3 3 3 3 4" xfId="47785" xr:uid="{00000000-0005-0000-0000-00008FF40000}"/>
    <cellStyle name="Normal 5 3 3 3 4" xfId="15908" xr:uid="{00000000-0005-0000-0000-000090F40000}"/>
    <cellStyle name="Normal 5 3 3 3 4 2" xfId="28191" xr:uid="{00000000-0005-0000-0000-000091F40000}"/>
    <cellStyle name="Normal 5 3 3 3 4 2 2" xfId="60062" xr:uid="{00000000-0005-0000-0000-000092F40000}"/>
    <cellStyle name="Normal 5 3 3 3 4 3" xfId="47787" xr:uid="{00000000-0005-0000-0000-000093F40000}"/>
    <cellStyle name="Normal 5 3 3 3 5" xfId="20313" xr:uid="{00000000-0005-0000-0000-000094F40000}"/>
    <cellStyle name="Normal 5 3 3 3 5 2" xfId="52184" xr:uid="{00000000-0005-0000-0000-000095F40000}"/>
    <cellStyle name="Normal 5 3 3 3 6" xfId="47780" xr:uid="{00000000-0005-0000-0000-000096F40000}"/>
    <cellStyle name="Normal 5 3 3 4" xfId="15909" xr:uid="{00000000-0005-0000-0000-000097F40000}"/>
    <cellStyle name="Normal 5 3 3 4 2" xfId="15910" xr:uid="{00000000-0005-0000-0000-000098F40000}"/>
    <cellStyle name="Normal 5 3 3 4 2 2" xfId="15911" xr:uid="{00000000-0005-0000-0000-000099F40000}"/>
    <cellStyle name="Normal 5 3 3 4 2 2 2" xfId="32132" xr:uid="{00000000-0005-0000-0000-00009AF40000}"/>
    <cellStyle name="Normal 5 3 3 4 2 2 2 2" xfId="64003" xr:uid="{00000000-0005-0000-0000-00009BF40000}"/>
    <cellStyle name="Normal 5 3 3 4 2 2 3" xfId="47790" xr:uid="{00000000-0005-0000-0000-00009CF40000}"/>
    <cellStyle name="Normal 5 3 3 4 2 3" xfId="24254" xr:uid="{00000000-0005-0000-0000-00009DF40000}"/>
    <cellStyle name="Normal 5 3 3 4 2 3 2" xfId="56125" xr:uid="{00000000-0005-0000-0000-00009EF40000}"/>
    <cellStyle name="Normal 5 3 3 4 2 4" xfId="47789" xr:uid="{00000000-0005-0000-0000-00009FF40000}"/>
    <cellStyle name="Normal 5 3 3 4 3" xfId="15912" xr:uid="{00000000-0005-0000-0000-0000A0F40000}"/>
    <cellStyle name="Normal 5 3 3 4 3 2" xfId="28193" xr:uid="{00000000-0005-0000-0000-0000A1F40000}"/>
    <cellStyle name="Normal 5 3 3 4 3 2 2" xfId="60064" xr:uid="{00000000-0005-0000-0000-0000A2F40000}"/>
    <cellStyle name="Normal 5 3 3 4 3 3" xfId="47791" xr:uid="{00000000-0005-0000-0000-0000A3F40000}"/>
    <cellStyle name="Normal 5 3 3 4 4" xfId="20315" xr:uid="{00000000-0005-0000-0000-0000A4F40000}"/>
    <cellStyle name="Normal 5 3 3 4 4 2" xfId="52186" xr:uid="{00000000-0005-0000-0000-0000A5F40000}"/>
    <cellStyle name="Normal 5 3 3 4 5" xfId="47788" xr:uid="{00000000-0005-0000-0000-0000A6F40000}"/>
    <cellStyle name="Normal 5 3 3 5" xfId="15913" xr:uid="{00000000-0005-0000-0000-0000A7F40000}"/>
    <cellStyle name="Normal 5 3 3 5 2" xfId="15914" xr:uid="{00000000-0005-0000-0000-0000A8F40000}"/>
    <cellStyle name="Normal 5 3 3 5 2 2" xfId="32125" xr:uid="{00000000-0005-0000-0000-0000A9F40000}"/>
    <cellStyle name="Normal 5 3 3 5 2 2 2" xfId="63996" xr:uid="{00000000-0005-0000-0000-0000AAF40000}"/>
    <cellStyle name="Normal 5 3 3 5 2 3" xfId="47793" xr:uid="{00000000-0005-0000-0000-0000ABF40000}"/>
    <cellStyle name="Normal 5 3 3 5 3" xfId="24247" xr:uid="{00000000-0005-0000-0000-0000ACF40000}"/>
    <cellStyle name="Normal 5 3 3 5 3 2" xfId="56118" xr:uid="{00000000-0005-0000-0000-0000ADF40000}"/>
    <cellStyle name="Normal 5 3 3 5 4" xfId="47792" xr:uid="{00000000-0005-0000-0000-0000AEF40000}"/>
    <cellStyle name="Normal 5 3 3 6" xfId="15915" xr:uid="{00000000-0005-0000-0000-0000AFF40000}"/>
    <cellStyle name="Normal 5 3 3 6 2" xfId="28186" xr:uid="{00000000-0005-0000-0000-0000B0F40000}"/>
    <cellStyle name="Normal 5 3 3 6 2 2" xfId="60057" xr:uid="{00000000-0005-0000-0000-0000B1F40000}"/>
    <cellStyle name="Normal 5 3 3 6 3" xfId="47794" xr:uid="{00000000-0005-0000-0000-0000B2F40000}"/>
    <cellStyle name="Normal 5 3 3 7" xfId="20308" xr:uid="{00000000-0005-0000-0000-0000B3F40000}"/>
    <cellStyle name="Normal 5 3 3 7 2" xfId="52179" xr:uid="{00000000-0005-0000-0000-0000B4F40000}"/>
    <cellStyle name="Normal 5 3 3 8" xfId="47763" xr:uid="{00000000-0005-0000-0000-0000B5F40000}"/>
    <cellStyle name="Normal 5 3 4" xfId="15916" xr:uid="{00000000-0005-0000-0000-0000B6F40000}"/>
    <cellStyle name="Normal 5 3 4 2" xfId="15917" xr:uid="{00000000-0005-0000-0000-0000B7F40000}"/>
    <cellStyle name="Normal 5 3 4 2 2" xfId="15918" xr:uid="{00000000-0005-0000-0000-0000B8F40000}"/>
    <cellStyle name="Normal 5 3 4 2 2 2" xfId="15919" xr:uid="{00000000-0005-0000-0000-0000B9F40000}"/>
    <cellStyle name="Normal 5 3 4 2 2 2 2" xfId="15920" xr:uid="{00000000-0005-0000-0000-0000BAF40000}"/>
    <cellStyle name="Normal 5 3 4 2 2 2 2 2" xfId="32135" xr:uid="{00000000-0005-0000-0000-0000BBF40000}"/>
    <cellStyle name="Normal 5 3 4 2 2 2 2 2 2" xfId="64006" xr:uid="{00000000-0005-0000-0000-0000BCF40000}"/>
    <cellStyle name="Normal 5 3 4 2 2 2 2 3" xfId="47799" xr:uid="{00000000-0005-0000-0000-0000BDF40000}"/>
    <cellStyle name="Normal 5 3 4 2 2 2 3" xfId="24257" xr:uid="{00000000-0005-0000-0000-0000BEF40000}"/>
    <cellStyle name="Normal 5 3 4 2 2 2 3 2" xfId="56128" xr:uid="{00000000-0005-0000-0000-0000BFF40000}"/>
    <cellStyle name="Normal 5 3 4 2 2 2 4" xfId="47798" xr:uid="{00000000-0005-0000-0000-0000C0F40000}"/>
    <cellStyle name="Normal 5 3 4 2 2 3" xfId="15921" xr:uid="{00000000-0005-0000-0000-0000C1F40000}"/>
    <cellStyle name="Normal 5 3 4 2 2 3 2" xfId="28196" xr:uid="{00000000-0005-0000-0000-0000C2F40000}"/>
    <cellStyle name="Normal 5 3 4 2 2 3 2 2" xfId="60067" xr:uid="{00000000-0005-0000-0000-0000C3F40000}"/>
    <cellStyle name="Normal 5 3 4 2 2 3 3" xfId="47800" xr:uid="{00000000-0005-0000-0000-0000C4F40000}"/>
    <cellStyle name="Normal 5 3 4 2 2 4" xfId="20318" xr:uid="{00000000-0005-0000-0000-0000C5F40000}"/>
    <cellStyle name="Normal 5 3 4 2 2 4 2" xfId="52189" xr:uid="{00000000-0005-0000-0000-0000C6F40000}"/>
    <cellStyle name="Normal 5 3 4 2 2 5" xfId="47797" xr:uid="{00000000-0005-0000-0000-0000C7F40000}"/>
    <cellStyle name="Normal 5 3 4 2 3" xfId="15922" xr:uid="{00000000-0005-0000-0000-0000C8F40000}"/>
    <cellStyle name="Normal 5 3 4 2 3 2" xfId="15923" xr:uid="{00000000-0005-0000-0000-0000C9F40000}"/>
    <cellStyle name="Normal 5 3 4 2 3 2 2" xfId="32134" xr:uid="{00000000-0005-0000-0000-0000CAF40000}"/>
    <cellStyle name="Normal 5 3 4 2 3 2 2 2" xfId="64005" xr:uid="{00000000-0005-0000-0000-0000CBF40000}"/>
    <cellStyle name="Normal 5 3 4 2 3 2 3" xfId="47802" xr:uid="{00000000-0005-0000-0000-0000CCF40000}"/>
    <cellStyle name="Normal 5 3 4 2 3 3" xfId="24256" xr:uid="{00000000-0005-0000-0000-0000CDF40000}"/>
    <cellStyle name="Normal 5 3 4 2 3 3 2" xfId="56127" xr:uid="{00000000-0005-0000-0000-0000CEF40000}"/>
    <cellStyle name="Normal 5 3 4 2 3 4" xfId="47801" xr:uid="{00000000-0005-0000-0000-0000CFF40000}"/>
    <cellStyle name="Normal 5 3 4 2 4" xfId="15924" xr:uid="{00000000-0005-0000-0000-0000D0F40000}"/>
    <cellStyle name="Normal 5 3 4 2 4 2" xfId="28195" xr:uid="{00000000-0005-0000-0000-0000D1F40000}"/>
    <cellStyle name="Normal 5 3 4 2 4 2 2" xfId="60066" xr:uid="{00000000-0005-0000-0000-0000D2F40000}"/>
    <cellStyle name="Normal 5 3 4 2 4 3" xfId="47803" xr:uid="{00000000-0005-0000-0000-0000D3F40000}"/>
    <cellStyle name="Normal 5 3 4 2 5" xfId="20317" xr:uid="{00000000-0005-0000-0000-0000D4F40000}"/>
    <cellStyle name="Normal 5 3 4 2 5 2" xfId="52188" xr:uid="{00000000-0005-0000-0000-0000D5F40000}"/>
    <cellStyle name="Normal 5 3 4 2 6" xfId="47796" xr:uid="{00000000-0005-0000-0000-0000D6F40000}"/>
    <cellStyle name="Normal 5 3 4 3" xfId="15925" xr:uid="{00000000-0005-0000-0000-0000D7F40000}"/>
    <cellStyle name="Normal 5 3 4 3 2" xfId="15926" xr:uid="{00000000-0005-0000-0000-0000D8F40000}"/>
    <cellStyle name="Normal 5 3 4 3 2 2" xfId="15927" xr:uid="{00000000-0005-0000-0000-0000D9F40000}"/>
    <cellStyle name="Normal 5 3 4 3 2 2 2" xfId="32136" xr:uid="{00000000-0005-0000-0000-0000DAF40000}"/>
    <cellStyle name="Normal 5 3 4 3 2 2 2 2" xfId="64007" xr:uid="{00000000-0005-0000-0000-0000DBF40000}"/>
    <cellStyle name="Normal 5 3 4 3 2 2 3" xfId="47806" xr:uid="{00000000-0005-0000-0000-0000DCF40000}"/>
    <cellStyle name="Normal 5 3 4 3 2 3" xfId="24258" xr:uid="{00000000-0005-0000-0000-0000DDF40000}"/>
    <cellStyle name="Normal 5 3 4 3 2 3 2" xfId="56129" xr:uid="{00000000-0005-0000-0000-0000DEF40000}"/>
    <cellStyle name="Normal 5 3 4 3 2 4" xfId="47805" xr:uid="{00000000-0005-0000-0000-0000DFF40000}"/>
    <cellStyle name="Normal 5 3 4 3 3" xfId="15928" xr:uid="{00000000-0005-0000-0000-0000E0F40000}"/>
    <cellStyle name="Normal 5 3 4 3 3 2" xfId="28197" xr:uid="{00000000-0005-0000-0000-0000E1F40000}"/>
    <cellStyle name="Normal 5 3 4 3 3 2 2" xfId="60068" xr:uid="{00000000-0005-0000-0000-0000E2F40000}"/>
    <cellStyle name="Normal 5 3 4 3 3 3" xfId="47807" xr:uid="{00000000-0005-0000-0000-0000E3F40000}"/>
    <cellStyle name="Normal 5 3 4 3 4" xfId="20319" xr:uid="{00000000-0005-0000-0000-0000E4F40000}"/>
    <cellStyle name="Normal 5 3 4 3 4 2" xfId="52190" xr:uid="{00000000-0005-0000-0000-0000E5F40000}"/>
    <cellStyle name="Normal 5 3 4 3 5" xfId="47804" xr:uid="{00000000-0005-0000-0000-0000E6F40000}"/>
    <cellStyle name="Normal 5 3 4 4" xfId="15929" xr:uid="{00000000-0005-0000-0000-0000E7F40000}"/>
    <cellStyle name="Normal 5 3 4 4 2" xfId="15930" xr:uid="{00000000-0005-0000-0000-0000E8F40000}"/>
    <cellStyle name="Normal 5 3 4 4 2 2" xfId="32133" xr:uid="{00000000-0005-0000-0000-0000E9F40000}"/>
    <cellStyle name="Normal 5 3 4 4 2 2 2" xfId="64004" xr:uid="{00000000-0005-0000-0000-0000EAF40000}"/>
    <cellStyle name="Normal 5 3 4 4 2 3" xfId="47809" xr:uid="{00000000-0005-0000-0000-0000EBF40000}"/>
    <cellStyle name="Normal 5 3 4 4 3" xfId="24255" xr:uid="{00000000-0005-0000-0000-0000ECF40000}"/>
    <cellStyle name="Normal 5 3 4 4 3 2" xfId="56126" xr:uid="{00000000-0005-0000-0000-0000EDF40000}"/>
    <cellStyle name="Normal 5 3 4 4 4" xfId="47808" xr:uid="{00000000-0005-0000-0000-0000EEF40000}"/>
    <cellStyle name="Normal 5 3 4 5" xfId="15931" xr:uid="{00000000-0005-0000-0000-0000EFF40000}"/>
    <cellStyle name="Normal 5 3 4 5 2" xfId="28194" xr:uid="{00000000-0005-0000-0000-0000F0F40000}"/>
    <cellStyle name="Normal 5 3 4 5 2 2" xfId="60065" xr:uid="{00000000-0005-0000-0000-0000F1F40000}"/>
    <cellStyle name="Normal 5 3 4 5 3" xfId="47810" xr:uid="{00000000-0005-0000-0000-0000F2F40000}"/>
    <cellStyle name="Normal 5 3 4 6" xfId="20316" xr:uid="{00000000-0005-0000-0000-0000F3F40000}"/>
    <cellStyle name="Normal 5 3 4 6 2" xfId="52187" xr:uid="{00000000-0005-0000-0000-0000F4F40000}"/>
    <cellStyle name="Normal 5 3 4 7" xfId="47795" xr:uid="{00000000-0005-0000-0000-0000F5F40000}"/>
    <cellStyle name="Normal 5 3 5" xfId="15932" xr:uid="{00000000-0005-0000-0000-0000F6F40000}"/>
    <cellStyle name="Normal 5 3 5 2" xfId="15933" xr:uid="{00000000-0005-0000-0000-0000F7F40000}"/>
    <cellStyle name="Normal 5 3 5 2 2" xfId="15934" xr:uid="{00000000-0005-0000-0000-0000F8F40000}"/>
    <cellStyle name="Normal 5 3 5 2 2 2" xfId="15935" xr:uid="{00000000-0005-0000-0000-0000F9F40000}"/>
    <cellStyle name="Normal 5 3 5 2 2 2 2" xfId="32138" xr:uid="{00000000-0005-0000-0000-0000FAF40000}"/>
    <cellStyle name="Normal 5 3 5 2 2 2 2 2" xfId="64009" xr:uid="{00000000-0005-0000-0000-0000FBF40000}"/>
    <cellStyle name="Normal 5 3 5 2 2 2 3" xfId="47814" xr:uid="{00000000-0005-0000-0000-0000FCF40000}"/>
    <cellStyle name="Normal 5 3 5 2 2 3" xfId="24260" xr:uid="{00000000-0005-0000-0000-0000FDF40000}"/>
    <cellStyle name="Normal 5 3 5 2 2 3 2" xfId="56131" xr:uid="{00000000-0005-0000-0000-0000FEF40000}"/>
    <cellStyle name="Normal 5 3 5 2 2 4" xfId="47813" xr:uid="{00000000-0005-0000-0000-0000FFF40000}"/>
    <cellStyle name="Normal 5 3 5 2 3" xfId="15936" xr:uid="{00000000-0005-0000-0000-000000F50000}"/>
    <cellStyle name="Normal 5 3 5 2 3 2" xfId="28199" xr:uid="{00000000-0005-0000-0000-000001F50000}"/>
    <cellStyle name="Normal 5 3 5 2 3 2 2" xfId="60070" xr:uid="{00000000-0005-0000-0000-000002F50000}"/>
    <cellStyle name="Normal 5 3 5 2 3 3" xfId="47815" xr:uid="{00000000-0005-0000-0000-000003F50000}"/>
    <cellStyle name="Normal 5 3 5 2 4" xfId="20321" xr:uid="{00000000-0005-0000-0000-000004F50000}"/>
    <cellStyle name="Normal 5 3 5 2 4 2" xfId="52192" xr:uid="{00000000-0005-0000-0000-000005F50000}"/>
    <cellStyle name="Normal 5 3 5 2 5" xfId="47812" xr:uid="{00000000-0005-0000-0000-000006F50000}"/>
    <cellStyle name="Normal 5 3 5 3" xfId="15937" xr:uid="{00000000-0005-0000-0000-000007F50000}"/>
    <cellStyle name="Normal 5 3 5 3 2" xfId="15938" xr:uid="{00000000-0005-0000-0000-000008F50000}"/>
    <cellStyle name="Normal 5 3 5 3 2 2" xfId="32137" xr:uid="{00000000-0005-0000-0000-000009F50000}"/>
    <cellStyle name="Normal 5 3 5 3 2 2 2" xfId="64008" xr:uid="{00000000-0005-0000-0000-00000AF50000}"/>
    <cellStyle name="Normal 5 3 5 3 2 3" xfId="47817" xr:uid="{00000000-0005-0000-0000-00000BF50000}"/>
    <cellStyle name="Normal 5 3 5 3 3" xfId="24259" xr:uid="{00000000-0005-0000-0000-00000CF50000}"/>
    <cellStyle name="Normal 5 3 5 3 3 2" xfId="56130" xr:uid="{00000000-0005-0000-0000-00000DF50000}"/>
    <cellStyle name="Normal 5 3 5 3 4" xfId="47816" xr:uid="{00000000-0005-0000-0000-00000EF50000}"/>
    <cellStyle name="Normal 5 3 5 4" xfId="15939" xr:uid="{00000000-0005-0000-0000-00000FF50000}"/>
    <cellStyle name="Normal 5 3 5 4 2" xfId="28198" xr:uid="{00000000-0005-0000-0000-000010F50000}"/>
    <cellStyle name="Normal 5 3 5 4 2 2" xfId="60069" xr:uid="{00000000-0005-0000-0000-000011F50000}"/>
    <cellStyle name="Normal 5 3 5 4 3" xfId="47818" xr:uid="{00000000-0005-0000-0000-000012F50000}"/>
    <cellStyle name="Normal 5 3 5 5" xfId="20320" xr:uid="{00000000-0005-0000-0000-000013F50000}"/>
    <cellStyle name="Normal 5 3 5 5 2" xfId="52191" xr:uid="{00000000-0005-0000-0000-000014F50000}"/>
    <cellStyle name="Normal 5 3 5 6" xfId="47811" xr:uid="{00000000-0005-0000-0000-000015F50000}"/>
    <cellStyle name="Normal 5 3 6" xfId="15940" xr:uid="{00000000-0005-0000-0000-000016F50000}"/>
    <cellStyle name="Normal 5 3 6 2" xfId="15941" xr:uid="{00000000-0005-0000-0000-000017F50000}"/>
    <cellStyle name="Normal 5 3 6 2 2" xfId="15942" xr:uid="{00000000-0005-0000-0000-000018F50000}"/>
    <cellStyle name="Normal 5 3 6 2 2 2" xfId="32139" xr:uid="{00000000-0005-0000-0000-000019F50000}"/>
    <cellStyle name="Normal 5 3 6 2 2 2 2" xfId="64010" xr:uid="{00000000-0005-0000-0000-00001AF50000}"/>
    <cellStyle name="Normal 5 3 6 2 2 3" xfId="47821" xr:uid="{00000000-0005-0000-0000-00001BF50000}"/>
    <cellStyle name="Normal 5 3 6 2 3" xfId="24261" xr:uid="{00000000-0005-0000-0000-00001CF50000}"/>
    <cellStyle name="Normal 5 3 6 2 3 2" xfId="56132" xr:uid="{00000000-0005-0000-0000-00001DF50000}"/>
    <cellStyle name="Normal 5 3 6 2 4" xfId="47820" xr:uid="{00000000-0005-0000-0000-00001EF50000}"/>
    <cellStyle name="Normal 5 3 6 3" xfId="15943" xr:uid="{00000000-0005-0000-0000-00001FF50000}"/>
    <cellStyle name="Normal 5 3 6 3 2" xfId="28200" xr:uid="{00000000-0005-0000-0000-000020F50000}"/>
    <cellStyle name="Normal 5 3 6 3 2 2" xfId="60071" xr:uid="{00000000-0005-0000-0000-000021F50000}"/>
    <cellStyle name="Normal 5 3 6 3 3" xfId="47822" xr:uid="{00000000-0005-0000-0000-000022F50000}"/>
    <cellStyle name="Normal 5 3 6 4" xfId="20322" xr:uid="{00000000-0005-0000-0000-000023F50000}"/>
    <cellStyle name="Normal 5 3 6 4 2" xfId="52193" xr:uid="{00000000-0005-0000-0000-000024F50000}"/>
    <cellStyle name="Normal 5 3 6 5" xfId="47819" xr:uid="{00000000-0005-0000-0000-000025F50000}"/>
    <cellStyle name="Normal 5 3 7" xfId="15944" xr:uid="{00000000-0005-0000-0000-000026F50000}"/>
    <cellStyle name="Normal 5 3 7 2" xfId="15945" xr:uid="{00000000-0005-0000-0000-000027F50000}"/>
    <cellStyle name="Normal 5 3 7 2 2" xfId="28356" xr:uid="{00000000-0005-0000-0000-000028F50000}"/>
    <cellStyle name="Normal 5 3 7 2 2 2" xfId="60227" xr:uid="{00000000-0005-0000-0000-000029F50000}"/>
    <cellStyle name="Normal 5 3 7 2 3" xfId="47824" xr:uid="{00000000-0005-0000-0000-00002AF50000}"/>
    <cellStyle name="Normal 5 3 7 3" xfId="20478" xr:uid="{00000000-0005-0000-0000-00002BF50000}"/>
    <cellStyle name="Normal 5 3 7 3 2" xfId="52349" xr:uid="{00000000-0005-0000-0000-00002CF50000}"/>
    <cellStyle name="Normal 5 3 7 4" xfId="47823" xr:uid="{00000000-0005-0000-0000-00002DF50000}"/>
    <cellStyle name="Normal 5 3 8" xfId="15946" xr:uid="{00000000-0005-0000-0000-00002EF50000}"/>
    <cellStyle name="Normal 5 3 8 2" xfId="24417" xr:uid="{00000000-0005-0000-0000-00002FF50000}"/>
    <cellStyle name="Normal 5 3 8 2 2" xfId="56288" xr:uid="{00000000-0005-0000-0000-000030F50000}"/>
    <cellStyle name="Normal 5 3 8 3" xfId="47825" xr:uid="{00000000-0005-0000-0000-000031F50000}"/>
    <cellStyle name="Normal 5 3 9" xfId="16539" xr:uid="{00000000-0005-0000-0000-000032F50000}"/>
    <cellStyle name="Normal 5 3 9 2" xfId="48410" xr:uid="{00000000-0005-0000-0000-000033F50000}"/>
    <cellStyle name="Normal 5 4" xfId="155" xr:uid="{00000000-0005-0000-0000-000034F50000}"/>
    <cellStyle name="Normal 5 4 2" xfId="276" xr:uid="{00000000-0005-0000-0000-000035F50000}"/>
    <cellStyle name="Normal 5 4 2 2" xfId="15949" xr:uid="{00000000-0005-0000-0000-000036F50000}"/>
    <cellStyle name="Normal 5 4 2 2 2" xfId="15950" xr:uid="{00000000-0005-0000-0000-000037F50000}"/>
    <cellStyle name="Normal 5 4 2 2 2 2" xfId="15951" xr:uid="{00000000-0005-0000-0000-000038F50000}"/>
    <cellStyle name="Normal 5 4 2 2 2 2 2" xfId="15952" xr:uid="{00000000-0005-0000-0000-000039F50000}"/>
    <cellStyle name="Normal 5 4 2 2 2 2 2 2" xfId="15953" xr:uid="{00000000-0005-0000-0000-00003AF50000}"/>
    <cellStyle name="Normal 5 4 2 2 2 2 2 2 2" xfId="32143" xr:uid="{00000000-0005-0000-0000-00003BF50000}"/>
    <cellStyle name="Normal 5 4 2 2 2 2 2 2 2 2" xfId="64014" xr:uid="{00000000-0005-0000-0000-00003CF50000}"/>
    <cellStyle name="Normal 5 4 2 2 2 2 2 2 3" xfId="47832" xr:uid="{00000000-0005-0000-0000-00003DF50000}"/>
    <cellStyle name="Normal 5 4 2 2 2 2 2 3" xfId="24265" xr:uid="{00000000-0005-0000-0000-00003EF50000}"/>
    <cellStyle name="Normal 5 4 2 2 2 2 2 3 2" xfId="56136" xr:uid="{00000000-0005-0000-0000-00003FF50000}"/>
    <cellStyle name="Normal 5 4 2 2 2 2 2 4" xfId="47831" xr:uid="{00000000-0005-0000-0000-000040F50000}"/>
    <cellStyle name="Normal 5 4 2 2 2 2 3" xfId="15954" xr:uid="{00000000-0005-0000-0000-000041F50000}"/>
    <cellStyle name="Normal 5 4 2 2 2 2 3 2" xfId="28204" xr:uid="{00000000-0005-0000-0000-000042F50000}"/>
    <cellStyle name="Normal 5 4 2 2 2 2 3 2 2" xfId="60075" xr:uid="{00000000-0005-0000-0000-000043F50000}"/>
    <cellStyle name="Normal 5 4 2 2 2 2 3 3" xfId="47833" xr:uid="{00000000-0005-0000-0000-000044F50000}"/>
    <cellStyle name="Normal 5 4 2 2 2 2 4" xfId="20326" xr:uid="{00000000-0005-0000-0000-000045F50000}"/>
    <cellStyle name="Normal 5 4 2 2 2 2 4 2" xfId="52197" xr:uid="{00000000-0005-0000-0000-000046F50000}"/>
    <cellStyle name="Normal 5 4 2 2 2 2 5" xfId="47830" xr:uid="{00000000-0005-0000-0000-000047F50000}"/>
    <cellStyle name="Normal 5 4 2 2 2 3" xfId="15955" xr:uid="{00000000-0005-0000-0000-000048F50000}"/>
    <cellStyle name="Normal 5 4 2 2 2 3 2" xfId="15956" xr:uid="{00000000-0005-0000-0000-000049F50000}"/>
    <cellStyle name="Normal 5 4 2 2 2 3 2 2" xfId="32142" xr:uid="{00000000-0005-0000-0000-00004AF50000}"/>
    <cellStyle name="Normal 5 4 2 2 2 3 2 2 2" xfId="64013" xr:uid="{00000000-0005-0000-0000-00004BF50000}"/>
    <cellStyle name="Normal 5 4 2 2 2 3 2 3" xfId="47835" xr:uid="{00000000-0005-0000-0000-00004CF50000}"/>
    <cellStyle name="Normal 5 4 2 2 2 3 3" xfId="24264" xr:uid="{00000000-0005-0000-0000-00004DF50000}"/>
    <cellStyle name="Normal 5 4 2 2 2 3 3 2" xfId="56135" xr:uid="{00000000-0005-0000-0000-00004EF50000}"/>
    <cellStyle name="Normal 5 4 2 2 2 3 4" xfId="47834" xr:uid="{00000000-0005-0000-0000-00004FF50000}"/>
    <cellStyle name="Normal 5 4 2 2 2 4" xfId="15957" xr:uid="{00000000-0005-0000-0000-000050F50000}"/>
    <cellStyle name="Normal 5 4 2 2 2 4 2" xfId="28203" xr:uid="{00000000-0005-0000-0000-000051F50000}"/>
    <cellStyle name="Normal 5 4 2 2 2 4 2 2" xfId="60074" xr:uid="{00000000-0005-0000-0000-000052F50000}"/>
    <cellStyle name="Normal 5 4 2 2 2 4 3" xfId="47836" xr:uid="{00000000-0005-0000-0000-000053F50000}"/>
    <cellStyle name="Normal 5 4 2 2 2 5" xfId="20325" xr:uid="{00000000-0005-0000-0000-000054F50000}"/>
    <cellStyle name="Normal 5 4 2 2 2 5 2" xfId="52196" xr:uid="{00000000-0005-0000-0000-000055F50000}"/>
    <cellStyle name="Normal 5 4 2 2 2 6" xfId="47829" xr:uid="{00000000-0005-0000-0000-000056F50000}"/>
    <cellStyle name="Normal 5 4 2 2 3" xfId="15958" xr:uid="{00000000-0005-0000-0000-000057F50000}"/>
    <cellStyle name="Normal 5 4 2 2 3 2" xfId="15959" xr:uid="{00000000-0005-0000-0000-000058F50000}"/>
    <cellStyle name="Normal 5 4 2 2 3 2 2" xfId="15960" xr:uid="{00000000-0005-0000-0000-000059F50000}"/>
    <cellStyle name="Normal 5 4 2 2 3 2 2 2" xfId="32144" xr:uid="{00000000-0005-0000-0000-00005AF50000}"/>
    <cellStyle name="Normal 5 4 2 2 3 2 2 2 2" xfId="64015" xr:uid="{00000000-0005-0000-0000-00005BF50000}"/>
    <cellStyle name="Normal 5 4 2 2 3 2 2 3" xfId="47839" xr:uid="{00000000-0005-0000-0000-00005CF50000}"/>
    <cellStyle name="Normal 5 4 2 2 3 2 3" xfId="24266" xr:uid="{00000000-0005-0000-0000-00005DF50000}"/>
    <cellStyle name="Normal 5 4 2 2 3 2 3 2" xfId="56137" xr:uid="{00000000-0005-0000-0000-00005EF50000}"/>
    <cellStyle name="Normal 5 4 2 2 3 2 4" xfId="47838" xr:uid="{00000000-0005-0000-0000-00005FF50000}"/>
    <cellStyle name="Normal 5 4 2 2 3 3" xfId="15961" xr:uid="{00000000-0005-0000-0000-000060F50000}"/>
    <cellStyle name="Normal 5 4 2 2 3 3 2" xfId="28205" xr:uid="{00000000-0005-0000-0000-000061F50000}"/>
    <cellStyle name="Normal 5 4 2 2 3 3 2 2" xfId="60076" xr:uid="{00000000-0005-0000-0000-000062F50000}"/>
    <cellStyle name="Normal 5 4 2 2 3 3 3" xfId="47840" xr:uid="{00000000-0005-0000-0000-000063F50000}"/>
    <cellStyle name="Normal 5 4 2 2 3 4" xfId="20327" xr:uid="{00000000-0005-0000-0000-000064F50000}"/>
    <cellStyle name="Normal 5 4 2 2 3 4 2" xfId="52198" xr:uid="{00000000-0005-0000-0000-000065F50000}"/>
    <cellStyle name="Normal 5 4 2 2 3 5" xfId="47837" xr:uid="{00000000-0005-0000-0000-000066F50000}"/>
    <cellStyle name="Normal 5 4 2 2 4" xfId="15962" xr:uid="{00000000-0005-0000-0000-000067F50000}"/>
    <cellStyle name="Normal 5 4 2 2 4 2" xfId="15963" xr:uid="{00000000-0005-0000-0000-000068F50000}"/>
    <cellStyle name="Normal 5 4 2 2 4 2 2" xfId="32141" xr:uid="{00000000-0005-0000-0000-000069F50000}"/>
    <cellStyle name="Normal 5 4 2 2 4 2 2 2" xfId="64012" xr:uid="{00000000-0005-0000-0000-00006AF50000}"/>
    <cellStyle name="Normal 5 4 2 2 4 2 3" xfId="47842" xr:uid="{00000000-0005-0000-0000-00006BF50000}"/>
    <cellStyle name="Normal 5 4 2 2 4 3" xfId="24263" xr:uid="{00000000-0005-0000-0000-00006CF50000}"/>
    <cellStyle name="Normal 5 4 2 2 4 3 2" xfId="56134" xr:uid="{00000000-0005-0000-0000-00006DF50000}"/>
    <cellStyle name="Normal 5 4 2 2 4 4" xfId="47841" xr:uid="{00000000-0005-0000-0000-00006EF50000}"/>
    <cellStyle name="Normal 5 4 2 2 5" xfId="15964" xr:uid="{00000000-0005-0000-0000-00006FF50000}"/>
    <cellStyle name="Normal 5 4 2 2 5 2" xfId="28202" xr:uid="{00000000-0005-0000-0000-000070F50000}"/>
    <cellStyle name="Normal 5 4 2 2 5 2 2" xfId="60073" xr:uid="{00000000-0005-0000-0000-000071F50000}"/>
    <cellStyle name="Normal 5 4 2 2 5 3" xfId="47843" xr:uid="{00000000-0005-0000-0000-000072F50000}"/>
    <cellStyle name="Normal 5 4 2 2 6" xfId="20324" xr:uid="{00000000-0005-0000-0000-000073F50000}"/>
    <cellStyle name="Normal 5 4 2 2 6 2" xfId="52195" xr:uid="{00000000-0005-0000-0000-000074F50000}"/>
    <cellStyle name="Normal 5 4 2 2 7" xfId="47828" xr:uid="{00000000-0005-0000-0000-000075F50000}"/>
    <cellStyle name="Normal 5 4 2 3" xfId="15965" xr:uid="{00000000-0005-0000-0000-000076F50000}"/>
    <cellStyle name="Normal 5 4 2 3 2" xfId="15966" xr:uid="{00000000-0005-0000-0000-000077F50000}"/>
    <cellStyle name="Normal 5 4 2 3 2 2" xfId="15967" xr:uid="{00000000-0005-0000-0000-000078F50000}"/>
    <cellStyle name="Normal 5 4 2 3 2 2 2" xfId="15968" xr:uid="{00000000-0005-0000-0000-000079F50000}"/>
    <cellStyle name="Normal 5 4 2 3 2 2 2 2" xfId="32146" xr:uid="{00000000-0005-0000-0000-00007AF50000}"/>
    <cellStyle name="Normal 5 4 2 3 2 2 2 2 2" xfId="64017" xr:uid="{00000000-0005-0000-0000-00007BF50000}"/>
    <cellStyle name="Normal 5 4 2 3 2 2 2 3" xfId="47847" xr:uid="{00000000-0005-0000-0000-00007CF50000}"/>
    <cellStyle name="Normal 5 4 2 3 2 2 3" xfId="24268" xr:uid="{00000000-0005-0000-0000-00007DF50000}"/>
    <cellStyle name="Normal 5 4 2 3 2 2 3 2" xfId="56139" xr:uid="{00000000-0005-0000-0000-00007EF50000}"/>
    <cellStyle name="Normal 5 4 2 3 2 2 4" xfId="47846" xr:uid="{00000000-0005-0000-0000-00007FF50000}"/>
    <cellStyle name="Normal 5 4 2 3 2 3" xfId="15969" xr:uid="{00000000-0005-0000-0000-000080F50000}"/>
    <cellStyle name="Normal 5 4 2 3 2 3 2" xfId="28207" xr:uid="{00000000-0005-0000-0000-000081F50000}"/>
    <cellStyle name="Normal 5 4 2 3 2 3 2 2" xfId="60078" xr:uid="{00000000-0005-0000-0000-000082F50000}"/>
    <cellStyle name="Normal 5 4 2 3 2 3 3" xfId="47848" xr:uid="{00000000-0005-0000-0000-000083F50000}"/>
    <cellStyle name="Normal 5 4 2 3 2 4" xfId="20329" xr:uid="{00000000-0005-0000-0000-000084F50000}"/>
    <cellStyle name="Normal 5 4 2 3 2 4 2" xfId="52200" xr:uid="{00000000-0005-0000-0000-000085F50000}"/>
    <cellStyle name="Normal 5 4 2 3 2 5" xfId="47845" xr:uid="{00000000-0005-0000-0000-000086F50000}"/>
    <cellStyle name="Normal 5 4 2 3 3" xfId="15970" xr:uid="{00000000-0005-0000-0000-000087F50000}"/>
    <cellStyle name="Normal 5 4 2 3 3 2" xfId="15971" xr:uid="{00000000-0005-0000-0000-000088F50000}"/>
    <cellStyle name="Normal 5 4 2 3 3 2 2" xfId="32145" xr:uid="{00000000-0005-0000-0000-000089F50000}"/>
    <cellStyle name="Normal 5 4 2 3 3 2 2 2" xfId="64016" xr:uid="{00000000-0005-0000-0000-00008AF50000}"/>
    <cellStyle name="Normal 5 4 2 3 3 2 3" xfId="47850" xr:uid="{00000000-0005-0000-0000-00008BF50000}"/>
    <cellStyle name="Normal 5 4 2 3 3 3" xfId="24267" xr:uid="{00000000-0005-0000-0000-00008CF50000}"/>
    <cellStyle name="Normal 5 4 2 3 3 3 2" xfId="56138" xr:uid="{00000000-0005-0000-0000-00008DF50000}"/>
    <cellStyle name="Normal 5 4 2 3 3 4" xfId="47849" xr:uid="{00000000-0005-0000-0000-00008EF50000}"/>
    <cellStyle name="Normal 5 4 2 3 4" xfId="15972" xr:uid="{00000000-0005-0000-0000-00008FF50000}"/>
    <cellStyle name="Normal 5 4 2 3 4 2" xfId="28206" xr:uid="{00000000-0005-0000-0000-000090F50000}"/>
    <cellStyle name="Normal 5 4 2 3 4 2 2" xfId="60077" xr:uid="{00000000-0005-0000-0000-000091F50000}"/>
    <cellStyle name="Normal 5 4 2 3 4 3" xfId="47851" xr:uid="{00000000-0005-0000-0000-000092F50000}"/>
    <cellStyle name="Normal 5 4 2 3 5" xfId="20328" xr:uid="{00000000-0005-0000-0000-000093F50000}"/>
    <cellStyle name="Normal 5 4 2 3 5 2" xfId="52199" xr:uid="{00000000-0005-0000-0000-000094F50000}"/>
    <cellStyle name="Normal 5 4 2 3 6" xfId="47844" xr:uid="{00000000-0005-0000-0000-000095F50000}"/>
    <cellStyle name="Normal 5 4 2 4" xfId="15973" xr:uid="{00000000-0005-0000-0000-000096F50000}"/>
    <cellStyle name="Normal 5 4 2 4 2" xfId="15974" xr:uid="{00000000-0005-0000-0000-000097F50000}"/>
    <cellStyle name="Normal 5 4 2 4 2 2" xfId="15975" xr:uid="{00000000-0005-0000-0000-000098F50000}"/>
    <cellStyle name="Normal 5 4 2 4 2 2 2" xfId="32147" xr:uid="{00000000-0005-0000-0000-000099F50000}"/>
    <cellStyle name="Normal 5 4 2 4 2 2 2 2" xfId="64018" xr:uid="{00000000-0005-0000-0000-00009AF50000}"/>
    <cellStyle name="Normal 5 4 2 4 2 2 3" xfId="47854" xr:uid="{00000000-0005-0000-0000-00009BF50000}"/>
    <cellStyle name="Normal 5 4 2 4 2 3" xfId="24269" xr:uid="{00000000-0005-0000-0000-00009CF50000}"/>
    <cellStyle name="Normal 5 4 2 4 2 3 2" xfId="56140" xr:uid="{00000000-0005-0000-0000-00009DF50000}"/>
    <cellStyle name="Normal 5 4 2 4 2 4" xfId="47853" xr:uid="{00000000-0005-0000-0000-00009EF50000}"/>
    <cellStyle name="Normal 5 4 2 4 3" xfId="15976" xr:uid="{00000000-0005-0000-0000-00009FF50000}"/>
    <cellStyle name="Normal 5 4 2 4 3 2" xfId="28208" xr:uid="{00000000-0005-0000-0000-0000A0F50000}"/>
    <cellStyle name="Normal 5 4 2 4 3 2 2" xfId="60079" xr:uid="{00000000-0005-0000-0000-0000A1F50000}"/>
    <cellStyle name="Normal 5 4 2 4 3 3" xfId="47855" xr:uid="{00000000-0005-0000-0000-0000A2F50000}"/>
    <cellStyle name="Normal 5 4 2 4 4" xfId="20330" xr:uid="{00000000-0005-0000-0000-0000A3F50000}"/>
    <cellStyle name="Normal 5 4 2 4 4 2" xfId="52201" xr:uid="{00000000-0005-0000-0000-0000A4F50000}"/>
    <cellStyle name="Normal 5 4 2 4 5" xfId="47852" xr:uid="{00000000-0005-0000-0000-0000A5F50000}"/>
    <cellStyle name="Normal 5 4 2 5" xfId="15977" xr:uid="{00000000-0005-0000-0000-0000A6F50000}"/>
    <cellStyle name="Normal 5 4 2 5 2" xfId="15978" xr:uid="{00000000-0005-0000-0000-0000A7F50000}"/>
    <cellStyle name="Normal 5 4 2 5 2 2" xfId="32140" xr:uid="{00000000-0005-0000-0000-0000A8F50000}"/>
    <cellStyle name="Normal 5 4 2 5 2 2 2" xfId="64011" xr:uid="{00000000-0005-0000-0000-0000A9F50000}"/>
    <cellStyle name="Normal 5 4 2 5 2 3" xfId="47857" xr:uid="{00000000-0005-0000-0000-0000AAF50000}"/>
    <cellStyle name="Normal 5 4 2 5 3" xfId="24262" xr:uid="{00000000-0005-0000-0000-0000ABF50000}"/>
    <cellStyle name="Normal 5 4 2 5 3 2" xfId="56133" xr:uid="{00000000-0005-0000-0000-0000ACF50000}"/>
    <cellStyle name="Normal 5 4 2 5 4" xfId="47856" xr:uid="{00000000-0005-0000-0000-0000ADF50000}"/>
    <cellStyle name="Normal 5 4 2 6" xfId="15979" xr:uid="{00000000-0005-0000-0000-0000AEF50000}"/>
    <cellStyle name="Normal 5 4 2 6 2" xfId="28201" xr:uid="{00000000-0005-0000-0000-0000AFF50000}"/>
    <cellStyle name="Normal 5 4 2 6 2 2" xfId="60072" xr:uid="{00000000-0005-0000-0000-0000B0F50000}"/>
    <cellStyle name="Normal 5 4 2 6 3" xfId="47858" xr:uid="{00000000-0005-0000-0000-0000B1F50000}"/>
    <cellStyle name="Normal 5 4 2 7" xfId="20323" xr:uid="{00000000-0005-0000-0000-0000B2F50000}"/>
    <cellStyle name="Normal 5 4 2 7 2" xfId="52194" xr:uid="{00000000-0005-0000-0000-0000B3F50000}"/>
    <cellStyle name="Normal 5 4 2 8" xfId="15948" xr:uid="{00000000-0005-0000-0000-0000B4F50000}"/>
    <cellStyle name="Normal 5 4 2 8 2" xfId="47827" xr:uid="{00000000-0005-0000-0000-0000B5F50000}"/>
    <cellStyle name="Normal 5 4 3" xfId="15980" xr:uid="{00000000-0005-0000-0000-0000B6F50000}"/>
    <cellStyle name="Normal 5 4 3 2" xfId="15981" xr:uid="{00000000-0005-0000-0000-0000B7F50000}"/>
    <cellStyle name="Normal 5 4 3 2 2" xfId="15982" xr:uid="{00000000-0005-0000-0000-0000B8F50000}"/>
    <cellStyle name="Normal 5 4 3 2 2 2" xfId="15983" xr:uid="{00000000-0005-0000-0000-0000B9F50000}"/>
    <cellStyle name="Normal 5 4 3 2 2 2 2" xfId="15984" xr:uid="{00000000-0005-0000-0000-0000BAF50000}"/>
    <cellStyle name="Normal 5 4 3 2 2 2 2 2" xfId="32150" xr:uid="{00000000-0005-0000-0000-0000BBF50000}"/>
    <cellStyle name="Normal 5 4 3 2 2 2 2 2 2" xfId="64021" xr:uid="{00000000-0005-0000-0000-0000BCF50000}"/>
    <cellStyle name="Normal 5 4 3 2 2 2 2 3" xfId="47863" xr:uid="{00000000-0005-0000-0000-0000BDF50000}"/>
    <cellStyle name="Normal 5 4 3 2 2 2 3" xfId="24272" xr:uid="{00000000-0005-0000-0000-0000BEF50000}"/>
    <cellStyle name="Normal 5 4 3 2 2 2 3 2" xfId="56143" xr:uid="{00000000-0005-0000-0000-0000BFF50000}"/>
    <cellStyle name="Normal 5 4 3 2 2 2 4" xfId="47862" xr:uid="{00000000-0005-0000-0000-0000C0F50000}"/>
    <cellStyle name="Normal 5 4 3 2 2 3" xfId="15985" xr:uid="{00000000-0005-0000-0000-0000C1F50000}"/>
    <cellStyle name="Normal 5 4 3 2 2 3 2" xfId="28211" xr:uid="{00000000-0005-0000-0000-0000C2F50000}"/>
    <cellStyle name="Normal 5 4 3 2 2 3 2 2" xfId="60082" xr:uid="{00000000-0005-0000-0000-0000C3F50000}"/>
    <cellStyle name="Normal 5 4 3 2 2 3 3" xfId="47864" xr:uid="{00000000-0005-0000-0000-0000C4F50000}"/>
    <cellStyle name="Normal 5 4 3 2 2 4" xfId="20333" xr:uid="{00000000-0005-0000-0000-0000C5F50000}"/>
    <cellStyle name="Normal 5 4 3 2 2 4 2" xfId="52204" xr:uid="{00000000-0005-0000-0000-0000C6F50000}"/>
    <cellStyle name="Normal 5 4 3 2 2 5" xfId="47861" xr:uid="{00000000-0005-0000-0000-0000C7F50000}"/>
    <cellStyle name="Normal 5 4 3 2 3" xfId="15986" xr:uid="{00000000-0005-0000-0000-0000C8F50000}"/>
    <cellStyle name="Normal 5 4 3 2 3 2" xfId="15987" xr:uid="{00000000-0005-0000-0000-0000C9F50000}"/>
    <cellStyle name="Normal 5 4 3 2 3 2 2" xfId="32149" xr:uid="{00000000-0005-0000-0000-0000CAF50000}"/>
    <cellStyle name="Normal 5 4 3 2 3 2 2 2" xfId="64020" xr:uid="{00000000-0005-0000-0000-0000CBF50000}"/>
    <cellStyle name="Normal 5 4 3 2 3 2 3" xfId="47866" xr:uid="{00000000-0005-0000-0000-0000CCF50000}"/>
    <cellStyle name="Normal 5 4 3 2 3 3" xfId="24271" xr:uid="{00000000-0005-0000-0000-0000CDF50000}"/>
    <cellStyle name="Normal 5 4 3 2 3 3 2" xfId="56142" xr:uid="{00000000-0005-0000-0000-0000CEF50000}"/>
    <cellStyle name="Normal 5 4 3 2 3 4" xfId="47865" xr:uid="{00000000-0005-0000-0000-0000CFF50000}"/>
    <cellStyle name="Normal 5 4 3 2 4" xfId="15988" xr:uid="{00000000-0005-0000-0000-0000D0F50000}"/>
    <cellStyle name="Normal 5 4 3 2 4 2" xfId="28210" xr:uid="{00000000-0005-0000-0000-0000D1F50000}"/>
    <cellStyle name="Normal 5 4 3 2 4 2 2" xfId="60081" xr:uid="{00000000-0005-0000-0000-0000D2F50000}"/>
    <cellStyle name="Normal 5 4 3 2 4 3" xfId="47867" xr:uid="{00000000-0005-0000-0000-0000D3F50000}"/>
    <cellStyle name="Normal 5 4 3 2 5" xfId="20332" xr:uid="{00000000-0005-0000-0000-0000D4F50000}"/>
    <cellStyle name="Normal 5 4 3 2 5 2" xfId="52203" xr:uid="{00000000-0005-0000-0000-0000D5F50000}"/>
    <cellStyle name="Normal 5 4 3 2 6" xfId="47860" xr:uid="{00000000-0005-0000-0000-0000D6F50000}"/>
    <cellStyle name="Normal 5 4 3 3" xfId="15989" xr:uid="{00000000-0005-0000-0000-0000D7F50000}"/>
    <cellStyle name="Normal 5 4 3 3 2" xfId="15990" xr:uid="{00000000-0005-0000-0000-0000D8F50000}"/>
    <cellStyle name="Normal 5 4 3 3 2 2" xfId="15991" xr:uid="{00000000-0005-0000-0000-0000D9F50000}"/>
    <cellStyle name="Normal 5 4 3 3 2 2 2" xfId="32151" xr:uid="{00000000-0005-0000-0000-0000DAF50000}"/>
    <cellStyle name="Normal 5 4 3 3 2 2 2 2" xfId="64022" xr:uid="{00000000-0005-0000-0000-0000DBF50000}"/>
    <cellStyle name="Normal 5 4 3 3 2 2 3" xfId="47870" xr:uid="{00000000-0005-0000-0000-0000DCF50000}"/>
    <cellStyle name="Normal 5 4 3 3 2 3" xfId="24273" xr:uid="{00000000-0005-0000-0000-0000DDF50000}"/>
    <cellStyle name="Normal 5 4 3 3 2 3 2" xfId="56144" xr:uid="{00000000-0005-0000-0000-0000DEF50000}"/>
    <cellStyle name="Normal 5 4 3 3 2 4" xfId="47869" xr:uid="{00000000-0005-0000-0000-0000DFF50000}"/>
    <cellStyle name="Normal 5 4 3 3 3" xfId="15992" xr:uid="{00000000-0005-0000-0000-0000E0F50000}"/>
    <cellStyle name="Normal 5 4 3 3 3 2" xfId="28212" xr:uid="{00000000-0005-0000-0000-0000E1F50000}"/>
    <cellStyle name="Normal 5 4 3 3 3 2 2" xfId="60083" xr:uid="{00000000-0005-0000-0000-0000E2F50000}"/>
    <cellStyle name="Normal 5 4 3 3 3 3" xfId="47871" xr:uid="{00000000-0005-0000-0000-0000E3F50000}"/>
    <cellStyle name="Normal 5 4 3 3 4" xfId="20334" xr:uid="{00000000-0005-0000-0000-0000E4F50000}"/>
    <cellStyle name="Normal 5 4 3 3 4 2" xfId="52205" xr:uid="{00000000-0005-0000-0000-0000E5F50000}"/>
    <cellStyle name="Normal 5 4 3 3 5" xfId="47868" xr:uid="{00000000-0005-0000-0000-0000E6F50000}"/>
    <cellStyle name="Normal 5 4 3 4" xfId="15993" xr:uid="{00000000-0005-0000-0000-0000E7F50000}"/>
    <cellStyle name="Normal 5 4 3 4 2" xfId="15994" xr:uid="{00000000-0005-0000-0000-0000E8F50000}"/>
    <cellStyle name="Normal 5 4 3 4 2 2" xfId="32148" xr:uid="{00000000-0005-0000-0000-0000E9F50000}"/>
    <cellStyle name="Normal 5 4 3 4 2 2 2" xfId="64019" xr:uid="{00000000-0005-0000-0000-0000EAF50000}"/>
    <cellStyle name="Normal 5 4 3 4 2 3" xfId="47873" xr:uid="{00000000-0005-0000-0000-0000EBF50000}"/>
    <cellStyle name="Normal 5 4 3 4 3" xfId="24270" xr:uid="{00000000-0005-0000-0000-0000ECF50000}"/>
    <cellStyle name="Normal 5 4 3 4 3 2" xfId="56141" xr:uid="{00000000-0005-0000-0000-0000EDF50000}"/>
    <cellStyle name="Normal 5 4 3 4 4" xfId="47872" xr:uid="{00000000-0005-0000-0000-0000EEF50000}"/>
    <cellStyle name="Normal 5 4 3 5" xfId="15995" xr:uid="{00000000-0005-0000-0000-0000EFF50000}"/>
    <cellStyle name="Normal 5 4 3 5 2" xfId="28209" xr:uid="{00000000-0005-0000-0000-0000F0F50000}"/>
    <cellStyle name="Normal 5 4 3 5 2 2" xfId="60080" xr:uid="{00000000-0005-0000-0000-0000F1F50000}"/>
    <cellStyle name="Normal 5 4 3 5 3" xfId="47874" xr:uid="{00000000-0005-0000-0000-0000F2F50000}"/>
    <cellStyle name="Normal 5 4 3 6" xfId="20331" xr:uid="{00000000-0005-0000-0000-0000F3F50000}"/>
    <cellStyle name="Normal 5 4 3 6 2" xfId="52202" xr:uid="{00000000-0005-0000-0000-0000F4F50000}"/>
    <cellStyle name="Normal 5 4 3 7" xfId="47859" xr:uid="{00000000-0005-0000-0000-0000F5F50000}"/>
    <cellStyle name="Normal 5 4 4" xfId="15996" xr:uid="{00000000-0005-0000-0000-0000F6F50000}"/>
    <cellStyle name="Normal 5 4 4 2" xfId="15997" xr:uid="{00000000-0005-0000-0000-0000F7F50000}"/>
    <cellStyle name="Normal 5 4 4 2 2" xfId="15998" xr:uid="{00000000-0005-0000-0000-0000F8F50000}"/>
    <cellStyle name="Normal 5 4 4 2 2 2" xfId="15999" xr:uid="{00000000-0005-0000-0000-0000F9F50000}"/>
    <cellStyle name="Normal 5 4 4 2 2 2 2" xfId="32153" xr:uid="{00000000-0005-0000-0000-0000FAF50000}"/>
    <cellStyle name="Normal 5 4 4 2 2 2 2 2" xfId="64024" xr:uid="{00000000-0005-0000-0000-0000FBF50000}"/>
    <cellStyle name="Normal 5 4 4 2 2 2 3" xfId="47878" xr:uid="{00000000-0005-0000-0000-0000FCF50000}"/>
    <cellStyle name="Normal 5 4 4 2 2 3" xfId="24275" xr:uid="{00000000-0005-0000-0000-0000FDF50000}"/>
    <cellStyle name="Normal 5 4 4 2 2 3 2" xfId="56146" xr:uid="{00000000-0005-0000-0000-0000FEF50000}"/>
    <cellStyle name="Normal 5 4 4 2 2 4" xfId="47877" xr:uid="{00000000-0005-0000-0000-0000FFF50000}"/>
    <cellStyle name="Normal 5 4 4 2 3" xfId="16000" xr:uid="{00000000-0005-0000-0000-000000F60000}"/>
    <cellStyle name="Normal 5 4 4 2 3 2" xfId="28214" xr:uid="{00000000-0005-0000-0000-000001F60000}"/>
    <cellStyle name="Normal 5 4 4 2 3 2 2" xfId="60085" xr:uid="{00000000-0005-0000-0000-000002F60000}"/>
    <cellStyle name="Normal 5 4 4 2 3 3" xfId="47879" xr:uid="{00000000-0005-0000-0000-000003F60000}"/>
    <cellStyle name="Normal 5 4 4 2 4" xfId="20336" xr:uid="{00000000-0005-0000-0000-000004F60000}"/>
    <cellStyle name="Normal 5 4 4 2 4 2" xfId="52207" xr:uid="{00000000-0005-0000-0000-000005F60000}"/>
    <cellStyle name="Normal 5 4 4 2 5" xfId="47876" xr:uid="{00000000-0005-0000-0000-000006F60000}"/>
    <cellStyle name="Normal 5 4 4 3" xfId="16001" xr:uid="{00000000-0005-0000-0000-000007F60000}"/>
    <cellStyle name="Normal 5 4 4 3 2" xfId="16002" xr:uid="{00000000-0005-0000-0000-000008F60000}"/>
    <cellStyle name="Normal 5 4 4 3 2 2" xfId="32152" xr:uid="{00000000-0005-0000-0000-000009F60000}"/>
    <cellStyle name="Normal 5 4 4 3 2 2 2" xfId="64023" xr:uid="{00000000-0005-0000-0000-00000AF60000}"/>
    <cellStyle name="Normal 5 4 4 3 2 3" xfId="47881" xr:uid="{00000000-0005-0000-0000-00000BF60000}"/>
    <cellStyle name="Normal 5 4 4 3 3" xfId="24274" xr:uid="{00000000-0005-0000-0000-00000CF60000}"/>
    <cellStyle name="Normal 5 4 4 3 3 2" xfId="56145" xr:uid="{00000000-0005-0000-0000-00000DF60000}"/>
    <cellStyle name="Normal 5 4 4 3 4" xfId="47880" xr:uid="{00000000-0005-0000-0000-00000EF60000}"/>
    <cellStyle name="Normal 5 4 4 4" xfId="16003" xr:uid="{00000000-0005-0000-0000-00000FF60000}"/>
    <cellStyle name="Normal 5 4 4 4 2" xfId="28213" xr:uid="{00000000-0005-0000-0000-000010F60000}"/>
    <cellStyle name="Normal 5 4 4 4 2 2" xfId="60084" xr:uid="{00000000-0005-0000-0000-000011F60000}"/>
    <cellStyle name="Normal 5 4 4 4 3" xfId="47882" xr:uid="{00000000-0005-0000-0000-000012F60000}"/>
    <cellStyle name="Normal 5 4 4 5" xfId="20335" xr:uid="{00000000-0005-0000-0000-000013F60000}"/>
    <cellStyle name="Normal 5 4 4 5 2" xfId="52206" xr:uid="{00000000-0005-0000-0000-000014F60000}"/>
    <cellStyle name="Normal 5 4 4 6" xfId="47875" xr:uid="{00000000-0005-0000-0000-000015F60000}"/>
    <cellStyle name="Normal 5 4 5" xfId="16004" xr:uid="{00000000-0005-0000-0000-000016F60000}"/>
    <cellStyle name="Normal 5 4 5 2" xfId="16005" xr:uid="{00000000-0005-0000-0000-000017F60000}"/>
    <cellStyle name="Normal 5 4 5 2 2" xfId="16006" xr:uid="{00000000-0005-0000-0000-000018F60000}"/>
    <cellStyle name="Normal 5 4 5 2 2 2" xfId="32154" xr:uid="{00000000-0005-0000-0000-000019F60000}"/>
    <cellStyle name="Normal 5 4 5 2 2 2 2" xfId="64025" xr:uid="{00000000-0005-0000-0000-00001AF60000}"/>
    <cellStyle name="Normal 5 4 5 2 2 3" xfId="47885" xr:uid="{00000000-0005-0000-0000-00001BF60000}"/>
    <cellStyle name="Normal 5 4 5 2 3" xfId="24276" xr:uid="{00000000-0005-0000-0000-00001CF60000}"/>
    <cellStyle name="Normal 5 4 5 2 3 2" xfId="56147" xr:uid="{00000000-0005-0000-0000-00001DF60000}"/>
    <cellStyle name="Normal 5 4 5 2 4" xfId="47884" xr:uid="{00000000-0005-0000-0000-00001EF60000}"/>
    <cellStyle name="Normal 5 4 5 3" xfId="16007" xr:uid="{00000000-0005-0000-0000-00001FF60000}"/>
    <cellStyle name="Normal 5 4 5 3 2" xfId="28215" xr:uid="{00000000-0005-0000-0000-000020F60000}"/>
    <cellStyle name="Normal 5 4 5 3 2 2" xfId="60086" xr:uid="{00000000-0005-0000-0000-000021F60000}"/>
    <cellStyle name="Normal 5 4 5 3 3" xfId="47886" xr:uid="{00000000-0005-0000-0000-000022F60000}"/>
    <cellStyle name="Normal 5 4 5 4" xfId="20337" xr:uid="{00000000-0005-0000-0000-000023F60000}"/>
    <cellStyle name="Normal 5 4 5 4 2" xfId="52208" xr:uid="{00000000-0005-0000-0000-000024F60000}"/>
    <cellStyle name="Normal 5 4 5 5" xfId="47883" xr:uid="{00000000-0005-0000-0000-000025F60000}"/>
    <cellStyle name="Normal 5 4 6" xfId="16008" xr:uid="{00000000-0005-0000-0000-000026F60000}"/>
    <cellStyle name="Normal 5 4 6 2" xfId="16009" xr:uid="{00000000-0005-0000-0000-000027F60000}"/>
    <cellStyle name="Normal 5 4 6 2 2" xfId="28397" xr:uid="{00000000-0005-0000-0000-000028F60000}"/>
    <cellStyle name="Normal 5 4 6 2 2 2" xfId="60268" xr:uid="{00000000-0005-0000-0000-000029F60000}"/>
    <cellStyle name="Normal 5 4 6 2 3" xfId="47888" xr:uid="{00000000-0005-0000-0000-00002AF60000}"/>
    <cellStyle name="Normal 5 4 6 3" xfId="20519" xr:uid="{00000000-0005-0000-0000-00002BF60000}"/>
    <cellStyle name="Normal 5 4 6 3 2" xfId="52390" xr:uid="{00000000-0005-0000-0000-00002CF60000}"/>
    <cellStyle name="Normal 5 4 6 4" xfId="47887" xr:uid="{00000000-0005-0000-0000-00002DF60000}"/>
    <cellStyle name="Normal 5 4 7" xfId="16010" xr:uid="{00000000-0005-0000-0000-00002EF60000}"/>
    <cellStyle name="Normal 5 4 7 2" xfId="24458" xr:uid="{00000000-0005-0000-0000-00002FF60000}"/>
    <cellStyle name="Normal 5 4 7 2 2" xfId="56329" xr:uid="{00000000-0005-0000-0000-000030F60000}"/>
    <cellStyle name="Normal 5 4 7 3" xfId="47889" xr:uid="{00000000-0005-0000-0000-000031F60000}"/>
    <cellStyle name="Normal 5 4 8" xfId="16580" xr:uid="{00000000-0005-0000-0000-000032F60000}"/>
    <cellStyle name="Normal 5 4 8 2" xfId="48451" xr:uid="{00000000-0005-0000-0000-000033F60000}"/>
    <cellStyle name="Normal 5 4 9" xfId="15947" xr:uid="{00000000-0005-0000-0000-000034F60000}"/>
    <cellStyle name="Normal 5 4 9 2" xfId="47826" xr:uid="{00000000-0005-0000-0000-000035F60000}"/>
    <cellStyle name="Normal 5 5" xfId="271" xr:uid="{00000000-0005-0000-0000-000036F60000}"/>
    <cellStyle name="Normal 5 5 2" xfId="16012" xr:uid="{00000000-0005-0000-0000-000037F60000}"/>
    <cellStyle name="Normal 5 5 2 2" xfId="16013" xr:uid="{00000000-0005-0000-0000-000038F60000}"/>
    <cellStyle name="Normal 5 5 2 2 2" xfId="16014" xr:uid="{00000000-0005-0000-0000-000039F60000}"/>
    <cellStyle name="Normal 5 5 2 2 2 2" xfId="16015" xr:uid="{00000000-0005-0000-0000-00003AF60000}"/>
    <cellStyle name="Normal 5 5 2 2 2 2 2" xfId="16016" xr:uid="{00000000-0005-0000-0000-00003BF60000}"/>
    <cellStyle name="Normal 5 5 2 2 2 2 2 2" xfId="32158" xr:uid="{00000000-0005-0000-0000-00003CF60000}"/>
    <cellStyle name="Normal 5 5 2 2 2 2 2 2 2" xfId="64029" xr:uid="{00000000-0005-0000-0000-00003DF60000}"/>
    <cellStyle name="Normal 5 5 2 2 2 2 2 3" xfId="47895" xr:uid="{00000000-0005-0000-0000-00003EF60000}"/>
    <cellStyle name="Normal 5 5 2 2 2 2 3" xfId="24280" xr:uid="{00000000-0005-0000-0000-00003FF60000}"/>
    <cellStyle name="Normal 5 5 2 2 2 2 3 2" xfId="56151" xr:uid="{00000000-0005-0000-0000-000040F60000}"/>
    <cellStyle name="Normal 5 5 2 2 2 2 4" xfId="47894" xr:uid="{00000000-0005-0000-0000-000041F60000}"/>
    <cellStyle name="Normal 5 5 2 2 2 3" xfId="16017" xr:uid="{00000000-0005-0000-0000-000042F60000}"/>
    <cellStyle name="Normal 5 5 2 2 2 3 2" xfId="28219" xr:uid="{00000000-0005-0000-0000-000043F60000}"/>
    <cellStyle name="Normal 5 5 2 2 2 3 2 2" xfId="60090" xr:uid="{00000000-0005-0000-0000-000044F60000}"/>
    <cellStyle name="Normal 5 5 2 2 2 3 3" xfId="47896" xr:uid="{00000000-0005-0000-0000-000045F60000}"/>
    <cellStyle name="Normal 5 5 2 2 2 4" xfId="20341" xr:uid="{00000000-0005-0000-0000-000046F60000}"/>
    <cellStyle name="Normal 5 5 2 2 2 4 2" xfId="52212" xr:uid="{00000000-0005-0000-0000-000047F60000}"/>
    <cellStyle name="Normal 5 5 2 2 2 5" xfId="47893" xr:uid="{00000000-0005-0000-0000-000048F60000}"/>
    <cellStyle name="Normal 5 5 2 2 3" xfId="16018" xr:uid="{00000000-0005-0000-0000-000049F60000}"/>
    <cellStyle name="Normal 5 5 2 2 3 2" xfId="16019" xr:uid="{00000000-0005-0000-0000-00004AF60000}"/>
    <cellStyle name="Normal 5 5 2 2 3 2 2" xfId="32157" xr:uid="{00000000-0005-0000-0000-00004BF60000}"/>
    <cellStyle name="Normal 5 5 2 2 3 2 2 2" xfId="64028" xr:uid="{00000000-0005-0000-0000-00004CF60000}"/>
    <cellStyle name="Normal 5 5 2 2 3 2 3" xfId="47898" xr:uid="{00000000-0005-0000-0000-00004DF60000}"/>
    <cellStyle name="Normal 5 5 2 2 3 3" xfId="24279" xr:uid="{00000000-0005-0000-0000-00004EF60000}"/>
    <cellStyle name="Normal 5 5 2 2 3 3 2" xfId="56150" xr:uid="{00000000-0005-0000-0000-00004FF60000}"/>
    <cellStyle name="Normal 5 5 2 2 3 4" xfId="47897" xr:uid="{00000000-0005-0000-0000-000050F60000}"/>
    <cellStyle name="Normal 5 5 2 2 4" xfId="16020" xr:uid="{00000000-0005-0000-0000-000051F60000}"/>
    <cellStyle name="Normal 5 5 2 2 4 2" xfId="28218" xr:uid="{00000000-0005-0000-0000-000052F60000}"/>
    <cellStyle name="Normal 5 5 2 2 4 2 2" xfId="60089" xr:uid="{00000000-0005-0000-0000-000053F60000}"/>
    <cellStyle name="Normal 5 5 2 2 4 3" xfId="47899" xr:uid="{00000000-0005-0000-0000-000054F60000}"/>
    <cellStyle name="Normal 5 5 2 2 5" xfId="20340" xr:uid="{00000000-0005-0000-0000-000055F60000}"/>
    <cellStyle name="Normal 5 5 2 2 5 2" xfId="52211" xr:uid="{00000000-0005-0000-0000-000056F60000}"/>
    <cellStyle name="Normal 5 5 2 2 6" xfId="47892" xr:uid="{00000000-0005-0000-0000-000057F60000}"/>
    <cellStyle name="Normal 5 5 2 3" xfId="16021" xr:uid="{00000000-0005-0000-0000-000058F60000}"/>
    <cellStyle name="Normal 5 5 2 3 2" xfId="16022" xr:uid="{00000000-0005-0000-0000-000059F60000}"/>
    <cellStyle name="Normal 5 5 2 3 2 2" xfId="16023" xr:uid="{00000000-0005-0000-0000-00005AF60000}"/>
    <cellStyle name="Normal 5 5 2 3 2 2 2" xfId="32159" xr:uid="{00000000-0005-0000-0000-00005BF60000}"/>
    <cellStyle name="Normal 5 5 2 3 2 2 2 2" xfId="64030" xr:uid="{00000000-0005-0000-0000-00005CF60000}"/>
    <cellStyle name="Normal 5 5 2 3 2 2 3" xfId="47902" xr:uid="{00000000-0005-0000-0000-00005DF60000}"/>
    <cellStyle name="Normal 5 5 2 3 2 3" xfId="24281" xr:uid="{00000000-0005-0000-0000-00005EF60000}"/>
    <cellStyle name="Normal 5 5 2 3 2 3 2" xfId="56152" xr:uid="{00000000-0005-0000-0000-00005FF60000}"/>
    <cellStyle name="Normal 5 5 2 3 2 4" xfId="47901" xr:uid="{00000000-0005-0000-0000-000060F60000}"/>
    <cellStyle name="Normal 5 5 2 3 3" xfId="16024" xr:uid="{00000000-0005-0000-0000-000061F60000}"/>
    <cellStyle name="Normal 5 5 2 3 3 2" xfId="28220" xr:uid="{00000000-0005-0000-0000-000062F60000}"/>
    <cellStyle name="Normal 5 5 2 3 3 2 2" xfId="60091" xr:uid="{00000000-0005-0000-0000-000063F60000}"/>
    <cellStyle name="Normal 5 5 2 3 3 3" xfId="47903" xr:uid="{00000000-0005-0000-0000-000064F60000}"/>
    <cellStyle name="Normal 5 5 2 3 4" xfId="20342" xr:uid="{00000000-0005-0000-0000-000065F60000}"/>
    <cellStyle name="Normal 5 5 2 3 4 2" xfId="52213" xr:uid="{00000000-0005-0000-0000-000066F60000}"/>
    <cellStyle name="Normal 5 5 2 3 5" xfId="47900" xr:uid="{00000000-0005-0000-0000-000067F60000}"/>
    <cellStyle name="Normal 5 5 2 4" xfId="16025" xr:uid="{00000000-0005-0000-0000-000068F60000}"/>
    <cellStyle name="Normal 5 5 2 4 2" xfId="16026" xr:uid="{00000000-0005-0000-0000-000069F60000}"/>
    <cellStyle name="Normal 5 5 2 4 2 2" xfId="32156" xr:uid="{00000000-0005-0000-0000-00006AF60000}"/>
    <cellStyle name="Normal 5 5 2 4 2 2 2" xfId="64027" xr:uid="{00000000-0005-0000-0000-00006BF60000}"/>
    <cellStyle name="Normal 5 5 2 4 2 3" xfId="47905" xr:uid="{00000000-0005-0000-0000-00006CF60000}"/>
    <cellStyle name="Normal 5 5 2 4 3" xfId="24278" xr:uid="{00000000-0005-0000-0000-00006DF60000}"/>
    <cellStyle name="Normal 5 5 2 4 3 2" xfId="56149" xr:uid="{00000000-0005-0000-0000-00006EF60000}"/>
    <cellStyle name="Normal 5 5 2 4 4" xfId="47904" xr:uid="{00000000-0005-0000-0000-00006FF60000}"/>
    <cellStyle name="Normal 5 5 2 5" xfId="16027" xr:uid="{00000000-0005-0000-0000-000070F60000}"/>
    <cellStyle name="Normal 5 5 2 5 2" xfId="28217" xr:uid="{00000000-0005-0000-0000-000071F60000}"/>
    <cellStyle name="Normal 5 5 2 5 2 2" xfId="60088" xr:uid="{00000000-0005-0000-0000-000072F60000}"/>
    <cellStyle name="Normal 5 5 2 5 3" xfId="47906" xr:uid="{00000000-0005-0000-0000-000073F60000}"/>
    <cellStyle name="Normal 5 5 2 6" xfId="20339" xr:uid="{00000000-0005-0000-0000-000074F60000}"/>
    <cellStyle name="Normal 5 5 2 6 2" xfId="52210" xr:uid="{00000000-0005-0000-0000-000075F60000}"/>
    <cellStyle name="Normal 5 5 2 7" xfId="47891" xr:uid="{00000000-0005-0000-0000-000076F60000}"/>
    <cellStyle name="Normal 5 5 3" xfId="16028" xr:uid="{00000000-0005-0000-0000-000077F60000}"/>
    <cellStyle name="Normal 5 5 3 2" xfId="16029" xr:uid="{00000000-0005-0000-0000-000078F60000}"/>
    <cellStyle name="Normal 5 5 3 2 2" xfId="16030" xr:uid="{00000000-0005-0000-0000-000079F60000}"/>
    <cellStyle name="Normal 5 5 3 2 2 2" xfId="16031" xr:uid="{00000000-0005-0000-0000-00007AF60000}"/>
    <cellStyle name="Normal 5 5 3 2 2 2 2" xfId="32161" xr:uid="{00000000-0005-0000-0000-00007BF60000}"/>
    <cellStyle name="Normal 5 5 3 2 2 2 2 2" xfId="64032" xr:uid="{00000000-0005-0000-0000-00007CF60000}"/>
    <cellStyle name="Normal 5 5 3 2 2 2 3" xfId="47910" xr:uid="{00000000-0005-0000-0000-00007DF60000}"/>
    <cellStyle name="Normal 5 5 3 2 2 3" xfId="24283" xr:uid="{00000000-0005-0000-0000-00007EF60000}"/>
    <cellStyle name="Normal 5 5 3 2 2 3 2" xfId="56154" xr:uid="{00000000-0005-0000-0000-00007FF60000}"/>
    <cellStyle name="Normal 5 5 3 2 2 4" xfId="47909" xr:uid="{00000000-0005-0000-0000-000080F60000}"/>
    <cellStyle name="Normal 5 5 3 2 3" xfId="16032" xr:uid="{00000000-0005-0000-0000-000081F60000}"/>
    <cellStyle name="Normal 5 5 3 2 3 2" xfId="28222" xr:uid="{00000000-0005-0000-0000-000082F60000}"/>
    <cellStyle name="Normal 5 5 3 2 3 2 2" xfId="60093" xr:uid="{00000000-0005-0000-0000-000083F60000}"/>
    <cellStyle name="Normal 5 5 3 2 3 3" xfId="47911" xr:uid="{00000000-0005-0000-0000-000084F60000}"/>
    <cellStyle name="Normal 5 5 3 2 4" xfId="20344" xr:uid="{00000000-0005-0000-0000-000085F60000}"/>
    <cellStyle name="Normal 5 5 3 2 4 2" xfId="52215" xr:uid="{00000000-0005-0000-0000-000086F60000}"/>
    <cellStyle name="Normal 5 5 3 2 5" xfId="47908" xr:uid="{00000000-0005-0000-0000-000087F60000}"/>
    <cellStyle name="Normal 5 5 3 3" xfId="16033" xr:uid="{00000000-0005-0000-0000-000088F60000}"/>
    <cellStyle name="Normal 5 5 3 3 2" xfId="16034" xr:uid="{00000000-0005-0000-0000-000089F60000}"/>
    <cellStyle name="Normal 5 5 3 3 2 2" xfId="32160" xr:uid="{00000000-0005-0000-0000-00008AF60000}"/>
    <cellStyle name="Normal 5 5 3 3 2 2 2" xfId="64031" xr:uid="{00000000-0005-0000-0000-00008BF60000}"/>
    <cellStyle name="Normal 5 5 3 3 2 3" xfId="47913" xr:uid="{00000000-0005-0000-0000-00008CF60000}"/>
    <cellStyle name="Normal 5 5 3 3 3" xfId="24282" xr:uid="{00000000-0005-0000-0000-00008DF60000}"/>
    <cellStyle name="Normal 5 5 3 3 3 2" xfId="56153" xr:uid="{00000000-0005-0000-0000-00008EF60000}"/>
    <cellStyle name="Normal 5 5 3 3 4" xfId="47912" xr:uid="{00000000-0005-0000-0000-00008FF60000}"/>
    <cellStyle name="Normal 5 5 3 4" xfId="16035" xr:uid="{00000000-0005-0000-0000-000090F60000}"/>
    <cellStyle name="Normal 5 5 3 4 2" xfId="28221" xr:uid="{00000000-0005-0000-0000-000091F60000}"/>
    <cellStyle name="Normal 5 5 3 4 2 2" xfId="60092" xr:uid="{00000000-0005-0000-0000-000092F60000}"/>
    <cellStyle name="Normal 5 5 3 4 3" xfId="47914" xr:uid="{00000000-0005-0000-0000-000093F60000}"/>
    <cellStyle name="Normal 5 5 3 5" xfId="20343" xr:uid="{00000000-0005-0000-0000-000094F60000}"/>
    <cellStyle name="Normal 5 5 3 5 2" xfId="52214" xr:uid="{00000000-0005-0000-0000-000095F60000}"/>
    <cellStyle name="Normal 5 5 3 6" xfId="47907" xr:uid="{00000000-0005-0000-0000-000096F60000}"/>
    <cellStyle name="Normal 5 5 4" xfId="16036" xr:uid="{00000000-0005-0000-0000-000097F60000}"/>
    <cellStyle name="Normal 5 5 4 2" xfId="16037" xr:uid="{00000000-0005-0000-0000-000098F60000}"/>
    <cellStyle name="Normal 5 5 4 2 2" xfId="16038" xr:uid="{00000000-0005-0000-0000-000099F60000}"/>
    <cellStyle name="Normal 5 5 4 2 2 2" xfId="32162" xr:uid="{00000000-0005-0000-0000-00009AF60000}"/>
    <cellStyle name="Normal 5 5 4 2 2 2 2" xfId="64033" xr:uid="{00000000-0005-0000-0000-00009BF60000}"/>
    <cellStyle name="Normal 5 5 4 2 2 3" xfId="47917" xr:uid="{00000000-0005-0000-0000-00009CF60000}"/>
    <cellStyle name="Normal 5 5 4 2 3" xfId="24284" xr:uid="{00000000-0005-0000-0000-00009DF60000}"/>
    <cellStyle name="Normal 5 5 4 2 3 2" xfId="56155" xr:uid="{00000000-0005-0000-0000-00009EF60000}"/>
    <cellStyle name="Normal 5 5 4 2 4" xfId="47916" xr:uid="{00000000-0005-0000-0000-00009FF60000}"/>
    <cellStyle name="Normal 5 5 4 3" xfId="16039" xr:uid="{00000000-0005-0000-0000-0000A0F60000}"/>
    <cellStyle name="Normal 5 5 4 3 2" xfId="28223" xr:uid="{00000000-0005-0000-0000-0000A1F60000}"/>
    <cellStyle name="Normal 5 5 4 3 2 2" xfId="60094" xr:uid="{00000000-0005-0000-0000-0000A2F60000}"/>
    <cellStyle name="Normal 5 5 4 3 3" xfId="47918" xr:uid="{00000000-0005-0000-0000-0000A3F60000}"/>
    <cellStyle name="Normal 5 5 4 4" xfId="20345" xr:uid="{00000000-0005-0000-0000-0000A4F60000}"/>
    <cellStyle name="Normal 5 5 4 4 2" xfId="52216" xr:uid="{00000000-0005-0000-0000-0000A5F60000}"/>
    <cellStyle name="Normal 5 5 4 5" xfId="47915" xr:uid="{00000000-0005-0000-0000-0000A6F60000}"/>
    <cellStyle name="Normal 5 5 5" xfId="16040" xr:uid="{00000000-0005-0000-0000-0000A7F60000}"/>
    <cellStyle name="Normal 5 5 5 2" xfId="16041" xr:uid="{00000000-0005-0000-0000-0000A8F60000}"/>
    <cellStyle name="Normal 5 5 5 2 2" xfId="32155" xr:uid="{00000000-0005-0000-0000-0000A9F60000}"/>
    <cellStyle name="Normal 5 5 5 2 2 2" xfId="64026" xr:uid="{00000000-0005-0000-0000-0000AAF60000}"/>
    <cellStyle name="Normal 5 5 5 2 3" xfId="47920" xr:uid="{00000000-0005-0000-0000-0000ABF60000}"/>
    <cellStyle name="Normal 5 5 5 3" xfId="24277" xr:uid="{00000000-0005-0000-0000-0000ACF60000}"/>
    <cellStyle name="Normal 5 5 5 3 2" xfId="56148" xr:uid="{00000000-0005-0000-0000-0000ADF60000}"/>
    <cellStyle name="Normal 5 5 5 4" xfId="47919" xr:uid="{00000000-0005-0000-0000-0000AEF60000}"/>
    <cellStyle name="Normal 5 5 6" xfId="16042" xr:uid="{00000000-0005-0000-0000-0000AFF60000}"/>
    <cellStyle name="Normal 5 5 6 2" xfId="28216" xr:uid="{00000000-0005-0000-0000-0000B0F60000}"/>
    <cellStyle name="Normal 5 5 6 2 2" xfId="60087" xr:uid="{00000000-0005-0000-0000-0000B1F60000}"/>
    <cellStyle name="Normal 5 5 6 3" xfId="47921" xr:uid="{00000000-0005-0000-0000-0000B2F60000}"/>
    <cellStyle name="Normal 5 5 7" xfId="20338" xr:uid="{00000000-0005-0000-0000-0000B3F60000}"/>
    <cellStyle name="Normal 5 5 7 2" xfId="52209" xr:uid="{00000000-0005-0000-0000-0000B4F60000}"/>
    <cellStyle name="Normal 5 5 8" xfId="16011" xr:uid="{00000000-0005-0000-0000-0000B5F60000}"/>
    <cellStyle name="Normal 5 5 8 2" xfId="47890" xr:uid="{00000000-0005-0000-0000-0000B6F60000}"/>
    <cellStyle name="Normal 5 6" xfId="16043" xr:uid="{00000000-0005-0000-0000-0000B7F60000}"/>
    <cellStyle name="Normal 5 6 2" xfId="16044" xr:uid="{00000000-0005-0000-0000-0000B8F60000}"/>
    <cellStyle name="Normal 5 6 2 2" xfId="16045" xr:uid="{00000000-0005-0000-0000-0000B9F60000}"/>
    <cellStyle name="Normal 5 6 2 2 2" xfId="16046" xr:uid="{00000000-0005-0000-0000-0000BAF60000}"/>
    <cellStyle name="Normal 5 6 2 2 2 2" xfId="16047" xr:uid="{00000000-0005-0000-0000-0000BBF60000}"/>
    <cellStyle name="Normal 5 6 2 2 2 2 2" xfId="32165" xr:uid="{00000000-0005-0000-0000-0000BCF60000}"/>
    <cellStyle name="Normal 5 6 2 2 2 2 2 2" xfId="64036" xr:uid="{00000000-0005-0000-0000-0000BDF60000}"/>
    <cellStyle name="Normal 5 6 2 2 2 2 3" xfId="47926" xr:uid="{00000000-0005-0000-0000-0000BEF60000}"/>
    <cellStyle name="Normal 5 6 2 2 2 3" xfId="24287" xr:uid="{00000000-0005-0000-0000-0000BFF60000}"/>
    <cellStyle name="Normal 5 6 2 2 2 3 2" xfId="56158" xr:uid="{00000000-0005-0000-0000-0000C0F60000}"/>
    <cellStyle name="Normal 5 6 2 2 2 4" xfId="47925" xr:uid="{00000000-0005-0000-0000-0000C1F60000}"/>
    <cellStyle name="Normal 5 6 2 2 3" xfId="16048" xr:uid="{00000000-0005-0000-0000-0000C2F60000}"/>
    <cellStyle name="Normal 5 6 2 2 3 2" xfId="28226" xr:uid="{00000000-0005-0000-0000-0000C3F60000}"/>
    <cellStyle name="Normal 5 6 2 2 3 2 2" xfId="60097" xr:uid="{00000000-0005-0000-0000-0000C4F60000}"/>
    <cellStyle name="Normal 5 6 2 2 3 3" xfId="47927" xr:uid="{00000000-0005-0000-0000-0000C5F60000}"/>
    <cellStyle name="Normal 5 6 2 2 4" xfId="20348" xr:uid="{00000000-0005-0000-0000-0000C6F60000}"/>
    <cellStyle name="Normal 5 6 2 2 4 2" xfId="52219" xr:uid="{00000000-0005-0000-0000-0000C7F60000}"/>
    <cellStyle name="Normal 5 6 2 2 5" xfId="47924" xr:uid="{00000000-0005-0000-0000-0000C8F60000}"/>
    <cellStyle name="Normal 5 6 2 3" xfId="16049" xr:uid="{00000000-0005-0000-0000-0000C9F60000}"/>
    <cellStyle name="Normal 5 6 2 3 2" xfId="16050" xr:uid="{00000000-0005-0000-0000-0000CAF60000}"/>
    <cellStyle name="Normal 5 6 2 3 2 2" xfId="32164" xr:uid="{00000000-0005-0000-0000-0000CBF60000}"/>
    <cellStyle name="Normal 5 6 2 3 2 2 2" xfId="64035" xr:uid="{00000000-0005-0000-0000-0000CCF60000}"/>
    <cellStyle name="Normal 5 6 2 3 2 3" xfId="47929" xr:uid="{00000000-0005-0000-0000-0000CDF60000}"/>
    <cellStyle name="Normal 5 6 2 3 3" xfId="24286" xr:uid="{00000000-0005-0000-0000-0000CEF60000}"/>
    <cellStyle name="Normal 5 6 2 3 3 2" xfId="56157" xr:uid="{00000000-0005-0000-0000-0000CFF60000}"/>
    <cellStyle name="Normal 5 6 2 3 4" xfId="47928" xr:uid="{00000000-0005-0000-0000-0000D0F60000}"/>
    <cellStyle name="Normal 5 6 2 4" xfId="16051" xr:uid="{00000000-0005-0000-0000-0000D1F60000}"/>
    <cellStyle name="Normal 5 6 2 4 2" xfId="28225" xr:uid="{00000000-0005-0000-0000-0000D2F60000}"/>
    <cellStyle name="Normal 5 6 2 4 2 2" xfId="60096" xr:uid="{00000000-0005-0000-0000-0000D3F60000}"/>
    <cellStyle name="Normal 5 6 2 4 3" xfId="47930" xr:uid="{00000000-0005-0000-0000-0000D4F60000}"/>
    <cellStyle name="Normal 5 6 2 5" xfId="20347" xr:uid="{00000000-0005-0000-0000-0000D5F60000}"/>
    <cellStyle name="Normal 5 6 2 5 2" xfId="52218" xr:uid="{00000000-0005-0000-0000-0000D6F60000}"/>
    <cellStyle name="Normal 5 6 2 6" xfId="47923" xr:uid="{00000000-0005-0000-0000-0000D7F60000}"/>
    <cellStyle name="Normal 5 6 3" xfId="16052" xr:uid="{00000000-0005-0000-0000-0000D8F60000}"/>
    <cellStyle name="Normal 5 6 3 2" xfId="16053" xr:uid="{00000000-0005-0000-0000-0000D9F60000}"/>
    <cellStyle name="Normal 5 6 3 2 2" xfId="16054" xr:uid="{00000000-0005-0000-0000-0000DAF60000}"/>
    <cellStyle name="Normal 5 6 3 2 2 2" xfId="32166" xr:uid="{00000000-0005-0000-0000-0000DBF60000}"/>
    <cellStyle name="Normal 5 6 3 2 2 2 2" xfId="64037" xr:uid="{00000000-0005-0000-0000-0000DCF60000}"/>
    <cellStyle name="Normal 5 6 3 2 2 3" xfId="47933" xr:uid="{00000000-0005-0000-0000-0000DDF60000}"/>
    <cellStyle name="Normal 5 6 3 2 3" xfId="24288" xr:uid="{00000000-0005-0000-0000-0000DEF60000}"/>
    <cellStyle name="Normal 5 6 3 2 3 2" xfId="56159" xr:uid="{00000000-0005-0000-0000-0000DFF60000}"/>
    <cellStyle name="Normal 5 6 3 2 4" xfId="47932" xr:uid="{00000000-0005-0000-0000-0000E0F60000}"/>
    <cellStyle name="Normal 5 6 3 3" xfId="16055" xr:uid="{00000000-0005-0000-0000-0000E1F60000}"/>
    <cellStyle name="Normal 5 6 3 3 2" xfId="28227" xr:uid="{00000000-0005-0000-0000-0000E2F60000}"/>
    <cellStyle name="Normal 5 6 3 3 2 2" xfId="60098" xr:uid="{00000000-0005-0000-0000-0000E3F60000}"/>
    <cellStyle name="Normal 5 6 3 3 3" xfId="47934" xr:uid="{00000000-0005-0000-0000-0000E4F60000}"/>
    <cellStyle name="Normal 5 6 3 4" xfId="20349" xr:uid="{00000000-0005-0000-0000-0000E5F60000}"/>
    <cellStyle name="Normal 5 6 3 4 2" xfId="52220" xr:uid="{00000000-0005-0000-0000-0000E6F60000}"/>
    <cellStyle name="Normal 5 6 3 5" xfId="47931" xr:uid="{00000000-0005-0000-0000-0000E7F60000}"/>
    <cellStyle name="Normal 5 6 4" xfId="16056" xr:uid="{00000000-0005-0000-0000-0000E8F60000}"/>
    <cellStyle name="Normal 5 6 4 2" xfId="16057" xr:uid="{00000000-0005-0000-0000-0000E9F60000}"/>
    <cellStyle name="Normal 5 6 4 2 2" xfId="32163" xr:uid="{00000000-0005-0000-0000-0000EAF60000}"/>
    <cellStyle name="Normal 5 6 4 2 2 2" xfId="64034" xr:uid="{00000000-0005-0000-0000-0000EBF60000}"/>
    <cellStyle name="Normal 5 6 4 2 3" xfId="47936" xr:uid="{00000000-0005-0000-0000-0000ECF60000}"/>
    <cellStyle name="Normal 5 6 4 3" xfId="24285" xr:uid="{00000000-0005-0000-0000-0000EDF60000}"/>
    <cellStyle name="Normal 5 6 4 3 2" xfId="56156" xr:uid="{00000000-0005-0000-0000-0000EEF60000}"/>
    <cellStyle name="Normal 5 6 4 4" xfId="47935" xr:uid="{00000000-0005-0000-0000-0000EFF60000}"/>
    <cellStyle name="Normal 5 6 5" xfId="16058" xr:uid="{00000000-0005-0000-0000-0000F0F60000}"/>
    <cellStyle name="Normal 5 6 5 2" xfId="28224" xr:uid="{00000000-0005-0000-0000-0000F1F60000}"/>
    <cellStyle name="Normal 5 6 5 2 2" xfId="60095" xr:uid="{00000000-0005-0000-0000-0000F2F60000}"/>
    <cellStyle name="Normal 5 6 5 3" xfId="47937" xr:uid="{00000000-0005-0000-0000-0000F3F60000}"/>
    <cellStyle name="Normal 5 6 6" xfId="20346" xr:uid="{00000000-0005-0000-0000-0000F4F60000}"/>
    <cellStyle name="Normal 5 6 6 2" xfId="52217" xr:uid="{00000000-0005-0000-0000-0000F5F60000}"/>
    <cellStyle name="Normal 5 6 7" xfId="47922" xr:uid="{00000000-0005-0000-0000-0000F6F60000}"/>
    <cellStyle name="Normal 5 7" xfId="16059" xr:uid="{00000000-0005-0000-0000-0000F7F60000}"/>
    <cellStyle name="Normal 5 7 2" xfId="16060" xr:uid="{00000000-0005-0000-0000-0000F8F60000}"/>
    <cellStyle name="Normal 5 7 2 2" xfId="16061" xr:uid="{00000000-0005-0000-0000-0000F9F60000}"/>
    <cellStyle name="Normal 5 7 2 2 2" xfId="16062" xr:uid="{00000000-0005-0000-0000-0000FAF60000}"/>
    <cellStyle name="Normal 5 7 2 2 2 2" xfId="32168" xr:uid="{00000000-0005-0000-0000-0000FBF60000}"/>
    <cellStyle name="Normal 5 7 2 2 2 2 2" xfId="64039" xr:uid="{00000000-0005-0000-0000-0000FCF60000}"/>
    <cellStyle name="Normal 5 7 2 2 2 3" xfId="47941" xr:uid="{00000000-0005-0000-0000-0000FDF60000}"/>
    <cellStyle name="Normal 5 7 2 2 3" xfId="24290" xr:uid="{00000000-0005-0000-0000-0000FEF60000}"/>
    <cellStyle name="Normal 5 7 2 2 3 2" xfId="56161" xr:uid="{00000000-0005-0000-0000-0000FFF60000}"/>
    <cellStyle name="Normal 5 7 2 2 4" xfId="47940" xr:uid="{00000000-0005-0000-0000-000000F70000}"/>
    <cellStyle name="Normal 5 7 2 3" xfId="16063" xr:uid="{00000000-0005-0000-0000-000001F70000}"/>
    <cellStyle name="Normal 5 7 2 3 2" xfId="28229" xr:uid="{00000000-0005-0000-0000-000002F70000}"/>
    <cellStyle name="Normal 5 7 2 3 2 2" xfId="60100" xr:uid="{00000000-0005-0000-0000-000003F70000}"/>
    <cellStyle name="Normal 5 7 2 3 3" xfId="47942" xr:uid="{00000000-0005-0000-0000-000004F70000}"/>
    <cellStyle name="Normal 5 7 2 4" xfId="20351" xr:uid="{00000000-0005-0000-0000-000005F70000}"/>
    <cellStyle name="Normal 5 7 2 4 2" xfId="52222" xr:uid="{00000000-0005-0000-0000-000006F70000}"/>
    <cellStyle name="Normal 5 7 2 5" xfId="47939" xr:uid="{00000000-0005-0000-0000-000007F70000}"/>
    <cellStyle name="Normal 5 7 3" xfId="16064" xr:uid="{00000000-0005-0000-0000-000008F70000}"/>
    <cellStyle name="Normal 5 7 3 2" xfId="16065" xr:uid="{00000000-0005-0000-0000-000009F70000}"/>
    <cellStyle name="Normal 5 7 3 2 2" xfId="32167" xr:uid="{00000000-0005-0000-0000-00000AF70000}"/>
    <cellStyle name="Normal 5 7 3 2 2 2" xfId="64038" xr:uid="{00000000-0005-0000-0000-00000BF70000}"/>
    <cellStyle name="Normal 5 7 3 2 3" xfId="47944" xr:uid="{00000000-0005-0000-0000-00000CF70000}"/>
    <cellStyle name="Normal 5 7 3 3" xfId="24289" xr:uid="{00000000-0005-0000-0000-00000DF70000}"/>
    <cellStyle name="Normal 5 7 3 3 2" xfId="56160" xr:uid="{00000000-0005-0000-0000-00000EF70000}"/>
    <cellStyle name="Normal 5 7 3 4" xfId="47943" xr:uid="{00000000-0005-0000-0000-00000FF70000}"/>
    <cellStyle name="Normal 5 7 4" xfId="16066" xr:uid="{00000000-0005-0000-0000-000010F70000}"/>
    <cellStyle name="Normal 5 7 4 2" xfId="28228" xr:uid="{00000000-0005-0000-0000-000011F70000}"/>
    <cellStyle name="Normal 5 7 4 2 2" xfId="60099" xr:uid="{00000000-0005-0000-0000-000012F70000}"/>
    <cellStyle name="Normal 5 7 4 3" xfId="47945" xr:uid="{00000000-0005-0000-0000-000013F70000}"/>
    <cellStyle name="Normal 5 7 5" xfId="20350" xr:uid="{00000000-0005-0000-0000-000014F70000}"/>
    <cellStyle name="Normal 5 7 5 2" xfId="52221" xr:uid="{00000000-0005-0000-0000-000015F70000}"/>
    <cellStyle name="Normal 5 7 6" xfId="47938" xr:uid="{00000000-0005-0000-0000-000016F70000}"/>
    <cellStyle name="Normal 5 8" xfId="16067" xr:uid="{00000000-0005-0000-0000-000017F70000}"/>
    <cellStyle name="Normal 5 8 2" xfId="16068" xr:uid="{00000000-0005-0000-0000-000018F70000}"/>
    <cellStyle name="Normal 5 8 2 2" xfId="16069" xr:uid="{00000000-0005-0000-0000-000019F70000}"/>
    <cellStyle name="Normal 5 8 2 2 2" xfId="32169" xr:uid="{00000000-0005-0000-0000-00001AF70000}"/>
    <cellStyle name="Normal 5 8 2 2 2 2" xfId="64040" xr:uid="{00000000-0005-0000-0000-00001BF70000}"/>
    <cellStyle name="Normal 5 8 2 2 3" xfId="47948" xr:uid="{00000000-0005-0000-0000-00001CF70000}"/>
    <cellStyle name="Normal 5 8 2 3" xfId="24291" xr:uid="{00000000-0005-0000-0000-00001DF70000}"/>
    <cellStyle name="Normal 5 8 2 3 2" xfId="56162" xr:uid="{00000000-0005-0000-0000-00001EF70000}"/>
    <cellStyle name="Normal 5 8 2 4" xfId="47947" xr:uid="{00000000-0005-0000-0000-00001FF70000}"/>
    <cellStyle name="Normal 5 8 3" xfId="16070" xr:uid="{00000000-0005-0000-0000-000020F70000}"/>
    <cellStyle name="Normal 5 8 3 2" xfId="28230" xr:uid="{00000000-0005-0000-0000-000021F70000}"/>
    <cellStyle name="Normal 5 8 3 2 2" xfId="60101" xr:uid="{00000000-0005-0000-0000-000022F70000}"/>
    <cellStyle name="Normal 5 8 3 3" xfId="47949" xr:uid="{00000000-0005-0000-0000-000023F70000}"/>
    <cellStyle name="Normal 5 8 4" xfId="20352" xr:uid="{00000000-0005-0000-0000-000024F70000}"/>
    <cellStyle name="Normal 5 8 4 2" xfId="52223" xr:uid="{00000000-0005-0000-0000-000025F70000}"/>
    <cellStyle name="Normal 5 8 5" xfId="47946" xr:uid="{00000000-0005-0000-0000-000026F70000}"/>
    <cellStyle name="Normal 5 9" xfId="16071" xr:uid="{00000000-0005-0000-0000-000027F70000}"/>
    <cellStyle name="Normal 5 9 2" xfId="16072" xr:uid="{00000000-0005-0000-0000-000028F70000}"/>
    <cellStyle name="Normal 5 9 2 2" xfId="28274" xr:uid="{00000000-0005-0000-0000-000029F70000}"/>
    <cellStyle name="Normal 5 9 2 2 2" xfId="60145" xr:uid="{00000000-0005-0000-0000-00002AF70000}"/>
    <cellStyle name="Normal 5 9 2 3" xfId="47951" xr:uid="{00000000-0005-0000-0000-00002BF70000}"/>
    <cellStyle name="Normal 5 9 3" xfId="20396" xr:uid="{00000000-0005-0000-0000-00002CF70000}"/>
    <cellStyle name="Normal 5 9 3 2" xfId="52267" xr:uid="{00000000-0005-0000-0000-00002DF70000}"/>
    <cellStyle name="Normal 5 9 4" xfId="47950" xr:uid="{00000000-0005-0000-0000-00002EF70000}"/>
    <cellStyle name="Normal 6" xfId="156" xr:uid="{00000000-0005-0000-0000-00002FF70000}"/>
    <cellStyle name="Normal 6 10" xfId="16223" xr:uid="{00000000-0005-0000-0000-000030F70000}"/>
    <cellStyle name="Normal 6 10 2" xfId="16384" xr:uid="{00000000-0005-0000-0000-000031F70000}"/>
    <cellStyle name="Normal 6 10 2 2" xfId="48255" xr:uid="{00000000-0005-0000-0000-000032F70000}"/>
    <cellStyle name="Normal 6 10 3" xfId="48094" xr:uid="{00000000-0005-0000-0000-000033F70000}"/>
    <cellStyle name="Normal 6 11" xfId="16094" xr:uid="{00000000-0005-0000-0000-000034F70000}"/>
    <cellStyle name="Normal 6 12" xfId="16073" xr:uid="{00000000-0005-0000-0000-000035F70000}"/>
    <cellStyle name="Normal 6 12 2" xfId="47952" xr:uid="{00000000-0005-0000-0000-000036F70000}"/>
    <cellStyle name="Normal 6 2" xfId="157" xr:uid="{00000000-0005-0000-0000-000037F70000}"/>
    <cellStyle name="Normal 6 2 10" xfId="16074" xr:uid="{00000000-0005-0000-0000-000038F70000}"/>
    <cellStyle name="Normal 6 2 10 2" xfId="47953" xr:uid="{00000000-0005-0000-0000-000039F70000}"/>
    <cellStyle name="Normal 6 2 2" xfId="158" xr:uid="{00000000-0005-0000-0000-00003AF70000}"/>
    <cellStyle name="Normal 6 2 2 2" xfId="279" xr:uid="{00000000-0005-0000-0000-00003BF70000}"/>
    <cellStyle name="Normal 6 2 2 2 2" xfId="16110" xr:uid="{00000000-0005-0000-0000-00003CF70000}"/>
    <cellStyle name="Normal 6 2 2 2 2 2" xfId="16126" xr:uid="{00000000-0005-0000-0000-00003DF70000}"/>
    <cellStyle name="Normal 6 2 2 2 2 2 2" xfId="16158" xr:uid="{00000000-0005-0000-0000-00003EF70000}"/>
    <cellStyle name="Normal 6 2 2 2 2 2 2 2" xfId="16222" xr:uid="{00000000-0005-0000-0000-00003FF70000}"/>
    <cellStyle name="Normal 6 2 2 2 2 2 2 2 2" xfId="16383" xr:uid="{00000000-0005-0000-0000-000040F70000}"/>
    <cellStyle name="Normal 6 2 2 2 2 2 2 2 2 2" xfId="48254" xr:uid="{00000000-0005-0000-0000-000041F70000}"/>
    <cellStyle name="Normal 6 2 2 2 2 2 2 2 3" xfId="48093" xr:uid="{00000000-0005-0000-0000-000042F70000}"/>
    <cellStyle name="Normal 6 2 2 2 2 2 2 3" xfId="16319" xr:uid="{00000000-0005-0000-0000-000043F70000}"/>
    <cellStyle name="Normal 6 2 2 2 2 2 2 3 2" xfId="48190" xr:uid="{00000000-0005-0000-0000-000044F70000}"/>
    <cellStyle name="Normal 6 2 2 2 2 2 2 4" xfId="48029" xr:uid="{00000000-0005-0000-0000-000045F70000}"/>
    <cellStyle name="Normal 6 2 2 2 2 2 3" xfId="16190" xr:uid="{00000000-0005-0000-0000-000046F70000}"/>
    <cellStyle name="Normal 6 2 2 2 2 2 3 2" xfId="16351" xr:uid="{00000000-0005-0000-0000-000047F70000}"/>
    <cellStyle name="Normal 6 2 2 2 2 2 3 2 2" xfId="48222" xr:uid="{00000000-0005-0000-0000-000048F70000}"/>
    <cellStyle name="Normal 6 2 2 2 2 2 3 3" xfId="48061" xr:uid="{00000000-0005-0000-0000-000049F70000}"/>
    <cellStyle name="Normal 6 2 2 2 2 2 4" xfId="16254" xr:uid="{00000000-0005-0000-0000-00004AF70000}"/>
    <cellStyle name="Normal 6 2 2 2 2 2 4 2" xfId="16415" xr:uid="{00000000-0005-0000-0000-00004BF70000}"/>
    <cellStyle name="Normal 6 2 2 2 2 2 4 2 2" xfId="48286" xr:uid="{00000000-0005-0000-0000-00004CF70000}"/>
    <cellStyle name="Normal 6 2 2 2 2 2 4 3" xfId="48125" xr:uid="{00000000-0005-0000-0000-00004DF70000}"/>
    <cellStyle name="Normal 6 2 2 2 2 2 5" xfId="16287" xr:uid="{00000000-0005-0000-0000-00004EF70000}"/>
    <cellStyle name="Normal 6 2 2 2 2 2 5 2" xfId="48158" xr:uid="{00000000-0005-0000-0000-00004FF70000}"/>
    <cellStyle name="Normal 6 2 2 2 2 2 6" xfId="47997" xr:uid="{00000000-0005-0000-0000-000050F70000}"/>
    <cellStyle name="Normal 6 2 2 2 2 3" xfId="16142" xr:uid="{00000000-0005-0000-0000-000051F70000}"/>
    <cellStyle name="Normal 6 2 2 2 2 3 2" xfId="16206" xr:uid="{00000000-0005-0000-0000-000052F70000}"/>
    <cellStyle name="Normal 6 2 2 2 2 3 2 2" xfId="16367" xr:uid="{00000000-0005-0000-0000-000053F70000}"/>
    <cellStyle name="Normal 6 2 2 2 2 3 2 2 2" xfId="48238" xr:uid="{00000000-0005-0000-0000-000054F70000}"/>
    <cellStyle name="Normal 6 2 2 2 2 3 2 3" xfId="48077" xr:uid="{00000000-0005-0000-0000-000055F70000}"/>
    <cellStyle name="Normal 6 2 2 2 2 3 3" xfId="16303" xr:uid="{00000000-0005-0000-0000-000056F70000}"/>
    <cellStyle name="Normal 6 2 2 2 2 3 3 2" xfId="48174" xr:uid="{00000000-0005-0000-0000-000057F70000}"/>
    <cellStyle name="Normal 6 2 2 2 2 3 4" xfId="48013" xr:uid="{00000000-0005-0000-0000-000058F70000}"/>
    <cellStyle name="Normal 6 2 2 2 2 4" xfId="16174" xr:uid="{00000000-0005-0000-0000-000059F70000}"/>
    <cellStyle name="Normal 6 2 2 2 2 4 2" xfId="16335" xr:uid="{00000000-0005-0000-0000-00005AF70000}"/>
    <cellStyle name="Normal 6 2 2 2 2 4 2 2" xfId="48206" xr:uid="{00000000-0005-0000-0000-00005BF70000}"/>
    <cellStyle name="Normal 6 2 2 2 2 4 3" xfId="48045" xr:uid="{00000000-0005-0000-0000-00005CF70000}"/>
    <cellStyle name="Normal 6 2 2 2 2 5" xfId="16238" xr:uid="{00000000-0005-0000-0000-00005DF70000}"/>
    <cellStyle name="Normal 6 2 2 2 2 5 2" xfId="16399" xr:uid="{00000000-0005-0000-0000-00005EF70000}"/>
    <cellStyle name="Normal 6 2 2 2 2 5 2 2" xfId="48270" xr:uid="{00000000-0005-0000-0000-00005FF70000}"/>
    <cellStyle name="Normal 6 2 2 2 2 5 3" xfId="48109" xr:uid="{00000000-0005-0000-0000-000060F70000}"/>
    <cellStyle name="Normal 6 2 2 2 2 6" xfId="16271" xr:uid="{00000000-0005-0000-0000-000061F70000}"/>
    <cellStyle name="Normal 6 2 2 2 2 6 2" xfId="48142" xr:uid="{00000000-0005-0000-0000-000062F70000}"/>
    <cellStyle name="Normal 6 2 2 2 2 7" xfId="47981" xr:uid="{00000000-0005-0000-0000-000063F70000}"/>
    <cellStyle name="Normal 6 2 2 2 3" xfId="16118" xr:uid="{00000000-0005-0000-0000-000064F70000}"/>
    <cellStyle name="Normal 6 2 2 2 3 2" xfId="16150" xr:uid="{00000000-0005-0000-0000-000065F70000}"/>
    <cellStyle name="Normal 6 2 2 2 3 2 2" xfId="16214" xr:uid="{00000000-0005-0000-0000-000066F70000}"/>
    <cellStyle name="Normal 6 2 2 2 3 2 2 2" xfId="16375" xr:uid="{00000000-0005-0000-0000-000067F70000}"/>
    <cellStyle name="Normal 6 2 2 2 3 2 2 2 2" xfId="48246" xr:uid="{00000000-0005-0000-0000-000068F70000}"/>
    <cellStyle name="Normal 6 2 2 2 3 2 2 3" xfId="48085" xr:uid="{00000000-0005-0000-0000-000069F70000}"/>
    <cellStyle name="Normal 6 2 2 2 3 2 3" xfId="16311" xr:uid="{00000000-0005-0000-0000-00006AF70000}"/>
    <cellStyle name="Normal 6 2 2 2 3 2 3 2" xfId="48182" xr:uid="{00000000-0005-0000-0000-00006BF70000}"/>
    <cellStyle name="Normal 6 2 2 2 3 2 4" xfId="48021" xr:uid="{00000000-0005-0000-0000-00006CF70000}"/>
    <cellStyle name="Normal 6 2 2 2 3 3" xfId="16182" xr:uid="{00000000-0005-0000-0000-00006DF70000}"/>
    <cellStyle name="Normal 6 2 2 2 3 3 2" xfId="16343" xr:uid="{00000000-0005-0000-0000-00006EF70000}"/>
    <cellStyle name="Normal 6 2 2 2 3 3 2 2" xfId="48214" xr:uid="{00000000-0005-0000-0000-00006FF70000}"/>
    <cellStyle name="Normal 6 2 2 2 3 3 3" xfId="48053" xr:uid="{00000000-0005-0000-0000-000070F70000}"/>
    <cellStyle name="Normal 6 2 2 2 3 4" xfId="16246" xr:uid="{00000000-0005-0000-0000-000071F70000}"/>
    <cellStyle name="Normal 6 2 2 2 3 4 2" xfId="16407" xr:uid="{00000000-0005-0000-0000-000072F70000}"/>
    <cellStyle name="Normal 6 2 2 2 3 4 2 2" xfId="48278" xr:uid="{00000000-0005-0000-0000-000073F70000}"/>
    <cellStyle name="Normal 6 2 2 2 3 4 3" xfId="48117" xr:uid="{00000000-0005-0000-0000-000074F70000}"/>
    <cellStyle name="Normal 6 2 2 2 3 5" xfId="16279" xr:uid="{00000000-0005-0000-0000-000075F70000}"/>
    <cellStyle name="Normal 6 2 2 2 3 5 2" xfId="48150" xr:uid="{00000000-0005-0000-0000-000076F70000}"/>
    <cellStyle name="Normal 6 2 2 2 3 6" xfId="47989" xr:uid="{00000000-0005-0000-0000-000077F70000}"/>
    <cellStyle name="Normal 6 2 2 2 4" xfId="16134" xr:uid="{00000000-0005-0000-0000-000078F70000}"/>
    <cellStyle name="Normal 6 2 2 2 4 2" xfId="16198" xr:uid="{00000000-0005-0000-0000-000079F70000}"/>
    <cellStyle name="Normal 6 2 2 2 4 2 2" xfId="16359" xr:uid="{00000000-0005-0000-0000-00007AF70000}"/>
    <cellStyle name="Normal 6 2 2 2 4 2 2 2" xfId="48230" xr:uid="{00000000-0005-0000-0000-00007BF70000}"/>
    <cellStyle name="Normal 6 2 2 2 4 2 3" xfId="48069" xr:uid="{00000000-0005-0000-0000-00007CF70000}"/>
    <cellStyle name="Normal 6 2 2 2 4 3" xfId="16295" xr:uid="{00000000-0005-0000-0000-00007DF70000}"/>
    <cellStyle name="Normal 6 2 2 2 4 3 2" xfId="48166" xr:uid="{00000000-0005-0000-0000-00007EF70000}"/>
    <cellStyle name="Normal 6 2 2 2 4 4" xfId="48005" xr:uid="{00000000-0005-0000-0000-00007FF70000}"/>
    <cellStyle name="Normal 6 2 2 2 5" xfId="16166" xr:uid="{00000000-0005-0000-0000-000080F70000}"/>
    <cellStyle name="Normal 6 2 2 2 5 2" xfId="16327" xr:uid="{00000000-0005-0000-0000-000081F70000}"/>
    <cellStyle name="Normal 6 2 2 2 5 2 2" xfId="48198" xr:uid="{00000000-0005-0000-0000-000082F70000}"/>
    <cellStyle name="Normal 6 2 2 2 5 3" xfId="48037" xr:uid="{00000000-0005-0000-0000-000083F70000}"/>
    <cellStyle name="Normal 6 2 2 2 6" xfId="16230" xr:uid="{00000000-0005-0000-0000-000084F70000}"/>
    <cellStyle name="Normal 6 2 2 2 6 2" xfId="16391" xr:uid="{00000000-0005-0000-0000-000085F70000}"/>
    <cellStyle name="Normal 6 2 2 2 6 2 2" xfId="48262" xr:uid="{00000000-0005-0000-0000-000086F70000}"/>
    <cellStyle name="Normal 6 2 2 2 6 3" xfId="48101" xr:uid="{00000000-0005-0000-0000-000087F70000}"/>
    <cellStyle name="Normal 6 2 2 2 7" xfId="16263" xr:uid="{00000000-0005-0000-0000-000088F70000}"/>
    <cellStyle name="Normal 6 2 2 2 7 2" xfId="48134" xr:uid="{00000000-0005-0000-0000-000089F70000}"/>
    <cellStyle name="Normal 6 2 2 2 8" xfId="16102" xr:uid="{00000000-0005-0000-0000-00008AF70000}"/>
    <cellStyle name="Normal 6 2 2 2 8 2" xfId="47973" xr:uid="{00000000-0005-0000-0000-00008BF70000}"/>
    <cellStyle name="Normal 6 2 2 3" xfId="16106" xr:uid="{00000000-0005-0000-0000-00008CF70000}"/>
    <cellStyle name="Normal 6 2 2 3 2" xfId="16122" xr:uid="{00000000-0005-0000-0000-00008DF70000}"/>
    <cellStyle name="Normal 6 2 2 3 2 2" xfId="16154" xr:uid="{00000000-0005-0000-0000-00008EF70000}"/>
    <cellStyle name="Normal 6 2 2 3 2 2 2" xfId="16218" xr:uid="{00000000-0005-0000-0000-00008FF70000}"/>
    <cellStyle name="Normal 6 2 2 3 2 2 2 2" xfId="16379" xr:uid="{00000000-0005-0000-0000-000090F70000}"/>
    <cellStyle name="Normal 6 2 2 3 2 2 2 2 2" xfId="48250" xr:uid="{00000000-0005-0000-0000-000091F70000}"/>
    <cellStyle name="Normal 6 2 2 3 2 2 2 3" xfId="48089" xr:uid="{00000000-0005-0000-0000-000092F70000}"/>
    <cellStyle name="Normal 6 2 2 3 2 2 3" xfId="16315" xr:uid="{00000000-0005-0000-0000-000093F70000}"/>
    <cellStyle name="Normal 6 2 2 3 2 2 3 2" xfId="48186" xr:uid="{00000000-0005-0000-0000-000094F70000}"/>
    <cellStyle name="Normal 6 2 2 3 2 2 4" xfId="48025" xr:uid="{00000000-0005-0000-0000-000095F70000}"/>
    <cellStyle name="Normal 6 2 2 3 2 3" xfId="16186" xr:uid="{00000000-0005-0000-0000-000096F70000}"/>
    <cellStyle name="Normal 6 2 2 3 2 3 2" xfId="16347" xr:uid="{00000000-0005-0000-0000-000097F70000}"/>
    <cellStyle name="Normal 6 2 2 3 2 3 2 2" xfId="48218" xr:uid="{00000000-0005-0000-0000-000098F70000}"/>
    <cellStyle name="Normal 6 2 2 3 2 3 3" xfId="48057" xr:uid="{00000000-0005-0000-0000-000099F70000}"/>
    <cellStyle name="Normal 6 2 2 3 2 4" xfId="16250" xr:uid="{00000000-0005-0000-0000-00009AF70000}"/>
    <cellStyle name="Normal 6 2 2 3 2 4 2" xfId="16411" xr:uid="{00000000-0005-0000-0000-00009BF70000}"/>
    <cellStyle name="Normal 6 2 2 3 2 4 2 2" xfId="48282" xr:uid="{00000000-0005-0000-0000-00009CF70000}"/>
    <cellStyle name="Normal 6 2 2 3 2 4 3" xfId="48121" xr:uid="{00000000-0005-0000-0000-00009DF70000}"/>
    <cellStyle name="Normal 6 2 2 3 2 5" xfId="16283" xr:uid="{00000000-0005-0000-0000-00009EF70000}"/>
    <cellStyle name="Normal 6 2 2 3 2 5 2" xfId="48154" xr:uid="{00000000-0005-0000-0000-00009FF70000}"/>
    <cellStyle name="Normal 6 2 2 3 2 6" xfId="47993" xr:uid="{00000000-0005-0000-0000-0000A0F70000}"/>
    <cellStyle name="Normal 6 2 2 3 3" xfId="16138" xr:uid="{00000000-0005-0000-0000-0000A1F70000}"/>
    <cellStyle name="Normal 6 2 2 3 3 2" xfId="16202" xr:uid="{00000000-0005-0000-0000-0000A2F70000}"/>
    <cellStyle name="Normal 6 2 2 3 3 2 2" xfId="16363" xr:uid="{00000000-0005-0000-0000-0000A3F70000}"/>
    <cellStyle name="Normal 6 2 2 3 3 2 2 2" xfId="48234" xr:uid="{00000000-0005-0000-0000-0000A4F70000}"/>
    <cellStyle name="Normal 6 2 2 3 3 2 3" xfId="48073" xr:uid="{00000000-0005-0000-0000-0000A5F70000}"/>
    <cellStyle name="Normal 6 2 2 3 3 3" xfId="16299" xr:uid="{00000000-0005-0000-0000-0000A6F70000}"/>
    <cellStyle name="Normal 6 2 2 3 3 3 2" xfId="48170" xr:uid="{00000000-0005-0000-0000-0000A7F70000}"/>
    <cellStyle name="Normal 6 2 2 3 3 4" xfId="48009" xr:uid="{00000000-0005-0000-0000-0000A8F70000}"/>
    <cellStyle name="Normal 6 2 2 3 4" xfId="16170" xr:uid="{00000000-0005-0000-0000-0000A9F70000}"/>
    <cellStyle name="Normal 6 2 2 3 4 2" xfId="16331" xr:uid="{00000000-0005-0000-0000-0000AAF70000}"/>
    <cellStyle name="Normal 6 2 2 3 4 2 2" xfId="48202" xr:uid="{00000000-0005-0000-0000-0000ABF70000}"/>
    <cellStyle name="Normal 6 2 2 3 4 3" xfId="48041" xr:uid="{00000000-0005-0000-0000-0000ACF70000}"/>
    <cellStyle name="Normal 6 2 2 3 5" xfId="16234" xr:uid="{00000000-0005-0000-0000-0000ADF70000}"/>
    <cellStyle name="Normal 6 2 2 3 5 2" xfId="16395" xr:uid="{00000000-0005-0000-0000-0000AEF70000}"/>
    <cellStyle name="Normal 6 2 2 3 5 2 2" xfId="48266" xr:uid="{00000000-0005-0000-0000-0000AFF70000}"/>
    <cellStyle name="Normal 6 2 2 3 5 3" xfId="48105" xr:uid="{00000000-0005-0000-0000-0000B0F70000}"/>
    <cellStyle name="Normal 6 2 2 3 6" xfId="16267" xr:uid="{00000000-0005-0000-0000-0000B1F70000}"/>
    <cellStyle name="Normal 6 2 2 3 6 2" xfId="48138" xr:uid="{00000000-0005-0000-0000-0000B2F70000}"/>
    <cellStyle name="Normal 6 2 2 3 7" xfId="47977" xr:uid="{00000000-0005-0000-0000-0000B3F70000}"/>
    <cellStyle name="Normal 6 2 2 4" xfId="16114" xr:uid="{00000000-0005-0000-0000-0000B4F70000}"/>
    <cellStyle name="Normal 6 2 2 4 2" xfId="16146" xr:uid="{00000000-0005-0000-0000-0000B5F70000}"/>
    <cellStyle name="Normal 6 2 2 4 2 2" xfId="16210" xr:uid="{00000000-0005-0000-0000-0000B6F70000}"/>
    <cellStyle name="Normal 6 2 2 4 2 2 2" xfId="16371" xr:uid="{00000000-0005-0000-0000-0000B7F70000}"/>
    <cellStyle name="Normal 6 2 2 4 2 2 2 2" xfId="48242" xr:uid="{00000000-0005-0000-0000-0000B8F70000}"/>
    <cellStyle name="Normal 6 2 2 4 2 2 3" xfId="48081" xr:uid="{00000000-0005-0000-0000-0000B9F70000}"/>
    <cellStyle name="Normal 6 2 2 4 2 3" xfId="16307" xr:uid="{00000000-0005-0000-0000-0000BAF70000}"/>
    <cellStyle name="Normal 6 2 2 4 2 3 2" xfId="48178" xr:uid="{00000000-0005-0000-0000-0000BBF70000}"/>
    <cellStyle name="Normal 6 2 2 4 2 4" xfId="48017" xr:uid="{00000000-0005-0000-0000-0000BCF70000}"/>
    <cellStyle name="Normal 6 2 2 4 3" xfId="16178" xr:uid="{00000000-0005-0000-0000-0000BDF70000}"/>
    <cellStyle name="Normal 6 2 2 4 3 2" xfId="16339" xr:uid="{00000000-0005-0000-0000-0000BEF70000}"/>
    <cellStyle name="Normal 6 2 2 4 3 2 2" xfId="48210" xr:uid="{00000000-0005-0000-0000-0000BFF70000}"/>
    <cellStyle name="Normal 6 2 2 4 3 3" xfId="48049" xr:uid="{00000000-0005-0000-0000-0000C0F70000}"/>
    <cellStyle name="Normal 6 2 2 4 4" xfId="16242" xr:uid="{00000000-0005-0000-0000-0000C1F70000}"/>
    <cellStyle name="Normal 6 2 2 4 4 2" xfId="16403" xr:uid="{00000000-0005-0000-0000-0000C2F70000}"/>
    <cellStyle name="Normal 6 2 2 4 4 2 2" xfId="48274" xr:uid="{00000000-0005-0000-0000-0000C3F70000}"/>
    <cellStyle name="Normal 6 2 2 4 4 3" xfId="48113" xr:uid="{00000000-0005-0000-0000-0000C4F70000}"/>
    <cellStyle name="Normal 6 2 2 4 5" xfId="16275" xr:uid="{00000000-0005-0000-0000-0000C5F70000}"/>
    <cellStyle name="Normal 6 2 2 4 5 2" xfId="48146" xr:uid="{00000000-0005-0000-0000-0000C6F70000}"/>
    <cellStyle name="Normal 6 2 2 4 6" xfId="47985" xr:uid="{00000000-0005-0000-0000-0000C7F70000}"/>
    <cellStyle name="Normal 6 2 2 5" xfId="16130" xr:uid="{00000000-0005-0000-0000-0000C8F70000}"/>
    <cellStyle name="Normal 6 2 2 5 2" xfId="16194" xr:uid="{00000000-0005-0000-0000-0000C9F70000}"/>
    <cellStyle name="Normal 6 2 2 5 2 2" xfId="16355" xr:uid="{00000000-0005-0000-0000-0000CAF70000}"/>
    <cellStyle name="Normal 6 2 2 5 2 2 2" xfId="48226" xr:uid="{00000000-0005-0000-0000-0000CBF70000}"/>
    <cellStyle name="Normal 6 2 2 5 2 3" xfId="48065" xr:uid="{00000000-0005-0000-0000-0000CCF70000}"/>
    <cellStyle name="Normal 6 2 2 5 3" xfId="16291" xr:uid="{00000000-0005-0000-0000-0000CDF70000}"/>
    <cellStyle name="Normal 6 2 2 5 3 2" xfId="48162" xr:uid="{00000000-0005-0000-0000-0000CEF70000}"/>
    <cellStyle name="Normal 6 2 2 5 4" xfId="48001" xr:uid="{00000000-0005-0000-0000-0000CFF70000}"/>
    <cellStyle name="Normal 6 2 2 6" xfId="16162" xr:uid="{00000000-0005-0000-0000-0000D0F70000}"/>
    <cellStyle name="Normal 6 2 2 6 2" xfId="16323" xr:uid="{00000000-0005-0000-0000-0000D1F70000}"/>
    <cellStyle name="Normal 6 2 2 6 2 2" xfId="48194" xr:uid="{00000000-0005-0000-0000-0000D2F70000}"/>
    <cellStyle name="Normal 6 2 2 6 3" xfId="48033" xr:uid="{00000000-0005-0000-0000-0000D3F70000}"/>
    <cellStyle name="Normal 6 2 2 7" xfId="16226" xr:uid="{00000000-0005-0000-0000-0000D4F70000}"/>
    <cellStyle name="Normal 6 2 2 7 2" xfId="16387" xr:uid="{00000000-0005-0000-0000-0000D5F70000}"/>
    <cellStyle name="Normal 6 2 2 7 2 2" xfId="48258" xr:uid="{00000000-0005-0000-0000-0000D6F70000}"/>
    <cellStyle name="Normal 6 2 2 7 3" xfId="48097" xr:uid="{00000000-0005-0000-0000-0000D7F70000}"/>
    <cellStyle name="Normal 6 2 2 8" xfId="16259" xr:uid="{00000000-0005-0000-0000-0000D8F70000}"/>
    <cellStyle name="Normal 6 2 2 8 2" xfId="48130" xr:uid="{00000000-0005-0000-0000-0000D9F70000}"/>
    <cellStyle name="Normal 6 2 2 9" xfId="16075" xr:uid="{00000000-0005-0000-0000-0000DAF70000}"/>
    <cellStyle name="Normal 6 2 2 9 2" xfId="47954" xr:uid="{00000000-0005-0000-0000-0000DBF70000}"/>
    <cellStyle name="Normal 6 2 3" xfId="159" xr:uid="{00000000-0005-0000-0000-0000DCF70000}"/>
    <cellStyle name="Normal 6 2 3 2" xfId="280" xr:uid="{00000000-0005-0000-0000-0000DDF70000}"/>
    <cellStyle name="Normal 6 2 3 2 2" xfId="16124" xr:uid="{00000000-0005-0000-0000-0000DEF70000}"/>
    <cellStyle name="Normal 6 2 3 2 2 2" xfId="16156" xr:uid="{00000000-0005-0000-0000-0000DFF70000}"/>
    <cellStyle name="Normal 6 2 3 2 2 2 2" xfId="16220" xr:uid="{00000000-0005-0000-0000-0000E0F70000}"/>
    <cellStyle name="Normal 6 2 3 2 2 2 2 2" xfId="16381" xr:uid="{00000000-0005-0000-0000-0000E1F70000}"/>
    <cellStyle name="Normal 6 2 3 2 2 2 2 2 2" xfId="48252" xr:uid="{00000000-0005-0000-0000-0000E2F70000}"/>
    <cellStyle name="Normal 6 2 3 2 2 2 2 3" xfId="48091" xr:uid="{00000000-0005-0000-0000-0000E3F70000}"/>
    <cellStyle name="Normal 6 2 3 2 2 2 3" xfId="16317" xr:uid="{00000000-0005-0000-0000-0000E4F70000}"/>
    <cellStyle name="Normal 6 2 3 2 2 2 3 2" xfId="48188" xr:uid="{00000000-0005-0000-0000-0000E5F70000}"/>
    <cellStyle name="Normal 6 2 3 2 2 2 4" xfId="48027" xr:uid="{00000000-0005-0000-0000-0000E6F70000}"/>
    <cellStyle name="Normal 6 2 3 2 2 3" xfId="16188" xr:uid="{00000000-0005-0000-0000-0000E7F70000}"/>
    <cellStyle name="Normal 6 2 3 2 2 3 2" xfId="16349" xr:uid="{00000000-0005-0000-0000-0000E8F70000}"/>
    <cellStyle name="Normal 6 2 3 2 2 3 2 2" xfId="48220" xr:uid="{00000000-0005-0000-0000-0000E9F70000}"/>
    <cellStyle name="Normal 6 2 3 2 2 3 3" xfId="48059" xr:uid="{00000000-0005-0000-0000-0000EAF70000}"/>
    <cellStyle name="Normal 6 2 3 2 2 4" xfId="16252" xr:uid="{00000000-0005-0000-0000-0000EBF70000}"/>
    <cellStyle name="Normal 6 2 3 2 2 4 2" xfId="16413" xr:uid="{00000000-0005-0000-0000-0000ECF70000}"/>
    <cellStyle name="Normal 6 2 3 2 2 4 2 2" xfId="48284" xr:uid="{00000000-0005-0000-0000-0000EDF70000}"/>
    <cellStyle name="Normal 6 2 3 2 2 4 3" xfId="48123" xr:uid="{00000000-0005-0000-0000-0000EEF70000}"/>
    <cellStyle name="Normal 6 2 3 2 2 5" xfId="16285" xr:uid="{00000000-0005-0000-0000-0000EFF70000}"/>
    <cellStyle name="Normal 6 2 3 2 2 5 2" xfId="48156" xr:uid="{00000000-0005-0000-0000-0000F0F70000}"/>
    <cellStyle name="Normal 6 2 3 2 2 6" xfId="47995" xr:uid="{00000000-0005-0000-0000-0000F1F70000}"/>
    <cellStyle name="Normal 6 2 3 2 3" xfId="16140" xr:uid="{00000000-0005-0000-0000-0000F2F70000}"/>
    <cellStyle name="Normal 6 2 3 2 3 2" xfId="16204" xr:uid="{00000000-0005-0000-0000-0000F3F70000}"/>
    <cellStyle name="Normal 6 2 3 2 3 2 2" xfId="16365" xr:uid="{00000000-0005-0000-0000-0000F4F70000}"/>
    <cellStyle name="Normal 6 2 3 2 3 2 2 2" xfId="48236" xr:uid="{00000000-0005-0000-0000-0000F5F70000}"/>
    <cellStyle name="Normal 6 2 3 2 3 2 3" xfId="48075" xr:uid="{00000000-0005-0000-0000-0000F6F70000}"/>
    <cellStyle name="Normal 6 2 3 2 3 3" xfId="16301" xr:uid="{00000000-0005-0000-0000-0000F7F70000}"/>
    <cellStyle name="Normal 6 2 3 2 3 3 2" xfId="48172" xr:uid="{00000000-0005-0000-0000-0000F8F70000}"/>
    <cellStyle name="Normal 6 2 3 2 3 4" xfId="48011" xr:uid="{00000000-0005-0000-0000-0000F9F70000}"/>
    <cellStyle name="Normal 6 2 3 2 4" xfId="16172" xr:uid="{00000000-0005-0000-0000-0000FAF70000}"/>
    <cellStyle name="Normal 6 2 3 2 4 2" xfId="16333" xr:uid="{00000000-0005-0000-0000-0000FBF70000}"/>
    <cellStyle name="Normal 6 2 3 2 4 2 2" xfId="48204" xr:uid="{00000000-0005-0000-0000-0000FCF70000}"/>
    <cellStyle name="Normal 6 2 3 2 4 3" xfId="48043" xr:uid="{00000000-0005-0000-0000-0000FDF70000}"/>
    <cellStyle name="Normal 6 2 3 2 5" xfId="16236" xr:uid="{00000000-0005-0000-0000-0000FEF70000}"/>
    <cellStyle name="Normal 6 2 3 2 5 2" xfId="16397" xr:uid="{00000000-0005-0000-0000-0000FFF70000}"/>
    <cellStyle name="Normal 6 2 3 2 5 2 2" xfId="48268" xr:uid="{00000000-0005-0000-0000-000000F80000}"/>
    <cellStyle name="Normal 6 2 3 2 5 3" xfId="48107" xr:uid="{00000000-0005-0000-0000-000001F80000}"/>
    <cellStyle name="Normal 6 2 3 2 6" xfId="16269" xr:uid="{00000000-0005-0000-0000-000002F80000}"/>
    <cellStyle name="Normal 6 2 3 2 6 2" xfId="48140" xr:uid="{00000000-0005-0000-0000-000003F80000}"/>
    <cellStyle name="Normal 6 2 3 2 7" xfId="16108" xr:uid="{00000000-0005-0000-0000-000004F80000}"/>
    <cellStyle name="Normal 6 2 3 2 7 2" xfId="47979" xr:uid="{00000000-0005-0000-0000-000005F80000}"/>
    <cellStyle name="Normal 6 2 3 3" xfId="16116" xr:uid="{00000000-0005-0000-0000-000006F80000}"/>
    <cellStyle name="Normal 6 2 3 3 2" xfId="16148" xr:uid="{00000000-0005-0000-0000-000007F80000}"/>
    <cellStyle name="Normal 6 2 3 3 2 2" xfId="16212" xr:uid="{00000000-0005-0000-0000-000008F80000}"/>
    <cellStyle name="Normal 6 2 3 3 2 2 2" xfId="16373" xr:uid="{00000000-0005-0000-0000-000009F80000}"/>
    <cellStyle name="Normal 6 2 3 3 2 2 2 2" xfId="48244" xr:uid="{00000000-0005-0000-0000-00000AF80000}"/>
    <cellStyle name="Normal 6 2 3 3 2 2 3" xfId="48083" xr:uid="{00000000-0005-0000-0000-00000BF80000}"/>
    <cellStyle name="Normal 6 2 3 3 2 3" xfId="16309" xr:uid="{00000000-0005-0000-0000-00000CF80000}"/>
    <cellStyle name="Normal 6 2 3 3 2 3 2" xfId="48180" xr:uid="{00000000-0005-0000-0000-00000DF80000}"/>
    <cellStyle name="Normal 6 2 3 3 2 4" xfId="48019" xr:uid="{00000000-0005-0000-0000-00000EF80000}"/>
    <cellStyle name="Normal 6 2 3 3 3" xfId="16180" xr:uid="{00000000-0005-0000-0000-00000FF80000}"/>
    <cellStyle name="Normal 6 2 3 3 3 2" xfId="16341" xr:uid="{00000000-0005-0000-0000-000010F80000}"/>
    <cellStyle name="Normal 6 2 3 3 3 2 2" xfId="48212" xr:uid="{00000000-0005-0000-0000-000011F80000}"/>
    <cellStyle name="Normal 6 2 3 3 3 3" xfId="48051" xr:uid="{00000000-0005-0000-0000-000012F80000}"/>
    <cellStyle name="Normal 6 2 3 3 4" xfId="16244" xr:uid="{00000000-0005-0000-0000-000013F80000}"/>
    <cellStyle name="Normal 6 2 3 3 4 2" xfId="16405" xr:uid="{00000000-0005-0000-0000-000014F80000}"/>
    <cellStyle name="Normal 6 2 3 3 4 2 2" xfId="48276" xr:uid="{00000000-0005-0000-0000-000015F80000}"/>
    <cellStyle name="Normal 6 2 3 3 4 3" xfId="48115" xr:uid="{00000000-0005-0000-0000-000016F80000}"/>
    <cellStyle name="Normal 6 2 3 3 5" xfId="16277" xr:uid="{00000000-0005-0000-0000-000017F80000}"/>
    <cellStyle name="Normal 6 2 3 3 5 2" xfId="48148" xr:uid="{00000000-0005-0000-0000-000018F80000}"/>
    <cellStyle name="Normal 6 2 3 3 6" xfId="47987" xr:uid="{00000000-0005-0000-0000-000019F80000}"/>
    <cellStyle name="Normal 6 2 3 4" xfId="16132" xr:uid="{00000000-0005-0000-0000-00001AF80000}"/>
    <cellStyle name="Normal 6 2 3 4 2" xfId="16196" xr:uid="{00000000-0005-0000-0000-00001BF80000}"/>
    <cellStyle name="Normal 6 2 3 4 2 2" xfId="16357" xr:uid="{00000000-0005-0000-0000-00001CF80000}"/>
    <cellStyle name="Normal 6 2 3 4 2 2 2" xfId="48228" xr:uid="{00000000-0005-0000-0000-00001DF80000}"/>
    <cellStyle name="Normal 6 2 3 4 2 3" xfId="48067" xr:uid="{00000000-0005-0000-0000-00001EF80000}"/>
    <cellStyle name="Normal 6 2 3 4 3" xfId="16293" xr:uid="{00000000-0005-0000-0000-00001FF80000}"/>
    <cellStyle name="Normal 6 2 3 4 3 2" xfId="48164" xr:uid="{00000000-0005-0000-0000-000020F80000}"/>
    <cellStyle name="Normal 6 2 3 4 4" xfId="48003" xr:uid="{00000000-0005-0000-0000-000021F80000}"/>
    <cellStyle name="Normal 6 2 3 5" xfId="16164" xr:uid="{00000000-0005-0000-0000-000022F80000}"/>
    <cellStyle name="Normal 6 2 3 5 2" xfId="16325" xr:uid="{00000000-0005-0000-0000-000023F80000}"/>
    <cellStyle name="Normal 6 2 3 5 2 2" xfId="48196" xr:uid="{00000000-0005-0000-0000-000024F80000}"/>
    <cellStyle name="Normal 6 2 3 5 3" xfId="48035" xr:uid="{00000000-0005-0000-0000-000025F80000}"/>
    <cellStyle name="Normal 6 2 3 6" xfId="16228" xr:uid="{00000000-0005-0000-0000-000026F80000}"/>
    <cellStyle name="Normal 6 2 3 6 2" xfId="16389" xr:uid="{00000000-0005-0000-0000-000027F80000}"/>
    <cellStyle name="Normal 6 2 3 6 2 2" xfId="48260" xr:uid="{00000000-0005-0000-0000-000028F80000}"/>
    <cellStyle name="Normal 6 2 3 6 3" xfId="48099" xr:uid="{00000000-0005-0000-0000-000029F80000}"/>
    <cellStyle name="Normal 6 2 3 7" xfId="16261" xr:uid="{00000000-0005-0000-0000-00002AF80000}"/>
    <cellStyle name="Normal 6 2 3 7 2" xfId="48132" xr:uid="{00000000-0005-0000-0000-00002BF80000}"/>
    <cellStyle name="Normal 6 2 3 8" xfId="16100" xr:uid="{00000000-0005-0000-0000-00002CF80000}"/>
    <cellStyle name="Normal 6 2 3 8 2" xfId="47971" xr:uid="{00000000-0005-0000-0000-00002DF80000}"/>
    <cellStyle name="Normal 6 2 4" xfId="278" xr:uid="{00000000-0005-0000-0000-00002EF80000}"/>
    <cellStyle name="Normal 6 2 4 2" xfId="16120" xr:uid="{00000000-0005-0000-0000-00002FF80000}"/>
    <cellStyle name="Normal 6 2 4 2 2" xfId="16152" xr:uid="{00000000-0005-0000-0000-000030F80000}"/>
    <cellStyle name="Normal 6 2 4 2 2 2" xfId="16216" xr:uid="{00000000-0005-0000-0000-000031F80000}"/>
    <cellStyle name="Normal 6 2 4 2 2 2 2" xfId="16377" xr:uid="{00000000-0005-0000-0000-000032F80000}"/>
    <cellStyle name="Normal 6 2 4 2 2 2 2 2" xfId="48248" xr:uid="{00000000-0005-0000-0000-000033F80000}"/>
    <cellStyle name="Normal 6 2 4 2 2 2 3" xfId="48087" xr:uid="{00000000-0005-0000-0000-000034F80000}"/>
    <cellStyle name="Normal 6 2 4 2 2 3" xfId="16313" xr:uid="{00000000-0005-0000-0000-000035F80000}"/>
    <cellStyle name="Normal 6 2 4 2 2 3 2" xfId="48184" xr:uid="{00000000-0005-0000-0000-000036F80000}"/>
    <cellStyle name="Normal 6 2 4 2 2 4" xfId="48023" xr:uid="{00000000-0005-0000-0000-000037F80000}"/>
    <cellStyle name="Normal 6 2 4 2 3" xfId="16184" xr:uid="{00000000-0005-0000-0000-000038F80000}"/>
    <cellStyle name="Normal 6 2 4 2 3 2" xfId="16345" xr:uid="{00000000-0005-0000-0000-000039F80000}"/>
    <cellStyle name="Normal 6 2 4 2 3 2 2" xfId="48216" xr:uid="{00000000-0005-0000-0000-00003AF80000}"/>
    <cellStyle name="Normal 6 2 4 2 3 3" xfId="48055" xr:uid="{00000000-0005-0000-0000-00003BF80000}"/>
    <cellStyle name="Normal 6 2 4 2 4" xfId="16248" xr:uid="{00000000-0005-0000-0000-00003CF80000}"/>
    <cellStyle name="Normal 6 2 4 2 4 2" xfId="16409" xr:uid="{00000000-0005-0000-0000-00003DF80000}"/>
    <cellStyle name="Normal 6 2 4 2 4 2 2" xfId="48280" xr:uid="{00000000-0005-0000-0000-00003EF80000}"/>
    <cellStyle name="Normal 6 2 4 2 4 3" xfId="48119" xr:uid="{00000000-0005-0000-0000-00003FF80000}"/>
    <cellStyle name="Normal 6 2 4 2 5" xfId="16281" xr:uid="{00000000-0005-0000-0000-000040F80000}"/>
    <cellStyle name="Normal 6 2 4 2 5 2" xfId="48152" xr:uid="{00000000-0005-0000-0000-000041F80000}"/>
    <cellStyle name="Normal 6 2 4 2 6" xfId="47991" xr:uid="{00000000-0005-0000-0000-000042F80000}"/>
    <cellStyle name="Normal 6 2 4 3" xfId="16136" xr:uid="{00000000-0005-0000-0000-000043F80000}"/>
    <cellStyle name="Normal 6 2 4 3 2" xfId="16200" xr:uid="{00000000-0005-0000-0000-000044F80000}"/>
    <cellStyle name="Normal 6 2 4 3 2 2" xfId="16361" xr:uid="{00000000-0005-0000-0000-000045F80000}"/>
    <cellStyle name="Normal 6 2 4 3 2 2 2" xfId="48232" xr:uid="{00000000-0005-0000-0000-000046F80000}"/>
    <cellStyle name="Normal 6 2 4 3 2 3" xfId="48071" xr:uid="{00000000-0005-0000-0000-000047F80000}"/>
    <cellStyle name="Normal 6 2 4 3 3" xfId="16297" xr:uid="{00000000-0005-0000-0000-000048F80000}"/>
    <cellStyle name="Normal 6 2 4 3 3 2" xfId="48168" xr:uid="{00000000-0005-0000-0000-000049F80000}"/>
    <cellStyle name="Normal 6 2 4 3 4" xfId="48007" xr:uid="{00000000-0005-0000-0000-00004AF80000}"/>
    <cellStyle name="Normal 6 2 4 4" xfId="16168" xr:uid="{00000000-0005-0000-0000-00004BF80000}"/>
    <cellStyle name="Normal 6 2 4 4 2" xfId="16329" xr:uid="{00000000-0005-0000-0000-00004CF80000}"/>
    <cellStyle name="Normal 6 2 4 4 2 2" xfId="48200" xr:uid="{00000000-0005-0000-0000-00004DF80000}"/>
    <cellStyle name="Normal 6 2 4 4 3" xfId="48039" xr:uid="{00000000-0005-0000-0000-00004EF80000}"/>
    <cellStyle name="Normal 6 2 4 5" xfId="16232" xr:uid="{00000000-0005-0000-0000-00004FF80000}"/>
    <cellStyle name="Normal 6 2 4 5 2" xfId="16393" xr:uid="{00000000-0005-0000-0000-000050F80000}"/>
    <cellStyle name="Normal 6 2 4 5 2 2" xfId="48264" xr:uid="{00000000-0005-0000-0000-000051F80000}"/>
    <cellStyle name="Normal 6 2 4 5 3" xfId="48103" xr:uid="{00000000-0005-0000-0000-000052F80000}"/>
    <cellStyle name="Normal 6 2 4 6" xfId="16265" xr:uid="{00000000-0005-0000-0000-000053F80000}"/>
    <cellStyle name="Normal 6 2 4 6 2" xfId="48136" xr:uid="{00000000-0005-0000-0000-000054F80000}"/>
    <cellStyle name="Normal 6 2 4 7" xfId="16104" xr:uid="{00000000-0005-0000-0000-000055F80000}"/>
    <cellStyle name="Normal 6 2 4 7 2" xfId="47975" xr:uid="{00000000-0005-0000-0000-000056F80000}"/>
    <cellStyle name="Normal 6 2 5" xfId="16112" xr:uid="{00000000-0005-0000-0000-000057F80000}"/>
    <cellStyle name="Normal 6 2 5 2" xfId="16144" xr:uid="{00000000-0005-0000-0000-000058F80000}"/>
    <cellStyle name="Normal 6 2 5 2 2" xfId="16208" xr:uid="{00000000-0005-0000-0000-000059F80000}"/>
    <cellStyle name="Normal 6 2 5 2 2 2" xfId="16369" xr:uid="{00000000-0005-0000-0000-00005AF80000}"/>
    <cellStyle name="Normal 6 2 5 2 2 2 2" xfId="48240" xr:uid="{00000000-0005-0000-0000-00005BF80000}"/>
    <cellStyle name="Normal 6 2 5 2 2 3" xfId="48079" xr:uid="{00000000-0005-0000-0000-00005CF80000}"/>
    <cellStyle name="Normal 6 2 5 2 3" xfId="16305" xr:uid="{00000000-0005-0000-0000-00005DF80000}"/>
    <cellStyle name="Normal 6 2 5 2 3 2" xfId="48176" xr:uid="{00000000-0005-0000-0000-00005EF80000}"/>
    <cellStyle name="Normal 6 2 5 2 4" xfId="48015" xr:uid="{00000000-0005-0000-0000-00005FF80000}"/>
    <cellStyle name="Normal 6 2 5 3" xfId="16176" xr:uid="{00000000-0005-0000-0000-000060F80000}"/>
    <cellStyle name="Normal 6 2 5 3 2" xfId="16337" xr:uid="{00000000-0005-0000-0000-000061F80000}"/>
    <cellStyle name="Normal 6 2 5 3 2 2" xfId="48208" xr:uid="{00000000-0005-0000-0000-000062F80000}"/>
    <cellStyle name="Normal 6 2 5 3 3" xfId="48047" xr:uid="{00000000-0005-0000-0000-000063F80000}"/>
    <cellStyle name="Normal 6 2 5 4" xfId="16240" xr:uid="{00000000-0005-0000-0000-000064F80000}"/>
    <cellStyle name="Normal 6 2 5 4 2" xfId="16401" xr:uid="{00000000-0005-0000-0000-000065F80000}"/>
    <cellStyle name="Normal 6 2 5 4 2 2" xfId="48272" xr:uid="{00000000-0005-0000-0000-000066F80000}"/>
    <cellStyle name="Normal 6 2 5 4 3" xfId="48111" xr:uid="{00000000-0005-0000-0000-000067F80000}"/>
    <cellStyle name="Normal 6 2 5 5" xfId="16273" xr:uid="{00000000-0005-0000-0000-000068F80000}"/>
    <cellStyle name="Normal 6 2 5 5 2" xfId="48144" xr:uid="{00000000-0005-0000-0000-000069F80000}"/>
    <cellStyle name="Normal 6 2 5 6" xfId="47983" xr:uid="{00000000-0005-0000-0000-00006AF80000}"/>
    <cellStyle name="Normal 6 2 6" xfId="16128" xr:uid="{00000000-0005-0000-0000-00006BF80000}"/>
    <cellStyle name="Normal 6 2 6 2" xfId="16192" xr:uid="{00000000-0005-0000-0000-00006CF80000}"/>
    <cellStyle name="Normal 6 2 6 2 2" xfId="16353" xr:uid="{00000000-0005-0000-0000-00006DF80000}"/>
    <cellStyle name="Normal 6 2 6 2 2 2" xfId="48224" xr:uid="{00000000-0005-0000-0000-00006EF80000}"/>
    <cellStyle name="Normal 6 2 6 2 3" xfId="48063" xr:uid="{00000000-0005-0000-0000-00006FF80000}"/>
    <cellStyle name="Normal 6 2 6 3" xfId="16289" xr:uid="{00000000-0005-0000-0000-000070F80000}"/>
    <cellStyle name="Normal 6 2 6 3 2" xfId="48160" xr:uid="{00000000-0005-0000-0000-000071F80000}"/>
    <cellStyle name="Normal 6 2 6 4" xfId="47999" xr:uid="{00000000-0005-0000-0000-000072F80000}"/>
    <cellStyle name="Normal 6 2 7" xfId="16160" xr:uid="{00000000-0005-0000-0000-000073F80000}"/>
    <cellStyle name="Normal 6 2 7 2" xfId="16321" xr:uid="{00000000-0005-0000-0000-000074F80000}"/>
    <cellStyle name="Normal 6 2 7 2 2" xfId="48192" xr:uid="{00000000-0005-0000-0000-000075F80000}"/>
    <cellStyle name="Normal 6 2 7 3" xfId="48031" xr:uid="{00000000-0005-0000-0000-000076F80000}"/>
    <cellStyle name="Normal 6 2 8" xfId="16224" xr:uid="{00000000-0005-0000-0000-000077F80000}"/>
    <cellStyle name="Normal 6 2 8 2" xfId="16385" xr:uid="{00000000-0005-0000-0000-000078F80000}"/>
    <cellStyle name="Normal 6 2 8 2 2" xfId="48256" xr:uid="{00000000-0005-0000-0000-000079F80000}"/>
    <cellStyle name="Normal 6 2 8 3" xfId="48095" xr:uid="{00000000-0005-0000-0000-00007AF80000}"/>
    <cellStyle name="Normal 6 2 9" xfId="16257" xr:uid="{00000000-0005-0000-0000-00007BF80000}"/>
    <cellStyle name="Normal 6 2 9 2" xfId="48128" xr:uid="{00000000-0005-0000-0000-00007CF80000}"/>
    <cellStyle name="Normal 6 3" xfId="160" xr:uid="{00000000-0005-0000-0000-00007DF80000}"/>
    <cellStyle name="Normal 6 3 2" xfId="281" xr:uid="{00000000-0005-0000-0000-00007EF80000}"/>
    <cellStyle name="Normal 6 3 2 2" xfId="16109" xr:uid="{00000000-0005-0000-0000-00007FF80000}"/>
    <cellStyle name="Normal 6 3 2 2 2" xfId="16125" xr:uid="{00000000-0005-0000-0000-000080F80000}"/>
    <cellStyle name="Normal 6 3 2 2 2 2" xfId="16157" xr:uid="{00000000-0005-0000-0000-000081F80000}"/>
    <cellStyle name="Normal 6 3 2 2 2 2 2" xfId="16221" xr:uid="{00000000-0005-0000-0000-000082F80000}"/>
    <cellStyle name="Normal 6 3 2 2 2 2 2 2" xfId="16382" xr:uid="{00000000-0005-0000-0000-000083F80000}"/>
    <cellStyle name="Normal 6 3 2 2 2 2 2 2 2" xfId="48253" xr:uid="{00000000-0005-0000-0000-000084F80000}"/>
    <cellStyle name="Normal 6 3 2 2 2 2 2 3" xfId="48092" xr:uid="{00000000-0005-0000-0000-000085F80000}"/>
    <cellStyle name="Normal 6 3 2 2 2 2 3" xfId="16318" xr:uid="{00000000-0005-0000-0000-000086F80000}"/>
    <cellStyle name="Normal 6 3 2 2 2 2 3 2" xfId="48189" xr:uid="{00000000-0005-0000-0000-000087F80000}"/>
    <cellStyle name="Normal 6 3 2 2 2 2 4" xfId="48028" xr:uid="{00000000-0005-0000-0000-000088F80000}"/>
    <cellStyle name="Normal 6 3 2 2 2 3" xfId="16189" xr:uid="{00000000-0005-0000-0000-000089F80000}"/>
    <cellStyle name="Normal 6 3 2 2 2 3 2" xfId="16350" xr:uid="{00000000-0005-0000-0000-00008AF80000}"/>
    <cellStyle name="Normal 6 3 2 2 2 3 2 2" xfId="48221" xr:uid="{00000000-0005-0000-0000-00008BF80000}"/>
    <cellStyle name="Normal 6 3 2 2 2 3 3" xfId="48060" xr:uid="{00000000-0005-0000-0000-00008CF80000}"/>
    <cellStyle name="Normal 6 3 2 2 2 4" xfId="16253" xr:uid="{00000000-0005-0000-0000-00008DF80000}"/>
    <cellStyle name="Normal 6 3 2 2 2 4 2" xfId="16414" xr:uid="{00000000-0005-0000-0000-00008EF80000}"/>
    <cellStyle name="Normal 6 3 2 2 2 4 2 2" xfId="48285" xr:uid="{00000000-0005-0000-0000-00008FF80000}"/>
    <cellStyle name="Normal 6 3 2 2 2 4 3" xfId="48124" xr:uid="{00000000-0005-0000-0000-000090F80000}"/>
    <cellStyle name="Normal 6 3 2 2 2 5" xfId="16286" xr:uid="{00000000-0005-0000-0000-000091F80000}"/>
    <cellStyle name="Normal 6 3 2 2 2 5 2" xfId="48157" xr:uid="{00000000-0005-0000-0000-000092F80000}"/>
    <cellStyle name="Normal 6 3 2 2 2 6" xfId="47996" xr:uid="{00000000-0005-0000-0000-000093F80000}"/>
    <cellStyle name="Normal 6 3 2 2 3" xfId="16141" xr:uid="{00000000-0005-0000-0000-000094F80000}"/>
    <cellStyle name="Normal 6 3 2 2 3 2" xfId="16205" xr:uid="{00000000-0005-0000-0000-000095F80000}"/>
    <cellStyle name="Normal 6 3 2 2 3 2 2" xfId="16366" xr:uid="{00000000-0005-0000-0000-000096F80000}"/>
    <cellStyle name="Normal 6 3 2 2 3 2 2 2" xfId="48237" xr:uid="{00000000-0005-0000-0000-000097F80000}"/>
    <cellStyle name="Normal 6 3 2 2 3 2 3" xfId="48076" xr:uid="{00000000-0005-0000-0000-000098F80000}"/>
    <cellStyle name="Normal 6 3 2 2 3 3" xfId="16302" xr:uid="{00000000-0005-0000-0000-000099F80000}"/>
    <cellStyle name="Normal 6 3 2 2 3 3 2" xfId="48173" xr:uid="{00000000-0005-0000-0000-00009AF80000}"/>
    <cellStyle name="Normal 6 3 2 2 3 4" xfId="48012" xr:uid="{00000000-0005-0000-0000-00009BF80000}"/>
    <cellStyle name="Normal 6 3 2 2 4" xfId="16173" xr:uid="{00000000-0005-0000-0000-00009CF80000}"/>
    <cellStyle name="Normal 6 3 2 2 4 2" xfId="16334" xr:uid="{00000000-0005-0000-0000-00009DF80000}"/>
    <cellStyle name="Normal 6 3 2 2 4 2 2" xfId="48205" xr:uid="{00000000-0005-0000-0000-00009EF80000}"/>
    <cellStyle name="Normal 6 3 2 2 4 3" xfId="48044" xr:uid="{00000000-0005-0000-0000-00009FF80000}"/>
    <cellStyle name="Normal 6 3 2 2 5" xfId="16237" xr:uid="{00000000-0005-0000-0000-0000A0F80000}"/>
    <cellStyle name="Normal 6 3 2 2 5 2" xfId="16398" xr:uid="{00000000-0005-0000-0000-0000A1F80000}"/>
    <cellStyle name="Normal 6 3 2 2 5 2 2" xfId="48269" xr:uid="{00000000-0005-0000-0000-0000A2F80000}"/>
    <cellStyle name="Normal 6 3 2 2 5 3" xfId="48108" xr:uid="{00000000-0005-0000-0000-0000A3F80000}"/>
    <cellStyle name="Normal 6 3 2 2 6" xfId="16270" xr:uid="{00000000-0005-0000-0000-0000A4F80000}"/>
    <cellStyle name="Normal 6 3 2 2 6 2" xfId="48141" xr:uid="{00000000-0005-0000-0000-0000A5F80000}"/>
    <cellStyle name="Normal 6 3 2 2 7" xfId="47980" xr:uid="{00000000-0005-0000-0000-0000A6F80000}"/>
    <cellStyle name="Normal 6 3 2 3" xfId="16117" xr:uid="{00000000-0005-0000-0000-0000A7F80000}"/>
    <cellStyle name="Normal 6 3 2 3 2" xfId="16149" xr:uid="{00000000-0005-0000-0000-0000A8F80000}"/>
    <cellStyle name="Normal 6 3 2 3 2 2" xfId="16213" xr:uid="{00000000-0005-0000-0000-0000A9F80000}"/>
    <cellStyle name="Normal 6 3 2 3 2 2 2" xfId="16374" xr:uid="{00000000-0005-0000-0000-0000AAF80000}"/>
    <cellStyle name="Normal 6 3 2 3 2 2 2 2" xfId="48245" xr:uid="{00000000-0005-0000-0000-0000ABF80000}"/>
    <cellStyle name="Normal 6 3 2 3 2 2 3" xfId="48084" xr:uid="{00000000-0005-0000-0000-0000ACF80000}"/>
    <cellStyle name="Normal 6 3 2 3 2 3" xfId="16310" xr:uid="{00000000-0005-0000-0000-0000ADF80000}"/>
    <cellStyle name="Normal 6 3 2 3 2 3 2" xfId="48181" xr:uid="{00000000-0005-0000-0000-0000AEF80000}"/>
    <cellStyle name="Normal 6 3 2 3 2 4" xfId="48020" xr:uid="{00000000-0005-0000-0000-0000AFF80000}"/>
    <cellStyle name="Normal 6 3 2 3 3" xfId="16181" xr:uid="{00000000-0005-0000-0000-0000B0F80000}"/>
    <cellStyle name="Normal 6 3 2 3 3 2" xfId="16342" xr:uid="{00000000-0005-0000-0000-0000B1F80000}"/>
    <cellStyle name="Normal 6 3 2 3 3 2 2" xfId="48213" xr:uid="{00000000-0005-0000-0000-0000B2F80000}"/>
    <cellStyle name="Normal 6 3 2 3 3 3" xfId="48052" xr:uid="{00000000-0005-0000-0000-0000B3F80000}"/>
    <cellStyle name="Normal 6 3 2 3 4" xfId="16245" xr:uid="{00000000-0005-0000-0000-0000B4F80000}"/>
    <cellStyle name="Normal 6 3 2 3 4 2" xfId="16406" xr:uid="{00000000-0005-0000-0000-0000B5F80000}"/>
    <cellStyle name="Normal 6 3 2 3 4 2 2" xfId="48277" xr:uid="{00000000-0005-0000-0000-0000B6F80000}"/>
    <cellStyle name="Normal 6 3 2 3 4 3" xfId="48116" xr:uid="{00000000-0005-0000-0000-0000B7F80000}"/>
    <cellStyle name="Normal 6 3 2 3 5" xfId="16278" xr:uid="{00000000-0005-0000-0000-0000B8F80000}"/>
    <cellStyle name="Normal 6 3 2 3 5 2" xfId="48149" xr:uid="{00000000-0005-0000-0000-0000B9F80000}"/>
    <cellStyle name="Normal 6 3 2 3 6" xfId="47988" xr:uid="{00000000-0005-0000-0000-0000BAF80000}"/>
    <cellStyle name="Normal 6 3 2 4" xfId="16133" xr:uid="{00000000-0005-0000-0000-0000BBF80000}"/>
    <cellStyle name="Normal 6 3 2 4 2" xfId="16197" xr:uid="{00000000-0005-0000-0000-0000BCF80000}"/>
    <cellStyle name="Normal 6 3 2 4 2 2" xfId="16358" xr:uid="{00000000-0005-0000-0000-0000BDF80000}"/>
    <cellStyle name="Normal 6 3 2 4 2 2 2" xfId="48229" xr:uid="{00000000-0005-0000-0000-0000BEF80000}"/>
    <cellStyle name="Normal 6 3 2 4 2 3" xfId="48068" xr:uid="{00000000-0005-0000-0000-0000BFF80000}"/>
    <cellStyle name="Normal 6 3 2 4 3" xfId="16294" xr:uid="{00000000-0005-0000-0000-0000C0F80000}"/>
    <cellStyle name="Normal 6 3 2 4 3 2" xfId="48165" xr:uid="{00000000-0005-0000-0000-0000C1F80000}"/>
    <cellStyle name="Normal 6 3 2 4 4" xfId="48004" xr:uid="{00000000-0005-0000-0000-0000C2F80000}"/>
    <cellStyle name="Normal 6 3 2 5" xfId="16165" xr:uid="{00000000-0005-0000-0000-0000C3F80000}"/>
    <cellStyle name="Normal 6 3 2 5 2" xfId="16326" xr:uid="{00000000-0005-0000-0000-0000C4F80000}"/>
    <cellStyle name="Normal 6 3 2 5 2 2" xfId="48197" xr:uid="{00000000-0005-0000-0000-0000C5F80000}"/>
    <cellStyle name="Normal 6 3 2 5 3" xfId="48036" xr:uid="{00000000-0005-0000-0000-0000C6F80000}"/>
    <cellStyle name="Normal 6 3 2 6" xfId="16229" xr:uid="{00000000-0005-0000-0000-0000C7F80000}"/>
    <cellStyle name="Normal 6 3 2 6 2" xfId="16390" xr:uid="{00000000-0005-0000-0000-0000C8F80000}"/>
    <cellStyle name="Normal 6 3 2 6 2 2" xfId="48261" xr:uid="{00000000-0005-0000-0000-0000C9F80000}"/>
    <cellStyle name="Normal 6 3 2 6 3" xfId="48100" xr:uid="{00000000-0005-0000-0000-0000CAF80000}"/>
    <cellStyle name="Normal 6 3 2 7" xfId="16262" xr:uid="{00000000-0005-0000-0000-0000CBF80000}"/>
    <cellStyle name="Normal 6 3 2 7 2" xfId="48133" xr:uid="{00000000-0005-0000-0000-0000CCF80000}"/>
    <cellStyle name="Normal 6 3 2 8" xfId="16101" xr:uid="{00000000-0005-0000-0000-0000CDF80000}"/>
    <cellStyle name="Normal 6 3 2 8 2" xfId="47972" xr:uid="{00000000-0005-0000-0000-0000CEF80000}"/>
    <cellStyle name="Normal 6 3 3" xfId="16105" xr:uid="{00000000-0005-0000-0000-0000CFF80000}"/>
    <cellStyle name="Normal 6 3 3 2" xfId="16121" xr:uid="{00000000-0005-0000-0000-0000D0F80000}"/>
    <cellStyle name="Normal 6 3 3 2 2" xfId="16153" xr:uid="{00000000-0005-0000-0000-0000D1F80000}"/>
    <cellStyle name="Normal 6 3 3 2 2 2" xfId="16217" xr:uid="{00000000-0005-0000-0000-0000D2F80000}"/>
    <cellStyle name="Normal 6 3 3 2 2 2 2" xfId="16378" xr:uid="{00000000-0005-0000-0000-0000D3F80000}"/>
    <cellStyle name="Normal 6 3 3 2 2 2 2 2" xfId="48249" xr:uid="{00000000-0005-0000-0000-0000D4F80000}"/>
    <cellStyle name="Normal 6 3 3 2 2 2 3" xfId="48088" xr:uid="{00000000-0005-0000-0000-0000D5F80000}"/>
    <cellStyle name="Normal 6 3 3 2 2 3" xfId="16314" xr:uid="{00000000-0005-0000-0000-0000D6F80000}"/>
    <cellStyle name="Normal 6 3 3 2 2 3 2" xfId="48185" xr:uid="{00000000-0005-0000-0000-0000D7F80000}"/>
    <cellStyle name="Normal 6 3 3 2 2 4" xfId="48024" xr:uid="{00000000-0005-0000-0000-0000D8F80000}"/>
    <cellStyle name="Normal 6 3 3 2 3" xfId="16185" xr:uid="{00000000-0005-0000-0000-0000D9F80000}"/>
    <cellStyle name="Normal 6 3 3 2 3 2" xfId="16346" xr:uid="{00000000-0005-0000-0000-0000DAF80000}"/>
    <cellStyle name="Normal 6 3 3 2 3 2 2" xfId="48217" xr:uid="{00000000-0005-0000-0000-0000DBF80000}"/>
    <cellStyle name="Normal 6 3 3 2 3 3" xfId="48056" xr:uid="{00000000-0005-0000-0000-0000DCF80000}"/>
    <cellStyle name="Normal 6 3 3 2 4" xfId="16249" xr:uid="{00000000-0005-0000-0000-0000DDF80000}"/>
    <cellStyle name="Normal 6 3 3 2 4 2" xfId="16410" xr:uid="{00000000-0005-0000-0000-0000DEF80000}"/>
    <cellStyle name="Normal 6 3 3 2 4 2 2" xfId="48281" xr:uid="{00000000-0005-0000-0000-0000DFF80000}"/>
    <cellStyle name="Normal 6 3 3 2 4 3" xfId="48120" xr:uid="{00000000-0005-0000-0000-0000E0F80000}"/>
    <cellStyle name="Normal 6 3 3 2 5" xfId="16282" xr:uid="{00000000-0005-0000-0000-0000E1F80000}"/>
    <cellStyle name="Normal 6 3 3 2 5 2" xfId="48153" xr:uid="{00000000-0005-0000-0000-0000E2F80000}"/>
    <cellStyle name="Normal 6 3 3 2 6" xfId="47992" xr:uid="{00000000-0005-0000-0000-0000E3F80000}"/>
    <cellStyle name="Normal 6 3 3 3" xfId="16137" xr:uid="{00000000-0005-0000-0000-0000E4F80000}"/>
    <cellStyle name="Normal 6 3 3 3 2" xfId="16201" xr:uid="{00000000-0005-0000-0000-0000E5F80000}"/>
    <cellStyle name="Normal 6 3 3 3 2 2" xfId="16362" xr:uid="{00000000-0005-0000-0000-0000E6F80000}"/>
    <cellStyle name="Normal 6 3 3 3 2 2 2" xfId="48233" xr:uid="{00000000-0005-0000-0000-0000E7F80000}"/>
    <cellStyle name="Normal 6 3 3 3 2 3" xfId="48072" xr:uid="{00000000-0005-0000-0000-0000E8F80000}"/>
    <cellStyle name="Normal 6 3 3 3 3" xfId="16298" xr:uid="{00000000-0005-0000-0000-0000E9F80000}"/>
    <cellStyle name="Normal 6 3 3 3 3 2" xfId="48169" xr:uid="{00000000-0005-0000-0000-0000EAF80000}"/>
    <cellStyle name="Normal 6 3 3 3 4" xfId="48008" xr:uid="{00000000-0005-0000-0000-0000EBF80000}"/>
    <cellStyle name="Normal 6 3 3 4" xfId="16169" xr:uid="{00000000-0005-0000-0000-0000ECF80000}"/>
    <cellStyle name="Normal 6 3 3 4 2" xfId="16330" xr:uid="{00000000-0005-0000-0000-0000EDF80000}"/>
    <cellStyle name="Normal 6 3 3 4 2 2" xfId="48201" xr:uid="{00000000-0005-0000-0000-0000EEF80000}"/>
    <cellStyle name="Normal 6 3 3 4 3" xfId="48040" xr:uid="{00000000-0005-0000-0000-0000EFF80000}"/>
    <cellStyle name="Normal 6 3 3 5" xfId="16233" xr:uid="{00000000-0005-0000-0000-0000F0F80000}"/>
    <cellStyle name="Normal 6 3 3 5 2" xfId="16394" xr:uid="{00000000-0005-0000-0000-0000F1F80000}"/>
    <cellStyle name="Normal 6 3 3 5 2 2" xfId="48265" xr:uid="{00000000-0005-0000-0000-0000F2F80000}"/>
    <cellStyle name="Normal 6 3 3 5 3" xfId="48104" xr:uid="{00000000-0005-0000-0000-0000F3F80000}"/>
    <cellStyle name="Normal 6 3 3 6" xfId="16266" xr:uid="{00000000-0005-0000-0000-0000F4F80000}"/>
    <cellStyle name="Normal 6 3 3 6 2" xfId="48137" xr:uid="{00000000-0005-0000-0000-0000F5F80000}"/>
    <cellStyle name="Normal 6 3 3 7" xfId="47976" xr:uid="{00000000-0005-0000-0000-0000F6F80000}"/>
    <cellStyle name="Normal 6 3 4" xfId="16113" xr:uid="{00000000-0005-0000-0000-0000F7F80000}"/>
    <cellStyle name="Normal 6 3 4 2" xfId="16145" xr:uid="{00000000-0005-0000-0000-0000F8F80000}"/>
    <cellStyle name="Normal 6 3 4 2 2" xfId="16209" xr:uid="{00000000-0005-0000-0000-0000F9F80000}"/>
    <cellStyle name="Normal 6 3 4 2 2 2" xfId="16370" xr:uid="{00000000-0005-0000-0000-0000FAF80000}"/>
    <cellStyle name="Normal 6 3 4 2 2 2 2" xfId="48241" xr:uid="{00000000-0005-0000-0000-0000FBF80000}"/>
    <cellStyle name="Normal 6 3 4 2 2 3" xfId="48080" xr:uid="{00000000-0005-0000-0000-0000FCF80000}"/>
    <cellStyle name="Normal 6 3 4 2 3" xfId="16306" xr:uid="{00000000-0005-0000-0000-0000FDF80000}"/>
    <cellStyle name="Normal 6 3 4 2 3 2" xfId="48177" xr:uid="{00000000-0005-0000-0000-0000FEF80000}"/>
    <cellStyle name="Normal 6 3 4 2 4" xfId="48016" xr:uid="{00000000-0005-0000-0000-0000FFF80000}"/>
    <cellStyle name="Normal 6 3 4 3" xfId="16177" xr:uid="{00000000-0005-0000-0000-000000F90000}"/>
    <cellStyle name="Normal 6 3 4 3 2" xfId="16338" xr:uid="{00000000-0005-0000-0000-000001F90000}"/>
    <cellStyle name="Normal 6 3 4 3 2 2" xfId="48209" xr:uid="{00000000-0005-0000-0000-000002F90000}"/>
    <cellStyle name="Normal 6 3 4 3 3" xfId="48048" xr:uid="{00000000-0005-0000-0000-000003F90000}"/>
    <cellStyle name="Normal 6 3 4 4" xfId="16241" xr:uid="{00000000-0005-0000-0000-000004F90000}"/>
    <cellStyle name="Normal 6 3 4 4 2" xfId="16402" xr:uid="{00000000-0005-0000-0000-000005F90000}"/>
    <cellStyle name="Normal 6 3 4 4 2 2" xfId="48273" xr:uid="{00000000-0005-0000-0000-000006F90000}"/>
    <cellStyle name="Normal 6 3 4 4 3" xfId="48112" xr:uid="{00000000-0005-0000-0000-000007F90000}"/>
    <cellStyle name="Normal 6 3 4 5" xfId="16274" xr:uid="{00000000-0005-0000-0000-000008F90000}"/>
    <cellStyle name="Normal 6 3 4 5 2" xfId="48145" xr:uid="{00000000-0005-0000-0000-000009F90000}"/>
    <cellStyle name="Normal 6 3 4 6" xfId="47984" xr:uid="{00000000-0005-0000-0000-00000AF90000}"/>
    <cellStyle name="Normal 6 3 5" xfId="16129" xr:uid="{00000000-0005-0000-0000-00000BF90000}"/>
    <cellStyle name="Normal 6 3 5 2" xfId="16193" xr:uid="{00000000-0005-0000-0000-00000CF90000}"/>
    <cellStyle name="Normal 6 3 5 2 2" xfId="16354" xr:uid="{00000000-0005-0000-0000-00000DF90000}"/>
    <cellStyle name="Normal 6 3 5 2 2 2" xfId="48225" xr:uid="{00000000-0005-0000-0000-00000EF90000}"/>
    <cellStyle name="Normal 6 3 5 2 3" xfId="48064" xr:uid="{00000000-0005-0000-0000-00000FF90000}"/>
    <cellStyle name="Normal 6 3 5 3" xfId="16290" xr:uid="{00000000-0005-0000-0000-000010F90000}"/>
    <cellStyle name="Normal 6 3 5 3 2" xfId="48161" xr:uid="{00000000-0005-0000-0000-000011F90000}"/>
    <cellStyle name="Normal 6 3 5 4" xfId="48000" xr:uid="{00000000-0005-0000-0000-000012F90000}"/>
    <cellStyle name="Normal 6 3 6" xfId="16161" xr:uid="{00000000-0005-0000-0000-000013F90000}"/>
    <cellStyle name="Normal 6 3 6 2" xfId="16322" xr:uid="{00000000-0005-0000-0000-000014F90000}"/>
    <cellStyle name="Normal 6 3 6 2 2" xfId="48193" xr:uid="{00000000-0005-0000-0000-000015F90000}"/>
    <cellStyle name="Normal 6 3 6 3" xfId="48032" xr:uid="{00000000-0005-0000-0000-000016F90000}"/>
    <cellStyle name="Normal 6 3 7" xfId="16225" xr:uid="{00000000-0005-0000-0000-000017F90000}"/>
    <cellStyle name="Normal 6 3 7 2" xfId="16386" xr:uid="{00000000-0005-0000-0000-000018F90000}"/>
    <cellStyle name="Normal 6 3 7 2 2" xfId="48257" xr:uid="{00000000-0005-0000-0000-000019F90000}"/>
    <cellStyle name="Normal 6 3 7 3" xfId="48096" xr:uid="{00000000-0005-0000-0000-00001AF90000}"/>
    <cellStyle name="Normal 6 3 8" xfId="16258" xr:uid="{00000000-0005-0000-0000-00001BF90000}"/>
    <cellStyle name="Normal 6 3 8 2" xfId="48129" xr:uid="{00000000-0005-0000-0000-00001CF90000}"/>
    <cellStyle name="Normal 6 3 9" xfId="16076" xr:uid="{00000000-0005-0000-0000-00001DF90000}"/>
    <cellStyle name="Normal 6 3 9 2" xfId="47955" xr:uid="{00000000-0005-0000-0000-00001EF90000}"/>
    <cellStyle name="Normal 6 4" xfId="161" xr:uid="{00000000-0005-0000-0000-00001FF90000}"/>
    <cellStyle name="Normal 6 4 2" xfId="282" xr:uid="{00000000-0005-0000-0000-000020F90000}"/>
    <cellStyle name="Normal 6 4 2 2" xfId="16123" xr:uid="{00000000-0005-0000-0000-000021F90000}"/>
    <cellStyle name="Normal 6 4 2 2 2" xfId="16155" xr:uid="{00000000-0005-0000-0000-000022F90000}"/>
    <cellStyle name="Normal 6 4 2 2 2 2" xfId="16219" xr:uid="{00000000-0005-0000-0000-000023F90000}"/>
    <cellStyle name="Normal 6 4 2 2 2 2 2" xfId="16380" xr:uid="{00000000-0005-0000-0000-000024F90000}"/>
    <cellStyle name="Normal 6 4 2 2 2 2 2 2" xfId="48251" xr:uid="{00000000-0005-0000-0000-000025F90000}"/>
    <cellStyle name="Normal 6 4 2 2 2 2 3" xfId="48090" xr:uid="{00000000-0005-0000-0000-000026F90000}"/>
    <cellStyle name="Normal 6 4 2 2 2 3" xfId="16316" xr:uid="{00000000-0005-0000-0000-000027F90000}"/>
    <cellStyle name="Normal 6 4 2 2 2 3 2" xfId="48187" xr:uid="{00000000-0005-0000-0000-000028F90000}"/>
    <cellStyle name="Normal 6 4 2 2 2 4" xfId="48026" xr:uid="{00000000-0005-0000-0000-000029F90000}"/>
    <cellStyle name="Normal 6 4 2 2 3" xfId="16187" xr:uid="{00000000-0005-0000-0000-00002AF90000}"/>
    <cellStyle name="Normal 6 4 2 2 3 2" xfId="16348" xr:uid="{00000000-0005-0000-0000-00002BF90000}"/>
    <cellStyle name="Normal 6 4 2 2 3 2 2" xfId="48219" xr:uid="{00000000-0005-0000-0000-00002CF90000}"/>
    <cellStyle name="Normal 6 4 2 2 3 3" xfId="48058" xr:uid="{00000000-0005-0000-0000-00002DF90000}"/>
    <cellStyle name="Normal 6 4 2 2 4" xfId="16251" xr:uid="{00000000-0005-0000-0000-00002EF90000}"/>
    <cellStyle name="Normal 6 4 2 2 4 2" xfId="16412" xr:uid="{00000000-0005-0000-0000-00002FF90000}"/>
    <cellStyle name="Normal 6 4 2 2 4 2 2" xfId="48283" xr:uid="{00000000-0005-0000-0000-000030F90000}"/>
    <cellStyle name="Normal 6 4 2 2 4 3" xfId="48122" xr:uid="{00000000-0005-0000-0000-000031F90000}"/>
    <cellStyle name="Normal 6 4 2 2 5" xfId="16284" xr:uid="{00000000-0005-0000-0000-000032F90000}"/>
    <cellStyle name="Normal 6 4 2 2 5 2" xfId="48155" xr:uid="{00000000-0005-0000-0000-000033F90000}"/>
    <cellStyle name="Normal 6 4 2 2 6" xfId="47994" xr:uid="{00000000-0005-0000-0000-000034F90000}"/>
    <cellStyle name="Normal 6 4 2 3" xfId="16139" xr:uid="{00000000-0005-0000-0000-000035F90000}"/>
    <cellStyle name="Normal 6 4 2 3 2" xfId="16203" xr:uid="{00000000-0005-0000-0000-000036F90000}"/>
    <cellStyle name="Normal 6 4 2 3 2 2" xfId="16364" xr:uid="{00000000-0005-0000-0000-000037F90000}"/>
    <cellStyle name="Normal 6 4 2 3 2 2 2" xfId="48235" xr:uid="{00000000-0005-0000-0000-000038F90000}"/>
    <cellStyle name="Normal 6 4 2 3 2 3" xfId="48074" xr:uid="{00000000-0005-0000-0000-000039F90000}"/>
    <cellStyle name="Normal 6 4 2 3 3" xfId="16300" xr:uid="{00000000-0005-0000-0000-00003AF90000}"/>
    <cellStyle name="Normal 6 4 2 3 3 2" xfId="48171" xr:uid="{00000000-0005-0000-0000-00003BF90000}"/>
    <cellStyle name="Normal 6 4 2 3 4" xfId="48010" xr:uid="{00000000-0005-0000-0000-00003CF90000}"/>
    <cellStyle name="Normal 6 4 2 4" xfId="16171" xr:uid="{00000000-0005-0000-0000-00003DF90000}"/>
    <cellStyle name="Normal 6 4 2 4 2" xfId="16332" xr:uid="{00000000-0005-0000-0000-00003EF90000}"/>
    <cellStyle name="Normal 6 4 2 4 2 2" xfId="48203" xr:uid="{00000000-0005-0000-0000-00003FF90000}"/>
    <cellStyle name="Normal 6 4 2 4 3" xfId="48042" xr:uid="{00000000-0005-0000-0000-000040F90000}"/>
    <cellStyle name="Normal 6 4 2 5" xfId="16235" xr:uid="{00000000-0005-0000-0000-000041F90000}"/>
    <cellStyle name="Normal 6 4 2 5 2" xfId="16396" xr:uid="{00000000-0005-0000-0000-000042F90000}"/>
    <cellStyle name="Normal 6 4 2 5 2 2" xfId="48267" xr:uid="{00000000-0005-0000-0000-000043F90000}"/>
    <cellStyle name="Normal 6 4 2 5 3" xfId="48106" xr:uid="{00000000-0005-0000-0000-000044F90000}"/>
    <cellStyle name="Normal 6 4 2 6" xfId="16268" xr:uid="{00000000-0005-0000-0000-000045F90000}"/>
    <cellStyle name="Normal 6 4 2 6 2" xfId="48139" xr:uid="{00000000-0005-0000-0000-000046F90000}"/>
    <cellStyle name="Normal 6 4 2 7" xfId="16107" xr:uid="{00000000-0005-0000-0000-000047F90000}"/>
    <cellStyle name="Normal 6 4 2 7 2" xfId="47978" xr:uid="{00000000-0005-0000-0000-000048F90000}"/>
    <cellStyle name="Normal 6 4 3" xfId="16115" xr:uid="{00000000-0005-0000-0000-000049F90000}"/>
    <cellStyle name="Normal 6 4 3 2" xfId="16147" xr:uid="{00000000-0005-0000-0000-00004AF90000}"/>
    <cellStyle name="Normal 6 4 3 2 2" xfId="16211" xr:uid="{00000000-0005-0000-0000-00004BF90000}"/>
    <cellStyle name="Normal 6 4 3 2 2 2" xfId="16372" xr:uid="{00000000-0005-0000-0000-00004CF90000}"/>
    <cellStyle name="Normal 6 4 3 2 2 2 2" xfId="48243" xr:uid="{00000000-0005-0000-0000-00004DF90000}"/>
    <cellStyle name="Normal 6 4 3 2 2 3" xfId="48082" xr:uid="{00000000-0005-0000-0000-00004EF90000}"/>
    <cellStyle name="Normal 6 4 3 2 3" xfId="16308" xr:uid="{00000000-0005-0000-0000-00004FF90000}"/>
    <cellStyle name="Normal 6 4 3 2 3 2" xfId="48179" xr:uid="{00000000-0005-0000-0000-000050F90000}"/>
    <cellStyle name="Normal 6 4 3 2 4" xfId="48018" xr:uid="{00000000-0005-0000-0000-000051F90000}"/>
    <cellStyle name="Normal 6 4 3 3" xfId="16179" xr:uid="{00000000-0005-0000-0000-000052F90000}"/>
    <cellStyle name="Normal 6 4 3 3 2" xfId="16340" xr:uid="{00000000-0005-0000-0000-000053F90000}"/>
    <cellStyle name="Normal 6 4 3 3 2 2" xfId="48211" xr:uid="{00000000-0005-0000-0000-000054F90000}"/>
    <cellStyle name="Normal 6 4 3 3 3" xfId="48050" xr:uid="{00000000-0005-0000-0000-000055F90000}"/>
    <cellStyle name="Normal 6 4 3 4" xfId="16243" xr:uid="{00000000-0005-0000-0000-000056F90000}"/>
    <cellStyle name="Normal 6 4 3 4 2" xfId="16404" xr:uid="{00000000-0005-0000-0000-000057F90000}"/>
    <cellStyle name="Normal 6 4 3 4 2 2" xfId="48275" xr:uid="{00000000-0005-0000-0000-000058F90000}"/>
    <cellStyle name="Normal 6 4 3 4 3" xfId="48114" xr:uid="{00000000-0005-0000-0000-000059F90000}"/>
    <cellStyle name="Normal 6 4 3 5" xfId="16276" xr:uid="{00000000-0005-0000-0000-00005AF90000}"/>
    <cellStyle name="Normal 6 4 3 5 2" xfId="48147" xr:uid="{00000000-0005-0000-0000-00005BF90000}"/>
    <cellStyle name="Normal 6 4 3 6" xfId="47986" xr:uid="{00000000-0005-0000-0000-00005CF90000}"/>
    <cellStyle name="Normal 6 4 4" xfId="16131" xr:uid="{00000000-0005-0000-0000-00005DF90000}"/>
    <cellStyle name="Normal 6 4 4 2" xfId="16195" xr:uid="{00000000-0005-0000-0000-00005EF90000}"/>
    <cellStyle name="Normal 6 4 4 2 2" xfId="16356" xr:uid="{00000000-0005-0000-0000-00005FF90000}"/>
    <cellStyle name="Normal 6 4 4 2 2 2" xfId="48227" xr:uid="{00000000-0005-0000-0000-000060F90000}"/>
    <cellStyle name="Normal 6 4 4 2 3" xfId="48066" xr:uid="{00000000-0005-0000-0000-000061F90000}"/>
    <cellStyle name="Normal 6 4 4 3" xfId="16292" xr:uid="{00000000-0005-0000-0000-000062F90000}"/>
    <cellStyle name="Normal 6 4 4 3 2" xfId="48163" xr:uid="{00000000-0005-0000-0000-000063F90000}"/>
    <cellStyle name="Normal 6 4 4 4" xfId="48002" xr:uid="{00000000-0005-0000-0000-000064F90000}"/>
    <cellStyle name="Normal 6 4 5" xfId="16163" xr:uid="{00000000-0005-0000-0000-000065F90000}"/>
    <cellStyle name="Normal 6 4 5 2" xfId="16324" xr:uid="{00000000-0005-0000-0000-000066F90000}"/>
    <cellStyle name="Normal 6 4 5 2 2" xfId="48195" xr:uid="{00000000-0005-0000-0000-000067F90000}"/>
    <cellStyle name="Normal 6 4 5 3" xfId="48034" xr:uid="{00000000-0005-0000-0000-000068F90000}"/>
    <cellStyle name="Normal 6 4 6" xfId="16227" xr:uid="{00000000-0005-0000-0000-000069F90000}"/>
    <cellStyle name="Normal 6 4 6 2" xfId="16388" xr:uid="{00000000-0005-0000-0000-00006AF90000}"/>
    <cellStyle name="Normal 6 4 6 2 2" xfId="48259" xr:uid="{00000000-0005-0000-0000-00006BF90000}"/>
    <cellStyle name="Normal 6 4 6 3" xfId="48098" xr:uid="{00000000-0005-0000-0000-00006CF90000}"/>
    <cellStyle name="Normal 6 4 7" xfId="16260" xr:uid="{00000000-0005-0000-0000-00006DF90000}"/>
    <cellStyle name="Normal 6 4 7 2" xfId="48131" xr:uid="{00000000-0005-0000-0000-00006EF90000}"/>
    <cellStyle name="Normal 6 4 8" xfId="16099" xr:uid="{00000000-0005-0000-0000-00006FF90000}"/>
    <cellStyle name="Normal 6 4 8 2" xfId="47970" xr:uid="{00000000-0005-0000-0000-000070F90000}"/>
    <cellStyle name="Normal 6 5" xfId="277" xr:uid="{00000000-0005-0000-0000-000071F90000}"/>
    <cellStyle name="Normal 6 5 2" xfId="16119" xr:uid="{00000000-0005-0000-0000-000072F90000}"/>
    <cellStyle name="Normal 6 5 2 2" xfId="16151" xr:uid="{00000000-0005-0000-0000-000073F90000}"/>
    <cellStyle name="Normal 6 5 2 2 2" xfId="16215" xr:uid="{00000000-0005-0000-0000-000074F90000}"/>
    <cellStyle name="Normal 6 5 2 2 2 2" xfId="16376" xr:uid="{00000000-0005-0000-0000-000075F90000}"/>
    <cellStyle name="Normal 6 5 2 2 2 2 2" xfId="48247" xr:uid="{00000000-0005-0000-0000-000076F90000}"/>
    <cellStyle name="Normal 6 5 2 2 2 3" xfId="48086" xr:uid="{00000000-0005-0000-0000-000077F90000}"/>
    <cellStyle name="Normal 6 5 2 2 3" xfId="16312" xr:uid="{00000000-0005-0000-0000-000078F90000}"/>
    <cellStyle name="Normal 6 5 2 2 3 2" xfId="48183" xr:uid="{00000000-0005-0000-0000-000079F90000}"/>
    <cellStyle name="Normal 6 5 2 2 4" xfId="48022" xr:uid="{00000000-0005-0000-0000-00007AF90000}"/>
    <cellStyle name="Normal 6 5 2 3" xfId="16183" xr:uid="{00000000-0005-0000-0000-00007BF90000}"/>
    <cellStyle name="Normal 6 5 2 3 2" xfId="16344" xr:uid="{00000000-0005-0000-0000-00007CF90000}"/>
    <cellStyle name="Normal 6 5 2 3 2 2" xfId="48215" xr:uid="{00000000-0005-0000-0000-00007DF90000}"/>
    <cellStyle name="Normal 6 5 2 3 3" xfId="48054" xr:uid="{00000000-0005-0000-0000-00007EF90000}"/>
    <cellStyle name="Normal 6 5 2 4" xfId="16247" xr:uid="{00000000-0005-0000-0000-00007FF90000}"/>
    <cellStyle name="Normal 6 5 2 4 2" xfId="16408" xr:uid="{00000000-0005-0000-0000-000080F90000}"/>
    <cellStyle name="Normal 6 5 2 4 2 2" xfId="48279" xr:uid="{00000000-0005-0000-0000-000081F90000}"/>
    <cellStyle name="Normal 6 5 2 4 3" xfId="48118" xr:uid="{00000000-0005-0000-0000-000082F90000}"/>
    <cellStyle name="Normal 6 5 2 5" xfId="16280" xr:uid="{00000000-0005-0000-0000-000083F90000}"/>
    <cellStyle name="Normal 6 5 2 5 2" xfId="48151" xr:uid="{00000000-0005-0000-0000-000084F90000}"/>
    <cellStyle name="Normal 6 5 2 6" xfId="47990" xr:uid="{00000000-0005-0000-0000-000085F90000}"/>
    <cellStyle name="Normal 6 5 3" xfId="16135" xr:uid="{00000000-0005-0000-0000-000086F90000}"/>
    <cellStyle name="Normal 6 5 3 2" xfId="16199" xr:uid="{00000000-0005-0000-0000-000087F90000}"/>
    <cellStyle name="Normal 6 5 3 2 2" xfId="16360" xr:uid="{00000000-0005-0000-0000-000088F90000}"/>
    <cellStyle name="Normal 6 5 3 2 2 2" xfId="48231" xr:uid="{00000000-0005-0000-0000-000089F90000}"/>
    <cellStyle name="Normal 6 5 3 2 3" xfId="48070" xr:uid="{00000000-0005-0000-0000-00008AF90000}"/>
    <cellStyle name="Normal 6 5 3 3" xfId="16296" xr:uid="{00000000-0005-0000-0000-00008BF90000}"/>
    <cellStyle name="Normal 6 5 3 3 2" xfId="48167" xr:uid="{00000000-0005-0000-0000-00008CF90000}"/>
    <cellStyle name="Normal 6 5 3 4" xfId="48006" xr:uid="{00000000-0005-0000-0000-00008DF90000}"/>
    <cellStyle name="Normal 6 5 4" xfId="16167" xr:uid="{00000000-0005-0000-0000-00008EF90000}"/>
    <cellStyle name="Normal 6 5 4 2" xfId="16328" xr:uid="{00000000-0005-0000-0000-00008FF90000}"/>
    <cellStyle name="Normal 6 5 4 2 2" xfId="48199" xr:uid="{00000000-0005-0000-0000-000090F90000}"/>
    <cellStyle name="Normal 6 5 4 3" xfId="48038" xr:uid="{00000000-0005-0000-0000-000091F90000}"/>
    <cellStyle name="Normal 6 5 5" xfId="16231" xr:uid="{00000000-0005-0000-0000-000092F90000}"/>
    <cellStyle name="Normal 6 5 5 2" xfId="16392" xr:uid="{00000000-0005-0000-0000-000093F90000}"/>
    <cellStyle name="Normal 6 5 5 2 2" xfId="48263" xr:uid="{00000000-0005-0000-0000-000094F90000}"/>
    <cellStyle name="Normal 6 5 5 3" xfId="48102" xr:uid="{00000000-0005-0000-0000-000095F90000}"/>
    <cellStyle name="Normal 6 5 6" xfId="16264" xr:uid="{00000000-0005-0000-0000-000096F90000}"/>
    <cellStyle name="Normal 6 5 6 2" xfId="48135" xr:uid="{00000000-0005-0000-0000-000097F90000}"/>
    <cellStyle name="Normal 6 5 7" xfId="16103" xr:uid="{00000000-0005-0000-0000-000098F90000}"/>
    <cellStyle name="Normal 6 5 7 2" xfId="47974" xr:uid="{00000000-0005-0000-0000-000099F90000}"/>
    <cellStyle name="Normal 6 6" xfId="16111" xr:uid="{00000000-0005-0000-0000-00009AF90000}"/>
    <cellStyle name="Normal 6 6 2" xfId="16143" xr:uid="{00000000-0005-0000-0000-00009BF90000}"/>
    <cellStyle name="Normal 6 6 2 2" xfId="16207" xr:uid="{00000000-0005-0000-0000-00009CF90000}"/>
    <cellStyle name="Normal 6 6 2 2 2" xfId="16368" xr:uid="{00000000-0005-0000-0000-00009DF90000}"/>
    <cellStyle name="Normal 6 6 2 2 2 2" xfId="48239" xr:uid="{00000000-0005-0000-0000-00009EF90000}"/>
    <cellStyle name="Normal 6 6 2 2 3" xfId="48078" xr:uid="{00000000-0005-0000-0000-00009FF90000}"/>
    <cellStyle name="Normal 6 6 2 3" xfId="16304" xr:uid="{00000000-0005-0000-0000-0000A0F90000}"/>
    <cellStyle name="Normal 6 6 2 3 2" xfId="48175" xr:uid="{00000000-0005-0000-0000-0000A1F90000}"/>
    <cellStyle name="Normal 6 6 2 4" xfId="48014" xr:uid="{00000000-0005-0000-0000-0000A2F90000}"/>
    <cellStyle name="Normal 6 6 3" xfId="16175" xr:uid="{00000000-0005-0000-0000-0000A3F90000}"/>
    <cellStyle name="Normal 6 6 3 2" xfId="16336" xr:uid="{00000000-0005-0000-0000-0000A4F90000}"/>
    <cellStyle name="Normal 6 6 3 2 2" xfId="48207" xr:uid="{00000000-0005-0000-0000-0000A5F90000}"/>
    <cellStyle name="Normal 6 6 3 3" xfId="48046" xr:uid="{00000000-0005-0000-0000-0000A6F90000}"/>
    <cellStyle name="Normal 6 6 4" xfId="16239" xr:uid="{00000000-0005-0000-0000-0000A7F90000}"/>
    <cellStyle name="Normal 6 6 4 2" xfId="16400" xr:uid="{00000000-0005-0000-0000-0000A8F90000}"/>
    <cellStyle name="Normal 6 6 4 2 2" xfId="48271" xr:uid="{00000000-0005-0000-0000-0000A9F90000}"/>
    <cellStyle name="Normal 6 6 4 3" xfId="48110" xr:uid="{00000000-0005-0000-0000-0000AAF90000}"/>
    <cellStyle name="Normal 6 6 5" xfId="16272" xr:uid="{00000000-0005-0000-0000-0000ABF90000}"/>
    <cellStyle name="Normal 6 6 5 2" xfId="48143" xr:uid="{00000000-0005-0000-0000-0000ACF90000}"/>
    <cellStyle name="Normal 6 6 6" xfId="47982" xr:uid="{00000000-0005-0000-0000-0000ADF90000}"/>
    <cellStyle name="Normal 6 7" xfId="16127" xr:uid="{00000000-0005-0000-0000-0000AEF90000}"/>
    <cellStyle name="Normal 6 7 2" xfId="16191" xr:uid="{00000000-0005-0000-0000-0000AFF90000}"/>
    <cellStyle name="Normal 6 7 2 2" xfId="16352" xr:uid="{00000000-0005-0000-0000-0000B0F90000}"/>
    <cellStyle name="Normal 6 7 2 2 2" xfId="48223" xr:uid="{00000000-0005-0000-0000-0000B1F90000}"/>
    <cellStyle name="Normal 6 7 2 3" xfId="48062" xr:uid="{00000000-0005-0000-0000-0000B2F90000}"/>
    <cellStyle name="Normal 6 7 3" xfId="16288" xr:uid="{00000000-0005-0000-0000-0000B3F90000}"/>
    <cellStyle name="Normal 6 7 3 2" xfId="48159" xr:uid="{00000000-0005-0000-0000-0000B4F90000}"/>
    <cellStyle name="Normal 6 7 4" xfId="47998" xr:uid="{00000000-0005-0000-0000-0000B5F90000}"/>
    <cellStyle name="Normal 6 8" xfId="16098" xr:uid="{00000000-0005-0000-0000-0000B6F90000}"/>
    <cellStyle name="Normal 6 8 2" xfId="16256" xr:uid="{00000000-0005-0000-0000-0000B7F90000}"/>
    <cellStyle name="Normal 6 8 2 2" xfId="48127" xr:uid="{00000000-0005-0000-0000-0000B8F90000}"/>
    <cellStyle name="Normal 6 8 3" xfId="47969" xr:uid="{00000000-0005-0000-0000-0000B9F90000}"/>
    <cellStyle name="Normal 6 9" xfId="16159" xr:uid="{00000000-0005-0000-0000-0000BAF90000}"/>
    <cellStyle name="Normal 6 9 2" xfId="16320" xr:uid="{00000000-0005-0000-0000-0000BBF90000}"/>
    <cellStyle name="Normal 6 9 2 2" xfId="48191" xr:uid="{00000000-0005-0000-0000-0000BCF90000}"/>
    <cellStyle name="Normal 6 9 3" xfId="48030" xr:uid="{00000000-0005-0000-0000-0000BDF90000}"/>
    <cellStyle name="Normal 7" xfId="162" xr:uid="{00000000-0005-0000-0000-0000BEF90000}"/>
    <cellStyle name="Normal 7 2" xfId="163" xr:uid="{00000000-0005-0000-0000-0000BFF90000}"/>
    <cellStyle name="Normal 7 2 2" xfId="284" xr:uid="{00000000-0005-0000-0000-0000C0F90000}"/>
    <cellStyle name="Normal 7 2 2 2" xfId="32170" xr:uid="{00000000-0005-0000-0000-0000C1F90000}"/>
    <cellStyle name="Normal 7 2 2 2 2" xfId="64041" xr:uid="{00000000-0005-0000-0000-0000C2F90000}"/>
    <cellStyle name="Normal 7 2 2 3" xfId="16079" xr:uid="{00000000-0005-0000-0000-0000C3F90000}"/>
    <cellStyle name="Normal 7 2 2 3 2" xfId="47958" xr:uid="{00000000-0005-0000-0000-0000C4F90000}"/>
    <cellStyle name="Normal 7 2 3" xfId="24292" xr:uid="{00000000-0005-0000-0000-0000C5F90000}"/>
    <cellStyle name="Normal 7 2 3 2" xfId="56163" xr:uid="{00000000-0005-0000-0000-0000C6F90000}"/>
    <cellStyle name="Normal 7 2 4" xfId="16078" xr:uid="{00000000-0005-0000-0000-0000C7F90000}"/>
    <cellStyle name="Normal 7 2 4 2" xfId="47957" xr:uid="{00000000-0005-0000-0000-0000C8F90000}"/>
    <cellStyle name="Normal 7 3" xfId="164" xr:uid="{00000000-0005-0000-0000-0000C9F90000}"/>
    <cellStyle name="Normal 7 3 2" xfId="285" xr:uid="{00000000-0005-0000-0000-0000CAF90000}"/>
    <cellStyle name="Normal 7 3 2 2" xfId="28231" xr:uid="{00000000-0005-0000-0000-0000CBF90000}"/>
    <cellStyle name="Normal 7 3 2 2 2" xfId="60102" xr:uid="{00000000-0005-0000-0000-0000CCF90000}"/>
    <cellStyle name="Normal 7 3 3" xfId="16080" xr:uid="{00000000-0005-0000-0000-0000CDF90000}"/>
    <cellStyle name="Normal 7 3 3 2" xfId="47959" xr:uid="{00000000-0005-0000-0000-0000CEF90000}"/>
    <cellStyle name="Normal 7 4" xfId="283" xr:uid="{00000000-0005-0000-0000-0000CFF90000}"/>
    <cellStyle name="Normal 7 4 2" xfId="20353" xr:uid="{00000000-0005-0000-0000-0000D0F90000}"/>
    <cellStyle name="Normal 7 4 2 2" xfId="52224" xr:uid="{00000000-0005-0000-0000-0000D1F90000}"/>
    <cellStyle name="Normal 7 5" xfId="16077" xr:uid="{00000000-0005-0000-0000-0000D2F90000}"/>
    <cellStyle name="Normal 7 5 2" xfId="47956" xr:uid="{00000000-0005-0000-0000-0000D3F90000}"/>
    <cellStyle name="Normal 8" xfId="165" xr:uid="{00000000-0005-0000-0000-0000D4F90000}"/>
    <cellStyle name="Normal 8 2" xfId="166" xr:uid="{00000000-0005-0000-0000-0000D5F90000}"/>
    <cellStyle name="Normal 8 2 2" xfId="167" xr:uid="{00000000-0005-0000-0000-0000D6F90000}"/>
    <cellStyle name="Normal 8 2 2 2" xfId="288" xr:uid="{00000000-0005-0000-0000-0000D7F90000}"/>
    <cellStyle name="Normal 8 2 2 2 2" xfId="32171" xr:uid="{00000000-0005-0000-0000-0000D8F90000}"/>
    <cellStyle name="Normal 8 2 2 2 2 2" xfId="64042" xr:uid="{00000000-0005-0000-0000-0000D9F90000}"/>
    <cellStyle name="Normal 8 2 2 3" xfId="16083" xr:uid="{00000000-0005-0000-0000-0000DAF90000}"/>
    <cellStyle name="Normal 8 2 2 3 2" xfId="47962" xr:uid="{00000000-0005-0000-0000-0000DBF90000}"/>
    <cellStyle name="Normal 8 2 3" xfId="168" xr:uid="{00000000-0005-0000-0000-0000DCF90000}"/>
    <cellStyle name="Normal 8 2 3 2" xfId="289" xr:uid="{00000000-0005-0000-0000-0000DDF90000}"/>
    <cellStyle name="Normal 8 2 3 3" xfId="24293" xr:uid="{00000000-0005-0000-0000-0000DEF90000}"/>
    <cellStyle name="Normal 8 2 3 3 2" xfId="56164" xr:uid="{00000000-0005-0000-0000-0000DFF90000}"/>
    <cellStyle name="Normal 8 2 4" xfId="287" xr:uid="{00000000-0005-0000-0000-0000E0F90000}"/>
    <cellStyle name="Normal 8 2 5" xfId="16082" xr:uid="{00000000-0005-0000-0000-0000E1F90000}"/>
    <cellStyle name="Normal 8 2 5 2" xfId="47961" xr:uid="{00000000-0005-0000-0000-0000E2F90000}"/>
    <cellStyle name="Normal 8 3" xfId="169" xr:uid="{00000000-0005-0000-0000-0000E3F90000}"/>
    <cellStyle name="Normal 8 3 2" xfId="290" xr:uid="{00000000-0005-0000-0000-0000E4F90000}"/>
    <cellStyle name="Normal 8 3 2 2" xfId="28232" xr:uid="{00000000-0005-0000-0000-0000E5F90000}"/>
    <cellStyle name="Normal 8 3 2 2 2" xfId="60103" xr:uid="{00000000-0005-0000-0000-0000E6F90000}"/>
    <cellStyle name="Normal 8 3 3" xfId="16084" xr:uid="{00000000-0005-0000-0000-0000E7F90000}"/>
    <cellStyle name="Normal 8 3 3 2" xfId="47963" xr:uid="{00000000-0005-0000-0000-0000E8F90000}"/>
    <cellStyle name="Normal 8 4" xfId="170" xr:uid="{00000000-0005-0000-0000-0000E9F90000}"/>
    <cellStyle name="Normal 8 4 2" xfId="291" xr:uid="{00000000-0005-0000-0000-0000EAF90000}"/>
    <cellStyle name="Normal 8 4 3" xfId="20354" xr:uid="{00000000-0005-0000-0000-0000EBF90000}"/>
    <cellStyle name="Normal 8 4 3 2" xfId="52225" xr:uid="{00000000-0005-0000-0000-0000ECF90000}"/>
    <cellStyle name="Normal 8 5" xfId="286" xr:uid="{00000000-0005-0000-0000-0000EDF90000}"/>
    <cellStyle name="Normal 8 6" xfId="16081" xr:uid="{00000000-0005-0000-0000-0000EEF90000}"/>
    <cellStyle name="Normal 8 6 2" xfId="47960" xr:uid="{00000000-0005-0000-0000-0000EFF90000}"/>
    <cellStyle name="Normal 9" xfId="171" xr:uid="{00000000-0005-0000-0000-0000F0F90000}"/>
    <cellStyle name="Normal 9 2" xfId="172" xr:uid="{00000000-0005-0000-0000-0000F1F90000}"/>
    <cellStyle name="Normal 9 2 2" xfId="293" xr:uid="{00000000-0005-0000-0000-0000F2F90000}"/>
    <cellStyle name="Normal 9 2 2 2" xfId="32172" xr:uid="{00000000-0005-0000-0000-0000F3F90000}"/>
    <cellStyle name="Normal 9 2 2 2 2" xfId="64043" xr:uid="{00000000-0005-0000-0000-0000F4F90000}"/>
    <cellStyle name="Normal 9 2 2 3" xfId="16087" xr:uid="{00000000-0005-0000-0000-0000F5F90000}"/>
    <cellStyle name="Normal 9 2 2 3 2" xfId="47966" xr:uid="{00000000-0005-0000-0000-0000F6F90000}"/>
    <cellStyle name="Normal 9 2 3" xfId="24294" xr:uid="{00000000-0005-0000-0000-0000F7F90000}"/>
    <cellStyle name="Normal 9 2 3 2" xfId="56165" xr:uid="{00000000-0005-0000-0000-0000F8F90000}"/>
    <cellStyle name="Normal 9 2 4" xfId="16086" xr:uid="{00000000-0005-0000-0000-0000F9F90000}"/>
    <cellStyle name="Normal 9 2 4 2" xfId="47965" xr:uid="{00000000-0005-0000-0000-0000FAF90000}"/>
    <cellStyle name="Normal 9 3" xfId="173" xr:uid="{00000000-0005-0000-0000-0000FBF90000}"/>
    <cellStyle name="Normal 9 3 2" xfId="294" xr:uid="{00000000-0005-0000-0000-0000FCF90000}"/>
    <cellStyle name="Normal 9 3 2 2" xfId="28233" xr:uid="{00000000-0005-0000-0000-0000FDF90000}"/>
    <cellStyle name="Normal 9 3 2 2 2" xfId="60104" xr:uid="{00000000-0005-0000-0000-0000FEF90000}"/>
    <cellStyle name="Normal 9 3 3" xfId="16088" xr:uid="{00000000-0005-0000-0000-0000FFF90000}"/>
    <cellStyle name="Normal 9 3 3 2" xfId="47967" xr:uid="{00000000-0005-0000-0000-000000FA0000}"/>
    <cellStyle name="Normal 9 4" xfId="292" xr:uid="{00000000-0005-0000-0000-000001FA0000}"/>
    <cellStyle name="Normal 9 4 2" xfId="20355" xr:uid="{00000000-0005-0000-0000-000002FA0000}"/>
    <cellStyle name="Normal 9 4 2 2" xfId="52226" xr:uid="{00000000-0005-0000-0000-000003FA0000}"/>
    <cellStyle name="Normal 9 5" xfId="16085" xr:uid="{00000000-0005-0000-0000-000004FA0000}"/>
    <cellStyle name="Normal 9 5 2" xfId="47964" xr:uid="{00000000-0005-0000-0000-000005FA0000}"/>
    <cellStyle name="Note 2" xfId="174" xr:uid="{00000000-0005-0000-0000-000006FA0000}"/>
    <cellStyle name="Note 2 2" xfId="175" xr:uid="{00000000-0005-0000-0000-000007FA0000}"/>
    <cellStyle name="Note 2 2 2" xfId="233" xr:uid="{00000000-0005-0000-0000-000008FA0000}"/>
    <cellStyle name="Note 2 2 2 2" xfId="318" xr:uid="{00000000-0005-0000-0000-000009FA0000}"/>
    <cellStyle name="Note 2 2 3" xfId="296" xr:uid="{00000000-0005-0000-0000-00000AFA0000}"/>
    <cellStyle name="Note 2 3" xfId="234" xr:uid="{00000000-0005-0000-0000-00000BFA0000}"/>
    <cellStyle name="Note 2 3 2" xfId="319" xr:uid="{00000000-0005-0000-0000-00000CFA0000}"/>
    <cellStyle name="Note 2 4" xfId="232" xr:uid="{00000000-0005-0000-0000-00000DFA0000}"/>
    <cellStyle name="Note 2 4 2" xfId="317" xr:uid="{00000000-0005-0000-0000-00000EFA0000}"/>
    <cellStyle name="Note 2 5" xfId="295" xr:uid="{00000000-0005-0000-0000-00000FFA0000}"/>
    <cellStyle name="Note 3" xfId="176" xr:uid="{00000000-0005-0000-0000-000010FA0000}"/>
    <cellStyle name="Note 3 2" xfId="235" xr:uid="{00000000-0005-0000-0000-000011FA0000}"/>
    <cellStyle name="Note 3 2 2" xfId="320" xr:uid="{00000000-0005-0000-0000-000012FA0000}"/>
    <cellStyle name="Note 3 3" xfId="297" xr:uid="{00000000-0005-0000-0000-000013FA0000}"/>
    <cellStyle name="Note 4" xfId="177" xr:uid="{00000000-0005-0000-0000-000014FA0000}"/>
    <cellStyle name="Note 4 2" xfId="200" xr:uid="{00000000-0005-0000-0000-000015FA0000}"/>
    <cellStyle name="Note 4 2 2" xfId="304" xr:uid="{00000000-0005-0000-0000-000016FA0000}"/>
    <cellStyle name="Note 4 3" xfId="236" xr:uid="{00000000-0005-0000-0000-000017FA0000}"/>
    <cellStyle name="Note 4 3 2" xfId="321" xr:uid="{00000000-0005-0000-0000-000018FA0000}"/>
    <cellStyle name="Note 4 4" xfId="298" xr:uid="{00000000-0005-0000-0000-000019FA0000}"/>
    <cellStyle name="Output 2" xfId="178" xr:uid="{00000000-0005-0000-0000-00001AFA0000}"/>
    <cellStyle name="Output 2 2" xfId="237" xr:uid="{00000000-0005-0000-0000-00001BFA0000}"/>
    <cellStyle name="Output 3" xfId="179" xr:uid="{00000000-0005-0000-0000-00001CFA0000}"/>
    <cellStyle name="Output 3 2" xfId="238" xr:uid="{00000000-0005-0000-0000-00001DFA0000}"/>
    <cellStyle name="Output 4" xfId="180" xr:uid="{00000000-0005-0000-0000-00001EFA0000}"/>
    <cellStyle name="Percent 2" xfId="181" xr:uid="{00000000-0005-0000-0000-00001FFA0000}"/>
    <cellStyle name="Percent 2 2" xfId="182" xr:uid="{00000000-0005-0000-0000-000020FA0000}"/>
    <cellStyle name="Percent 2 2 2" xfId="300" xr:uid="{00000000-0005-0000-0000-000021FA0000}"/>
    <cellStyle name="Percent 2 3" xfId="299" xr:uid="{00000000-0005-0000-0000-000022FA0000}"/>
    <cellStyle name="Percent 3" xfId="183" xr:uid="{00000000-0005-0000-0000-000023FA0000}"/>
    <cellStyle name="Percent 3 2" xfId="184" xr:uid="{00000000-0005-0000-0000-000024FA0000}"/>
    <cellStyle name="Percent 3 2 2" xfId="302" xr:uid="{00000000-0005-0000-0000-000025FA0000}"/>
    <cellStyle name="Percent 3 3" xfId="301" xr:uid="{00000000-0005-0000-0000-000026FA0000}"/>
    <cellStyle name="Percent 4" xfId="325" xr:uid="{00000000-0005-0000-0000-000027FA0000}"/>
    <cellStyle name="Percent 4 2" xfId="32205" xr:uid="{00000000-0005-0000-0000-000028FA0000}"/>
    <cellStyle name="Percent 5" xfId="64052" xr:uid="{00000000-0005-0000-0000-000029FA0000}"/>
    <cellStyle name="Percent 6" xfId="64050" xr:uid="{00000000-0005-0000-0000-00002AFA0000}"/>
    <cellStyle name="Title 2" xfId="185" xr:uid="{00000000-0005-0000-0000-00002BFA0000}"/>
    <cellStyle name="Title 3" xfId="186" xr:uid="{00000000-0005-0000-0000-00002CFA0000}"/>
    <cellStyle name="Title 4" xfId="187" xr:uid="{00000000-0005-0000-0000-00002DFA0000}"/>
    <cellStyle name="Total 2" xfId="188" xr:uid="{00000000-0005-0000-0000-00002EFA0000}"/>
    <cellStyle name="Total 2 2" xfId="239" xr:uid="{00000000-0005-0000-0000-00002FFA0000}"/>
    <cellStyle name="Total 3" xfId="189" xr:uid="{00000000-0005-0000-0000-000030FA0000}"/>
    <cellStyle name="Total 3 2" xfId="240" xr:uid="{00000000-0005-0000-0000-000031FA0000}"/>
    <cellStyle name="Total 4" xfId="190" xr:uid="{00000000-0005-0000-0000-000032FA0000}"/>
    <cellStyle name="Warning Text 2" xfId="191" xr:uid="{00000000-0005-0000-0000-000033FA0000}"/>
    <cellStyle name="Warning Text 3" xfId="192" xr:uid="{00000000-0005-0000-0000-000034FA0000}"/>
    <cellStyle name="Warning Text 4" xfId="193" xr:uid="{00000000-0005-0000-0000-000035FA0000}"/>
  </cellStyles>
  <dxfs count="13">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ont>
        <b/>
        <i val="0"/>
        <color theme="0"/>
      </font>
      <fill>
        <patternFill>
          <bgColor rgb="FF00682F"/>
        </patternFill>
      </fill>
    </dxf>
    <dxf>
      <font>
        <b/>
        <i val="0"/>
        <color theme="0"/>
      </font>
      <fill>
        <patternFill>
          <bgColor rgb="FFFF0000"/>
        </patternFill>
      </fill>
    </dxf>
    <dxf>
      <font>
        <b/>
        <i val="0"/>
        <color theme="0"/>
      </font>
      <fill>
        <patternFill>
          <bgColor rgb="FF00682F"/>
        </patternFill>
      </fill>
    </dxf>
    <dxf>
      <font>
        <b/>
        <i val="0"/>
        <color theme="0"/>
      </font>
      <fill>
        <patternFill>
          <fgColor auto="1"/>
          <bgColor rgb="FFFF00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5B5B"/>
      <color rgb="FFFF8181"/>
      <color rgb="FFFF6161"/>
      <color rgb="FFFF4B4B"/>
      <color rgb="FFFF6969"/>
      <color rgb="FF0068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10</xdr:row>
          <xdr:rowOff>0</xdr:rowOff>
        </xdr:from>
        <xdr:to>
          <xdr:col>2</xdr:col>
          <xdr:colOff>180975</xdr:colOff>
          <xdr:row>15</xdr:row>
          <xdr:rowOff>57150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209550</xdr:rowOff>
        </xdr:from>
        <xdr:to>
          <xdr:col>2</xdr:col>
          <xdr:colOff>152400</xdr:colOff>
          <xdr:row>21</xdr:row>
          <xdr:rowOff>133350</xdr:rowOff>
        </xdr:to>
        <xdr:sp macro="" textlink="">
          <xdr:nvSpPr>
            <xdr:cNvPr id="2051" name="CommandButton9"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571500</xdr:colOff>
          <xdr:row>5</xdr:row>
          <xdr:rowOff>161925</xdr:rowOff>
        </xdr:from>
        <xdr:to>
          <xdr:col>33</xdr:col>
          <xdr:colOff>523875</xdr:colOff>
          <xdr:row>11</xdr:row>
          <xdr:rowOff>123825</xdr:rowOff>
        </xdr:to>
        <xdr:sp macro="" textlink="">
          <xdr:nvSpPr>
            <xdr:cNvPr id="1025" name="CommandButton2"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9525</xdr:rowOff>
        </xdr:from>
        <xdr:to>
          <xdr:col>3</xdr:col>
          <xdr:colOff>66675</xdr:colOff>
          <xdr:row>4</xdr:row>
          <xdr:rowOff>19050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xdr:row>
          <xdr:rowOff>9526</xdr:rowOff>
        </xdr:from>
        <xdr:to>
          <xdr:col>5</xdr:col>
          <xdr:colOff>447675</xdr:colOff>
          <xdr:row>4</xdr:row>
          <xdr:rowOff>9526</xdr:rowOff>
        </xdr:to>
        <xdr:sp macro="" textlink="">
          <xdr:nvSpPr>
            <xdr:cNvPr id="3078" name="CommandButton4"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xdr:row>
          <xdr:rowOff>9525</xdr:rowOff>
        </xdr:from>
        <xdr:to>
          <xdr:col>7</xdr:col>
          <xdr:colOff>600075</xdr:colOff>
          <xdr:row>4</xdr:row>
          <xdr:rowOff>0</xdr:rowOff>
        </xdr:to>
        <xdr:sp macro="" textlink="">
          <xdr:nvSpPr>
            <xdr:cNvPr id="3086" name="CommandButton7"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9525</xdr:rowOff>
        </xdr:from>
        <xdr:to>
          <xdr:col>3</xdr:col>
          <xdr:colOff>66675</xdr:colOff>
          <xdr:row>4</xdr:row>
          <xdr:rowOff>19050</xdr:rowOff>
        </xdr:to>
        <xdr:sp macro="" textlink="">
          <xdr:nvSpPr>
            <xdr:cNvPr id="4101" name="CommandButton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1</xdr:row>
          <xdr:rowOff>9525</xdr:rowOff>
        </xdr:from>
        <xdr:to>
          <xdr:col>5</xdr:col>
          <xdr:colOff>304800</xdr:colOff>
          <xdr:row>4</xdr:row>
          <xdr:rowOff>19050</xdr:rowOff>
        </xdr:to>
        <xdr:sp macro="" textlink="">
          <xdr:nvSpPr>
            <xdr:cNvPr id="4102" name="CommandButton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7</xdr:row>
          <xdr:rowOff>104775</xdr:rowOff>
        </xdr:from>
        <xdr:to>
          <xdr:col>10</xdr:col>
          <xdr:colOff>304800</xdr:colOff>
          <xdr:row>12</xdr:row>
          <xdr:rowOff>0</xdr:rowOff>
        </xdr:to>
        <xdr:sp macro="" textlink="">
          <xdr:nvSpPr>
            <xdr:cNvPr id="6145" name="CommandButton8"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kybettingandgaming-my.sharepoint.com/personal/thomas_capel_skybettingandgaming_com/Documents/Documents/Quick%20Access/Uploads/Combined%20Stats%20Uploa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kybettingandgaming-my.sharepoint.com/Users/JWH13/OneDrive/documents/OPTA%20sheet%20transl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SoT_Selections"/>
      <sheetName val="TcK_Selections"/>
      <sheetName val="SoT_Calculations"/>
      <sheetName val="TcK_Calculations"/>
      <sheetName val="OddsList"/>
      <sheetName val="1"/>
      <sheetName val="2"/>
      <sheetName val="3"/>
    </sheetNames>
    <sheetDataSet>
      <sheetData sheetId="0">
        <row r="19">
          <cell r="B19" t="str">
            <v>blank</v>
          </cell>
          <cell r="N19" t="str">
            <v>blank</v>
          </cell>
        </row>
      </sheetData>
      <sheetData sheetId="1">
        <row r="3">
          <cell r="R3">
            <v>0</v>
          </cell>
        </row>
        <row r="4">
          <cell r="R4">
            <v>0</v>
          </cell>
        </row>
        <row r="5">
          <cell r="R5">
            <v>0</v>
          </cell>
        </row>
        <row r="6">
          <cell r="R6">
            <v>0</v>
          </cell>
        </row>
        <row r="7">
          <cell r="R7">
            <v>0</v>
          </cell>
        </row>
        <row r="8">
          <cell r="R8">
            <v>0</v>
          </cell>
        </row>
        <row r="9">
          <cell r="R9">
            <v>0</v>
          </cell>
        </row>
        <row r="10">
          <cell r="R10">
            <v>0</v>
          </cell>
        </row>
        <row r="11">
          <cell r="R11">
            <v>0</v>
          </cell>
        </row>
        <row r="12">
          <cell r="R12">
            <v>0</v>
          </cell>
        </row>
        <row r="13">
          <cell r="R13">
            <v>0</v>
          </cell>
        </row>
        <row r="14">
          <cell r="R14">
            <v>0</v>
          </cell>
        </row>
        <row r="15">
          <cell r="R15">
            <v>0</v>
          </cell>
        </row>
        <row r="16">
          <cell r="R16">
            <v>0</v>
          </cell>
        </row>
        <row r="17">
          <cell r="R17">
            <v>0</v>
          </cell>
        </row>
        <row r="18">
          <cell r="R18">
            <v>0</v>
          </cell>
        </row>
        <row r="19">
          <cell r="R19">
            <v>0</v>
          </cell>
        </row>
        <row r="20">
          <cell r="R20">
            <v>0</v>
          </cell>
        </row>
        <row r="21">
          <cell r="R21">
            <v>0</v>
          </cell>
        </row>
        <row r="22">
          <cell r="R22">
            <v>0</v>
          </cell>
        </row>
        <row r="23">
          <cell r="R23">
            <v>0</v>
          </cell>
        </row>
        <row r="24">
          <cell r="R24">
            <v>0</v>
          </cell>
        </row>
        <row r="25">
          <cell r="R25">
            <v>0</v>
          </cell>
        </row>
        <row r="26">
          <cell r="R26">
            <v>0</v>
          </cell>
        </row>
        <row r="27">
          <cell r="R27">
            <v>0</v>
          </cell>
        </row>
        <row r="28">
          <cell r="R28">
            <v>0</v>
          </cell>
        </row>
        <row r="29">
          <cell r="R29">
            <v>0</v>
          </cell>
        </row>
        <row r="30">
          <cell r="R30">
            <v>0</v>
          </cell>
        </row>
        <row r="31">
          <cell r="R31">
            <v>0</v>
          </cell>
        </row>
        <row r="32">
          <cell r="R32">
            <v>0</v>
          </cell>
        </row>
      </sheetData>
      <sheetData sheetId="2">
        <row r="3">
          <cell r="R3">
            <v>0</v>
          </cell>
        </row>
        <row r="4">
          <cell r="R4">
            <v>0</v>
          </cell>
        </row>
        <row r="5">
          <cell r="R5">
            <v>0</v>
          </cell>
        </row>
        <row r="6">
          <cell r="R6">
            <v>0</v>
          </cell>
        </row>
        <row r="7">
          <cell r="R7">
            <v>0</v>
          </cell>
        </row>
        <row r="8">
          <cell r="R8">
            <v>0</v>
          </cell>
        </row>
        <row r="9">
          <cell r="R9">
            <v>0</v>
          </cell>
        </row>
        <row r="10">
          <cell r="R10">
            <v>0</v>
          </cell>
        </row>
        <row r="11">
          <cell r="R11">
            <v>0</v>
          </cell>
        </row>
        <row r="12">
          <cell r="R12">
            <v>0</v>
          </cell>
        </row>
        <row r="13">
          <cell r="R13">
            <v>0</v>
          </cell>
        </row>
        <row r="14">
          <cell r="R14">
            <v>0</v>
          </cell>
        </row>
        <row r="15">
          <cell r="R15">
            <v>0</v>
          </cell>
        </row>
        <row r="16">
          <cell r="R16">
            <v>0</v>
          </cell>
        </row>
        <row r="17">
          <cell r="R17">
            <v>0</v>
          </cell>
        </row>
        <row r="18">
          <cell r="R18">
            <v>0</v>
          </cell>
        </row>
        <row r="19">
          <cell r="R19">
            <v>0</v>
          </cell>
        </row>
        <row r="20">
          <cell r="R20">
            <v>0</v>
          </cell>
        </row>
        <row r="21">
          <cell r="R21">
            <v>0</v>
          </cell>
        </row>
        <row r="22">
          <cell r="R22">
            <v>0</v>
          </cell>
        </row>
        <row r="23">
          <cell r="R23">
            <v>0</v>
          </cell>
        </row>
        <row r="24">
          <cell r="R24">
            <v>0</v>
          </cell>
        </row>
        <row r="25">
          <cell r="R25">
            <v>0</v>
          </cell>
        </row>
        <row r="26">
          <cell r="R26">
            <v>0</v>
          </cell>
        </row>
        <row r="27">
          <cell r="R27">
            <v>0</v>
          </cell>
        </row>
        <row r="28">
          <cell r="R28">
            <v>0</v>
          </cell>
        </row>
        <row r="29">
          <cell r="R29">
            <v>0</v>
          </cell>
        </row>
        <row r="30">
          <cell r="R30">
            <v>0</v>
          </cell>
        </row>
        <row r="31">
          <cell r="R31">
            <v>0</v>
          </cell>
        </row>
        <row r="32">
          <cell r="R32">
            <v>0</v>
          </cell>
        </row>
      </sheetData>
      <sheetData sheetId="3">
        <row r="6">
          <cell r="C6" t="str">
            <v>0+</v>
          </cell>
          <cell r="D6" t="str">
            <v>1+</v>
          </cell>
          <cell r="E6" t="str">
            <v>2+</v>
          </cell>
          <cell r="F6" t="str">
            <v>3+</v>
          </cell>
          <cell r="G6" t="str">
            <v>4+</v>
          </cell>
          <cell r="H6" t="str">
            <v>5+</v>
          </cell>
          <cell r="I6" t="str">
            <v>6+</v>
          </cell>
          <cell r="J6" t="str">
            <v>7+</v>
          </cell>
          <cell r="K6" t="str">
            <v>8+</v>
          </cell>
          <cell r="L6" t="str">
            <v>9+</v>
          </cell>
          <cell r="M6" t="str">
            <v>10+</v>
          </cell>
          <cell r="N6" t="str">
            <v>11+</v>
          </cell>
          <cell r="O6" t="str">
            <v>12+</v>
          </cell>
          <cell r="P6" t="str">
            <v>13+</v>
          </cell>
          <cell r="Q6" t="str">
            <v>14+</v>
          </cell>
          <cell r="R6" t="str">
            <v>15+</v>
          </cell>
          <cell r="S6" t="str">
            <v>16+</v>
          </cell>
          <cell r="T6" t="str">
            <v>17+</v>
          </cell>
          <cell r="U6" t="str">
            <v>18+</v>
          </cell>
          <cell r="V6" t="str">
            <v>19+</v>
          </cell>
          <cell r="W6" t="str">
            <v>20+</v>
          </cell>
          <cell r="X6" t="str">
            <v>21+</v>
          </cell>
          <cell r="Y6" t="str">
            <v>22+</v>
          </cell>
          <cell r="Z6" t="str">
            <v>23+</v>
          </cell>
          <cell r="AA6" t="str">
            <v>24+</v>
          </cell>
          <cell r="AB6" t="str">
            <v>25+</v>
          </cell>
          <cell r="AC6" t="str">
            <v>26+</v>
          </cell>
          <cell r="AD6" t="str">
            <v>27+</v>
          </cell>
          <cell r="AE6" t="str">
            <v>28+</v>
          </cell>
          <cell r="AF6" t="str">
            <v>29+</v>
          </cell>
          <cell r="AG6" t="str">
            <v>30+</v>
          </cell>
        </row>
        <row r="8">
          <cell r="C8">
            <v>1</v>
          </cell>
          <cell r="D8" t="str">
            <v xml:space="preserve"> </v>
          </cell>
          <cell r="E8" t="str">
            <v xml:space="preserve"> </v>
          </cell>
          <cell r="F8" t="str">
            <v xml:space="preserve"> </v>
          </cell>
          <cell r="G8" t="str">
            <v xml:space="preserve"> </v>
          </cell>
          <cell r="H8" t="str">
            <v xml:space="preserve"> </v>
          </cell>
          <cell r="I8" t="str">
            <v xml:space="preserve"> </v>
          </cell>
          <cell r="J8" t="str">
            <v xml:space="preserve"> </v>
          </cell>
          <cell r="K8" t="str">
            <v xml:space="preserve"> </v>
          </cell>
          <cell r="L8" t="str">
            <v xml:space="preserve"> </v>
          </cell>
          <cell r="M8" t="str">
            <v xml:space="preserve"> </v>
          </cell>
          <cell r="N8" t="str">
            <v xml:space="preserve"> </v>
          </cell>
          <cell r="O8" t="str">
            <v xml:space="preserve"> </v>
          </cell>
          <cell r="P8" t="str">
            <v xml:space="preserve"> </v>
          </cell>
          <cell r="Q8" t="str">
            <v xml:space="preserve"> </v>
          </cell>
          <cell r="R8" t="str">
            <v xml:space="preserve"> </v>
          </cell>
          <cell r="S8" t="str">
            <v xml:space="preserve"> </v>
          </cell>
          <cell r="T8" t="str">
            <v xml:space="preserve"> </v>
          </cell>
          <cell r="U8" t="str">
            <v xml:space="preserve"> </v>
          </cell>
          <cell r="V8" t="str">
            <v xml:space="preserve"> </v>
          </cell>
          <cell r="W8" t="str">
            <v xml:space="preserve"> </v>
          </cell>
          <cell r="X8" t="str">
            <v xml:space="preserve"> </v>
          </cell>
          <cell r="Y8" t="str">
            <v xml:space="preserve"> </v>
          </cell>
          <cell r="Z8" t="str">
            <v xml:space="preserve"> </v>
          </cell>
          <cell r="AA8" t="str">
            <v xml:space="preserve"> </v>
          </cell>
          <cell r="AB8" t="str">
            <v xml:space="preserve"> </v>
          </cell>
          <cell r="AC8" t="str">
            <v xml:space="preserve"> </v>
          </cell>
          <cell r="AD8" t="str">
            <v xml:space="preserve"> </v>
          </cell>
          <cell r="AE8" t="str">
            <v xml:space="preserve"> </v>
          </cell>
          <cell r="AF8" t="str">
            <v xml:space="preserve"> </v>
          </cell>
          <cell r="AG8" t="str">
            <v xml:space="preserve"> </v>
          </cell>
        </row>
        <row r="14">
          <cell r="C14" t="str">
            <v>0+</v>
          </cell>
          <cell r="D14" t="str">
            <v>1+</v>
          </cell>
          <cell r="E14" t="str">
            <v>2+</v>
          </cell>
          <cell r="F14" t="str">
            <v>3+</v>
          </cell>
          <cell r="G14" t="str">
            <v>4+</v>
          </cell>
          <cell r="H14" t="str">
            <v>5+</v>
          </cell>
          <cell r="I14" t="str">
            <v>6+</v>
          </cell>
          <cell r="J14" t="str">
            <v>7+</v>
          </cell>
          <cell r="K14" t="str">
            <v>8+</v>
          </cell>
          <cell r="L14" t="str">
            <v>9+</v>
          </cell>
          <cell r="M14" t="str">
            <v>10+</v>
          </cell>
          <cell r="N14" t="str">
            <v>11+</v>
          </cell>
          <cell r="O14" t="str">
            <v>12+</v>
          </cell>
          <cell r="P14" t="str">
            <v>13+</v>
          </cell>
          <cell r="Q14" t="str">
            <v>14+</v>
          </cell>
          <cell r="R14" t="str">
            <v>15+</v>
          </cell>
          <cell r="S14" t="str">
            <v>16+</v>
          </cell>
          <cell r="T14" t="str">
            <v>17+</v>
          </cell>
          <cell r="U14" t="str">
            <v>18+</v>
          </cell>
          <cell r="V14" t="str">
            <v>19+</v>
          </cell>
          <cell r="W14" t="str">
            <v>20+</v>
          </cell>
          <cell r="X14" t="str">
            <v>21+</v>
          </cell>
          <cell r="Y14" t="str">
            <v>22+</v>
          </cell>
          <cell r="Z14" t="str">
            <v>23+</v>
          </cell>
          <cell r="AA14" t="str">
            <v>24+</v>
          </cell>
          <cell r="AB14" t="str">
            <v>25+</v>
          </cell>
          <cell r="AC14" t="str">
            <v>26+</v>
          </cell>
          <cell r="AD14" t="str">
            <v>27+</v>
          </cell>
          <cell r="AE14" t="str">
            <v>28+</v>
          </cell>
          <cell r="AF14" t="str">
            <v>29+</v>
          </cell>
          <cell r="AG14" t="str">
            <v>30+</v>
          </cell>
        </row>
        <row r="16">
          <cell r="C16">
            <v>1</v>
          </cell>
          <cell r="D16" t="str">
            <v xml:space="preserve"> </v>
          </cell>
          <cell r="E16" t="str">
            <v xml:space="preserve"> </v>
          </cell>
          <cell r="F16" t="str">
            <v xml:space="preserve"> </v>
          </cell>
          <cell r="G16" t="str">
            <v xml:space="preserve"> </v>
          </cell>
          <cell r="H16" t="str">
            <v xml:space="preserve"> </v>
          </cell>
          <cell r="I16" t="str">
            <v xml:space="preserve"> </v>
          </cell>
          <cell r="J16" t="str">
            <v xml:space="preserve"> </v>
          </cell>
          <cell r="K16" t="str">
            <v xml:space="preserve"> </v>
          </cell>
          <cell r="L16" t="str">
            <v xml:space="preserve"> </v>
          </cell>
          <cell r="M16" t="str">
            <v xml:space="preserve"> </v>
          </cell>
          <cell r="N16" t="str">
            <v xml:space="preserve"> </v>
          </cell>
          <cell r="O16" t="str">
            <v xml:space="preserve"> </v>
          </cell>
          <cell r="P16" t="str">
            <v xml:space="preserve"> </v>
          </cell>
          <cell r="Q16" t="str">
            <v xml:space="preserve"> </v>
          </cell>
          <cell r="R16" t="str">
            <v xml:space="preserve"> </v>
          </cell>
          <cell r="S16" t="str">
            <v xml:space="preserve"> </v>
          </cell>
          <cell r="T16" t="str">
            <v xml:space="preserve"> </v>
          </cell>
          <cell r="U16" t="str">
            <v xml:space="preserve"> </v>
          </cell>
          <cell r="V16" t="str">
            <v xml:space="preserve"> </v>
          </cell>
          <cell r="W16" t="str">
            <v xml:space="preserve"> </v>
          </cell>
          <cell r="X16" t="str">
            <v xml:space="preserve"> </v>
          </cell>
          <cell r="Y16" t="str">
            <v xml:space="preserve"> </v>
          </cell>
          <cell r="Z16" t="str">
            <v xml:space="preserve"> </v>
          </cell>
          <cell r="AA16" t="str">
            <v xml:space="preserve"> </v>
          </cell>
          <cell r="AB16" t="str">
            <v xml:space="preserve"> </v>
          </cell>
          <cell r="AC16" t="str">
            <v xml:space="preserve"> </v>
          </cell>
          <cell r="AD16" t="str">
            <v xml:space="preserve"> </v>
          </cell>
          <cell r="AE16" t="str">
            <v xml:space="preserve"> </v>
          </cell>
          <cell r="AF16" t="str">
            <v xml:space="preserve"> </v>
          </cell>
          <cell r="AG16" t="str">
            <v xml:space="preserve"> </v>
          </cell>
        </row>
        <row r="22">
          <cell r="C22" t="str">
            <v>0+</v>
          </cell>
          <cell r="D22" t="str">
            <v>1+</v>
          </cell>
          <cell r="E22" t="str">
            <v>2+</v>
          </cell>
          <cell r="F22" t="str">
            <v>3+</v>
          </cell>
          <cell r="G22" t="str">
            <v>4+</v>
          </cell>
          <cell r="H22" t="str">
            <v>5+</v>
          </cell>
          <cell r="I22" t="str">
            <v>6+</v>
          </cell>
          <cell r="J22" t="str">
            <v>7+</v>
          </cell>
          <cell r="K22" t="str">
            <v>8+</v>
          </cell>
          <cell r="L22" t="str">
            <v>9+</v>
          </cell>
          <cell r="M22" t="str">
            <v>10+</v>
          </cell>
          <cell r="N22" t="str">
            <v>11+</v>
          </cell>
          <cell r="O22" t="str">
            <v>12+</v>
          </cell>
          <cell r="P22" t="str">
            <v>13+</v>
          </cell>
          <cell r="Q22" t="str">
            <v>14+</v>
          </cell>
          <cell r="R22" t="str">
            <v>15+</v>
          </cell>
          <cell r="S22" t="str">
            <v>16+</v>
          </cell>
          <cell r="T22" t="str">
            <v>17+</v>
          </cell>
          <cell r="U22" t="str">
            <v>18+</v>
          </cell>
          <cell r="V22" t="str">
            <v>19+</v>
          </cell>
          <cell r="W22" t="str">
            <v>20+</v>
          </cell>
          <cell r="X22" t="str">
            <v>21+</v>
          </cell>
          <cell r="Y22" t="str">
            <v>22+</v>
          </cell>
          <cell r="Z22" t="str">
            <v>23+</v>
          </cell>
          <cell r="AA22" t="str">
            <v>24+</v>
          </cell>
          <cell r="AB22" t="str">
            <v>25+</v>
          </cell>
          <cell r="AC22" t="str">
            <v>26+</v>
          </cell>
          <cell r="AD22" t="str">
            <v>27+</v>
          </cell>
          <cell r="AE22" t="str">
            <v>28+</v>
          </cell>
          <cell r="AF22" t="str">
            <v>29+</v>
          </cell>
          <cell r="AG22" t="str">
            <v>30+</v>
          </cell>
        </row>
        <row r="24">
          <cell r="C24">
            <v>1</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N24" t="str">
            <v xml:space="preserve"> </v>
          </cell>
          <cell r="O24" t="str">
            <v xml:space="preserve"> </v>
          </cell>
          <cell r="P24" t="str">
            <v xml:space="preserve"> </v>
          </cell>
          <cell r="Q24" t="str">
            <v xml:space="preserve"> </v>
          </cell>
          <cell r="R24" t="str">
            <v xml:space="preserve"> </v>
          </cell>
          <cell r="S24" t="str">
            <v xml:space="preserve"> </v>
          </cell>
          <cell r="T24" t="str">
            <v xml:space="preserve"> </v>
          </cell>
          <cell r="U24" t="str">
            <v xml:space="preserve"> </v>
          </cell>
          <cell r="V24" t="str">
            <v xml:space="preserve"> </v>
          </cell>
          <cell r="W24" t="str">
            <v xml:space="preserve"> </v>
          </cell>
          <cell r="X24" t="str">
            <v xml:space="preserve"> </v>
          </cell>
          <cell r="Y24" t="str">
            <v xml:space="preserve"> </v>
          </cell>
          <cell r="Z24" t="str">
            <v xml:space="preserve"> </v>
          </cell>
          <cell r="AA24" t="str">
            <v xml:space="preserve"> </v>
          </cell>
          <cell r="AB24" t="str">
            <v xml:space="preserve"> </v>
          </cell>
          <cell r="AC24" t="str">
            <v xml:space="preserve"> </v>
          </cell>
          <cell r="AD24" t="str">
            <v xml:space="preserve"> </v>
          </cell>
          <cell r="AE24" t="str">
            <v xml:space="preserve"> </v>
          </cell>
          <cell r="AF24" t="str">
            <v xml:space="preserve"> </v>
          </cell>
          <cell r="AG24" t="str">
            <v xml:space="preserve"> </v>
          </cell>
        </row>
        <row r="30">
          <cell r="C30" t="str">
            <v>0+</v>
          </cell>
          <cell r="D30" t="str">
            <v>1+</v>
          </cell>
          <cell r="E30" t="str">
            <v>2+</v>
          </cell>
          <cell r="F30" t="str">
            <v>3+</v>
          </cell>
          <cell r="G30" t="str">
            <v>4+</v>
          </cell>
          <cell r="H30" t="str">
            <v>5+</v>
          </cell>
          <cell r="I30" t="str">
            <v>6+</v>
          </cell>
          <cell r="J30" t="str">
            <v>7+</v>
          </cell>
          <cell r="K30" t="str">
            <v>8+</v>
          </cell>
          <cell r="L30" t="str">
            <v>9+</v>
          </cell>
          <cell r="M30" t="str">
            <v>10+</v>
          </cell>
          <cell r="N30" t="str">
            <v>11+</v>
          </cell>
          <cell r="O30" t="str">
            <v>12+</v>
          </cell>
          <cell r="P30" t="str">
            <v>13+</v>
          </cell>
          <cell r="Q30" t="str">
            <v>14+</v>
          </cell>
          <cell r="R30" t="str">
            <v>15+</v>
          </cell>
          <cell r="S30" t="str">
            <v>16+</v>
          </cell>
          <cell r="T30" t="str">
            <v>17+</v>
          </cell>
          <cell r="U30" t="str">
            <v>18+</v>
          </cell>
          <cell r="V30" t="str">
            <v>19+</v>
          </cell>
          <cell r="W30" t="str">
            <v>20+</v>
          </cell>
          <cell r="X30" t="str">
            <v>21+</v>
          </cell>
          <cell r="Y30" t="str">
            <v>22+</v>
          </cell>
          <cell r="Z30" t="str">
            <v>23+</v>
          </cell>
          <cell r="AA30" t="str">
            <v>24+</v>
          </cell>
          <cell r="AB30" t="str">
            <v>25+</v>
          </cell>
          <cell r="AC30" t="str">
            <v>26+</v>
          </cell>
          <cell r="AD30" t="str">
            <v>27+</v>
          </cell>
          <cell r="AE30" t="str">
            <v>28+</v>
          </cell>
          <cell r="AF30" t="str">
            <v>29+</v>
          </cell>
          <cell r="AG30" t="str">
            <v>30+</v>
          </cell>
        </row>
        <row r="32">
          <cell r="C32">
            <v>1</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cell r="N32" t="str">
            <v xml:space="preserve"> </v>
          </cell>
          <cell r="O32" t="str">
            <v xml:space="preserve"> </v>
          </cell>
          <cell r="P32" t="str">
            <v xml:space="preserve"> </v>
          </cell>
          <cell r="Q32" t="str">
            <v xml:space="preserve"> </v>
          </cell>
          <cell r="R32" t="str">
            <v xml:space="preserve"> </v>
          </cell>
          <cell r="S32" t="str">
            <v xml:space="preserve"> </v>
          </cell>
          <cell r="T32" t="str">
            <v xml:space="preserve"> </v>
          </cell>
          <cell r="U32" t="str">
            <v xml:space="preserve"> </v>
          </cell>
          <cell r="V32" t="str">
            <v xml:space="preserve"> </v>
          </cell>
          <cell r="W32" t="str">
            <v xml:space="preserve"> </v>
          </cell>
          <cell r="X32" t="str">
            <v xml:space="preserve"> </v>
          </cell>
          <cell r="Y32" t="str">
            <v xml:space="preserve"> </v>
          </cell>
          <cell r="Z32" t="str">
            <v xml:space="preserve"> </v>
          </cell>
          <cell r="AA32" t="str">
            <v xml:space="preserve"> </v>
          </cell>
          <cell r="AB32" t="str">
            <v xml:space="preserve"> </v>
          </cell>
          <cell r="AC32" t="str">
            <v xml:space="preserve"> </v>
          </cell>
          <cell r="AD32" t="str">
            <v xml:space="preserve"> </v>
          </cell>
          <cell r="AE32" t="str">
            <v xml:space="preserve"> </v>
          </cell>
          <cell r="AF32" t="str">
            <v xml:space="preserve"> </v>
          </cell>
          <cell r="AG32" t="str">
            <v xml:space="preserve"> </v>
          </cell>
        </row>
        <row r="38">
          <cell r="C38" t="str">
            <v>0+</v>
          </cell>
          <cell r="D38" t="str">
            <v>1+</v>
          </cell>
          <cell r="E38" t="str">
            <v>2+</v>
          </cell>
          <cell r="F38" t="str">
            <v>3+</v>
          </cell>
          <cell r="G38" t="str">
            <v>4+</v>
          </cell>
          <cell r="H38" t="str">
            <v>5+</v>
          </cell>
          <cell r="I38" t="str">
            <v>6+</v>
          </cell>
          <cell r="J38" t="str">
            <v>7+</v>
          </cell>
          <cell r="K38" t="str">
            <v>8+</v>
          </cell>
          <cell r="L38" t="str">
            <v>9+</v>
          </cell>
          <cell r="M38" t="str">
            <v>10+</v>
          </cell>
          <cell r="N38" t="str">
            <v>11+</v>
          </cell>
          <cell r="O38" t="str">
            <v>12+</v>
          </cell>
          <cell r="P38" t="str">
            <v>13+</v>
          </cell>
          <cell r="Q38" t="str">
            <v>14+</v>
          </cell>
          <cell r="R38" t="str">
            <v>15+</v>
          </cell>
          <cell r="S38" t="str">
            <v>16+</v>
          </cell>
          <cell r="T38" t="str">
            <v>17+</v>
          </cell>
          <cell r="U38" t="str">
            <v>18+</v>
          </cell>
          <cell r="V38" t="str">
            <v>19+</v>
          </cell>
          <cell r="W38" t="str">
            <v>20+</v>
          </cell>
          <cell r="X38" t="str">
            <v>21+</v>
          </cell>
          <cell r="Y38" t="str">
            <v>22+</v>
          </cell>
          <cell r="Z38" t="str">
            <v>23+</v>
          </cell>
          <cell r="AA38" t="str">
            <v>24+</v>
          </cell>
          <cell r="AB38" t="str">
            <v>25+</v>
          </cell>
          <cell r="AC38" t="str">
            <v>26+</v>
          </cell>
          <cell r="AD38" t="str">
            <v>27+</v>
          </cell>
          <cell r="AE38" t="str">
            <v>28+</v>
          </cell>
          <cell r="AF38" t="str">
            <v>29+</v>
          </cell>
          <cell r="AG38" t="str">
            <v>30+</v>
          </cell>
        </row>
        <row r="40">
          <cell r="C40">
            <v>1</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cell r="N40" t="str">
            <v xml:space="preserve"> </v>
          </cell>
          <cell r="O40" t="str">
            <v xml:space="preserve"> </v>
          </cell>
          <cell r="P40" t="str">
            <v xml:space="preserve"> </v>
          </cell>
          <cell r="Q40" t="str">
            <v xml:space="preserve"> </v>
          </cell>
          <cell r="R40" t="str">
            <v xml:space="preserve"> </v>
          </cell>
          <cell r="S40" t="str">
            <v xml:space="preserve"> </v>
          </cell>
          <cell r="T40" t="str">
            <v xml:space="preserve"> </v>
          </cell>
          <cell r="U40" t="str">
            <v xml:space="preserve"> </v>
          </cell>
          <cell r="V40" t="str">
            <v xml:space="preserve"> </v>
          </cell>
          <cell r="W40" t="str">
            <v xml:space="preserve"> </v>
          </cell>
          <cell r="X40" t="str">
            <v xml:space="preserve"> </v>
          </cell>
          <cell r="Y40" t="str">
            <v xml:space="preserve"> </v>
          </cell>
          <cell r="Z40" t="str">
            <v xml:space="preserve"> </v>
          </cell>
          <cell r="AA40" t="str">
            <v xml:space="preserve"> </v>
          </cell>
          <cell r="AB40" t="str">
            <v xml:space="preserve"> </v>
          </cell>
          <cell r="AC40" t="str">
            <v xml:space="preserve"> </v>
          </cell>
          <cell r="AD40" t="str">
            <v xml:space="preserve"> </v>
          </cell>
          <cell r="AE40" t="str">
            <v xml:space="preserve"> </v>
          </cell>
          <cell r="AF40" t="str">
            <v xml:space="preserve"> </v>
          </cell>
          <cell r="AG40" t="str">
            <v xml:space="preserve"> </v>
          </cell>
        </row>
        <row r="46">
          <cell r="C46" t="str">
            <v>0+</v>
          </cell>
          <cell r="D46" t="str">
            <v>1+</v>
          </cell>
          <cell r="E46" t="str">
            <v>2+</v>
          </cell>
          <cell r="F46" t="str">
            <v>3+</v>
          </cell>
          <cell r="G46" t="str">
            <v>4+</v>
          </cell>
          <cell r="H46" t="str">
            <v>5+</v>
          </cell>
          <cell r="I46" t="str">
            <v>6+</v>
          </cell>
          <cell r="J46" t="str">
            <v>7+</v>
          </cell>
          <cell r="K46" t="str">
            <v>8+</v>
          </cell>
          <cell r="L46" t="str">
            <v>9+</v>
          </cell>
          <cell r="M46" t="str">
            <v>10+</v>
          </cell>
          <cell r="N46" t="str">
            <v>11+</v>
          </cell>
          <cell r="O46" t="str">
            <v>12+</v>
          </cell>
          <cell r="P46" t="str">
            <v>13+</v>
          </cell>
          <cell r="Q46" t="str">
            <v>14+</v>
          </cell>
          <cell r="R46" t="str">
            <v>15+</v>
          </cell>
          <cell r="S46" t="str">
            <v>16+</v>
          </cell>
          <cell r="T46" t="str">
            <v>17+</v>
          </cell>
          <cell r="U46" t="str">
            <v>18+</v>
          </cell>
          <cell r="V46" t="str">
            <v>19+</v>
          </cell>
          <cell r="W46" t="str">
            <v>20+</v>
          </cell>
          <cell r="X46" t="str">
            <v>21+</v>
          </cell>
          <cell r="Y46" t="str">
            <v>22+</v>
          </cell>
          <cell r="Z46" t="str">
            <v>23+</v>
          </cell>
          <cell r="AA46" t="str">
            <v>24+</v>
          </cell>
          <cell r="AB46" t="str">
            <v>25+</v>
          </cell>
          <cell r="AC46" t="str">
            <v>26+</v>
          </cell>
          <cell r="AD46" t="str">
            <v>27+</v>
          </cell>
          <cell r="AE46" t="str">
            <v>28+</v>
          </cell>
          <cell r="AF46" t="str">
            <v>29+</v>
          </cell>
          <cell r="AG46" t="str">
            <v>30+</v>
          </cell>
        </row>
        <row r="48">
          <cell r="C48">
            <v>1</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cell r="N48" t="str">
            <v xml:space="preserve"> </v>
          </cell>
          <cell r="O48" t="str">
            <v xml:space="preserve"> </v>
          </cell>
          <cell r="P48" t="str">
            <v xml:space="preserve"> </v>
          </cell>
          <cell r="Q48" t="str">
            <v xml:space="preserve"> </v>
          </cell>
          <cell r="R48" t="str">
            <v xml:space="preserve"> </v>
          </cell>
          <cell r="S48" t="str">
            <v xml:space="preserve"> </v>
          </cell>
          <cell r="T48" t="str">
            <v xml:space="preserve"> </v>
          </cell>
          <cell r="U48" t="str">
            <v xml:space="preserve"> </v>
          </cell>
          <cell r="V48" t="str">
            <v xml:space="preserve"> </v>
          </cell>
          <cell r="W48" t="str">
            <v xml:space="preserve"> </v>
          </cell>
          <cell r="X48" t="str">
            <v xml:space="preserve"> </v>
          </cell>
          <cell r="Y48" t="str">
            <v xml:space="preserve"> </v>
          </cell>
          <cell r="Z48" t="str">
            <v xml:space="preserve"> </v>
          </cell>
          <cell r="AA48" t="str">
            <v xml:space="preserve"> </v>
          </cell>
          <cell r="AB48" t="str">
            <v xml:space="preserve"> </v>
          </cell>
          <cell r="AC48" t="str">
            <v xml:space="preserve"> </v>
          </cell>
          <cell r="AD48" t="str">
            <v xml:space="preserve"> </v>
          </cell>
          <cell r="AE48" t="str">
            <v xml:space="preserve"> </v>
          </cell>
          <cell r="AF48" t="str">
            <v xml:space="preserve"> </v>
          </cell>
          <cell r="AG48" t="str">
            <v xml:space="preserve"> </v>
          </cell>
        </row>
        <row r="54">
          <cell r="C54" t="str">
            <v>0+</v>
          </cell>
          <cell r="D54" t="str">
            <v>1+</v>
          </cell>
          <cell r="E54" t="str">
            <v>2+</v>
          </cell>
          <cell r="F54" t="str">
            <v>3+</v>
          </cell>
          <cell r="G54" t="str">
            <v>4+</v>
          </cell>
          <cell r="H54" t="str">
            <v>5+</v>
          </cell>
          <cell r="I54" t="str">
            <v>6+</v>
          </cell>
          <cell r="J54" t="str">
            <v>7+</v>
          </cell>
          <cell r="K54" t="str">
            <v>8+</v>
          </cell>
          <cell r="L54" t="str">
            <v>9+</v>
          </cell>
          <cell r="M54" t="str">
            <v>10+</v>
          </cell>
          <cell r="N54" t="str">
            <v>11+</v>
          </cell>
          <cell r="O54" t="str">
            <v>12+</v>
          </cell>
          <cell r="P54" t="str">
            <v>13+</v>
          </cell>
          <cell r="Q54" t="str">
            <v>14+</v>
          </cell>
          <cell r="R54" t="str">
            <v>15+</v>
          </cell>
          <cell r="S54" t="str">
            <v>16+</v>
          </cell>
          <cell r="T54" t="str">
            <v>17+</v>
          </cell>
          <cell r="U54" t="str">
            <v>18+</v>
          </cell>
          <cell r="V54" t="str">
            <v>19+</v>
          </cell>
          <cell r="W54" t="str">
            <v>20+</v>
          </cell>
          <cell r="X54" t="str">
            <v>21+</v>
          </cell>
          <cell r="Y54" t="str">
            <v>22+</v>
          </cell>
          <cell r="Z54" t="str">
            <v>23+</v>
          </cell>
          <cell r="AA54" t="str">
            <v>24+</v>
          </cell>
          <cell r="AB54" t="str">
            <v>25+</v>
          </cell>
          <cell r="AC54" t="str">
            <v>26+</v>
          </cell>
          <cell r="AD54" t="str">
            <v>27+</v>
          </cell>
          <cell r="AE54" t="str">
            <v>28+</v>
          </cell>
          <cell r="AF54" t="str">
            <v>29+</v>
          </cell>
          <cell r="AG54" t="str">
            <v>30+</v>
          </cell>
        </row>
        <row r="56">
          <cell r="C56">
            <v>1</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cell r="N56" t="str">
            <v xml:space="preserve"> </v>
          </cell>
          <cell r="O56" t="str">
            <v xml:space="preserve"> </v>
          </cell>
          <cell r="P56" t="str">
            <v xml:space="preserve"> </v>
          </cell>
          <cell r="Q56" t="str">
            <v xml:space="preserve"> </v>
          </cell>
          <cell r="R56" t="str">
            <v xml:space="preserve"> </v>
          </cell>
          <cell r="S56" t="str">
            <v xml:space="preserve"> </v>
          </cell>
          <cell r="T56" t="str">
            <v xml:space="preserve"> </v>
          </cell>
          <cell r="U56" t="str">
            <v xml:space="preserve"> </v>
          </cell>
          <cell r="V56" t="str">
            <v xml:space="preserve"> </v>
          </cell>
          <cell r="W56" t="str">
            <v xml:space="preserve"> </v>
          </cell>
          <cell r="X56" t="str">
            <v xml:space="preserve"> </v>
          </cell>
          <cell r="Y56" t="str">
            <v xml:space="preserve"> </v>
          </cell>
          <cell r="Z56" t="str">
            <v xml:space="preserve"> </v>
          </cell>
          <cell r="AA56" t="str">
            <v xml:space="preserve"> </v>
          </cell>
          <cell r="AB56" t="str">
            <v xml:space="preserve"> </v>
          </cell>
          <cell r="AC56" t="str">
            <v xml:space="preserve"> </v>
          </cell>
          <cell r="AD56" t="str">
            <v xml:space="preserve"> </v>
          </cell>
          <cell r="AE56" t="str">
            <v xml:space="preserve"> </v>
          </cell>
          <cell r="AF56" t="str">
            <v xml:space="preserve"> </v>
          </cell>
          <cell r="AG56" t="str">
            <v xml:space="preserve"> </v>
          </cell>
        </row>
        <row r="62">
          <cell r="C62" t="str">
            <v>0+</v>
          </cell>
          <cell r="D62" t="str">
            <v>1+</v>
          </cell>
          <cell r="E62" t="str">
            <v>2+</v>
          </cell>
          <cell r="F62" t="str">
            <v>3+</v>
          </cell>
          <cell r="G62" t="str">
            <v>4+</v>
          </cell>
          <cell r="H62" t="str">
            <v>5+</v>
          </cell>
          <cell r="I62" t="str">
            <v>6+</v>
          </cell>
          <cell r="J62" t="str">
            <v>7+</v>
          </cell>
          <cell r="K62" t="str">
            <v>8+</v>
          </cell>
          <cell r="L62" t="str">
            <v>9+</v>
          </cell>
          <cell r="M62" t="str">
            <v>10+</v>
          </cell>
          <cell r="N62" t="str">
            <v>11+</v>
          </cell>
          <cell r="O62" t="str">
            <v>12+</v>
          </cell>
          <cell r="P62" t="str">
            <v>13+</v>
          </cell>
          <cell r="Q62" t="str">
            <v>14+</v>
          </cell>
          <cell r="R62" t="str">
            <v>15+</v>
          </cell>
          <cell r="S62" t="str">
            <v>16+</v>
          </cell>
          <cell r="T62" t="str">
            <v>17+</v>
          </cell>
          <cell r="U62" t="str">
            <v>18+</v>
          </cell>
          <cell r="V62" t="str">
            <v>19+</v>
          </cell>
          <cell r="W62" t="str">
            <v>20+</v>
          </cell>
          <cell r="X62" t="str">
            <v>21+</v>
          </cell>
          <cell r="Y62" t="str">
            <v>22+</v>
          </cell>
          <cell r="Z62" t="str">
            <v>23+</v>
          </cell>
          <cell r="AA62" t="str">
            <v>24+</v>
          </cell>
          <cell r="AB62" t="str">
            <v>25+</v>
          </cell>
          <cell r="AC62" t="str">
            <v>26+</v>
          </cell>
          <cell r="AD62" t="str">
            <v>27+</v>
          </cell>
          <cell r="AE62" t="str">
            <v>28+</v>
          </cell>
          <cell r="AF62" t="str">
            <v>29+</v>
          </cell>
          <cell r="AG62" t="str">
            <v>30+</v>
          </cell>
        </row>
        <row r="64">
          <cell r="C64">
            <v>1</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cell r="N64" t="str">
            <v xml:space="preserve"> </v>
          </cell>
          <cell r="O64" t="str">
            <v xml:space="preserve"> </v>
          </cell>
          <cell r="P64" t="str">
            <v xml:space="preserve"> </v>
          </cell>
          <cell r="Q64" t="str">
            <v xml:space="preserve"> </v>
          </cell>
          <cell r="R64" t="str">
            <v xml:space="preserve"> </v>
          </cell>
          <cell r="S64" t="str">
            <v xml:space="preserve"> </v>
          </cell>
          <cell r="T64" t="str">
            <v xml:space="preserve"> </v>
          </cell>
          <cell r="U64" t="str">
            <v xml:space="preserve"> </v>
          </cell>
          <cell r="V64" t="str">
            <v xml:space="preserve"> </v>
          </cell>
          <cell r="W64" t="str">
            <v xml:space="preserve"> </v>
          </cell>
          <cell r="X64" t="str">
            <v xml:space="preserve"> </v>
          </cell>
          <cell r="Y64" t="str">
            <v xml:space="preserve"> </v>
          </cell>
          <cell r="Z64" t="str">
            <v xml:space="preserve"> </v>
          </cell>
          <cell r="AA64" t="str">
            <v xml:space="preserve"> </v>
          </cell>
          <cell r="AB64" t="str">
            <v xml:space="preserve"> </v>
          </cell>
          <cell r="AC64" t="str">
            <v xml:space="preserve"> </v>
          </cell>
          <cell r="AD64" t="str">
            <v xml:space="preserve"> </v>
          </cell>
          <cell r="AE64" t="str">
            <v xml:space="preserve"> </v>
          </cell>
          <cell r="AF64" t="str">
            <v xml:space="preserve"> </v>
          </cell>
          <cell r="AG64" t="str">
            <v xml:space="preserve"> </v>
          </cell>
        </row>
        <row r="70">
          <cell r="C70" t="str">
            <v>0+</v>
          </cell>
          <cell r="D70" t="str">
            <v>1+</v>
          </cell>
          <cell r="E70" t="str">
            <v>2+</v>
          </cell>
          <cell r="F70" t="str">
            <v>3+</v>
          </cell>
          <cell r="G70" t="str">
            <v>4+</v>
          </cell>
          <cell r="H70" t="str">
            <v>5+</v>
          </cell>
          <cell r="I70" t="str">
            <v>6+</v>
          </cell>
          <cell r="J70" t="str">
            <v>7+</v>
          </cell>
          <cell r="K70" t="str">
            <v>8+</v>
          </cell>
          <cell r="L70" t="str">
            <v>9+</v>
          </cell>
          <cell r="M70" t="str">
            <v>10+</v>
          </cell>
          <cell r="N70" t="str">
            <v>11+</v>
          </cell>
          <cell r="O70" t="str">
            <v>12+</v>
          </cell>
          <cell r="P70" t="str">
            <v>13+</v>
          </cell>
          <cell r="Q70" t="str">
            <v>14+</v>
          </cell>
          <cell r="R70" t="str">
            <v>15+</v>
          </cell>
          <cell r="S70" t="str">
            <v>16+</v>
          </cell>
          <cell r="T70" t="str">
            <v>17+</v>
          </cell>
          <cell r="U70" t="str">
            <v>18+</v>
          </cell>
          <cell r="V70" t="str">
            <v>19+</v>
          </cell>
          <cell r="W70" t="str">
            <v>20+</v>
          </cell>
          <cell r="X70" t="str">
            <v>21+</v>
          </cell>
          <cell r="Y70" t="str">
            <v>22+</v>
          </cell>
          <cell r="Z70" t="str">
            <v>23+</v>
          </cell>
          <cell r="AA70" t="str">
            <v>24+</v>
          </cell>
          <cell r="AB70" t="str">
            <v>25+</v>
          </cell>
          <cell r="AC70" t="str">
            <v>26+</v>
          </cell>
          <cell r="AD70" t="str">
            <v>27+</v>
          </cell>
          <cell r="AE70" t="str">
            <v>28+</v>
          </cell>
          <cell r="AF70" t="str">
            <v>29+</v>
          </cell>
          <cell r="AG70" t="str">
            <v>30+</v>
          </cell>
        </row>
        <row r="72">
          <cell r="C72">
            <v>1</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cell r="N72" t="str">
            <v xml:space="preserve"> </v>
          </cell>
          <cell r="O72" t="str">
            <v xml:space="preserve"> </v>
          </cell>
          <cell r="P72" t="str">
            <v xml:space="preserve"> </v>
          </cell>
          <cell r="Q72" t="str">
            <v xml:space="preserve"> </v>
          </cell>
          <cell r="R72" t="str">
            <v xml:space="preserve"> </v>
          </cell>
          <cell r="S72" t="str">
            <v xml:space="preserve"> </v>
          </cell>
          <cell r="T72" t="str">
            <v xml:space="preserve"> </v>
          </cell>
          <cell r="U72" t="str">
            <v xml:space="preserve"> </v>
          </cell>
          <cell r="V72" t="str">
            <v xml:space="preserve"> </v>
          </cell>
          <cell r="W72" t="str">
            <v xml:space="preserve"> </v>
          </cell>
          <cell r="X72" t="str">
            <v xml:space="preserve"> </v>
          </cell>
          <cell r="Y72" t="str">
            <v xml:space="preserve"> </v>
          </cell>
          <cell r="Z72" t="str">
            <v xml:space="preserve"> </v>
          </cell>
          <cell r="AA72" t="str">
            <v xml:space="preserve"> </v>
          </cell>
          <cell r="AB72" t="str">
            <v xml:space="preserve"> </v>
          </cell>
          <cell r="AC72" t="str">
            <v xml:space="preserve"> </v>
          </cell>
          <cell r="AD72" t="str">
            <v xml:space="preserve"> </v>
          </cell>
          <cell r="AE72" t="str">
            <v xml:space="preserve"> </v>
          </cell>
          <cell r="AF72" t="str">
            <v xml:space="preserve"> </v>
          </cell>
          <cell r="AG72" t="str">
            <v xml:space="preserve"> </v>
          </cell>
        </row>
        <row r="78">
          <cell r="C78" t="str">
            <v>0+</v>
          </cell>
          <cell r="D78" t="str">
            <v>1+</v>
          </cell>
          <cell r="E78" t="str">
            <v>2+</v>
          </cell>
          <cell r="F78" t="str">
            <v>3+</v>
          </cell>
          <cell r="G78" t="str">
            <v>4+</v>
          </cell>
          <cell r="H78" t="str">
            <v>5+</v>
          </cell>
          <cell r="I78" t="str">
            <v>6+</v>
          </cell>
          <cell r="J78" t="str">
            <v>7+</v>
          </cell>
          <cell r="K78" t="str">
            <v>8+</v>
          </cell>
          <cell r="L78" t="str">
            <v>9+</v>
          </cell>
          <cell r="M78" t="str">
            <v>10+</v>
          </cell>
          <cell r="N78" t="str">
            <v>11+</v>
          </cell>
          <cell r="O78" t="str">
            <v>12+</v>
          </cell>
          <cell r="P78" t="str">
            <v>13+</v>
          </cell>
          <cell r="Q78" t="str">
            <v>14+</v>
          </cell>
          <cell r="R78" t="str">
            <v>15+</v>
          </cell>
          <cell r="S78" t="str">
            <v>16+</v>
          </cell>
          <cell r="T78" t="str">
            <v>17+</v>
          </cell>
          <cell r="U78" t="str">
            <v>18+</v>
          </cell>
          <cell r="V78" t="str">
            <v>19+</v>
          </cell>
          <cell r="W78" t="str">
            <v>20+</v>
          </cell>
          <cell r="X78" t="str">
            <v>21+</v>
          </cell>
          <cell r="Y78" t="str">
            <v>22+</v>
          </cell>
          <cell r="Z78" t="str">
            <v>23+</v>
          </cell>
          <cell r="AA78" t="str">
            <v>24+</v>
          </cell>
          <cell r="AB78" t="str">
            <v>25+</v>
          </cell>
          <cell r="AC78" t="str">
            <v>26+</v>
          </cell>
          <cell r="AD78" t="str">
            <v>27+</v>
          </cell>
          <cell r="AE78" t="str">
            <v>28+</v>
          </cell>
          <cell r="AF78" t="str">
            <v>29+</v>
          </cell>
          <cell r="AG78" t="str">
            <v>30+</v>
          </cell>
        </row>
        <row r="80">
          <cell r="C80">
            <v>1</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cell r="N80" t="str">
            <v xml:space="preserve"> </v>
          </cell>
          <cell r="O80" t="str">
            <v xml:space="preserve"> </v>
          </cell>
          <cell r="P80" t="str">
            <v xml:space="preserve"> </v>
          </cell>
          <cell r="Q80" t="str">
            <v xml:space="preserve"> </v>
          </cell>
          <cell r="R80" t="str">
            <v xml:space="preserve"> </v>
          </cell>
          <cell r="S80" t="str">
            <v xml:space="preserve"> </v>
          </cell>
          <cell r="T80" t="str">
            <v xml:space="preserve"> </v>
          </cell>
          <cell r="U80" t="str">
            <v xml:space="preserve"> </v>
          </cell>
          <cell r="V80" t="str">
            <v xml:space="preserve"> </v>
          </cell>
          <cell r="W80" t="str">
            <v xml:space="preserve"> </v>
          </cell>
          <cell r="X80" t="str">
            <v xml:space="preserve"> </v>
          </cell>
          <cell r="Y80" t="str">
            <v xml:space="preserve"> </v>
          </cell>
          <cell r="Z80" t="str">
            <v xml:space="preserve"> </v>
          </cell>
          <cell r="AA80" t="str">
            <v xml:space="preserve"> </v>
          </cell>
          <cell r="AB80" t="str">
            <v xml:space="preserve"> </v>
          </cell>
          <cell r="AC80" t="str">
            <v xml:space="preserve"> </v>
          </cell>
          <cell r="AD80" t="str">
            <v xml:space="preserve"> </v>
          </cell>
          <cell r="AE80" t="str">
            <v xml:space="preserve"> </v>
          </cell>
          <cell r="AF80" t="str">
            <v xml:space="preserve"> </v>
          </cell>
          <cell r="AG80" t="str">
            <v xml:space="preserve"> </v>
          </cell>
        </row>
        <row r="86">
          <cell r="C86" t="str">
            <v>0+</v>
          </cell>
          <cell r="D86" t="str">
            <v>1+</v>
          </cell>
          <cell r="E86" t="str">
            <v>2+</v>
          </cell>
          <cell r="F86" t="str">
            <v>3+</v>
          </cell>
          <cell r="G86" t="str">
            <v>4+</v>
          </cell>
          <cell r="H86" t="str">
            <v>5+</v>
          </cell>
          <cell r="I86" t="str">
            <v>6+</v>
          </cell>
          <cell r="J86" t="str">
            <v>7+</v>
          </cell>
          <cell r="K86" t="str">
            <v>8+</v>
          </cell>
          <cell r="L86" t="str">
            <v>9+</v>
          </cell>
          <cell r="M86" t="str">
            <v>10+</v>
          </cell>
          <cell r="N86" t="str">
            <v>11+</v>
          </cell>
          <cell r="O86" t="str">
            <v>12+</v>
          </cell>
          <cell r="P86" t="str">
            <v>13+</v>
          </cell>
          <cell r="Q86" t="str">
            <v>14+</v>
          </cell>
          <cell r="R86" t="str">
            <v>15+</v>
          </cell>
          <cell r="S86" t="str">
            <v>16+</v>
          </cell>
          <cell r="T86" t="str">
            <v>17+</v>
          </cell>
          <cell r="U86" t="str">
            <v>18+</v>
          </cell>
          <cell r="V86" t="str">
            <v>19+</v>
          </cell>
          <cell r="W86" t="str">
            <v>20+</v>
          </cell>
          <cell r="X86" t="str">
            <v>21+</v>
          </cell>
          <cell r="Y86" t="str">
            <v>22+</v>
          </cell>
          <cell r="Z86" t="str">
            <v>23+</v>
          </cell>
          <cell r="AA86" t="str">
            <v>24+</v>
          </cell>
          <cell r="AB86" t="str">
            <v>25+</v>
          </cell>
          <cell r="AC86" t="str">
            <v>26+</v>
          </cell>
          <cell r="AD86" t="str">
            <v>27+</v>
          </cell>
          <cell r="AE86" t="str">
            <v>28+</v>
          </cell>
          <cell r="AF86" t="str">
            <v>29+</v>
          </cell>
          <cell r="AG86" t="str">
            <v>30+</v>
          </cell>
        </row>
        <row r="88">
          <cell r="C88">
            <v>1</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cell r="N88" t="str">
            <v xml:space="preserve"> </v>
          </cell>
          <cell r="O88" t="str">
            <v xml:space="preserve"> </v>
          </cell>
          <cell r="P88" t="str">
            <v xml:space="preserve"> </v>
          </cell>
          <cell r="Q88" t="str">
            <v xml:space="preserve"> </v>
          </cell>
          <cell r="R88" t="str">
            <v xml:space="preserve"> </v>
          </cell>
          <cell r="S88" t="str">
            <v xml:space="preserve"> </v>
          </cell>
          <cell r="T88" t="str">
            <v xml:space="preserve"> </v>
          </cell>
          <cell r="U88" t="str">
            <v xml:space="preserve"> </v>
          </cell>
          <cell r="V88" t="str">
            <v xml:space="preserve"> </v>
          </cell>
          <cell r="W88" t="str">
            <v xml:space="preserve"> </v>
          </cell>
          <cell r="X88" t="str">
            <v xml:space="preserve"> </v>
          </cell>
          <cell r="Y88" t="str">
            <v xml:space="preserve"> </v>
          </cell>
          <cell r="Z88" t="str">
            <v xml:space="preserve"> </v>
          </cell>
          <cell r="AA88" t="str">
            <v xml:space="preserve"> </v>
          </cell>
          <cell r="AB88" t="str">
            <v xml:space="preserve"> </v>
          </cell>
          <cell r="AC88" t="str">
            <v xml:space="preserve"> </v>
          </cell>
          <cell r="AD88" t="str">
            <v xml:space="preserve"> </v>
          </cell>
          <cell r="AE88" t="str">
            <v xml:space="preserve"> </v>
          </cell>
          <cell r="AF88" t="str">
            <v xml:space="preserve"> </v>
          </cell>
          <cell r="AG88" t="str">
            <v xml:space="preserve"> </v>
          </cell>
        </row>
        <row r="94">
          <cell r="C94" t="str">
            <v>0+</v>
          </cell>
          <cell r="D94" t="str">
            <v>1+</v>
          </cell>
          <cell r="E94" t="str">
            <v>2+</v>
          </cell>
          <cell r="F94" t="str">
            <v>3+</v>
          </cell>
          <cell r="G94" t="str">
            <v>4+</v>
          </cell>
          <cell r="H94" t="str">
            <v>5+</v>
          </cell>
          <cell r="I94" t="str">
            <v>6+</v>
          </cell>
          <cell r="J94" t="str">
            <v>7+</v>
          </cell>
          <cell r="K94" t="str">
            <v>8+</v>
          </cell>
          <cell r="L94" t="str">
            <v>9+</v>
          </cell>
          <cell r="M94" t="str">
            <v>10+</v>
          </cell>
          <cell r="N94" t="str">
            <v>11+</v>
          </cell>
          <cell r="O94" t="str">
            <v>12+</v>
          </cell>
          <cell r="P94" t="str">
            <v>13+</v>
          </cell>
          <cell r="Q94" t="str">
            <v>14+</v>
          </cell>
          <cell r="R94" t="str">
            <v>15+</v>
          </cell>
          <cell r="S94" t="str">
            <v>16+</v>
          </cell>
          <cell r="T94" t="str">
            <v>17+</v>
          </cell>
          <cell r="U94" t="str">
            <v>18+</v>
          </cell>
          <cell r="V94" t="str">
            <v>19+</v>
          </cell>
          <cell r="W94" t="str">
            <v>20+</v>
          </cell>
          <cell r="X94" t="str">
            <v>21+</v>
          </cell>
          <cell r="Y94" t="str">
            <v>22+</v>
          </cell>
          <cell r="Z94" t="str">
            <v>23+</v>
          </cell>
          <cell r="AA94" t="str">
            <v>24+</v>
          </cell>
          <cell r="AB94" t="str">
            <v>25+</v>
          </cell>
          <cell r="AC94" t="str">
            <v>26+</v>
          </cell>
          <cell r="AD94" t="str">
            <v>27+</v>
          </cell>
          <cell r="AE94" t="str">
            <v>28+</v>
          </cell>
          <cell r="AF94" t="str">
            <v>29+</v>
          </cell>
          <cell r="AG94" t="str">
            <v>30+</v>
          </cell>
        </row>
        <row r="96">
          <cell r="C96">
            <v>1</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cell r="N96" t="str">
            <v xml:space="preserve"> </v>
          </cell>
          <cell r="O96" t="str">
            <v xml:space="preserve"> </v>
          </cell>
          <cell r="P96" t="str">
            <v xml:space="preserve"> </v>
          </cell>
          <cell r="Q96" t="str">
            <v xml:space="preserve"> </v>
          </cell>
          <cell r="R96" t="str">
            <v xml:space="preserve"> </v>
          </cell>
          <cell r="S96" t="str">
            <v xml:space="preserve"> </v>
          </cell>
          <cell r="T96" t="str">
            <v xml:space="preserve"> </v>
          </cell>
          <cell r="U96" t="str">
            <v xml:space="preserve"> </v>
          </cell>
          <cell r="V96" t="str">
            <v xml:space="preserve"> </v>
          </cell>
          <cell r="W96" t="str">
            <v xml:space="preserve"> </v>
          </cell>
          <cell r="X96" t="str">
            <v xml:space="preserve"> </v>
          </cell>
          <cell r="Y96" t="str">
            <v xml:space="preserve"> </v>
          </cell>
          <cell r="Z96" t="str">
            <v xml:space="preserve"> </v>
          </cell>
          <cell r="AA96" t="str">
            <v xml:space="preserve"> </v>
          </cell>
          <cell r="AB96" t="str">
            <v xml:space="preserve"> </v>
          </cell>
          <cell r="AC96" t="str">
            <v xml:space="preserve"> </v>
          </cell>
          <cell r="AD96" t="str">
            <v xml:space="preserve"> </v>
          </cell>
          <cell r="AE96" t="str">
            <v xml:space="preserve"> </v>
          </cell>
          <cell r="AF96" t="str">
            <v xml:space="preserve"> </v>
          </cell>
          <cell r="AG96" t="str">
            <v xml:space="preserve"> </v>
          </cell>
        </row>
        <row r="102">
          <cell r="C102" t="str">
            <v>0+</v>
          </cell>
          <cell r="D102" t="str">
            <v>1+</v>
          </cell>
          <cell r="E102" t="str">
            <v>2+</v>
          </cell>
          <cell r="F102" t="str">
            <v>3+</v>
          </cell>
          <cell r="G102" t="str">
            <v>4+</v>
          </cell>
          <cell r="H102" t="str">
            <v>5+</v>
          </cell>
          <cell r="I102" t="str">
            <v>6+</v>
          </cell>
          <cell r="J102" t="str">
            <v>7+</v>
          </cell>
          <cell r="K102" t="str">
            <v>8+</v>
          </cell>
          <cell r="L102" t="str">
            <v>9+</v>
          </cell>
          <cell r="M102" t="str">
            <v>10+</v>
          </cell>
          <cell r="N102" t="str">
            <v>11+</v>
          </cell>
          <cell r="O102" t="str">
            <v>12+</v>
          </cell>
          <cell r="P102" t="str">
            <v>13+</v>
          </cell>
          <cell r="Q102" t="str">
            <v>14+</v>
          </cell>
          <cell r="R102" t="str">
            <v>15+</v>
          </cell>
          <cell r="S102" t="str">
            <v>16+</v>
          </cell>
          <cell r="T102" t="str">
            <v>17+</v>
          </cell>
          <cell r="U102" t="str">
            <v>18+</v>
          </cell>
          <cell r="V102" t="str">
            <v>19+</v>
          </cell>
          <cell r="W102" t="str">
            <v>20+</v>
          </cell>
          <cell r="X102" t="str">
            <v>21+</v>
          </cell>
          <cell r="Y102" t="str">
            <v>22+</v>
          </cell>
          <cell r="Z102" t="str">
            <v>23+</v>
          </cell>
          <cell r="AA102" t="str">
            <v>24+</v>
          </cell>
          <cell r="AB102" t="str">
            <v>25+</v>
          </cell>
          <cell r="AC102" t="str">
            <v>26+</v>
          </cell>
          <cell r="AD102" t="str">
            <v>27+</v>
          </cell>
          <cell r="AE102" t="str">
            <v>28+</v>
          </cell>
          <cell r="AF102" t="str">
            <v>29+</v>
          </cell>
          <cell r="AG102" t="str">
            <v>30+</v>
          </cell>
        </row>
        <row r="104">
          <cell r="C104">
            <v>1</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cell r="N104" t="str">
            <v xml:space="preserve"> </v>
          </cell>
          <cell r="O104" t="str">
            <v xml:space="preserve"> </v>
          </cell>
          <cell r="P104" t="str">
            <v xml:space="preserve"> </v>
          </cell>
          <cell r="Q104" t="str">
            <v xml:space="preserve"> </v>
          </cell>
          <cell r="R104" t="str">
            <v xml:space="preserve"> </v>
          </cell>
          <cell r="S104" t="str">
            <v xml:space="preserve"> </v>
          </cell>
          <cell r="T104" t="str">
            <v xml:space="preserve"> </v>
          </cell>
          <cell r="U104" t="str">
            <v xml:space="preserve"> </v>
          </cell>
          <cell r="V104" t="str">
            <v xml:space="preserve"> </v>
          </cell>
          <cell r="W104" t="str">
            <v xml:space="preserve"> </v>
          </cell>
          <cell r="X104" t="str">
            <v xml:space="preserve"> </v>
          </cell>
          <cell r="Y104" t="str">
            <v xml:space="preserve"> </v>
          </cell>
          <cell r="Z104" t="str">
            <v xml:space="preserve"> </v>
          </cell>
          <cell r="AA104" t="str">
            <v xml:space="preserve"> </v>
          </cell>
          <cell r="AB104" t="str">
            <v xml:space="preserve"> </v>
          </cell>
          <cell r="AC104" t="str">
            <v xml:space="preserve"> </v>
          </cell>
          <cell r="AD104" t="str">
            <v xml:space="preserve"> </v>
          </cell>
          <cell r="AE104" t="str">
            <v xml:space="preserve"> </v>
          </cell>
          <cell r="AF104" t="str">
            <v xml:space="preserve"> </v>
          </cell>
          <cell r="AG104" t="str">
            <v xml:space="preserve"> </v>
          </cell>
        </row>
        <row r="110">
          <cell r="C110" t="str">
            <v>0+</v>
          </cell>
          <cell r="D110" t="str">
            <v>1+</v>
          </cell>
          <cell r="E110" t="str">
            <v>2+</v>
          </cell>
          <cell r="F110" t="str">
            <v>3+</v>
          </cell>
          <cell r="G110" t="str">
            <v>4+</v>
          </cell>
          <cell r="H110" t="str">
            <v>5+</v>
          </cell>
          <cell r="I110" t="str">
            <v>6+</v>
          </cell>
          <cell r="J110" t="str">
            <v>7+</v>
          </cell>
          <cell r="K110" t="str">
            <v>8+</v>
          </cell>
          <cell r="L110" t="str">
            <v>9+</v>
          </cell>
          <cell r="M110" t="str">
            <v>10+</v>
          </cell>
          <cell r="N110" t="str">
            <v>11+</v>
          </cell>
          <cell r="O110" t="str">
            <v>12+</v>
          </cell>
          <cell r="P110" t="str">
            <v>13+</v>
          </cell>
          <cell r="Q110" t="str">
            <v>14+</v>
          </cell>
          <cell r="R110" t="str">
            <v>15+</v>
          </cell>
          <cell r="S110" t="str">
            <v>16+</v>
          </cell>
          <cell r="T110" t="str">
            <v>17+</v>
          </cell>
          <cell r="U110" t="str">
            <v>18+</v>
          </cell>
          <cell r="V110" t="str">
            <v>19+</v>
          </cell>
          <cell r="W110" t="str">
            <v>20+</v>
          </cell>
          <cell r="X110" t="str">
            <v>21+</v>
          </cell>
          <cell r="Y110" t="str">
            <v>22+</v>
          </cell>
          <cell r="Z110" t="str">
            <v>23+</v>
          </cell>
          <cell r="AA110" t="str">
            <v>24+</v>
          </cell>
          <cell r="AB110" t="str">
            <v>25+</v>
          </cell>
          <cell r="AC110" t="str">
            <v>26+</v>
          </cell>
          <cell r="AD110" t="str">
            <v>27+</v>
          </cell>
          <cell r="AE110" t="str">
            <v>28+</v>
          </cell>
          <cell r="AF110" t="str">
            <v>29+</v>
          </cell>
          <cell r="AG110" t="str">
            <v>30+</v>
          </cell>
        </row>
        <row r="112">
          <cell r="C112">
            <v>1</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cell r="N112" t="str">
            <v xml:space="preserve"> </v>
          </cell>
          <cell r="O112" t="str">
            <v xml:space="preserve"> </v>
          </cell>
          <cell r="P112" t="str">
            <v xml:space="preserve"> </v>
          </cell>
          <cell r="Q112" t="str">
            <v xml:space="preserve"> </v>
          </cell>
          <cell r="R112" t="str">
            <v xml:space="preserve"> </v>
          </cell>
          <cell r="S112" t="str">
            <v xml:space="preserve"> </v>
          </cell>
          <cell r="T112" t="str">
            <v xml:space="preserve"> </v>
          </cell>
          <cell r="U112" t="str">
            <v xml:space="preserve"> </v>
          </cell>
          <cell r="V112" t="str">
            <v xml:space="preserve"> </v>
          </cell>
          <cell r="W112" t="str">
            <v xml:space="preserve"> </v>
          </cell>
          <cell r="X112" t="str">
            <v xml:space="preserve"> </v>
          </cell>
          <cell r="Y112" t="str">
            <v xml:space="preserve"> </v>
          </cell>
          <cell r="Z112" t="str">
            <v xml:space="preserve"> </v>
          </cell>
          <cell r="AA112" t="str">
            <v xml:space="preserve"> </v>
          </cell>
          <cell r="AB112" t="str">
            <v xml:space="preserve"> </v>
          </cell>
          <cell r="AC112" t="str">
            <v xml:space="preserve"> </v>
          </cell>
          <cell r="AD112" t="str">
            <v xml:space="preserve"> </v>
          </cell>
          <cell r="AE112" t="str">
            <v xml:space="preserve"> </v>
          </cell>
          <cell r="AF112" t="str">
            <v xml:space="preserve"> </v>
          </cell>
          <cell r="AG112" t="str">
            <v xml:space="preserve"> </v>
          </cell>
        </row>
        <row r="118">
          <cell r="C118" t="str">
            <v>0+</v>
          </cell>
          <cell r="D118" t="str">
            <v>1+</v>
          </cell>
          <cell r="E118" t="str">
            <v>2+</v>
          </cell>
          <cell r="F118" t="str">
            <v>3+</v>
          </cell>
          <cell r="G118" t="str">
            <v>4+</v>
          </cell>
          <cell r="H118" t="str">
            <v>5+</v>
          </cell>
          <cell r="I118" t="str">
            <v>6+</v>
          </cell>
          <cell r="J118" t="str">
            <v>7+</v>
          </cell>
          <cell r="K118" t="str">
            <v>8+</v>
          </cell>
          <cell r="L118" t="str">
            <v>9+</v>
          </cell>
          <cell r="M118" t="str">
            <v>10+</v>
          </cell>
          <cell r="N118" t="str">
            <v>11+</v>
          </cell>
          <cell r="O118" t="str">
            <v>12+</v>
          </cell>
          <cell r="P118" t="str">
            <v>13+</v>
          </cell>
          <cell r="Q118" t="str">
            <v>14+</v>
          </cell>
          <cell r="R118" t="str">
            <v>15+</v>
          </cell>
          <cell r="S118" t="str">
            <v>16+</v>
          </cell>
          <cell r="T118" t="str">
            <v>17+</v>
          </cell>
          <cell r="U118" t="str">
            <v>18+</v>
          </cell>
          <cell r="V118" t="str">
            <v>19+</v>
          </cell>
          <cell r="W118" t="str">
            <v>20+</v>
          </cell>
          <cell r="X118" t="str">
            <v>21+</v>
          </cell>
          <cell r="Y118" t="str">
            <v>22+</v>
          </cell>
          <cell r="Z118" t="str">
            <v>23+</v>
          </cell>
          <cell r="AA118" t="str">
            <v>24+</v>
          </cell>
          <cell r="AB118" t="str">
            <v>25+</v>
          </cell>
          <cell r="AC118" t="str">
            <v>26+</v>
          </cell>
          <cell r="AD118" t="str">
            <v>27+</v>
          </cell>
          <cell r="AE118" t="str">
            <v>28+</v>
          </cell>
          <cell r="AF118" t="str">
            <v>29+</v>
          </cell>
          <cell r="AG118" t="str">
            <v>30+</v>
          </cell>
        </row>
        <row r="120">
          <cell r="C120">
            <v>1</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cell r="N120" t="str">
            <v xml:space="preserve"> </v>
          </cell>
          <cell r="O120" t="str">
            <v xml:space="preserve"> </v>
          </cell>
          <cell r="P120" t="str">
            <v xml:space="preserve"> </v>
          </cell>
          <cell r="Q120" t="str">
            <v xml:space="preserve"> </v>
          </cell>
          <cell r="R120" t="str">
            <v xml:space="preserve"> </v>
          </cell>
          <cell r="S120" t="str">
            <v xml:space="preserve"> </v>
          </cell>
          <cell r="T120" t="str">
            <v xml:space="preserve"> </v>
          </cell>
          <cell r="U120" t="str">
            <v xml:space="preserve"> </v>
          </cell>
          <cell r="V120" t="str">
            <v xml:space="preserve"> </v>
          </cell>
          <cell r="W120" t="str">
            <v xml:space="preserve"> </v>
          </cell>
          <cell r="X120" t="str">
            <v xml:space="preserve"> </v>
          </cell>
          <cell r="Y120" t="str">
            <v xml:space="preserve"> </v>
          </cell>
          <cell r="Z120" t="str">
            <v xml:space="preserve"> </v>
          </cell>
          <cell r="AA120" t="str">
            <v xml:space="preserve"> </v>
          </cell>
          <cell r="AB120" t="str">
            <v xml:space="preserve"> </v>
          </cell>
          <cell r="AC120" t="str">
            <v xml:space="preserve"> </v>
          </cell>
          <cell r="AD120" t="str">
            <v xml:space="preserve"> </v>
          </cell>
          <cell r="AE120" t="str">
            <v xml:space="preserve"> </v>
          </cell>
          <cell r="AF120" t="str">
            <v xml:space="preserve"> </v>
          </cell>
          <cell r="AG120" t="str">
            <v xml:space="preserve"> </v>
          </cell>
        </row>
        <row r="126">
          <cell r="C126" t="str">
            <v>0+</v>
          </cell>
          <cell r="D126" t="str">
            <v>1+</v>
          </cell>
          <cell r="E126" t="str">
            <v>2+</v>
          </cell>
          <cell r="F126" t="str">
            <v>3+</v>
          </cell>
          <cell r="G126" t="str">
            <v>4+</v>
          </cell>
          <cell r="H126" t="str">
            <v>5+</v>
          </cell>
          <cell r="I126" t="str">
            <v>6+</v>
          </cell>
          <cell r="J126" t="str">
            <v>7+</v>
          </cell>
          <cell r="K126" t="str">
            <v>8+</v>
          </cell>
          <cell r="L126" t="str">
            <v>9+</v>
          </cell>
          <cell r="M126" t="str">
            <v>10+</v>
          </cell>
          <cell r="N126" t="str">
            <v>11+</v>
          </cell>
          <cell r="O126" t="str">
            <v>12+</v>
          </cell>
          <cell r="P126" t="str">
            <v>13+</v>
          </cell>
          <cell r="Q126" t="str">
            <v>14+</v>
          </cell>
          <cell r="R126" t="str">
            <v>15+</v>
          </cell>
          <cell r="S126" t="str">
            <v>16+</v>
          </cell>
          <cell r="T126" t="str">
            <v>17+</v>
          </cell>
          <cell r="U126" t="str">
            <v>18+</v>
          </cell>
          <cell r="V126" t="str">
            <v>19+</v>
          </cell>
          <cell r="W126" t="str">
            <v>20+</v>
          </cell>
          <cell r="X126" t="str">
            <v>21+</v>
          </cell>
          <cell r="Y126" t="str">
            <v>22+</v>
          </cell>
          <cell r="Z126" t="str">
            <v>23+</v>
          </cell>
          <cell r="AA126" t="str">
            <v>24+</v>
          </cell>
          <cell r="AB126" t="str">
            <v>25+</v>
          </cell>
          <cell r="AC126" t="str">
            <v>26+</v>
          </cell>
          <cell r="AD126" t="str">
            <v>27+</v>
          </cell>
          <cell r="AE126" t="str">
            <v>28+</v>
          </cell>
          <cell r="AF126" t="str">
            <v>29+</v>
          </cell>
          <cell r="AG126" t="str">
            <v>30+</v>
          </cell>
        </row>
        <row r="128">
          <cell r="C128">
            <v>1</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cell r="N128" t="str">
            <v xml:space="preserve"> </v>
          </cell>
          <cell r="O128" t="str">
            <v xml:space="preserve"> </v>
          </cell>
          <cell r="P128" t="str">
            <v xml:space="preserve"> </v>
          </cell>
          <cell r="Q128" t="str">
            <v xml:space="preserve"> </v>
          </cell>
          <cell r="R128" t="str">
            <v xml:space="preserve"> </v>
          </cell>
          <cell r="S128" t="str">
            <v xml:space="preserve"> </v>
          </cell>
          <cell r="T128" t="str">
            <v xml:space="preserve"> </v>
          </cell>
          <cell r="U128" t="str">
            <v xml:space="preserve"> </v>
          </cell>
          <cell r="V128" t="str">
            <v xml:space="preserve"> </v>
          </cell>
          <cell r="W128" t="str">
            <v xml:space="preserve"> </v>
          </cell>
          <cell r="X128" t="str">
            <v xml:space="preserve"> </v>
          </cell>
          <cell r="Y128" t="str">
            <v xml:space="preserve"> </v>
          </cell>
          <cell r="Z128" t="str">
            <v xml:space="preserve"> </v>
          </cell>
          <cell r="AA128" t="str">
            <v xml:space="preserve"> </v>
          </cell>
          <cell r="AB128" t="str">
            <v xml:space="preserve"> </v>
          </cell>
          <cell r="AC128" t="str">
            <v xml:space="preserve"> </v>
          </cell>
          <cell r="AD128" t="str">
            <v xml:space="preserve"> </v>
          </cell>
          <cell r="AE128" t="str">
            <v xml:space="preserve"> </v>
          </cell>
          <cell r="AF128" t="str">
            <v xml:space="preserve"> </v>
          </cell>
          <cell r="AG128" t="str">
            <v xml:space="preserve"> </v>
          </cell>
        </row>
        <row r="134">
          <cell r="C134" t="str">
            <v>0+</v>
          </cell>
          <cell r="D134" t="str">
            <v>1+</v>
          </cell>
          <cell r="E134" t="str">
            <v>2+</v>
          </cell>
          <cell r="F134" t="str">
            <v>3+</v>
          </cell>
          <cell r="G134" t="str">
            <v>4+</v>
          </cell>
          <cell r="H134" t="str">
            <v>5+</v>
          </cell>
          <cell r="I134" t="str">
            <v>6+</v>
          </cell>
          <cell r="J134" t="str">
            <v>7+</v>
          </cell>
          <cell r="K134" t="str">
            <v>8+</v>
          </cell>
          <cell r="L134" t="str">
            <v>9+</v>
          </cell>
          <cell r="M134" t="str">
            <v>10+</v>
          </cell>
          <cell r="N134" t="str">
            <v>11+</v>
          </cell>
          <cell r="O134" t="str">
            <v>12+</v>
          </cell>
          <cell r="P134" t="str">
            <v>13+</v>
          </cell>
          <cell r="Q134" t="str">
            <v>14+</v>
          </cell>
          <cell r="R134" t="str">
            <v>15+</v>
          </cell>
          <cell r="S134" t="str">
            <v>16+</v>
          </cell>
          <cell r="T134" t="str">
            <v>17+</v>
          </cell>
          <cell r="U134" t="str">
            <v>18+</v>
          </cell>
          <cell r="V134" t="str">
            <v>19+</v>
          </cell>
          <cell r="W134" t="str">
            <v>20+</v>
          </cell>
          <cell r="X134" t="str">
            <v>21+</v>
          </cell>
          <cell r="Y134" t="str">
            <v>22+</v>
          </cell>
          <cell r="Z134" t="str">
            <v>23+</v>
          </cell>
          <cell r="AA134" t="str">
            <v>24+</v>
          </cell>
          <cell r="AB134" t="str">
            <v>25+</v>
          </cell>
          <cell r="AC134" t="str">
            <v>26+</v>
          </cell>
          <cell r="AD134" t="str">
            <v>27+</v>
          </cell>
          <cell r="AE134" t="str">
            <v>28+</v>
          </cell>
          <cell r="AF134" t="str">
            <v>29+</v>
          </cell>
          <cell r="AG134" t="str">
            <v>30+</v>
          </cell>
        </row>
        <row r="136">
          <cell r="C136">
            <v>1</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cell r="N136" t="str">
            <v xml:space="preserve"> </v>
          </cell>
          <cell r="O136" t="str">
            <v xml:space="preserve"> </v>
          </cell>
          <cell r="P136" t="str">
            <v xml:space="preserve"> </v>
          </cell>
          <cell r="Q136" t="str">
            <v xml:space="preserve"> </v>
          </cell>
          <cell r="R136" t="str">
            <v xml:space="preserve"> </v>
          </cell>
          <cell r="S136" t="str">
            <v xml:space="preserve"> </v>
          </cell>
          <cell r="T136" t="str">
            <v xml:space="preserve"> </v>
          </cell>
          <cell r="U136" t="str">
            <v xml:space="preserve"> </v>
          </cell>
          <cell r="V136" t="str">
            <v xml:space="preserve"> </v>
          </cell>
          <cell r="W136" t="str">
            <v xml:space="preserve"> </v>
          </cell>
          <cell r="X136" t="str">
            <v xml:space="preserve"> </v>
          </cell>
          <cell r="Y136" t="str">
            <v xml:space="preserve"> </v>
          </cell>
          <cell r="Z136" t="str">
            <v xml:space="preserve"> </v>
          </cell>
          <cell r="AA136" t="str">
            <v xml:space="preserve"> </v>
          </cell>
          <cell r="AB136" t="str">
            <v xml:space="preserve"> </v>
          </cell>
          <cell r="AC136" t="str">
            <v xml:space="preserve"> </v>
          </cell>
          <cell r="AD136" t="str">
            <v xml:space="preserve"> </v>
          </cell>
          <cell r="AE136" t="str">
            <v xml:space="preserve"> </v>
          </cell>
          <cell r="AF136" t="str">
            <v xml:space="preserve"> </v>
          </cell>
          <cell r="AG136" t="str">
            <v xml:space="preserve"> </v>
          </cell>
        </row>
        <row r="142">
          <cell r="C142" t="str">
            <v>0+</v>
          </cell>
          <cell r="D142" t="str">
            <v>1+</v>
          </cell>
          <cell r="E142" t="str">
            <v>2+</v>
          </cell>
          <cell r="F142" t="str">
            <v>3+</v>
          </cell>
          <cell r="G142" t="str">
            <v>4+</v>
          </cell>
          <cell r="H142" t="str">
            <v>5+</v>
          </cell>
          <cell r="I142" t="str">
            <v>6+</v>
          </cell>
          <cell r="J142" t="str">
            <v>7+</v>
          </cell>
          <cell r="K142" t="str">
            <v>8+</v>
          </cell>
          <cell r="L142" t="str">
            <v>9+</v>
          </cell>
          <cell r="M142" t="str">
            <v>10+</v>
          </cell>
          <cell r="N142" t="str">
            <v>11+</v>
          </cell>
          <cell r="O142" t="str">
            <v>12+</v>
          </cell>
          <cell r="P142" t="str">
            <v>13+</v>
          </cell>
          <cell r="Q142" t="str">
            <v>14+</v>
          </cell>
          <cell r="R142" t="str">
            <v>15+</v>
          </cell>
          <cell r="S142" t="str">
            <v>16+</v>
          </cell>
          <cell r="T142" t="str">
            <v>17+</v>
          </cell>
          <cell r="U142" t="str">
            <v>18+</v>
          </cell>
          <cell r="V142" t="str">
            <v>19+</v>
          </cell>
          <cell r="W142" t="str">
            <v>20+</v>
          </cell>
          <cell r="X142" t="str">
            <v>21+</v>
          </cell>
          <cell r="Y142" t="str">
            <v>22+</v>
          </cell>
          <cell r="Z142" t="str">
            <v>23+</v>
          </cell>
          <cell r="AA142" t="str">
            <v>24+</v>
          </cell>
          <cell r="AB142" t="str">
            <v>25+</v>
          </cell>
          <cell r="AC142" t="str">
            <v>26+</v>
          </cell>
          <cell r="AD142" t="str">
            <v>27+</v>
          </cell>
          <cell r="AE142" t="str">
            <v>28+</v>
          </cell>
          <cell r="AF142" t="str">
            <v>29+</v>
          </cell>
          <cell r="AG142" t="str">
            <v>30+</v>
          </cell>
        </row>
        <row r="144">
          <cell r="C144">
            <v>1</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cell r="N144" t="str">
            <v xml:space="preserve"> </v>
          </cell>
          <cell r="O144" t="str">
            <v xml:space="preserve"> </v>
          </cell>
          <cell r="P144" t="str">
            <v xml:space="preserve"> </v>
          </cell>
          <cell r="Q144" t="str">
            <v xml:space="preserve"> </v>
          </cell>
          <cell r="R144" t="str">
            <v xml:space="preserve"> </v>
          </cell>
          <cell r="S144" t="str">
            <v xml:space="preserve"> </v>
          </cell>
          <cell r="T144" t="str">
            <v xml:space="preserve"> </v>
          </cell>
          <cell r="U144" t="str">
            <v xml:space="preserve"> </v>
          </cell>
          <cell r="V144" t="str">
            <v xml:space="preserve"> </v>
          </cell>
          <cell r="W144" t="str">
            <v xml:space="preserve"> </v>
          </cell>
          <cell r="X144" t="str">
            <v xml:space="preserve"> </v>
          </cell>
          <cell r="Y144" t="str">
            <v xml:space="preserve"> </v>
          </cell>
          <cell r="Z144" t="str">
            <v xml:space="preserve"> </v>
          </cell>
          <cell r="AA144" t="str">
            <v xml:space="preserve"> </v>
          </cell>
          <cell r="AB144" t="str">
            <v xml:space="preserve"> </v>
          </cell>
          <cell r="AC144" t="str">
            <v xml:space="preserve"> </v>
          </cell>
          <cell r="AD144" t="str">
            <v xml:space="preserve"> </v>
          </cell>
          <cell r="AE144" t="str">
            <v xml:space="preserve"> </v>
          </cell>
          <cell r="AF144" t="str">
            <v xml:space="preserve"> </v>
          </cell>
          <cell r="AG144" t="str">
            <v xml:space="preserve"> </v>
          </cell>
        </row>
        <row r="150">
          <cell r="C150" t="str">
            <v>0+</v>
          </cell>
          <cell r="D150" t="str">
            <v>1+</v>
          </cell>
          <cell r="E150" t="str">
            <v>2+</v>
          </cell>
          <cell r="F150" t="str">
            <v>3+</v>
          </cell>
          <cell r="G150" t="str">
            <v>4+</v>
          </cell>
          <cell r="H150" t="str">
            <v>5+</v>
          </cell>
          <cell r="I150" t="str">
            <v>6+</v>
          </cell>
          <cell r="J150" t="str">
            <v>7+</v>
          </cell>
          <cell r="K150" t="str">
            <v>8+</v>
          </cell>
          <cell r="L150" t="str">
            <v>9+</v>
          </cell>
          <cell r="M150" t="str">
            <v>10+</v>
          </cell>
          <cell r="N150" t="str">
            <v>11+</v>
          </cell>
          <cell r="O150" t="str">
            <v>12+</v>
          </cell>
          <cell r="P150" t="str">
            <v>13+</v>
          </cell>
          <cell r="Q150" t="str">
            <v>14+</v>
          </cell>
          <cell r="R150" t="str">
            <v>15+</v>
          </cell>
          <cell r="S150" t="str">
            <v>16+</v>
          </cell>
          <cell r="T150" t="str">
            <v>17+</v>
          </cell>
          <cell r="U150" t="str">
            <v>18+</v>
          </cell>
          <cell r="V150" t="str">
            <v>19+</v>
          </cell>
          <cell r="W150" t="str">
            <v>20+</v>
          </cell>
          <cell r="X150" t="str">
            <v>21+</v>
          </cell>
          <cell r="Y150" t="str">
            <v>22+</v>
          </cell>
          <cell r="Z150" t="str">
            <v>23+</v>
          </cell>
          <cell r="AA150" t="str">
            <v>24+</v>
          </cell>
          <cell r="AB150" t="str">
            <v>25+</v>
          </cell>
          <cell r="AC150" t="str">
            <v>26+</v>
          </cell>
          <cell r="AD150" t="str">
            <v>27+</v>
          </cell>
          <cell r="AE150" t="str">
            <v>28+</v>
          </cell>
          <cell r="AF150" t="str">
            <v>29+</v>
          </cell>
          <cell r="AG150" t="str">
            <v>30+</v>
          </cell>
        </row>
        <row r="152">
          <cell r="C152">
            <v>1</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cell r="N152" t="str">
            <v xml:space="preserve"> </v>
          </cell>
          <cell r="O152" t="str">
            <v xml:space="preserve"> </v>
          </cell>
          <cell r="P152" t="str">
            <v xml:space="preserve"> </v>
          </cell>
          <cell r="Q152" t="str">
            <v xml:space="preserve"> </v>
          </cell>
          <cell r="R152" t="str">
            <v xml:space="preserve"> </v>
          </cell>
          <cell r="S152" t="str">
            <v xml:space="preserve"> </v>
          </cell>
          <cell r="T152" t="str">
            <v xml:space="preserve"> </v>
          </cell>
          <cell r="U152" t="str">
            <v xml:space="preserve"> </v>
          </cell>
          <cell r="V152" t="str">
            <v xml:space="preserve"> </v>
          </cell>
          <cell r="W152" t="str">
            <v xml:space="preserve"> </v>
          </cell>
          <cell r="X152" t="str">
            <v xml:space="preserve"> </v>
          </cell>
          <cell r="Y152" t="str">
            <v xml:space="preserve"> </v>
          </cell>
          <cell r="Z152" t="str">
            <v xml:space="preserve"> </v>
          </cell>
          <cell r="AA152" t="str">
            <v xml:space="preserve"> </v>
          </cell>
          <cell r="AB152" t="str">
            <v xml:space="preserve"> </v>
          </cell>
          <cell r="AC152" t="str">
            <v xml:space="preserve"> </v>
          </cell>
          <cell r="AD152" t="str">
            <v xml:space="preserve"> </v>
          </cell>
          <cell r="AE152" t="str">
            <v xml:space="preserve"> </v>
          </cell>
          <cell r="AF152" t="str">
            <v xml:space="preserve"> </v>
          </cell>
          <cell r="AG152" t="str">
            <v xml:space="preserve"> </v>
          </cell>
        </row>
        <row r="158">
          <cell r="C158" t="str">
            <v>0+</v>
          </cell>
          <cell r="D158" t="str">
            <v>1+</v>
          </cell>
          <cell r="E158" t="str">
            <v>2+</v>
          </cell>
          <cell r="F158" t="str">
            <v>3+</v>
          </cell>
          <cell r="G158" t="str">
            <v>4+</v>
          </cell>
          <cell r="H158" t="str">
            <v>5+</v>
          </cell>
          <cell r="I158" t="str">
            <v>6+</v>
          </cell>
          <cell r="J158" t="str">
            <v>7+</v>
          </cell>
          <cell r="K158" t="str">
            <v>8+</v>
          </cell>
          <cell r="L158" t="str">
            <v>9+</v>
          </cell>
          <cell r="M158" t="str">
            <v>10+</v>
          </cell>
          <cell r="N158" t="str">
            <v>11+</v>
          </cell>
          <cell r="O158" t="str">
            <v>12+</v>
          </cell>
          <cell r="P158" t="str">
            <v>13+</v>
          </cell>
          <cell r="Q158" t="str">
            <v>14+</v>
          </cell>
          <cell r="R158" t="str">
            <v>15+</v>
          </cell>
          <cell r="S158" t="str">
            <v>16+</v>
          </cell>
          <cell r="T158" t="str">
            <v>17+</v>
          </cell>
          <cell r="U158" t="str">
            <v>18+</v>
          </cell>
          <cell r="V158" t="str">
            <v>19+</v>
          </cell>
          <cell r="W158" t="str">
            <v>20+</v>
          </cell>
          <cell r="X158" t="str">
            <v>21+</v>
          </cell>
          <cell r="Y158" t="str">
            <v>22+</v>
          </cell>
          <cell r="Z158" t="str">
            <v>23+</v>
          </cell>
          <cell r="AA158" t="str">
            <v>24+</v>
          </cell>
          <cell r="AB158" t="str">
            <v>25+</v>
          </cell>
          <cell r="AC158" t="str">
            <v>26+</v>
          </cell>
          <cell r="AD158" t="str">
            <v>27+</v>
          </cell>
          <cell r="AE158" t="str">
            <v>28+</v>
          </cell>
          <cell r="AF158" t="str">
            <v>29+</v>
          </cell>
          <cell r="AG158" t="str">
            <v>30+</v>
          </cell>
        </row>
        <row r="160">
          <cell r="C160">
            <v>1</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cell r="N160" t="str">
            <v xml:space="preserve"> </v>
          </cell>
          <cell r="O160" t="str">
            <v xml:space="preserve"> </v>
          </cell>
          <cell r="P160" t="str">
            <v xml:space="preserve"> </v>
          </cell>
          <cell r="Q160" t="str">
            <v xml:space="preserve"> </v>
          </cell>
          <cell r="R160" t="str">
            <v xml:space="preserve"> </v>
          </cell>
          <cell r="S160" t="str">
            <v xml:space="preserve"> </v>
          </cell>
          <cell r="T160" t="str">
            <v xml:space="preserve"> </v>
          </cell>
          <cell r="U160" t="str">
            <v xml:space="preserve"> </v>
          </cell>
          <cell r="V160" t="str">
            <v xml:space="preserve"> </v>
          </cell>
          <cell r="W160" t="str">
            <v xml:space="preserve"> </v>
          </cell>
          <cell r="X160" t="str">
            <v xml:space="preserve"> </v>
          </cell>
          <cell r="Y160" t="str">
            <v xml:space="preserve"> </v>
          </cell>
          <cell r="Z160" t="str">
            <v xml:space="preserve"> </v>
          </cell>
          <cell r="AA160" t="str">
            <v xml:space="preserve"> </v>
          </cell>
          <cell r="AB160" t="str">
            <v xml:space="preserve"> </v>
          </cell>
          <cell r="AC160" t="str">
            <v xml:space="preserve"> </v>
          </cell>
          <cell r="AD160" t="str">
            <v xml:space="preserve"> </v>
          </cell>
          <cell r="AE160" t="str">
            <v xml:space="preserve"> </v>
          </cell>
          <cell r="AF160" t="str">
            <v xml:space="preserve"> </v>
          </cell>
          <cell r="AG160" t="str">
            <v xml:space="preserve"> </v>
          </cell>
        </row>
        <row r="166">
          <cell r="C166" t="str">
            <v>0+</v>
          </cell>
          <cell r="D166" t="str">
            <v>1+</v>
          </cell>
          <cell r="E166" t="str">
            <v>2+</v>
          </cell>
          <cell r="F166" t="str">
            <v>3+</v>
          </cell>
          <cell r="G166" t="str">
            <v>4+</v>
          </cell>
          <cell r="H166" t="str">
            <v>5+</v>
          </cell>
          <cell r="I166" t="str">
            <v>6+</v>
          </cell>
          <cell r="J166" t="str">
            <v>7+</v>
          </cell>
          <cell r="K166" t="str">
            <v>8+</v>
          </cell>
          <cell r="L166" t="str">
            <v>9+</v>
          </cell>
          <cell r="M166" t="str">
            <v>10+</v>
          </cell>
          <cell r="N166" t="str">
            <v>11+</v>
          </cell>
          <cell r="O166" t="str">
            <v>12+</v>
          </cell>
          <cell r="P166" t="str">
            <v>13+</v>
          </cell>
          <cell r="Q166" t="str">
            <v>14+</v>
          </cell>
          <cell r="R166" t="str">
            <v>15+</v>
          </cell>
          <cell r="S166" t="str">
            <v>16+</v>
          </cell>
          <cell r="T166" t="str">
            <v>17+</v>
          </cell>
          <cell r="U166" t="str">
            <v>18+</v>
          </cell>
          <cell r="V166" t="str">
            <v>19+</v>
          </cell>
          <cell r="W166" t="str">
            <v>20+</v>
          </cell>
          <cell r="X166" t="str">
            <v>21+</v>
          </cell>
          <cell r="Y166" t="str">
            <v>22+</v>
          </cell>
          <cell r="Z166" t="str">
            <v>23+</v>
          </cell>
          <cell r="AA166" t="str">
            <v>24+</v>
          </cell>
          <cell r="AB166" t="str">
            <v>25+</v>
          </cell>
          <cell r="AC166" t="str">
            <v>26+</v>
          </cell>
          <cell r="AD166" t="str">
            <v>27+</v>
          </cell>
          <cell r="AE166" t="str">
            <v>28+</v>
          </cell>
          <cell r="AF166" t="str">
            <v>29+</v>
          </cell>
          <cell r="AG166" t="str">
            <v>30+</v>
          </cell>
        </row>
        <row r="168">
          <cell r="C168">
            <v>1</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cell r="N168" t="str">
            <v xml:space="preserve"> </v>
          </cell>
          <cell r="O168" t="str">
            <v xml:space="preserve"> </v>
          </cell>
          <cell r="P168" t="str">
            <v xml:space="preserve"> </v>
          </cell>
          <cell r="Q168" t="str">
            <v xml:space="preserve"> </v>
          </cell>
          <cell r="R168" t="str">
            <v xml:space="preserve"> </v>
          </cell>
          <cell r="S168" t="str">
            <v xml:space="preserve"> </v>
          </cell>
          <cell r="T168" t="str">
            <v xml:space="preserve"> </v>
          </cell>
          <cell r="U168" t="str">
            <v xml:space="preserve"> </v>
          </cell>
          <cell r="V168" t="str">
            <v xml:space="preserve"> </v>
          </cell>
          <cell r="W168" t="str">
            <v xml:space="preserve"> </v>
          </cell>
          <cell r="X168" t="str">
            <v xml:space="preserve"> </v>
          </cell>
          <cell r="Y168" t="str">
            <v xml:space="preserve"> </v>
          </cell>
          <cell r="Z168" t="str">
            <v xml:space="preserve"> </v>
          </cell>
          <cell r="AA168" t="str">
            <v xml:space="preserve"> </v>
          </cell>
          <cell r="AB168" t="str">
            <v xml:space="preserve"> </v>
          </cell>
          <cell r="AC168" t="str">
            <v xml:space="preserve"> </v>
          </cell>
          <cell r="AD168" t="str">
            <v xml:space="preserve"> </v>
          </cell>
          <cell r="AE168" t="str">
            <v xml:space="preserve"> </v>
          </cell>
          <cell r="AF168" t="str">
            <v xml:space="preserve"> </v>
          </cell>
          <cell r="AG168" t="str">
            <v xml:space="preserve"> </v>
          </cell>
        </row>
        <row r="174">
          <cell r="C174" t="str">
            <v>0+</v>
          </cell>
          <cell r="D174" t="str">
            <v>1+</v>
          </cell>
          <cell r="E174" t="str">
            <v>2+</v>
          </cell>
          <cell r="F174" t="str">
            <v>3+</v>
          </cell>
          <cell r="G174" t="str">
            <v>4+</v>
          </cell>
          <cell r="H174" t="str">
            <v>5+</v>
          </cell>
          <cell r="I174" t="str">
            <v>6+</v>
          </cell>
          <cell r="J174" t="str">
            <v>7+</v>
          </cell>
          <cell r="K174" t="str">
            <v>8+</v>
          </cell>
          <cell r="L174" t="str">
            <v>9+</v>
          </cell>
          <cell r="M174" t="str">
            <v>10+</v>
          </cell>
          <cell r="N174" t="str">
            <v>11+</v>
          </cell>
          <cell r="O174" t="str">
            <v>12+</v>
          </cell>
          <cell r="P174" t="str">
            <v>13+</v>
          </cell>
          <cell r="Q174" t="str">
            <v>14+</v>
          </cell>
          <cell r="R174" t="str">
            <v>15+</v>
          </cell>
          <cell r="S174" t="str">
            <v>16+</v>
          </cell>
          <cell r="T174" t="str">
            <v>17+</v>
          </cell>
          <cell r="U174" t="str">
            <v>18+</v>
          </cell>
          <cell r="V174" t="str">
            <v>19+</v>
          </cell>
          <cell r="W174" t="str">
            <v>20+</v>
          </cell>
          <cell r="X174" t="str">
            <v>21+</v>
          </cell>
          <cell r="Y174" t="str">
            <v>22+</v>
          </cell>
          <cell r="Z174" t="str">
            <v>23+</v>
          </cell>
          <cell r="AA174" t="str">
            <v>24+</v>
          </cell>
          <cell r="AB174" t="str">
            <v>25+</v>
          </cell>
          <cell r="AC174" t="str">
            <v>26+</v>
          </cell>
          <cell r="AD174" t="str">
            <v>27+</v>
          </cell>
          <cell r="AE174" t="str">
            <v>28+</v>
          </cell>
          <cell r="AF174" t="str">
            <v>29+</v>
          </cell>
          <cell r="AG174" t="str">
            <v>30+</v>
          </cell>
        </row>
        <row r="176">
          <cell r="C176">
            <v>1</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cell r="N176" t="str">
            <v xml:space="preserve"> </v>
          </cell>
          <cell r="O176" t="str">
            <v xml:space="preserve"> </v>
          </cell>
          <cell r="P176" t="str">
            <v xml:space="preserve"> </v>
          </cell>
          <cell r="Q176" t="str">
            <v xml:space="preserve"> </v>
          </cell>
          <cell r="R176" t="str">
            <v xml:space="preserve"> </v>
          </cell>
          <cell r="S176" t="str">
            <v xml:space="preserve"> </v>
          </cell>
          <cell r="T176" t="str">
            <v xml:space="preserve"> </v>
          </cell>
          <cell r="U176" t="str">
            <v xml:space="preserve"> </v>
          </cell>
          <cell r="V176" t="str">
            <v xml:space="preserve"> </v>
          </cell>
          <cell r="W176" t="str">
            <v xml:space="preserve"> </v>
          </cell>
          <cell r="X176" t="str">
            <v xml:space="preserve"> </v>
          </cell>
          <cell r="Y176" t="str">
            <v xml:space="preserve"> </v>
          </cell>
          <cell r="Z176" t="str">
            <v xml:space="preserve"> </v>
          </cell>
          <cell r="AA176" t="str">
            <v xml:space="preserve"> </v>
          </cell>
          <cell r="AB176" t="str">
            <v xml:space="preserve"> </v>
          </cell>
          <cell r="AC176" t="str">
            <v xml:space="preserve"> </v>
          </cell>
          <cell r="AD176" t="str">
            <v xml:space="preserve"> </v>
          </cell>
          <cell r="AE176" t="str">
            <v xml:space="preserve"> </v>
          </cell>
          <cell r="AF176" t="str">
            <v xml:space="preserve"> </v>
          </cell>
          <cell r="AG176" t="str">
            <v xml:space="preserve"> </v>
          </cell>
        </row>
        <row r="182">
          <cell r="C182" t="str">
            <v>0+</v>
          </cell>
          <cell r="D182" t="str">
            <v>1+</v>
          </cell>
          <cell r="E182" t="str">
            <v>2+</v>
          </cell>
          <cell r="F182" t="str">
            <v>3+</v>
          </cell>
          <cell r="G182" t="str">
            <v>4+</v>
          </cell>
          <cell r="H182" t="str">
            <v>5+</v>
          </cell>
          <cell r="I182" t="str">
            <v>6+</v>
          </cell>
          <cell r="J182" t="str">
            <v>7+</v>
          </cell>
          <cell r="K182" t="str">
            <v>8+</v>
          </cell>
          <cell r="L182" t="str">
            <v>9+</v>
          </cell>
          <cell r="M182" t="str">
            <v>10+</v>
          </cell>
          <cell r="N182" t="str">
            <v>11+</v>
          </cell>
          <cell r="O182" t="str">
            <v>12+</v>
          </cell>
          <cell r="P182" t="str">
            <v>13+</v>
          </cell>
          <cell r="Q182" t="str">
            <v>14+</v>
          </cell>
          <cell r="R182" t="str">
            <v>15+</v>
          </cell>
          <cell r="S182" t="str">
            <v>16+</v>
          </cell>
          <cell r="T182" t="str">
            <v>17+</v>
          </cell>
          <cell r="U182" t="str">
            <v>18+</v>
          </cell>
          <cell r="V182" t="str">
            <v>19+</v>
          </cell>
          <cell r="W182" t="str">
            <v>20+</v>
          </cell>
          <cell r="X182" t="str">
            <v>21+</v>
          </cell>
          <cell r="Y182" t="str">
            <v>22+</v>
          </cell>
          <cell r="Z182" t="str">
            <v>23+</v>
          </cell>
          <cell r="AA182" t="str">
            <v>24+</v>
          </cell>
          <cell r="AB182" t="str">
            <v>25+</v>
          </cell>
          <cell r="AC182" t="str">
            <v>26+</v>
          </cell>
          <cell r="AD182" t="str">
            <v>27+</v>
          </cell>
          <cell r="AE182" t="str">
            <v>28+</v>
          </cell>
          <cell r="AF182" t="str">
            <v>29+</v>
          </cell>
          <cell r="AG182" t="str">
            <v>30+</v>
          </cell>
        </row>
        <row r="184">
          <cell r="C184">
            <v>1</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cell r="N184" t="str">
            <v xml:space="preserve"> </v>
          </cell>
          <cell r="O184" t="str">
            <v xml:space="preserve"> </v>
          </cell>
          <cell r="P184" t="str">
            <v xml:space="preserve"> </v>
          </cell>
          <cell r="Q184" t="str">
            <v xml:space="preserve"> </v>
          </cell>
          <cell r="R184" t="str">
            <v xml:space="preserve"> </v>
          </cell>
          <cell r="S184" t="str">
            <v xml:space="preserve"> </v>
          </cell>
          <cell r="T184" t="str">
            <v xml:space="preserve"> </v>
          </cell>
          <cell r="U184" t="str">
            <v xml:space="preserve"> </v>
          </cell>
          <cell r="V184" t="str">
            <v xml:space="preserve"> </v>
          </cell>
          <cell r="W184" t="str">
            <v xml:space="preserve"> </v>
          </cell>
          <cell r="X184" t="str">
            <v xml:space="preserve"> </v>
          </cell>
          <cell r="Y184" t="str">
            <v xml:space="preserve"> </v>
          </cell>
          <cell r="Z184" t="str">
            <v xml:space="preserve"> </v>
          </cell>
          <cell r="AA184" t="str">
            <v xml:space="preserve"> </v>
          </cell>
          <cell r="AB184" t="str">
            <v xml:space="preserve"> </v>
          </cell>
          <cell r="AC184" t="str">
            <v xml:space="preserve"> </v>
          </cell>
          <cell r="AD184" t="str">
            <v xml:space="preserve"> </v>
          </cell>
          <cell r="AE184" t="str">
            <v xml:space="preserve"> </v>
          </cell>
          <cell r="AF184" t="str">
            <v xml:space="preserve"> </v>
          </cell>
          <cell r="AG184" t="str">
            <v xml:space="preserve"> </v>
          </cell>
        </row>
        <row r="190">
          <cell r="C190" t="str">
            <v>0+</v>
          </cell>
          <cell r="D190" t="str">
            <v>1+</v>
          </cell>
          <cell r="E190" t="str">
            <v>2+</v>
          </cell>
          <cell r="F190" t="str">
            <v>3+</v>
          </cell>
          <cell r="G190" t="str">
            <v>4+</v>
          </cell>
          <cell r="H190" t="str">
            <v>5+</v>
          </cell>
          <cell r="I190" t="str">
            <v>6+</v>
          </cell>
          <cell r="J190" t="str">
            <v>7+</v>
          </cell>
          <cell r="K190" t="str">
            <v>8+</v>
          </cell>
          <cell r="L190" t="str">
            <v>9+</v>
          </cell>
          <cell r="M190" t="str">
            <v>10+</v>
          </cell>
          <cell r="N190" t="str">
            <v>11+</v>
          </cell>
          <cell r="O190" t="str">
            <v>12+</v>
          </cell>
          <cell r="P190" t="str">
            <v>13+</v>
          </cell>
          <cell r="Q190" t="str">
            <v>14+</v>
          </cell>
          <cell r="R190" t="str">
            <v>15+</v>
          </cell>
          <cell r="S190" t="str">
            <v>16+</v>
          </cell>
          <cell r="T190" t="str">
            <v>17+</v>
          </cell>
          <cell r="U190" t="str">
            <v>18+</v>
          </cell>
          <cell r="V190" t="str">
            <v>19+</v>
          </cell>
          <cell r="W190" t="str">
            <v>20+</v>
          </cell>
          <cell r="X190" t="str">
            <v>21+</v>
          </cell>
          <cell r="Y190" t="str">
            <v>22+</v>
          </cell>
          <cell r="Z190" t="str">
            <v>23+</v>
          </cell>
          <cell r="AA190" t="str">
            <v>24+</v>
          </cell>
          <cell r="AB190" t="str">
            <v>25+</v>
          </cell>
          <cell r="AC190" t="str">
            <v>26+</v>
          </cell>
          <cell r="AD190" t="str">
            <v>27+</v>
          </cell>
          <cell r="AE190" t="str">
            <v>28+</v>
          </cell>
          <cell r="AF190" t="str">
            <v>29+</v>
          </cell>
          <cell r="AG190" t="str">
            <v>30+</v>
          </cell>
        </row>
        <row r="192">
          <cell r="C192">
            <v>1</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cell r="N192" t="str">
            <v xml:space="preserve"> </v>
          </cell>
          <cell r="O192" t="str">
            <v xml:space="preserve"> </v>
          </cell>
          <cell r="P192" t="str">
            <v xml:space="preserve"> </v>
          </cell>
          <cell r="Q192" t="str">
            <v xml:space="preserve"> </v>
          </cell>
          <cell r="R192" t="str">
            <v xml:space="preserve"> </v>
          </cell>
          <cell r="S192" t="str">
            <v xml:space="preserve"> </v>
          </cell>
          <cell r="T192" t="str">
            <v xml:space="preserve"> </v>
          </cell>
          <cell r="U192" t="str">
            <v xml:space="preserve"> </v>
          </cell>
          <cell r="V192" t="str">
            <v xml:space="preserve"> </v>
          </cell>
          <cell r="W192" t="str">
            <v xml:space="preserve"> </v>
          </cell>
          <cell r="X192" t="str">
            <v xml:space="preserve"> </v>
          </cell>
          <cell r="Y192" t="str">
            <v xml:space="preserve"> </v>
          </cell>
          <cell r="Z192" t="str">
            <v xml:space="preserve"> </v>
          </cell>
          <cell r="AA192" t="str">
            <v xml:space="preserve"> </v>
          </cell>
          <cell r="AB192" t="str">
            <v xml:space="preserve"> </v>
          </cell>
          <cell r="AC192" t="str">
            <v xml:space="preserve"> </v>
          </cell>
          <cell r="AD192" t="str">
            <v xml:space="preserve"> </v>
          </cell>
          <cell r="AE192" t="str">
            <v xml:space="preserve"> </v>
          </cell>
          <cell r="AF192" t="str">
            <v xml:space="preserve"> </v>
          </cell>
          <cell r="AG192" t="str">
            <v xml:space="preserve"> </v>
          </cell>
        </row>
        <row r="198">
          <cell r="C198" t="str">
            <v>0+</v>
          </cell>
          <cell r="D198" t="str">
            <v>1+</v>
          </cell>
          <cell r="E198" t="str">
            <v>2+</v>
          </cell>
          <cell r="F198" t="str">
            <v>3+</v>
          </cell>
          <cell r="G198" t="str">
            <v>4+</v>
          </cell>
          <cell r="H198" t="str">
            <v>5+</v>
          </cell>
          <cell r="I198" t="str">
            <v>6+</v>
          </cell>
          <cell r="J198" t="str">
            <v>7+</v>
          </cell>
          <cell r="K198" t="str">
            <v>8+</v>
          </cell>
          <cell r="L198" t="str">
            <v>9+</v>
          </cell>
          <cell r="M198" t="str">
            <v>10+</v>
          </cell>
          <cell r="N198" t="str">
            <v>11+</v>
          </cell>
          <cell r="O198" t="str">
            <v>12+</v>
          </cell>
          <cell r="P198" t="str">
            <v>13+</v>
          </cell>
          <cell r="Q198" t="str">
            <v>14+</v>
          </cell>
          <cell r="R198" t="str">
            <v>15+</v>
          </cell>
          <cell r="S198" t="str">
            <v>16+</v>
          </cell>
          <cell r="T198" t="str">
            <v>17+</v>
          </cell>
          <cell r="U198" t="str">
            <v>18+</v>
          </cell>
          <cell r="V198" t="str">
            <v>19+</v>
          </cell>
          <cell r="W198" t="str">
            <v>20+</v>
          </cell>
          <cell r="X198" t="str">
            <v>21+</v>
          </cell>
          <cell r="Y198" t="str">
            <v>22+</v>
          </cell>
          <cell r="Z198" t="str">
            <v>23+</v>
          </cell>
          <cell r="AA198" t="str">
            <v>24+</v>
          </cell>
          <cell r="AB198" t="str">
            <v>25+</v>
          </cell>
          <cell r="AC198" t="str">
            <v>26+</v>
          </cell>
          <cell r="AD198" t="str">
            <v>27+</v>
          </cell>
          <cell r="AE198" t="str">
            <v>28+</v>
          </cell>
          <cell r="AF198" t="str">
            <v>29+</v>
          </cell>
          <cell r="AG198" t="str">
            <v>30+</v>
          </cell>
        </row>
        <row r="200">
          <cell r="C200">
            <v>1</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cell r="N200" t="str">
            <v xml:space="preserve"> </v>
          </cell>
          <cell r="O200" t="str">
            <v xml:space="preserve"> </v>
          </cell>
          <cell r="P200" t="str">
            <v xml:space="preserve"> </v>
          </cell>
          <cell r="Q200" t="str">
            <v xml:space="preserve"> </v>
          </cell>
          <cell r="R200" t="str">
            <v xml:space="preserve"> </v>
          </cell>
          <cell r="S200" t="str">
            <v xml:space="preserve"> </v>
          </cell>
          <cell r="T200" t="str">
            <v xml:space="preserve"> </v>
          </cell>
          <cell r="U200" t="str">
            <v xml:space="preserve"> </v>
          </cell>
          <cell r="V200" t="str">
            <v xml:space="preserve"> </v>
          </cell>
          <cell r="W200" t="str">
            <v xml:space="preserve"> </v>
          </cell>
          <cell r="X200" t="str">
            <v xml:space="preserve"> </v>
          </cell>
          <cell r="Y200" t="str">
            <v xml:space="preserve"> </v>
          </cell>
          <cell r="Z200" t="str">
            <v xml:space="preserve"> </v>
          </cell>
          <cell r="AA200" t="str">
            <v xml:space="preserve"> </v>
          </cell>
          <cell r="AB200" t="str">
            <v xml:space="preserve"> </v>
          </cell>
          <cell r="AC200" t="str">
            <v xml:space="preserve"> </v>
          </cell>
          <cell r="AD200" t="str">
            <v xml:space="preserve"> </v>
          </cell>
          <cell r="AE200" t="str">
            <v xml:space="preserve"> </v>
          </cell>
          <cell r="AF200" t="str">
            <v xml:space="preserve"> </v>
          </cell>
          <cell r="AG200" t="str">
            <v xml:space="preserve"> </v>
          </cell>
        </row>
        <row r="206">
          <cell r="C206" t="str">
            <v>0+</v>
          </cell>
          <cell r="D206" t="str">
            <v>1+</v>
          </cell>
          <cell r="E206" t="str">
            <v>2+</v>
          </cell>
          <cell r="F206" t="str">
            <v>3+</v>
          </cell>
          <cell r="G206" t="str">
            <v>4+</v>
          </cell>
          <cell r="H206" t="str">
            <v>5+</v>
          </cell>
          <cell r="I206" t="str">
            <v>6+</v>
          </cell>
          <cell r="J206" t="str">
            <v>7+</v>
          </cell>
          <cell r="K206" t="str">
            <v>8+</v>
          </cell>
          <cell r="L206" t="str">
            <v>9+</v>
          </cell>
          <cell r="M206" t="str">
            <v>10+</v>
          </cell>
          <cell r="N206" t="str">
            <v>11+</v>
          </cell>
          <cell r="O206" t="str">
            <v>12+</v>
          </cell>
          <cell r="P206" t="str">
            <v>13+</v>
          </cell>
          <cell r="Q206" t="str">
            <v>14+</v>
          </cell>
          <cell r="R206" t="str">
            <v>15+</v>
          </cell>
          <cell r="S206" t="str">
            <v>16+</v>
          </cell>
          <cell r="T206" t="str">
            <v>17+</v>
          </cell>
          <cell r="U206" t="str">
            <v>18+</v>
          </cell>
          <cell r="V206" t="str">
            <v>19+</v>
          </cell>
          <cell r="W206" t="str">
            <v>20+</v>
          </cell>
          <cell r="X206" t="str">
            <v>21+</v>
          </cell>
          <cell r="Y206" t="str">
            <v>22+</v>
          </cell>
          <cell r="Z206" t="str">
            <v>23+</v>
          </cell>
          <cell r="AA206" t="str">
            <v>24+</v>
          </cell>
          <cell r="AB206" t="str">
            <v>25+</v>
          </cell>
          <cell r="AC206" t="str">
            <v>26+</v>
          </cell>
          <cell r="AD206" t="str">
            <v>27+</v>
          </cell>
          <cell r="AE206" t="str">
            <v>28+</v>
          </cell>
          <cell r="AF206" t="str">
            <v>29+</v>
          </cell>
          <cell r="AG206" t="str">
            <v>30+</v>
          </cell>
        </row>
        <row r="208">
          <cell r="C208">
            <v>1</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cell r="N208" t="str">
            <v xml:space="preserve"> </v>
          </cell>
          <cell r="O208" t="str">
            <v xml:space="preserve"> </v>
          </cell>
          <cell r="P208" t="str">
            <v xml:space="preserve"> </v>
          </cell>
          <cell r="Q208" t="str">
            <v xml:space="preserve"> </v>
          </cell>
          <cell r="R208" t="str">
            <v xml:space="preserve"> </v>
          </cell>
          <cell r="S208" t="str">
            <v xml:space="preserve"> </v>
          </cell>
          <cell r="T208" t="str">
            <v xml:space="preserve"> </v>
          </cell>
          <cell r="U208" t="str">
            <v xml:space="preserve"> </v>
          </cell>
          <cell r="V208" t="str">
            <v xml:space="preserve"> </v>
          </cell>
          <cell r="W208" t="str">
            <v xml:space="preserve"> </v>
          </cell>
          <cell r="X208" t="str">
            <v xml:space="preserve"> </v>
          </cell>
          <cell r="Y208" t="str">
            <v xml:space="preserve"> </v>
          </cell>
          <cell r="Z208" t="str">
            <v xml:space="preserve"> </v>
          </cell>
          <cell r="AA208" t="str">
            <v xml:space="preserve"> </v>
          </cell>
          <cell r="AB208" t="str">
            <v xml:space="preserve"> </v>
          </cell>
          <cell r="AC208" t="str">
            <v xml:space="preserve"> </v>
          </cell>
          <cell r="AD208" t="str">
            <v xml:space="preserve"> </v>
          </cell>
          <cell r="AE208" t="str">
            <v xml:space="preserve"> </v>
          </cell>
          <cell r="AF208" t="str">
            <v xml:space="preserve"> </v>
          </cell>
          <cell r="AG208" t="str">
            <v xml:space="preserve"> </v>
          </cell>
        </row>
        <row r="214">
          <cell r="C214" t="str">
            <v>0+</v>
          </cell>
          <cell r="D214" t="str">
            <v>1+</v>
          </cell>
          <cell r="E214" t="str">
            <v>2+</v>
          </cell>
          <cell r="F214" t="str">
            <v>3+</v>
          </cell>
          <cell r="G214" t="str">
            <v>4+</v>
          </cell>
          <cell r="H214" t="str">
            <v>5+</v>
          </cell>
          <cell r="I214" t="str">
            <v>6+</v>
          </cell>
          <cell r="J214" t="str">
            <v>7+</v>
          </cell>
          <cell r="K214" t="str">
            <v>8+</v>
          </cell>
          <cell r="L214" t="str">
            <v>9+</v>
          </cell>
          <cell r="M214" t="str">
            <v>10+</v>
          </cell>
          <cell r="N214" t="str">
            <v>11+</v>
          </cell>
          <cell r="O214" t="str">
            <v>12+</v>
          </cell>
          <cell r="P214" t="str">
            <v>13+</v>
          </cell>
          <cell r="Q214" t="str">
            <v>14+</v>
          </cell>
          <cell r="R214" t="str">
            <v>15+</v>
          </cell>
          <cell r="S214" t="str">
            <v>16+</v>
          </cell>
          <cell r="T214" t="str">
            <v>17+</v>
          </cell>
          <cell r="U214" t="str">
            <v>18+</v>
          </cell>
          <cell r="V214" t="str">
            <v>19+</v>
          </cell>
          <cell r="W214" t="str">
            <v>20+</v>
          </cell>
          <cell r="X214" t="str">
            <v>21+</v>
          </cell>
          <cell r="Y214" t="str">
            <v>22+</v>
          </cell>
          <cell r="Z214" t="str">
            <v>23+</v>
          </cell>
          <cell r="AA214" t="str">
            <v>24+</v>
          </cell>
          <cell r="AB214" t="str">
            <v>25+</v>
          </cell>
          <cell r="AC214" t="str">
            <v>26+</v>
          </cell>
          <cell r="AD214" t="str">
            <v>27+</v>
          </cell>
          <cell r="AE214" t="str">
            <v>28+</v>
          </cell>
          <cell r="AF214" t="str">
            <v>29+</v>
          </cell>
          <cell r="AG214" t="str">
            <v>30+</v>
          </cell>
        </row>
        <row r="216">
          <cell r="C216">
            <v>1</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cell r="N216" t="str">
            <v xml:space="preserve"> </v>
          </cell>
          <cell r="O216" t="str">
            <v xml:space="preserve"> </v>
          </cell>
          <cell r="P216" t="str">
            <v xml:space="preserve"> </v>
          </cell>
          <cell r="Q216" t="str">
            <v xml:space="preserve"> </v>
          </cell>
          <cell r="R216" t="str">
            <v xml:space="preserve"> </v>
          </cell>
          <cell r="S216" t="str">
            <v xml:space="preserve"> </v>
          </cell>
          <cell r="T216" t="str">
            <v xml:space="preserve"> </v>
          </cell>
          <cell r="U216" t="str">
            <v xml:space="preserve"> </v>
          </cell>
          <cell r="V216" t="str">
            <v xml:space="preserve"> </v>
          </cell>
          <cell r="W216" t="str">
            <v xml:space="preserve"> </v>
          </cell>
          <cell r="X216" t="str">
            <v xml:space="preserve"> </v>
          </cell>
          <cell r="Y216" t="str">
            <v xml:space="preserve"> </v>
          </cell>
          <cell r="Z216" t="str">
            <v xml:space="preserve"> </v>
          </cell>
          <cell r="AA216" t="str">
            <v xml:space="preserve"> </v>
          </cell>
          <cell r="AB216" t="str">
            <v xml:space="preserve"> </v>
          </cell>
          <cell r="AC216" t="str">
            <v xml:space="preserve"> </v>
          </cell>
          <cell r="AD216" t="str">
            <v xml:space="preserve"> </v>
          </cell>
          <cell r="AE216" t="str">
            <v xml:space="preserve"> </v>
          </cell>
          <cell r="AF216" t="str">
            <v xml:space="preserve"> </v>
          </cell>
          <cell r="AG216" t="str">
            <v xml:space="preserve"> </v>
          </cell>
        </row>
        <row r="222">
          <cell r="C222" t="str">
            <v>0+</v>
          </cell>
          <cell r="D222" t="str">
            <v>1+</v>
          </cell>
          <cell r="E222" t="str">
            <v>2+</v>
          </cell>
          <cell r="F222" t="str">
            <v>3+</v>
          </cell>
          <cell r="G222" t="str">
            <v>4+</v>
          </cell>
          <cell r="H222" t="str">
            <v>5+</v>
          </cell>
          <cell r="I222" t="str">
            <v>6+</v>
          </cell>
          <cell r="J222" t="str">
            <v>7+</v>
          </cell>
          <cell r="K222" t="str">
            <v>8+</v>
          </cell>
          <cell r="L222" t="str">
            <v>9+</v>
          </cell>
          <cell r="M222" t="str">
            <v>10+</v>
          </cell>
          <cell r="N222" t="str">
            <v>11+</v>
          </cell>
          <cell r="O222" t="str">
            <v>12+</v>
          </cell>
          <cell r="P222" t="str">
            <v>13+</v>
          </cell>
          <cell r="Q222" t="str">
            <v>14+</v>
          </cell>
          <cell r="R222" t="str">
            <v>15+</v>
          </cell>
          <cell r="S222" t="str">
            <v>16+</v>
          </cell>
          <cell r="T222" t="str">
            <v>17+</v>
          </cell>
          <cell r="U222" t="str">
            <v>18+</v>
          </cell>
          <cell r="V222" t="str">
            <v>19+</v>
          </cell>
          <cell r="W222" t="str">
            <v>20+</v>
          </cell>
          <cell r="X222" t="str">
            <v>21+</v>
          </cell>
          <cell r="Y222" t="str">
            <v>22+</v>
          </cell>
          <cell r="Z222" t="str">
            <v>23+</v>
          </cell>
          <cell r="AA222" t="str">
            <v>24+</v>
          </cell>
          <cell r="AB222" t="str">
            <v>25+</v>
          </cell>
          <cell r="AC222" t="str">
            <v>26+</v>
          </cell>
          <cell r="AD222" t="str">
            <v>27+</v>
          </cell>
          <cell r="AE222" t="str">
            <v>28+</v>
          </cell>
          <cell r="AF222" t="str">
            <v>29+</v>
          </cell>
          <cell r="AG222" t="str">
            <v>30+</v>
          </cell>
        </row>
        <row r="224">
          <cell r="C224">
            <v>1</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cell r="N224" t="str">
            <v xml:space="preserve"> </v>
          </cell>
          <cell r="O224" t="str">
            <v xml:space="preserve"> </v>
          </cell>
          <cell r="P224" t="str">
            <v xml:space="preserve"> </v>
          </cell>
          <cell r="Q224" t="str">
            <v xml:space="preserve"> </v>
          </cell>
          <cell r="R224" t="str">
            <v xml:space="preserve"> </v>
          </cell>
          <cell r="S224" t="str">
            <v xml:space="preserve"> </v>
          </cell>
          <cell r="T224" t="str">
            <v xml:space="preserve"> </v>
          </cell>
          <cell r="U224" t="str">
            <v xml:space="preserve"> </v>
          </cell>
          <cell r="V224" t="str">
            <v xml:space="preserve"> </v>
          </cell>
          <cell r="W224" t="str">
            <v xml:space="preserve"> </v>
          </cell>
          <cell r="X224" t="str">
            <v xml:space="preserve"> </v>
          </cell>
          <cell r="Y224" t="str">
            <v xml:space="preserve"> </v>
          </cell>
          <cell r="Z224" t="str">
            <v xml:space="preserve"> </v>
          </cell>
          <cell r="AA224" t="str">
            <v xml:space="preserve"> </v>
          </cell>
          <cell r="AB224" t="str">
            <v xml:space="preserve"> </v>
          </cell>
          <cell r="AC224" t="str">
            <v xml:space="preserve"> </v>
          </cell>
          <cell r="AD224" t="str">
            <v xml:space="preserve"> </v>
          </cell>
          <cell r="AE224" t="str">
            <v xml:space="preserve"> </v>
          </cell>
          <cell r="AF224" t="str">
            <v xml:space="preserve"> </v>
          </cell>
          <cell r="AG224" t="str">
            <v xml:space="preserve"> </v>
          </cell>
        </row>
        <row r="230">
          <cell r="C230" t="str">
            <v>0+</v>
          </cell>
          <cell r="D230" t="str">
            <v>1+</v>
          </cell>
          <cell r="E230" t="str">
            <v>2+</v>
          </cell>
          <cell r="F230" t="str">
            <v>3+</v>
          </cell>
          <cell r="G230" t="str">
            <v>4+</v>
          </cell>
          <cell r="H230" t="str">
            <v>5+</v>
          </cell>
          <cell r="I230" t="str">
            <v>6+</v>
          </cell>
          <cell r="J230" t="str">
            <v>7+</v>
          </cell>
          <cell r="K230" t="str">
            <v>8+</v>
          </cell>
          <cell r="L230" t="str">
            <v>9+</v>
          </cell>
          <cell r="M230" t="str">
            <v>10+</v>
          </cell>
          <cell r="N230" t="str">
            <v>11+</v>
          </cell>
          <cell r="O230" t="str">
            <v>12+</v>
          </cell>
          <cell r="P230" t="str">
            <v>13+</v>
          </cell>
          <cell r="Q230" t="str">
            <v>14+</v>
          </cell>
          <cell r="R230" t="str">
            <v>15+</v>
          </cell>
          <cell r="S230" t="str">
            <v>16+</v>
          </cell>
          <cell r="T230" t="str">
            <v>17+</v>
          </cell>
          <cell r="U230" t="str">
            <v>18+</v>
          </cell>
          <cell r="V230" t="str">
            <v>19+</v>
          </cell>
          <cell r="W230" t="str">
            <v>20+</v>
          </cell>
          <cell r="X230" t="str">
            <v>21+</v>
          </cell>
          <cell r="Y230" t="str">
            <v>22+</v>
          </cell>
          <cell r="Z230" t="str">
            <v>23+</v>
          </cell>
          <cell r="AA230" t="str">
            <v>24+</v>
          </cell>
          <cell r="AB230" t="str">
            <v>25+</v>
          </cell>
          <cell r="AC230" t="str">
            <v>26+</v>
          </cell>
          <cell r="AD230" t="str">
            <v>27+</v>
          </cell>
          <cell r="AE230" t="str">
            <v>28+</v>
          </cell>
          <cell r="AF230" t="str">
            <v>29+</v>
          </cell>
          <cell r="AG230" t="str">
            <v>30+</v>
          </cell>
        </row>
        <row r="232">
          <cell r="C232">
            <v>1</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cell r="N232" t="str">
            <v xml:space="preserve"> </v>
          </cell>
          <cell r="O232" t="str">
            <v xml:space="preserve"> </v>
          </cell>
          <cell r="P232" t="str">
            <v xml:space="preserve"> </v>
          </cell>
          <cell r="Q232" t="str">
            <v xml:space="preserve"> </v>
          </cell>
          <cell r="R232" t="str">
            <v xml:space="preserve"> </v>
          </cell>
          <cell r="S232" t="str">
            <v xml:space="preserve"> </v>
          </cell>
          <cell r="T232" t="str">
            <v xml:space="preserve"> </v>
          </cell>
          <cell r="U232" t="str">
            <v xml:space="preserve"> </v>
          </cell>
          <cell r="V232" t="str">
            <v xml:space="preserve"> </v>
          </cell>
          <cell r="W232" t="str">
            <v xml:space="preserve"> </v>
          </cell>
          <cell r="X232" t="str">
            <v xml:space="preserve"> </v>
          </cell>
          <cell r="Y232" t="str">
            <v xml:space="preserve"> </v>
          </cell>
          <cell r="Z232" t="str">
            <v xml:space="preserve"> </v>
          </cell>
          <cell r="AA232" t="str">
            <v xml:space="preserve"> </v>
          </cell>
          <cell r="AB232" t="str">
            <v xml:space="preserve"> </v>
          </cell>
          <cell r="AC232" t="str">
            <v xml:space="preserve"> </v>
          </cell>
          <cell r="AD232" t="str">
            <v xml:space="preserve"> </v>
          </cell>
          <cell r="AE232" t="str">
            <v xml:space="preserve"> </v>
          </cell>
          <cell r="AF232" t="str">
            <v xml:space="preserve"> </v>
          </cell>
          <cell r="AG232" t="str">
            <v xml:space="preserve"> </v>
          </cell>
        </row>
        <row r="238">
          <cell r="C238" t="str">
            <v>0+</v>
          </cell>
          <cell r="D238" t="str">
            <v>1+</v>
          </cell>
          <cell r="E238" t="str">
            <v>2+</v>
          </cell>
          <cell r="F238" t="str">
            <v>3+</v>
          </cell>
          <cell r="G238" t="str">
            <v>4+</v>
          </cell>
          <cell r="H238" t="str">
            <v>5+</v>
          </cell>
          <cell r="I238" t="str">
            <v>6+</v>
          </cell>
          <cell r="J238" t="str">
            <v>7+</v>
          </cell>
          <cell r="K238" t="str">
            <v>8+</v>
          </cell>
          <cell r="L238" t="str">
            <v>9+</v>
          </cell>
          <cell r="M238" t="str">
            <v>10+</v>
          </cell>
          <cell r="N238" t="str">
            <v>11+</v>
          </cell>
          <cell r="O238" t="str">
            <v>12+</v>
          </cell>
          <cell r="P238" t="str">
            <v>13+</v>
          </cell>
          <cell r="Q238" t="str">
            <v>14+</v>
          </cell>
          <cell r="R238" t="str">
            <v>15+</v>
          </cell>
          <cell r="S238" t="str">
            <v>16+</v>
          </cell>
          <cell r="T238" t="str">
            <v>17+</v>
          </cell>
          <cell r="U238" t="str">
            <v>18+</v>
          </cell>
          <cell r="V238" t="str">
            <v>19+</v>
          </cell>
          <cell r="W238" t="str">
            <v>20+</v>
          </cell>
          <cell r="X238" t="str">
            <v>21+</v>
          </cell>
          <cell r="Y238" t="str">
            <v>22+</v>
          </cell>
          <cell r="Z238" t="str">
            <v>23+</v>
          </cell>
          <cell r="AA238" t="str">
            <v>24+</v>
          </cell>
          <cell r="AB238" t="str">
            <v>25+</v>
          </cell>
          <cell r="AC238" t="str">
            <v>26+</v>
          </cell>
          <cell r="AD238" t="str">
            <v>27+</v>
          </cell>
          <cell r="AE238" t="str">
            <v>28+</v>
          </cell>
          <cell r="AF238" t="str">
            <v>29+</v>
          </cell>
          <cell r="AG238" t="str">
            <v>30+</v>
          </cell>
        </row>
        <row r="240">
          <cell r="C240">
            <v>1</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cell r="N240" t="str">
            <v xml:space="preserve"> </v>
          </cell>
          <cell r="O240" t="str">
            <v xml:space="preserve"> </v>
          </cell>
          <cell r="P240" t="str">
            <v xml:space="preserve"> </v>
          </cell>
          <cell r="Q240" t="str">
            <v xml:space="preserve"> </v>
          </cell>
          <cell r="R240" t="str">
            <v xml:space="preserve"> </v>
          </cell>
          <cell r="S240" t="str">
            <v xml:space="preserve"> </v>
          </cell>
          <cell r="T240" t="str">
            <v xml:space="preserve"> </v>
          </cell>
          <cell r="U240" t="str">
            <v xml:space="preserve"> </v>
          </cell>
          <cell r="V240" t="str">
            <v xml:space="preserve"> </v>
          </cell>
          <cell r="W240" t="str">
            <v xml:space="preserve"> </v>
          </cell>
          <cell r="X240" t="str">
            <v xml:space="preserve"> </v>
          </cell>
          <cell r="Y240" t="str">
            <v xml:space="preserve"> </v>
          </cell>
          <cell r="Z240" t="str">
            <v xml:space="preserve"> </v>
          </cell>
          <cell r="AA240" t="str">
            <v xml:space="preserve"> </v>
          </cell>
          <cell r="AB240" t="str">
            <v xml:space="preserve"> </v>
          </cell>
          <cell r="AC240" t="str">
            <v xml:space="preserve"> </v>
          </cell>
          <cell r="AD240" t="str">
            <v xml:space="preserve"> </v>
          </cell>
          <cell r="AE240" t="str">
            <v xml:space="preserve"> </v>
          </cell>
          <cell r="AF240" t="str">
            <v xml:space="preserve"> </v>
          </cell>
          <cell r="AG240" t="str">
            <v xml:space="preserve"> </v>
          </cell>
        </row>
      </sheetData>
      <sheetData sheetId="4">
        <row r="6">
          <cell r="C6" t="str">
            <v>0+</v>
          </cell>
          <cell r="D6" t="str">
            <v>1+</v>
          </cell>
          <cell r="E6" t="str">
            <v>2+</v>
          </cell>
          <cell r="F6" t="str">
            <v>3+</v>
          </cell>
          <cell r="G6" t="str">
            <v>4+</v>
          </cell>
          <cell r="H6" t="str">
            <v>5+</v>
          </cell>
          <cell r="I6" t="str">
            <v>6+</v>
          </cell>
          <cell r="J6" t="str">
            <v>7+</v>
          </cell>
          <cell r="K6" t="str">
            <v>8+</v>
          </cell>
          <cell r="L6" t="str">
            <v>9+</v>
          </cell>
          <cell r="M6" t="str">
            <v>10+</v>
          </cell>
          <cell r="N6" t="str">
            <v>11+</v>
          </cell>
          <cell r="O6" t="str">
            <v>12+</v>
          </cell>
          <cell r="P6" t="str">
            <v>13+</v>
          </cell>
          <cell r="Q6" t="str">
            <v>14+</v>
          </cell>
          <cell r="R6" t="str">
            <v>15+</v>
          </cell>
          <cell r="S6" t="str">
            <v>16+</v>
          </cell>
          <cell r="T6" t="str">
            <v>17+</v>
          </cell>
          <cell r="U6" t="str">
            <v>18+</v>
          </cell>
          <cell r="V6" t="str">
            <v>19+</v>
          </cell>
          <cell r="W6" t="str">
            <v>20+</v>
          </cell>
          <cell r="X6" t="str">
            <v>21+</v>
          </cell>
          <cell r="Y6" t="str">
            <v>22+</v>
          </cell>
          <cell r="Z6" t="str">
            <v>23+</v>
          </cell>
          <cell r="AA6" t="str">
            <v>24+</v>
          </cell>
          <cell r="AB6" t="str">
            <v>25+</v>
          </cell>
          <cell r="AC6" t="str">
            <v>26+</v>
          </cell>
          <cell r="AD6" t="str">
            <v>27+</v>
          </cell>
          <cell r="AE6" t="str">
            <v>28+</v>
          </cell>
          <cell r="AF6" t="str">
            <v>29+</v>
          </cell>
          <cell r="AG6" t="str">
            <v>30+</v>
          </cell>
        </row>
        <row r="8">
          <cell r="C8">
            <v>1</v>
          </cell>
          <cell r="D8" t="str">
            <v xml:space="preserve"> </v>
          </cell>
          <cell r="E8" t="str">
            <v xml:space="preserve"> </v>
          </cell>
          <cell r="F8" t="str">
            <v xml:space="preserve"> </v>
          </cell>
          <cell r="G8" t="str">
            <v xml:space="preserve"> </v>
          </cell>
          <cell r="H8" t="str">
            <v xml:space="preserve"> </v>
          </cell>
          <cell r="I8" t="str">
            <v xml:space="preserve"> </v>
          </cell>
          <cell r="J8" t="str">
            <v xml:space="preserve"> </v>
          </cell>
          <cell r="K8" t="str">
            <v xml:space="preserve"> </v>
          </cell>
          <cell r="L8" t="str">
            <v xml:space="preserve"> </v>
          </cell>
          <cell r="M8" t="str">
            <v xml:space="preserve"> </v>
          </cell>
          <cell r="N8" t="str">
            <v xml:space="preserve"> </v>
          </cell>
          <cell r="O8" t="str">
            <v xml:space="preserve"> </v>
          </cell>
          <cell r="P8" t="str">
            <v xml:space="preserve"> </v>
          </cell>
          <cell r="Q8" t="str">
            <v xml:space="preserve"> </v>
          </cell>
          <cell r="R8" t="str">
            <v xml:space="preserve"> </v>
          </cell>
          <cell r="S8" t="str">
            <v xml:space="preserve"> </v>
          </cell>
          <cell r="T8" t="str">
            <v xml:space="preserve"> </v>
          </cell>
          <cell r="U8" t="str">
            <v xml:space="preserve"> </v>
          </cell>
          <cell r="V8" t="str">
            <v xml:space="preserve"> </v>
          </cell>
          <cell r="W8" t="str">
            <v xml:space="preserve"> </v>
          </cell>
          <cell r="X8" t="str">
            <v xml:space="preserve"> </v>
          </cell>
          <cell r="Y8" t="str">
            <v xml:space="preserve"> </v>
          </cell>
          <cell r="Z8" t="str">
            <v xml:space="preserve"> </v>
          </cell>
          <cell r="AA8" t="str">
            <v xml:space="preserve"> </v>
          </cell>
          <cell r="AB8" t="str">
            <v xml:space="preserve"> </v>
          </cell>
          <cell r="AC8" t="str">
            <v xml:space="preserve"> </v>
          </cell>
          <cell r="AD8" t="str">
            <v xml:space="preserve"> </v>
          </cell>
          <cell r="AE8" t="str">
            <v xml:space="preserve"> </v>
          </cell>
          <cell r="AF8" t="str">
            <v xml:space="preserve"> </v>
          </cell>
          <cell r="AG8" t="str">
            <v xml:space="preserve"> </v>
          </cell>
        </row>
        <row r="14">
          <cell r="C14" t="str">
            <v>0+</v>
          </cell>
          <cell r="D14" t="str">
            <v>1+</v>
          </cell>
          <cell r="E14" t="str">
            <v>2+</v>
          </cell>
          <cell r="F14" t="str">
            <v>3+</v>
          </cell>
          <cell r="G14" t="str">
            <v>4+</v>
          </cell>
          <cell r="H14" t="str">
            <v>5+</v>
          </cell>
          <cell r="I14" t="str">
            <v>6+</v>
          </cell>
          <cell r="J14" t="str">
            <v>7+</v>
          </cell>
          <cell r="K14" t="str">
            <v>8+</v>
          </cell>
          <cell r="L14" t="str">
            <v>9+</v>
          </cell>
          <cell r="M14" t="str">
            <v>10+</v>
          </cell>
          <cell r="N14" t="str">
            <v>11+</v>
          </cell>
          <cell r="O14" t="str">
            <v>12+</v>
          </cell>
          <cell r="P14" t="str">
            <v>13+</v>
          </cell>
          <cell r="Q14" t="str">
            <v>14+</v>
          </cell>
          <cell r="R14" t="str">
            <v>15+</v>
          </cell>
          <cell r="S14" t="str">
            <v>16+</v>
          </cell>
          <cell r="T14" t="str">
            <v>17+</v>
          </cell>
          <cell r="U14" t="str">
            <v>18+</v>
          </cell>
          <cell r="V14" t="str">
            <v>19+</v>
          </cell>
          <cell r="W14" t="str">
            <v>20+</v>
          </cell>
          <cell r="X14" t="str">
            <v>21+</v>
          </cell>
          <cell r="Y14" t="str">
            <v>22+</v>
          </cell>
          <cell r="Z14" t="str">
            <v>23+</v>
          </cell>
          <cell r="AA14" t="str">
            <v>24+</v>
          </cell>
          <cell r="AB14" t="str">
            <v>25+</v>
          </cell>
          <cell r="AC14" t="str">
            <v>26+</v>
          </cell>
          <cell r="AD14" t="str">
            <v>27+</v>
          </cell>
          <cell r="AE14" t="str">
            <v>28+</v>
          </cell>
          <cell r="AF14" t="str">
            <v>29+</v>
          </cell>
          <cell r="AG14" t="str">
            <v>30+</v>
          </cell>
        </row>
        <row r="16">
          <cell r="C16">
            <v>1</v>
          </cell>
          <cell r="D16" t="str">
            <v xml:space="preserve"> </v>
          </cell>
          <cell r="E16" t="str">
            <v xml:space="preserve"> </v>
          </cell>
          <cell r="F16" t="str">
            <v xml:space="preserve"> </v>
          </cell>
          <cell r="G16" t="str">
            <v xml:space="preserve"> </v>
          </cell>
          <cell r="H16" t="str">
            <v xml:space="preserve"> </v>
          </cell>
          <cell r="I16" t="str">
            <v xml:space="preserve"> </v>
          </cell>
          <cell r="J16" t="str">
            <v xml:space="preserve"> </v>
          </cell>
          <cell r="K16" t="str">
            <v xml:space="preserve"> </v>
          </cell>
          <cell r="L16" t="str">
            <v xml:space="preserve"> </v>
          </cell>
          <cell r="M16" t="str">
            <v xml:space="preserve"> </v>
          </cell>
          <cell r="N16" t="str">
            <v xml:space="preserve"> </v>
          </cell>
          <cell r="O16" t="str">
            <v xml:space="preserve"> </v>
          </cell>
          <cell r="P16" t="str">
            <v xml:space="preserve"> </v>
          </cell>
          <cell r="Q16" t="str">
            <v xml:space="preserve"> </v>
          </cell>
          <cell r="R16" t="str">
            <v xml:space="preserve"> </v>
          </cell>
          <cell r="S16" t="str">
            <v xml:space="preserve"> </v>
          </cell>
          <cell r="T16" t="str">
            <v xml:space="preserve"> </v>
          </cell>
          <cell r="U16" t="str">
            <v xml:space="preserve"> </v>
          </cell>
          <cell r="V16" t="str">
            <v xml:space="preserve"> </v>
          </cell>
          <cell r="W16" t="str">
            <v xml:space="preserve"> </v>
          </cell>
          <cell r="X16" t="str">
            <v xml:space="preserve"> </v>
          </cell>
          <cell r="Y16" t="str">
            <v xml:space="preserve"> </v>
          </cell>
          <cell r="Z16" t="str">
            <v xml:space="preserve"> </v>
          </cell>
          <cell r="AA16" t="str">
            <v xml:space="preserve"> </v>
          </cell>
          <cell r="AB16" t="str">
            <v xml:space="preserve"> </v>
          </cell>
          <cell r="AC16" t="str">
            <v xml:space="preserve"> </v>
          </cell>
          <cell r="AD16" t="str">
            <v xml:space="preserve"> </v>
          </cell>
          <cell r="AE16" t="str">
            <v xml:space="preserve"> </v>
          </cell>
          <cell r="AF16" t="str">
            <v xml:space="preserve"> </v>
          </cell>
          <cell r="AG16" t="str">
            <v xml:space="preserve"> </v>
          </cell>
        </row>
        <row r="22">
          <cell r="C22" t="str">
            <v>0+</v>
          </cell>
          <cell r="D22" t="str">
            <v>1+</v>
          </cell>
          <cell r="E22" t="str">
            <v>2+</v>
          </cell>
          <cell r="F22" t="str">
            <v>3+</v>
          </cell>
          <cell r="G22" t="str">
            <v>4+</v>
          </cell>
          <cell r="H22" t="str">
            <v>5+</v>
          </cell>
          <cell r="I22" t="str">
            <v>6+</v>
          </cell>
          <cell r="J22" t="str">
            <v>7+</v>
          </cell>
          <cell r="K22" t="str">
            <v>8+</v>
          </cell>
          <cell r="L22" t="str">
            <v>9+</v>
          </cell>
          <cell r="M22" t="str">
            <v>10+</v>
          </cell>
          <cell r="N22" t="str">
            <v>11+</v>
          </cell>
          <cell r="O22" t="str">
            <v>12+</v>
          </cell>
          <cell r="P22" t="str">
            <v>13+</v>
          </cell>
          <cell r="Q22" t="str">
            <v>14+</v>
          </cell>
          <cell r="R22" t="str">
            <v>15+</v>
          </cell>
          <cell r="S22" t="str">
            <v>16+</v>
          </cell>
          <cell r="T22" t="str">
            <v>17+</v>
          </cell>
          <cell r="U22" t="str">
            <v>18+</v>
          </cell>
          <cell r="V22" t="str">
            <v>19+</v>
          </cell>
          <cell r="W22" t="str">
            <v>20+</v>
          </cell>
          <cell r="X22" t="str">
            <v>21+</v>
          </cell>
          <cell r="Y22" t="str">
            <v>22+</v>
          </cell>
          <cell r="Z22" t="str">
            <v>23+</v>
          </cell>
          <cell r="AA22" t="str">
            <v>24+</v>
          </cell>
          <cell r="AB22" t="str">
            <v>25+</v>
          </cell>
          <cell r="AC22" t="str">
            <v>26+</v>
          </cell>
          <cell r="AD22" t="str">
            <v>27+</v>
          </cell>
          <cell r="AE22" t="str">
            <v>28+</v>
          </cell>
          <cell r="AF22" t="str">
            <v>29+</v>
          </cell>
          <cell r="AG22" t="str">
            <v>30+</v>
          </cell>
        </row>
        <row r="24">
          <cell r="C24">
            <v>1</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N24" t="str">
            <v xml:space="preserve"> </v>
          </cell>
          <cell r="O24" t="str">
            <v xml:space="preserve"> </v>
          </cell>
          <cell r="P24" t="str">
            <v xml:space="preserve"> </v>
          </cell>
          <cell r="Q24" t="str">
            <v xml:space="preserve"> </v>
          </cell>
          <cell r="R24" t="str">
            <v xml:space="preserve"> </v>
          </cell>
          <cell r="S24" t="str">
            <v xml:space="preserve"> </v>
          </cell>
          <cell r="T24" t="str">
            <v xml:space="preserve"> </v>
          </cell>
          <cell r="U24" t="str">
            <v xml:space="preserve"> </v>
          </cell>
          <cell r="V24" t="str">
            <v xml:space="preserve"> </v>
          </cell>
          <cell r="W24" t="str">
            <v xml:space="preserve"> </v>
          </cell>
          <cell r="X24" t="str">
            <v xml:space="preserve"> </v>
          </cell>
          <cell r="Y24" t="str">
            <v xml:space="preserve"> </v>
          </cell>
          <cell r="Z24" t="str">
            <v xml:space="preserve"> </v>
          </cell>
          <cell r="AA24" t="str">
            <v xml:space="preserve"> </v>
          </cell>
          <cell r="AB24" t="str">
            <v xml:space="preserve"> </v>
          </cell>
          <cell r="AC24" t="str">
            <v xml:space="preserve"> </v>
          </cell>
          <cell r="AD24" t="str">
            <v xml:space="preserve"> </v>
          </cell>
          <cell r="AE24" t="str">
            <v xml:space="preserve"> </v>
          </cell>
          <cell r="AF24" t="str">
            <v xml:space="preserve"> </v>
          </cell>
          <cell r="AG24" t="str">
            <v xml:space="preserve"> </v>
          </cell>
        </row>
        <row r="30">
          <cell r="C30" t="str">
            <v>0+</v>
          </cell>
          <cell r="D30" t="str">
            <v>1+</v>
          </cell>
          <cell r="E30" t="str">
            <v>2+</v>
          </cell>
          <cell r="F30" t="str">
            <v>3+</v>
          </cell>
          <cell r="G30" t="str">
            <v>4+</v>
          </cell>
          <cell r="H30" t="str">
            <v>5+</v>
          </cell>
          <cell r="I30" t="str">
            <v>6+</v>
          </cell>
          <cell r="J30" t="str">
            <v>7+</v>
          </cell>
          <cell r="K30" t="str">
            <v>8+</v>
          </cell>
          <cell r="L30" t="str">
            <v>9+</v>
          </cell>
          <cell r="M30" t="str">
            <v>10+</v>
          </cell>
          <cell r="N30" t="str">
            <v>11+</v>
          </cell>
          <cell r="O30" t="str">
            <v>12+</v>
          </cell>
          <cell r="P30" t="str">
            <v>13+</v>
          </cell>
          <cell r="Q30" t="str">
            <v>14+</v>
          </cell>
          <cell r="R30" t="str">
            <v>15+</v>
          </cell>
          <cell r="S30" t="str">
            <v>16+</v>
          </cell>
          <cell r="T30" t="str">
            <v>17+</v>
          </cell>
          <cell r="U30" t="str">
            <v>18+</v>
          </cell>
          <cell r="V30" t="str">
            <v>19+</v>
          </cell>
          <cell r="W30" t="str">
            <v>20+</v>
          </cell>
          <cell r="X30" t="str">
            <v>21+</v>
          </cell>
          <cell r="Y30" t="str">
            <v>22+</v>
          </cell>
          <cell r="Z30" t="str">
            <v>23+</v>
          </cell>
          <cell r="AA30" t="str">
            <v>24+</v>
          </cell>
          <cell r="AB30" t="str">
            <v>25+</v>
          </cell>
          <cell r="AC30" t="str">
            <v>26+</v>
          </cell>
          <cell r="AD30" t="str">
            <v>27+</v>
          </cell>
          <cell r="AE30" t="str">
            <v>28+</v>
          </cell>
          <cell r="AF30" t="str">
            <v>29+</v>
          </cell>
          <cell r="AG30" t="str">
            <v>30+</v>
          </cell>
        </row>
        <row r="32">
          <cell r="C32">
            <v>1</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cell r="N32" t="str">
            <v xml:space="preserve"> </v>
          </cell>
          <cell r="O32" t="str">
            <v xml:space="preserve"> </v>
          </cell>
          <cell r="P32" t="str">
            <v xml:space="preserve"> </v>
          </cell>
          <cell r="Q32" t="str">
            <v xml:space="preserve"> </v>
          </cell>
          <cell r="R32" t="str">
            <v xml:space="preserve"> </v>
          </cell>
          <cell r="S32" t="str">
            <v xml:space="preserve"> </v>
          </cell>
          <cell r="T32" t="str">
            <v xml:space="preserve"> </v>
          </cell>
          <cell r="U32" t="str">
            <v xml:space="preserve"> </v>
          </cell>
          <cell r="V32" t="str">
            <v xml:space="preserve"> </v>
          </cell>
          <cell r="W32" t="str">
            <v xml:space="preserve"> </v>
          </cell>
          <cell r="X32" t="str">
            <v xml:space="preserve"> </v>
          </cell>
          <cell r="Y32" t="str">
            <v xml:space="preserve"> </v>
          </cell>
          <cell r="Z32" t="str">
            <v xml:space="preserve"> </v>
          </cell>
          <cell r="AA32" t="str">
            <v xml:space="preserve"> </v>
          </cell>
          <cell r="AB32" t="str">
            <v xml:space="preserve"> </v>
          </cell>
          <cell r="AC32" t="str">
            <v xml:space="preserve"> </v>
          </cell>
          <cell r="AD32" t="str">
            <v xml:space="preserve"> </v>
          </cell>
          <cell r="AE32" t="str">
            <v xml:space="preserve"> </v>
          </cell>
          <cell r="AF32" t="str">
            <v xml:space="preserve"> </v>
          </cell>
          <cell r="AG32" t="str">
            <v xml:space="preserve"> </v>
          </cell>
        </row>
        <row r="38">
          <cell r="C38" t="str">
            <v>0+</v>
          </cell>
          <cell r="D38" t="str">
            <v>1+</v>
          </cell>
          <cell r="E38" t="str">
            <v>2+</v>
          </cell>
          <cell r="F38" t="str">
            <v>3+</v>
          </cell>
          <cell r="G38" t="str">
            <v>4+</v>
          </cell>
          <cell r="H38" t="str">
            <v>5+</v>
          </cell>
          <cell r="I38" t="str">
            <v>6+</v>
          </cell>
          <cell r="J38" t="str">
            <v>7+</v>
          </cell>
          <cell r="K38" t="str">
            <v>8+</v>
          </cell>
          <cell r="L38" t="str">
            <v>9+</v>
          </cell>
          <cell r="M38" t="str">
            <v>10+</v>
          </cell>
          <cell r="N38" t="str">
            <v>11+</v>
          </cell>
          <cell r="O38" t="str">
            <v>12+</v>
          </cell>
          <cell r="P38" t="str">
            <v>13+</v>
          </cell>
          <cell r="Q38" t="str">
            <v>14+</v>
          </cell>
          <cell r="R38" t="str">
            <v>15+</v>
          </cell>
          <cell r="S38" t="str">
            <v>16+</v>
          </cell>
          <cell r="T38" t="str">
            <v>17+</v>
          </cell>
          <cell r="U38" t="str">
            <v>18+</v>
          </cell>
          <cell r="V38" t="str">
            <v>19+</v>
          </cell>
          <cell r="W38" t="str">
            <v>20+</v>
          </cell>
          <cell r="X38" t="str">
            <v>21+</v>
          </cell>
          <cell r="Y38" t="str">
            <v>22+</v>
          </cell>
          <cell r="Z38" t="str">
            <v>23+</v>
          </cell>
          <cell r="AA38" t="str">
            <v>24+</v>
          </cell>
          <cell r="AB38" t="str">
            <v>25+</v>
          </cell>
          <cell r="AC38" t="str">
            <v>26+</v>
          </cell>
          <cell r="AD38" t="str">
            <v>27+</v>
          </cell>
          <cell r="AE38" t="str">
            <v>28+</v>
          </cell>
          <cell r="AF38" t="str">
            <v>29+</v>
          </cell>
          <cell r="AG38" t="str">
            <v>30+</v>
          </cell>
        </row>
        <row r="40">
          <cell r="C40">
            <v>1</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cell r="N40" t="str">
            <v xml:space="preserve"> </v>
          </cell>
          <cell r="O40" t="str">
            <v xml:space="preserve"> </v>
          </cell>
          <cell r="P40" t="str">
            <v xml:space="preserve"> </v>
          </cell>
          <cell r="Q40" t="str">
            <v xml:space="preserve"> </v>
          </cell>
          <cell r="R40" t="str">
            <v xml:space="preserve"> </v>
          </cell>
          <cell r="S40" t="str">
            <v xml:space="preserve"> </v>
          </cell>
          <cell r="T40" t="str">
            <v xml:space="preserve"> </v>
          </cell>
          <cell r="U40" t="str">
            <v xml:space="preserve"> </v>
          </cell>
          <cell r="V40" t="str">
            <v xml:space="preserve"> </v>
          </cell>
          <cell r="W40" t="str">
            <v xml:space="preserve"> </v>
          </cell>
          <cell r="X40" t="str">
            <v xml:space="preserve"> </v>
          </cell>
          <cell r="Y40" t="str">
            <v xml:space="preserve"> </v>
          </cell>
          <cell r="Z40" t="str">
            <v xml:space="preserve"> </v>
          </cell>
          <cell r="AA40" t="str">
            <v xml:space="preserve"> </v>
          </cell>
          <cell r="AB40" t="str">
            <v xml:space="preserve"> </v>
          </cell>
          <cell r="AC40" t="str">
            <v xml:space="preserve"> </v>
          </cell>
          <cell r="AD40" t="str">
            <v xml:space="preserve"> </v>
          </cell>
          <cell r="AE40" t="str">
            <v xml:space="preserve"> </v>
          </cell>
          <cell r="AF40" t="str">
            <v xml:space="preserve"> </v>
          </cell>
          <cell r="AG40" t="str">
            <v xml:space="preserve"> </v>
          </cell>
        </row>
        <row r="46">
          <cell r="C46" t="str">
            <v>0+</v>
          </cell>
          <cell r="D46" t="str">
            <v>1+</v>
          </cell>
          <cell r="E46" t="str">
            <v>2+</v>
          </cell>
          <cell r="F46" t="str">
            <v>3+</v>
          </cell>
          <cell r="G46" t="str">
            <v>4+</v>
          </cell>
          <cell r="H46" t="str">
            <v>5+</v>
          </cell>
          <cell r="I46" t="str">
            <v>6+</v>
          </cell>
          <cell r="J46" t="str">
            <v>7+</v>
          </cell>
          <cell r="K46" t="str">
            <v>8+</v>
          </cell>
          <cell r="L46" t="str">
            <v>9+</v>
          </cell>
          <cell r="M46" t="str">
            <v>10+</v>
          </cell>
          <cell r="N46" t="str">
            <v>11+</v>
          </cell>
          <cell r="O46" t="str">
            <v>12+</v>
          </cell>
          <cell r="P46" t="str">
            <v>13+</v>
          </cell>
          <cell r="Q46" t="str">
            <v>14+</v>
          </cell>
          <cell r="R46" t="str">
            <v>15+</v>
          </cell>
          <cell r="S46" t="str">
            <v>16+</v>
          </cell>
          <cell r="T46" t="str">
            <v>17+</v>
          </cell>
          <cell r="U46" t="str">
            <v>18+</v>
          </cell>
          <cell r="V46" t="str">
            <v>19+</v>
          </cell>
          <cell r="W46" t="str">
            <v>20+</v>
          </cell>
          <cell r="X46" t="str">
            <v>21+</v>
          </cell>
          <cell r="Y46" t="str">
            <v>22+</v>
          </cell>
          <cell r="Z46" t="str">
            <v>23+</v>
          </cell>
          <cell r="AA46" t="str">
            <v>24+</v>
          </cell>
          <cell r="AB46" t="str">
            <v>25+</v>
          </cell>
          <cell r="AC46" t="str">
            <v>26+</v>
          </cell>
          <cell r="AD46" t="str">
            <v>27+</v>
          </cell>
          <cell r="AE46" t="str">
            <v>28+</v>
          </cell>
          <cell r="AF46" t="str">
            <v>29+</v>
          </cell>
          <cell r="AG46" t="str">
            <v>30+</v>
          </cell>
        </row>
        <row r="48">
          <cell r="C48">
            <v>1</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cell r="N48" t="str">
            <v xml:space="preserve"> </v>
          </cell>
          <cell r="O48" t="str">
            <v xml:space="preserve"> </v>
          </cell>
          <cell r="P48" t="str">
            <v xml:space="preserve"> </v>
          </cell>
          <cell r="Q48" t="str">
            <v xml:space="preserve"> </v>
          </cell>
          <cell r="R48" t="str">
            <v xml:space="preserve"> </v>
          </cell>
          <cell r="S48" t="str">
            <v xml:space="preserve"> </v>
          </cell>
          <cell r="T48" t="str">
            <v xml:space="preserve"> </v>
          </cell>
          <cell r="U48" t="str">
            <v xml:space="preserve"> </v>
          </cell>
          <cell r="V48" t="str">
            <v xml:space="preserve"> </v>
          </cell>
          <cell r="W48" t="str">
            <v xml:space="preserve"> </v>
          </cell>
          <cell r="X48" t="str">
            <v xml:space="preserve"> </v>
          </cell>
          <cell r="Y48" t="str">
            <v xml:space="preserve"> </v>
          </cell>
          <cell r="Z48" t="str">
            <v xml:space="preserve"> </v>
          </cell>
          <cell r="AA48" t="str">
            <v xml:space="preserve"> </v>
          </cell>
          <cell r="AB48" t="str">
            <v xml:space="preserve"> </v>
          </cell>
          <cell r="AC48" t="str">
            <v xml:space="preserve"> </v>
          </cell>
          <cell r="AD48" t="str">
            <v xml:space="preserve"> </v>
          </cell>
          <cell r="AE48" t="str">
            <v xml:space="preserve"> </v>
          </cell>
          <cell r="AF48" t="str">
            <v xml:space="preserve"> </v>
          </cell>
          <cell r="AG48" t="str">
            <v xml:space="preserve"> </v>
          </cell>
        </row>
        <row r="54">
          <cell r="C54" t="str">
            <v>0+</v>
          </cell>
          <cell r="D54" t="str">
            <v>1+</v>
          </cell>
          <cell r="E54" t="str">
            <v>2+</v>
          </cell>
          <cell r="F54" t="str">
            <v>3+</v>
          </cell>
          <cell r="G54" t="str">
            <v>4+</v>
          </cell>
          <cell r="H54" t="str">
            <v>5+</v>
          </cell>
          <cell r="I54" t="str">
            <v>6+</v>
          </cell>
          <cell r="J54" t="str">
            <v>7+</v>
          </cell>
          <cell r="K54" t="str">
            <v>8+</v>
          </cell>
          <cell r="L54" t="str">
            <v>9+</v>
          </cell>
          <cell r="M54" t="str">
            <v>10+</v>
          </cell>
          <cell r="N54" t="str">
            <v>11+</v>
          </cell>
          <cell r="O54" t="str">
            <v>12+</v>
          </cell>
          <cell r="P54" t="str">
            <v>13+</v>
          </cell>
          <cell r="Q54" t="str">
            <v>14+</v>
          </cell>
          <cell r="R54" t="str">
            <v>15+</v>
          </cell>
          <cell r="S54" t="str">
            <v>16+</v>
          </cell>
          <cell r="T54" t="str">
            <v>17+</v>
          </cell>
          <cell r="U54" t="str">
            <v>18+</v>
          </cell>
          <cell r="V54" t="str">
            <v>19+</v>
          </cell>
          <cell r="W54" t="str">
            <v>20+</v>
          </cell>
          <cell r="X54" t="str">
            <v>21+</v>
          </cell>
          <cell r="Y54" t="str">
            <v>22+</v>
          </cell>
          <cell r="Z54" t="str">
            <v>23+</v>
          </cell>
          <cell r="AA54" t="str">
            <v>24+</v>
          </cell>
          <cell r="AB54" t="str">
            <v>25+</v>
          </cell>
          <cell r="AC54" t="str">
            <v>26+</v>
          </cell>
          <cell r="AD54" t="str">
            <v>27+</v>
          </cell>
          <cell r="AE54" t="str">
            <v>28+</v>
          </cell>
          <cell r="AF54" t="str">
            <v>29+</v>
          </cell>
          <cell r="AG54" t="str">
            <v>30+</v>
          </cell>
        </row>
        <row r="56">
          <cell r="C56">
            <v>1</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cell r="N56" t="str">
            <v xml:space="preserve"> </v>
          </cell>
          <cell r="O56" t="str">
            <v xml:space="preserve"> </v>
          </cell>
          <cell r="P56" t="str">
            <v xml:space="preserve"> </v>
          </cell>
          <cell r="Q56" t="str">
            <v xml:space="preserve"> </v>
          </cell>
          <cell r="R56" t="str">
            <v xml:space="preserve"> </v>
          </cell>
          <cell r="S56" t="str">
            <v xml:space="preserve"> </v>
          </cell>
          <cell r="T56" t="str">
            <v xml:space="preserve"> </v>
          </cell>
          <cell r="U56" t="str">
            <v xml:space="preserve"> </v>
          </cell>
          <cell r="V56" t="str">
            <v xml:space="preserve"> </v>
          </cell>
          <cell r="W56" t="str">
            <v xml:space="preserve"> </v>
          </cell>
          <cell r="X56" t="str">
            <v xml:space="preserve"> </v>
          </cell>
          <cell r="Y56" t="str">
            <v xml:space="preserve"> </v>
          </cell>
          <cell r="Z56" t="str">
            <v xml:space="preserve"> </v>
          </cell>
          <cell r="AA56" t="str">
            <v xml:space="preserve"> </v>
          </cell>
          <cell r="AB56" t="str">
            <v xml:space="preserve"> </v>
          </cell>
          <cell r="AC56" t="str">
            <v xml:space="preserve"> </v>
          </cell>
          <cell r="AD56" t="str">
            <v xml:space="preserve"> </v>
          </cell>
          <cell r="AE56" t="str">
            <v xml:space="preserve"> </v>
          </cell>
          <cell r="AF56" t="str">
            <v xml:space="preserve"> </v>
          </cell>
          <cell r="AG56" t="str">
            <v xml:space="preserve"> </v>
          </cell>
        </row>
        <row r="62">
          <cell r="C62" t="str">
            <v>0+</v>
          </cell>
          <cell r="D62" t="str">
            <v>1+</v>
          </cell>
          <cell r="E62" t="str">
            <v>2+</v>
          </cell>
          <cell r="F62" t="str">
            <v>3+</v>
          </cell>
          <cell r="G62" t="str">
            <v>4+</v>
          </cell>
          <cell r="H62" t="str">
            <v>5+</v>
          </cell>
          <cell r="I62" t="str">
            <v>6+</v>
          </cell>
          <cell r="J62" t="str">
            <v>7+</v>
          </cell>
          <cell r="K62" t="str">
            <v>8+</v>
          </cell>
          <cell r="L62" t="str">
            <v>9+</v>
          </cell>
          <cell r="M62" t="str">
            <v>10+</v>
          </cell>
          <cell r="N62" t="str">
            <v>11+</v>
          </cell>
          <cell r="O62" t="str">
            <v>12+</v>
          </cell>
          <cell r="P62" t="str">
            <v>13+</v>
          </cell>
          <cell r="Q62" t="str">
            <v>14+</v>
          </cell>
          <cell r="R62" t="str">
            <v>15+</v>
          </cell>
          <cell r="S62" t="str">
            <v>16+</v>
          </cell>
          <cell r="T62" t="str">
            <v>17+</v>
          </cell>
          <cell r="U62" t="str">
            <v>18+</v>
          </cell>
          <cell r="V62" t="str">
            <v>19+</v>
          </cell>
          <cell r="W62" t="str">
            <v>20+</v>
          </cell>
          <cell r="X62" t="str">
            <v>21+</v>
          </cell>
          <cell r="Y62" t="str">
            <v>22+</v>
          </cell>
          <cell r="Z62" t="str">
            <v>23+</v>
          </cell>
          <cell r="AA62" t="str">
            <v>24+</v>
          </cell>
          <cell r="AB62" t="str">
            <v>25+</v>
          </cell>
          <cell r="AC62" t="str">
            <v>26+</v>
          </cell>
          <cell r="AD62" t="str">
            <v>27+</v>
          </cell>
          <cell r="AE62" t="str">
            <v>28+</v>
          </cell>
          <cell r="AF62" t="str">
            <v>29+</v>
          </cell>
          <cell r="AG62" t="str">
            <v>30+</v>
          </cell>
        </row>
        <row r="64">
          <cell r="C64">
            <v>1</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cell r="N64" t="str">
            <v xml:space="preserve"> </v>
          </cell>
          <cell r="O64" t="str">
            <v xml:space="preserve"> </v>
          </cell>
          <cell r="P64" t="str">
            <v xml:space="preserve"> </v>
          </cell>
          <cell r="Q64" t="str">
            <v xml:space="preserve"> </v>
          </cell>
          <cell r="R64" t="str">
            <v xml:space="preserve"> </v>
          </cell>
          <cell r="S64" t="str">
            <v xml:space="preserve"> </v>
          </cell>
          <cell r="T64" t="str">
            <v xml:space="preserve"> </v>
          </cell>
          <cell r="U64" t="str">
            <v xml:space="preserve"> </v>
          </cell>
          <cell r="V64" t="str">
            <v xml:space="preserve"> </v>
          </cell>
          <cell r="W64" t="str">
            <v xml:space="preserve"> </v>
          </cell>
          <cell r="X64" t="str">
            <v xml:space="preserve"> </v>
          </cell>
          <cell r="Y64" t="str">
            <v xml:space="preserve"> </v>
          </cell>
          <cell r="Z64" t="str">
            <v xml:space="preserve"> </v>
          </cell>
          <cell r="AA64" t="str">
            <v xml:space="preserve"> </v>
          </cell>
          <cell r="AB64" t="str">
            <v xml:space="preserve"> </v>
          </cell>
          <cell r="AC64" t="str">
            <v xml:space="preserve"> </v>
          </cell>
          <cell r="AD64" t="str">
            <v xml:space="preserve"> </v>
          </cell>
          <cell r="AE64" t="str">
            <v xml:space="preserve"> </v>
          </cell>
          <cell r="AF64" t="str">
            <v xml:space="preserve"> </v>
          </cell>
          <cell r="AG64" t="str">
            <v xml:space="preserve"> </v>
          </cell>
        </row>
        <row r="70">
          <cell r="C70" t="str">
            <v>0+</v>
          </cell>
          <cell r="D70" t="str">
            <v>1+</v>
          </cell>
          <cell r="E70" t="str">
            <v>2+</v>
          </cell>
          <cell r="F70" t="str">
            <v>3+</v>
          </cell>
          <cell r="G70" t="str">
            <v>4+</v>
          </cell>
          <cell r="H70" t="str">
            <v>5+</v>
          </cell>
          <cell r="I70" t="str">
            <v>6+</v>
          </cell>
          <cell r="J70" t="str">
            <v>7+</v>
          </cell>
          <cell r="K70" t="str">
            <v>8+</v>
          </cell>
          <cell r="L70" t="str">
            <v>9+</v>
          </cell>
          <cell r="M70" t="str">
            <v>10+</v>
          </cell>
          <cell r="N70" t="str">
            <v>11+</v>
          </cell>
          <cell r="O70" t="str">
            <v>12+</v>
          </cell>
          <cell r="P70" t="str">
            <v>13+</v>
          </cell>
          <cell r="Q70" t="str">
            <v>14+</v>
          </cell>
          <cell r="R70" t="str">
            <v>15+</v>
          </cell>
          <cell r="S70" t="str">
            <v>16+</v>
          </cell>
          <cell r="T70" t="str">
            <v>17+</v>
          </cell>
          <cell r="U70" t="str">
            <v>18+</v>
          </cell>
          <cell r="V70" t="str">
            <v>19+</v>
          </cell>
          <cell r="W70" t="str">
            <v>20+</v>
          </cell>
          <cell r="X70" t="str">
            <v>21+</v>
          </cell>
          <cell r="Y70" t="str">
            <v>22+</v>
          </cell>
          <cell r="Z70" t="str">
            <v>23+</v>
          </cell>
          <cell r="AA70" t="str">
            <v>24+</v>
          </cell>
          <cell r="AB70" t="str">
            <v>25+</v>
          </cell>
          <cell r="AC70" t="str">
            <v>26+</v>
          </cell>
          <cell r="AD70" t="str">
            <v>27+</v>
          </cell>
          <cell r="AE70" t="str">
            <v>28+</v>
          </cell>
          <cell r="AF70" t="str">
            <v>29+</v>
          </cell>
          <cell r="AG70" t="str">
            <v>30+</v>
          </cell>
        </row>
        <row r="72">
          <cell r="C72">
            <v>1</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cell r="N72" t="str">
            <v xml:space="preserve"> </v>
          </cell>
          <cell r="O72" t="str">
            <v xml:space="preserve"> </v>
          </cell>
          <cell r="P72" t="str">
            <v xml:space="preserve"> </v>
          </cell>
          <cell r="Q72" t="str">
            <v xml:space="preserve"> </v>
          </cell>
          <cell r="R72" t="str">
            <v xml:space="preserve"> </v>
          </cell>
          <cell r="S72" t="str">
            <v xml:space="preserve"> </v>
          </cell>
          <cell r="T72" t="str">
            <v xml:space="preserve"> </v>
          </cell>
          <cell r="U72" t="str">
            <v xml:space="preserve"> </v>
          </cell>
          <cell r="V72" t="str">
            <v xml:space="preserve"> </v>
          </cell>
          <cell r="W72" t="str">
            <v xml:space="preserve"> </v>
          </cell>
          <cell r="X72" t="str">
            <v xml:space="preserve"> </v>
          </cell>
          <cell r="Y72" t="str">
            <v xml:space="preserve"> </v>
          </cell>
          <cell r="Z72" t="str">
            <v xml:space="preserve"> </v>
          </cell>
          <cell r="AA72" t="str">
            <v xml:space="preserve"> </v>
          </cell>
          <cell r="AB72" t="str">
            <v xml:space="preserve"> </v>
          </cell>
          <cell r="AC72" t="str">
            <v xml:space="preserve"> </v>
          </cell>
          <cell r="AD72" t="str">
            <v xml:space="preserve"> </v>
          </cell>
          <cell r="AE72" t="str">
            <v xml:space="preserve"> </v>
          </cell>
          <cell r="AF72" t="str">
            <v xml:space="preserve"> </v>
          </cell>
          <cell r="AG72" t="str">
            <v xml:space="preserve"> </v>
          </cell>
        </row>
        <row r="78">
          <cell r="C78" t="str">
            <v>0+</v>
          </cell>
          <cell r="D78" t="str">
            <v>1+</v>
          </cell>
          <cell r="E78" t="str">
            <v>2+</v>
          </cell>
          <cell r="F78" t="str">
            <v>3+</v>
          </cell>
          <cell r="G78" t="str">
            <v>4+</v>
          </cell>
          <cell r="H78" t="str">
            <v>5+</v>
          </cell>
          <cell r="I78" t="str">
            <v>6+</v>
          </cell>
          <cell r="J78" t="str">
            <v>7+</v>
          </cell>
          <cell r="K78" t="str">
            <v>8+</v>
          </cell>
          <cell r="L78" t="str">
            <v>9+</v>
          </cell>
          <cell r="M78" t="str">
            <v>10+</v>
          </cell>
          <cell r="N78" t="str">
            <v>11+</v>
          </cell>
          <cell r="O78" t="str">
            <v>12+</v>
          </cell>
          <cell r="P78" t="str">
            <v>13+</v>
          </cell>
          <cell r="Q78" t="str">
            <v>14+</v>
          </cell>
          <cell r="R78" t="str">
            <v>15+</v>
          </cell>
          <cell r="S78" t="str">
            <v>16+</v>
          </cell>
          <cell r="T78" t="str">
            <v>17+</v>
          </cell>
          <cell r="U78" t="str">
            <v>18+</v>
          </cell>
          <cell r="V78" t="str">
            <v>19+</v>
          </cell>
          <cell r="W78" t="str">
            <v>20+</v>
          </cell>
          <cell r="X78" t="str">
            <v>21+</v>
          </cell>
          <cell r="Y78" t="str">
            <v>22+</v>
          </cell>
          <cell r="Z78" t="str">
            <v>23+</v>
          </cell>
          <cell r="AA78" t="str">
            <v>24+</v>
          </cell>
          <cell r="AB78" t="str">
            <v>25+</v>
          </cell>
          <cell r="AC78" t="str">
            <v>26+</v>
          </cell>
          <cell r="AD78" t="str">
            <v>27+</v>
          </cell>
          <cell r="AE78" t="str">
            <v>28+</v>
          </cell>
          <cell r="AF78" t="str">
            <v>29+</v>
          </cell>
          <cell r="AG78" t="str">
            <v>30+</v>
          </cell>
        </row>
        <row r="80">
          <cell r="C80">
            <v>1</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cell r="N80" t="str">
            <v xml:space="preserve"> </v>
          </cell>
          <cell r="O80" t="str">
            <v xml:space="preserve"> </v>
          </cell>
          <cell r="P80" t="str">
            <v xml:space="preserve"> </v>
          </cell>
          <cell r="Q80" t="str">
            <v xml:space="preserve"> </v>
          </cell>
          <cell r="R80" t="str">
            <v xml:space="preserve"> </v>
          </cell>
          <cell r="S80" t="str">
            <v xml:space="preserve"> </v>
          </cell>
          <cell r="T80" t="str">
            <v xml:space="preserve"> </v>
          </cell>
          <cell r="U80" t="str">
            <v xml:space="preserve"> </v>
          </cell>
          <cell r="V80" t="str">
            <v xml:space="preserve"> </v>
          </cell>
          <cell r="W80" t="str">
            <v xml:space="preserve"> </v>
          </cell>
          <cell r="X80" t="str">
            <v xml:space="preserve"> </v>
          </cell>
          <cell r="Y80" t="str">
            <v xml:space="preserve"> </v>
          </cell>
          <cell r="Z80" t="str">
            <v xml:space="preserve"> </v>
          </cell>
          <cell r="AA80" t="str">
            <v xml:space="preserve"> </v>
          </cell>
          <cell r="AB80" t="str">
            <v xml:space="preserve"> </v>
          </cell>
          <cell r="AC80" t="str">
            <v xml:space="preserve"> </v>
          </cell>
          <cell r="AD80" t="str">
            <v xml:space="preserve"> </v>
          </cell>
          <cell r="AE80" t="str">
            <v xml:space="preserve"> </v>
          </cell>
          <cell r="AF80" t="str">
            <v xml:space="preserve"> </v>
          </cell>
          <cell r="AG80" t="str">
            <v xml:space="preserve"> </v>
          </cell>
        </row>
        <row r="86">
          <cell r="C86" t="str">
            <v>0+</v>
          </cell>
          <cell r="D86" t="str">
            <v>1+</v>
          </cell>
          <cell r="E86" t="str">
            <v>2+</v>
          </cell>
          <cell r="F86" t="str">
            <v>3+</v>
          </cell>
          <cell r="G86" t="str">
            <v>4+</v>
          </cell>
          <cell r="H86" t="str">
            <v>5+</v>
          </cell>
          <cell r="I86" t="str">
            <v>6+</v>
          </cell>
          <cell r="J86" t="str">
            <v>7+</v>
          </cell>
          <cell r="K86" t="str">
            <v>8+</v>
          </cell>
          <cell r="L86" t="str">
            <v>9+</v>
          </cell>
          <cell r="M86" t="str">
            <v>10+</v>
          </cell>
          <cell r="N86" t="str">
            <v>11+</v>
          </cell>
          <cell r="O86" t="str">
            <v>12+</v>
          </cell>
          <cell r="P86" t="str">
            <v>13+</v>
          </cell>
          <cell r="Q86" t="str">
            <v>14+</v>
          </cell>
          <cell r="R86" t="str">
            <v>15+</v>
          </cell>
          <cell r="S86" t="str">
            <v>16+</v>
          </cell>
          <cell r="T86" t="str">
            <v>17+</v>
          </cell>
          <cell r="U86" t="str">
            <v>18+</v>
          </cell>
          <cell r="V86" t="str">
            <v>19+</v>
          </cell>
          <cell r="W86" t="str">
            <v>20+</v>
          </cell>
          <cell r="X86" t="str">
            <v>21+</v>
          </cell>
          <cell r="Y86" t="str">
            <v>22+</v>
          </cell>
          <cell r="Z86" t="str">
            <v>23+</v>
          </cell>
          <cell r="AA86" t="str">
            <v>24+</v>
          </cell>
          <cell r="AB86" t="str">
            <v>25+</v>
          </cell>
          <cell r="AC86" t="str">
            <v>26+</v>
          </cell>
          <cell r="AD86" t="str">
            <v>27+</v>
          </cell>
          <cell r="AE86" t="str">
            <v>28+</v>
          </cell>
          <cell r="AF86" t="str">
            <v>29+</v>
          </cell>
          <cell r="AG86" t="str">
            <v>30+</v>
          </cell>
        </row>
        <row r="88">
          <cell r="C88">
            <v>1</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cell r="N88" t="str">
            <v xml:space="preserve"> </v>
          </cell>
          <cell r="O88" t="str">
            <v xml:space="preserve"> </v>
          </cell>
          <cell r="P88" t="str">
            <v xml:space="preserve"> </v>
          </cell>
          <cell r="Q88" t="str">
            <v xml:space="preserve"> </v>
          </cell>
          <cell r="R88" t="str">
            <v xml:space="preserve"> </v>
          </cell>
          <cell r="S88" t="str">
            <v xml:space="preserve"> </v>
          </cell>
          <cell r="T88" t="str">
            <v xml:space="preserve"> </v>
          </cell>
          <cell r="U88" t="str">
            <v xml:space="preserve"> </v>
          </cell>
          <cell r="V88" t="str">
            <v xml:space="preserve"> </v>
          </cell>
          <cell r="W88" t="str">
            <v xml:space="preserve"> </v>
          </cell>
          <cell r="X88" t="str">
            <v xml:space="preserve"> </v>
          </cell>
          <cell r="Y88" t="str">
            <v xml:space="preserve"> </v>
          </cell>
          <cell r="Z88" t="str">
            <v xml:space="preserve"> </v>
          </cell>
          <cell r="AA88" t="str">
            <v xml:space="preserve"> </v>
          </cell>
          <cell r="AB88" t="str">
            <v xml:space="preserve"> </v>
          </cell>
          <cell r="AC88" t="str">
            <v xml:space="preserve"> </v>
          </cell>
          <cell r="AD88" t="str">
            <v xml:space="preserve"> </v>
          </cell>
          <cell r="AE88" t="str">
            <v xml:space="preserve"> </v>
          </cell>
          <cell r="AF88" t="str">
            <v xml:space="preserve"> </v>
          </cell>
          <cell r="AG88" t="str">
            <v xml:space="preserve"> </v>
          </cell>
        </row>
        <row r="94">
          <cell r="C94" t="str">
            <v>0+</v>
          </cell>
          <cell r="D94" t="str">
            <v>1+</v>
          </cell>
          <cell r="E94" t="str">
            <v>2+</v>
          </cell>
          <cell r="F94" t="str">
            <v>3+</v>
          </cell>
          <cell r="G94" t="str">
            <v>4+</v>
          </cell>
          <cell r="H94" t="str">
            <v>5+</v>
          </cell>
          <cell r="I94" t="str">
            <v>6+</v>
          </cell>
          <cell r="J94" t="str">
            <v>7+</v>
          </cell>
          <cell r="K94" t="str">
            <v>8+</v>
          </cell>
          <cell r="L94" t="str">
            <v>9+</v>
          </cell>
          <cell r="M94" t="str">
            <v>10+</v>
          </cell>
          <cell r="N94" t="str">
            <v>11+</v>
          </cell>
          <cell r="O94" t="str">
            <v>12+</v>
          </cell>
          <cell r="P94" t="str">
            <v>13+</v>
          </cell>
          <cell r="Q94" t="str">
            <v>14+</v>
          </cell>
          <cell r="R94" t="str">
            <v>15+</v>
          </cell>
          <cell r="S94" t="str">
            <v>16+</v>
          </cell>
          <cell r="T94" t="str">
            <v>17+</v>
          </cell>
          <cell r="U94" t="str">
            <v>18+</v>
          </cell>
          <cell r="V94" t="str">
            <v>19+</v>
          </cell>
          <cell r="W94" t="str">
            <v>20+</v>
          </cell>
          <cell r="X94" t="str">
            <v>21+</v>
          </cell>
          <cell r="Y94" t="str">
            <v>22+</v>
          </cell>
          <cell r="Z94" t="str">
            <v>23+</v>
          </cell>
          <cell r="AA94" t="str">
            <v>24+</v>
          </cell>
          <cell r="AB94" t="str">
            <v>25+</v>
          </cell>
          <cell r="AC94" t="str">
            <v>26+</v>
          </cell>
          <cell r="AD94" t="str">
            <v>27+</v>
          </cell>
          <cell r="AE94" t="str">
            <v>28+</v>
          </cell>
          <cell r="AF94" t="str">
            <v>29+</v>
          </cell>
          <cell r="AG94" t="str">
            <v>30+</v>
          </cell>
        </row>
        <row r="96">
          <cell r="C96">
            <v>1</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cell r="N96" t="str">
            <v xml:space="preserve"> </v>
          </cell>
          <cell r="O96" t="str">
            <v xml:space="preserve"> </v>
          </cell>
          <cell r="P96" t="str">
            <v xml:space="preserve"> </v>
          </cell>
          <cell r="Q96" t="str">
            <v xml:space="preserve"> </v>
          </cell>
          <cell r="R96" t="str">
            <v xml:space="preserve"> </v>
          </cell>
          <cell r="S96" t="str">
            <v xml:space="preserve"> </v>
          </cell>
          <cell r="T96" t="str">
            <v xml:space="preserve"> </v>
          </cell>
          <cell r="U96" t="str">
            <v xml:space="preserve"> </v>
          </cell>
          <cell r="V96" t="str">
            <v xml:space="preserve"> </v>
          </cell>
          <cell r="W96" t="str">
            <v xml:space="preserve"> </v>
          </cell>
          <cell r="X96" t="str">
            <v xml:space="preserve"> </v>
          </cell>
          <cell r="Y96" t="str">
            <v xml:space="preserve"> </v>
          </cell>
          <cell r="Z96" t="str">
            <v xml:space="preserve"> </v>
          </cell>
          <cell r="AA96" t="str">
            <v xml:space="preserve"> </v>
          </cell>
          <cell r="AB96" t="str">
            <v xml:space="preserve"> </v>
          </cell>
          <cell r="AC96" t="str">
            <v xml:space="preserve"> </v>
          </cell>
          <cell r="AD96" t="str">
            <v xml:space="preserve"> </v>
          </cell>
          <cell r="AE96" t="str">
            <v xml:space="preserve"> </v>
          </cell>
          <cell r="AF96" t="str">
            <v xml:space="preserve"> </v>
          </cell>
          <cell r="AG96" t="str">
            <v xml:space="preserve"> </v>
          </cell>
        </row>
        <row r="102">
          <cell r="C102" t="str">
            <v>0+</v>
          </cell>
          <cell r="D102" t="str">
            <v>1+</v>
          </cell>
          <cell r="E102" t="str">
            <v>2+</v>
          </cell>
          <cell r="F102" t="str">
            <v>3+</v>
          </cell>
          <cell r="G102" t="str">
            <v>4+</v>
          </cell>
          <cell r="H102" t="str">
            <v>5+</v>
          </cell>
          <cell r="I102" t="str">
            <v>6+</v>
          </cell>
          <cell r="J102" t="str">
            <v>7+</v>
          </cell>
          <cell r="K102" t="str">
            <v>8+</v>
          </cell>
          <cell r="L102" t="str">
            <v>9+</v>
          </cell>
          <cell r="M102" t="str">
            <v>10+</v>
          </cell>
          <cell r="N102" t="str">
            <v>11+</v>
          </cell>
          <cell r="O102" t="str">
            <v>12+</v>
          </cell>
          <cell r="P102" t="str">
            <v>13+</v>
          </cell>
          <cell r="Q102" t="str">
            <v>14+</v>
          </cell>
          <cell r="R102" t="str">
            <v>15+</v>
          </cell>
          <cell r="S102" t="str">
            <v>16+</v>
          </cell>
          <cell r="T102" t="str">
            <v>17+</v>
          </cell>
          <cell r="U102" t="str">
            <v>18+</v>
          </cell>
          <cell r="V102" t="str">
            <v>19+</v>
          </cell>
          <cell r="W102" t="str">
            <v>20+</v>
          </cell>
          <cell r="X102" t="str">
            <v>21+</v>
          </cell>
          <cell r="Y102" t="str">
            <v>22+</v>
          </cell>
          <cell r="Z102" t="str">
            <v>23+</v>
          </cell>
          <cell r="AA102" t="str">
            <v>24+</v>
          </cell>
          <cell r="AB102" t="str">
            <v>25+</v>
          </cell>
          <cell r="AC102" t="str">
            <v>26+</v>
          </cell>
          <cell r="AD102" t="str">
            <v>27+</v>
          </cell>
          <cell r="AE102" t="str">
            <v>28+</v>
          </cell>
          <cell r="AF102" t="str">
            <v>29+</v>
          </cell>
          <cell r="AG102" t="str">
            <v>30+</v>
          </cell>
        </row>
        <row r="104">
          <cell r="C104">
            <v>1</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cell r="N104" t="str">
            <v xml:space="preserve"> </v>
          </cell>
          <cell r="O104" t="str">
            <v xml:space="preserve"> </v>
          </cell>
          <cell r="P104" t="str">
            <v xml:space="preserve"> </v>
          </cell>
          <cell r="Q104" t="str">
            <v xml:space="preserve"> </v>
          </cell>
          <cell r="R104" t="str">
            <v xml:space="preserve"> </v>
          </cell>
          <cell r="S104" t="str">
            <v xml:space="preserve"> </v>
          </cell>
          <cell r="T104" t="str">
            <v xml:space="preserve"> </v>
          </cell>
          <cell r="U104" t="str">
            <v xml:space="preserve"> </v>
          </cell>
          <cell r="V104" t="str">
            <v xml:space="preserve"> </v>
          </cell>
          <cell r="W104" t="str">
            <v xml:space="preserve"> </v>
          </cell>
          <cell r="X104" t="str">
            <v xml:space="preserve"> </v>
          </cell>
          <cell r="Y104" t="str">
            <v xml:space="preserve"> </v>
          </cell>
          <cell r="Z104" t="str">
            <v xml:space="preserve"> </v>
          </cell>
          <cell r="AA104" t="str">
            <v xml:space="preserve"> </v>
          </cell>
          <cell r="AB104" t="str">
            <v xml:space="preserve"> </v>
          </cell>
          <cell r="AC104" t="str">
            <v xml:space="preserve"> </v>
          </cell>
          <cell r="AD104" t="str">
            <v xml:space="preserve"> </v>
          </cell>
          <cell r="AE104" t="str">
            <v xml:space="preserve"> </v>
          </cell>
          <cell r="AF104" t="str">
            <v xml:space="preserve"> </v>
          </cell>
          <cell r="AG104" t="str">
            <v xml:space="preserve"> </v>
          </cell>
        </row>
        <row r="110">
          <cell r="C110" t="str">
            <v>0+</v>
          </cell>
          <cell r="D110" t="str">
            <v>1+</v>
          </cell>
          <cell r="E110" t="str">
            <v>2+</v>
          </cell>
          <cell r="F110" t="str">
            <v>3+</v>
          </cell>
          <cell r="G110" t="str">
            <v>4+</v>
          </cell>
          <cell r="H110" t="str">
            <v>5+</v>
          </cell>
          <cell r="I110" t="str">
            <v>6+</v>
          </cell>
          <cell r="J110" t="str">
            <v>7+</v>
          </cell>
          <cell r="K110" t="str">
            <v>8+</v>
          </cell>
          <cell r="L110" t="str">
            <v>9+</v>
          </cell>
          <cell r="M110" t="str">
            <v>10+</v>
          </cell>
          <cell r="N110" t="str">
            <v>11+</v>
          </cell>
          <cell r="O110" t="str">
            <v>12+</v>
          </cell>
          <cell r="P110" t="str">
            <v>13+</v>
          </cell>
          <cell r="Q110" t="str">
            <v>14+</v>
          </cell>
          <cell r="R110" t="str">
            <v>15+</v>
          </cell>
          <cell r="S110" t="str">
            <v>16+</v>
          </cell>
          <cell r="T110" t="str">
            <v>17+</v>
          </cell>
          <cell r="U110" t="str">
            <v>18+</v>
          </cell>
          <cell r="V110" t="str">
            <v>19+</v>
          </cell>
          <cell r="W110" t="str">
            <v>20+</v>
          </cell>
          <cell r="X110" t="str">
            <v>21+</v>
          </cell>
          <cell r="Y110" t="str">
            <v>22+</v>
          </cell>
          <cell r="Z110" t="str">
            <v>23+</v>
          </cell>
          <cell r="AA110" t="str">
            <v>24+</v>
          </cell>
          <cell r="AB110" t="str">
            <v>25+</v>
          </cell>
          <cell r="AC110" t="str">
            <v>26+</v>
          </cell>
          <cell r="AD110" t="str">
            <v>27+</v>
          </cell>
          <cell r="AE110" t="str">
            <v>28+</v>
          </cell>
          <cell r="AF110" t="str">
            <v>29+</v>
          </cell>
          <cell r="AG110" t="str">
            <v>30+</v>
          </cell>
        </row>
        <row r="112">
          <cell r="C112">
            <v>1</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cell r="N112" t="str">
            <v xml:space="preserve"> </v>
          </cell>
          <cell r="O112" t="str">
            <v xml:space="preserve"> </v>
          </cell>
          <cell r="P112" t="str">
            <v xml:space="preserve"> </v>
          </cell>
          <cell r="Q112" t="str">
            <v xml:space="preserve"> </v>
          </cell>
          <cell r="R112" t="str">
            <v xml:space="preserve"> </v>
          </cell>
          <cell r="S112" t="str">
            <v xml:space="preserve"> </v>
          </cell>
          <cell r="T112" t="str">
            <v xml:space="preserve"> </v>
          </cell>
          <cell r="U112" t="str">
            <v xml:space="preserve"> </v>
          </cell>
          <cell r="V112" t="str">
            <v xml:space="preserve"> </v>
          </cell>
          <cell r="W112" t="str">
            <v xml:space="preserve"> </v>
          </cell>
          <cell r="X112" t="str">
            <v xml:space="preserve"> </v>
          </cell>
          <cell r="Y112" t="str">
            <v xml:space="preserve"> </v>
          </cell>
          <cell r="Z112" t="str">
            <v xml:space="preserve"> </v>
          </cell>
          <cell r="AA112" t="str">
            <v xml:space="preserve"> </v>
          </cell>
          <cell r="AB112" t="str">
            <v xml:space="preserve"> </v>
          </cell>
          <cell r="AC112" t="str">
            <v xml:space="preserve"> </v>
          </cell>
          <cell r="AD112" t="str">
            <v xml:space="preserve"> </v>
          </cell>
          <cell r="AE112" t="str">
            <v xml:space="preserve"> </v>
          </cell>
          <cell r="AF112" t="str">
            <v xml:space="preserve"> </v>
          </cell>
          <cell r="AG112" t="str">
            <v xml:space="preserve"> </v>
          </cell>
        </row>
        <row r="118">
          <cell r="C118" t="str">
            <v>0+</v>
          </cell>
          <cell r="D118" t="str">
            <v>1+</v>
          </cell>
          <cell r="E118" t="str">
            <v>2+</v>
          </cell>
          <cell r="F118" t="str">
            <v>3+</v>
          </cell>
          <cell r="G118" t="str">
            <v>4+</v>
          </cell>
          <cell r="H118" t="str">
            <v>5+</v>
          </cell>
          <cell r="I118" t="str">
            <v>6+</v>
          </cell>
          <cell r="J118" t="str">
            <v>7+</v>
          </cell>
          <cell r="K118" t="str">
            <v>8+</v>
          </cell>
          <cell r="L118" t="str">
            <v>9+</v>
          </cell>
          <cell r="M118" t="str">
            <v>10+</v>
          </cell>
          <cell r="N118" t="str">
            <v>11+</v>
          </cell>
          <cell r="O118" t="str">
            <v>12+</v>
          </cell>
          <cell r="P118" t="str">
            <v>13+</v>
          </cell>
          <cell r="Q118" t="str">
            <v>14+</v>
          </cell>
          <cell r="R118" t="str">
            <v>15+</v>
          </cell>
          <cell r="S118" t="str">
            <v>16+</v>
          </cell>
          <cell r="T118" t="str">
            <v>17+</v>
          </cell>
          <cell r="U118" t="str">
            <v>18+</v>
          </cell>
          <cell r="V118" t="str">
            <v>19+</v>
          </cell>
          <cell r="W118" t="str">
            <v>20+</v>
          </cell>
          <cell r="X118" t="str">
            <v>21+</v>
          </cell>
          <cell r="Y118" t="str">
            <v>22+</v>
          </cell>
          <cell r="Z118" t="str">
            <v>23+</v>
          </cell>
          <cell r="AA118" t="str">
            <v>24+</v>
          </cell>
          <cell r="AB118" t="str">
            <v>25+</v>
          </cell>
          <cell r="AC118" t="str">
            <v>26+</v>
          </cell>
          <cell r="AD118" t="str">
            <v>27+</v>
          </cell>
          <cell r="AE118" t="str">
            <v>28+</v>
          </cell>
          <cell r="AF118" t="str">
            <v>29+</v>
          </cell>
          <cell r="AG118" t="str">
            <v>30+</v>
          </cell>
        </row>
        <row r="120">
          <cell r="C120">
            <v>1</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cell r="N120" t="str">
            <v xml:space="preserve"> </v>
          </cell>
          <cell r="O120" t="str">
            <v xml:space="preserve"> </v>
          </cell>
          <cell r="P120" t="str">
            <v xml:space="preserve"> </v>
          </cell>
          <cell r="Q120" t="str">
            <v xml:space="preserve"> </v>
          </cell>
          <cell r="R120" t="str">
            <v xml:space="preserve"> </v>
          </cell>
          <cell r="S120" t="str">
            <v xml:space="preserve"> </v>
          </cell>
          <cell r="T120" t="str">
            <v xml:space="preserve"> </v>
          </cell>
          <cell r="U120" t="str">
            <v xml:space="preserve"> </v>
          </cell>
          <cell r="V120" t="str">
            <v xml:space="preserve"> </v>
          </cell>
          <cell r="W120" t="str">
            <v xml:space="preserve"> </v>
          </cell>
          <cell r="X120" t="str">
            <v xml:space="preserve"> </v>
          </cell>
          <cell r="Y120" t="str">
            <v xml:space="preserve"> </v>
          </cell>
          <cell r="Z120" t="str">
            <v xml:space="preserve"> </v>
          </cell>
          <cell r="AA120" t="str">
            <v xml:space="preserve"> </v>
          </cell>
          <cell r="AB120" t="str">
            <v xml:space="preserve"> </v>
          </cell>
          <cell r="AC120" t="str">
            <v xml:space="preserve"> </v>
          </cell>
          <cell r="AD120" t="str">
            <v xml:space="preserve"> </v>
          </cell>
          <cell r="AE120" t="str">
            <v xml:space="preserve"> </v>
          </cell>
          <cell r="AF120" t="str">
            <v xml:space="preserve"> </v>
          </cell>
          <cell r="AG120" t="str">
            <v xml:space="preserve"> </v>
          </cell>
        </row>
        <row r="126">
          <cell r="C126" t="str">
            <v>0+</v>
          </cell>
          <cell r="D126" t="str">
            <v>1+</v>
          </cell>
          <cell r="E126" t="str">
            <v>2+</v>
          </cell>
          <cell r="F126" t="str">
            <v>3+</v>
          </cell>
          <cell r="G126" t="str">
            <v>4+</v>
          </cell>
          <cell r="H126" t="str">
            <v>5+</v>
          </cell>
          <cell r="I126" t="str">
            <v>6+</v>
          </cell>
          <cell r="J126" t="str">
            <v>7+</v>
          </cell>
          <cell r="K126" t="str">
            <v>8+</v>
          </cell>
          <cell r="L126" t="str">
            <v>9+</v>
          </cell>
          <cell r="M126" t="str">
            <v>10+</v>
          </cell>
          <cell r="N126" t="str">
            <v>11+</v>
          </cell>
          <cell r="O126" t="str">
            <v>12+</v>
          </cell>
          <cell r="P126" t="str">
            <v>13+</v>
          </cell>
          <cell r="Q126" t="str">
            <v>14+</v>
          </cell>
          <cell r="R126" t="str">
            <v>15+</v>
          </cell>
          <cell r="S126" t="str">
            <v>16+</v>
          </cell>
          <cell r="T126" t="str">
            <v>17+</v>
          </cell>
          <cell r="U126" t="str">
            <v>18+</v>
          </cell>
          <cell r="V126" t="str">
            <v>19+</v>
          </cell>
          <cell r="W126" t="str">
            <v>20+</v>
          </cell>
          <cell r="X126" t="str">
            <v>21+</v>
          </cell>
          <cell r="Y126" t="str">
            <v>22+</v>
          </cell>
          <cell r="Z126" t="str">
            <v>23+</v>
          </cell>
          <cell r="AA126" t="str">
            <v>24+</v>
          </cell>
          <cell r="AB126" t="str">
            <v>25+</v>
          </cell>
          <cell r="AC126" t="str">
            <v>26+</v>
          </cell>
          <cell r="AD126" t="str">
            <v>27+</v>
          </cell>
          <cell r="AE126" t="str">
            <v>28+</v>
          </cell>
          <cell r="AF126" t="str">
            <v>29+</v>
          </cell>
          <cell r="AG126" t="str">
            <v>30+</v>
          </cell>
        </row>
        <row r="128">
          <cell r="C128">
            <v>1</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cell r="N128" t="str">
            <v xml:space="preserve"> </v>
          </cell>
          <cell r="O128" t="str">
            <v xml:space="preserve"> </v>
          </cell>
          <cell r="P128" t="str">
            <v xml:space="preserve"> </v>
          </cell>
          <cell r="Q128" t="str">
            <v xml:space="preserve"> </v>
          </cell>
          <cell r="R128" t="str">
            <v xml:space="preserve"> </v>
          </cell>
          <cell r="S128" t="str">
            <v xml:space="preserve"> </v>
          </cell>
          <cell r="T128" t="str">
            <v xml:space="preserve"> </v>
          </cell>
          <cell r="U128" t="str">
            <v xml:space="preserve"> </v>
          </cell>
          <cell r="V128" t="str">
            <v xml:space="preserve"> </v>
          </cell>
          <cell r="W128" t="str">
            <v xml:space="preserve"> </v>
          </cell>
          <cell r="X128" t="str">
            <v xml:space="preserve"> </v>
          </cell>
          <cell r="Y128" t="str">
            <v xml:space="preserve"> </v>
          </cell>
          <cell r="Z128" t="str">
            <v xml:space="preserve"> </v>
          </cell>
          <cell r="AA128" t="str">
            <v xml:space="preserve"> </v>
          </cell>
          <cell r="AB128" t="str">
            <v xml:space="preserve"> </v>
          </cell>
          <cell r="AC128" t="str">
            <v xml:space="preserve"> </v>
          </cell>
          <cell r="AD128" t="str">
            <v xml:space="preserve"> </v>
          </cell>
          <cell r="AE128" t="str">
            <v xml:space="preserve"> </v>
          </cell>
          <cell r="AF128" t="str">
            <v xml:space="preserve"> </v>
          </cell>
          <cell r="AG128" t="str">
            <v xml:space="preserve"> </v>
          </cell>
        </row>
        <row r="134">
          <cell r="C134" t="str">
            <v>0+</v>
          </cell>
          <cell r="D134" t="str">
            <v>1+</v>
          </cell>
          <cell r="E134" t="str">
            <v>2+</v>
          </cell>
          <cell r="F134" t="str">
            <v>3+</v>
          </cell>
          <cell r="G134" t="str">
            <v>4+</v>
          </cell>
          <cell r="H134" t="str">
            <v>5+</v>
          </cell>
          <cell r="I134" t="str">
            <v>6+</v>
          </cell>
          <cell r="J134" t="str">
            <v>7+</v>
          </cell>
          <cell r="K134" t="str">
            <v>8+</v>
          </cell>
          <cell r="L134" t="str">
            <v>9+</v>
          </cell>
          <cell r="M134" t="str">
            <v>10+</v>
          </cell>
          <cell r="N134" t="str">
            <v>11+</v>
          </cell>
          <cell r="O134" t="str">
            <v>12+</v>
          </cell>
          <cell r="P134" t="str">
            <v>13+</v>
          </cell>
          <cell r="Q134" t="str">
            <v>14+</v>
          </cell>
          <cell r="R134" t="str">
            <v>15+</v>
          </cell>
          <cell r="S134" t="str">
            <v>16+</v>
          </cell>
          <cell r="T134" t="str">
            <v>17+</v>
          </cell>
          <cell r="U134" t="str">
            <v>18+</v>
          </cell>
          <cell r="V134" t="str">
            <v>19+</v>
          </cell>
          <cell r="W134" t="str">
            <v>20+</v>
          </cell>
          <cell r="X134" t="str">
            <v>21+</v>
          </cell>
          <cell r="Y134" t="str">
            <v>22+</v>
          </cell>
          <cell r="Z134" t="str">
            <v>23+</v>
          </cell>
          <cell r="AA134" t="str">
            <v>24+</v>
          </cell>
          <cell r="AB134" t="str">
            <v>25+</v>
          </cell>
          <cell r="AC134" t="str">
            <v>26+</v>
          </cell>
          <cell r="AD134" t="str">
            <v>27+</v>
          </cell>
          <cell r="AE134" t="str">
            <v>28+</v>
          </cell>
          <cell r="AF134" t="str">
            <v>29+</v>
          </cell>
          <cell r="AG134" t="str">
            <v>30+</v>
          </cell>
        </row>
        <row r="136">
          <cell r="C136">
            <v>1</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cell r="N136" t="str">
            <v xml:space="preserve"> </v>
          </cell>
          <cell r="O136" t="str">
            <v xml:space="preserve"> </v>
          </cell>
          <cell r="P136" t="str">
            <v xml:space="preserve"> </v>
          </cell>
          <cell r="Q136" t="str">
            <v xml:space="preserve"> </v>
          </cell>
          <cell r="R136" t="str">
            <v xml:space="preserve"> </v>
          </cell>
          <cell r="S136" t="str">
            <v xml:space="preserve"> </v>
          </cell>
          <cell r="T136" t="str">
            <v xml:space="preserve"> </v>
          </cell>
          <cell r="U136" t="str">
            <v xml:space="preserve"> </v>
          </cell>
          <cell r="V136" t="str">
            <v xml:space="preserve"> </v>
          </cell>
          <cell r="W136" t="str">
            <v xml:space="preserve"> </v>
          </cell>
          <cell r="X136" t="str">
            <v xml:space="preserve"> </v>
          </cell>
          <cell r="Y136" t="str">
            <v xml:space="preserve"> </v>
          </cell>
          <cell r="Z136" t="str">
            <v xml:space="preserve"> </v>
          </cell>
          <cell r="AA136" t="str">
            <v xml:space="preserve"> </v>
          </cell>
          <cell r="AB136" t="str">
            <v xml:space="preserve"> </v>
          </cell>
          <cell r="AC136" t="str">
            <v xml:space="preserve"> </v>
          </cell>
          <cell r="AD136" t="str">
            <v xml:space="preserve"> </v>
          </cell>
          <cell r="AE136" t="str">
            <v xml:space="preserve"> </v>
          </cell>
          <cell r="AF136" t="str">
            <v xml:space="preserve"> </v>
          </cell>
          <cell r="AG136" t="str">
            <v xml:space="preserve"> </v>
          </cell>
        </row>
        <row r="142">
          <cell r="C142" t="str">
            <v>0+</v>
          </cell>
          <cell r="D142" t="str">
            <v>1+</v>
          </cell>
          <cell r="E142" t="str">
            <v>2+</v>
          </cell>
          <cell r="F142" t="str">
            <v>3+</v>
          </cell>
          <cell r="G142" t="str">
            <v>4+</v>
          </cell>
          <cell r="H142" t="str">
            <v>5+</v>
          </cell>
          <cell r="I142" t="str">
            <v>6+</v>
          </cell>
          <cell r="J142" t="str">
            <v>7+</v>
          </cell>
          <cell r="K142" t="str">
            <v>8+</v>
          </cell>
          <cell r="L142" t="str">
            <v>9+</v>
          </cell>
          <cell r="M142" t="str">
            <v>10+</v>
          </cell>
          <cell r="N142" t="str">
            <v>11+</v>
          </cell>
          <cell r="O142" t="str">
            <v>12+</v>
          </cell>
          <cell r="P142" t="str">
            <v>13+</v>
          </cell>
          <cell r="Q142" t="str">
            <v>14+</v>
          </cell>
          <cell r="R142" t="str">
            <v>15+</v>
          </cell>
          <cell r="S142" t="str">
            <v>16+</v>
          </cell>
          <cell r="T142" t="str">
            <v>17+</v>
          </cell>
          <cell r="U142" t="str">
            <v>18+</v>
          </cell>
          <cell r="V142" t="str">
            <v>19+</v>
          </cell>
          <cell r="W142" t="str">
            <v>20+</v>
          </cell>
          <cell r="X142" t="str">
            <v>21+</v>
          </cell>
          <cell r="Y142" t="str">
            <v>22+</v>
          </cell>
          <cell r="Z142" t="str">
            <v>23+</v>
          </cell>
          <cell r="AA142" t="str">
            <v>24+</v>
          </cell>
          <cell r="AB142" t="str">
            <v>25+</v>
          </cell>
          <cell r="AC142" t="str">
            <v>26+</v>
          </cell>
          <cell r="AD142" t="str">
            <v>27+</v>
          </cell>
          <cell r="AE142" t="str">
            <v>28+</v>
          </cell>
          <cell r="AF142" t="str">
            <v>29+</v>
          </cell>
          <cell r="AG142" t="str">
            <v>30+</v>
          </cell>
        </row>
        <row r="144">
          <cell r="C144">
            <v>1</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cell r="N144" t="str">
            <v xml:space="preserve"> </v>
          </cell>
          <cell r="O144" t="str">
            <v xml:space="preserve"> </v>
          </cell>
          <cell r="P144" t="str">
            <v xml:space="preserve"> </v>
          </cell>
          <cell r="Q144" t="str">
            <v xml:space="preserve"> </v>
          </cell>
          <cell r="R144" t="str">
            <v xml:space="preserve"> </v>
          </cell>
          <cell r="S144" t="str">
            <v xml:space="preserve"> </v>
          </cell>
          <cell r="T144" t="str">
            <v xml:space="preserve"> </v>
          </cell>
          <cell r="U144" t="str">
            <v xml:space="preserve"> </v>
          </cell>
          <cell r="V144" t="str">
            <v xml:space="preserve"> </v>
          </cell>
          <cell r="W144" t="str">
            <v xml:space="preserve"> </v>
          </cell>
          <cell r="X144" t="str">
            <v xml:space="preserve"> </v>
          </cell>
          <cell r="Y144" t="str">
            <v xml:space="preserve"> </v>
          </cell>
          <cell r="Z144" t="str">
            <v xml:space="preserve"> </v>
          </cell>
          <cell r="AA144" t="str">
            <v xml:space="preserve"> </v>
          </cell>
          <cell r="AB144" t="str">
            <v xml:space="preserve"> </v>
          </cell>
          <cell r="AC144" t="str">
            <v xml:space="preserve"> </v>
          </cell>
          <cell r="AD144" t="str">
            <v xml:space="preserve"> </v>
          </cell>
          <cell r="AE144" t="str">
            <v xml:space="preserve"> </v>
          </cell>
          <cell r="AF144" t="str">
            <v xml:space="preserve"> </v>
          </cell>
          <cell r="AG144" t="str">
            <v xml:space="preserve"> </v>
          </cell>
        </row>
        <row r="150">
          <cell r="C150" t="str">
            <v>0+</v>
          </cell>
          <cell r="D150" t="str">
            <v>1+</v>
          </cell>
          <cell r="E150" t="str">
            <v>2+</v>
          </cell>
          <cell r="F150" t="str">
            <v>3+</v>
          </cell>
          <cell r="G150" t="str">
            <v>4+</v>
          </cell>
          <cell r="H150" t="str">
            <v>5+</v>
          </cell>
          <cell r="I150" t="str">
            <v>6+</v>
          </cell>
          <cell r="J150" t="str">
            <v>7+</v>
          </cell>
          <cell r="K150" t="str">
            <v>8+</v>
          </cell>
          <cell r="L150" t="str">
            <v>9+</v>
          </cell>
          <cell r="M150" t="str">
            <v>10+</v>
          </cell>
          <cell r="N150" t="str">
            <v>11+</v>
          </cell>
          <cell r="O150" t="str">
            <v>12+</v>
          </cell>
          <cell r="P150" t="str">
            <v>13+</v>
          </cell>
          <cell r="Q150" t="str">
            <v>14+</v>
          </cell>
          <cell r="R150" t="str">
            <v>15+</v>
          </cell>
          <cell r="S150" t="str">
            <v>16+</v>
          </cell>
          <cell r="T150" t="str">
            <v>17+</v>
          </cell>
          <cell r="U150" t="str">
            <v>18+</v>
          </cell>
          <cell r="V150" t="str">
            <v>19+</v>
          </cell>
          <cell r="W150" t="str">
            <v>20+</v>
          </cell>
          <cell r="X150" t="str">
            <v>21+</v>
          </cell>
          <cell r="Y150" t="str">
            <v>22+</v>
          </cell>
          <cell r="Z150" t="str">
            <v>23+</v>
          </cell>
          <cell r="AA150" t="str">
            <v>24+</v>
          </cell>
          <cell r="AB150" t="str">
            <v>25+</v>
          </cell>
          <cell r="AC150" t="str">
            <v>26+</v>
          </cell>
          <cell r="AD150" t="str">
            <v>27+</v>
          </cell>
          <cell r="AE150" t="str">
            <v>28+</v>
          </cell>
          <cell r="AF150" t="str">
            <v>29+</v>
          </cell>
          <cell r="AG150" t="str">
            <v>30+</v>
          </cell>
        </row>
        <row r="152">
          <cell r="C152">
            <v>1</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cell r="N152" t="str">
            <v xml:space="preserve"> </v>
          </cell>
          <cell r="O152" t="str">
            <v xml:space="preserve"> </v>
          </cell>
          <cell r="P152" t="str">
            <v xml:space="preserve"> </v>
          </cell>
          <cell r="Q152" t="str">
            <v xml:space="preserve"> </v>
          </cell>
          <cell r="R152" t="str">
            <v xml:space="preserve"> </v>
          </cell>
          <cell r="S152" t="str">
            <v xml:space="preserve"> </v>
          </cell>
          <cell r="T152" t="str">
            <v xml:space="preserve"> </v>
          </cell>
          <cell r="U152" t="str">
            <v xml:space="preserve"> </v>
          </cell>
          <cell r="V152" t="str">
            <v xml:space="preserve"> </v>
          </cell>
          <cell r="W152" t="str">
            <v xml:space="preserve"> </v>
          </cell>
          <cell r="X152" t="str">
            <v xml:space="preserve"> </v>
          </cell>
          <cell r="Y152" t="str">
            <v xml:space="preserve"> </v>
          </cell>
          <cell r="Z152" t="str">
            <v xml:space="preserve"> </v>
          </cell>
          <cell r="AA152" t="str">
            <v xml:space="preserve"> </v>
          </cell>
          <cell r="AB152" t="str">
            <v xml:space="preserve"> </v>
          </cell>
          <cell r="AC152" t="str">
            <v xml:space="preserve"> </v>
          </cell>
          <cell r="AD152" t="str">
            <v xml:space="preserve"> </v>
          </cell>
          <cell r="AE152" t="str">
            <v xml:space="preserve"> </v>
          </cell>
          <cell r="AF152" t="str">
            <v xml:space="preserve"> </v>
          </cell>
          <cell r="AG152" t="str">
            <v xml:space="preserve"> </v>
          </cell>
        </row>
        <row r="158">
          <cell r="C158" t="str">
            <v>0+</v>
          </cell>
          <cell r="D158" t="str">
            <v>1+</v>
          </cell>
          <cell r="E158" t="str">
            <v>2+</v>
          </cell>
          <cell r="F158" t="str">
            <v>3+</v>
          </cell>
          <cell r="G158" t="str">
            <v>4+</v>
          </cell>
          <cell r="H158" t="str">
            <v>5+</v>
          </cell>
          <cell r="I158" t="str">
            <v>6+</v>
          </cell>
          <cell r="J158" t="str">
            <v>7+</v>
          </cell>
          <cell r="K158" t="str">
            <v>8+</v>
          </cell>
          <cell r="L158" t="str">
            <v>9+</v>
          </cell>
          <cell r="M158" t="str">
            <v>10+</v>
          </cell>
          <cell r="N158" t="str">
            <v>11+</v>
          </cell>
          <cell r="O158" t="str">
            <v>12+</v>
          </cell>
          <cell r="P158" t="str">
            <v>13+</v>
          </cell>
          <cell r="Q158" t="str">
            <v>14+</v>
          </cell>
          <cell r="R158" t="str">
            <v>15+</v>
          </cell>
          <cell r="S158" t="str">
            <v>16+</v>
          </cell>
          <cell r="T158" t="str">
            <v>17+</v>
          </cell>
          <cell r="U158" t="str">
            <v>18+</v>
          </cell>
          <cell r="V158" t="str">
            <v>19+</v>
          </cell>
          <cell r="W158" t="str">
            <v>20+</v>
          </cell>
          <cell r="X158" t="str">
            <v>21+</v>
          </cell>
          <cell r="Y158" t="str">
            <v>22+</v>
          </cell>
          <cell r="Z158" t="str">
            <v>23+</v>
          </cell>
          <cell r="AA158" t="str">
            <v>24+</v>
          </cell>
          <cell r="AB158" t="str">
            <v>25+</v>
          </cell>
          <cell r="AC158" t="str">
            <v>26+</v>
          </cell>
          <cell r="AD158" t="str">
            <v>27+</v>
          </cell>
          <cell r="AE158" t="str">
            <v>28+</v>
          </cell>
          <cell r="AF158" t="str">
            <v>29+</v>
          </cell>
          <cell r="AG158" t="str">
            <v>30+</v>
          </cell>
        </row>
        <row r="160">
          <cell r="C160">
            <v>1</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cell r="N160" t="str">
            <v xml:space="preserve"> </v>
          </cell>
          <cell r="O160" t="str">
            <v xml:space="preserve"> </v>
          </cell>
          <cell r="P160" t="str">
            <v xml:space="preserve"> </v>
          </cell>
          <cell r="Q160" t="str">
            <v xml:space="preserve"> </v>
          </cell>
          <cell r="R160" t="str">
            <v xml:space="preserve"> </v>
          </cell>
          <cell r="S160" t="str">
            <v xml:space="preserve"> </v>
          </cell>
          <cell r="T160" t="str">
            <v xml:space="preserve"> </v>
          </cell>
          <cell r="U160" t="str">
            <v xml:space="preserve"> </v>
          </cell>
          <cell r="V160" t="str">
            <v xml:space="preserve"> </v>
          </cell>
          <cell r="W160" t="str">
            <v xml:space="preserve"> </v>
          </cell>
          <cell r="X160" t="str">
            <v xml:space="preserve"> </v>
          </cell>
          <cell r="Y160" t="str">
            <v xml:space="preserve"> </v>
          </cell>
          <cell r="Z160" t="str">
            <v xml:space="preserve"> </v>
          </cell>
          <cell r="AA160" t="str">
            <v xml:space="preserve"> </v>
          </cell>
          <cell r="AB160" t="str">
            <v xml:space="preserve"> </v>
          </cell>
          <cell r="AC160" t="str">
            <v xml:space="preserve"> </v>
          </cell>
          <cell r="AD160" t="str">
            <v xml:space="preserve"> </v>
          </cell>
          <cell r="AE160" t="str">
            <v xml:space="preserve"> </v>
          </cell>
          <cell r="AF160" t="str">
            <v xml:space="preserve"> </v>
          </cell>
          <cell r="AG160" t="str">
            <v xml:space="preserve"> </v>
          </cell>
        </row>
        <row r="166">
          <cell r="C166" t="str">
            <v>0+</v>
          </cell>
          <cell r="D166" t="str">
            <v>1+</v>
          </cell>
          <cell r="E166" t="str">
            <v>2+</v>
          </cell>
          <cell r="F166" t="str">
            <v>3+</v>
          </cell>
          <cell r="G166" t="str">
            <v>4+</v>
          </cell>
          <cell r="H166" t="str">
            <v>5+</v>
          </cell>
          <cell r="I166" t="str">
            <v>6+</v>
          </cell>
          <cell r="J166" t="str">
            <v>7+</v>
          </cell>
          <cell r="K166" t="str">
            <v>8+</v>
          </cell>
          <cell r="L166" t="str">
            <v>9+</v>
          </cell>
          <cell r="M166" t="str">
            <v>10+</v>
          </cell>
          <cell r="N166" t="str">
            <v>11+</v>
          </cell>
          <cell r="O166" t="str">
            <v>12+</v>
          </cell>
          <cell r="P166" t="str">
            <v>13+</v>
          </cell>
          <cell r="Q166" t="str">
            <v>14+</v>
          </cell>
          <cell r="R166" t="str">
            <v>15+</v>
          </cell>
          <cell r="S166" t="str">
            <v>16+</v>
          </cell>
          <cell r="T166" t="str">
            <v>17+</v>
          </cell>
          <cell r="U166" t="str">
            <v>18+</v>
          </cell>
          <cell r="V166" t="str">
            <v>19+</v>
          </cell>
          <cell r="W166" t="str">
            <v>20+</v>
          </cell>
          <cell r="X166" t="str">
            <v>21+</v>
          </cell>
          <cell r="Y166" t="str">
            <v>22+</v>
          </cell>
          <cell r="Z166" t="str">
            <v>23+</v>
          </cell>
          <cell r="AA166" t="str">
            <v>24+</v>
          </cell>
          <cell r="AB166" t="str">
            <v>25+</v>
          </cell>
          <cell r="AC166" t="str">
            <v>26+</v>
          </cell>
          <cell r="AD166" t="str">
            <v>27+</v>
          </cell>
          <cell r="AE166" t="str">
            <v>28+</v>
          </cell>
          <cell r="AF166" t="str">
            <v>29+</v>
          </cell>
          <cell r="AG166" t="str">
            <v>30+</v>
          </cell>
        </row>
        <row r="168">
          <cell r="C168">
            <v>1</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cell r="N168" t="str">
            <v xml:space="preserve"> </v>
          </cell>
          <cell r="O168" t="str">
            <v xml:space="preserve"> </v>
          </cell>
          <cell r="P168" t="str">
            <v xml:space="preserve"> </v>
          </cell>
          <cell r="Q168" t="str">
            <v xml:space="preserve"> </v>
          </cell>
          <cell r="R168" t="str">
            <v xml:space="preserve"> </v>
          </cell>
          <cell r="S168" t="str">
            <v xml:space="preserve"> </v>
          </cell>
          <cell r="T168" t="str">
            <v xml:space="preserve"> </v>
          </cell>
          <cell r="U168" t="str">
            <v xml:space="preserve"> </v>
          </cell>
          <cell r="V168" t="str">
            <v xml:space="preserve"> </v>
          </cell>
          <cell r="W168" t="str">
            <v xml:space="preserve"> </v>
          </cell>
          <cell r="X168" t="str">
            <v xml:space="preserve"> </v>
          </cell>
          <cell r="Y168" t="str">
            <v xml:space="preserve"> </v>
          </cell>
          <cell r="Z168" t="str">
            <v xml:space="preserve"> </v>
          </cell>
          <cell r="AA168" t="str">
            <v xml:space="preserve"> </v>
          </cell>
          <cell r="AB168" t="str">
            <v xml:space="preserve"> </v>
          </cell>
          <cell r="AC168" t="str">
            <v xml:space="preserve"> </v>
          </cell>
          <cell r="AD168" t="str">
            <v xml:space="preserve"> </v>
          </cell>
          <cell r="AE168" t="str">
            <v xml:space="preserve"> </v>
          </cell>
          <cell r="AF168" t="str">
            <v xml:space="preserve"> </v>
          </cell>
          <cell r="AG168" t="str">
            <v xml:space="preserve"> </v>
          </cell>
        </row>
        <row r="174">
          <cell r="C174" t="str">
            <v>0+</v>
          </cell>
          <cell r="D174" t="str">
            <v>1+</v>
          </cell>
          <cell r="E174" t="str">
            <v>2+</v>
          </cell>
          <cell r="F174" t="str">
            <v>3+</v>
          </cell>
          <cell r="G174" t="str">
            <v>4+</v>
          </cell>
          <cell r="H174" t="str">
            <v>5+</v>
          </cell>
          <cell r="I174" t="str">
            <v>6+</v>
          </cell>
          <cell r="J174" t="str">
            <v>7+</v>
          </cell>
          <cell r="K174" t="str">
            <v>8+</v>
          </cell>
          <cell r="L174" t="str">
            <v>9+</v>
          </cell>
          <cell r="M174" t="str">
            <v>10+</v>
          </cell>
          <cell r="N174" t="str">
            <v>11+</v>
          </cell>
          <cell r="O174" t="str">
            <v>12+</v>
          </cell>
          <cell r="P174" t="str">
            <v>13+</v>
          </cell>
          <cell r="Q174" t="str">
            <v>14+</v>
          </cell>
          <cell r="R174" t="str">
            <v>15+</v>
          </cell>
          <cell r="S174" t="str">
            <v>16+</v>
          </cell>
          <cell r="T174" t="str">
            <v>17+</v>
          </cell>
          <cell r="U174" t="str">
            <v>18+</v>
          </cell>
          <cell r="V174" t="str">
            <v>19+</v>
          </cell>
          <cell r="W174" t="str">
            <v>20+</v>
          </cell>
          <cell r="X174" t="str">
            <v>21+</v>
          </cell>
          <cell r="Y174" t="str">
            <v>22+</v>
          </cell>
          <cell r="Z174" t="str">
            <v>23+</v>
          </cell>
          <cell r="AA174" t="str">
            <v>24+</v>
          </cell>
          <cell r="AB174" t="str">
            <v>25+</v>
          </cell>
          <cell r="AC174" t="str">
            <v>26+</v>
          </cell>
          <cell r="AD174" t="str">
            <v>27+</v>
          </cell>
          <cell r="AE174" t="str">
            <v>28+</v>
          </cell>
          <cell r="AF174" t="str">
            <v>29+</v>
          </cell>
          <cell r="AG174" t="str">
            <v>30+</v>
          </cell>
        </row>
        <row r="176">
          <cell r="C176">
            <v>1</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cell r="N176" t="str">
            <v xml:space="preserve"> </v>
          </cell>
          <cell r="O176" t="str">
            <v xml:space="preserve"> </v>
          </cell>
          <cell r="P176" t="str">
            <v xml:space="preserve"> </v>
          </cell>
          <cell r="Q176" t="str">
            <v xml:space="preserve"> </v>
          </cell>
          <cell r="R176" t="str">
            <v xml:space="preserve"> </v>
          </cell>
          <cell r="S176" t="str">
            <v xml:space="preserve"> </v>
          </cell>
          <cell r="T176" t="str">
            <v xml:space="preserve"> </v>
          </cell>
          <cell r="U176" t="str">
            <v xml:space="preserve"> </v>
          </cell>
          <cell r="V176" t="str">
            <v xml:space="preserve"> </v>
          </cell>
          <cell r="W176" t="str">
            <v xml:space="preserve"> </v>
          </cell>
          <cell r="X176" t="str">
            <v xml:space="preserve"> </v>
          </cell>
          <cell r="Y176" t="str">
            <v xml:space="preserve"> </v>
          </cell>
          <cell r="Z176" t="str">
            <v xml:space="preserve"> </v>
          </cell>
          <cell r="AA176" t="str">
            <v xml:space="preserve"> </v>
          </cell>
          <cell r="AB176" t="str">
            <v xml:space="preserve"> </v>
          </cell>
          <cell r="AC176" t="str">
            <v xml:space="preserve"> </v>
          </cell>
          <cell r="AD176" t="str">
            <v xml:space="preserve"> </v>
          </cell>
          <cell r="AE176" t="str">
            <v xml:space="preserve"> </v>
          </cell>
          <cell r="AF176" t="str">
            <v xml:space="preserve"> </v>
          </cell>
          <cell r="AG176" t="str">
            <v xml:space="preserve"> </v>
          </cell>
        </row>
        <row r="182">
          <cell r="C182" t="str">
            <v>0+</v>
          </cell>
          <cell r="D182" t="str">
            <v>1+</v>
          </cell>
          <cell r="E182" t="str">
            <v>2+</v>
          </cell>
          <cell r="F182" t="str">
            <v>3+</v>
          </cell>
          <cell r="G182" t="str">
            <v>4+</v>
          </cell>
          <cell r="H182" t="str">
            <v>5+</v>
          </cell>
          <cell r="I182" t="str">
            <v>6+</v>
          </cell>
          <cell r="J182" t="str">
            <v>7+</v>
          </cell>
          <cell r="K182" t="str">
            <v>8+</v>
          </cell>
          <cell r="L182" t="str">
            <v>9+</v>
          </cell>
          <cell r="M182" t="str">
            <v>10+</v>
          </cell>
          <cell r="N182" t="str">
            <v>11+</v>
          </cell>
          <cell r="O182" t="str">
            <v>12+</v>
          </cell>
          <cell r="P182" t="str">
            <v>13+</v>
          </cell>
          <cell r="Q182" t="str">
            <v>14+</v>
          </cell>
          <cell r="R182" t="str">
            <v>15+</v>
          </cell>
          <cell r="S182" t="str">
            <v>16+</v>
          </cell>
          <cell r="T182" t="str">
            <v>17+</v>
          </cell>
          <cell r="U182" t="str">
            <v>18+</v>
          </cell>
          <cell r="V182" t="str">
            <v>19+</v>
          </cell>
          <cell r="W182" t="str">
            <v>20+</v>
          </cell>
          <cell r="X182" t="str">
            <v>21+</v>
          </cell>
          <cell r="Y182" t="str">
            <v>22+</v>
          </cell>
          <cell r="Z182" t="str">
            <v>23+</v>
          </cell>
          <cell r="AA182" t="str">
            <v>24+</v>
          </cell>
          <cell r="AB182" t="str">
            <v>25+</v>
          </cell>
          <cell r="AC182" t="str">
            <v>26+</v>
          </cell>
          <cell r="AD182" t="str">
            <v>27+</v>
          </cell>
          <cell r="AE182" t="str">
            <v>28+</v>
          </cell>
          <cell r="AF182" t="str">
            <v>29+</v>
          </cell>
          <cell r="AG182" t="str">
            <v>30+</v>
          </cell>
        </row>
        <row r="184">
          <cell r="C184">
            <v>1</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cell r="N184" t="str">
            <v xml:space="preserve"> </v>
          </cell>
          <cell r="O184" t="str">
            <v xml:space="preserve"> </v>
          </cell>
          <cell r="P184" t="str">
            <v xml:space="preserve"> </v>
          </cell>
          <cell r="Q184" t="str">
            <v xml:space="preserve"> </v>
          </cell>
          <cell r="R184" t="str">
            <v xml:space="preserve"> </v>
          </cell>
          <cell r="S184" t="str">
            <v xml:space="preserve"> </v>
          </cell>
          <cell r="T184" t="str">
            <v xml:space="preserve"> </v>
          </cell>
          <cell r="U184" t="str">
            <v xml:space="preserve"> </v>
          </cell>
          <cell r="V184" t="str">
            <v xml:space="preserve"> </v>
          </cell>
          <cell r="W184" t="str">
            <v xml:space="preserve"> </v>
          </cell>
          <cell r="X184" t="str">
            <v xml:space="preserve"> </v>
          </cell>
          <cell r="Y184" t="str">
            <v xml:space="preserve"> </v>
          </cell>
          <cell r="Z184" t="str">
            <v xml:space="preserve"> </v>
          </cell>
          <cell r="AA184" t="str">
            <v xml:space="preserve"> </v>
          </cell>
          <cell r="AB184" t="str">
            <v xml:space="preserve"> </v>
          </cell>
          <cell r="AC184" t="str">
            <v xml:space="preserve"> </v>
          </cell>
          <cell r="AD184" t="str">
            <v xml:space="preserve"> </v>
          </cell>
          <cell r="AE184" t="str">
            <v xml:space="preserve"> </v>
          </cell>
          <cell r="AF184" t="str">
            <v xml:space="preserve"> </v>
          </cell>
          <cell r="AG184" t="str">
            <v xml:space="preserve"> </v>
          </cell>
        </row>
        <row r="190">
          <cell r="C190" t="str">
            <v>0+</v>
          </cell>
          <cell r="D190" t="str">
            <v>1+</v>
          </cell>
          <cell r="E190" t="str">
            <v>2+</v>
          </cell>
          <cell r="F190" t="str">
            <v>3+</v>
          </cell>
          <cell r="G190" t="str">
            <v>4+</v>
          </cell>
          <cell r="H190" t="str">
            <v>5+</v>
          </cell>
          <cell r="I190" t="str">
            <v>6+</v>
          </cell>
          <cell r="J190" t="str">
            <v>7+</v>
          </cell>
          <cell r="K190" t="str">
            <v>8+</v>
          </cell>
          <cell r="L190" t="str">
            <v>9+</v>
          </cell>
          <cell r="M190" t="str">
            <v>10+</v>
          </cell>
          <cell r="N190" t="str">
            <v>11+</v>
          </cell>
          <cell r="O190" t="str">
            <v>12+</v>
          </cell>
          <cell r="P190" t="str">
            <v>13+</v>
          </cell>
          <cell r="Q190" t="str">
            <v>14+</v>
          </cell>
          <cell r="R190" t="str">
            <v>15+</v>
          </cell>
          <cell r="S190" t="str">
            <v>16+</v>
          </cell>
          <cell r="T190" t="str">
            <v>17+</v>
          </cell>
          <cell r="U190" t="str">
            <v>18+</v>
          </cell>
          <cell r="V190" t="str">
            <v>19+</v>
          </cell>
          <cell r="W190" t="str">
            <v>20+</v>
          </cell>
          <cell r="X190" t="str">
            <v>21+</v>
          </cell>
          <cell r="Y190" t="str">
            <v>22+</v>
          </cell>
          <cell r="Z190" t="str">
            <v>23+</v>
          </cell>
          <cell r="AA190" t="str">
            <v>24+</v>
          </cell>
          <cell r="AB190" t="str">
            <v>25+</v>
          </cell>
          <cell r="AC190" t="str">
            <v>26+</v>
          </cell>
          <cell r="AD190" t="str">
            <v>27+</v>
          </cell>
          <cell r="AE190" t="str">
            <v>28+</v>
          </cell>
          <cell r="AF190" t="str">
            <v>29+</v>
          </cell>
          <cell r="AG190" t="str">
            <v>30+</v>
          </cell>
        </row>
        <row r="192">
          <cell r="C192">
            <v>1</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cell r="N192" t="str">
            <v xml:space="preserve"> </v>
          </cell>
          <cell r="O192" t="str">
            <v xml:space="preserve"> </v>
          </cell>
          <cell r="P192" t="str">
            <v xml:space="preserve"> </v>
          </cell>
          <cell r="Q192" t="str">
            <v xml:space="preserve"> </v>
          </cell>
          <cell r="R192" t="str">
            <v xml:space="preserve"> </v>
          </cell>
          <cell r="S192" t="str">
            <v xml:space="preserve"> </v>
          </cell>
          <cell r="T192" t="str">
            <v xml:space="preserve"> </v>
          </cell>
          <cell r="U192" t="str">
            <v xml:space="preserve"> </v>
          </cell>
          <cell r="V192" t="str">
            <v xml:space="preserve"> </v>
          </cell>
          <cell r="W192" t="str">
            <v xml:space="preserve"> </v>
          </cell>
          <cell r="X192" t="str">
            <v xml:space="preserve"> </v>
          </cell>
          <cell r="Y192" t="str">
            <v xml:space="preserve"> </v>
          </cell>
          <cell r="Z192" t="str">
            <v xml:space="preserve"> </v>
          </cell>
          <cell r="AA192" t="str">
            <v xml:space="preserve"> </v>
          </cell>
          <cell r="AB192" t="str">
            <v xml:space="preserve"> </v>
          </cell>
          <cell r="AC192" t="str">
            <v xml:space="preserve"> </v>
          </cell>
          <cell r="AD192" t="str">
            <v xml:space="preserve"> </v>
          </cell>
          <cell r="AE192" t="str">
            <v xml:space="preserve"> </v>
          </cell>
          <cell r="AF192" t="str">
            <v xml:space="preserve"> </v>
          </cell>
          <cell r="AG192" t="str">
            <v xml:space="preserve"> </v>
          </cell>
        </row>
        <row r="198">
          <cell r="C198" t="str">
            <v>0+</v>
          </cell>
          <cell r="D198" t="str">
            <v>1+</v>
          </cell>
          <cell r="E198" t="str">
            <v>2+</v>
          </cell>
          <cell r="F198" t="str">
            <v>3+</v>
          </cell>
          <cell r="G198" t="str">
            <v>4+</v>
          </cell>
          <cell r="H198" t="str">
            <v>5+</v>
          </cell>
          <cell r="I198" t="str">
            <v>6+</v>
          </cell>
          <cell r="J198" t="str">
            <v>7+</v>
          </cell>
          <cell r="K198" t="str">
            <v>8+</v>
          </cell>
          <cell r="L198" t="str">
            <v>9+</v>
          </cell>
          <cell r="M198" t="str">
            <v>10+</v>
          </cell>
          <cell r="N198" t="str">
            <v>11+</v>
          </cell>
          <cell r="O198" t="str">
            <v>12+</v>
          </cell>
          <cell r="P198" t="str">
            <v>13+</v>
          </cell>
          <cell r="Q198" t="str">
            <v>14+</v>
          </cell>
          <cell r="R198" t="str">
            <v>15+</v>
          </cell>
          <cell r="S198" t="str">
            <v>16+</v>
          </cell>
          <cell r="T198" t="str">
            <v>17+</v>
          </cell>
          <cell r="U198" t="str">
            <v>18+</v>
          </cell>
          <cell r="V198" t="str">
            <v>19+</v>
          </cell>
          <cell r="W198" t="str">
            <v>20+</v>
          </cell>
          <cell r="X198" t="str">
            <v>21+</v>
          </cell>
          <cell r="Y198" t="str">
            <v>22+</v>
          </cell>
          <cell r="Z198" t="str">
            <v>23+</v>
          </cell>
          <cell r="AA198" t="str">
            <v>24+</v>
          </cell>
          <cell r="AB198" t="str">
            <v>25+</v>
          </cell>
          <cell r="AC198" t="str">
            <v>26+</v>
          </cell>
          <cell r="AD198" t="str">
            <v>27+</v>
          </cell>
          <cell r="AE198" t="str">
            <v>28+</v>
          </cell>
          <cell r="AF198" t="str">
            <v>29+</v>
          </cell>
          <cell r="AG198" t="str">
            <v>30+</v>
          </cell>
        </row>
        <row r="200">
          <cell r="C200">
            <v>1</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cell r="N200" t="str">
            <v xml:space="preserve"> </v>
          </cell>
          <cell r="O200" t="str">
            <v xml:space="preserve"> </v>
          </cell>
          <cell r="P200" t="str">
            <v xml:space="preserve"> </v>
          </cell>
          <cell r="Q200" t="str">
            <v xml:space="preserve"> </v>
          </cell>
          <cell r="R200" t="str">
            <v xml:space="preserve"> </v>
          </cell>
          <cell r="S200" t="str">
            <v xml:space="preserve"> </v>
          </cell>
          <cell r="T200" t="str">
            <v xml:space="preserve"> </v>
          </cell>
          <cell r="U200" t="str">
            <v xml:space="preserve"> </v>
          </cell>
          <cell r="V200" t="str">
            <v xml:space="preserve"> </v>
          </cell>
          <cell r="W200" t="str">
            <v xml:space="preserve"> </v>
          </cell>
          <cell r="X200" t="str">
            <v xml:space="preserve"> </v>
          </cell>
          <cell r="Y200" t="str">
            <v xml:space="preserve"> </v>
          </cell>
          <cell r="Z200" t="str">
            <v xml:space="preserve"> </v>
          </cell>
          <cell r="AA200" t="str">
            <v xml:space="preserve"> </v>
          </cell>
          <cell r="AB200" t="str">
            <v xml:space="preserve"> </v>
          </cell>
          <cell r="AC200" t="str">
            <v xml:space="preserve"> </v>
          </cell>
          <cell r="AD200" t="str">
            <v xml:space="preserve"> </v>
          </cell>
          <cell r="AE200" t="str">
            <v xml:space="preserve"> </v>
          </cell>
          <cell r="AF200" t="str">
            <v xml:space="preserve"> </v>
          </cell>
          <cell r="AG200" t="str">
            <v xml:space="preserve"> </v>
          </cell>
        </row>
        <row r="206">
          <cell r="C206" t="str">
            <v>0+</v>
          </cell>
          <cell r="D206" t="str">
            <v>1+</v>
          </cell>
          <cell r="E206" t="str">
            <v>2+</v>
          </cell>
          <cell r="F206" t="str">
            <v>3+</v>
          </cell>
          <cell r="G206" t="str">
            <v>4+</v>
          </cell>
          <cell r="H206" t="str">
            <v>5+</v>
          </cell>
          <cell r="I206" t="str">
            <v>6+</v>
          </cell>
          <cell r="J206" t="str">
            <v>7+</v>
          </cell>
          <cell r="K206" t="str">
            <v>8+</v>
          </cell>
          <cell r="L206" t="str">
            <v>9+</v>
          </cell>
          <cell r="M206" t="str">
            <v>10+</v>
          </cell>
          <cell r="N206" t="str">
            <v>11+</v>
          </cell>
          <cell r="O206" t="str">
            <v>12+</v>
          </cell>
          <cell r="P206" t="str">
            <v>13+</v>
          </cell>
          <cell r="Q206" t="str">
            <v>14+</v>
          </cell>
          <cell r="R206" t="str">
            <v>15+</v>
          </cell>
          <cell r="S206" t="str">
            <v>16+</v>
          </cell>
          <cell r="T206" t="str">
            <v>17+</v>
          </cell>
          <cell r="U206" t="str">
            <v>18+</v>
          </cell>
          <cell r="V206" t="str">
            <v>19+</v>
          </cell>
          <cell r="W206" t="str">
            <v>20+</v>
          </cell>
          <cell r="X206" t="str">
            <v>21+</v>
          </cell>
          <cell r="Y206" t="str">
            <v>22+</v>
          </cell>
          <cell r="Z206" t="str">
            <v>23+</v>
          </cell>
          <cell r="AA206" t="str">
            <v>24+</v>
          </cell>
          <cell r="AB206" t="str">
            <v>25+</v>
          </cell>
          <cell r="AC206" t="str">
            <v>26+</v>
          </cell>
          <cell r="AD206" t="str">
            <v>27+</v>
          </cell>
          <cell r="AE206" t="str">
            <v>28+</v>
          </cell>
          <cell r="AF206" t="str">
            <v>29+</v>
          </cell>
          <cell r="AG206" t="str">
            <v>30+</v>
          </cell>
        </row>
        <row r="208">
          <cell r="C208">
            <v>1</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cell r="N208" t="str">
            <v xml:space="preserve"> </v>
          </cell>
          <cell r="O208" t="str">
            <v xml:space="preserve"> </v>
          </cell>
          <cell r="P208" t="str">
            <v xml:space="preserve"> </v>
          </cell>
          <cell r="Q208" t="str">
            <v xml:space="preserve"> </v>
          </cell>
          <cell r="R208" t="str">
            <v xml:space="preserve"> </v>
          </cell>
          <cell r="S208" t="str">
            <v xml:space="preserve"> </v>
          </cell>
          <cell r="T208" t="str">
            <v xml:space="preserve"> </v>
          </cell>
          <cell r="U208" t="str">
            <v xml:space="preserve"> </v>
          </cell>
          <cell r="V208" t="str">
            <v xml:space="preserve"> </v>
          </cell>
          <cell r="W208" t="str">
            <v xml:space="preserve"> </v>
          </cell>
          <cell r="X208" t="str">
            <v xml:space="preserve"> </v>
          </cell>
          <cell r="Y208" t="str">
            <v xml:space="preserve"> </v>
          </cell>
          <cell r="Z208" t="str">
            <v xml:space="preserve"> </v>
          </cell>
          <cell r="AA208" t="str">
            <v xml:space="preserve"> </v>
          </cell>
          <cell r="AB208" t="str">
            <v xml:space="preserve"> </v>
          </cell>
          <cell r="AC208" t="str">
            <v xml:space="preserve"> </v>
          </cell>
          <cell r="AD208" t="str">
            <v xml:space="preserve"> </v>
          </cell>
          <cell r="AE208" t="str">
            <v xml:space="preserve"> </v>
          </cell>
          <cell r="AF208" t="str">
            <v xml:space="preserve"> </v>
          </cell>
          <cell r="AG208" t="str">
            <v xml:space="preserve"> </v>
          </cell>
        </row>
        <row r="214">
          <cell r="C214" t="str">
            <v>0+</v>
          </cell>
          <cell r="D214" t="str">
            <v>1+</v>
          </cell>
          <cell r="E214" t="str">
            <v>2+</v>
          </cell>
          <cell r="F214" t="str">
            <v>3+</v>
          </cell>
          <cell r="G214" t="str">
            <v>4+</v>
          </cell>
          <cell r="H214" t="str">
            <v>5+</v>
          </cell>
          <cell r="I214" t="str">
            <v>6+</v>
          </cell>
          <cell r="J214" t="str">
            <v>7+</v>
          </cell>
          <cell r="K214" t="str">
            <v>8+</v>
          </cell>
          <cell r="L214" t="str">
            <v>9+</v>
          </cell>
          <cell r="M214" t="str">
            <v>10+</v>
          </cell>
          <cell r="N214" t="str">
            <v>11+</v>
          </cell>
          <cell r="O214" t="str">
            <v>12+</v>
          </cell>
          <cell r="P214" t="str">
            <v>13+</v>
          </cell>
          <cell r="Q214" t="str">
            <v>14+</v>
          </cell>
          <cell r="R214" t="str">
            <v>15+</v>
          </cell>
          <cell r="S214" t="str">
            <v>16+</v>
          </cell>
          <cell r="T214" t="str">
            <v>17+</v>
          </cell>
          <cell r="U214" t="str">
            <v>18+</v>
          </cell>
          <cell r="V214" t="str">
            <v>19+</v>
          </cell>
          <cell r="W214" t="str">
            <v>20+</v>
          </cell>
          <cell r="X214" t="str">
            <v>21+</v>
          </cell>
          <cell r="Y214" t="str">
            <v>22+</v>
          </cell>
          <cell r="Z214" t="str">
            <v>23+</v>
          </cell>
          <cell r="AA214" t="str">
            <v>24+</v>
          </cell>
          <cell r="AB214" t="str">
            <v>25+</v>
          </cell>
          <cell r="AC214" t="str">
            <v>26+</v>
          </cell>
          <cell r="AD214" t="str">
            <v>27+</v>
          </cell>
          <cell r="AE214" t="str">
            <v>28+</v>
          </cell>
          <cell r="AF214" t="str">
            <v>29+</v>
          </cell>
          <cell r="AG214" t="str">
            <v>30+</v>
          </cell>
        </row>
        <row r="216">
          <cell r="C216">
            <v>1</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cell r="N216" t="str">
            <v xml:space="preserve"> </v>
          </cell>
          <cell r="O216" t="str">
            <v xml:space="preserve"> </v>
          </cell>
          <cell r="P216" t="str">
            <v xml:space="preserve"> </v>
          </cell>
          <cell r="Q216" t="str">
            <v xml:space="preserve"> </v>
          </cell>
          <cell r="R216" t="str">
            <v xml:space="preserve"> </v>
          </cell>
          <cell r="S216" t="str">
            <v xml:space="preserve"> </v>
          </cell>
          <cell r="T216" t="str">
            <v xml:space="preserve"> </v>
          </cell>
          <cell r="U216" t="str">
            <v xml:space="preserve"> </v>
          </cell>
          <cell r="V216" t="str">
            <v xml:space="preserve"> </v>
          </cell>
          <cell r="W216" t="str">
            <v xml:space="preserve"> </v>
          </cell>
          <cell r="X216" t="str">
            <v xml:space="preserve"> </v>
          </cell>
          <cell r="Y216" t="str">
            <v xml:space="preserve"> </v>
          </cell>
          <cell r="Z216" t="str">
            <v xml:space="preserve"> </v>
          </cell>
          <cell r="AA216" t="str">
            <v xml:space="preserve"> </v>
          </cell>
          <cell r="AB216" t="str">
            <v xml:space="preserve"> </v>
          </cell>
          <cell r="AC216" t="str">
            <v xml:space="preserve"> </v>
          </cell>
          <cell r="AD216" t="str">
            <v xml:space="preserve"> </v>
          </cell>
          <cell r="AE216" t="str">
            <v xml:space="preserve"> </v>
          </cell>
          <cell r="AF216" t="str">
            <v xml:space="preserve"> </v>
          </cell>
          <cell r="AG216" t="str">
            <v xml:space="preserve"> </v>
          </cell>
        </row>
        <row r="222">
          <cell r="C222" t="str">
            <v>0+</v>
          </cell>
          <cell r="D222" t="str">
            <v>1+</v>
          </cell>
          <cell r="E222" t="str">
            <v>2+</v>
          </cell>
          <cell r="F222" t="str">
            <v>3+</v>
          </cell>
          <cell r="G222" t="str">
            <v>4+</v>
          </cell>
          <cell r="H222" t="str">
            <v>5+</v>
          </cell>
          <cell r="I222" t="str">
            <v>6+</v>
          </cell>
          <cell r="J222" t="str">
            <v>7+</v>
          </cell>
          <cell r="K222" t="str">
            <v>8+</v>
          </cell>
          <cell r="L222" t="str">
            <v>9+</v>
          </cell>
          <cell r="M222" t="str">
            <v>10+</v>
          </cell>
          <cell r="N222" t="str">
            <v>11+</v>
          </cell>
          <cell r="O222" t="str">
            <v>12+</v>
          </cell>
          <cell r="P222" t="str">
            <v>13+</v>
          </cell>
          <cell r="Q222" t="str">
            <v>14+</v>
          </cell>
          <cell r="R222" t="str">
            <v>15+</v>
          </cell>
          <cell r="S222" t="str">
            <v>16+</v>
          </cell>
          <cell r="T222" t="str">
            <v>17+</v>
          </cell>
          <cell r="U222" t="str">
            <v>18+</v>
          </cell>
          <cell r="V222" t="str">
            <v>19+</v>
          </cell>
          <cell r="W222" t="str">
            <v>20+</v>
          </cell>
          <cell r="X222" t="str">
            <v>21+</v>
          </cell>
          <cell r="Y222" t="str">
            <v>22+</v>
          </cell>
          <cell r="Z222" t="str">
            <v>23+</v>
          </cell>
          <cell r="AA222" t="str">
            <v>24+</v>
          </cell>
          <cell r="AB222" t="str">
            <v>25+</v>
          </cell>
          <cell r="AC222" t="str">
            <v>26+</v>
          </cell>
          <cell r="AD222" t="str">
            <v>27+</v>
          </cell>
          <cell r="AE222" t="str">
            <v>28+</v>
          </cell>
          <cell r="AF222" t="str">
            <v>29+</v>
          </cell>
          <cell r="AG222" t="str">
            <v>30+</v>
          </cell>
        </row>
        <row r="224">
          <cell r="C224">
            <v>1</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cell r="N224" t="str">
            <v xml:space="preserve"> </v>
          </cell>
          <cell r="O224" t="str">
            <v xml:space="preserve"> </v>
          </cell>
          <cell r="P224" t="str">
            <v xml:space="preserve"> </v>
          </cell>
          <cell r="Q224" t="str">
            <v xml:space="preserve"> </v>
          </cell>
          <cell r="R224" t="str">
            <v xml:space="preserve"> </v>
          </cell>
          <cell r="S224" t="str">
            <v xml:space="preserve"> </v>
          </cell>
          <cell r="T224" t="str">
            <v xml:space="preserve"> </v>
          </cell>
          <cell r="U224" t="str">
            <v xml:space="preserve"> </v>
          </cell>
          <cell r="V224" t="str">
            <v xml:space="preserve"> </v>
          </cell>
          <cell r="W224" t="str">
            <v xml:space="preserve"> </v>
          </cell>
          <cell r="X224" t="str">
            <v xml:space="preserve"> </v>
          </cell>
          <cell r="Y224" t="str">
            <v xml:space="preserve"> </v>
          </cell>
          <cell r="Z224" t="str">
            <v xml:space="preserve"> </v>
          </cell>
          <cell r="AA224" t="str">
            <v xml:space="preserve"> </v>
          </cell>
          <cell r="AB224" t="str">
            <v xml:space="preserve"> </v>
          </cell>
          <cell r="AC224" t="str">
            <v xml:space="preserve"> </v>
          </cell>
          <cell r="AD224" t="str">
            <v xml:space="preserve"> </v>
          </cell>
          <cell r="AE224" t="str">
            <v xml:space="preserve"> </v>
          </cell>
          <cell r="AF224" t="str">
            <v xml:space="preserve"> </v>
          </cell>
          <cell r="AG224" t="str">
            <v xml:space="preserve"> </v>
          </cell>
        </row>
        <row r="230">
          <cell r="C230" t="str">
            <v>0+</v>
          </cell>
          <cell r="D230" t="str">
            <v>1+</v>
          </cell>
          <cell r="E230" t="str">
            <v>2+</v>
          </cell>
          <cell r="F230" t="str">
            <v>3+</v>
          </cell>
          <cell r="G230" t="str">
            <v>4+</v>
          </cell>
          <cell r="H230" t="str">
            <v>5+</v>
          </cell>
          <cell r="I230" t="str">
            <v>6+</v>
          </cell>
          <cell r="J230" t="str">
            <v>7+</v>
          </cell>
          <cell r="K230" t="str">
            <v>8+</v>
          </cell>
          <cell r="L230" t="str">
            <v>9+</v>
          </cell>
          <cell r="M230" t="str">
            <v>10+</v>
          </cell>
          <cell r="N230" t="str">
            <v>11+</v>
          </cell>
          <cell r="O230" t="str">
            <v>12+</v>
          </cell>
          <cell r="P230" t="str">
            <v>13+</v>
          </cell>
          <cell r="Q230" t="str">
            <v>14+</v>
          </cell>
          <cell r="R230" t="str">
            <v>15+</v>
          </cell>
          <cell r="S230" t="str">
            <v>16+</v>
          </cell>
          <cell r="T230" t="str">
            <v>17+</v>
          </cell>
          <cell r="U230" t="str">
            <v>18+</v>
          </cell>
          <cell r="V230" t="str">
            <v>19+</v>
          </cell>
          <cell r="W230" t="str">
            <v>20+</v>
          </cell>
          <cell r="X230" t="str">
            <v>21+</v>
          </cell>
          <cell r="Y230" t="str">
            <v>22+</v>
          </cell>
          <cell r="Z230" t="str">
            <v>23+</v>
          </cell>
          <cell r="AA230" t="str">
            <v>24+</v>
          </cell>
          <cell r="AB230" t="str">
            <v>25+</v>
          </cell>
          <cell r="AC230" t="str">
            <v>26+</v>
          </cell>
          <cell r="AD230" t="str">
            <v>27+</v>
          </cell>
          <cell r="AE230" t="str">
            <v>28+</v>
          </cell>
          <cell r="AF230" t="str">
            <v>29+</v>
          </cell>
          <cell r="AG230" t="str">
            <v>30+</v>
          </cell>
        </row>
        <row r="232">
          <cell r="C232">
            <v>1</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cell r="N232" t="str">
            <v xml:space="preserve"> </v>
          </cell>
          <cell r="O232" t="str">
            <v xml:space="preserve"> </v>
          </cell>
          <cell r="P232" t="str">
            <v xml:space="preserve"> </v>
          </cell>
          <cell r="Q232" t="str">
            <v xml:space="preserve"> </v>
          </cell>
          <cell r="R232" t="str">
            <v xml:space="preserve"> </v>
          </cell>
          <cell r="S232" t="str">
            <v xml:space="preserve"> </v>
          </cell>
          <cell r="T232" t="str">
            <v xml:space="preserve"> </v>
          </cell>
          <cell r="U232" t="str">
            <v xml:space="preserve"> </v>
          </cell>
          <cell r="V232" t="str">
            <v xml:space="preserve"> </v>
          </cell>
          <cell r="W232" t="str">
            <v xml:space="preserve"> </v>
          </cell>
          <cell r="X232" t="str">
            <v xml:space="preserve"> </v>
          </cell>
          <cell r="Y232" t="str">
            <v xml:space="preserve"> </v>
          </cell>
          <cell r="Z232" t="str">
            <v xml:space="preserve"> </v>
          </cell>
          <cell r="AA232" t="str">
            <v xml:space="preserve"> </v>
          </cell>
          <cell r="AB232" t="str">
            <v xml:space="preserve"> </v>
          </cell>
          <cell r="AC232" t="str">
            <v xml:space="preserve"> </v>
          </cell>
          <cell r="AD232" t="str">
            <v xml:space="preserve"> </v>
          </cell>
          <cell r="AE232" t="str">
            <v xml:space="preserve"> </v>
          </cell>
          <cell r="AF232" t="str">
            <v xml:space="preserve"> </v>
          </cell>
          <cell r="AG232" t="str">
            <v xml:space="preserve"> </v>
          </cell>
        </row>
        <row r="238">
          <cell r="C238" t="str">
            <v>0+</v>
          </cell>
          <cell r="D238" t="str">
            <v>1+</v>
          </cell>
          <cell r="E238" t="str">
            <v>2+</v>
          </cell>
          <cell r="F238" t="str">
            <v>3+</v>
          </cell>
          <cell r="G238" t="str">
            <v>4+</v>
          </cell>
          <cell r="H238" t="str">
            <v>5+</v>
          </cell>
          <cell r="I238" t="str">
            <v>6+</v>
          </cell>
          <cell r="J238" t="str">
            <v>7+</v>
          </cell>
          <cell r="K238" t="str">
            <v>8+</v>
          </cell>
          <cell r="L238" t="str">
            <v>9+</v>
          </cell>
          <cell r="M238" t="str">
            <v>10+</v>
          </cell>
          <cell r="N238" t="str">
            <v>11+</v>
          </cell>
          <cell r="O238" t="str">
            <v>12+</v>
          </cell>
          <cell r="P238" t="str">
            <v>13+</v>
          </cell>
          <cell r="Q238" t="str">
            <v>14+</v>
          </cell>
          <cell r="R238" t="str">
            <v>15+</v>
          </cell>
          <cell r="S238" t="str">
            <v>16+</v>
          </cell>
          <cell r="T238" t="str">
            <v>17+</v>
          </cell>
          <cell r="U238" t="str">
            <v>18+</v>
          </cell>
          <cell r="V238" t="str">
            <v>19+</v>
          </cell>
          <cell r="W238" t="str">
            <v>20+</v>
          </cell>
          <cell r="X238" t="str">
            <v>21+</v>
          </cell>
          <cell r="Y238" t="str">
            <v>22+</v>
          </cell>
          <cell r="Z238" t="str">
            <v>23+</v>
          </cell>
          <cell r="AA238" t="str">
            <v>24+</v>
          </cell>
          <cell r="AB238" t="str">
            <v>25+</v>
          </cell>
          <cell r="AC238" t="str">
            <v>26+</v>
          </cell>
          <cell r="AD238" t="str">
            <v>27+</v>
          </cell>
          <cell r="AE238" t="str">
            <v>28+</v>
          </cell>
          <cell r="AF238" t="str">
            <v>29+</v>
          </cell>
          <cell r="AG238" t="str">
            <v>30+</v>
          </cell>
        </row>
        <row r="240">
          <cell r="C240">
            <v>1</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cell r="N240" t="str">
            <v xml:space="preserve"> </v>
          </cell>
          <cell r="O240" t="str">
            <v xml:space="preserve"> </v>
          </cell>
          <cell r="P240" t="str">
            <v xml:space="preserve"> </v>
          </cell>
          <cell r="Q240" t="str">
            <v xml:space="preserve"> </v>
          </cell>
          <cell r="R240" t="str">
            <v xml:space="preserve"> </v>
          </cell>
          <cell r="S240" t="str">
            <v xml:space="preserve"> </v>
          </cell>
          <cell r="T240" t="str">
            <v xml:space="preserve"> </v>
          </cell>
          <cell r="U240" t="str">
            <v xml:space="preserve"> </v>
          </cell>
          <cell r="V240" t="str">
            <v xml:space="preserve"> </v>
          </cell>
          <cell r="W240" t="str">
            <v xml:space="preserve"> </v>
          </cell>
          <cell r="X240" t="str">
            <v xml:space="preserve"> </v>
          </cell>
          <cell r="Y240" t="str">
            <v xml:space="preserve"> </v>
          </cell>
          <cell r="Z240" t="str">
            <v xml:space="preserve"> </v>
          </cell>
          <cell r="AA240" t="str">
            <v xml:space="preserve"> </v>
          </cell>
          <cell r="AB240" t="str">
            <v xml:space="preserve"> </v>
          </cell>
          <cell r="AC240" t="str">
            <v xml:space="preserve"> </v>
          </cell>
          <cell r="AD240" t="str">
            <v xml:space="preserve"> </v>
          </cell>
          <cell r="AE240" t="str">
            <v xml:space="preserve"> </v>
          </cell>
          <cell r="AF240" t="str">
            <v xml:space="preserve"> </v>
          </cell>
          <cell r="AG240" t="str">
            <v xml:space="preserve"> </v>
          </cell>
        </row>
      </sheetData>
      <sheetData sheetId="5">
        <row r="3">
          <cell r="B3">
            <v>1.2</v>
          </cell>
          <cell r="C3">
            <v>0.1</v>
          </cell>
        </row>
        <row r="4">
          <cell r="B4">
            <v>1.22</v>
          </cell>
          <cell r="C4">
            <v>0.1111111111111111</v>
          </cell>
        </row>
        <row r="5">
          <cell r="B5">
            <v>1.25</v>
          </cell>
          <cell r="C5">
            <v>0.14285714285714285</v>
          </cell>
        </row>
        <row r="6">
          <cell r="B6">
            <v>1.286</v>
          </cell>
          <cell r="C6">
            <v>0.16666666666666666</v>
          </cell>
        </row>
        <row r="7">
          <cell r="B7">
            <v>1.33</v>
          </cell>
          <cell r="C7">
            <v>0.2</v>
          </cell>
        </row>
        <row r="8">
          <cell r="B8">
            <v>1.3640000000000001</v>
          </cell>
          <cell r="C8">
            <v>0.25</v>
          </cell>
        </row>
        <row r="9">
          <cell r="B9">
            <v>1.4</v>
          </cell>
          <cell r="C9">
            <v>0.2857142857142857</v>
          </cell>
        </row>
        <row r="10">
          <cell r="B10">
            <v>1.5</v>
          </cell>
          <cell r="C10">
            <v>0.36363636363636365</v>
          </cell>
        </row>
        <row r="11">
          <cell r="B11">
            <v>1.5329999999999999</v>
          </cell>
          <cell r="C11">
            <v>0.4</v>
          </cell>
        </row>
        <row r="12">
          <cell r="B12">
            <v>1.571</v>
          </cell>
          <cell r="C12">
            <v>0.4</v>
          </cell>
        </row>
        <row r="13">
          <cell r="B13">
            <v>1.615</v>
          </cell>
          <cell r="C13">
            <v>0.5</v>
          </cell>
        </row>
        <row r="14">
          <cell r="B14">
            <v>1.66</v>
          </cell>
          <cell r="C14">
            <v>0.53333333333333333</v>
          </cell>
        </row>
        <row r="15">
          <cell r="B15">
            <v>1.72</v>
          </cell>
          <cell r="C15">
            <v>0.5714285714285714</v>
          </cell>
        </row>
        <row r="16">
          <cell r="B16">
            <v>1.8</v>
          </cell>
          <cell r="C16">
            <v>0.61538461538461542</v>
          </cell>
        </row>
        <row r="17">
          <cell r="B17">
            <v>1.83</v>
          </cell>
          <cell r="C17">
            <v>0.66666666666666663</v>
          </cell>
        </row>
        <row r="18">
          <cell r="B18">
            <v>1.91</v>
          </cell>
          <cell r="C18">
            <v>0.72727272727272729</v>
          </cell>
        </row>
        <row r="19">
          <cell r="B19">
            <v>2</v>
          </cell>
          <cell r="C19">
            <v>0.83333333333333337</v>
          </cell>
        </row>
        <row r="20">
          <cell r="B20">
            <v>2.1</v>
          </cell>
          <cell r="C20">
            <v>0.90909090909090906</v>
          </cell>
        </row>
        <row r="21">
          <cell r="B21">
            <v>2.2000000000000002</v>
          </cell>
          <cell r="C21">
            <v>1</v>
          </cell>
        </row>
        <row r="22">
          <cell r="B22">
            <v>2.25</v>
          </cell>
          <cell r="C22">
            <v>1</v>
          </cell>
        </row>
        <row r="23">
          <cell r="B23">
            <v>2.375</v>
          </cell>
          <cell r="C23">
            <v>1.1000000000000001</v>
          </cell>
        </row>
        <row r="24">
          <cell r="B24">
            <v>2.5</v>
          </cell>
          <cell r="C24">
            <v>1.2</v>
          </cell>
        </row>
        <row r="25">
          <cell r="B25">
            <v>2.625</v>
          </cell>
          <cell r="C25">
            <v>1.25</v>
          </cell>
        </row>
        <row r="26">
          <cell r="B26">
            <v>2.75</v>
          </cell>
          <cell r="C26">
            <v>1.375</v>
          </cell>
        </row>
        <row r="27">
          <cell r="B27">
            <v>3</v>
          </cell>
          <cell r="C27">
            <v>1.5</v>
          </cell>
        </row>
        <row r="28">
          <cell r="B28">
            <v>3.25</v>
          </cell>
          <cell r="C28">
            <v>1.75</v>
          </cell>
        </row>
        <row r="29">
          <cell r="B29">
            <v>3.5</v>
          </cell>
          <cell r="C29">
            <v>1.875</v>
          </cell>
        </row>
        <row r="30">
          <cell r="B30">
            <v>3.75</v>
          </cell>
          <cell r="C30">
            <v>2</v>
          </cell>
        </row>
        <row r="31">
          <cell r="B31">
            <v>4</v>
          </cell>
          <cell r="C31">
            <v>2.25</v>
          </cell>
        </row>
        <row r="32">
          <cell r="B32">
            <v>4.33</v>
          </cell>
          <cell r="C32">
            <v>2.5</v>
          </cell>
        </row>
        <row r="33">
          <cell r="B33">
            <v>4.5</v>
          </cell>
          <cell r="C33">
            <v>2.75</v>
          </cell>
        </row>
        <row r="34">
          <cell r="B34">
            <v>5</v>
          </cell>
          <cell r="C34">
            <v>3</v>
          </cell>
        </row>
        <row r="35">
          <cell r="B35">
            <v>5.5</v>
          </cell>
          <cell r="C35">
            <v>3.5</v>
          </cell>
        </row>
        <row r="36">
          <cell r="B36">
            <v>6</v>
          </cell>
          <cell r="C36">
            <v>4</v>
          </cell>
        </row>
        <row r="37">
          <cell r="B37">
            <v>6.5</v>
          </cell>
          <cell r="C37">
            <v>4.5</v>
          </cell>
        </row>
        <row r="38">
          <cell r="B38">
            <v>7</v>
          </cell>
          <cell r="C38">
            <v>4.5</v>
          </cell>
        </row>
        <row r="39">
          <cell r="B39">
            <v>7.5</v>
          </cell>
          <cell r="C39">
            <v>5</v>
          </cell>
        </row>
        <row r="40">
          <cell r="B40">
            <v>8</v>
          </cell>
          <cell r="C40">
            <v>5.5</v>
          </cell>
        </row>
        <row r="41">
          <cell r="B41">
            <v>8.5</v>
          </cell>
          <cell r="C41">
            <v>6</v>
          </cell>
        </row>
        <row r="42">
          <cell r="B42">
            <v>9</v>
          </cell>
          <cell r="C42">
            <v>6.5</v>
          </cell>
        </row>
        <row r="43">
          <cell r="B43">
            <v>9.5</v>
          </cell>
          <cell r="C43">
            <v>6.5</v>
          </cell>
        </row>
        <row r="44">
          <cell r="B44">
            <v>10</v>
          </cell>
          <cell r="C44">
            <v>7</v>
          </cell>
        </row>
        <row r="45">
          <cell r="B45">
            <v>11</v>
          </cell>
          <cell r="C45">
            <v>7.5</v>
          </cell>
        </row>
        <row r="46">
          <cell r="B46">
            <v>12</v>
          </cell>
          <cell r="C46">
            <v>8</v>
          </cell>
        </row>
        <row r="47">
          <cell r="B47">
            <v>13</v>
          </cell>
          <cell r="C47">
            <v>8.5</v>
          </cell>
        </row>
        <row r="48">
          <cell r="B48">
            <v>15</v>
          </cell>
          <cell r="C48">
            <v>10</v>
          </cell>
        </row>
        <row r="49">
          <cell r="B49">
            <v>17</v>
          </cell>
          <cell r="C49">
            <v>11</v>
          </cell>
        </row>
        <row r="50">
          <cell r="B50">
            <v>19</v>
          </cell>
          <cell r="C50">
            <v>12</v>
          </cell>
        </row>
        <row r="51">
          <cell r="B51">
            <v>21</v>
          </cell>
          <cell r="C51">
            <v>14</v>
          </cell>
        </row>
        <row r="52">
          <cell r="B52">
            <v>23</v>
          </cell>
          <cell r="C52">
            <v>16</v>
          </cell>
        </row>
        <row r="53">
          <cell r="B53">
            <v>26</v>
          </cell>
          <cell r="C53">
            <v>18</v>
          </cell>
        </row>
        <row r="54">
          <cell r="B54">
            <v>29</v>
          </cell>
          <cell r="C54">
            <v>20</v>
          </cell>
        </row>
        <row r="55">
          <cell r="B55">
            <v>34</v>
          </cell>
          <cell r="C55">
            <v>22</v>
          </cell>
        </row>
        <row r="56">
          <cell r="B56">
            <v>40</v>
          </cell>
          <cell r="C56">
            <v>25</v>
          </cell>
        </row>
        <row r="57">
          <cell r="B57">
            <v>46</v>
          </cell>
          <cell r="C57">
            <v>28</v>
          </cell>
        </row>
        <row r="58">
          <cell r="B58">
            <v>51</v>
          </cell>
          <cell r="C58">
            <v>33</v>
          </cell>
        </row>
        <row r="59">
          <cell r="B59">
            <v>56</v>
          </cell>
          <cell r="C59">
            <v>33</v>
          </cell>
        </row>
        <row r="60">
          <cell r="B60">
            <v>61</v>
          </cell>
          <cell r="C60">
            <v>40</v>
          </cell>
        </row>
        <row r="61">
          <cell r="B61">
            <v>67</v>
          </cell>
          <cell r="C61">
            <v>50</v>
          </cell>
        </row>
        <row r="62">
          <cell r="B62">
            <v>71</v>
          </cell>
          <cell r="C62">
            <v>50</v>
          </cell>
        </row>
        <row r="63">
          <cell r="B63">
            <v>76</v>
          </cell>
          <cell r="C63">
            <v>50</v>
          </cell>
        </row>
        <row r="64">
          <cell r="B64">
            <v>81</v>
          </cell>
          <cell r="C64">
            <v>60</v>
          </cell>
        </row>
        <row r="65">
          <cell r="B65">
            <v>86</v>
          </cell>
          <cell r="C65">
            <v>60</v>
          </cell>
        </row>
        <row r="66">
          <cell r="B66">
            <v>91</v>
          </cell>
          <cell r="C66">
            <v>60</v>
          </cell>
        </row>
        <row r="67">
          <cell r="B67">
            <v>96</v>
          </cell>
          <cell r="C67">
            <v>66</v>
          </cell>
        </row>
        <row r="68">
          <cell r="B68">
            <v>101</v>
          </cell>
          <cell r="C68">
            <v>66</v>
          </cell>
        </row>
        <row r="69">
          <cell r="B69">
            <v>111</v>
          </cell>
          <cell r="C69">
            <v>66</v>
          </cell>
        </row>
        <row r="70">
          <cell r="B70">
            <v>116</v>
          </cell>
          <cell r="C70">
            <v>75</v>
          </cell>
        </row>
        <row r="71">
          <cell r="B71">
            <v>126</v>
          </cell>
          <cell r="C71">
            <v>75</v>
          </cell>
        </row>
        <row r="72">
          <cell r="B72">
            <v>136</v>
          </cell>
          <cell r="C72">
            <v>80</v>
          </cell>
        </row>
        <row r="73">
          <cell r="B73">
            <v>141</v>
          </cell>
          <cell r="C73">
            <v>80</v>
          </cell>
        </row>
        <row r="74">
          <cell r="B74">
            <v>146</v>
          </cell>
          <cell r="C74">
            <v>100</v>
          </cell>
        </row>
        <row r="75">
          <cell r="B75">
            <v>151</v>
          </cell>
          <cell r="C75">
            <v>100</v>
          </cell>
        </row>
        <row r="76">
          <cell r="B76">
            <v>201</v>
          </cell>
          <cell r="C76">
            <v>125</v>
          </cell>
        </row>
        <row r="77">
          <cell r="B77">
            <v>251</v>
          </cell>
          <cell r="C77">
            <v>150</v>
          </cell>
        </row>
        <row r="78">
          <cell r="B78">
            <v>301</v>
          </cell>
          <cell r="C78">
            <v>150</v>
          </cell>
        </row>
        <row r="79">
          <cell r="B79">
            <v>351</v>
          </cell>
          <cell r="C79">
            <v>200</v>
          </cell>
        </row>
        <row r="80">
          <cell r="B80">
            <v>401</v>
          </cell>
          <cell r="C80">
            <v>250</v>
          </cell>
        </row>
        <row r="81">
          <cell r="B81">
            <v>451</v>
          </cell>
          <cell r="C81">
            <v>250</v>
          </cell>
        </row>
        <row r="82">
          <cell r="B82">
            <v>501</v>
          </cell>
          <cell r="C82">
            <v>300</v>
          </cell>
        </row>
        <row r="83">
          <cell r="B83">
            <v>551</v>
          </cell>
          <cell r="C83">
            <v>300</v>
          </cell>
        </row>
        <row r="84">
          <cell r="B84">
            <v>601</v>
          </cell>
          <cell r="C84">
            <v>350</v>
          </cell>
        </row>
        <row r="85">
          <cell r="B85">
            <v>651</v>
          </cell>
          <cell r="C85">
            <v>350</v>
          </cell>
        </row>
        <row r="86">
          <cell r="B86">
            <v>701</v>
          </cell>
          <cell r="C86">
            <v>400</v>
          </cell>
        </row>
        <row r="87">
          <cell r="B87">
            <v>751</v>
          </cell>
          <cell r="C87">
            <v>450</v>
          </cell>
        </row>
        <row r="88">
          <cell r="B88">
            <v>801</v>
          </cell>
          <cell r="C88">
            <v>500</v>
          </cell>
        </row>
        <row r="89">
          <cell r="B89">
            <v>851</v>
          </cell>
          <cell r="C89">
            <v>500</v>
          </cell>
        </row>
        <row r="90">
          <cell r="B90">
            <v>901</v>
          </cell>
          <cell r="C90">
            <v>500</v>
          </cell>
        </row>
        <row r="91">
          <cell r="B91">
            <v>951</v>
          </cell>
          <cell r="C91">
            <v>600</v>
          </cell>
        </row>
        <row r="92">
          <cell r="B92">
            <v>1001</v>
          </cell>
          <cell r="C92">
            <v>600</v>
          </cell>
        </row>
        <row r="93">
          <cell r="B93">
            <v>1251</v>
          </cell>
          <cell r="C93">
            <v>750</v>
          </cell>
        </row>
        <row r="94">
          <cell r="B94">
            <v>1501</v>
          </cell>
          <cell r="C94">
            <v>800</v>
          </cell>
        </row>
        <row r="95">
          <cell r="B95">
            <v>1751</v>
          </cell>
          <cell r="C95">
            <v>1000</v>
          </cell>
        </row>
        <row r="96">
          <cell r="B96">
            <v>2001</v>
          </cell>
          <cell r="C96">
            <v>1000</v>
          </cell>
        </row>
        <row r="97">
          <cell r="B97">
            <v>2251</v>
          </cell>
          <cell r="C97">
            <v>1000</v>
          </cell>
        </row>
        <row r="98">
          <cell r="B98">
            <v>2501</v>
          </cell>
          <cell r="C98">
            <v>1000</v>
          </cell>
        </row>
        <row r="99">
          <cell r="B99">
            <v>2551</v>
          </cell>
          <cell r="C99">
            <v>1000</v>
          </cell>
        </row>
        <row r="100">
          <cell r="B100">
            <v>2751</v>
          </cell>
          <cell r="C100">
            <v>1000</v>
          </cell>
        </row>
        <row r="101">
          <cell r="B101">
            <v>3001</v>
          </cell>
          <cell r="C101">
            <v>1000</v>
          </cell>
        </row>
        <row r="102">
          <cell r="B102">
            <v>3501</v>
          </cell>
          <cell r="C102">
            <v>1000</v>
          </cell>
        </row>
        <row r="103">
          <cell r="B103">
            <v>3751</v>
          </cell>
          <cell r="C103">
            <v>1000</v>
          </cell>
        </row>
        <row r="104">
          <cell r="B104">
            <v>4001</v>
          </cell>
          <cell r="C104">
            <v>1000</v>
          </cell>
        </row>
        <row r="105">
          <cell r="B105">
            <v>4501</v>
          </cell>
          <cell r="C105">
            <v>1000</v>
          </cell>
        </row>
        <row r="106">
          <cell r="B106">
            <v>4751</v>
          </cell>
          <cell r="C106">
            <v>1000</v>
          </cell>
        </row>
        <row r="107">
          <cell r="B107">
            <v>5001</v>
          </cell>
          <cell r="C107">
            <v>1000</v>
          </cell>
        </row>
        <row r="108">
          <cell r="B108">
            <v>5501</v>
          </cell>
          <cell r="C108">
            <v>1000</v>
          </cell>
        </row>
        <row r="109">
          <cell r="B109">
            <v>6001</v>
          </cell>
          <cell r="C109">
            <v>1000</v>
          </cell>
        </row>
        <row r="110">
          <cell r="B110">
            <v>6501</v>
          </cell>
          <cell r="C110">
            <v>1000</v>
          </cell>
        </row>
        <row r="111">
          <cell r="B111">
            <v>7001</v>
          </cell>
          <cell r="C111">
            <v>1000</v>
          </cell>
        </row>
        <row r="112">
          <cell r="B112">
            <v>7501</v>
          </cell>
          <cell r="C112">
            <v>1000</v>
          </cell>
        </row>
        <row r="113">
          <cell r="B113">
            <v>8001</v>
          </cell>
          <cell r="C113">
            <v>1000</v>
          </cell>
        </row>
        <row r="114">
          <cell r="B114">
            <v>8501</v>
          </cell>
          <cell r="C114">
            <v>1000</v>
          </cell>
        </row>
        <row r="115">
          <cell r="B115">
            <v>9001</v>
          </cell>
          <cell r="C115">
            <v>1000</v>
          </cell>
        </row>
        <row r="116">
          <cell r="B116">
            <v>9501</v>
          </cell>
          <cell r="C116">
            <v>1000</v>
          </cell>
        </row>
        <row r="117">
          <cell r="B117">
            <v>10001</v>
          </cell>
          <cell r="C117">
            <v>1000</v>
          </cell>
        </row>
        <row r="118">
          <cell r="B118">
            <v>10501</v>
          </cell>
          <cell r="C118">
            <v>1000</v>
          </cell>
        </row>
      </sheetData>
      <sheetData sheetId="6" refreshError="1"/>
      <sheetData sheetId="7" refreshError="1"/>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ranslate"/>
      <sheetName val="Ranking"/>
      <sheetName val="Output"/>
      <sheetName val="Output2"/>
      <sheetName val="Passes"/>
      <sheetName val="Price"/>
      <sheetName val="Upload"/>
      <sheetName val="1"/>
      <sheetName val="2"/>
      <sheetName val="3"/>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C3" t="str">
            <v>FOOTBALL</v>
          </cell>
        </row>
        <row r="6">
          <cell r="C6" t="str">
            <v>|West Ham United| |v| |Arsenal|</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9.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31"/>
  <sheetViews>
    <sheetView tabSelected="1" zoomScale="80" zoomScaleNormal="80" workbookViewId="0">
      <selection activeCell="E9" sqref="E9"/>
    </sheetView>
  </sheetViews>
  <sheetFormatPr defaultColWidth="9.140625" defaultRowHeight="15.75" x14ac:dyDescent="0.25"/>
  <cols>
    <col min="1" max="1" width="4.42578125" style="1" customWidth="1"/>
    <col min="2" max="2" width="42.42578125" style="1" customWidth="1"/>
    <col min="3" max="3" width="9.140625" style="1"/>
    <col min="4" max="4" width="43.42578125" style="1" bestFit="1" customWidth="1"/>
    <col min="5" max="5" width="11.42578125" style="1" customWidth="1"/>
    <col min="6" max="19" width="9.140625" style="1"/>
    <col min="20" max="20" width="0" style="1" hidden="1" customWidth="1"/>
    <col min="21" max="21" width="9.140625" style="1"/>
    <col min="22" max="22" width="0" style="1" hidden="1" customWidth="1"/>
    <col min="23" max="16384" width="9.140625" style="1"/>
  </cols>
  <sheetData>
    <row r="1" spans="2:22" ht="16.5" customHeight="1" x14ac:dyDescent="0.25"/>
    <row r="2" spans="2:22" ht="16.5" customHeight="1" x14ac:dyDescent="0.25">
      <c r="B2" s="3" t="s">
        <v>7</v>
      </c>
      <c r="D2" s="3" t="s">
        <v>15</v>
      </c>
      <c r="E2" s="3" t="s">
        <v>173</v>
      </c>
    </row>
    <row r="3" spans="2:22" ht="16.5" customHeight="1" x14ac:dyDescent="0.25">
      <c r="B3" s="71" t="s">
        <v>0</v>
      </c>
      <c r="D3" s="198" t="str">
        <f>'2'!F2</f>
        <v>Combined Player Shot Multiples</v>
      </c>
      <c r="E3" s="219" t="s">
        <v>127</v>
      </c>
      <c r="T3" s="1" t="str">
        <f>SUBSTITUTE(EVENT,"|","")</f>
        <v>Chelsea .v Leeds United</v>
      </c>
      <c r="V3" s="1" t="str">
        <f>SUBSTITUTE(EVENT,"|","")</f>
        <v>Chelsea .v Leeds United</v>
      </c>
    </row>
    <row r="4" spans="2:22" ht="16.5" customHeight="1" x14ac:dyDescent="0.25">
      <c r="D4" s="199" t="str">
        <f>'2'!F3</f>
        <v>Combined Player Tackle Multiples</v>
      </c>
      <c r="E4" s="196" t="s">
        <v>127</v>
      </c>
    </row>
    <row r="5" spans="2:22" ht="16.5" customHeight="1" x14ac:dyDescent="0.25">
      <c r="B5" s="3" t="s">
        <v>8</v>
      </c>
      <c r="D5" s="199" t="str">
        <f>'2'!F4</f>
        <v>1st Half Player Shots On Target</v>
      </c>
      <c r="E5" s="196" t="s">
        <v>127</v>
      </c>
    </row>
    <row r="6" spans="2:22" ht="16.5" customHeight="1" x14ac:dyDescent="0.25">
      <c r="B6" s="71" t="s">
        <v>176</v>
      </c>
      <c r="D6" s="199" t="str">
        <f>'2'!F5</f>
        <v>1st Half Combined Player Shots On Target</v>
      </c>
      <c r="E6" s="196" t="s">
        <v>127</v>
      </c>
    </row>
    <row r="7" spans="2:22" ht="16.5" customHeight="1" x14ac:dyDescent="0.25">
      <c r="B7" s="74"/>
      <c r="D7" s="199" t="str">
        <f>'2'!F6</f>
        <v>Player Shots On Target In Each Half</v>
      </c>
      <c r="E7" s="196" t="s">
        <v>127</v>
      </c>
    </row>
    <row r="8" spans="2:22" ht="16.5" customHeight="1" x14ac:dyDescent="0.25">
      <c r="B8" s="3" t="s">
        <v>9</v>
      </c>
      <c r="D8" s="200" t="s">
        <v>168</v>
      </c>
      <c r="E8" s="197" t="s">
        <v>102</v>
      </c>
    </row>
    <row r="9" spans="2:22" ht="16.5" customHeight="1" x14ac:dyDescent="0.25">
      <c r="B9" s="72">
        <v>44170.833333333336</v>
      </c>
    </row>
    <row r="10" spans="2:22" ht="16.5" customHeight="1" x14ac:dyDescent="0.25"/>
    <row r="11" spans="2:22" ht="16.5" customHeight="1" x14ac:dyDescent="0.25"/>
    <row r="12" spans="2:22" ht="16.5" customHeight="1" x14ac:dyDescent="0.25"/>
    <row r="13" spans="2:22" ht="16.5" customHeight="1" x14ac:dyDescent="0.25"/>
    <row r="14" spans="2:22" ht="16.5" customHeight="1" x14ac:dyDescent="0.25"/>
    <row r="15" spans="2:22" ht="16.5" customHeight="1" x14ac:dyDescent="0.25"/>
    <row r="16" spans="2:22" ht="16.5" customHeight="1" x14ac:dyDescent="0.25"/>
    <row r="17" ht="16.5" customHeight="1" x14ac:dyDescent="0.25"/>
    <row r="18" ht="16.5" customHeight="1" x14ac:dyDescent="0.25"/>
    <row r="19" ht="16.5" customHeight="1" x14ac:dyDescent="0.25"/>
    <row r="20" ht="16.5" customHeight="1" x14ac:dyDescent="0.25"/>
    <row r="21" ht="16.5" customHeight="1" x14ac:dyDescent="0.25"/>
    <row r="22" ht="16.5" customHeight="1" x14ac:dyDescent="0.25"/>
    <row r="23" ht="16.5" customHeight="1" x14ac:dyDescent="0.25"/>
    <row r="24" ht="16.5" customHeight="1" x14ac:dyDescent="0.25"/>
    <row r="25" ht="16.5" customHeight="1" x14ac:dyDescent="0.25"/>
    <row r="26" ht="16.5" customHeight="1" x14ac:dyDescent="0.25"/>
    <row r="27" ht="16.5" customHeight="1" x14ac:dyDescent="0.25"/>
    <row r="28" ht="18" customHeight="1" x14ac:dyDescent="0.25"/>
    <row r="29" ht="18" customHeight="1" x14ac:dyDescent="0.25"/>
    <row r="30" ht="18" customHeight="1" x14ac:dyDescent="0.25"/>
    <row r="31" ht="18" customHeight="1" x14ac:dyDescent="0.25"/>
  </sheetData>
  <conditionalFormatting sqref="E3:E8">
    <cfRule type="containsText" dxfId="12" priority="1" operator="containsText" text="N">
      <formula>NOT(ISERROR(SEARCH("N",E3)))</formula>
    </cfRule>
    <cfRule type="containsText" dxfId="11" priority="2" operator="containsText" text="Y">
      <formula>NOT(ISERROR(SEARCH("Y",E3)))</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9">
          <controlPr defaultSize="0" autoLine="0" autoPict="0" r:id="rId5">
            <anchor moveWithCells="1">
              <from>
                <xdr:col>1</xdr:col>
                <xdr:colOff>19050</xdr:colOff>
                <xdr:row>15</xdr:row>
                <xdr:rowOff>209550</xdr:rowOff>
              </from>
              <to>
                <xdr:col>2</xdr:col>
                <xdr:colOff>152400</xdr:colOff>
                <xdr:row>21</xdr:row>
                <xdr:rowOff>133350</xdr:rowOff>
              </to>
            </anchor>
          </controlPr>
        </control>
      </mc:Choice>
      <mc:Fallback>
        <control shapeId="2051" r:id="rId4" name="CommandButton9"/>
      </mc:Fallback>
    </mc:AlternateContent>
    <mc:AlternateContent xmlns:mc="http://schemas.openxmlformats.org/markup-compatibility/2006">
      <mc:Choice Requires="x14">
        <control shapeId="2049" r:id="rId6" name="CommandButton1">
          <controlPr defaultSize="0" autoLine="0" r:id="rId7">
            <anchor moveWithCells="1">
              <from>
                <xdr:col>1</xdr:col>
                <xdr:colOff>9525</xdr:colOff>
                <xdr:row>10</xdr:row>
                <xdr:rowOff>0</xdr:rowOff>
              </from>
              <to>
                <xdr:col>2</xdr:col>
                <xdr:colOff>180975</xdr:colOff>
                <xdr:row>15</xdr:row>
                <xdr:rowOff>57150</xdr:rowOff>
              </to>
            </anchor>
          </controlPr>
        </control>
      </mc:Choice>
      <mc:Fallback>
        <control shapeId="2049"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Lists!$B$3:$B$13</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B25"/>
  <sheetViews>
    <sheetView workbookViewId="0">
      <selection activeCell="AA21" sqref="AA21"/>
    </sheetView>
  </sheetViews>
  <sheetFormatPr defaultColWidth="9.140625" defaultRowHeight="15" x14ac:dyDescent="0.25"/>
  <cols>
    <col min="1" max="1" width="2.7109375" style="10" customWidth="1"/>
    <col min="2" max="2" width="3.7109375" style="10" customWidth="1"/>
    <col min="3" max="3" width="25.85546875" style="10" customWidth="1"/>
    <col min="4" max="4" width="9.140625" style="10" hidden="1" customWidth="1"/>
    <col min="5" max="5" width="15.7109375" style="10" hidden="1" customWidth="1"/>
    <col min="6" max="12" width="9.140625" style="10" hidden="1" customWidth="1"/>
    <col min="13" max="13" width="21.7109375" style="10" customWidth="1"/>
    <col min="14" max="14" width="0" style="10" hidden="1" customWidth="1"/>
    <col min="15" max="15" width="2.7109375" style="10" customWidth="1"/>
    <col min="16" max="16" width="3.7109375" style="10" customWidth="1"/>
    <col min="17" max="17" width="25.85546875" style="10" customWidth="1"/>
    <col min="18" max="18" width="0" style="10" hidden="1" customWidth="1"/>
    <col min="19" max="19" width="15.7109375" style="10" hidden="1" customWidth="1"/>
    <col min="20" max="26" width="0" style="10" hidden="1" customWidth="1"/>
    <col min="27" max="27" width="21.7109375" style="10" customWidth="1"/>
    <col min="28" max="28" width="0" style="10" hidden="1" customWidth="1"/>
    <col min="29" max="16384" width="9.140625" style="10"/>
  </cols>
  <sheetData>
    <row r="2" spans="2:28" s="6" customFormat="1" ht="24.95" customHeight="1" x14ac:dyDescent="0.25">
      <c r="B2" s="201" t="s">
        <v>10</v>
      </c>
      <c r="C2" s="202"/>
      <c r="D2" s="202"/>
      <c r="E2" s="202"/>
      <c r="F2" s="202"/>
      <c r="G2" s="202"/>
      <c r="H2" s="202"/>
      <c r="I2" s="202"/>
      <c r="J2" s="202"/>
      <c r="K2" s="202"/>
      <c r="L2" s="202"/>
      <c r="M2" s="202"/>
      <c r="N2" s="202"/>
      <c r="P2" s="201" t="s">
        <v>138</v>
      </c>
      <c r="Q2" s="202"/>
      <c r="R2" s="202"/>
      <c r="S2" s="202"/>
      <c r="T2" s="202"/>
      <c r="U2" s="202"/>
      <c r="V2" s="202"/>
      <c r="W2" s="202"/>
      <c r="X2" s="202"/>
      <c r="Y2" s="202"/>
      <c r="Z2" s="202"/>
      <c r="AA2" s="202"/>
      <c r="AB2" s="202"/>
    </row>
    <row r="3" spans="2:28" s="6" customFormat="1" ht="15" customHeight="1" x14ac:dyDescent="0.25">
      <c r="B3" s="7"/>
      <c r="C3" s="8" t="s">
        <v>12</v>
      </c>
      <c r="D3" s="8" t="s">
        <v>11</v>
      </c>
      <c r="E3" s="8" t="s">
        <v>15</v>
      </c>
      <c r="F3" s="9" t="s">
        <v>11</v>
      </c>
      <c r="G3" s="8" t="s">
        <v>16</v>
      </c>
      <c r="H3" s="9" t="s">
        <v>11</v>
      </c>
      <c r="I3" s="8" t="s">
        <v>11</v>
      </c>
      <c r="J3" s="9" t="s">
        <v>11</v>
      </c>
      <c r="K3" s="8" t="s">
        <v>11</v>
      </c>
      <c r="L3" s="9" t="s">
        <v>11</v>
      </c>
      <c r="M3" s="8" t="s">
        <v>13</v>
      </c>
      <c r="N3" s="9" t="s">
        <v>14</v>
      </c>
      <c r="P3" s="7"/>
      <c r="Q3" s="8" t="s">
        <v>12</v>
      </c>
      <c r="R3" s="8" t="s">
        <v>11</v>
      </c>
      <c r="S3" s="8" t="s">
        <v>15</v>
      </c>
      <c r="T3" s="9" t="s">
        <v>11</v>
      </c>
      <c r="U3" s="8" t="s">
        <v>16</v>
      </c>
      <c r="V3" s="9" t="s">
        <v>11</v>
      </c>
      <c r="W3" s="8" t="s">
        <v>11</v>
      </c>
      <c r="X3" s="9" t="s">
        <v>11</v>
      </c>
      <c r="Y3" s="8" t="s">
        <v>11</v>
      </c>
      <c r="Z3" s="9" t="s">
        <v>11</v>
      </c>
      <c r="AA3" s="8" t="s">
        <v>67</v>
      </c>
      <c r="AB3" s="9" t="s">
        <v>14</v>
      </c>
    </row>
    <row r="4" spans="2:28" x14ac:dyDescent="0.25">
      <c r="B4" s="89">
        <v>1</v>
      </c>
      <c r="C4" s="75" t="s">
        <v>177</v>
      </c>
      <c r="D4" s="76"/>
      <c r="E4" s="76" t="s">
        <v>178</v>
      </c>
      <c r="F4" s="76"/>
      <c r="G4" s="77">
        <v>0.25</v>
      </c>
      <c r="H4" s="76" t="s">
        <v>11</v>
      </c>
      <c r="I4" s="76"/>
      <c r="J4" s="76" t="s">
        <v>179</v>
      </c>
      <c r="K4" s="76">
        <v>0</v>
      </c>
      <c r="L4" s="76"/>
      <c r="M4" s="78">
        <v>1.55871</v>
      </c>
      <c r="N4" s="11" t="str">
        <f>IF(E4="","0",IF(E4="Shots on Target","0","1"))</f>
        <v>0</v>
      </c>
      <c r="P4" s="89">
        <v>1</v>
      </c>
      <c r="Q4" s="75" t="s">
        <v>189</v>
      </c>
      <c r="R4" s="76"/>
      <c r="S4" s="76" t="s">
        <v>138</v>
      </c>
      <c r="T4" s="76"/>
      <c r="U4" s="77">
        <v>0.14000000000000001</v>
      </c>
      <c r="V4" s="76" t="s">
        <v>11</v>
      </c>
      <c r="W4" s="76"/>
      <c r="X4" s="76" t="s">
        <v>179</v>
      </c>
      <c r="Y4" s="76">
        <v>0</v>
      </c>
      <c r="Z4" s="76"/>
      <c r="AA4" s="78">
        <v>2.2385999999999999</v>
      </c>
      <c r="AB4" s="11" t="str">
        <f>IF(S4="","0",IF(S4="Tackles","0","1"))</f>
        <v>0</v>
      </c>
    </row>
    <row r="5" spans="2:28" x14ac:dyDescent="0.25">
      <c r="B5" s="90">
        <v>2</v>
      </c>
      <c r="C5" s="75" t="s">
        <v>180</v>
      </c>
      <c r="D5" s="76"/>
      <c r="E5" s="76" t="s">
        <v>178</v>
      </c>
      <c r="F5" s="76"/>
      <c r="G5" s="77">
        <v>0.28999999999999998</v>
      </c>
      <c r="H5" s="76" t="s">
        <v>11</v>
      </c>
      <c r="I5" s="76"/>
      <c r="J5" s="76" t="s">
        <v>179</v>
      </c>
      <c r="K5" s="76">
        <v>0</v>
      </c>
      <c r="L5" s="76"/>
      <c r="M5" s="78">
        <v>1.78227</v>
      </c>
      <c r="N5" s="11" t="str">
        <f t="shared" ref="N5:N23" si="0">IF(E5="","0",IF(E5="Shots on Target","0","1"))</f>
        <v>0</v>
      </c>
      <c r="P5" s="90">
        <v>2</v>
      </c>
      <c r="Q5" s="75" t="s">
        <v>190</v>
      </c>
      <c r="R5" s="76"/>
      <c r="S5" s="76" t="s">
        <v>138</v>
      </c>
      <c r="T5" s="76"/>
      <c r="U5" s="77">
        <v>0.14000000000000001</v>
      </c>
      <c r="V5" s="76" t="s">
        <v>11</v>
      </c>
      <c r="W5" s="76"/>
      <c r="X5" s="76" t="s">
        <v>179</v>
      </c>
      <c r="Y5" s="76">
        <v>0</v>
      </c>
      <c r="Z5" s="76"/>
      <c r="AA5" s="78">
        <v>2.2385999999999999</v>
      </c>
      <c r="AB5" s="11" t="str">
        <f t="shared" ref="AB5:AB23" si="1">IF(S5="","0",IF(S5="Tackles","0","1"))</f>
        <v>0</v>
      </c>
    </row>
    <row r="6" spans="2:28" x14ac:dyDescent="0.25">
      <c r="B6" s="89">
        <v>3</v>
      </c>
      <c r="C6" s="75" t="s">
        <v>181</v>
      </c>
      <c r="D6" s="76"/>
      <c r="E6" s="76" t="s">
        <v>178</v>
      </c>
      <c r="F6" s="76"/>
      <c r="G6" s="77">
        <v>0.23</v>
      </c>
      <c r="H6" s="76" t="s">
        <v>11</v>
      </c>
      <c r="I6" s="76"/>
      <c r="J6" s="76" t="s">
        <v>179</v>
      </c>
      <c r="K6" s="76">
        <v>0</v>
      </c>
      <c r="L6" s="76"/>
      <c r="M6" s="78">
        <v>1.4220900000000001</v>
      </c>
      <c r="N6" s="11" t="str">
        <f t="shared" si="0"/>
        <v>0</v>
      </c>
      <c r="P6" s="89">
        <v>3</v>
      </c>
      <c r="Q6" s="75" t="s">
        <v>183</v>
      </c>
      <c r="R6" s="76"/>
      <c r="S6" s="76" t="s">
        <v>138</v>
      </c>
      <c r="T6" s="76"/>
      <c r="U6" s="77">
        <v>0.16</v>
      </c>
      <c r="V6" s="76" t="s">
        <v>11</v>
      </c>
      <c r="W6" s="76"/>
      <c r="X6" s="76" t="s">
        <v>179</v>
      </c>
      <c r="Y6" s="76">
        <v>0</v>
      </c>
      <c r="Z6" s="76"/>
      <c r="AA6" s="78">
        <v>2.5583999999999998</v>
      </c>
      <c r="AB6" s="11" t="str">
        <f t="shared" si="1"/>
        <v>0</v>
      </c>
    </row>
    <row r="7" spans="2:28" x14ac:dyDescent="0.25">
      <c r="B7" s="90">
        <v>4</v>
      </c>
      <c r="C7" s="75" t="s">
        <v>182</v>
      </c>
      <c r="D7" s="76"/>
      <c r="E7" s="76" t="s">
        <v>178</v>
      </c>
      <c r="F7" s="76"/>
      <c r="G7" s="77">
        <v>0.14000000000000001</v>
      </c>
      <c r="H7" s="76" t="s">
        <v>11</v>
      </c>
      <c r="I7" s="76"/>
      <c r="J7" s="76" t="s">
        <v>179</v>
      </c>
      <c r="K7" s="76">
        <v>0</v>
      </c>
      <c r="L7" s="76"/>
      <c r="M7" s="78">
        <v>0.83835000000000004</v>
      </c>
      <c r="N7" s="11" t="str">
        <f t="shared" si="0"/>
        <v>0</v>
      </c>
      <c r="P7" s="90">
        <v>4</v>
      </c>
      <c r="Q7" s="75" t="s">
        <v>191</v>
      </c>
      <c r="R7" s="76"/>
      <c r="S7" s="76" t="s">
        <v>138</v>
      </c>
      <c r="T7" s="76"/>
      <c r="U7" s="77">
        <v>0.09</v>
      </c>
      <c r="V7" s="76" t="s">
        <v>11</v>
      </c>
      <c r="W7" s="76"/>
      <c r="X7" s="76" t="s">
        <v>179</v>
      </c>
      <c r="Y7" s="76">
        <v>0</v>
      </c>
      <c r="Z7" s="76"/>
      <c r="AA7" s="78">
        <v>1.4391</v>
      </c>
      <c r="AB7" s="11" t="str">
        <f t="shared" si="1"/>
        <v>0</v>
      </c>
    </row>
    <row r="8" spans="2:28" x14ac:dyDescent="0.25">
      <c r="B8" s="89">
        <v>5</v>
      </c>
      <c r="C8" s="75" t="s">
        <v>183</v>
      </c>
      <c r="D8" s="76"/>
      <c r="E8" s="76" t="s">
        <v>178</v>
      </c>
      <c r="F8" s="76"/>
      <c r="G8" s="77">
        <v>0.06</v>
      </c>
      <c r="H8" s="76" t="s">
        <v>11</v>
      </c>
      <c r="I8" s="76"/>
      <c r="J8" s="76" t="s">
        <v>179</v>
      </c>
      <c r="K8" s="76">
        <v>0</v>
      </c>
      <c r="L8" s="76"/>
      <c r="M8" s="78">
        <v>0.37259999999999999</v>
      </c>
      <c r="N8" s="11" t="str">
        <f t="shared" si="0"/>
        <v>0</v>
      </c>
      <c r="P8" s="89">
        <v>5</v>
      </c>
      <c r="Q8" s="75" t="s">
        <v>192</v>
      </c>
      <c r="R8" s="76"/>
      <c r="S8" s="76" t="s">
        <v>138</v>
      </c>
      <c r="T8" s="76"/>
      <c r="U8" s="77">
        <v>0.06</v>
      </c>
      <c r="V8" s="76" t="s">
        <v>11</v>
      </c>
      <c r="W8" s="76"/>
      <c r="X8" s="76" t="s">
        <v>179</v>
      </c>
      <c r="Y8" s="76">
        <v>0</v>
      </c>
      <c r="Z8" s="76"/>
      <c r="AA8" s="78">
        <v>0.95940000000000003</v>
      </c>
      <c r="AB8" s="11" t="str">
        <f t="shared" si="1"/>
        <v>0</v>
      </c>
    </row>
    <row r="9" spans="2:28" x14ac:dyDescent="0.25">
      <c r="B9" s="91">
        <v>1</v>
      </c>
      <c r="C9" s="79" t="s">
        <v>184</v>
      </c>
      <c r="D9" s="80"/>
      <c r="E9" s="80" t="s">
        <v>178</v>
      </c>
      <c r="F9" s="80"/>
      <c r="G9" s="81">
        <v>0.27</v>
      </c>
      <c r="H9" s="80" t="s">
        <v>11</v>
      </c>
      <c r="I9" s="80"/>
      <c r="J9" s="80" t="s">
        <v>179</v>
      </c>
      <c r="K9" s="80">
        <v>0</v>
      </c>
      <c r="L9" s="80"/>
      <c r="M9" s="82">
        <v>0.97648000000000001</v>
      </c>
      <c r="N9" s="11" t="str">
        <f t="shared" si="0"/>
        <v>0</v>
      </c>
      <c r="P9" s="91">
        <v>1</v>
      </c>
      <c r="Q9" s="79" t="s">
        <v>193</v>
      </c>
      <c r="R9" s="80"/>
      <c r="S9" s="80" t="s">
        <v>138</v>
      </c>
      <c r="T9" s="80"/>
      <c r="U9" s="81">
        <v>0.17</v>
      </c>
      <c r="V9" s="80" t="s">
        <v>11</v>
      </c>
      <c r="W9" s="80"/>
      <c r="X9" s="80" t="s">
        <v>179</v>
      </c>
      <c r="Y9" s="80">
        <v>0</v>
      </c>
      <c r="Z9" s="80"/>
      <c r="AA9" s="82">
        <v>2.8967000000000001</v>
      </c>
      <c r="AB9" s="11" t="str">
        <f t="shared" si="1"/>
        <v>0</v>
      </c>
    </row>
    <row r="10" spans="2:28" x14ac:dyDescent="0.25">
      <c r="B10" s="92">
        <v>2</v>
      </c>
      <c r="C10" s="79" t="s">
        <v>185</v>
      </c>
      <c r="D10" s="80"/>
      <c r="E10" s="80" t="s">
        <v>178</v>
      </c>
      <c r="F10" s="80"/>
      <c r="G10" s="81">
        <v>0.2</v>
      </c>
      <c r="H10" s="80" t="s">
        <v>11</v>
      </c>
      <c r="I10" s="80"/>
      <c r="J10" s="80" t="s">
        <v>179</v>
      </c>
      <c r="K10" s="80">
        <v>0</v>
      </c>
      <c r="L10" s="80"/>
      <c r="M10" s="82">
        <v>0.71799999999999997</v>
      </c>
      <c r="N10" s="11" t="str">
        <f t="shared" si="0"/>
        <v>0</v>
      </c>
      <c r="P10" s="92">
        <v>2</v>
      </c>
      <c r="Q10" s="79" t="s">
        <v>187</v>
      </c>
      <c r="R10" s="80"/>
      <c r="S10" s="80" t="s">
        <v>138</v>
      </c>
      <c r="T10" s="80"/>
      <c r="U10" s="81">
        <v>0.14000000000000001</v>
      </c>
      <c r="V10" s="80" t="s">
        <v>11</v>
      </c>
      <c r="W10" s="80"/>
      <c r="X10" s="80" t="s">
        <v>179</v>
      </c>
      <c r="Y10" s="80">
        <v>0</v>
      </c>
      <c r="Z10" s="80"/>
      <c r="AA10" s="82">
        <v>2.4081000000000001</v>
      </c>
      <c r="AB10" s="11" t="str">
        <f t="shared" si="1"/>
        <v>0</v>
      </c>
    </row>
    <row r="11" spans="2:28" x14ac:dyDescent="0.25">
      <c r="B11" s="91">
        <v>3</v>
      </c>
      <c r="C11" s="79" t="s">
        <v>186</v>
      </c>
      <c r="D11" s="80"/>
      <c r="E11" s="80" t="s">
        <v>178</v>
      </c>
      <c r="F11" s="80"/>
      <c r="G11" s="81">
        <v>0.12</v>
      </c>
      <c r="H11" s="80" t="s">
        <v>11</v>
      </c>
      <c r="I11" s="80"/>
      <c r="J11" s="80" t="s">
        <v>179</v>
      </c>
      <c r="K11" s="80">
        <v>0</v>
      </c>
      <c r="L11" s="80"/>
      <c r="M11" s="82">
        <v>0.42362</v>
      </c>
      <c r="N11" s="11" t="str">
        <f t="shared" si="0"/>
        <v>0</v>
      </c>
      <c r="P11" s="91">
        <v>3</v>
      </c>
      <c r="Q11" s="79" t="s">
        <v>194</v>
      </c>
      <c r="R11" s="80"/>
      <c r="S11" s="80" t="s">
        <v>138</v>
      </c>
      <c r="T11" s="80"/>
      <c r="U11" s="81">
        <v>0.12</v>
      </c>
      <c r="V11" s="80" t="s">
        <v>11</v>
      </c>
      <c r="W11" s="80"/>
      <c r="X11" s="80" t="s">
        <v>179</v>
      </c>
      <c r="Y11" s="80">
        <v>0</v>
      </c>
      <c r="Z11" s="80"/>
      <c r="AA11" s="82">
        <v>2.0242</v>
      </c>
      <c r="AB11" s="11" t="str">
        <f t="shared" si="1"/>
        <v>0</v>
      </c>
    </row>
    <row r="12" spans="2:28" x14ac:dyDescent="0.25">
      <c r="B12" s="92">
        <v>4</v>
      </c>
      <c r="C12" s="79" t="s">
        <v>187</v>
      </c>
      <c r="D12" s="80"/>
      <c r="E12" s="80" t="s">
        <v>178</v>
      </c>
      <c r="F12" s="80"/>
      <c r="G12" s="81">
        <v>0.15</v>
      </c>
      <c r="H12" s="80" t="s">
        <v>11</v>
      </c>
      <c r="I12" s="80"/>
      <c r="J12" s="80" t="s">
        <v>179</v>
      </c>
      <c r="K12" s="80">
        <v>0</v>
      </c>
      <c r="L12" s="80"/>
      <c r="M12" s="82">
        <v>0.53849999999999998</v>
      </c>
      <c r="N12" s="11" t="str">
        <f t="shared" si="0"/>
        <v>0</v>
      </c>
      <c r="P12" s="92">
        <v>4</v>
      </c>
      <c r="Q12" s="79" t="s">
        <v>195</v>
      </c>
      <c r="R12" s="80"/>
      <c r="S12" s="80" t="s">
        <v>138</v>
      </c>
      <c r="T12" s="80"/>
      <c r="U12" s="81">
        <v>0.14000000000000001</v>
      </c>
      <c r="V12" s="80" t="s">
        <v>11</v>
      </c>
      <c r="W12" s="80"/>
      <c r="X12" s="80" t="s">
        <v>179</v>
      </c>
      <c r="Y12" s="80">
        <v>0</v>
      </c>
      <c r="Z12" s="80"/>
      <c r="AA12" s="82">
        <v>2.4430000000000001</v>
      </c>
      <c r="AB12" s="11" t="str">
        <f t="shared" si="1"/>
        <v>0</v>
      </c>
    </row>
    <row r="13" spans="2:28" x14ac:dyDescent="0.25">
      <c r="B13" s="91">
        <v>5</v>
      </c>
      <c r="C13" s="79" t="s">
        <v>188</v>
      </c>
      <c r="D13" s="80"/>
      <c r="E13" s="80" t="s">
        <v>178</v>
      </c>
      <c r="F13" s="80"/>
      <c r="G13" s="81">
        <v>0.1</v>
      </c>
      <c r="H13" s="80" t="s">
        <v>11</v>
      </c>
      <c r="I13" s="80"/>
      <c r="J13" s="80" t="s">
        <v>179</v>
      </c>
      <c r="K13" s="80">
        <v>0</v>
      </c>
      <c r="L13" s="80"/>
      <c r="M13" s="82">
        <v>0.34464</v>
      </c>
      <c r="N13" s="11" t="str">
        <f t="shared" si="0"/>
        <v>0</v>
      </c>
      <c r="P13" s="91">
        <v>5</v>
      </c>
      <c r="Q13" s="79" t="s">
        <v>196</v>
      </c>
      <c r="R13" s="80"/>
      <c r="S13" s="80" t="s">
        <v>138</v>
      </c>
      <c r="T13" s="80"/>
      <c r="U13" s="81">
        <v>0.09</v>
      </c>
      <c r="V13" s="80" t="s">
        <v>11</v>
      </c>
      <c r="W13" s="80"/>
      <c r="X13" s="80" t="s">
        <v>179</v>
      </c>
      <c r="Y13" s="80">
        <v>0</v>
      </c>
      <c r="Z13" s="80"/>
      <c r="AA13" s="82">
        <v>1.6053999999999999</v>
      </c>
      <c r="AB13" s="11" t="str">
        <f t="shared" si="1"/>
        <v>0</v>
      </c>
    </row>
    <row r="14" spans="2:28" x14ac:dyDescent="0.25">
      <c r="B14" s="93"/>
      <c r="C14" s="61"/>
      <c r="D14" s="62"/>
      <c r="E14" s="62"/>
      <c r="F14" s="62"/>
      <c r="G14" s="62"/>
      <c r="H14" s="62"/>
      <c r="I14" s="62"/>
      <c r="J14" s="62"/>
      <c r="K14" s="62"/>
      <c r="L14" s="62"/>
      <c r="M14" s="63"/>
      <c r="N14" s="11" t="str">
        <f t="shared" si="0"/>
        <v>0</v>
      </c>
      <c r="P14" s="93"/>
      <c r="Q14" s="61"/>
      <c r="R14" s="62"/>
      <c r="S14" s="62"/>
      <c r="T14" s="62"/>
      <c r="U14" s="62"/>
      <c r="V14" s="62"/>
      <c r="W14" s="62"/>
      <c r="X14" s="62"/>
      <c r="Y14" s="62"/>
      <c r="Z14" s="62"/>
      <c r="AA14" s="63"/>
      <c r="AB14" s="11" t="str">
        <f t="shared" si="1"/>
        <v>0</v>
      </c>
    </row>
    <row r="15" spans="2:28" x14ac:dyDescent="0.25">
      <c r="B15" s="94"/>
      <c r="C15" s="61"/>
      <c r="D15" s="62"/>
      <c r="E15" s="62"/>
      <c r="F15" s="62"/>
      <c r="G15" s="62"/>
      <c r="H15" s="62"/>
      <c r="I15" s="62"/>
      <c r="J15" s="62"/>
      <c r="K15" s="62"/>
      <c r="L15" s="62"/>
      <c r="M15" s="63"/>
      <c r="N15" s="11" t="str">
        <f t="shared" si="0"/>
        <v>0</v>
      </c>
      <c r="P15" s="94"/>
      <c r="Q15" s="61"/>
      <c r="R15" s="62"/>
      <c r="S15" s="62"/>
      <c r="T15" s="62"/>
      <c r="U15" s="62"/>
      <c r="V15" s="62"/>
      <c r="W15" s="62"/>
      <c r="X15" s="62"/>
      <c r="Y15" s="62"/>
      <c r="Z15" s="62"/>
      <c r="AA15" s="63"/>
      <c r="AB15" s="11" t="str">
        <f t="shared" si="1"/>
        <v>0</v>
      </c>
    </row>
    <row r="16" spans="2:28" x14ac:dyDescent="0.25">
      <c r="B16" s="93"/>
      <c r="C16" s="61"/>
      <c r="D16" s="62"/>
      <c r="E16" s="62"/>
      <c r="F16" s="62"/>
      <c r="G16" s="62"/>
      <c r="H16" s="62"/>
      <c r="I16" s="62"/>
      <c r="J16" s="62"/>
      <c r="K16" s="62"/>
      <c r="L16" s="62"/>
      <c r="M16" s="63"/>
      <c r="N16" s="11" t="str">
        <f t="shared" si="0"/>
        <v>0</v>
      </c>
      <c r="P16" s="93"/>
      <c r="Q16" s="61"/>
      <c r="R16" s="62"/>
      <c r="S16" s="62"/>
      <c r="T16" s="62"/>
      <c r="U16" s="62"/>
      <c r="V16" s="62"/>
      <c r="W16" s="62"/>
      <c r="X16" s="62"/>
      <c r="Y16" s="62"/>
      <c r="Z16" s="62"/>
      <c r="AA16" s="63"/>
      <c r="AB16" s="11" t="str">
        <f t="shared" si="1"/>
        <v>0</v>
      </c>
    </row>
    <row r="17" spans="2:28" x14ac:dyDescent="0.25">
      <c r="B17" s="94"/>
      <c r="C17" s="61"/>
      <c r="D17" s="62"/>
      <c r="E17" s="62"/>
      <c r="F17" s="62"/>
      <c r="G17" s="62"/>
      <c r="H17" s="62"/>
      <c r="I17" s="62"/>
      <c r="J17" s="62"/>
      <c r="K17" s="62"/>
      <c r="L17" s="62"/>
      <c r="M17" s="63"/>
      <c r="N17" s="11" t="str">
        <f t="shared" si="0"/>
        <v>0</v>
      </c>
      <c r="P17" s="94"/>
      <c r="Q17" s="61"/>
      <c r="R17" s="62"/>
      <c r="S17" s="62"/>
      <c r="T17" s="62"/>
      <c r="U17" s="62"/>
      <c r="V17" s="62"/>
      <c r="W17" s="62"/>
      <c r="X17" s="62"/>
      <c r="Y17" s="62"/>
      <c r="Z17" s="62"/>
      <c r="AA17" s="63"/>
      <c r="AB17" s="11" t="str">
        <f t="shared" si="1"/>
        <v>0</v>
      </c>
    </row>
    <row r="18" spans="2:28" x14ac:dyDescent="0.25">
      <c r="B18" s="94"/>
      <c r="C18" s="61"/>
      <c r="D18" s="62"/>
      <c r="E18" s="62"/>
      <c r="F18" s="62"/>
      <c r="G18" s="62"/>
      <c r="H18" s="62"/>
      <c r="I18" s="62"/>
      <c r="J18" s="62"/>
      <c r="K18" s="62"/>
      <c r="L18" s="62"/>
      <c r="M18" s="63"/>
      <c r="N18" s="11" t="str">
        <f t="shared" si="0"/>
        <v>0</v>
      </c>
      <c r="P18" s="94"/>
      <c r="Q18" s="61"/>
      <c r="R18" s="62"/>
      <c r="S18" s="62"/>
      <c r="T18" s="62"/>
      <c r="U18" s="62"/>
      <c r="V18" s="62"/>
      <c r="W18" s="62"/>
      <c r="X18" s="62"/>
      <c r="Y18" s="62"/>
      <c r="Z18" s="62"/>
      <c r="AA18" s="63"/>
      <c r="AB18" s="11" t="str">
        <f t="shared" si="1"/>
        <v>0</v>
      </c>
    </row>
    <row r="19" spans="2:28" x14ac:dyDescent="0.25">
      <c r="B19" s="93"/>
      <c r="C19" s="61"/>
      <c r="D19" s="62"/>
      <c r="E19" s="62"/>
      <c r="F19" s="62"/>
      <c r="G19" s="62"/>
      <c r="H19" s="62"/>
      <c r="I19" s="62"/>
      <c r="J19" s="62"/>
      <c r="K19" s="62"/>
      <c r="L19" s="62"/>
      <c r="M19" s="63"/>
      <c r="N19" s="11" t="str">
        <f t="shared" si="0"/>
        <v>0</v>
      </c>
      <c r="P19" s="93"/>
      <c r="Q19" s="61"/>
      <c r="R19" s="62"/>
      <c r="S19" s="62"/>
      <c r="T19" s="62"/>
      <c r="U19" s="62"/>
      <c r="V19" s="62"/>
      <c r="W19" s="62"/>
      <c r="X19" s="62"/>
      <c r="Y19" s="62"/>
      <c r="Z19" s="62"/>
      <c r="AA19" s="63"/>
      <c r="AB19" s="11" t="str">
        <f t="shared" si="1"/>
        <v>0</v>
      </c>
    </row>
    <row r="20" spans="2:28" x14ac:dyDescent="0.25">
      <c r="B20" s="94"/>
      <c r="C20" s="61"/>
      <c r="D20" s="62"/>
      <c r="E20" s="62"/>
      <c r="F20" s="62"/>
      <c r="G20" s="62"/>
      <c r="H20" s="62"/>
      <c r="I20" s="62"/>
      <c r="J20" s="62"/>
      <c r="K20" s="62"/>
      <c r="L20" s="62"/>
      <c r="M20" s="63"/>
      <c r="N20" s="11" t="str">
        <f t="shared" si="0"/>
        <v>0</v>
      </c>
      <c r="P20" s="94"/>
      <c r="Q20" s="61"/>
      <c r="R20" s="62"/>
      <c r="S20" s="62"/>
      <c r="T20" s="62"/>
      <c r="U20" s="62"/>
      <c r="V20" s="62"/>
      <c r="W20" s="62"/>
      <c r="X20" s="62"/>
      <c r="Y20" s="62"/>
      <c r="Z20" s="62"/>
      <c r="AA20" s="63"/>
      <c r="AB20" s="11" t="str">
        <f t="shared" si="1"/>
        <v>0</v>
      </c>
    </row>
    <row r="21" spans="2:28" x14ac:dyDescent="0.25">
      <c r="B21" s="93"/>
      <c r="C21" s="61"/>
      <c r="D21" s="62"/>
      <c r="E21" s="62"/>
      <c r="F21" s="62"/>
      <c r="G21" s="62"/>
      <c r="H21" s="62"/>
      <c r="I21" s="62"/>
      <c r="J21" s="62"/>
      <c r="K21" s="62"/>
      <c r="L21" s="62"/>
      <c r="M21" s="63"/>
      <c r="N21" s="11" t="str">
        <f t="shared" si="0"/>
        <v>0</v>
      </c>
      <c r="P21" s="93"/>
      <c r="Q21" s="61"/>
      <c r="R21" s="62"/>
      <c r="S21" s="62"/>
      <c r="T21" s="62"/>
      <c r="U21" s="62"/>
      <c r="V21" s="62"/>
      <c r="W21" s="62"/>
      <c r="X21" s="62"/>
      <c r="Y21" s="62"/>
      <c r="Z21" s="62"/>
      <c r="AA21" s="63"/>
      <c r="AB21" s="11" t="str">
        <f t="shared" si="1"/>
        <v>0</v>
      </c>
    </row>
    <row r="22" spans="2:28" x14ac:dyDescent="0.25">
      <c r="B22" s="94"/>
      <c r="C22" s="61"/>
      <c r="D22" s="62"/>
      <c r="E22" s="62"/>
      <c r="F22" s="62"/>
      <c r="G22" s="62"/>
      <c r="H22" s="62"/>
      <c r="I22" s="62"/>
      <c r="J22" s="62"/>
      <c r="K22" s="62"/>
      <c r="L22" s="62"/>
      <c r="M22" s="63"/>
      <c r="N22" s="11" t="str">
        <f t="shared" si="0"/>
        <v>0</v>
      </c>
      <c r="P22" s="94"/>
      <c r="Q22" s="61"/>
      <c r="R22" s="62"/>
      <c r="S22" s="62"/>
      <c r="T22" s="62"/>
      <c r="U22" s="62"/>
      <c r="V22" s="62"/>
      <c r="W22" s="62"/>
      <c r="X22" s="62"/>
      <c r="Y22" s="62"/>
      <c r="Z22" s="62"/>
      <c r="AA22" s="63"/>
      <c r="AB22" s="11" t="str">
        <f t="shared" si="1"/>
        <v>0</v>
      </c>
    </row>
    <row r="23" spans="2:28" x14ac:dyDescent="0.25">
      <c r="B23" s="94"/>
      <c r="C23" s="61"/>
      <c r="D23" s="62"/>
      <c r="E23" s="62"/>
      <c r="F23" s="62"/>
      <c r="G23" s="62"/>
      <c r="H23" s="62"/>
      <c r="I23" s="62"/>
      <c r="J23" s="62"/>
      <c r="K23" s="62"/>
      <c r="L23" s="62"/>
      <c r="M23" s="63"/>
      <c r="N23" s="11" t="str">
        <f t="shared" si="0"/>
        <v>0</v>
      </c>
      <c r="P23" s="94"/>
      <c r="Q23" s="61"/>
      <c r="R23" s="62"/>
      <c r="S23" s="62"/>
      <c r="T23" s="62"/>
      <c r="U23" s="62"/>
      <c r="V23" s="62"/>
      <c r="W23" s="62"/>
      <c r="X23" s="62"/>
      <c r="Y23" s="62"/>
      <c r="Z23" s="62"/>
      <c r="AA23" s="63"/>
      <c r="AB23" s="11" t="str">
        <f t="shared" si="1"/>
        <v>0</v>
      </c>
    </row>
    <row r="24" spans="2:28" hidden="1" x14ac:dyDescent="0.25">
      <c r="C24" s="66" t="s">
        <v>68</v>
      </c>
      <c r="N24" s="12">
        <f>COUNTIF(N4:N23,1)</f>
        <v>0</v>
      </c>
      <c r="Q24" s="66" t="s">
        <v>68</v>
      </c>
      <c r="AB24" s="12">
        <f>COUNTIF(AB4:AB23,1)</f>
        <v>0</v>
      </c>
    </row>
    <row r="25" spans="2:28" x14ac:dyDescent="0.25">
      <c r="B25" s="203" t="str">
        <f>IF(N24&gt;0,"WRONG MARKETS COPIED FROM OPTA SHEET","NO ERRORS WITH SHOTS")</f>
        <v>NO ERRORS WITH SHOTS</v>
      </c>
      <c r="C25" s="203"/>
      <c r="D25" s="203"/>
      <c r="E25" s="203"/>
      <c r="F25" s="203"/>
      <c r="G25" s="203"/>
      <c r="H25" s="203"/>
      <c r="I25" s="203"/>
      <c r="J25" s="203"/>
      <c r="K25" s="203"/>
      <c r="L25" s="203"/>
      <c r="M25" s="203"/>
      <c r="N25" s="203"/>
      <c r="P25" s="203" t="str">
        <f>IF(AB24&gt;0,"WRONG MARKETS COPIED FROM OPTA SHEET","NO ERRORS WITH TACKLES")</f>
        <v>NO ERRORS WITH TACKLES</v>
      </c>
      <c r="Q25" s="203"/>
      <c r="R25" s="203"/>
      <c r="S25" s="203"/>
      <c r="T25" s="203"/>
      <c r="U25" s="203"/>
      <c r="V25" s="203"/>
      <c r="W25" s="203"/>
      <c r="X25" s="203"/>
      <c r="Y25" s="203"/>
      <c r="Z25" s="203"/>
      <c r="AA25" s="203"/>
      <c r="AB25" s="203"/>
    </row>
  </sheetData>
  <mergeCells count="4">
    <mergeCell ref="B2:N2"/>
    <mergeCell ref="B25:N25"/>
    <mergeCell ref="P2:AB2"/>
    <mergeCell ref="P25:AB25"/>
  </mergeCells>
  <conditionalFormatting sqref="B25:N25">
    <cfRule type="containsText" dxfId="10" priority="3" operator="containsText" text="WRONG MARKETS COPIED FROM OPTA">
      <formula>NOT(ISERROR(SEARCH("WRONG MARKETS COPIED FROM OPTA",B25)))</formula>
    </cfRule>
    <cfRule type="containsText" dxfId="9" priority="4" operator="containsText" text="NO ERRORS WITH SHOTS">
      <formula>NOT(ISERROR(SEARCH("NO ERRORS WITH SHOTS",B25)))</formula>
    </cfRule>
  </conditionalFormatting>
  <conditionalFormatting sqref="P25:AB25">
    <cfRule type="containsText" dxfId="8" priority="1" operator="containsText" text="WRONG MARKETS COPIED FROM OPTA SHEET">
      <formula>NOT(ISERROR(SEARCH("WRONG MARKETS COPIED FROM OPTA SHEET",P25)))</formula>
    </cfRule>
    <cfRule type="containsText" dxfId="7" priority="2" operator="containsText" text="NO ERRORS WITH TACKLES">
      <formula>NOT(ISERROR(SEARCH("NO ERRORS WITH TACKLES",P25)))</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2">
          <controlPr defaultSize="0" autoLine="0" r:id="rId5">
            <anchor moveWithCells="1">
              <from>
                <xdr:col>28</xdr:col>
                <xdr:colOff>571500</xdr:colOff>
                <xdr:row>5</xdr:row>
                <xdr:rowOff>161925</xdr:rowOff>
              </from>
              <to>
                <xdr:col>33</xdr:col>
                <xdr:colOff>523875</xdr:colOff>
                <xdr:row>11</xdr:row>
                <xdr:rowOff>123825</xdr:rowOff>
              </to>
            </anchor>
          </controlPr>
        </control>
      </mc:Choice>
      <mc:Fallback>
        <control shapeId="1025" r:id="rId4"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AC46"/>
  <sheetViews>
    <sheetView zoomScaleNormal="100" workbookViewId="0">
      <selection activeCell="D15" sqref="D15"/>
    </sheetView>
  </sheetViews>
  <sheetFormatPr defaultColWidth="9.140625" defaultRowHeight="15" x14ac:dyDescent="0.25"/>
  <cols>
    <col min="1" max="1" width="2.7109375" style="23" customWidth="1"/>
    <col min="2" max="7" width="20.7109375" style="23" customWidth="1"/>
    <col min="8" max="8" width="15.140625" style="23" customWidth="1"/>
    <col min="9" max="9" width="15.140625" style="23" hidden="1" customWidth="1"/>
    <col min="10" max="10" width="2.7109375" style="23" customWidth="1"/>
    <col min="11" max="17" width="9.140625" style="23" hidden="1" customWidth="1"/>
    <col min="18" max="18" width="2.7109375" style="23" hidden="1" customWidth="1"/>
    <col min="19" max="20" width="9.140625" style="23" hidden="1" customWidth="1"/>
    <col min="21" max="21" width="2.7109375" style="23" hidden="1" customWidth="1"/>
    <col min="22" max="23" width="14.7109375" style="23" customWidth="1"/>
    <col min="24" max="24" width="2.7109375" style="23" customWidth="1"/>
    <col min="25" max="26" width="9.140625" style="23" hidden="1" customWidth="1"/>
    <col min="27" max="27" width="155.7109375" style="23" customWidth="1"/>
    <col min="28" max="16384" width="9.140625" style="23"/>
  </cols>
  <sheetData>
    <row r="6" spans="2:29" s="14" customFormat="1" ht="15.95" customHeight="1" x14ac:dyDescent="0.25">
      <c r="B6" s="59" t="s">
        <v>17</v>
      </c>
      <c r="C6" s="60" t="s">
        <v>18</v>
      </c>
      <c r="D6" s="60" t="s">
        <v>19</v>
      </c>
      <c r="E6" s="60" t="s">
        <v>20</v>
      </c>
      <c r="F6" s="60" t="s">
        <v>21</v>
      </c>
      <c r="G6" s="60" t="s">
        <v>22</v>
      </c>
      <c r="H6" s="16" t="s">
        <v>23</v>
      </c>
      <c r="I6" s="17" t="s">
        <v>66</v>
      </c>
      <c r="K6" s="15" t="s">
        <v>51</v>
      </c>
      <c r="L6" s="16" t="s">
        <v>52</v>
      </c>
      <c r="M6" s="16" t="s">
        <v>53</v>
      </c>
      <c r="N6" s="16" t="s">
        <v>54</v>
      </c>
      <c r="O6" s="16" t="s">
        <v>55</v>
      </c>
      <c r="P6" s="16" t="s">
        <v>56</v>
      </c>
      <c r="Q6" s="17" t="s">
        <v>62</v>
      </c>
      <c r="R6" s="23"/>
      <c r="S6" s="104" t="s">
        <v>144</v>
      </c>
      <c r="T6" s="103" t="s">
        <v>143</v>
      </c>
      <c r="V6" s="15" t="s">
        <v>57</v>
      </c>
      <c r="W6" s="17" t="s">
        <v>58</v>
      </c>
      <c r="Y6" s="156" t="s">
        <v>59</v>
      </c>
      <c r="Z6" s="156" t="s">
        <v>139</v>
      </c>
      <c r="AA6" s="156" t="s">
        <v>60</v>
      </c>
      <c r="AB6" s="16" t="s">
        <v>140</v>
      </c>
      <c r="AC6" s="156" t="s">
        <v>149</v>
      </c>
    </row>
    <row r="7" spans="2:29" s="14" customFormat="1" ht="15.95" customHeight="1" x14ac:dyDescent="0.25">
      <c r="B7" s="208" t="str">
        <f>ShotsPlayer1</f>
        <v>Timo Werner</v>
      </c>
      <c r="C7" s="212" t="str">
        <f>ShotsPlayer6</f>
        <v>Patrick Bamford</v>
      </c>
      <c r="D7" s="212"/>
      <c r="E7" s="212"/>
      <c r="F7" s="212"/>
      <c r="G7" s="212"/>
      <c r="H7" s="213" t="s">
        <v>30</v>
      </c>
      <c r="I7" s="52">
        <f>IFERROR(SUBSTITUTE(H7,"+","")-1,"")</f>
        <v>4</v>
      </c>
      <c r="K7" s="45">
        <f>IFERROR(INDEX(ShotsRemaining,MATCH('Shots Selections'!B7,ShotsPlayers,0)),"")</f>
        <v>1.55871</v>
      </c>
      <c r="L7" s="47">
        <f>IFERROR(INDEX(ShotsRemaining,MATCH('Shots Selections'!C7,ShotsPlayers,0)),"")</f>
        <v>0.97648000000000001</v>
      </c>
      <c r="M7" s="47" t="str">
        <f>IFERROR(INDEX(ShotsRemaining,MATCH('Shots Selections'!D7,ShotsPlayers,0)),"")</f>
        <v/>
      </c>
      <c r="N7" s="47" t="str">
        <f>IFERROR(INDEX(ShotsRemaining,MATCH('Shots Selections'!E7,ShotsPlayers,0)),"")</f>
        <v/>
      </c>
      <c r="O7" s="47" t="str">
        <f>IFERROR(INDEX(ShotsRemaining,MATCH('Shots Selections'!F7,ShotsPlayers,0)),"")</f>
        <v/>
      </c>
      <c r="P7" s="47" t="str">
        <f>IFERROR(INDEX(ShotsRemaining,MATCH('Shots Selections'!G7,ShotsPlayers,0)),"")</f>
        <v/>
      </c>
      <c r="Q7" s="56">
        <f>SUM(K7:P7)</f>
        <v>2.5351900000000001</v>
      </c>
      <c r="R7" s="23"/>
      <c r="S7" s="100">
        <f>INDEX(Resulting_Shots_Totals,MATCH('Shots Selections'!B7,Resulting_Shots_Players,0))+INDEX(Resulting_Shots_Totals,MATCH('Shots Selections'!C7,Resulting_Shots_Players,0))+INDEX(Resulting_Shots_Totals,MATCH('Shots Selections'!D7,Resulting_Shots_Players,0))+INDEX(Resulting_Shots_Totals,MATCH('Shots Selections'!E7,Resulting_Shots_Players,0))+INDEX(Resulting_Shots_Totals,MATCH('Shots Selections'!F7,Resulting_Shots_Players,0))+INDEX(Resulting_Shots_Totals,MATCH('Shots Selections'!G7,Resulting_Shots_Players,0))</f>
        <v>0</v>
      </c>
      <c r="T7" s="56" t="str">
        <f>IF(I7="","",IF(S7&gt;I7,"W","L"))</f>
        <v>L</v>
      </c>
      <c r="V7" s="44">
        <f>IFERROR(1/(1-_xlfn.POISSON.DIST(I7,Q7,1)),"")</f>
        <v>8.8049259461125722</v>
      </c>
      <c r="W7" s="211">
        <f>IFERROR(INDEX(FractionalPriceLookUp,MATCH('Shots Selections'!V7,DecimalPriceLookUp,1)),"")</f>
        <v>6</v>
      </c>
      <c r="Y7" s="25">
        <f t="shared" ref="Y7:Y28" si="0">6-COUNTBLANK(B7:G7)</f>
        <v>2</v>
      </c>
      <c r="Z7" s="155">
        <f t="shared" ref="Z7:Z46" si="1">LEN(AA7)</f>
        <v>0</v>
      </c>
      <c r="AA7" s="216"/>
      <c r="AB7" s="158" t="str">
        <f>IF(OR(Z7&gt;120,AA7=""),"No","Yes")</f>
        <v>No</v>
      </c>
      <c r="AC7" s="150" t="s">
        <v>141</v>
      </c>
    </row>
    <row r="8" spans="2:29" s="14" customFormat="1" ht="15.95" customHeight="1" x14ac:dyDescent="0.25">
      <c r="B8" s="19" t="str">
        <f>ShotsPlayer1</f>
        <v>Timo Werner</v>
      </c>
      <c r="C8" s="21" t="str">
        <f>ShotsPlayer7</f>
        <v>Raphinha</v>
      </c>
      <c r="D8" s="21"/>
      <c r="E8" s="21"/>
      <c r="F8" s="21"/>
      <c r="G8" s="21"/>
      <c r="H8" s="152" t="s">
        <v>32</v>
      </c>
      <c r="I8" s="52">
        <f t="shared" ref="I8:I46" si="2">IFERROR(SUBSTITUTE(H8,"+","")-1,"")</f>
        <v>6</v>
      </c>
      <c r="K8" s="45">
        <f>IFERROR(INDEX(ShotsRemaining,MATCH('Shots Selections'!B8,ShotsPlayers,0)),"")</f>
        <v>1.55871</v>
      </c>
      <c r="L8" s="47">
        <f>IFERROR(INDEX(ShotsRemaining,MATCH('Shots Selections'!C8,ShotsPlayers,0)),"")</f>
        <v>0.71799999999999997</v>
      </c>
      <c r="M8" s="47" t="str">
        <f>IFERROR(INDEX(ShotsRemaining,MATCH('Shots Selections'!D8,ShotsPlayers,0)),"")</f>
        <v/>
      </c>
      <c r="N8" s="47" t="str">
        <f>IFERROR(INDEX(ShotsRemaining,MATCH('Shots Selections'!E8,ShotsPlayers,0)),"")</f>
        <v/>
      </c>
      <c r="O8" s="47" t="str">
        <f>IFERROR(INDEX(ShotsRemaining,MATCH('Shots Selections'!F8,ShotsPlayers,0)),"")</f>
        <v/>
      </c>
      <c r="P8" s="47" t="str">
        <f>IFERROR(INDEX(ShotsRemaining,MATCH('Shots Selections'!G8,ShotsPlayers,0)),"")</f>
        <v/>
      </c>
      <c r="Q8" s="56">
        <f t="shared" ref="Q8:Q46" si="3">SUM(K8:P8)</f>
        <v>2.27671</v>
      </c>
      <c r="R8" s="23"/>
      <c r="S8" s="100">
        <f>INDEX(Resulting_Shots_Totals,MATCH('Shots Selections'!B8,Resulting_Shots_Players,0))+INDEX(Resulting_Shots_Totals,MATCH('Shots Selections'!C8,Resulting_Shots_Players,0))+INDEX(Resulting_Shots_Totals,MATCH('Shots Selections'!D8,Resulting_Shots_Players,0))+INDEX(Resulting_Shots_Totals,MATCH('Shots Selections'!E8,Resulting_Shots_Players,0))+INDEX(Resulting_Shots_Totals,MATCH('Shots Selections'!F8,Resulting_Shots_Players,0))+INDEX(Resulting_Shots_Totals,MATCH('Shots Selections'!G8,Resulting_Shots_Players,0))</f>
        <v>0</v>
      </c>
      <c r="T8" s="56" t="str">
        <f t="shared" ref="T8:T46" si="4">IF(I8="","",IF(S8&gt;I8,"W","L"))</f>
        <v>L</v>
      </c>
      <c r="V8" s="45">
        <f t="shared" ref="V8:V46" si="5">IFERROR(1/(1-_xlfn.POISSON.DIST(I8,Q8,1)),"")</f>
        <v>112.47619739143605</v>
      </c>
      <c r="W8" s="48">
        <f>IFERROR(INDEX(FractionalPriceLookUp,MATCH('Shots Selections'!V8,DecimalPriceLookUp,1)),"")</f>
        <v>66</v>
      </c>
      <c r="Y8" s="25">
        <f t="shared" si="0"/>
        <v>2</v>
      </c>
      <c r="Z8" s="155">
        <f t="shared" si="1"/>
        <v>0</v>
      </c>
      <c r="AA8" s="217"/>
      <c r="AB8" s="158" t="str">
        <f t="shared" ref="AB8:AB46" si="6">IF(OR(Z8&gt;120,AA8=""),"No","Yes")</f>
        <v>No</v>
      </c>
      <c r="AC8" s="150" t="s">
        <v>141</v>
      </c>
    </row>
    <row r="9" spans="2:29" s="14" customFormat="1" ht="15.95" customHeight="1" x14ac:dyDescent="0.25">
      <c r="B9" s="19" t="str">
        <f>ShotsPlayer2</f>
        <v>Tammy Abraham</v>
      </c>
      <c r="C9" s="21" t="str">
        <f>ShotsPlayer6</f>
        <v>Patrick Bamford</v>
      </c>
      <c r="D9" s="21"/>
      <c r="E9" s="21"/>
      <c r="F9" s="21"/>
      <c r="G9" s="21"/>
      <c r="H9" s="152" t="s">
        <v>30</v>
      </c>
      <c r="I9" s="52">
        <f t="shared" si="2"/>
        <v>4</v>
      </c>
      <c r="K9" s="45">
        <f>IFERROR(INDEX(ShotsRemaining,MATCH('Shots Selections'!B9,ShotsPlayers,0)),"")</f>
        <v>1.78227</v>
      </c>
      <c r="L9" s="47">
        <f>IFERROR(INDEX(ShotsRemaining,MATCH('Shots Selections'!C9,ShotsPlayers,0)),"")</f>
        <v>0.97648000000000001</v>
      </c>
      <c r="M9" s="47" t="str">
        <f>IFERROR(INDEX(ShotsRemaining,MATCH('Shots Selections'!D9,ShotsPlayers,0)),"")</f>
        <v/>
      </c>
      <c r="N9" s="47" t="str">
        <f>IFERROR(INDEX(ShotsRemaining,MATCH('Shots Selections'!E9,ShotsPlayers,0)),"")</f>
        <v/>
      </c>
      <c r="O9" s="47" t="str">
        <f>IFERROR(INDEX(ShotsRemaining,MATCH('Shots Selections'!F9,ShotsPlayers,0)),"")</f>
        <v/>
      </c>
      <c r="P9" s="47" t="str">
        <f>IFERROR(INDEX(ShotsRemaining,MATCH('Shots Selections'!G9,ShotsPlayers,0)),"")</f>
        <v/>
      </c>
      <c r="Q9" s="56">
        <f t="shared" si="3"/>
        <v>2.75875</v>
      </c>
      <c r="R9" s="23"/>
      <c r="S9" s="100">
        <f>INDEX(Resulting_Shots_Totals,MATCH('Shots Selections'!B9,Resulting_Shots_Players,0))+INDEX(Resulting_Shots_Totals,MATCH('Shots Selections'!C9,Resulting_Shots_Players,0))+INDEX(Resulting_Shots_Totals,MATCH('Shots Selections'!D9,Resulting_Shots_Players,0))+INDEX(Resulting_Shots_Totals,MATCH('Shots Selections'!E9,Resulting_Shots_Players,0))+INDEX(Resulting_Shots_Totals,MATCH('Shots Selections'!F9,Resulting_Shots_Players,0))+INDEX(Resulting_Shots_Totals,MATCH('Shots Selections'!G9,Resulting_Shots_Players,0))</f>
        <v>0</v>
      </c>
      <c r="T9" s="56" t="str">
        <f t="shared" si="4"/>
        <v>L</v>
      </c>
      <c r="V9" s="45">
        <f t="shared" si="5"/>
        <v>6.8513281817083351</v>
      </c>
      <c r="W9" s="48">
        <f>IFERROR(INDEX(FractionalPriceLookUp,MATCH('Shots Selections'!V9,DecimalPriceLookUp,1)),"")</f>
        <v>4.5</v>
      </c>
      <c r="Y9" s="25">
        <f t="shared" si="0"/>
        <v>2</v>
      </c>
      <c r="Z9" s="155">
        <f t="shared" si="1"/>
        <v>0</v>
      </c>
      <c r="AA9" s="217"/>
      <c r="AB9" s="158" t="str">
        <f t="shared" si="6"/>
        <v>No</v>
      </c>
      <c r="AC9" s="150" t="s">
        <v>141</v>
      </c>
    </row>
    <row r="10" spans="2:29" s="14" customFormat="1" ht="15.95" customHeight="1" x14ac:dyDescent="0.25">
      <c r="B10" s="19" t="str">
        <f>ShotsPlayer2</f>
        <v>Tammy Abraham</v>
      </c>
      <c r="C10" s="21" t="str">
        <f>ShotsPlayer7</f>
        <v>Raphinha</v>
      </c>
      <c r="D10" s="21"/>
      <c r="E10" s="21"/>
      <c r="F10" s="21"/>
      <c r="G10" s="21"/>
      <c r="H10" s="152" t="s">
        <v>33</v>
      </c>
      <c r="I10" s="52">
        <f t="shared" si="2"/>
        <v>7</v>
      </c>
      <c r="K10" s="45">
        <f>IFERROR(INDEX(ShotsRemaining,MATCH('Shots Selections'!B10,ShotsPlayers,0)),"")</f>
        <v>1.78227</v>
      </c>
      <c r="L10" s="47">
        <f>IFERROR(INDEX(ShotsRemaining,MATCH('Shots Selections'!C10,ShotsPlayers,0)),"")</f>
        <v>0.71799999999999997</v>
      </c>
      <c r="M10" s="47" t="str">
        <f>IFERROR(INDEX(ShotsRemaining,MATCH('Shots Selections'!D10,ShotsPlayers,0)),"")</f>
        <v/>
      </c>
      <c r="N10" s="47" t="str">
        <f>IFERROR(INDEX(ShotsRemaining,MATCH('Shots Selections'!E10,ShotsPlayers,0)),"")</f>
        <v/>
      </c>
      <c r="O10" s="47" t="str">
        <f>IFERROR(INDEX(ShotsRemaining,MATCH('Shots Selections'!F10,ShotsPlayers,0)),"")</f>
        <v/>
      </c>
      <c r="P10" s="47" t="str">
        <f>IFERROR(INDEX(ShotsRemaining,MATCH('Shots Selections'!G10,ShotsPlayers,0)),"")</f>
        <v/>
      </c>
      <c r="Q10" s="56">
        <f t="shared" si="3"/>
        <v>2.50027</v>
      </c>
      <c r="R10" s="23"/>
      <c r="S10" s="100">
        <f>INDEX(Resulting_Shots_Totals,MATCH('Shots Selections'!B10,Resulting_Shots_Players,0))+INDEX(Resulting_Shots_Totals,MATCH('Shots Selections'!C10,Resulting_Shots_Players,0))+INDEX(Resulting_Shots_Totals,MATCH('Shots Selections'!D10,Resulting_Shots_Players,0))+INDEX(Resulting_Shots_Totals,MATCH('Shots Selections'!E10,Resulting_Shots_Players,0))+INDEX(Resulting_Shots_Totals,MATCH('Shots Selections'!F10,Resulting_Shots_Players,0))+INDEX(Resulting_Shots_Totals,MATCH('Shots Selections'!G10,Resulting_Shots_Players,0))</f>
        <v>0</v>
      </c>
      <c r="T10" s="56" t="str">
        <f t="shared" si="4"/>
        <v>L</v>
      </c>
      <c r="V10" s="45">
        <f t="shared" si="5"/>
        <v>235.32844192973039</v>
      </c>
      <c r="W10" s="48">
        <f>IFERROR(INDEX(FractionalPriceLookUp,MATCH('Shots Selections'!V10,DecimalPriceLookUp,1)),"")</f>
        <v>100</v>
      </c>
      <c r="Y10" s="25">
        <f t="shared" si="0"/>
        <v>2</v>
      </c>
      <c r="Z10" s="155">
        <f t="shared" si="1"/>
        <v>0</v>
      </c>
      <c r="AA10" s="217"/>
      <c r="AB10" s="158" t="str">
        <f t="shared" si="6"/>
        <v>No</v>
      </c>
      <c r="AC10" s="150" t="s">
        <v>141</v>
      </c>
    </row>
    <row r="11" spans="2:29" s="14" customFormat="1" ht="15.95" customHeight="1" x14ac:dyDescent="0.25">
      <c r="B11" s="19" t="str">
        <f>ShotsPlayer1</f>
        <v>Timo Werner</v>
      </c>
      <c r="C11" s="21" t="str">
        <f>ShotsPlayer2</f>
        <v>Tammy Abraham</v>
      </c>
      <c r="D11" s="21"/>
      <c r="E11" s="21"/>
      <c r="F11" s="21"/>
      <c r="G11" s="21"/>
      <c r="H11" s="152" t="s">
        <v>32</v>
      </c>
      <c r="I11" s="52">
        <f t="shared" si="2"/>
        <v>6</v>
      </c>
      <c r="K11" s="45">
        <f>IFERROR(INDEX(ShotsRemaining,MATCH('Shots Selections'!B11,ShotsPlayers,0)),"")</f>
        <v>1.55871</v>
      </c>
      <c r="L11" s="47">
        <f>IFERROR(INDEX(ShotsRemaining,MATCH('Shots Selections'!C11,ShotsPlayers,0)),"")</f>
        <v>1.78227</v>
      </c>
      <c r="M11" s="47" t="str">
        <f>IFERROR(INDEX(ShotsRemaining,MATCH('Shots Selections'!D11,ShotsPlayers,0)),"")</f>
        <v/>
      </c>
      <c r="N11" s="47" t="str">
        <f>IFERROR(INDEX(ShotsRemaining,MATCH('Shots Selections'!E11,ShotsPlayers,0)),"")</f>
        <v/>
      </c>
      <c r="O11" s="47" t="str">
        <f>IFERROR(INDEX(ShotsRemaining,MATCH('Shots Selections'!F11,ShotsPlayers,0)),"")</f>
        <v/>
      </c>
      <c r="P11" s="47" t="str">
        <f>IFERROR(INDEX(ShotsRemaining,MATCH('Shots Selections'!G11,ShotsPlayers,0)),"")</f>
        <v/>
      </c>
      <c r="Q11" s="56">
        <f t="shared" si="3"/>
        <v>3.3409800000000001</v>
      </c>
      <c r="R11" s="23"/>
      <c r="S11" s="100">
        <f>INDEX(Resulting_Shots_Totals,MATCH('Shots Selections'!B11,Resulting_Shots_Players,0))+INDEX(Resulting_Shots_Totals,MATCH('Shots Selections'!C11,Resulting_Shots_Players,0))+INDEX(Resulting_Shots_Totals,MATCH('Shots Selections'!D11,Resulting_Shots_Players,0))+INDEX(Resulting_Shots_Totals,MATCH('Shots Selections'!E11,Resulting_Shots_Players,0))+INDEX(Resulting_Shots_Totals,MATCH('Shots Selections'!F11,Resulting_Shots_Players,0))+INDEX(Resulting_Shots_Totals,MATCH('Shots Selections'!G11,Resulting_Shots_Players,0))</f>
        <v>0</v>
      </c>
      <c r="T11" s="56" t="str">
        <f t="shared" si="4"/>
        <v>L</v>
      </c>
      <c r="V11" s="45">
        <f t="shared" si="5"/>
        <v>18.61423732697704</v>
      </c>
      <c r="W11" s="48">
        <f>IFERROR(INDEX(FractionalPriceLookUp,MATCH('Shots Selections'!V11,DecimalPriceLookUp,1)),"")</f>
        <v>11</v>
      </c>
      <c r="Y11" s="25">
        <f t="shared" si="0"/>
        <v>2</v>
      </c>
      <c r="Z11" s="155">
        <f t="shared" si="1"/>
        <v>0</v>
      </c>
      <c r="AA11" s="217"/>
      <c r="AB11" s="158" t="str">
        <f t="shared" si="6"/>
        <v>No</v>
      </c>
      <c r="AC11" s="150" t="s">
        <v>141</v>
      </c>
    </row>
    <row r="12" spans="2:29" s="14" customFormat="1" ht="15.95" customHeight="1" x14ac:dyDescent="0.25">
      <c r="B12" s="19" t="str">
        <f>ShotsPlayer6</f>
        <v>Patrick Bamford</v>
      </c>
      <c r="C12" s="21" t="str">
        <f>ShotsPlayer7</f>
        <v>Raphinha</v>
      </c>
      <c r="D12" s="21"/>
      <c r="E12" s="21"/>
      <c r="F12" s="21"/>
      <c r="G12" s="21"/>
      <c r="H12" s="152" t="s">
        <v>32</v>
      </c>
      <c r="I12" s="52">
        <f t="shared" si="2"/>
        <v>6</v>
      </c>
      <c r="K12" s="45">
        <f>IFERROR(INDEX(ShotsRemaining,MATCH('Shots Selections'!B12,ShotsPlayers,0)),"")</f>
        <v>0.97648000000000001</v>
      </c>
      <c r="L12" s="47">
        <f>IFERROR(INDEX(ShotsRemaining,MATCH('Shots Selections'!C12,ShotsPlayers,0)),"")</f>
        <v>0.71799999999999997</v>
      </c>
      <c r="M12" s="47" t="str">
        <f>IFERROR(INDEX(ShotsRemaining,MATCH('Shots Selections'!D12,ShotsPlayers,0)),"")</f>
        <v/>
      </c>
      <c r="N12" s="47" t="str">
        <f>IFERROR(INDEX(ShotsRemaining,MATCH('Shots Selections'!E12,ShotsPlayers,0)),"")</f>
        <v/>
      </c>
      <c r="O12" s="47" t="str">
        <f>IFERROR(INDEX(ShotsRemaining,MATCH('Shots Selections'!F12,ShotsPlayers,0)),"")</f>
        <v/>
      </c>
      <c r="P12" s="47" t="str">
        <f>IFERROR(INDEX(ShotsRemaining,MATCH('Shots Selections'!G12,ShotsPlayers,0)),"")</f>
        <v/>
      </c>
      <c r="Q12" s="56">
        <f t="shared" si="3"/>
        <v>1.69448</v>
      </c>
      <c r="R12" s="23"/>
      <c r="S12" s="100">
        <f>INDEX(Resulting_Shots_Totals,MATCH('Shots Selections'!B12,Resulting_Shots_Players,0))+INDEX(Resulting_Shots_Totals,MATCH('Shots Selections'!C12,Resulting_Shots_Players,0))+INDEX(Resulting_Shots_Totals,MATCH('Shots Selections'!D12,Resulting_Shots_Players,0))+INDEX(Resulting_Shots_Totals,MATCH('Shots Selections'!E12,Resulting_Shots_Players,0))+INDEX(Resulting_Shots_Totals,MATCH('Shots Selections'!F12,Resulting_Shots_Players,0))+INDEX(Resulting_Shots_Totals,MATCH('Shots Selections'!G12,Resulting_Shots_Players,0))</f>
        <v>0</v>
      </c>
      <c r="T12" s="56" t="str">
        <f t="shared" si="4"/>
        <v>L</v>
      </c>
      <c r="V12" s="45">
        <f t="shared" si="5"/>
        <v>543.03380747731683</v>
      </c>
      <c r="W12" s="48">
        <f>IFERROR(INDEX(FractionalPriceLookUp,MATCH('Shots Selections'!V12,DecimalPriceLookUp,1)),"")</f>
        <v>250</v>
      </c>
      <c r="Y12" s="25">
        <f t="shared" si="0"/>
        <v>2</v>
      </c>
      <c r="Z12" s="155">
        <f t="shared" si="1"/>
        <v>0</v>
      </c>
      <c r="AA12" s="217"/>
      <c r="AB12" s="158" t="str">
        <f t="shared" si="6"/>
        <v>No</v>
      </c>
      <c r="AC12" s="150" t="s">
        <v>141</v>
      </c>
    </row>
    <row r="13" spans="2:29" s="14" customFormat="1" ht="15.95" customHeight="1" x14ac:dyDescent="0.25">
      <c r="B13" s="19" t="str">
        <f>ShotsPlayer1</f>
        <v>Timo Werner</v>
      </c>
      <c r="C13" s="21" t="str">
        <f>ShotsPlayer2</f>
        <v>Tammy Abraham</v>
      </c>
      <c r="D13" s="21" t="str">
        <f>ShotsPlayer6</f>
        <v>Patrick Bamford</v>
      </c>
      <c r="E13" s="21"/>
      <c r="F13" s="21"/>
      <c r="G13" s="21"/>
      <c r="H13" s="152" t="s">
        <v>37</v>
      </c>
      <c r="I13" s="52">
        <f t="shared" si="2"/>
        <v>11</v>
      </c>
      <c r="K13" s="45">
        <f>IFERROR(INDEX(ShotsRemaining,MATCH('Shots Selections'!B13,ShotsPlayers,0)),"")</f>
        <v>1.55871</v>
      </c>
      <c r="L13" s="47">
        <f>IFERROR(INDEX(ShotsRemaining,MATCH('Shots Selections'!C13,ShotsPlayers,0)),"")</f>
        <v>1.78227</v>
      </c>
      <c r="M13" s="47">
        <f>IFERROR(INDEX(ShotsRemaining,MATCH('Shots Selections'!D13,ShotsPlayers,0)),"")</f>
        <v>0.97648000000000001</v>
      </c>
      <c r="N13" s="47" t="str">
        <f>IFERROR(INDEX(ShotsRemaining,MATCH('Shots Selections'!E13,ShotsPlayers,0)),"")</f>
        <v/>
      </c>
      <c r="O13" s="47" t="str">
        <f>IFERROR(INDEX(ShotsRemaining,MATCH('Shots Selections'!F13,ShotsPlayers,0)),"")</f>
        <v/>
      </c>
      <c r="P13" s="47" t="str">
        <f>IFERROR(INDEX(ShotsRemaining,MATCH('Shots Selections'!G13,ShotsPlayers,0)),"")</f>
        <v/>
      </c>
      <c r="Q13" s="56">
        <f t="shared" si="3"/>
        <v>4.3174600000000005</v>
      </c>
      <c r="R13" s="23"/>
      <c r="S13" s="100">
        <f>INDEX(Resulting_Shots_Totals,MATCH('Shots Selections'!B13,Resulting_Shots_Players,0))+INDEX(Resulting_Shots_Totals,MATCH('Shots Selections'!C13,Resulting_Shots_Players,0))+INDEX(Resulting_Shots_Totals,MATCH('Shots Selections'!D13,Resulting_Shots_Players,0))+INDEX(Resulting_Shots_Totals,MATCH('Shots Selections'!E13,Resulting_Shots_Players,0))+INDEX(Resulting_Shots_Totals,MATCH('Shots Selections'!F13,Resulting_Shots_Players,0))+INDEX(Resulting_Shots_Totals,MATCH('Shots Selections'!G13,Resulting_Shots_Players,0))</f>
        <v>0</v>
      </c>
      <c r="T13" s="56" t="str">
        <f t="shared" si="4"/>
        <v>L</v>
      </c>
      <c r="V13" s="45">
        <f t="shared" si="5"/>
        <v>580.72225609662291</v>
      </c>
      <c r="W13" s="48">
        <f>IFERROR(INDEX(FractionalPriceLookUp,MATCH('Shots Selections'!V13,DecimalPriceLookUp,1)),"")</f>
        <v>250</v>
      </c>
      <c r="Y13" s="25">
        <f t="shared" si="0"/>
        <v>3</v>
      </c>
      <c r="Z13" s="155">
        <f t="shared" si="1"/>
        <v>0</v>
      </c>
      <c r="AA13" s="217"/>
      <c r="AB13" s="158" t="str">
        <f t="shared" si="6"/>
        <v>No</v>
      </c>
      <c r="AC13" s="150" t="s">
        <v>141</v>
      </c>
    </row>
    <row r="14" spans="2:29" s="14" customFormat="1" ht="15.95" customHeight="1" x14ac:dyDescent="0.25">
      <c r="B14" s="19" t="str">
        <f>ShotsPlayer6</f>
        <v>Patrick Bamford</v>
      </c>
      <c r="C14" s="21" t="str">
        <f>ShotsPlayer1</f>
        <v>Timo Werner</v>
      </c>
      <c r="D14" s="21" t="str">
        <f>ShotsPlayer7</f>
        <v>Raphinha</v>
      </c>
      <c r="E14" s="21"/>
      <c r="F14" s="21"/>
      <c r="G14" s="21"/>
      <c r="H14" s="152" t="s">
        <v>35</v>
      </c>
      <c r="I14" s="52">
        <f t="shared" si="2"/>
        <v>9</v>
      </c>
      <c r="K14" s="45">
        <f>IFERROR(INDEX(ShotsRemaining,MATCH('Shots Selections'!B14,ShotsPlayers,0)),"")</f>
        <v>0.97648000000000001</v>
      </c>
      <c r="L14" s="47">
        <f>IFERROR(INDEX(ShotsRemaining,MATCH('Shots Selections'!C14,ShotsPlayers,0)),"")</f>
        <v>1.55871</v>
      </c>
      <c r="M14" s="47">
        <f>IFERROR(INDEX(ShotsRemaining,MATCH('Shots Selections'!D14,ShotsPlayers,0)),"")</f>
        <v>0.71799999999999997</v>
      </c>
      <c r="N14" s="47" t="str">
        <f>IFERROR(INDEX(ShotsRemaining,MATCH('Shots Selections'!E14,ShotsPlayers,0)),"")</f>
        <v/>
      </c>
      <c r="O14" s="47" t="str">
        <f>IFERROR(INDEX(ShotsRemaining,MATCH('Shots Selections'!F14,ShotsPlayers,0)),"")</f>
        <v/>
      </c>
      <c r="P14" s="47" t="str">
        <f>IFERROR(INDEX(ShotsRemaining,MATCH('Shots Selections'!G14,ShotsPlayers,0)),"")</f>
        <v/>
      </c>
      <c r="Q14" s="56">
        <f t="shared" si="3"/>
        <v>3.25319</v>
      </c>
      <c r="R14" s="23"/>
      <c r="S14" s="100">
        <f>INDEX(Resulting_Shots_Totals,MATCH('Shots Selections'!B14,Resulting_Shots_Players,0))+INDEX(Resulting_Shots_Totals,MATCH('Shots Selections'!C14,Resulting_Shots_Players,0))+INDEX(Resulting_Shots_Totals,MATCH('Shots Selections'!D14,Resulting_Shots_Players,0))+INDEX(Resulting_Shots_Totals,MATCH('Shots Selections'!E14,Resulting_Shots_Players,0))+INDEX(Resulting_Shots_Totals,MATCH('Shots Selections'!F14,Resulting_Shots_Players,0))+INDEX(Resulting_Shots_Totals,MATCH('Shots Selections'!G14,Resulting_Shots_Players,0))</f>
        <v>0</v>
      </c>
      <c r="T14" s="56" t="str">
        <f t="shared" si="4"/>
        <v>L</v>
      </c>
      <c r="V14" s="45">
        <f t="shared" si="5"/>
        <v>504.41815476620553</v>
      </c>
      <c r="W14" s="48">
        <f>IFERROR(INDEX(FractionalPriceLookUp,MATCH('Shots Selections'!V14,DecimalPriceLookUp,1)),"")</f>
        <v>250</v>
      </c>
      <c r="Y14" s="25">
        <f t="shared" si="0"/>
        <v>3</v>
      </c>
      <c r="Z14" s="155">
        <f t="shared" si="1"/>
        <v>0</v>
      </c>
      <c r="AA14" s="217"/>
      <c r="AB14" s="158" t="str">
        <f t="shared" si="6"/>
        <v>No</v>
      </c>
      <c r="AC14" s="150" t="s">
        <v>141</v>
      </c>
    </row>
    <row r="15" spans="2:29" s="14" customFormat="1" ht="15.95" customHeight="1" x14ac:dyDescent="0.25">
      <c r="B15" s="19" t="str">
        <f>ShotsPlayer6</f>
        <v>Patrick Bamford</v>
      </c>
      <c r="C15" s="21" t="str">
        <f>ShotsPlayer7</f>
        <v>Raphinha</v>
      </c>
      <c r="D15" s="21" t="str">
        <f>ShotsPlayer1</f>
        <v>Timo Werner</v>
      </c>
      <c r="E15" s="21" t="str">
        <f>ShotsPlayer2</f>
        <v>Tammy Abraham</v>
      </c>
      <c r="F15" s="21"/>
      <c r="G15" s="21"/>
      <c r="H15" s="152" t="s">
        <v>35</v>
      </c>
      <c r="I15" s="52">
        <f t="shared" si="2"/>
        <v>9</v>
      </c>
      <c r="K15" s="45">
        <f>IFERROR(INDEX(ShotsRemaining,MATCH('Shots Selections'!B15,ShotsPlayers,0)),"")</f>
        <v>0.97648000000000001</v>
      </c>
      <c r="L15" s="47">
        <f>IFERROR(INDEX(ShotsRemaining,MATCH('Shots Selections'!C15,ShotsPlayers,0)),"")</f>
        <v>0.71799999999999997</v>
      </c>
      <c r="M15" s="47">
        <f>IFERROR(INDEX(ShotsRemaining,MATCH('Shots Selections'!D15,ShotsPlayers,0)),"")</f>
        <v>1.55871</v>
      </c>
      <c r="N15" s="47">
        <f>IFERROR(INDEX(ShotsRemaining,MATCH('Shots Selections'!E15,ShotsPlayers,0)),"")</f>
        <v>1.78227</v>
      </c>
      <c r="O15" s="47" t="str">
        <f>IFERROR(INDEX(ShotsRemaining,MATCH('Shots Selections'!F15,ShotsPlayers,0)),"")</f>
        <v/>
      </c>
      <c r="P15" s="47" t="str">
        <f>IFERROR(INDEX(ShotsRemaining,MATCH('Shots Selections'!G15,ShotsPlayers,0)),"")</f>
        <v/>
      </c>
      <c r="Q15" s="56">
        <f t="shared" si="3"/>
        <v>5.0354600000000005</v>
      </c>
      <c r="R15" s="23"/>
      <c r="S15" s="100">
        <f>INDEX(Resulting_Shots_Totals,MATCH('Shots Selections'!B15,Resulting_Shots_Players,0))+INDEX(Resulting_Shots_Totals,MATCH('Shots Selections'!C15,Resulting_Shots_Players,0))+INDEX(Resulting_Shots_Totals,MATCH('Shots Selections'!D15,Resulting_Shots_Players,0))+INDEX(Resulting_Shots_Totals,MATCH('Shots Selections'!E15,Resulting_Shots_Players,0))+INDEX(Resulting_Shots_Totals,MATCH('Shots Selections'!F15,Resulting_Shots_Players,0))+INDEX(Resulting_Shots_Totals,MATCH('Shots Selections'!G15,Resulting_Shots_Players,0))</f>
        <v>0</v>
      </c>
      <c r="T15" s="56" t="str">
        <f t="shared" si="4"/>
        <v>L</v>
      </c>
      <c r="V15" s="45">
        <f t="shared" si="5"/>
        <v>30.181982312957821</v>
      </c>
      <c r="W15" s="48">
        <f>IFERROR(INDEX(FractionalPriceLookUp,MATCH('Shots Selections'!V15,DecimalPriceLookUp,1)),"")</f>
        <v>20</v>
      </c>
      <c r="Y15" s="25">
        <f t="shared" si="0"/>
        <v>4</v>
      </c>
      <c r="Z15" s="155">
        <f t="shared" si="1"/>
        <v>0</v>
      </c>
      <c r="AA15" s="217"/>
      <c r="AB15" s="158" t="str">
        <f t="shared" si="6"/>
        <v>No</v>
      </c>
      <c r="AC15" s="150" t="s">
        <v>141</v>
      </c>
    </row>
    <row r="16" spans="2:29" s="14" customFormat="1" ht="15.95" customHeight="1" x14ac:dyDescent="0.25">
      <c r="B16" s="19" t="str">
        <f>ShotsPlayer3</f>
        <v>Hakim Ziyech</v>
      </c>
      <c r="C16" s="21" t="str">
        <f>ShotsPlayer8</f>
        <v>Mateusz Klich</v>
      </c>
      <c r="D16" s="21" t="str">
        <f>ShotsPlayer9</f>
        <v>Stuart Dallas</v>
      </c>
      <c r="E16" s="21"/>
      <c r="F16" s="21"/>
      <c r="G16" s="21"/>
      <c r="H16" s="152" t="s">
        <v>32</v>
      </c>
      <c r="I16" s="52">
        <f t="shared" si="2"/>
        <v>6</v>
      </c>
      <c r="K16" s="45">
        <f>IFERROR(INDEX(ShotsRemaining,MATCH('Shots Selections'!B16,ShotsPlayers,0)),"")</f>
        <v>1.4220900000000001</v>
      </c>
      <c r="L16" s="47">
        <f>IFERROR(INDEX(ShotsRemaining,MATCH('Shots Selections'!C16,ShotsPlayers,0)),"")</f>
        <v>0.42362</v>
      </c>
      <c r="M16" s="47">
        <f>IFERROR(INDEX(ShotsRemaining,MATCH('Shots Selections'!D16,ShotsPlayers,0)),"")</f>
        <v>0.53849999999999998</v>
      </c>
      <c r="N16" s="47" t="str">
        <f>IFERROR(INDEX(ShotsRemaining,MATCH('Shots Selections'!E16,ShotsPlayers,0)),"")</f>
        <v/>
      </c>
      <c r="O16" s="47" t="str">
        <f>IFERROR(INDEX(ShotsRemaining,MATCH('Shots Selections'!F16,ShotsPlayers,0)),"")</f>
        <v/>
      </c>
      <c r="P16" s="47" t="str">
        <f>IFERROR(INDEX(ShotsRemaining,MATCH('Shots Selections'!G16,ShotsPlayers,0)),"")</f>
        <v/>
      </c>
      <c r="Q16" s="56">
        <f t="shared" si="3"/>
        <v>2.3842099999999999</v>
      </c>
      <c r="R16" s="23"/>
      <c r="S16" s="100">
        <f>INDEX(Resulting_Shots_Totals,MATCH('Shots Selections'!B16,Resulting_Shots_Players,0))+INDEX(Resulting_Shots_Totals,MATCH('Shots Selections'!C16,Resulting_Shots_Players,0))+INDEX(Resulting_Shots_Totals,MATCH('Shots Selections'!D16,Resulting_Shots_Players,0))+INDEX(Resulting_Shots_Totals,MATCH('Shots Selections'!E16,Resulting_Shots_Players,0))+INDEX(Resulting_Shots_Totals,MATCH('Shots Selections'!F16,Resulting_Shots_Players,0))+INDEX(Resulting_Shots_Totals,MATCH('Shots Selections'!G16,Resulting_Shots_Players,0))</f>
        <v>0</v>
      </c>
      <c r="T16" s="56" t="str">
        <f t="shared" si="4"/>
        <v>L</v>
      </c>
      <c r="V16" s="45">
        <f t="shared" si="5"/>
        <v>89.139555625186063</v>
      </c>
      <c r="W16" s="48">
        <f>IFERROR(INDEX(FractionalPriceLookUp,MATCH('Shots Selections'!V16,DecimalPriceLookUp,1)),"")</f>
        <v>60</v>
      </c>
      <c r="Y16" s="25">
        <f t="shared" si="0"/>
        <v>3</v>
      </c>
      <c r="Z16" s="155">
        <f t="shared" si="1"/>
        <v>0</v>
      </c>
      <c r="AA16" s="217"/>
      <c r="AB16" s="158" t="str">
        <f t="shared" si="6"/>
        <v>No</v>
      </c>
      <c r="AC16" s="150" t="s">
        <v>141</v>
      </c>
    </row>
    <row r="17" spans="2:29" s="14" customFormat="1" ht="15.95" customHeight="1" x14ac:dyDescent="0.25">
      <c r="B17" s="19" t="str">
        <f>ShotsPlayer8</f>
        <v>Mateusz Klich</v>
      </c>
      <c r="C17" s="21" t="str">
        <f>ShotsPlayer1</f>
        <v>Timo Werner</v>
      </c>
      <c r="D17" s="21" t="str">
        <f>ShotsPlayer3</f>
        <v>Hakim Ziyech</v>
      </c>
      <c r="E17" s="21" t="str">
        <f>ShotsPlayer6</f>
        <v>Patrick Bamford</v>
      </c>
      <c r="F17" s="21"/>
      <c r="G17" s="21"/>
      <c r="H17" s="152" t="s">
        <v>35</v>
      </c>
      <c r="I17" s="52">
        <f t="shared" si="2"/>
        <v>9</v>
      </c>
      <c r="K17" s="45">
        <f>IFERROR(INDEX(ShotsRemaining,MATCH('Shots Selections'!B17,ShotsPlayers,0)),"")</f>
        <v>0.42362</v>
      </c>
      <c r="L17" s="47">
        <f>IFERROR(INDEX(ShotsRemaining,MATCH('Shots Selections'!C17,ShotsPlayers,0)),"")</f>
        <v>1.55871</v>
      </c>
      <c r="M17" s="47">
        <f>IFERROR(INDEX(ShotsRemaining,MATCH('Shots Selections'!D17,ShotsPlayers,0)),"")</f>
        <v>1.4220900000000001</v>
      </c>
      <c r="N17" s="47">
        <f>IFERROR(INDEX(ShotsRemaining,MATCH('Shots Selections'!E17,ShotsPlayers,0)),"")</f>
        <v>0.97648000000000001</v>
      </c>
      <c r="O17" s="47" t="str">
        <f>IFERROR(INDEX(ShotsRemaining,MATCH('Shots Selections'!F17,ShotsPlayers,0)),"")</f>
        <v/>
      </c>
      <c r="P17" s="47" t="str">
        <f>IFERROR(INDEX(ShotsRemaining,MATCH('Shots Selections'!G17,ShotsPlayers,0)),"")</f>
        <v/>
      </c>
      <c r="Q17" s="56">
        <f t="shared" si="3"/>
        <v>4.3809000000000005</v>
      </c>
      <c r="R17" s="23"/>
      <c r="S17" s="100">
        <f>INDEX(Resulting_Shots_Totals,MATCH('Shots Selections'!B17,Resulting_Shots_Players,0))+INDEX(Resulting_Shots_Totals,MATCH('Shots Selections'!C17,Resulting_Shots_Players,0))+INDEX(Resulting_Shots_Totals,MATCH('Shots Selections'!D17,Resulting_Shots_Players,0))+INDEX(Resulting_Shots_Totals,MATCH('Shots Selections'!E17,Resulting_Shots_Players,0))+INDEX(Resulting_Shots_Totals,MATCH('Shots Selections'!F17,Resulting_Shots_Players,0))+INDEX(Resulting_Shots_Totals,MATCH('Shots Selections'!G17,Resulting_Shots_Players,0))</f>
        <v>0</v>
      </c>
      <c r="T17" s="56" t="str">
        <f t="shared" si="4"/>
        <v>L</v>
      </c>
      <c r="V17" s="45">
        <f t="shared" si="5"/>
        <v>68.991800536810899</v>
      </c>
      <c r="W17" s="48">
        <f>IFERROR(INDEX(FractionalPriceLookUp,MATCH('Shots Selections'!V17,DecimalPriceLookUp,1)),"")</f>
        <v>50</v>
      </c>
      <c r="Y17" s="25">
        <f t="shared" si="0"/>
        <v>4</v>
      </c>
      <c r="Z17" s="155">
        <f t="shared" si="1"/>
        <v>0</v>
      </c>
      <c r="AA17" s="217"/>
      <c r="AB17" s="158" t="str">
        <f t="shared" si="6"/>
        <v>No</v>
      </c>
      <c r="AC17" s="150" t="s">
        <v>141</v>
      </c>
    </row>
    <row r="18" spans="2:29" s="14" customFormat="1" ht="15.95" customHeight="1" x14ac:dyDescent="0.25">
      <c r="B18" s="19" t="str">
        <f>ShotsPlayer1</f>
        <v>Timo Werner</v>
      </c>
      <c r="C18" s="21" t="str">
        <f>ShotsPlayer6</f>
        <v>Patrick Bamford</v>
      </c>
      <c r="D18" s="21" t="str">
        <f>ShotsPlayer2</f>
        <v>Tammy Abraham</v>
      </c>
      <c r="E18" s="21" t="str">
        <f>ShotsPlayer7</f>
        <v>Raphinha</v>
      </c>
      <c r="F18" s="21"/>
      <c r="G18" s="21"/>
      <c r="H18" s="152" t="s">
        <v>37</v>
      </c>
      <c r="I18" s="52">
        <f t="shared" si="2"/>
        <v>11</v>
      </c>
      <c r="K18" s="45">
        <f>IFERROR(INDEX(ShotsRemaining,MATCH('Shots Selections'!B18,ShotsPlayers,0)),"")</f>
        <v>1.55871</v>
      </c>
      <c r="L18" s="47">
        <f>IFERROR(INDEX(ShotsRemaining,MATCH('Shots Selections'!C18,ShotsPlayers,0)),"")</f>
        <v>0.97648000000000001</v>
      </c>
      <c r="M18" s="47">
        <f>IFERROR(INDEX(ShotsRemaining,MATCH('Shots Selections'!D18,ShotsPlayers,0)),"")</f>
        <v>1.78227</v>
      </c>
      <c r="N18" s="47">
        <f>IFERROR(INDEX(ShotsRemaining,MATCH('Shots Selections'!E18,ShotsPlayers,0)),"")</f>
        <v>0.71799999999999997</v>
      </c>
      <c r="O18" s="47" t="str">
        <f>IFERROR(INDEX(ShotsRemaining,MATCH('Shots Selections'!F18,ShotsPlayers,0)),"")</f>
        <v/>
      </c>
      <c r="P18" s="47" t="str">
        <f>IFERROR(INDEX(ShotsRemaining,MATCH('Shots Selections'!G18,ShotsPlayers,0)),"")</f>
        <v/>
      </c>
      <c r="Q18" s="56">
        <f t="shared" si="3"/>
        <v>5.0354600000000005</v>
      </c>
      <c r="R18" s="23"/>
      <c r="S18" s="100">
        <f>INDEX(Resulting_Shots_Totals,MATCH('Shots Selections'!B18,Resulting_Shots_Players,0))+INDEX(Resulting_Shots_Totals,MATCH('Shots Selections'!C18,Resulting_Shots_Players,0))+INDEX(Resulting_Shots_Totals,MATCH('Shots Selections'!D18,Resulting_Shots_Players,0))+INDEX(Resulting_Shots_Totals,MATCH('Shots Selections'!E18,Resulting_Shots_Players,0))+INDEX(Resulting_Shots_Totals,MATCH('Shots Selections'!F18,Resulting_Shots_Players,0))+INDEX(Resulting_Shots_Totals,MATCH('Shots Selections'!G18,Resulting_Shots_Players,0))</f>
        <v>0</v>
      </c>
      <c r="T18" s="56" t="str">
        <f t="shared" si="4"/>
        <v>L</v>
      </c>
      <c r="V18" s="45">
        <f t="shared" si="5"/>
        <v>173.86347860782624</v>
      </c>
      <c r="W18" s="48">
        <f>IFERROR(INDEX(FractionalPriceLookUp,MATCH('Shots Selections'!V18,DecimalPriceLookUp,1)),"")</f>
        <v>100</v>
      </c>
      <c r="Y18" s="25">
        <f t="shared" si="0"/>
        <v>4</v>
      </c>
      <c r="Z18" s="155">
        <f t="shared" si="1"/>
        <v>0</v>
      </c>
      <c r="AA18" s="217"/>
      <c r="AB18" s="158" t="str">
        <f t="shared" si="6"/>
        <v>No</v>
      </c>
      <c r="AC18" s="150" t="s">
        <v>141</v>
      </c>
    </row>
    <row r="19" spans="2:29" s="14" customFormat="1" ht="15.95" customHeight="1" x14ac:dyDescent="0.25">
      <c r="B19" s="19" t="str">
        <f>ShotsPlayer5</f>
        <v>Mateo Kovacic</v>
      </c>
      <c r="C19" s="21" t="str">
        <f>ShotsPlayer10</f>
        <v>Jack Harrison</v>
      </c>
      <c r="D19" s="21"/>
      <c r="E19" s="21"/>
      <c r="F19" s="21"/>
      <c r="G19" s="21"/>
      <c r="H19" s="152" t="s">
        <v>28</v>
      </c>
      <c r="I19" s="52">
        <f t="shared" si="2"/>
        <v>2</v>
      </c>
      <c r="K19" s="45">
        <f>IFERROR(INDEX(ShotsRemaining,MATCH('Shots Selections'!B19,ShotsPlayers,0)),"")</f>
        <v>0.37259999999999999</v>
      </c>
      <c r="L19" s="47">
        <f>IFERROR(INDEX(ShotsRemaining,MATCH('Shots Selections'!C19,ShotsPlayers,0)),"")</f>
        <v>0.34464</v>
      </c>
      <c r="M19" s="47" t="str">
        <f>IFERROR(INDEX(ShotsRemaining,MATCH('Shots Selections'!D19,ShotsPlayers,0)),"")</f>
        <v/>
      </c>
      <c r="N19" s="47" t="str">
        <f>IFERROR(INDEX(ShotsRemaining,MATCH('Shots Selections'!E19,ShotsPlayers,0)),"")</f>
        <v/>
      </c>
      <c r="O19" s="47" t="str">
        <f>IFERROR(INDEX(ShotsRemaining,MATCH('Shots Selections'!F19,ShotsPlayers,0)),"")</f>
        <v/>
      </c>
      <c r="P19" s="47" t="str">
        <f>IFERROR(INDEX(ShotsRemaining,MATCH('Shots Selections'!G19,ShotsPlayers,0)),"")</f>
        <v/>
      </c>
      <c r="Q19" s="56">
        <f t="shared" si="3"/>
        <v>0.71723999999999999</v>
      </c>
      <c r="R19" s="23"/>
      <c r="S19" s="100">
        <f>INDEX(Resulting_Shots_Totals,MATCH('Shots Selections'!B19,Resulting_Shots_Players,0))+INDEX(Resulting_Shots_Totals,MATCH('Shots Selections'!C19,Resulting_Shots_Players,0))+INDEX(Resulting_Shots_Totals,MATCH('Shots Selections'!D19,Resulting_Shots_Players,0))+INDEX(Resulting_Shots_Totals,MATCH('Shots Selections'!E19,Resulting_Shots_Players,0))+INDEX(Resulting_Shots_Totals,MATCH('Shots Selections'!F19,Resulting_Shots_Players,0))+INDEX(Resulting_Shots_Totals,MATCH('Shots Selections'!G19,Resulting_Shots_Players,0))</f>
        <v>0</v>
      </c>
      <c r="T19" s="56" t="str">
        <f t="shared" si="4"/>
        <v>L</v>
      </c>
      <c r="V19" s="45">
        <f t="shared" si="5"/>
        <v>27.569041128022132</v>
      </c>
      <c r="W19" s="48">
        <f>IFERROR(INDEX(FractionalPriceLookUp,MATCH('Shots Selections'!V19,DecimalPriceLookUp,1)),"")</f>
        <v>18</v>
      </c>
      <c r="Y19" s="25">
        <f t="shared" si="0"/>
        <v>2</v>
      </c>
      <c r="Z19" s="155">
        <f t="shared" si="1"/>
        <v>0</v>
      </c>
      <c r="AA19" s="217"/>
      <c r="AB19" s="158" t="str">
        <f t="shared" si="6"/>
        <v>No</v>
      </c>
      <c r="AC19" s="150" t="s">
        <v>141</v>
      </c>
    </row>
    <row r="20" spans="2:29" s="14" customFormat="1" ht="15.95" customHeight="1" x14ac:dyDescent="0.25">
      <c r="B20" s="19" t="str">
        <f>ShotsPlayer1</f>
        <v>Timo Werner</v>
      </c>
      <c r="C20" s="21" t="str">
        <f>ShotsPlayer3</f>
        <v>Hakim Ziyech</v>
      </c>
      <c r="D20" s="21" t="str">
        <f>ShotsPlayer6</f>
        <v>Patrick Bamford</v>
      </c>
      <c r="E20" s="21"/>
      <c r="F20" s="21"/>
      <c r="G20" s="21"/>
      <c r="H20" s="152" t="s">
        <v>33</v>
      </c>
      <c r="I20" s="52">
        <f t="shared" si="2"/>
        <v>7</v>
      </c>
      <c r="K20" s="45">
        <f>IFERROR(INDEX(ShotsRemaining,MATCH('Shots Selections'!B20,ShotsPlayers,0)),"")</f>
        <v>1.55871</v>
      </c>
      <c r="L20" s="47">
        <f>IFERROR(INDEX(ShotsRemaining,MATCH('Shots Selections'!C20,ShotsPlayers,0)),"")</f>
        <v>1.4220900000000001</v>
      </c>
      <c r="M20" s="47">
        <f>IFERROR(INDEX(ShotsRemaining,MATCH('Shots Selections'!D20,ShotsPlayers,0)),"")</f>
        <v>0.97648000000000001</v>
      </c>
      <c r="N20" s="47" t="str">
        <f>IFERROR(INDEX(ShotsRemaining,MATCH('Shots Selections'!E20,ShotsPlayers,0)),"")</f>
        <v/>
      </c>
      <c r="O20" s="47" t="str">
        <f>IFERROR(INDEX(ShotsRemaining,MATCH('Shots Selections'!F20,ShotsPlayers,0)),"")</f>
        <v/>
      </c>
      <c r="P20" s="47" t="str">
        <f>IFERROR(INDEX(ShotsRemaining,MATCH('Shots Selections'!G20,ShotsPlayers,0)),"")</f>
        <v/>
      </c>
      <c r="Q20" s="56">
        <f t="shared" si="3"/>
        <v>3.9572800000000004</v>
      </c>
      <c r="R20" s="23"/>
      <c r="S20" s="100">
        <f>INDEX(Resulting_Shots_Totals,MATCH('Shots Selections'!B20,Resulting_Shots_Players,0))+INDEX(Resulting_Shots_Totals,MATCH('Shots Selections'!C20,Resulting_Shots_Players,0))+INDEX(Resulting_Shots_Totals,MATCH('Shots Selections'!D20,Resulting_Shots_Players,0))+INDEX(Resulting_Shots_Totals,MATCH('Shots Selections'!E20,Resulting_Shots_Players,0))+INDEX(Resulting_Shots_Totals,MATCH('Shots Selections'!F20,Resulting_Shots_Players,0))+INDEX(Resulting_Shots_Totals,MATCH('Shots Selections'!G20,Resulting_Shots_Players,0))</f>
        <v>0</v>
      </c>
      <c r="T20" s="56" t="str">
        <f t="shared" si="4"/>
        <v>L</v>
      </c>
      <c r="V20" s="45">
        <f t="shared" si="5"/>
        <v>20.563142271737448</v>
      </c>
      <c r="W20" s="48">
        <f>IFERROR(INDEX(FractionalPriceLookUp,MATCH('Shots Selections'!V20,DecimalPriceLookUp,1)),"")</f>
        <v>12</v>
      </c>
      <c r="Y20" s="25">
        <f t="shared" si="0"/>
        <v>3</v>
      </c>
      <c r="Z20" s="155">
        <f t="shared" si="1"/>
        <v>0</v>
      </c>
      <c r="AA20" s="217"/>
      <c r="AB20" s="158" t="str">
        <f t="shared" si="6"/>
        <v>No</v>
      </c>
      <c r="AC20" s="150" t="s">
        <v>141</v>
      </c>
    </row>
    <row r="21" spans="2:29" s="14" customFormat="1" ht="15.95" customHeight="1" x14ac:dyDescent="0.25">
      <c r="B21" s="20" t="str">
        <f>ShotsPlayer6</f>
        <v>Patrick Bamford</v>
      </c>
      <c r="C21" s="214" t="str">
        <f>ShotsPlayer7</f>
        <v>Raphinha</v>
      </c>
      <c r="D21" s="214" t="str">
        <f>ShotsPlayer3</f>
        <v>Hakim Ziyech</v>
      </c>
      <c r="E21" s="214"/>
      <c r="F21" s="214"/>
      <c r="G21" s="214"/>
      <c r="H21" s="215" t="s">
        <v>33</v>
      </c>
      <c r="I21" s="52">
        <f t="shared" si="2"/>
        <v>7</v>
      </c>
      <c r="K21" s="45">
        <f>IFERROR(INDEX(ShotsRemaining,MATCH('Shots Selections'!B21,ShotsPlayers,0)),"")</f>
        <v>0.97648000000000001</v>
      </c>
      <c r="L21" s="47">
        <f>IFERROR(INDEX(ShotsRemaining,MATCH('Shots Selections'!C21,ShotsPlayers,0)),"")</f>
        <v>0.71799999999999997</v>
      </c>
      <c r="M21" s="47">
        <f>IFERROR(INDEX(ShotsRemaining,MATCH('Shots Selections'!D21,ShotsPlayers,0)),"")</f>
        <v>1.4220900000000001</v>
      </c>
      <c r="N21" s="47" t="str">
        <f>IFERROR(INDEX(ShotsRemaining,MATCH('Shots Selections'!E21,ShotsPlayers,0)),"")</f>
        <v/>
      </c>
      <c r="O21" s="47" t="str">
        <f>IFERROR(INDEX(ShotsRemaining,MATCH('Shots Selections'!F21,ShotsPlayers,0)),"")</f>
        <v/>
      </c>
      <c r="P21" s="47" t="str">
        <f>IFERROR(INDEX(ShotsRemaining,MATCH('Shots Selections'!G21,ShotsPlayers,0)),"")</f>
        <v/>
      </c>
      <c r="Q21" s="56">
        <f t="shared" si="3"/>
        <v>3.1165700000000003</v>
      </c>
      <c r="R21" s="23"/>
      <c r="S21" s="100">
        <f>INDEX(Resulting_Shots_Totals,MATCH('Shots Selections'!B21,Resulting_Shots_Players,0))+INDEX(Resulting_Shots_Totals,MATCH('Shots Selections'!C21,Resulting_Shots_Players,0))+INDEX(Resulting_Shots_Totals,MATCH('Shots Selections'!D21,Resulting_Shots_Players,0))+INDEX(Resulting_Shots_Totals,MATCH('Shots Selections'!E21,Resulting_Shots_Players,0))+INDEX(Resulting_Shots_Totals,MATCH('Shots Selections'!F21,Resulting_Shots_Players,0))+INDEX(Resulting_Shots_Totals,MATCH('Shots Selections'!G21,Resulting_Shots_Players,0))</f>
        <v>0</v>
      </c>
      <c r="T21" s="56" t="str">
        <f t="shared" si="4"/>
        <v>L</v>
      </c>
      <c r="V21" s="46">
        <f t="shared" si="5"/>
        <v>68.379527717719142</v>
      </c>
      <c r="W21" s="49">
        <f>IFERROR(INDEX(FractionalPriceLookUp,MATCH('Shots Selections'!V21,DecimalPriceLookUp,1)),"")</f>
        <v>50</v>
      </c>
      <c r="Y21" s="25">
        <f t="shared" si="0"/>
        <v>3</v>
      </c>
      <c r="Z21" s="155">
        <f t="shared" si="1"/>
        <v>0</v>
      </c>
      <c r="AA21" s="218"/>
      <c r="AB21" s="158" t="str">
        <f t="shared" si="6"/>
        <v>No</v>
      </c>
      <c r="AC21" s="150" t="s">
        <v>141</v>
      </c>
    </row>
    <row r="22" spans="2:29" s="14" customFormat="1" ht="15.95" customHeight="1" x14ac:dyDescent="0.25">
      <c r="B22" s="19"/>
      <c r="C22" s="21"/>
      <c r="D22" s="21"/>
      <c r="E22" s="21"/>
      <c r="F22" s="21"/>
      <c r="G22" s="21"/>
      <c r="H22" s="152"/>
      <c r="I22" s="52" t="str">
        <f t="shared" si="2"/>
        <v/>
      </c>
      <c r="K22" s="45" t="str">
        <f>IFERROR(INDEX(ShotsRemaining,MATCH('Shots Selections'!B22,ShotsPlayers,0)),"")</f>
        <v/>
      </c>
      <c r="L22" s="47" t="str">
        <f>IFERROR(INDEX(ShotsRemaining,MATCH('Shots Selections'!C22,ShotsPlayers,0)),"")</f>
        <v/>
      </c>
      <c r="M22" s="47" t="str">
        <f>IFERROR(INDEX(ShotsRemaining,MATCH('Shots Selections'!D22,ShotsPlayers,0)),"")</f>
        <v/>
      </c>
      <c r="N22" s="47" t="str">
        <f>IFERROR(INDEX(ShotsRemaining,MATCH('Shots Selections'!E22,ShotsPlayers,0)),"")</f>
        <v/>
      </c>
      <c r="O22" s="47" t="str">
        <f>IFERROR(INDEX(ShotsRemaining,MATCH('Shots Selections'!F22,ShotsPlayers,0)),"")</f>
        <v/>
      </c>
      <c r="P22" s="47" t="str">
        <f>IFERROR(INDEX(ShotsRemaining,MATCH('Shots Selections'!G22,ShotsPlayers,0)),"")</f>
        <v/>
      </c>
      <c r="Q22" s="56">
        <f t="shared" si="3"/>
        <v>0</v>
      </c>
      <c r="R22" s="23"/>
      <c r="S22" s="101">
        <f>INDEX(Resulting_Shots_Totals,MATCH('Shots Selections'!B22,Resulting_Shots_Players,0))+INDEX(Resulting_Shots_Totals,MATCH('Shots Selections'!C22,Resulting_Shots_Players,0))+INDEX(Resulting_Shots_Totals,MATCH('Shots Selections'!D22,Resulting_Shots_Players,0))+INDEX(Resulting_Shots_Totals,MATCH('Shots Selections'!E22,Resulting_Shots_Players,0))+INDEX(Resulting_Shots_Totals,MATCH('Shots Selections'!F22,Resulting_Shots_Players,0))+INDEX(Resulting_Shots_Totals,MATCH('Shots Selections'!G22,Resulting_Shots_Players,0))</f>
        <v>0</v>
      </c>
      <c r="T22" s="56" t="str">
        <f t="shared" si="4"/>
        <v/>
      </c>
      <c r="V22" s="45" t="str">
        <f t="shared" si="5"/>
        <v/>
      </c>
      <c r="W22" s="48" t="str">
        <f>IFERROR(INDEX(FractionalPriceLookUp,MATCH('Shots Selections'!V22,DecimalPriceLookUp,1)),"")</f>
        <v/>
      </c>
      <c r="Y22" s="25">
        <f t="shared" si="0"/>
        <v>0</v>
      </c>
      <c r="Z22" s="155">
        <f t="shared" si="1"/>
        <v>0</v>
      </c>
      <c r="AA22" s="19"/>
      <c r="AB22" s="158" t="str">
        <f t="shared" si="6"/>
        <v>No</v>
      </c>
      <c r="AC22" s="150" t="s">
        <v>141</v>
      </c>
    </row>
    <row r="23" spans="2:29" s="14" customFormat="1" ht="15.95" customHeight="1" x14ac:dyDescent="0.25">
      <c r="B23" s="19"/>
      <c r="C23" s="21"/>
      <c r="D23" s="21"/>
      <c r="E23" s="21"/>
      <c r="F23" s="21"/>
      <c r="G23" s="21"/>
      <c r="H23" s="152"/>
      <c r="I23" s="52" t="str">
        <f t="shared" si="2"/>
        <v/>
      </c>
      <c r="K23" s="45" t="str">
        <f>IFERROR(INDEX(ShotsRemaining,MATCH('Shots Selections'!B23,ShotsPlayers,0)),"")</f>
        <v/>
      </c>
      <c r="L23" s="47" t="str">
        <f>IFERROR(INDEX(ShotsRemaining,MATCH('Shots Selections'!C23,ShotsPlayers,0)),"")</f>
        <v/>
      </c>
      <c r="M23" s="47" t="str">
        <f>IFERROR(INDEX(ShotsRemaining,MATCH('Shots Selections'!D23,ShotsPlayers,0)),"")</f>
        <v/>
      </c>
      <c r="N23" s="47" t="str">
        <f>IFERROR(INDEX(ShotsRemaining,MATCH('Shots Selections'!E23,ShotsPlayers,0)),"")</f>
        <v/>
      </c>
      <c r="O23" s="47" t="str">
        <f>IFERROR(INDEX(ShotsRemaining,MATCH('Shots Selections'!F23,ShotsPlayers,0)),"")</f>
        <v/>
      </c>
      <c r="P23" s="47" t="str">
        <f>IFERROR(INDEX(ShotsRemaining,MATCH('Shots Selections'!G23,ShotsPlayers,0)),"")</f>
        <v/>
      </c>
      <c r="Q23" s="56">
        <f t="shared" si="3"/>
        <v>0</v>
      </c>
      <c r="R23" s="23"/>
      <c r="S23" s="100">
        <f>INDEX(Resulting_Shots_Totals,MATCH('Shots Selections'!B23,Resulting_Shots_Players,0))+INDEX(Resulting_Shots_Totals,MATCH('Shots Selections'!C23,Resulting_Shots_Players,0))+INDEX(Resulting_Shots_Totals,MATCH('Shots Selections'!D23,Resulting_Shots_Players,0))+INDEX(Resulting_Shots_Totals,MATCH('Shots Selections'!E23,Resulting_Shots_Players,0))+INDEX(Resulting_Shots_Totals,MATCH('Shots Selections'!F23,Resulting_Shots_Players,0))+INDEX(Resulting_Shots_Totals,MATCH('Shots Selections'!G23,Resulting_Shots_Players,0))</f>
        <v>0</v>
      </c>
      <c r="T23" s="56" t="str">
        <f t="shared" si="4"/>
        <v/>
      </c>
      <c r="V23" s="45" t="str">
        <f t="shared" si="5"/>
        <v/>
      </c>
      <c r="W23" s="48" t="str">
        <f>IFERROR(INDEX(FractionalPriceLookUp,MATCH('Shots Selections'!V23,DecimalPriceLookUp,1)),"")</f>
        <v/>
      </c>
      <c r="Y23" s="25">
        <f t="shared" si="0"/>
        <v>0</v>
      </c>
      <c r="Z23" s="155">
        <f t="shared" si="1"/>
        <v>0</v>
      </c>
      <c r="AA23" s="19"/>
      <c r="AB23" s="158" t="str">
        <f t="shared" si="6"/>
        <v>No</v>
      </c>
      <c r="AC23" s="150" t="s">
        <v>141</v>
      </c>
    </row>
    <row r="24" spans="2:29" s="14" customFormat="1" ht="15.95" customHeight="1" x14ac:dyDescent="0.25">
      <c r="B24" s="19"/>
      <c r="C24" s="21"/>
      <c r="D24" s="21"/>
      <c r="E24" s="21"/>
      <c r="F24" s="21"/>
      <c r="G24" s="21"/>
      <c r="H24" s="152"/>
      <c r="I24" s="52" t="str">
        <f t="shared" si="2"/>
        <v/>
      </c>
      <c r="K24" s="45" t="str">
        <f>IFERROR(INDEX(ShotsRemaining,MATCH('Shots Selections'!B24,ShotsPlayers,0)),"")</f>
        <v/>
      </c>
      <c r="L24" s="47" t="str">
        <f>IFERROR(INDEX(ShotsRemaining,MATCH('Shots Selections'!C24,ShotsPlayers,0)),"")</f>
        <v/>
      </c>
      <c r="M24" s="47" t="str">
        <f>IFERROR(INDEX(ShotsRemaining,MATCH('Shots Selections'!D24,ShotsPlayers,0)),"")</f>
        <v/>
      </c>
      <c r="N24" s="47" t="str">
        <f>IFERROR(INDEX(ShotsRemaining,MATCH('Shots Selections'!E24,ShotsPlayers,0)),"")</f>
        <v/>
      </c>
      <c r="O24" s="47" t="str">
        <f>IFERROR(INDEX(ShotsRemaining,MATCH('Shots Selections'!F24,ShotsPlayers,0)),"")</f>
        <v/>
      </c>
      <c r="P24" s="47" t="str">
        <f>IFERROR(INDEX(ShotsRemaining,MATCH('Shots Selections'!G24,ShotsPlayers,0)),"")</f>
        <v/>
      </c>
      <c r="Q24" s="56">
        <f t="shared" si="3"/>
        <v>0</v>
      </c>
      <c r="R24" s="23"/>
      <c r="S24" s="100">
        <f>INDEX(Resulting_Shots_Totals,MATCH('Shots Selections'!B24,Resulting_Shots_Players,0))+INDEX(Resulting_Shots_Totals,MATCH('Shots Selections'!C24,Resulting_Shots_Players,0))+INDEX(Resulting_Shots_Totals,MATCH('Shots Selections'!D24,Resulting_Shots_Players,0))+INDEX(Resulting_Shots_Totals,MATCH('Shots Selections'!E24,Resulting_Shots_Players,0))+INDEX(Resulting_Shots_Totals,MATCH('Shots Selections'!F24,Resulting_Shots_Players,0))+INDEX(Resulting_Shots_Totals,MATCH('Shots Selections'!G24,Resulting_Shots_Players,0))</f>
        <v>0</v>
      </c>
      <c r="T24" s="56" t="str">
        <f t="shared" si="4"/>
        <v/>
      </c>
      <c r="V24" s="45" t="str">
        <f t="shared" si="5"/>
        <v/>
      </c>
      <c r="W24" s="48" t="str">
        <f>IFERROR(INDEX(FractionalPriceLookUp,MATCH('Shots Selections'!V24,DecimalPriceLookUp,1)),"")</f>
        <v/>
      </c>
      <c r="Y24" s="25">
        <f t="shared" si="0"/>
        <v>0</v>
      </c>
      <c r="Z24" s="155">
        <f t="shared" si="1"/>
        <v>0</v>
      </c>
      <c r="AA24" s="19"/>
      <c r="AB24" s="158" t="str">
        <f t="shared" si="6"/>
        <v>No</v>
      </c>
      <c r="AC24" s="150" t="s">
        <v>141</v>
      </c>
    </row>
    <row r="25" spans="2:29" s="14" customFormat="1" ht="15.95" customHeight="1" x14ac:dyDescent="0.25">
      <c r="B25" s="19"/>
      <c r="C25" s="21"/>
      <c r="D25" s="21"/>
      <c r="E25" s="21"/>
      <c r="F25" s="21"/>
      <c r="G25" s="21"/>
      <c r="H25" s="152"/>
      <c r="I25" s="52" t="str">
        <f t="shared" si="2"/>
        <v/>
      </c>
      <c r="K25" s="45" t="str">
        <f>IFERROR(INDEX(ShotsRemaining,MATCH('Shots Selections'!B25,ShotsPlayers,0)),"")</f>
        <v/>
      </c>
      <c r="L25" s="47" t="str">
        <f>IFERROR(INDEX(ShotsRemaining,MATCH('Shots Selections'!C25,ShotsPlayers,0)),"")</f>
        <v/>
      </c>
      <c r="M25" s="47" t="str">
        <f>IFERROR(INDEX(ShotsRemaining,MATCH('Shots Selections'!D25,ShotsPlayers,0)),"")</f>
        <v/>
      </c>
      <c r="N25" s="47" t="str">
        <f>IFERROR(INDEX(ShotsRemaining,MATCH('Shots Selections'!E25,ShotsPlayers,0)),"")</f>
        <v/>
      </c>
      <c r="O25" s="47" t="str">
        <f>IFERROR(INDEX(ShotsRemaining,MATCH('Shots Selections'!F25,ShotsPlayers,0)),"")</f>
        <v/>
      </c>
      <c r="P25" s="47" t="str">
        <f>IFERROR(INDEX(ShotsRemaining,MATCH('Shots Selections'!G25,ShotsPlayers,0)),"")</f>
        <v/>
      </c>
      <c r="Q25" s="56">
        <f t="shared" si="3"/>
        <v>0</v>
      </c>
      <c r="R25" s="23"/>
      <c r="S25" s="100">
        <f>INDEX(Resulting_Shots_Totals,MATCH('Shots Selections'!B25,Resulting_Shots_Players,0))+INDEX(Resulting_Shots_Totals,MATCH('Shots Selections'!C25,Resulting_Shots_Players,0))+INDEX(Resulting_Shots_Totals,MATCH('Shots Selections'!D25,Resulting_Shots_Players,0))+INDEX(Resulting_Shots_Totals,MATCH('Shots Selections'!E25,Resulting_Shots_Players,0))+INDEX(Resulting_Shots_Totals,MATCH('Shots Selections'!F25,Resulting_Shots_Players,0))+INDEX(Resulting_Shots_Totals,MATCH('Shots Selections'!G25,Resulting_Shots_Players,0))</f>
        <v>0</v>
      </c>
      <c r="T25" s="56" t="str">
        <f t="shared" si="4"/>
        <v/>
      </c>
      <c r="V25" s="45" t="str">
        <f t="shared" si="5"/>
        <v/>
      </c>
      <c r="W25" s="48" t="str">
        <f>IFERROR(INDEX(FractionalPriceLookUp,MATCH('Shots Selections'!V25,DecimalPriceLookUp,1)),"")</f>
        <v/>
      </c>
      <c r="Y25" s="25">
        <f t="shared" si="0"/>
        <v>0</v>
      </c>
      <c r="Z25" s="155">
        <f t="shared" si="1"/>
        <v>0</v>
      </c>
      <c r="AA25" s="19"/>
      <c r="AB25" s="158" t="str">
        <f t="shared" si="6"/>
        <v>No</v>
      </c>
      <c r="AC25" s="150" t="s">
        <v>141</v>
      </c>
    </row>
    <row r="26" spans="2:29" s="14" customFormat="1" ht="15.95" customHeight="1" x14ac:dyDescent="0.25">
      <c r="B26" s="19"/>
      <c r="C26" s="21"/>
      <c r="D26" s="21"/>
      <c r="E26" s="21"/>
      <c r="F26" s="21"/>
      <c r="G26" s="21"/>
      <c r="H26" s="152"/>
      <c r="I26" s="52" t="str">
        <f t="shared" si="2"/>
        <v/>
      </c>
      <c r="K26" s="45" t="str">
        <f>IFERROR(INDEX(ShotsRemaining,MATCH('Shots Selections'!B26,ShotsPlayers,0)),"")</f>
        <v/>
      </c>
      <c r="L26" s="47" t="str">
        <f>IFERROR(INDEX(ShotsRemaining,MATCH('Shots Selections'!C26,ShotsPlayers,0)),"")</f>
        <v/>
      </c>
      <c r="M26" s="47" t="str">
        <f>IFERROR(INDEX(ShotsRemaining,MATCH('Shots Selections'!D26,ShotsPlayers,0)),"")</f>
        <v/>
      </c>
      <c r="N26" s="47" t="str">
        <f>IFERROR(INDEX(ShotsRemaining,MATCH('Shots Selections'!E26,ShotsPlayers,0)),"")</f>
        <v/>
      </c>
      <c r="O26" s="47" t="str">
        <f>IFERROR(INDEX(ShotsRemaining,MATCH('Shots Selections'!F26,ShotsPlayers,0)),"")</f>
        <v/>
      </c>
      <c r="P26" s="47" t="str">
        <f>IFERROR(INDEX(ShotsRemaining,MATCH('Shots Selections'!G26,ShotsPlayers,0)),"")</f>
        <v/>
      </c>
      <c r="Q26" s="56">
        <f t="shared" si="3"/>
        <v>0</v>
      </c>
      <c r="R26" s="23"/>
      <c r="S26" s="100">
        <f>INDEX(Resulting_Shots_Totals,MATCH('Shots Selections'!B26,Resulting_Shots_Players,0))+INDEX(Resulting_Shots_Totals,MATCH('Shots Selections'!C26,Resulting_Shots_Players,0))+INDEX(Resulting_Shots_Totals,MATCH('Shots Selections'!D26,Resulting_Shots_Players,0))+INDEX(Resulting_Shots_Totals,MATCH('Shots Selections'!E26,Resulting_Shots_Players,0))+INDEX(Resulting_Shots_Totals,MATCH('Shots Selections'!F26,Resulting_Shots_Players,0))+INDEX(Resulting_Shots_Totals,MATCH('Shots Selections'!G26,Resulting_Shots_Players,0))</f>
        <v>0</v>
      </c>
      <c r="T26" s="56" t="str">
        <f t="shared" si="4"/>
        <v/>
      </c>
      <c r="V26" s="45" t="str">
        <f t="shared" si="5"/>
        <v/>
      </c>
      <c r="W26" s="48" t="str">
        <f>IFERROR(INDEX(FractionalPriceLookUp,MATCH('Shots Selections'!V26,DecimalPriceLookUp,1)),"")</f>
        <v/>
      </c>
      <c r="Y26" s="25">
        <f t="shared" si="0"/>
        <v>0</v>
      </c>
      <c r="Z26" s="155">
        <f t="shared" si="1"/>
        <v>0</v>
      </c>
      <c r="AA26" s="19"/>
      <c r="AB26" s="158" t="str">
        <f t="shared" si="6"/>
        <v>No</v>
      </c>
      <c r="AC26" s="150" t="s">
        <v>141</v>
      </c>
    </row>
    <row r="27" spans="2:29" s="14" customFormat="1" ht="15.95" customHeight="1" x14ac:dyDescent="0.25">
      <c r="B27" s="19"/>
      <c r="C27" s="21"/>
      <c r="D27" s="21"/>
      <c r="E27" s="21"/>
      <c r="F27" s="21"/>
      <c r="G27" s="21"/>
      <c r="H27" s="152"/>
      <c r="I27" s="52" t="str">
        <f t="shared" si="2"/>
        <v/>
      </c>
      <c r="K27" s="45" t="str">
        <f>IFERROR(INDEX(ShotsRemaining,MATCH('Shots Selections'!B27,ShotsPlayers,0)),"")</f>
        <v/>
      </c>
      <c r="L27" s="47" t="str">
        <f>IFERROR(INDEX(ShotsRemaining,MATCH('Shots Selections'!C27,ShotsPlayers,0)),"")</f>
        <v/>
      </c>
      <c r="M27" s="47" t="str">
        <f>IFERROR(INDEX(ShotsRemaining,MATCH('Shots Selections'!D27,ShotsPlayers,0)),"")</f>
        <v/>
      </c>
      <c r="N27" s="47" t="str">
        <f>IFERROR(INDEX(ShotsRemaining,MATCH('Shots Selections'!E27,ShotsPlayers,0)),"")</f>
        <v/>
      </c>
      <c r="O27" s="47" t="str">
        <f>IFERROR(INDEX(ShotsRemaining,MATCH('Shots Selections'!F27,ShotsPlayers,0)),"")</f>
        <v/>
      </c>
      <c r="P27" s="47" t="str">
        <f>IFERROR(INDEX(ShotsRemaining,MATCH('Shots Selections'!G27,ShotsPlayers,0)),"")</f>
        <v/>
      </c>
      <c r="Q27" s="56">
        <f t="shared" si="3"/>
        <v>0</v>
      </c>
      <c r="R27" s="23"/>
      <c r="S27" s="100">
        <f>INDEX(Resulting_Shots_Totals,MATCH('Shots Selections'!B27,Resulting_Shots_Players,0))+INDEX(Resulting_Shots_Totals,MATCH('Shots Selections'!C27,Resulting_Shots_Players,0))+INDEX(Resulting_Shots_Totals,MATCH('Shots Selections'!D27,Resulting_Shots_Players,0))+INDEX(Resulting_Shots_Totals,MATCH('Shots Selections'!E27,Resulting_Shots_Players,0))+INDEX(Resulting_Shots_Totals,MATCH('Shots Selections'!F27,Resulting_Shots_Players,0))+INDEX(Resulting_Shots_Totals,MATCH('Shots Selections'!G27,Resulting_Shots_Players,0))</f>
        <v>0</v>
      </c>
      <c r="T27" s="56" t="str">
        <f t="shared" si="4"/>
        <v/>
      </c>
      <c r="V27" s="45" t="str">
        <f t="shared" si="5"/>
        <v/>
      </c>
      <c r="W27" s="48" t="str">
        <f>IFERROR(INDEX(FractionalPriceLookUp,MATCH('Shots Selections'!V27,DecimalPriceLookUp,1)),"")</f>
        <v/>
      </c>
      <c r="Y27" s="25">
        <f t="shared" si="0"/>
        <v>0</v>
      </c>
      <c r="Z27" s="155">
        <f t="shared" si="1"/>
        <v>0</v>
      </c>
      <c r="AA27" s="19"/>
      <c r="AB27" s="158" t="str">
        <f t="shared" si="6"/>
        <v>No</v>
      </c>
      <c r="AC27" s="150" t="s">
        <v>141</v>
      </c>
    </row>
    <row r="28" spans="2:29" s="14" customFormat="1" ht="15.95" customHeight="1" x14ac:dyDescent="0.25">
      <c r="B28" s="19"/>
      <c r="C28" s="21"/>
      <c r="D28" s="21"/>
      <c r="E28" s="21"/>
      <c r="F28" s="21"/>
      <c r="G28" s="21"/>
      <c r="H28" s="152"/>
      <c r="I28" s="52" t="str">
        <f t="shared" si="2"/>
        <v/>
      </c>
      <c r="K28" s="45" t="str">
        <f>IFERROR(INDEX(ShotsRemaining,MATCH('Shots Selections'!B28,ShotsPlayers,0)),"")</f>
        <v/>
      </c>
      <c r="L28" s="47" t="str">
        <f>IFERROR(INDEX(ShotsRemaining,MATCH('Shots Selections'!C28,ShotsPlayers,0)),"")</f>
        <v/>
      </c>
      <c r="M28" s="47" t="str">
        <f>IFERROR(INDEX(ShotsRemaining,MATCH('Shots Selections'!D28,ShotsPlayers,0)),"")</f>
        <v/>
      </c>
      <c r="N28" s="47" t="str">
        <f>IFERROR(INDEX(ShotsRemaining,MATCH('Shots Selections'!E28,ShotsPlayers,0)),"")</f>
        <v/>
      </c>
      <c r="O28" s="47" t="str">
        <f>IFERROR(INDEX(ShotsRemaining,MATCH('Shots Selections'!F28,ShotsPlayers,0)),"")</f>
        <v/>
      </c>
      <c r="P28" s="47" t="str">
        <f>IFERROR(INDEX(ShotsRemaining,MATCH('Shots Selections'!G28,ShotsPlayers,0)),"")</f>
        <v/>
      </c>
      <c r="Q28" s="56">
        <f t="shared" si="3"/>
        <v>0</v>
      </c>
      <c r="R28" s="23"/>
      <c r="S28" s="100">
        <f>INDEX(Resulting_Shots_Totals,MATCH('Shots Selections'!B28,Resulting_Shots_Players,0))+INDEX(Resulting_Shots_Totals,MATCH('Shots Selections'!C28,Resulting_Shots_Players,0))+INDEX(Resulting_Shots_Totals,MATCH('Shots Selections'!D28,Resulting_Shots_Players,0))+INDEX(Resulting_Shots_Totals,MATCH('Shots Selections'!E28,Resulting_Shots_Players,0))+INDEX(Resulting_Shots_Totals,MATCH('Shots Selections'!F28,Resulting_Shots_Players,0))+INDEX(Resulting_Shots_Totals,MATCH('Shots Selections'!G28,Resulting_Shots_Players,0))</f>
        <v>0</v>
      </c>
      <c r="T28" s="56" t="str">
        <f t="shared" si="4"/>
        <v/>
      </c>
      <c r="V28" s="45" t="str">
        <f t="shared" si="5"/>
        <v/>
      </c>
      <c r="W28" s="48" t="str">
        <f>IFERROR(INDEX(FractionalPriceLookUp,MATCH('Shots Selections'!V28,DecimalPriceLookUp,1)),"")</f>
        <v/>
      </c>
      <c r="Y28" s="25">
        <f t="shared" si="0"/>
        <v>0</v>
      </c>
      <c r="Z28" s="155">
        <f t="shared" si="1"/>
        <v>0</v>
      </c>
      <c r="AA28" s="19"/>
      <c r="AB28" s="158" t="str">
        <f t="shared" si="6"/>
        <v>No</v>
      </c>
      <c r="AC28" s="150" t="s">
        <v>141</v>
      </c>
    </row>
    <row r="29" spans="2:29" s="14" customFormat="1" ht="15.95" customHeight="1" x14ac:dyDescent="0.25">
      <c r="B29" s="19"/>
      <c r="C29" s="21"/>
      <c r="D29" s="21"/>
      <c r="E29" s="21"/>
      <c r="F29" s="21"/>
      <c r="G29" s="21"/>
      <c r="H29" s="152"/>
      <c r="I29" s="52" t="str">
        <f t="shared" si="2"/>
        <v/>
      </c>
      <c r="K29" s="45" t="str">
        <f>IFERROR(INDEX(ShotsRemaining,MATCH('Shots Selections'!B29,ShotsPlayers,0)),"")</f>
        <v/>
      </c>
      <c r="L29" s="47" t="str">
        <f>IFERROR(INDEX(ShotsRemaining,MATCH('Shots Selections'!C29,ShotsPlayers,0)),"")</f>
        <v/>
      </c>
      <c r="M29" s="47" t="str">
        <f>IFERROR(INDEX(ShotsRemaining,MATCH('Shots Selections'!D29,ShotsPlayers,0)),"")</f>
        <v/>
      </c>
      <c r="N29" s="47" t="str">
        <f>IFERROR(INDEX(ShotsRemaining,MATCH('Shots Selections'!E29,ShotsPlayers,0)),"")</f>
        <v/>
      </c>
      <c r="O29" s="47" t="str">
        <f>IFERROR(INDEX(ShotsRemaining,MATCH('Shots Selections'!F29,ShotsPlayers,0)),"")</f>
        <v/>
      </c>
      <c r="P29" s="47" t="str">
        <f>IFERROR(INDEX(ShotsRemaining,MATCH('Shots Selections'!G29,ShotsPlayers,0)),"")</f>
        <v/>
      </c>
      <c r="Q29" s="56">
        <f t="shared" si="3"/>
        <v>0</v>
      </c>
      <c r="R29" s="23"/>
      <c r="S29" s="100">
        <f>INDEX(Resulting_Shots_Totals,MATCH('Shots Selections'!B29,Resulting_Shots_Players,0))+INDEX(Resulting_Shots_Totals,MATCH('Shots Selections'!C29,Resulting_Shots_Players,0))+INDEX(Resulting_Shots_Totals,MATCH('Shots Selections'!D29,Resulting_Shots_Players,0))+INDEX(Resulting_Shots_Totals,MATCH('Shots Selections'!E29,Resulting_Shots_Players,0))+INDEX(Resulting_Shots_Totals,MATCH('Shots Selections'!F29,Resulting_Shots_Players,0))+INDEX(Resulting_Shots_Totals,MATCH('Shots Selections'!G29,Resulting_Shots_Players,0))</f>
        <v>0</v>
      </c>
      <c r="T29" s="56" t="str">
        <f t="shared" si="4"/>
        <v/>
      </c>
      <c r="V29" s="45" t="str">
        <f t="shared" si="5"/>
        <v/>
      </c>
      <c r="W29" s="48" t="str">
        <f>IFERROR(INDEX(FractionalPriceLookUp,MATCH('Shots Selections'!V29,DecimalPriceLookUp,1)),"")</f>
        <v/>
      </c>
      <c r="Y29" s="25">
        <f t="shared" ref="Y29:Y46" si="7">6-COUNTBLANK(B29:G29)</f>
        <v>0</v>
      </c>
      <c r="Z29" s="155">
        <f t="shared" si="1"/>
        <v>0</v>
      </c>
      <c r="AA29" s="19"/>
      <c r="AB29" s="158" t="str">
        <f t="shared" si="6"/>
        <v>No</v>
      </c>
      <c r="AC29" s="150" t="s">
        <v>142</v>
      </c>
    </row>
    <row r="30" spans="2:29" s="14" customFormat="1" ht="15.95" customHeight="1" x14ac:dyDescent="0.25">
      <c r="B30" s="19"/>
      <c r="C30" s="21"/>
      <c r="D30" s="21"/>
      <c r="E30" s="21"/>
      <c r="F30" s="21"/>
      <c r="G30" s="21"/>
      <c r="H30" s="152"/>
      <c r="I30" s="52" t="str">
        <f t="shared" si="2"/>
        <v/>
      </c>
      <c r="K30" s="45" t="str">
        <f>IFERROR(INDEX(ShotsRemaining,MATCH('Shots Selections'!B30,ShotsPlayers,0)),"")</f>
        <v/>
      </c>
      <c r="L30" s="47" t="str">
        <f>IFERROR(INDEX(ShotsRemaining,MATCH('Shots Selections'!C30,ShotsPlayers,0)),"")</f>
        <v/>
      </c>
      <c r="M30" s="47" t="str">
        <f>IFERROR(INDEX(ShotsRemaining,MATCH('Shots Selections'!D30,ShotsPlayers,0)),"")</f>
        <v/>
      </c>
      <c r="N30" s="47" t="str">
        <f>IFERROR(INDEX(ShotsRemaining,MATCH('Shots Selections'!E30,ShotsPlayers,0)),"")</f>
        <v/>
      </c>
      <c r="O30" s="47" t="str">
        <f>IFERROR(INDEX(ShotsRemaining,MATCH('Shots Selections'!F30,ShotsPlayers,0)),"")</f>
        <v/>
      </c>
      <c r="P30" s="47" t="str">
        <f>IFERROR(INDEX(ShotsRemaining,MATCH('Shots Selections'!G30,ShotsPlayers,0)),"")</f>
        <v/>
      </c>
      <c r="Q30" s="56">
        <f t="shared" si="3"/>
        <v>0</v>
      </c>
      <c r="R30" s="23"/>
      <c r="S30" s="100">
        <f>INDEX(Resulting_Shots_Totals,MATCH('Shots Selections'!B30,Resulting_Shots_Players,0))+INDEX(Resulting_Shots_Totals,MATCH('Shots Selections'!C30,Resulting_Shots_Players,0))+INDEX(Resulting_Shots_Totals,MATCH('Shots Selections'!D30,Resulting_Shots_Players,0))+INDEX(Resulting_Shots_Totals,MATCH('Shots Selections'!E30,Resulting_Shots_Players,0))+INDEX(Resulting_Shots_Totals,MATCH('Shots Selections'!F30,Resulting_Shots_Players,0))+INDEX(Resulting_Shots_Totals,MATCH('Shots Selections'!G30,Resulting_Shots_Players,0))</f>
        <v>0</v>
      </c>
      <c r="T30" s="56" t="str">
        <f t="shared" si="4"/>
        <v/>
      </c>
      <c r="V30" s="45" t="str">
        <f t="shared" si="5"/>
        <v/>
      </c>
      <c r="W30" s="48" t="str">
        <f>IFERROR(INDEX(FractionalPriceLookUp,MATCH('Shots Selections'!V30,DecimalPriceLookUp,1)),"")</f>
        <v/>
      </c>
      <c r="Y30" s="25">
        <f t="shared" si="7"/>
        <v>0</v>
      </c>
      <c r="Z30" s="155">
        <f t="shared" si="1"/>
        <v>0</v>
      </c>
      <c r="AA30" s="19"/>
      <c r="AB30" s="158" t="str">
        <f t="shared" si="6"/>
        <v>No</v>
      </c>
      <c r="AC30" s="150" t="s">
        <v>142</v>
      </c>
    </row>
    <row r="31" spans="2:29" s="14" customFormat="1" ht="15.95" customHeight="1" x14ac:dyDescent="0.25">
      <c r="B31" s="19"/>
      <c r="C31" s="21"/>
      <c r="D31" s="21"/>
      <c r="E31" s="21"/>
      <c r="F31" s="21"/>
      <c r="G31" s="21"/>
      <c r="H31" s="152"/>
      <c r="I31" s="52" t="str">
        <f t="shared" si="2"/>
        <v/>
      </c>
      <c r="K31" s="45" t="str">
        <f>IFERROR(INDEX(ShotsRemaining,MATCH('Shots Selections'!B31,ShotsPlayers,0)),"")</f>
        <v/>
      </c>
      <c r="L31" s="47" t="str">
        <f>IFERROR(INDEX(ShotsRemaining,MATCH('Shots Selections'!C31,ShotsPlayers,0)),"")</f>
        <v/>
      </c>
      <c r="M31" s="47" t="str">
        <f>IFERROR(INDEX(ShotsRemaining,MATCH('Shots Selections'!D31,ShotsPlayers,0)),"")</f>
        <v/>
      </c>
      <c r="N31" s="47" t="str">
        <f>IFERROR(INDEX(ShotsRemaining,MATCH('Shots Selections'!E31,ShotsPlayers,0)),"")</f>
        <v/>
      </c>
      <c r="O31" s="47" t="str">
        <f>IFERROR(INDEX(ShotsRemaining,MATCH('Shots Selections'!F31,ShotsPlayers,0)),"")</f>
        <v/>
      </c>
      <c r="P31" s="47" t="str">
        <f>IFERROR(INDEX(ShotsRemaining,MATCH('Shots Selections'!G31,ShotsPlayers,0)),"")</f>
        <v/>
      </c>
      <c r="Q31" s="56">
        <f t="shared" si="3"/>
        <v>0</v>
      </c>
      <c r="R31" s="23"/>
      <c r="S31" s="100">
        <f>INDEX(Resulting_Shots_Totals,MATCH('Shots Selections'!B31,Resulting_Shots_Players,0))+INDEX(Resulting_Shots_Totals,MATCH('Shots Selections'!C31,Resulting_Shots_Players,0))+INDEX(Resulting_Shots_Totals,MATCH('Shots Selections'!D31,Resulting_Shots_Players,0))+INDEX(Resulting_Shots_Totals,MATCH('Shots Selections'!E31,Resulting_Shots_Players,0))+INDEX(Resulting_Shots_Totals,MATCH('Shots Selections'!F31,Resulting_Shots_Players,0))+INDEX(Resulting_Shots_Totals,MATCH('Shots Selections'!G31,Resulting_Shots_Players,0))</f>
        <v>0</v>
      </c>
      <c r="T31" s="56" t="str">
        <f t="shared" si="4"/>
        <v/>
      </c>
      <c r="V31" s="45" t="str">
        <f t="shared" si="5"/>
        <v/>
      </c>
      <c r="W31" s="48" t="str">
        <f>IFERROR(INDEX(FractionalPriceLookUp,MATCH('Shots Selections'!V31,DecimalPriceLookUp,1)),"")</f>
        <v/>
      </c>
      <c r="Y31" s="25">
        <f t="shared" si="7"/>
        <v>0</v>
      </c>
      <c r="Z31" s="155">
        <f t="shared" si="1"/>
        <v>0</v>
      </c>
      <c r="AA31" s="19"/>
      <c r="AB31" s="158" t="str">
        <f t="shared" si="6"/>
        <v>No</v>
      </c>
      <c r="AC31" s="150" t="s">
        <v>142</v>
      </c>
    </row>
    <row r="32" spans="2:29" s="14" customFormat="1" ht="15.95" customHeight="1" x14ac:dyDescent="0.25">
      <c r="B32" s="19"/>
      <c r="C32" s="21"/>
      <c r="D32" s="21"/>
      <c r="E32" s="21"/>
      <c r="F32" s="21"/>
      <c r="G32" s="21"/>
      <c r="H32" s="152"/>
      <c r="I32" s="52" t="str">
        <f t="shared" si="2"/>
        <v/>
      </c>
      <c r="K32" s="45" t="str">
        <f>IFERROR(INDEX(ShotsRemaining,MATCH('Shots Selections'!B32,ShotsPlayers,0)),"")</f>
        <v/>
      </c>
      <c r="L32" s="47" t="str">
        <f>IFERROR(INDEX(ShotsRemaining,MATCH('Shots Selections'!C32,ShotsPlayers,0)),"")</f>
        <v/>
      </c>
      <c r="M32" s="47" t="str">
        <f>IFERROR(INDEX(ShotsRemaining,MATCH('Shots Selections'!D32,ShotsPlayers,0)),"")</f>
        <v/>
      </c>
      <c r="N32" s="47" t="str">
        <f>IFERROR(INDEX(ShotsRemaining,MATCH('Shots Selections'!E32,ShotsPlayers,0)),"")</f>
        <v/>
      </c>
      <c r="O32" s="47" t="str">
        <f>IFERROR(INDEX(ShotsRemaining,MATCH('Shots Selections'!F32,ShotsPlayers,0)),"")</f>
        <v/>
      </c>
      <c r="P32" s="47" t="str">
        <f>IFERROR(INDEX(ShotsRemaining,MATCH('Shots Selections'!G32,ShotsPlayers,0)),"")</f>
        <v/>
      </c>
      <c r="Q32" s="56">
        <f t="shared" si="3"/>
        <v>0</v>
      </c>
      <c r="R32" s="23"/>
      <c r="S32" s="100">
        <f>INDEX(Resulting_Shots_Totals,MATCH('Shots Selections'!B32,Resulting_Shots_Players,0))+INDEX(Resulting_Shots_Totals,MATCH('Shots Selections'!C32,Resulting_Shots_Players,0))+INDEX(Resulting_Shots_Totals,MATCH('Shots Selections'!D32,Resulting_Shots_Players,0))+INDEX(Resulting_Shots_Totals,MATCH('Shots Selections'!E32,Resulting_Shots_Players,0))+INDEX(Resulting_Shots_Totals,MATCH('Shots Selections'!F32,Resulting_Shots_Players,0))+INDEX(Resulting_Shots_Totals,MATCH('Shots Selections'!G32,Resulting_Shots_Players,0))</f>
        <v>0</v>
      </c>
      <c r="T32" s="56" t="str">
        <f t="shared" si="4"/>
        <v/>
      </c>
      <c r="V32" s="45" t="str">
        <f t="shared" si="5"/>
        <v/>
      </c>
      <c r="W32" s="48" t="str">
        <f>IFERROR(INDEX(FractionalPriceLookUp,MATCH('Shots Selections'!V32,DecimalPriceLookUp,1)),"")</f>
        <v/>
      </c>
      <c r="Y32" s="25">
        <f t="shared" si="7"/>
        <v>0</v>
      </c>
      <c r="Z32" s="155">
        <f t="shared" si="1"/>
        <v>0</v>
      </c>
      <c r="AA32" s="19"/>
      <c r="AB32" s="158" t="str">
        <f t="shared" si="6"/>
        <v>No</v>
      </c>
      <c r="AC32" s="150" t="s">
        <v>142</v>
      </c>
    </row>
    <row r="33" spans="2:29" s="14" customFormat="1" ht="15.95" customHeight="1" x14ac:dyDescent="0.25">
      <c r="B33" s="19"/>
      <c r="C33" s="21"/>
      <c r="D33" s="21"/>
      <c r="E33" s="21"/>
      <c r="F33" s="21"/>
      <c r="G33" s="21"/>
      <c r="H33" s="152"/>
      <c r="I33" s="52" t="str">
        <f t="shared" si="2"/>
        <v/>
      </c>
      <c r="K33" s="45" t="str">
        <f>IFERROR(INDEX(ShotsRemaining,MATCH('Shots Selections'!B33,ShotsPlayers,0)),"")</f>
        <v/>
      </c>
      <c r="L33" s="47" t="str">
        <f>IFERROR(INDEX(ShotsRemaining,MATCH('Shots Selections'!C33,ShotsPlayers,0)),"")</f>
        <v/>
      </c>
      <c r="M33" s="47" t="str">
        <f>IFERROR(INDEX(ShotsRemaining,MATCH('Shots Selections'!D33,ShotsPlayers,0)),"")</f>
        <v/>
      </c>
      <c r="N33" s="47" t="str">
        <f>IFERROR(INDEX(ShotsRemaining,MATCH('Shots Selections'!E33,ShotsPlayers,0)),"")</f>
        <v/>
      </c>
      <c r="O33" s="47" t="str">
        <f>IFERROR(INDEX(ShotsRemaining,MATCH('Shots Selections'!F33,ShotsPlayers,0)),"")</f>
        <v/>
      </c>
      <c r="P33" s="47" t="str">
        <f>IFERROR(INDEX(ShotsRemaining,MATCH('Shots Selections'!G33,ShotsPlayers,0)),"")</f>
        <v/>
      </c>
      <c r="Q33" s="56">
        <f t="shared" si="3"/>
        <v>0</v>
      </c>
      <c r="R33" s="23"/>
      <c r="S33" s="100">
        <f>INDEX(Resulting_Shots_Totals,MATCH('Shots Selections'!B33,Resulting_Shots_Players,0))+INDEX(Resulting_Shots_Totals,MATCH('Shots Selections'!C33,Resulting_Shots_Players,0))+INDEX(Resulting_Shots_Totals,MATCH('Shots Selections'!D33,Resulting_Shots_Players,0))+INDEX(Resulting_Shots_Totals,MATCH('Shots Selections'!E33,Resulting_Shots_Players,0))+INDEX(Resulting_Shots_Totals,MATCH('Shots Selections'!F33,Resulting_Shots_Players,0))+INDEX(Resulting_Shots_Totals,MATCH('Shots Selections'!G33,Resulting_Shots_Players,0))</f>
        <v>0</v>
      </c>
      <c r="T33" s="56" t="str">
        <f t="shared" si="4"/>
        <v/>
      </c>
      <c r="V33" s="45" t="str">
        <f t="shared" si="5"/>
        <v/>
      </c>
      <c r="W33" s="48" t="str">
        <f>IFERROR(INDEX(FractionalPriceLookUp,MATCH('Shots Selections'!V33,DecimalPriceLookUp,1)),"")</f>
        <v/>
      </c>
      <c r="Y33" s="25">
        <f t="shared" si="7"/>
        <v>0</v>
      </c>
      <c r="Z33" s="155">
        <f t="shared" si="1"/>
        <v>0</v>
      </c>
      <c r="AA33" s="19"/>
      <c r="AB33" s="158" t="str">
        <f t="shared" si="6"/>
        <v>No</v>
      </c>
      <c r="AC33" s="150" t="s">
        <v>142</v>
      </c>
    </row>
    <row r="34" spans="2:29" s="14" customFormat="1" ht="15.95" customHeight="1" x14ac:dyDescent="0.25">
      <c r="B34" s="19"/>
      <c r="C34" s="21"/>
      <c r="D34" s="21"/>
      <c r="E34" s="21"/>
      <c r="F34" s="21"/>
      <c r="G34" s="21"/>
      <c r="H34" s="152"/>
      <c r="I34" s="52" t="str">
        <f t="shared" si="2"/>
        <v/>
      </c>
      <c r="K34" s="45" t="str">
        <f>IFERROR(INDEX(ShotsRemaining,MATCH('Shots Selections'!B34,ShotsPlayers,0)),"")</f>
        <v/>
      </c>
      <c r="L34" s="47" t="str">
        <f>IFERROR(INDEX(ShotsRemaining,MATCH('Shots Selections'!C34,ShotsPlayers,0)),"")</f>
        <v/>
      </c>
      <c r="M34" s="47" t="str">
        <f>IFERROR(INDEX(ShotsRemaining,MATCH('Shots Selections'!D34,ShotsPlayers,0)),"")</f>
        <v/>
      </c>
      <c r="N34" s="47" t="str">
        <f>IFERROR(INDEX(ShotsRemaining,MATCH('Shots Selections'!E34,ShotsPlayers,0)),"")</f>
        <v/>
      </c>
      <c r="O34" s="47" t="str">
        <f>IFERROR(INDEX(ShotsRemaining,MATCH('Shots Selections'!F34,ShotsPlayers,0)),"")</f>
        <v/>
      </c>
      <c r="P34" s="47" t="str">
        <f>IFERROR(INDEX(ShotsRemaining,MATCH('Shots Selections'!G34,ShotsPlayers,0)),"")</f>
        <v/>
      </c>
      <c r="Q34" s="56">
        <f t="shared" si="3"/>
        <v>0</v>
      </c>
      <c r="R34" s="23"/>
      <c r="S34" s="100">
        <f>INDEX(Resulting_Shots_Totals,MATCH('Shots Selections'!B34,Resulting_Shots_Players,0))+INDEX(Resulting_Shots_Totals,MATCH('Shots Selections'!C34,Resulting_Shots_Players,0))+INDEX(Resulting_Shots_Totals,MATCH('Shots Selections'!D34,Resulting_Shots_Players,0))+INDEX(Resulting_Shots_Totals,MATCH('Shots Selections'!E34,Resulting_Shots_Players,0))+INDEX(Resulting_Shots_Totals,MATCH('Shots Selections'!F34,Resulting_Shots_Players,0))+INDEX(Resulting_Shots_Totals,MATCH('Shots Selections'!G34,Resulting_Shots_Players,0))</f>
        <v>0</v>
      </c>
      <c r="T34" s="56" t="str">
        <f t="shared" si="4"/>
        <v/>
      </c>
      <c r="V34" s="45" t="str">
        <f t="shared" si="5"/>
        <v/>
      </c>
      <c r="W34" s="48" t="str">
        <f>IFERROR(INDEX(FractionalPriceLookUp,MATCH('Shots Selections'!V34,DecimalPriceLookUp,1)),"")</f>
        <v/>
      </c>
      <c r="Y34" s="25">
        <f t="shared" si="7"/>
        <v>0</v>
      </c>
      <c r="Z34" s="155">
        <f t="shared" si="1"/>
        <v>0</v>
      </c>
      <c r="AA34" s="19"/>
      <c r="AB34" s="158" t="str">
        <f t="shared" si="6"/>
        <v>No</v>
      </c>
      <c r="AC34" s="150" t="s">
        <v>142</v>
      </c>
    </row>
    <row r="35" spans="2:29" s="14" customFormat="1" ht="15.95" customHeight="1" x14ac:dyDescent="0.25">
      <c r="B35" s="19"/>
      <c r="C35" s="21"/>
      <c r="D35" s="21"/>
      <c r="E35" s="21"/>
      <c r="F35" s="21"/>
      <c r="G35" s="21"/>
      <c r="H35" s="152"/>
      <c r="I35" s="52" t="str">
        <f t="shared" si="2"/>
        <v/>
      </c>
      <c r="K35" s="45" t="str">
        <f>IFERROR(INDEX(ShotsRemaining,MATCH('Shots Selections'!B35,ShotsPlayers,0)),"")</f>
        <v/>
      </c>
      <c r="L35" s="47" t="str">
        <f>IFERROR(INDEX(ShotsRemaining,MATCH('Shots Selections'!C35,ShotsPlayers,0)),"")</f>
        <v/>
      </c>
      <c r="M35" s="47" t="str">
        <f>IFERROR(INDEX(ShotsRemaining,MATCH('Shots Selections'!D35,ShotsPlayers,0)),"")</f>
        <v/>
      </c>
      <c r="N35" s="47" t="str">
        <f>IFERROR(INDEX(ShotsRemaining,MATCH('Shots Selections'!E35,ShotsPlayers,0)),"")</f>
        <v/>
      </c>
      <c r="O35" s="47" t="str">
        <f>IFERROR(INDEX(ShotsRemaining,MATCH('Shots Selections'!F35,ShotsPlayers,0)),"")</f>
        <v/>
      </c>
      <c r="P35" s="47" t="str">
        <f>IFERROR(INDEX(ShotsRemaining,MATCH('Shots Selections'!G35,ShotsPlayers,0)),"")</f>
        <v/>
      </c>
      <c r="Q35" s="56">
        <f t="shared" si="3"/>
        <v>0</v>
      </c>
      <c r="R35" s="23"/>
      <c r="S35" s="100">
        <f>INDEX(Resulting_Shots_Totals,MATCH('Shots Selections'!B35,Resulting_Shots_Players,0))+INDEX(Resulting_Shots_Totals,MATCH('Shots Selections'!C35,Resulting_Shots_Players,0))+INDEX(Resulting_Shots_Totals,MATCH('Shots Selections'!D35,Resulting_Shots_Players,0))+INDEX(Resulting_Shots_Totals,MATCH('Shots Selections'!E35,Resulting_Shots_Players,0))+INDEX(Resulting_Shots_Totals,MATCH('Shots Selections'!F35,Resulting_Shots_Players,0))+INDEX(Resulting_Shots_Totals,MATCH('Shots Selections'!G35,Resulting_Shots_Players,0))</f>
        <v>0</v>
      </c>
      <c r="T35" s="56" t="str">
        <f t="shared" si="4"/>
        <v/>
      </c>
      <c r="V35" s="45" t="str">
        <f t="shared" si="5"/>
        <v/>
      </c>
      <c r="W35" s="48" t="str">
        <f>IFERROR(INDEX(FractionalPriceLookUp,MATCH('Shots Selections'!V35,DecimalPriceLookUp,1)),"")</f>
        <v/>
      </c>
      <c r="Y35" s="25">
        <f t="shared" si="7"/>
        <v>0</v>
      </c>
      <c r="Z35" s="155">
        <f t="shared" si="1"/>
        <v>0</v>
      </c>
      <c r="AA35" s="19"/>
      <c r="AB35" s="158" t="str">
        <f t="shared" si="6"/>
        <v>No</v>
      </c>
      <c r="AC35" s="150" t="s">
        <v>142</v>
      </c>
    </row>
    <row r="36" spans="2:29" x14ac:dyDescent="0.25">
      <c r="B36" s="19"/>
      <c r="C36" s="22"/>
      <c r="D36" s="22"/>
      <c r="E36" s="22"/>
      <c r="F36" s="22"/>
      <c r="G36" s="22"/>
      <c r="H36" s="153"/>
      <c r="I36" s="52" t="str">
        <f t="shared" si="2"/>
        <v/>
      </c>
      <c r="K36" s="45" t="str">
        <f>IFERROR(INDEX(ShotsRemaining,MATCH('Shots Selections'!B36,ShotsPlayers,0)),"")</f>
        <v/>
      </c>
      <c r="L36" s="47" t="str">
        <f>IFERROR(INDEX(ShotsRemaining,MATCH('Shots Selections'!C36,ShotsPlayers,0)),"")</f>
        <v/>
      </c>
      <c r="M36" s="47" t="str">
        <f>IFERROR(INDEX(ShotsRemaining,MATCH('Shots Selections'!D36,ShotsPlayers,0)),"")</f>
        <v/>
      </c>
      <c r="N36" s="47" t="str">
        <f>IFERROR(INDEX(ShotsRemaining,MATCH('Shots Selections'!E36,ShotsPlayers,0)),"")</f>
        <v/>
      </c>
      <c r="O36" s="47" t="str">
        <f>IFERROR(INDEX(ShotsRemaining,MATCH('Shots Selections'!F36,ShotsPlayers,0)),"")</f>
        <v/>
      </c>
      <c r="P36" s="47" t="str">
        <f>IFERROR(INDEX(ShotsRemaining,MATCH('Shots Selections'!G36,ShotsPlayers,0)),"")</f>
        <v/>
      </c>
      <c r="Q36" s="56">
        <f t="shared" si="3"/>
        <v>0</v>
      </c>
      <c r="S36" s="100">
        <f>INDEX(Resulting_Shots_Totals,MATCH('Shots Selections'!B36,Resulting_Shots_Players,0))+INDEX(Resulting_Shots_Totals,MATCH('Shots Selections'!C36,Resulting_Shots_Players,0))+INDEX(Resulting_Shots_Totals,MATCH('Shots Selections'!D36,Resulting_Shots_Players,0))+INDEX(Resulting_Shots_Totals,MATCH('Shots Selections'!E36,Resulting_Shots_Players,0))+INDEX(Resulting_Shots_Totals,MATCH('Shots Selections'!F36,Resulting_Shots_Players,0))+INDEX(Resulting_Shots_Totals,MATCH('Shots Selections'!G36,Resulting_Shots_Players,0))</f>
        <v>0</v>
      </c>
      <c r="T36" s="56" t="str">
        <f t="shared" si="4"/>
        <v/>
      </c>
      <c r="V36" s="45" t="str">
        <f t="shared" si="5"/>
        <v/>
      </c>
      <c r="W36" s="48" t="str">
        <f>IFERROR(INDEX(FractionalPriceLookUp,MATCH('Shots Selections'!V36,DecimalPriceLookUp,1)),"")</f>
        <v/>
      </c>
      <c r="Y36" s="25">
        <f t="shared" si="7"/>
        <v>0</v>
      </c>
      <c r="Z36" s="155">
        <f t="shared" si="1"/>
        <v>0</v>
      </c>
      <c r="AA36" s="84"/>
      <c r="AB36" s="158" t="str">
        <f t="shared" si="6"/>
        <v>No</v>
      </c>
      <c r="AC36" s="150" t="s">
        <v>142</v>
      </c>
    </row>
    <row r="37" spans="2:29" x14ac:dyDescent="0.25">
      <c r="B37" s="19"/>
      <c r="C37" s="22"/>
      <c r="D37" s="22"/>
      <c r="E37" s="22"/>
      <c r="F37" s="22"/>
      <c r="G37" s="22"/>
      <c r="H37" s="153"/>
      <c r="I37" s="52" t="str">
        <f t="shared" si="2"/>
        <v/>
      </c>
      <c r="K37" s="45" t="str">
        <f>IFERROR(INDEX(ShotsRemaining,MATCH('Shots Selections'!B37,ShotsPlayers,0)),"")</f>
        <v/>
      </c>
      <c r="L37" s="47" t="str">
        <f>IFERROR(INDEX(ShotsRemaining,MATCH('Shots Selections'!C37,ShotsPlayers,0)),"")</f>
        <v/>
      </c>
      <c r="M37" s="47" t="str">
        <f>IFERROR(INDEX(ShotsRemaining,MATCH('Shots Selections'!D37,ShotsPlayers,0)),"")</f>
        <v/>
      </c>
      <c r="N37" s="47" t="str">
        <f>IFERROR(INDEX(ShotsRemaining,MATCH('Shots Selections'!E37,ShotsPlayers,0)),"")</f>
        <v/>
      </c>
      <c r="O37" s="47" t="str">
        <f>IFERROR(INDEX(ShotsRemaining,MATCH('Shots Selections'!F37,ShotsPlayers,0)),"")</f>
        <v/>
      </c>
      <c r="P37" s="47" t="str">
        <f>IFERROR(INDEX(ShotsRemaining,MATCH('Shots Selections'!G37,ShotsPlayers,0)),"")</f>
        <v/>
      </c>
      <c r="Q37" s="56">
        <f t="shared" si="3"/>
        <v>0</v>
      </c>
      <c r="S37" s="100">
        <f>INDEX(Resulting_Shots_Totals,MATCH('Shots Selections'!B37,Resulting_Shots_Players,0))+INDEX(Resulting_Shots_Totals,MATCH('Shots Selections'!C37,Resulting_Shots_Players,0))+INDEX(Resulting_Shots_Totals,MATCH('Shots Selections'!D37,Resulting_Shots_Players,0))+INDEX(Resulting_Shots_Totals,MATCH('Shots Selections'!E37,Resulting_Shots_Players,0))+INDEX(Resulting_Shots_Totals,MATCH('Shots Selections'!F37,Resulting_Shots_Players,0))+INDEX(Resulting_Shots_Totals,MATCH('Shots Selections'!G37,Resulting_Shots_Players,0))</f>
        <v>0</v>
      </c>
      <c r="T37" s="56" t="str">
        <f t="shared" si="4"/>
        <v/>
      </c>
      <c r="V37" s="45" t="str">
        <f t="shared" si="5"/>
        <v/>
      </c>
      <c r="W37" s="48" t="str">
        <f>IFERROR(INDEX(FractionalPriceLookUp,MATCH('Shots Selections'!V37,DecimalPriceLookUp,1)),"")</f>
        <v/>
      </c>
      <c r="Y37" s="25">
        <f t="shared" si="7"/>
        <v>0</v>
      </c>
      <c r="Z37" s="155">
        <f t="shared" si="1"/>
        <v>0</v>
      </c>
      <c r="AA37" s="84"/>
      <c r="AB37" s="158" t="str">
        <f t="shared" si="6"/>
        <v>No</v>
      </c>
      <c r="AC37" s="150" t="s">
        <v>142</v>
      </c>
    </row>
    <row r="38" spans="2:29" x14ac:dyDescent="0.25">
      <c r="B38" s="19"/>
      <c r="C38" s="22"/>
      <c r="D38" s="22"/>
      <c r="E38" s="22"/>
      <c r="F38" s="22"/>
      <c r="G38" s="22"/>
      <c r="H38" s="153"/>
      <c r="I38" s="52" t="str">
        <f t="shared" si="2"/>
        <v/>
      </c>
      <c r="K38" s="45" t="str">
        <f>IFERROR(INDEX(ShotsRemaining,MATCH('Shots Selections'!B38,ShotsPlayers,0)),"")</f>
        <v/>
      </c>
      <c r="L38" s="47" t="str">
        <f>IFERROR(INDEX(ShotsRemaining,MATCH('Shots Selections'!C38,ShotsPlayers,0)),"")</f>
        <v/>
      </c>
      <c r="M38" s="47" t="str">
        <f>IFERROR(INDEX(ShotsRemaining,MATCH('Shots Selections'!D38,ShotsPlayers,0)),"")</f>
        <v/>
      </c>
      <c r="N38" s="47" t="str">
        <f>IFERROR(INDEX(ShotsRemaining,MATCH('Shots Selections'!E38,ShotsPlayers,0)),"")</f>
        <v/>
      </c>
      <c r="O38" s="47" t="str">
        <f>IFERROR(INDEX(ShotsRemaining,MATCH('Shots Selections'!F38,ShotsPlayers,0)),"")</f>
        <v/>
      </c>
      <c r="P38" s="47" t="str">
        <f>IFERROR(INDEX(ShotsRemaining,MATCH('Shots Selections'!G38,ShotsPlayers,0)),"")</f>
        <v/>
      </c>
      <c r="Q38" s="56">
        <f t="shared" si="3"/>
        <v>0</v>
      </c>
      <c r="S38" s="100">
        <f>INDEX(Resulting_Shots_Totals,MATCH('Shots Selections'!B38,Resulting_Shots_Players,0))+INDEX(Resulting_Shots_Totals,MATCH('Shots Selections'!C38,Resulting_Shots_Players,0))+INDEX(Resulting_Shots_Totals,MATCH('Shots Selections'!D38,Resulting_Shots_Players,0))+INDEX(Resulting_Shots_Totals,MATCH('Shots Selections'!E38,Resulting_Shots_Players,0))+INDEX(Resulting_Shots_Totals,MATCH('Shots Selections'!F38,Resulting_Shots_Players,0))+INDEX(Resulting_Shots_Totals,MATCH('Shots Selections'!G38,Resulting_Shots_Players,0))</f>
        <v>0</v>
      </c>
      <c r="T38" s="56" t="str">
        <f t="shared" si="4"/>
        <v/>
      </c>
      <c r="V38" s="45" t="str">
        <f t="shared" si="5"/>
        <v/>
      </c>
      <c r="W38" s="48" t="str">
        <f>IFERROR(INDEX(FractionalPriceLookUp,MATCH('Shots Selections'!V38,DecimalPriceLookUp,1)),"")</f>
        <v/>
      </c>
      <c r="Y38" s="25">
        <f t="shared" si="7"/>
        <v>0</v>
      </c>
      <c r="Z38" s="155">
        <f t="shared" si="1"/>
        <v>0</v>
      </c>
      <c r="AA38" s="84"/>
      <c r="AB38" s="158" t="str">
        <f t="shared" si="6"/>
        <v>No</v>
      </c>
      <c r="AC38" s="150" t="s">
        <v>142</v>
      </c>
    </row>
    <row r="39" spans="2:29" x14ac:dyDescent="0.25">
      <c r="B39" s="19"/>
      <c r="C39" s="22"/>
      <c r="D39" s="22"/>
      <c r="E39" s="22"/>
      <c r="F39" s="22"/>
      <c r="G39" s="22"/>
      <c r="H39" s="153"/>
      <c r="I39" s="52" t="str">
        <f t="shared" si="2"/>
        <v/>
      </c>
      <c r="K39" s="45" t="str">
        <f>IFERROR(INDEX(ShotsRemaining,MATCH('Shots Selections'!B39,ShotsPlayers,0)),"")</f>
        <v/>
      </c>
      <c r="L39" s="47" t="str">
        <f>IFERROR(INDEX(ShotsRemaining,MATCH('Shots Selections'!C39,ShotsPlayers,0)),"")</f>
        <v/>
      </c>
      <c r="M39" s="47" t="str">
        <f>IFERROR(INDEX(ShotsRemaining,MATCH('Shots Selections'!D39,ShotsPlayers,0)),"")</f>
        <v/>
      </c>
      <c r="N39" s="47" t="str">
        <f>IFERROR(INDEX(ShotsRemaining,MATCH('Shots Selections'!E39,ShotsPlayers,0)),"")</f>
        <v/>
      </c>
      <c r="O39" s="47" t="str">
        <f>IFERROR(INDEX(ShotsRemaining,MATCH('Shots Selections'!F39,ShotsPlayers,0)),"")</f>
        <v/>
      </c>
      <c r="P39" s="47" t="str">
        <f>IFERROR(INDEX(ShotsRemaining,MATCH('Shots Selections'!G39,ShotsPlayers,0)),"")</f>
        <v/>
      </c>
      <c r="Q39" s="56">
        <f t="shared" si="3"/>
        <v>0</v>
      </c>
      <c r="S39" s="100">
        <f>INDEX(Resulting_Shots_Totals,MATCH('Shots Selections'!B39,Resulting_Shots_Players,0))+INDEX(Resulting_Shots_Totals,MATCH('Shots Selections'!C39,Resulting_Shots_Players,0))+INDEX(Resulting_Shots_Totals,MATCH('Shots Selections'!D39,Resulting_Shots_Players,0))+INDEX(Resulting_Shots_Totals,MATCH('Shots Selections'!E39,Resulting_Shots_Players,0))+INDEX(Resulting_Shots_Totals,MATCH('Shots Selections'!F39,Resulting_Shots_Players,0))+INDEX(Resulting_Shots_Totals,MATCH('Shots Selections'!G39,Resulting_Shots_Players,0))</f>
        <v>0</v>
      </c>
      <c r="T39" s="56" t="str">
        <f t="shared" si="4"/>
        <v/>
      </c>
      <c r="V39" s="45" t="str">
        <f t="shared" si="5"/>
        <v/>
      </c>
      <c r="W39" s="48" t="str">
        <f>IFERROR(INDEX(FractionalPriceLookUp,MATCH('Shots Selections'!V39,DecimalPriceLookUp,1)),"")</f>
        <v/>
      </c>
      <c r="Y39" s="25">
        <f t="shared" si="7"/>
        <v>0</v>
      </c>
      <c r="Z39" s="155">
        <f t="shared" si="1"/>
        <v>0</v>
      </c>
      <c r="AA39" s="84"/>
      <c r="AB39" s="158" t="str">
        <f t="shared" si="6"/>
        <v>No</v>
      </c>
      <c r="AC39" s="150" t="s">
        <v>142</v>
      </c>
    </row>
    <row r="40" spans="2:29" x14ac:dyDescent="0.25">
      <c r="B40" s="19"/>
      <c r="C40" s="22"/>
      <c r="D40" s="22"/>
      <c r="E40" s="22"/>
      <c r="F40" s="22"/>
      <c r="G40" s="22"/>
      <c r="H40" s="153"/>
      <c r="I40" s="52" t="str">
        <f t="shared" si="2"/>
        <v/>
      </c>
      <c r="K40" s="45" t="str">
        <f>IFERROR(INDEX(ShotsRemaining,MATCH('Shots Selections'!B40,ShotsPlayers,0)),"")</f>
        <v/>
      </c>
      <c r="L40" s="47" t="str">
        <f>IFERROR(INDEX(ShotsRemaining,MATCH('Shots Selections'!C40,ShotsPlayers,0)),"")</f>
        <v/>
      </c>
      <c r="M40" s="47" t="str">
        <f>IFERROR(INDEX(ShotsRemaining,MATCH('Shots Selections'!D40,ShotsPlayers,0)),"")</f>
        <v/>
      </c>
      <c r="N40" s="47" t="str">
        <f>IFERROR(INDEX(ShotsRemaining,MATCH('Shots Selections'!E40,ShotsPlayers,0)),"")</f>
        <v/>
      </c>
      <c r="O40" s="47" t="str">
        <f>IFERROR(INDEX(ShotsRemaining,MATCH('Shots Selections'!F40,ShotsPlayers,0)),"")</f>
        <v/>
      </c>
      <c r="P40" s="47" t="str">
        <f>IFERROR(INDEX(ShotsRemaining,MATCH('Shots Selections'!G40,ShotsPlayers,0)),"")</f>
        <v/>
      </c>
      <c r="Q40" s="56">
        <f t="shared" si="3"/>
        <v>0</v>
      </c>
      <c r="S40" s="100">
        <f>INDEX(Resulting_Shots_Totals,MATCH('Shots Selections'!B40,Resulting_Shots_Players,0))+INDEX(Resulting_Shots_Totals,MATCH('Shots Selections'!C40,Resulting_Shots_Players,0))+INDEX(Resulting_Shots_Totals,MATCH('Shots Selections'!D40,Resulting_Shots_Players,0))+INDEX(Resulting_Shots_Totals,MATCH('Shots Selections'!E40,Resulting_Shots_Players,0))+INDEX(Resulting_Shots_Totals,MATCH('Shots Selections'!F40,Resulting_Shots_Players,0))+INDEX(Resulting_Shots_Totals,MATCH('Shots Selections'!G40,Resulting_Shots_Players,0))</f>
        <v>0</v>
      </c>
      <c r="T40" s="56" t="str">
        <f t="shared" si="4"/>
        <v/>
      </c>
      <c r="V40" s="45" t="str">
        <f t="shared" si="5"/>
        <v/>
      </c>
      <c r="W40" s="48" t="str">
        <f>IFERROR(INDEX(FractionalPriceLookUp,MATCH('Shots Selections'!V40,DecimalPriceLookUp,1)),"")</f>
        <v/>
      </c>
      <c r="Y40" s="25">
        <f t="shared" si="7"/>
        <v>0</v>
      </c>
      <c r="Z40" s="155">
        <f t="shared" si="1"/>
        <v>0</v>
      </c>
      <c r="AA40" s="84"/>
      <c r="AB40" s="158" t="str">
        <f t="shared" si="6"/>
        <v>No</v>
      </c>
      <c r="AC40" s="150" t="s">
        <v>142</v>
      </c>
    </row>
    <row r="41" spans="2:29" x14ac:dyDescent="0.25">
      <c r="B41" s="19"/>
      <c r="C41" s="22"/>
      <c r="D41" s="22"/>
      <c r="E41" s="22"/>
      <c r="F41" s="22"/>
      <c r="G41" s="22"/>
      <c r="H41" s="153"/>
      <c r="I41" s="52" t="str">
        <f t="shared" si="2"/>
        <v/>
      </c>
      <c r="K41" s="45" t="str">
        <f>IFERROR(INDEX(ShotsRemaining,MATCH('Shots Selections'!B41,ShotsPlayers,0)),"")</f>
        <v/>
      </c>
      <c r="L41" s="47" t="str">
        <f>IFERROR(INDEX(ShotsRemaining,MATCH('Shots Selections'!C41,ShotsPlayers,0)),"")</f>
        <v/>
      </c>
      <c r="M41" s="47" t="str">
        <f>IFERROR(INDEX(ShotsRemaining,MATCH('Shots Selections'!D41,ShotsPlayers,0)),"")</f>
        <v/>
      </c>
      <c r="N41" s="47" t="str">
        <f>IFERROR(INDEX(ShotsRemaining,MATCH('Shots Selections'!E41,ShotsPlayers,0)),"")</f>
        <v/>
      </c>
      <c r="O41" s="47" t="str">
        <f>IFERROR(INDEX(ShotsRemaining,MATCH('Shots Selections'!F41,ShotsPlayers,0)),"")</f>
        <v/>
      </c>
      <c r="P41" s="47" t="str">
        <f>IFERROR(INDEX(ShotsRemaining,MATCH('Shots Selections'!G41,ShotsPlayers,0)),"")</f>
        <v/>
      </c>
      <c r="Q41" s="56">
        <f t="shared" si="3"/>
        <v>0</v>
      </c>
      <c r="S41" s="100">
        <f>INDEX(Resulting_Shots_Totals,MATCH('Shots Selections'!B41,Resulting_Shots_Players,0))+INDEX(Resulting_Shots_Totals,MATCH('Shots Selections'!C41,Resulting_Shots_Players,0))+INDEX(Resulting_Shots_Totals,MATCH('Shots Selections'!D41,Resulting_Shots_Players,0))+INDEX(Resulting_Shots_Totals,MATCH('Shots Selections'!E41,Resulting_Shots_Players,0))+INDEX(Resulting_Shots_Totals,MATCH('Shots Selections'!F41,Resulting_Shots_Players,0))+INDEX(Resulting_Shots_Totals,MATCH('Shots Selections'!G41,Resulting_Shots_Players,0))</f>
        <v>0</v>
      </c>
      <c r="T41" s="56" t="str">
        <f t="shared" si="4"/>
        <v/>
      </c>
      <c r="V41" s="45" t="str">
        <f t="shared" si="5"/>
        <v/>
      </c>
      <c r="W41" s="48" t="str">
        <f>IFERROR(INDEX(FractionalPriceLookUp,MATCH('Shots Selections'!V41,DecimalPriceLookUp,1)),"")</f>
        <v/>
      </c>
      <c r="Y41" s="25">
        <f t="shared" si="7"/>
        <v>0</v>
      </c>
      <c r="Z41" s="155">
        <f t="shared" si="1"/>
        <v>0</v>
      </c>
      <c r="AA41" s="84"/>
      <c r="AB41" s="158" t="str">
        <f t="shared" si="6"/>
        <v>No</v>
      </c>
      <c r="AC41" s="150" t="s">
        <v>142</v>
      </c>
    </row>
    <row r="42" spans="2:29" x14ac:dyDescent="0.25">
      <c r="B42" s="19"/>
      <c r="C42" s="22"/>
      <c r="D42" s="22"/>
      <c r="E42" s="22"/>
      <c r="F42" s="22"/>
      <c r="G42" s="22"/>
      <c r="H42" s="153"/>
      <c r="I42" s="52" t="str">
        <f t="shared" si="2"/>
        <v/>
      </c>
      <c r="K42" s="45" t="str">
        <f>IFERROR(INDEX(ShotsRemaining,MATCH('Shots Selections'!B42,ShotsPlayers,0)),"")</f>
        <v/>
      </c>
      <c r="L42" s="47" t="str">
        <f>IFERROR(INDEX(ShotsRemaining,MATCH('Shots Selections'!C42,ShotsPlayers,0)),"")</f>
        <v/>
      </c>
      <c r="M42" s="47" t="str">
        <f>IFERROR(INDEX(ShotsRemaining,MATCH('Shots Selections'!D42,ShotsPlayers,0)),"")</f>
        <v/>
      </c>
      <c r="N42" s="47" t="str">
        <f>IFERROR(INDEX(ShotsRemaining,MATCH('Shots Selections'!E42,ShotsPlayers,0)),"")</f>
        <v/>
      </c>
      <c r="O42" s="47" t="str">
        <f>IFERROR(INDEX(ShotsRemaining,MATCH('Shots Selections'!F42,ShotsPlayers,0)),"")</f>
        <v/>
      </c>
      <c r="P42" s="47" t="str">
        <f>IFERROR(INDEX(ShotsRemaining,MATCH('Shots Selections'!G42,ShotsPlayers,0)),"")</f>
        <v/>
      </c>
      <c r="Q42" s="56">
        <f t="shared" si="3"/>
        <v>0</v>
      </c>
      <c r="S42" s="100">
        <f>INDEX(Resulting_Shots_Totals,MATCH('Shots Selections'!B42,Resulting_Shots_Players,0))+INDEX(Resulting_Shots_Totals,MATCH('Shots Selections'!C42,Resulting_Shots_Players,0))+INDEX(Resulting_Shots_Totals,MATCH('Shots Selections'!D42,Resulting_Shots_Players,0))+INDEX(Resulting_Shots_Totals,MATCH('Shots Selections'!E42,Resulting_Shots_Players,0))+INDEX(Resulting_Shots_Totals,MATCH('Shots Selections'!F42,Resulting_Shots_Players,0))+INDEX(Resulting_Shots_Totals,MATCH('Shots Selections'!G42,Resulting_Shots_Players,0))</f>
        <v>0</v>
      </c>
      <c r="T42" s="56" t="str">
        <f t="shared" si="4"/>
        <v/>
      </c>
      <c r="V42" s="45" t="str">
        <f t="shared" si="5"/>
        <v/>
      </c>
      <c r="W42" s="48" t="str">
        <f>IFERROR(INDEX(FractionalPriceLookUp,MATCH('Shots Selections'!V42,DecimalPriceLookUp,1)),"")</f>
        <v/>
      </c>
      <c r="Y42" s="25">
        <f t="shared" si="7"/>
        <v>0</v>
      </c>
      <c r="Z42" s="155">
        <f t="shared" si="1"/>
        <v>0</v>
      </c>
      <c r="AA42" s="84"/>
      <c r="AB42" s="158" t="str">
        <f t="shared" si="6"/>
        <v>No</v>
      </c>
      <c r="AC42" s="150" t="s">
        <v>142</v>
      </c>
    </row>
    <row r="43" spans="2:29" x14ac:dyDescent="0.25">
      <c r="B43" s="19"/>
      <c r="C43" s="22"/>
      <c r="D43" s="22"/>
      <c r="E43" s="22"/>
      <c r="F43" s="22"/>
      <c r="G43" s="22"/>
      <c r="H43" s="153"/>
      <c r="I43" s="52" t="str">
        <f t="shared" si="2"/>
        <v/>
      </c>
      <c r="K43" s="45" t="str">
        <f>IFERROR(INDEX(ShotsRemaining,MATCH('Shots Selections'!B43,ShotsPlayers,0)),"")</f>
        <v/>
      </c>
      <c r="L43" s="47" t="str">
        <f>IFERROR(INDEX(ShotsRemaining,MATCH('Shots Selections'!C43,ShotsPlayers,0)),"")</f>
        <v/>
      </c>
      <c r="M43" s="47" t="str">
        <f>IFERROR(INDEX(ShotsRemaining,MATCH('Shots Selections'!D43,ShotsPlayers,0)),"")</f>
        <v/>
      </c>
      <c r="N43" s="47" t="str">
        <f>IFERROR(INDEX(ShotsRemaining,MATCH('Shots Selections'!E43,ShotsPlayers,0)),"")</f>
        <v/>
      </c>
      <c r="O43" s="47" t="str">
        <f>IFERROR(INDEX(ShotsRemaining,MATCH('Shots Selections'!F43,ShotsPlayers,0)),"")</f>
        <v/>
      </c>
      <c r="P43" s="47" t="str">
        <f>IFERROR(INDEX(ShotsRemaining,MATCH('Shots Selections'!G43,ShotsPlayers,0)),"")</f>
        <v/>
      </c>
      <c r="Q43" s="56">
        <f t="shared" si="3"/>
        <v>0</v>
      </c>
      <c r="S43" s="101">
        <f>INDEX(Resulting_Shots_Totals,MATCH('Shots Selections'!B43,Resulting_Shots_Players,0))+INDEX(Resulting_Shots_Totals,MATCH('Shots Selections'!C43,Resulting_Shots_Players,0))+INDEX(Resulting_Shots_Totals,MATCH('Shots Selections'!D43,Resulting_Shots_Players,0))+INDEX('Resulting Inputs'!C50:C68,MATCH('Shots Selections'!E43,Resulting_Shots_Players,0))+INDEX(Resulting_Shots_Totals,MATCH('Shots Selections'!F43,Resulting_Shots_Players,0))+INDEX(Resulting_Shots_Totals,MATCH('Shots Selections'!G43,Resulting_Shots_Players,0))</f>
        <v>0</v>
      </c>
      <c r="T43" s="56" t="str">
        <f t="shared" si="4"/>
        <v/>
      </c>
      <c r="V43" s="45" t="str">
        <f t="shared" si="5"/>
        <v/>
      </c>
      <c r="W43" s="48" t="str">
        <f>IFERROR(INDEX(FractionalPriceLookUp,MATCH('Shots Selections'!V43,DecimalPriceLookUp,1)),"")</f>
        <v/>
      </c>
      <c r="Y43" s="25">
        <f t="shared" si="7"/>
        <v>0</v>
      </c>
      <c r="Z43" s="155">
        <f t="shared" si="1"/>
        <v>0</v>
      </c>
      <c r="AA43" s="84"/>
      <c r="AB43" s="158" t="str">
        <f t="shared" si="6"/>
        <v>No</v>
      </c>
      <c r="AC43" s="150" t="s">
        <v>142</v>
      </c>
    </row>
    <row r="44" spans="2:29" x14ac:dyDescent="0.25">
      <c r="B44" s="19"/>
      <c r="C44" s="22"/>
      <c r="D44" s="22"/>
      <c r="E44" s="22"/>
      <c r="F44" s="22"/>
      <c r="G44" s="22"/>
      <c r="H44" s="153"/>
      <c r="I44" s="52" t="str">
        <f t="shared" si="2"/>
        <v/>
      </c>
      <c r="K44" s="45" t="str">
        <f>IFERROR(INDEX(ShotsRemaining,MATCH('Shots Selections'!B44,ShotsPlayers,0)),"")</f>
        <v/>
      </c>
      <c r="L44" s="47" t="str">
        <f>IFERROR(INDEX(ShotsRemaining,MATCH('Shots Selections'!C44,ShotsPlayers,0)),"")</f>
        <v/>
      </c>
      <c r="M44" s="47" t="str">
        <f>IFERROR(INDEX(ShotsRemaining,MATCH('Shots Selections'!D44,ShotsPlayers,0)),"")</f>
        <v/>
      </c>
      <c r="N44" s="47" t="str">
        <f>IFERROR(INDEX(ShotsRemaining,MATCH('Shots Selections'!E44,ShotsPlayers,0)),"")</f>
        <v/>
      </c>
      <c r="O44" s="47" t="str">
        <f>IFERROR(INDEX(ShotsRemaining,MATCH('Shots Selections'!F44,ShotsPlayers,0)),"")</f>
        <v/>
      </c>
      <c r="P44" s="47" t="str">
        <f>IFERROR(INDEX(ShotsRemaining,MATCH('Shots Selections'!G44,ShotsPlayers,0)),"")</f>
        <v/>
      </c>
      <c r="Q44" s="56">
        <f t="shared" si="3"/>
        <v>0</v>
      </c>
      <c r="S44" s="101">
        <f>INDEX(Resulting_Shots_Totals,MATCH('Shots Selections'!B44,Resulting_Shots_Players,0))+INDEX(Resulting_Shots_Totals,MATCH('Shots Selections'!C44,Resulting_Shots_Players,0))+INDEX(Resulting_Shots_Totals,MATCH('Shots Selections'!D44,Resulting_Shots_Players,0))+INDEX('Resulting Inputs'!C51:C69,MATCH('Shots Selections'!E44,Resulting_Shots_Players,0))+INDEX(Resulting_Shots_Totals,MATCH('Shots Selections'!F44,Resulting_Shots_Players,0))+INDEX(Resulting_Shots_Totals,MATCH('Shots Selections'!G44,Resulting_Shots_Players,0))</f>
        <v>0</v>
      </c>
      <c r="T44" s="56" t="str">
        <f t="shared" si="4"/>
        <v/>
      </c>
      <c r="V44" s="45" t="str">
        <f t="shared" si="5"/>
        <v/>
      </c>
      <c r="W44" s="48" t="str">
        <f>IFERROR(INDEX(FractionalPriceLookUp,MATCH('Shots Selections'!V44,DecimalPriceLookUp,1)),"")</f>
        <v/>
      </c>
      <c r="Y44" s="25">
        <f t="shared" si="7"/>
        <v>0</v>
      </c>
      <c r="Z44" s="155">
        <f t="shared" si="1"/>
        <v>0</v>
      </c>
      <c r="AA44" s="84"/>
      <c r="AB44" s="158" t="str">
        <f t="shared" si="6"/>
        <v>No</v>
      </c>
      <c r="AC44" s="150" t="s">
        <v>142</v>
      </c>
    </row>
    <row r="45" spans="2:29" x14ac:dyDescent="0.25">
      <c r="B45" s="19"/>
      <c r="C45" s="22"/>
      <c r="D45" s="22"/>
      <c r="E45" s="22"/>
      <c r="F45" s="22"/>
      <c r="G45" s="22"/>
      <c r="H45" s="153"/>
      <c r="I45" s="52" t="str">
        <f t="shared" si="2"/>
        <v/>
      </c>
      <c r="K45" s="45" t="str">
        <f>IFERROR(INDEX(ShotsRemaining,MATCH('Shots Selections'!B45,ShotsPlayers,0)),"")</f>
        <v/>
      </c>
      <c r="L45" s="47" t="str">
        <f>IFERROR(INDEX(ShotsRemaining,MATCH('Shots Selections'!C45,ShotsPlayers,0)),"")</f>
        <v/>
      </c>
      <c r="M45" s="47" t="str">
        <f>IFERROR(INDEX(ShotsRemaining,MATCH('Shots Selections'!D45,ShotsPlayers,0)),"")</f>
        <v/>
      </c>
      <c r="N45" s="47" t="str">
        <f>IFERROR(INDEX(ShotsRemaining,MATCH('Shots Selections'!E45,ShotsPlayers,0)),"")</f>
        <v/>
      </c>
      <c r="O45" s="47" t="str">
        <f>IFERROR(INDEX(ShotsRemaining,MATCH('Shots Selections'!F45,ShotsPlayers,0)),"")</f>
        <v/>
      </c>
      <c r="P45" s="47" t="str">
        <f>IFERROR(INDEX(ShotsRemaining,MATCH('Shots Selections'!G45,ShotsPlayers,0)),"")</f>
        <v/>
      </c>
      <c r="Q45" s="56">
        <f t="shared" si="3"/>
        <v>0</v>
      </c>
      <c r="S45" s="101">
        <f>INDEX(Resulting_Shots_Totals,MATCH('Shots Selections'!B45,Resulting_Shots_Players,0))+INDEX(Resulting_Shots_Totals,MATCH('Shots Selections'!C45,Resulting_Shots_Players,0))+INDEX(Resulting_Shots_Totals,MATCH('Shots Selections'!D45,Resulting_Shots_Players,0))+INDEX('Resulting Inputs'!C52:C70,MATCH('Shots Selections'!E45,Resulting_Shots_Players,0))+INDEX(Resulting_Shots_Totals,MATCH('Shots Selections'!F45,Resulting_Shots_Players,0))+INDEX(Resulting_Shots_Totals,MATCH('Shots Selections'!G45,Resulting_Shots_Players,0))</f>
        <v>0</v>
      </c>
      <c r="T45" s="56" t="str">
        <f t="shared" si="4"/>
        <v/>
      </c>
      <c r="V45" s="45" t="str">
        <f t="shared" si="5"/>
        <v/>
      </c>
      <c r="W45" s="48" t="str">
        <f>IFERROR(INDEX(FractionalPriceLookUp,MATCH('Shots Selections'!V45,DecimalPriceLookUp,1)),"")</f>
        <v/>
      </c>
      <c r="Y45" s="25">
        <f t="shared" si="7"/>
        <v>0</v>
      </c>
      <c r="Z45" s="155">
        <f t="shared" si="1"/>
        <v>0</v>
      </c>
      <c r="AA45" s="84"/>
      <c r="AB45" s="158" t="str">
        <f t="shared" si="6"/>
        <v>No</v>
      </c>
      <c r="AC45" s="150" t="s">
        <v>142</v>
      </c>
    </row>
    <row r="46" spans="2:29" x14ac:dyDescent="0.25">
      <c r="B46" s="20"/>
      <c r="C46" s="24"/>
      <c r="D46" s="24"/>
      <c r="E46" s="24"/>
      <c r="F46" s="24"/>
      <c r="G46" s="24"/>
      <c r="H46" s="154"/>
      <c r="I46" s="53" t="str">
        <f t="shared" si="2"/>
        <v/>
      </c>
      <c r="K46" s="46" t="str">
        <f>IFERROR(INDEX(ShotsRemaining,MATCH('Shots Selections'!B46,ShotsPlayers,0)),"")</f>
        <v/>
      </c>
      <c r="L46" s="57" t="str">
        <f>IFERROR(INDEX(ShotsRemaining,MATCH('Shots Selections'!C46,ShotsPlayers,0)),"")</f>
        <v/>
      </c>
      <c r="M46" s="57" t="str">
        <f>IFERROR(INDEX(ShotsRemaining,MATCH('Shots Selections'!D46,ShotsPlayers,0)),"")</f>
        <v/>
      </c>
      <c r="N46" s="57" t="str">
        <f>IFERROR(INDEX(ShotsRemaining,MATCH('Shots Selections'!E46,ShotsPlayers,0)),"")</f>
        <v/>
      </c>
      <c r="O46" s="57" t="str">
        <f>IFERROR(INDEX(ShotsRemaining,MATCH('Shots Selections'!F46,ShotsPlayers,0)),"")</f>
        <v/>
      </c>
      <c r="P46" s="57" t="str">
        <f>IFERROR(INDEX(ShotsRemaining,MATCH('Shots Selections'!G46,ShotsPlayers,0)),"")</f>
        <v/>
      </c>
      <c r="Q46" s="58">
        <f t="shared" si="3"/>
        <v>0</v>
      </c>
      <c r="S46" s="102">
        <f>INDEX(Resulting_Shots_Totals,MATCH('Shots Selections'!B46,Resulting_Shots_Players,0))+INDEX(Resulting_Shots_Totals,MATCH('Shots Selections'!C46,Resulting_Shots_Players,0))+INDEX(Resulting_Shots_Totals,MATCH('Shots Selections'!D46,Resulting_Shots_Players,0))+INDEX('Resulting Inputs'!C53:C71,MATCH('Shots Selections'!E46,Resulting_Shots_Players,0))+INDEX(Resulting_Shots_Totals,MATCH('Shots Selections'!F46,Resulting_Shots_Players,0))+INDEX(Resulting_Shots_Totals,MATCH('Shots Selections'!G46,Resulting_Shots_Players,0))</f>
        <v>0</v>
      </c>
      <c r="T46" s="58" t="str">
        <f t="shared" si="4"/>
        <v/>
      </c>
      <c r="V46" s="46" t="str">
        <f t="shared" si="5"/>
        <v/>
      </c>
      <c r="W46" s="49" t="str">
        <f>IFERROR(INDEX(FractionalPriceLookUp,MATCH('Shots Selections'!V46,DecimalPriceLookUp,1)),"")</f>
        <v/>
      </c>
      <c r="Y46" s="26">
        <f t="shared" si="7"/>
        <v>0</v>
      </c>
      <c r="Z46" s="155">
        <f t="shared" si="1"/>
        <v>0</v>
      </c>
      <c r="AA46" s="85"/>
      <c r="AB46" s="159" t="str">
        <f t="shared" si="6"/>
        <v>No</v>
      </c>
      <c r="AC46" s="151" t="s">
        <v>142</v>
      </c>
    </row>
  </sheetData>
  <conditionalFormatting sqref="AA29:AA46">
    <cfRule type="expression" dxfId="6" priority="5">
      <formula>$Z29&gt;120</formula>
    </cfRule>
  </conditionalFormatting>
  <conditionalFormatting sqref="AA22:AA28">
    <cfRule type="expression" dxfId="1" priority="2">
      <formula>$Z22&gt;120</formula>
    </cfRule>
  </conditionalFormatting>
  <conditionalFormatting sqref="AA7:AA21">
    <cfRule type="expression" dxfId="0" priority="1">
      <formula>$Z7&gt;120</formula>
    </cfRule>
  </conditionalFormatting>
  <dataValidations count="1">
    <dataValidation type="list" allowBlank="1" showInputMessage="1" showErrorMessage="1" sqref="H7:H46" xr:uid="{00000000-0002-0000-0200-000000000000}">
      <formula1>SoT_Totals_List</formula1>
    </dataValidation>
  </dataValidations>
  <pageMargins left="0.7" right="0.7" top="0.75" bottom="0.75" header="0.3" footer="0.3"/>
  <pageSetup paperSize="9" orientation="portrait" r:id="rId1"/>
  <ignoredErrors>
    <ignoredError sqref="B8:C19" formula="1"/>
  </ignoredErrors>
  <drawing r:id="rId2"/>
  <legacyDrawing r:id="rId3"/>
  <controls>
    <mc:AlternateContent xmlns:mc="http://schemas.openxmlformats.org/markup-compatibility/2006">
      <mc:Choice Requires="x14">
        <control shapeId="3078" r:id="rId4" name="CommandButton4">
          <controlPr defaultSize="0" autoLine="0" autoPict="0" r:id="rId5">
            <anchor moveWithCells="1">
              <from>
                <xdr:col>3</xdr:col>
                <xdr:colOff>152400</xdr:colOff>
                <xdr:row>1</xdr:row>
                <xdr:rowOff>9525</xdr:rowOff>
              </from>
              <to>
                <xdr:col>5</xdr:col>
                <xdr:colOff>447675</xdr:colOff>
                <xdr:row>4</xdr:row>
                <xdr:rowOff>9525</xdr:rowOff>
              </to>
            </anchor>
          </controlPr>
        </control>
      </mc:Choice>
      <mc:Fallback>
        <control shapeId="3078" r:id="rId4" name="CommandButton4"/>
      </mc:Fallback>
    </mc:AlternateContent>
    <mc:AlternateContent xmlns:mc="http://schemas.openxmlformats.org/markup-compatibility/2006">
      <mc:Choice Requires="x14">
        <control shapeId="3077" r:id="rId6" name="CommandButton3">
          <controlPr defaultSize="0" autoLine="0" r:id="rId7">
            <anchor moveWithCells="1">
              <from>
                <xdr:col>1</xdr:col>
                <xdr:colOff>0</xdr:colOff>
                <xdr:row>1</xdr:row>
                <xdr:rowOff>9525</xdr:rowOff>
              </from>
              <to>
                <xdr:col>3</xdr:col>
                <xdr:colOff>66675</xdr:colOff>
                <xdr:row>4</xdr:row>
                <xdr:rowOff>19050</xdr:rowOff>
              </to>
            </anchor>
          </controlPr>
        </control>
      </mc:Choice>
      <mc:Fallback>
        <control shapeId="3077" r:id="rId6" name="CommandButton3"/>
      </mc:Fallback>
    </mc:AlternateContent>
    <mc:AlternateContent xmlns:mc="http://schemas.openxmlformats.org/markup-compatibility/2006">
      <mc:Choice Requires="x14">
        <control shapeId="3086" r:id="rId8" name="CommandButton7">
          <controlPr defaultSize="0" autoLine="0" r:id="rId9">
            <anchor moveWithCells="1">
              <from>
                <xdr:col>5</xdr:col>
                <xdr:colOff>533400</xdr:colOff>
                <xdr:row>1</xdr:row>
                <xdr:rowOff>9525</xdr:rowOff>
              </from>
              <to>
                <xdr:col>7</xdr:col>
                <xdr:colOff>600075</xdr:colOff>
                <xdr:row>4</xdr:row>
                <xdr:rowOff>0</xdr:rowOff>
              </to>
            </anchor>
          </controlPr>
        </control>
      </mc:Choice>
      <mc:Fallback>
        <control shapeId="3086" r:id="rId8" name="CommandButton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1000000}">
          <x14:formula1>
            <xm:f>OFFSET(ShotsPlayer1,0,0,COUNTA('Player Inputs'!$C$4:$C$24)-1,1)</xm:f>
          </x14:formula1>
          <xm:sqref>B22:G46</xm:sqref>
        </x14:dataValidation>
        <x14:dataValidation type="list" allowBlank="1" showInputMessage="1" showErrorMessage="1" xr:uid="{00000000-0002-0000-0200-000002000000}">
          <x14:formula1>
            <xm:f>Lists!$L$3:$L$4</xm:f>
          </x14:formula1>
          <xm:sqref>AC7:AC46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AC46"/>
  <sheetViews>
    <sheetView workbookViewId="0">
      <selection activeCell="E27" sqref="E27"/>
    </sheetView>
  </sheetViews>
  <sheetFormatPr defaultColWidth="9.140625" defaultRowHeight="15" x14ac:dyDescent="0.25"/>
  <cols>
    <col min="1" max="1" width="2.7109375" style="23" customWidth="1"/>
    <col min="2" max="7" width="20.7109375" style="23" customWidth="1"/>
    <col min="8" max="8" width="15.140625" style="23" customWidth="1"/>
    <col min="9" max="9" width="15.140625" style="23" hidden="1" customWidth="1"/>
    <col min="10" max="10" width="2.7109375" style="23" hidden="1" customWidth="1"/>
    <col min="11" max="17" width="9.140625" style="23" hidden="1" customWidth="1"/>
    <col min="18" max="18" width="2.7109375" style="23" hidden="1" customWidth="1"/>
    <col min="19" max="20" width="9.140625" style="23" hidden="1" customWidth="1"/>
    <col min="21" max="21" width="2.7109375" style="23" customWidth="1"/>
    <col min="22" max="23" width="14.7109375" style="23" customWidth="1"/>
    <col min="24" max="24" width="2.7109375" style="23" customWidth="1"/>
    <col min="25" max="26" width="9.140625" style="23" hidden="1" customWidth="1"/>
    <col min="27" max="27" width="155.7109375" style="23" customWidth="1"/>
    <col min="28" max="16384" width="9.140625" style="23"/>
  </cols>
  <sheetData>
    <row r="6" spans="2:29" s="14" customFormat="1" ht="15.95" customHeight="1" x14ac:dyDescent="0.25">
      <c r="B6" s="59" t="s">
        <v>17</v>
      </c>
      <c r="C6" s="60" t="s">
        <v>18</v>
      </c>
      <c r="D6" s="60" t="s">
        <v>19</v>
      </c>
      <c r="E6" s="60" t="s">
        <v>20</v>
      </c>
      <c r="F6" s="60" t="s">
        <v>21</v>
      </c>
      <c r="G6" s="60" t="s">
        <v>22</v>
      </c>
      <c r="H6" s="16" t="s">
        <v>61</v>
      </c>
      <c r="I6" s="17" t="s">
        <v>66</v>
      </c>
      <c r="K6" s="15" t="s">
        <v>51</v>
      </c>
      <c r="L6" s="16" t="s">
        <v>52</v>
      </c>
      <c r="M6" s="16" t="s">
        <v>53</v>
      </c>
      <c r="N6" s="16" t="s">
        <v>54</v>
      </c>
      <c r="O6" s="16" t="s">
        <v>55</v>
      </c>
      <c r="P6" s="16" t="s">
        <v>56</v>
      </c>
      <c r="Q6" s="17" t="s">
        <v>62</v>
      </c>
      <c r="R6" s="23"/>
      <c r="S6" s="98" t="s">
        <v>144</v>
      </c>
      <c r="T6" s="97" t="s">
        <v>143</v>
      </c>
      <c r="V6" s="15" t="s">
        <v>57</v>
      </c>
      <c r="W6" s="17" t="s">
        <v>58</v>
      </c>
      <c r="Y6" s="15" t="s">
        <v>59</v>
      </c>
      <c r="Z6" s="15" t="s">
        <v>139</v>
      </c>
      <c r="AA6" s="18" t="s">
        <v>60</v>
      </c>
      <c r="AB6" s="15" t="s">
        <v>140</v>
      </c>
      <c r="AC6" s="156" t="s">
        <v>149</v>
      </c>
    </row>
    <row r="7" spans="2:29" s="14" customFormat="1" ht="15.95" customHeight="1" x14ac:dyDescent="0.25">
      <c r="B7" s="208" t="str">
        <f>TacklesPlayer1</f>
        <v>N'Golo Kante</v>
      </c>
      <c r="C7" s="209" t="str">
        <f>TacklesPlayer6</f>
        <v>Kalvin Phillips</v>
      </c>
      <c r="D7" s="209"/>
      <c r="E7" s="209"/>
      <c r="F7" s="209"/>
      <c r="G7" s="209"/>
      <c r="H7" s="210" t="s">
        <v>35</v>
      </c>
      <c r="I7" s="51">
        <f>IFERROR(SUBSTITUTE(H7,"+","")-1,"")</f>
        <v>9</v>
      </c>
      <c r="K7" s="44">
        <f>IFERROR(INDEX(TacklesRemaining,MATCH('Tackles Selections'!B7,TacklesPlayers,0)),"")</f>
        <v>2.2385999999999999</v>
      </c>
      <c r="L7" s="54">
        <f>IFERROR(INDEX(TacklesRemaining,MATCH('Tackles Selections'!C7,TacklesPlayers,0)),"")</f>
        <v>2.8967000000000001</v>
      </c>
      <c r="M7" s="54" t="str">
        <f>IFERROR(INDEX(TacklesRemaining,MATCH('Tackles Selections'!D7,TacklesPlayers,0)),"")</f>
        <v/>
      </c>
      <c r="N7" s="54" t="str">
        <f>IFERROR(INDEX(TacklesRemaining,MATCH('Tackles Selections'!E7,TacklesPlayers,0)),"")</f>
        <v/>
      </c>
      <c r="O7" s="54" t="str">
        <f>IFERROR(INDEX(TacklesRemaining,MATCH('Tackles Selections'!F7,TacklesPlayers,0)),"")</f>
        <v/>
      </c>
      <c r="P7" s="54" t="str">
        <f>IFERROR(INDEX(TacklesRemaining,MATCH('Tackles Selections'!G7,TacklesPlayers,0)),"")</f>
        <v/>
      </c>
      <c r="Q7" s="55">
        <f>SUM(K7:P7)</f>
        <v>5.1353</v>
      </c>
      <c r="R7" s="23"/>
      <c r="S7" s="100">
        <f>INDEX(Resulting_Tackles_Totals,MATCH('Tackles Selections'!B7,Resulting_Tackles_Players,0))+INDEX(Resulting_Tackles_Totals,MATCH('Tackles Selections'!C7,Resulting_Tackles_Players,0))+INDEX(Resulting_Tackles_Totals,MATCH('Tackles Selections'!D7,Resulting_Tackles_Players,0))+INDEX(Resulting_Tackles_Totals,MATCH('Tackles Selections'!E7,Resulting_Tackles_Players,0))+INDEX(Resulting_Tackles_Totals,MATCH('Tackles Selections'!F7,Resulting_Tackles_Players,0))+INDEX(Resulting_Tackles_Totals,MATCH('Tackles Selections'!G7,Resulting_Tackles_Players,0))</f>
        <v>0</v>
      </c>
      <c r="T7" s="55" t="str">
        <f t="shared" ref="T7:T21" si="0">IF(I7="","",IF(S7&gt;I7,"W","L"))</f>
        <v>L</v>
      </c>
      <c r="V7" s="44">
        <f>IFERROR(1/(1-_xlfn.POISSON.DIST(I7,Q7,1)),"")</f>
        <v>27.023794471296767</v>
      </c>
      <c r="W7" s="211">
        <f>IFERROR(INDEX(FractionalPriceLookUp2,MATCH('Tackles Selections'!V7,DecimalPriceLookUp,1)),"")</f>
        <v>18</v>
      </c>
      <c r="Y7" s="86">
        <f>6-COUNTBLANK(B7:G7)</f>
        <v>2</v>
      </c>
      <c r="Z7" s="64">
        <f>LEN(AA7)</f>
        <v>0</v>
      </c>
      <c r="AA7" s="205"/>
      <c r="AB7" s="157" t="str">
        <f>IF(OR(Z7&gt;120,AA7=""),"No","Yes")</f>
        <v>No</v>
      </c>
      <c r="AC7" s="149" t="s">
        <v>142</v>
      </c>
    </row>
    <row r="8" spans="2:29" s="14" customFormat="1" ht="15.95" customHeight="1" x14ac:dyDescent="0.25">
      <c r="B8" s="19" t="str">
        <f>TacklesPlayer1</f>
        <v>N'Golo Kante</v>
      </c>
      <c r="C8" s="22" t="str">
        <f>TacklesPlayer7</f>
        <v>Stuart Dallas</v>
      </c>
      <c r="D8" s="22"/>
      <c r="E8" s="22"/>
      <c r="F8" s="22"/>
      <c r="G8" s="22"/>
      <c r="H8" s="153" t="s">
        <v>33</v>
      </c>
      <c r="I8" s="52">
        <f t="shared" ref="I8:I46" si="1">IFERROR(SUBSTITUTE(H8,"+","")-1,"")</f>
        <v>7</v>
      </c>
      <c r="K8" s="45">
        <f>IFERROR(INDEX(TacklesRemaining,MATCH('Tackles Selections'!B8,TacklesPlayers,0)),"")</f>
        <v>2.2385999999999999</v>
      </c>
      <c r="L8" s="47">
        <f>IFERROR(INDEX(TacklesRemaining,MATCH('Tackles Selections'!C8,TacklesPlayers,0)),"")</f>
        <v>2.4081000000000001</v>
      </c>
      <c r="M8" s="47" t="str">
        <f>IFERROR(INDEX(TacklesRemaining,MATCH('Tackles Selections'!D8,TacklesPlayers,0)),"")</f>
        <v/>
      </c>
      <c r="N8" s="47" t="str">
        <f>IFERROR(INDEX(TacklesRemaining,MATCH('Tackles Selections'!E8,TacklesPlayers,0)),"")</f>
        <v/>
      </c>
      <c r="O8" s="47" t="str">
        <f>IFERROR(INDEX(TacklesRemaining,MATCH('Tackles Selections'!F8,TacklesPlayers,0)),"")</f>
        <v/>
      </c>
      <c r="P8" s="47" t="str">
        <f>IFERROR(INDEX(TacklesRemaining,MATCH('Tackles Selections'!G8,TacklesPlayers,0)),"")</f>
        <v/>
      </c>
      <c r="Q8" s="56">
        <f t="shared" ref="Q8:Q46" si="2">SUM(K8:P8)</f>
        <v>4.6467000000000001</v>
      </c>
      <c r="R8" s="23"/>
      <c r="S8" s="101">
        <f>INDEX(Resulting_Tackles_Totals,MATCH('Tackles Selections'!B8,Resulting_Tackles_Players,0))+INDEX(Resulting_Tackles_Totals,MATCH('Tackles Selections'!C8,Resulting_Tackles_Players,0))+INDEX(Resulting_Tackles_Totals,MATCH('Tackles Selections'!D8,Resulting_Tackles_Players,0))+INDEX(Resulting_Tackles_Totals,MATCH('Tackles Selections'!E8,Resulting_Tackles_Players,0))+INDEX(Resulting_Tackles_Totals,MATCH('Tackles Selections'!F8,Resulting_Tackles_Players,0))+INDEX(Resulting_Tackles_Totals,MATCH('Tackles Selections'!G8,Resulting_Tackles_Players,0))</f>
        <v>0</v>
      </c>
      <c r="T8" s="56" t="str">
        <f t="shared" si="0"/>
        <v>L</v>
      </c>
      <c r="V8" s="45">
        <f t="shared" ref="V8:V46" si="3">IFERROR(1/(1-_xlfn.POISSON.DIST(I8,Q8,1)),"")</f>
        <v>10.084764187594455</v>
      </c>
      <c r="W8" s="48">
        <f>IFERROR(INDEX(FractionalPriceLookUp2,MATCH('Tackles Selections'!V8,DecimalPriceLookUp,1)),"")</f>
        <v>7</v>
      </c>
      <c r="Y8" s="88">
        <f>6-COUNTBLANK(B8:G8)</f>
        <v>2</v>
      </c>
      <c r="Z8" s="65">
        <f t="shared" ref="Z8:Z46" si="4">LEN(AA8)</f>
        <v>0</v>
      </c>
      <c r="AA8" s="206"/>
      <c r="AB8" s="158" t="str">
        <f t="shared" ref="AB8:AB46" si="5">IF(OR(Z8&gt;120,AA8=""),"No","Yes")</f>
        <v>No</v>
      </c>
      <c r="AC8" s="150" t="s">
        <v>142</v>
      </c>
    </row>
    <row r="9" spans="2:29" s="14" customFormat="1" ht="15.95" customHeight="1" x14ac:dyDescent="0.25">
      <c r="B9" s="19" t="str">
        <f>TacklesPlayer2</f>
        <v>Reece James</v>
      </c>
      <c r="C9" s="22" t="str">
        <f>TacklesPlayer6</f>
        <v>Kalvin Phillips</v>
      </c>
      <c r="D9" s="22"/>
      <c r="E9" s="22"/>
      <c r="F9" s="22"/>
      <c r="G9" s="22"/>
      <c r="H9" s="153" t="s">
        <v>35</v>
      </c>
      <c r="I9" s="52">
        <f t="shared" si="1"/>
        <v>9</v>
      </c>
      <c r="K9" s="45">
        <f>IFERROR(INDEX(TacklesRemaining,MATCH('Tackles Selections'!B9,TacklesPlayers,0)),"")</f>
        <v>2.2385999999999999</v>
      </c>
      <c r="L9" s="47">
        <f>IFERROR(INDEX(TacklesRemaining,MATCH('Tackles Selections'!C9,TacklesPlayers,0)),"")</f>
        <v>2.8967000000000001</v>
      </c>
      <c r="M9" s="47" t="str">
        <f>IFERROR(INDEX(TacklesRemaining,MATCH('Tackles Selections'!D9,TacklesPlayers,0)),"")</f>
        <v/>
      </c>
      <c r="N9" s="47" t="str">
        <f>IFERROR(INDEX(TacklesRemaining,MATCH('Tackles Selections'!E9,TacklesPlayers,0)),"")</f>
        <v/>
      </c>
      <c r="O9" s="47" t="str">
        <f>IFERROR(INDEX(TacklesRemaining,MATCH('Tackles Selections'!F9,TacklesPlayers,0)),"")</f>
        <v/>
      </c>
      <c r="P9" s="47" t="str">
        <f>IFERROR(INDEX(TacklesRemaining,MATCH('Tackles Selections'!G9,TacklesPlayers,0)),"")</f>
        <v/>
      </c>
      <c r="Q9" s="56">
        <f t="shared" si="2"/>
        <v>5.1353</v>
      </c>
      <c r="R9" s="23"/>
      <c r="S9" s="101">
        <f>INDEX(Resulting_Tackles_Totals,MATCH('Tackles Selections'!B9,Resulting_Tackles_Players,0))+INDEX(Resulting_Tackles_Totals,MATCH('Tackles Selections'!C9,Resulting_Tackles_Players,0))+INDEX(Resulting_Tackles_Totals,MATCH('Tackles Selections'!D9,Resulting_Tackles_Players,0))+INDEX(Resulting_Tackles_Totals,MATCH('Tackles Selections'!E9,Resulting_Tackles_Players,0))+INDEX(Resulting_Tackles_Totals,MATCH('Tackles Selections'!F9,Resulting_Tackles_Players,0))+INDEX(Resulting_Tackles_Totals,MATCH('Tackles Selections'!G9,Resulting_Tackles_Players,0))</f>
        <v>0</v>
      </c>
      <c r="T9" s="56" t="str">
        <f t="shared" si="0"/>
        <v>L</v>
      </c>
      <c r="V9" s="45">
        <f t="shared" si="3"/>
        <v>27.023794471296767</v>
      </c>
      <c r="W9" s="48">
        <f>IFERROR(INDEX(FractionalPriceLookUp2,MATCH('Tackles Selections'!V9,DecimalPriceLookUp,1)),"")</f>
        <v>18</v>
      </c>
      <c r="Y9" s="87">
        <f t="shared" ref="Y9:Y46" si="6">6-COUNTBLANK(B9:G9)</f>
        <v>2</v>
      </c>
      <c r="Z9" s="65">
        <f t="shared" si="4"/>
        <v>0</v>
      </c>
      <c r="AA9" s="206"/>
      <c r="AB9" s="158" t="str">
        <f t="shared" si="5"/>
        <v>No</v>
      </c>
      <c r="AC9" s="150" t="s">
        <v>142</v>
      </c>
    </row>
    <row r="10" spans="2:29" s="14" customFormat="1" ht="15.95" customHeight="1" x14ac:dyDescent="0.25">
      <c r="B10" s="19" t="str">
        <f>TacklesPlayer2</f>
        <v>Reece James</v>
      </c>
      <c r="C10" s="22" t="str">
        <f>TacklesPlayer1</f>
        <v>N'Golo Kante</v>
      </c>
      <c r="D10" s="22" t="str">
        <f>TacklesPlayer7</f>
        <v>Stuart Dallas</v>
      </c>
      <c r="E10" s="22"/>
      <c r="F10" s="22"/>
      <c r="G10" s="22"/>
      <c r="H10" s="153" t="s">
        <v>35</v>
      </c>
      <c r="I10" s="52">
        <f t="shared" si="1"/>
        <v>9</v>
      </c>
      <c r="K10" s="45">
        <f>IFERROR(INDEX(TacklesRemaining,MATCH('Tackles Selections'!B10,TacklesPlayers,0)),"")</f>
        <v>2.2385999999999999</v>
      </c>
      <c r="L10" s="47">
        <f>IFERROR(INDEX(TacklesRemaining,MATCH('Tackles Selections'!C10,TacklesPlayers,0)),"")</f>
        <v>2.2385999999999999</v>
      </c>
      <c r="M10" s="47">
        <f>IFERROR(INDEX(TacklesRemaining,MATCH('Tackles Selections'!D10,TacklesPlayers,0)),"")</f>
        <v>2.4081000000000001</v>
      </c>
      <c r="N10" s="47" t="str">
        <f>IFERROR(INDEX(TacklesRemaining,MATCH('Tackles Selections'!E10,TacklesPlayers,0)),"")</f>
        <v/>
      </c>
      <c r="O10" s="47" t="str">
        <f>IFERROR(INDEX(TacklesRemaining,MATCH('Tackles Selections'!F10,TacklesPlayers,0)),"")</f>
        <v/>
      </c>
      <c r="P10" s="47" t="str">
        <f>IFERROR(INDEX(TacklesRemaining,MATCH('Tackles Selections'!G10,TacklesPlayers,0)),"")</f>
        <v/>
      </c>
      <c r="Q10" s="56">
        <f t="shared" si="2"/>
        <v>6.8853</v>
      </c>
      <c r="R10" s="23"/>
      <c r="S10" s="101">
        <f>INDEX(Resulting_Tackles_Totals,MATCH('Tackles Selections'!B10,Resulting_Tackles_Players,0))+INDEX(Resulting_Tackles_Totals,MATCH('Tackles Selections'!C10,Resulting_Tackles_Players,0))+INDEX(Resulting_Tackles_Totals,MATCH('Tackles Selections'!D10,Resulting_Tackles_Players,0))+INDEX(Resulting_Tackles_Totals,MATCH('Tackles Selections'!E10,Resulting_Tackles_Players,0))+INDEX(Resulting_Tackles_Totals,MATCH('Tackles Selections'!F10,Resulting_Tackles_Players,0))+INDEX(Resulting_Tackles_Totals,MATCH('Tackles Selections'!G10,Resulting_Tackles_Players,0))</f>
        <v>0</v>
      </c>
      <c r="T10" s="56" t="str">
        <f t="shared" si="0"/>
        <v>L</v>
      </c>
      <c r="V10" s="45">
        <f t="shared" si="3"/>
        <v>6.3264682963215639</v>
      </c>
      <c r="W10" s="48">
        <f>IFERROR(INDEX(FractionalPriceLookUp2,MATCH('Tackles Selections'!V10,DecimalPriceLookUp,1)),"")</f>
        <v>4</v>
      </c>
      <c r="Y10" s="87">
        <f t="shared" si="6"/>
        <v>3</v>
      </c>
      <c r="Z10" s="65">
        <f t="shared" si="4"/>
        <v>0</v>
      </c>
      <c r="AA10" s="206"/>
      <c r="AB10" s="158" t="str">
        <f>IF(OR(Z10&gt;120,AA10=""),"No","Yes")</f>
        <v>No</v>
      </c>
      <c r="AC10" s="150" t="s">
        <v>142</v>
      </c>
    </row>
    <row r="11" spans="2:29" s="14" customFormat="1" ht="15.95" customHeight="1" x14ac:dyDescent="0.25">
      <c r="B11" s="19" t="str">
        <f>TacklesPlayer1</f>
        <v>N'Golo Kante</v>
      </c>
      <c r="C11" s="22" t="str">
        <f>TacklesPlayer2</f>
        <v>Reece James</v>
      </c>
      <c r="D11" s="22"/>
      <c r="E11" s="22"/>
      <c r="F11" s="22"/>
      <c r="G11" s="22"/>
      <c r="H11" s="153" t="s">
        <v>37</v>
      </c>
      <c r="I11" s="52">
        <f t="shared" si="1"/>
        <v>11</v>
      </c>
      <c r="K11" s="45">
        <f>IFERROR(INDEX(TacklesRemaining,MATCH('Tackles Selections'!B11,TacklesPlayers,0)),"")</f>
        <v>2.2385999999999999</v>
      </c>
      <c r="L11" s="47">
        <f>IFERROR(INDEX(TacklesRemaining,MATCH('Tackles Selections'!C11,TacklesPlayers,0)),"")</f>
        <v>2.2385999999999999</v>
      </c>
      <c r="M11" s="47" t="str">
        <f>IFERROR(INDEX(TacklesRemaining,MATCH('Tackles Selections'!D11,TacklesPlayers,0)),"")</f>
        <v/>
      </c>
      <c r="N11" s="47" t="str">
        <f>IFERROR(INDEX(TacklesRemaining,MATCH('Tackles Selections'!E11,TacklesPlayers,0)),"")</f>
        <v/>
      </c>
      <c r="O11" s="47" t="str">
        <f>IFERROR(INDEX(TacklesRemaining,MATCH('Tackles Selections'!F11,TacklesPlayers,0)),"")</f>
        <v/>
      </c>
      <c r="P11" s="47" t="str">
        <f>IFERROR(INDEX(TacklesRemaining,MATCH('Tackles Selections'!G11,TacklesPlayers,0)),"")</f>
        <v/>
      </c>
      <c r="Q11" s="56">
        <f t="shared" si="2"/>
        <v>4.4771999999999998</v>
      </c>
      <c r="R11" s="23"/>
      <c r="S11" s="101">
        <f>INDEX(Resulting_Tackles_Totals,MATCH('Tackles Selections'!B11,Resulting_Tackles_Players,0))+INDEX(Resulting_Tackles_Totals,MATCH('Tackles Selections'!C11,Resulting_Tackles_Players,0))+INDEX(Resulting_Tackles_Totals,MATCH('Tackles Selections'!D11,Resulting_Tackles_Players,0))+INDEX(Resulting_Tackles_Totals,MATCH('Tackles Selections'!E11,Resulting_Tackles_Players,0))+INDEX(Resulting_Tackles_Totals,MATCH('Tackles Selections'!F11,Resulting_Tackles_Players,0))+INDEX(Resulting_Tackles_Totals,MATCH('Tackles Selections'!G11,Resulting_Tackles_Players,0))</f>
        <v>0</v>
      </c>
      <c r="T11" s="56" t="str">
        <f t="shared" si="0"/>
        <v>L</v>
      </c>
      <c r="V11" s="45">
        <f t="shared" si="3"/>
        <v>433.15477902453193</v>
      </c>
      <c r="W11" s="48">
        <f>IFERROR(INDEX(FractionalPriceLookUp2,MATCH('Tackles Selections'!V11,DecimalPriceLookUp,1)),"")</f>
        <v>250</v>
      </c>
      <c r="Y11" s="87">
        <f t="shared" si="6"/>
        <v>2</v>
      </c>
      <c r="Z11" s="65">
        <f t="shared" si="4"/>
        <v>0</v>
      </c>
      <c r="AA11" s="206"/>
      <c r="AB11" s="158" t="str">
        <f t="shared" si="5"/>
        <v>No</v>
      </c>
      <c r="AC11" s="150" t="s">
        <v>142</v>
      </c>
    </row>
    <row r="12" spans="2:29" s="14" customFormat="1" ht="15.95" customHeight="1" x14ac:dyDescent="0.25">
      <c r="B12" s="19" t="str">
        <f>TacklesPlayer6</f>
        <v>Kalvin Phillips</v>
      </c>
      <c r="C12" s="22" t="str">
        <f>TacklesPlayer7</f>
        <v>Stuart Dallas</v>
      </c>
      <c r="D12" s="22" t="str">
        <f>TacklesPlayer5</f>
        <v>Thiago Silva</v>
      </c>
      <c r="E12" s="22"/>
      <c r="F12" s="22"/>
      <c r="G12" s="22"/>
      <c r="H12" s="153" t="s">
        <v>37</v>
      </c>
      <c r="I12" s="52">
        <f t="shared" si="1"/>
        <v>11</v>
      </c>
      <c r="K12" s="45">
        <f>IFERROR(INDEX(TacklesRemaining,MATCH('Tackles Selections'!B12,TacklesPlayers,0)),"")</f>
        <v>2.8967000000000001</v>
      </c>
      <c r="L12" s="47">
        <f>IFERROR(INDEX(TacklesRemaining,MATCH('Tackles Selections'!C12,TacklesPlayers,0)),"")</f>
        <v>2.4081000000000001</v>
      </c>
      <c r="M12" s="47">
        <f>IFERROR(INDEX(TacklesRemaining,MATCH('Tackles Selections'!D12,TacklesPlayers,0)),"")</f>
        <v>0.95940000000000003</v>
      </c>
      <c r="N12" s="47" t="str">
        <f>IFERROR(INDEX(TacklesRemaining,MATCH('Tackles Selections'!E12,TacklesPlayers,0)),"")</f>
        <v/>
      </c>
      <c r="O12" s="47" t="str">
        <f>IFERROR(INDEX(TacklesRemaining,MATCH('Tackles Selections'!F12,TacklesPlayers,0)),"")</f>
        <v/>
      </c>
      <c r="P12" s="47" t="str">
        <f>IFERROR(INDEX(TacklesRemaining,MATCH('Tackles Selections'!G12,TacklesPlayers,0)),"")</f>
        <v/>
      </c>
      <c r="Q12" s="56">
        <f t="shared" si="2"/>
        <v>6.2642000000000007</v>
      </c>
      <c r="R12" s="23"/>
      <c r="S12" s="101">
        <f>INDEX(Resulting_Tackles_Totals,MATCH('Tackles Selections'!B12,Resulting_Tackles_Players,0))+INDEX(Resulting_Tackles_Totals,MATCH('Tackles Selections'!C12,Resulting_Tackles_Players,0))+INDEX(Resulting_Tackles_Totals,MATCH('Tackles Selections'!D12,Resulting_Tackles_Players,0))+INDEX(Resulting_Tackles_Totals,MATCH('Tackles Selections'!E12,Resulting_Tackles_Players,0))+INDEX(Resulting_Tackles_Totals,MATCH('Tackles Selections'!F12,Resulting_Tackles_Players,0))+INDEX(Resulting_Tackles_Totals,MATCH('Tackles Selections'!G12,Resulting_Tackles_Players,0))</f>
        <v>0</v>
      </c>
      <c r="T12" s="56" t="str">
        <f t="shared" si="0"/>
        <v>L</v>
      </c>
      <c r="V12" s="45">
        <f t="shared" si="3"/>
        <v>37.416969684193432</v>
      </c>
      <c r="W12" s="48">
        <f>IFERROR(INDEX(FractionalPriceLookUp2,MATCH('Tackles Selections'!V12,DecimalPriceLookUp,1)),"")</f>
        <v>22</v>
      </c>
      <c r="Y12" s="87">
        <f t="shared" si="6"/>
        <v>3</v>
      </c>
      <c r="Z12" s="65">
        <f t="shared" si="4"/>
        <v>0</v>
      </c>
      <c r="AA12" s="206"/>
      <c r="AB12" s="158" t="str">
        <f t="shared" si="5"/>
        <v>No</v>
      </c>
      <c r="AC12" s="150" t="s">
        <v>142</v>
      </c>
    </row>
    <row r="13" spans="2:29" s="14" customFormat="1" ht="15.95" customHeight="1" x14ac:dyDescent="0.25">
      <c r="B13" s="19" t="str">
        <f>TacklesPlayer1</f>
        <v>N'Golo Kante</v>
      </c>
      <c r="C13" s="22" t="str">
        <f>TacklesPlayer2</f>
        <v>Reece James</v>
      </c>
      <c r="D13" s="22" t="str">
        <f>TacklesPlayer6</f>
        <v>Kalvin Phillips</v>
      </c>
      <c r="E13" s="22"/>
      <c r="F13" s="22"/>
      <c r="G13" s="22"/>
      <c r="H13" s="153" t="s">
        <v>37</v>
      </c>
      <c r="I13" s="52">
        <f t="shared" si="1"/>
        <v>11</v>
      </c>
      <c r="K13" s="45">
        <f>IFERROR(INDEX(TacklesRemaining,MATCH('Tackles Selections'!B13,TacklesPlayers,0)),"")</f>
        <v>2.2385999999999999</v>
      </c>
      <c r="L13" s="47">
        <f>IFERROR(INDEX(TacklesRemaining,MATCH('Tackles Selections'!C13,TacklesPlayers,0)),"")</f>
        <v>2.2385999999999999</v>
      </c>
      <c r="M13" s="47">
        <f>IFERROR(INDEX(TacklesRemaining,MATCH('Tackles Selections'!D13,TacklesPlayers,0)),"")</f>
        <v>2.8967000000000001</v>
      </c>
      <c r="N13" s="47" t="str">
        <f>IFERROR(INDEX(TacklesRemaining,MATCH('Tackles Selections'!E13,TacklesPlayers,0)),"")</f>
        <v/>
      </c>
      <c r="O13" s="47" t="str">
        <f>IFERROR(INDEX(TacklesRemaining,MATCH('Tackles Selections'!F13,TacklesPlayers,0)),"")</f>
        <v/>
      </c>
      <c r="P13" s="47" t="str">
        <f>IFERROR(INDEX(TacklesRemaining,MATCH('Tackles Selections'!G13,TacklesPlayers,0)),"")</f>
        <v/>
      </c>
      <c r="Q13" s="56">
        <f t="shared" si="2"/>
        <v>7.3738999999999999</v>
      </c>
      <c r="R13" s="23"/>
      <c r="S13" s="101">
        <f>INDEX(Resulting_Tackles_Totals,MATCH('Tackles Selections'!B13,Resulting_Tackles_Players,0))+INDEX(Resulting_Tackles_Totals,MATCH('Tackles Selections'!C13,Resulting_Tackles_Players,0))+INDEX(Resulting_Tackles_Totals,MATCH('Tackles Selections'!D13,Resulting_Tackles_Players,0))+INDEX(Resulting_Tackles_Totals,MATCH('Tackles Selections'!E13,Resulting_Tackles_Players,0))+INDEX(Resulting_Tackles_Totals,MATCH('Tackles Selections'!F13,Resulting_Tackles_Players,0))+INDEX(Resulting_Tackles_Totals,MATCH('Tackles Selections'!G13,Resulting_Tackles_Players,0))</f>
        <v>0</v>
      </c>
      <c r="T13" s="56" t="str">
        <f t="shared" si="0"/>
        <v>L</v>
      </c>
      <c r="V13" s="45">
        <f t="shared" si="3"/>
        <v>13.873768725108595</v>
      </c>
      <c r="W13" s="48">
        <f>IFERROR(INDEX(FractionalPriceLookUp2,MATCH('Tackles Selections'!V13,DecimalPriceLookUp,1)),"")</f>
        <v>9</v>
      </c>
      <c r="Y13" s="88">
        <f>6-COUNTBLANK(B13:G13)</f>
        <v>3</v>
      </c>
      <c r="Z13" s="65">
        <f t="shared" si="4"/>
        <v>0</v>
      </c>
      <c r="AA13" s="206"/>
      <c r="AB13" s="158" t="str">
        <f t="shared" si="5"/>
        <v>No</v>
      </c>
      <c r="AC13" s="150" t="s">
        <v>142</v>
      </c>
    </row>
    <row r="14" spans="2:29" s="14" customFormat="1" ht="15.95" customHeight="1" x14ac:dyDescent="0.25">
      <c r="B14" s="19" t="str">
        <f>TacklesPlayer6</f>
        <v>Kalvin Phillips</v>
      </c>
      <c r="C14" s="22" t="str">
        <f>TacklesPlayer1</f>
        <v>N'Golo Kante</v>
      </c>
      <c r="D14" s="22" t="str">
        <f>TacklesPlayer7</f>
        <v>Stuart Dallas</v>
      </c>
      <c r="E14" s="22"/>
      <c r="F14" s="22"/>
      <c r="G14" s="22"/>
      <c r="H14" s="153" t="s">
        <v>41</v>
      </c>
      <c r="I14" s="52">
        <f t="shared" si="1"/>
        <v>15</v>
      </c>
      <c r="K14" s="45">
        <f>IFERROR(INDEX(TacklesRemaining,MATCH('Tackles Selections'!B14,TacklesPlayers,0)),"")</f>
        <v>2.8967000000000001</v>
      </c>
      <c r="L14" s="47">
        <f>IFERROR(INDEX(TacklesRemaining,MATCH('Tackles Selections'!C14,TacklesPlayers,0)),"")</f>
        <v>2.2385999999999999</v>
      </c>
      <c r="M14" s="47">
        <f>IFERROR(INDEX(TacklesRemaining,MATCH('Tackles Selections'!D14,TacklesPlayers,0)),"")</f>
        <v>2.4081000000000001</v>
      </c>
      <c r="N14" s="47" t="str">
        <f>IFERROR(INDEX(TacklesRemaining,MATCH('Tackles Selections'!E14,TacklesPlayers,0)),"")</f>
        <v/>
      </c>
      <c r="O14" s="47" t="str">
        <f>IFERROR(INDEX(TacklesRemaining,MATCH('Tackles Selections'!F14,TacklesPlayers,0)),"")</f>
        <v/>
      </c>
      <c r="P14" s="47" t="str">
        <f>IFERROR(INDEX(TacklesRemaining,MATCH('Tackles Selections'!G14,TacklesPlayers,0)),"")</f>
        <v/>
      </c>
      <c r="Q14" s="56">
        <f t="shared" si="2"/>
        <v>7.5434000000000001</v>
      </c>
      <c r="R14" s="23"/>
      <c r="S14" s="101">
        <f>INDEX(Resulting_Tackles_Totals,MATCH('Tackles Selections'!B14,Resulting_Tackles_Players,0))+INDEX(Resulting_Tackles_Totals,MATCH('Tackles Selections'!C14,Resulting_Tackles_Players,0))+INDEX(Resulting_Tackles_Totals,MATCH('Tackles Selections'!D14,Resulting_Tackles_Players,0))+INDEX(Resulting_Tackles_Totals,MATCH('Tackles Selections'!E14,Resulting_Tackles_Players,0))+INDEX(Resulting_Tackles_Totals,MATCH('Tackles Selections'!F14,Resulting_Tackles_Players,0))+INDEX(Resulting_Tackles_Totals,MATCH('Tackles Selections'!G14,Resulting_Tackles_Players,0))</f>
        <v>0</v>
      </c>
      <c r="T14" s="56" t="str">
        <f t="shared" si="0"/>
        <v>L</v>
      </c>
      <c r="V14" s="45">
        <f t="shared" si="3"/>
        <v>205.80375927688615</v>
      </c>
      <c r="W14" s="48">
        <f>IFERROR(INDEX(FractionalPriceLookUp2,MATCH('Tackles Selections'!V14,DecimalPriceLookUp,1)),"")</f>
        <v>100</v>
      </c>
      <c r="Y14" s="87">
        <f t="shared" si="6"/>
        <v>3</v>
      </c>
      <c r="Z14" s="65">
        <f t="shared" si="4"/>
        <v>0</v>
      </c>
      <c r="AA14" s="206"/>
      <c r="AB14" s="158" t="str">
        <f t="shared" si="5"/>
        <v>No</v>
      </c>
      <c r="AC14" s="150" t="s">
        <v>142</v>
      </c>
    </row>
    <row r="15" spans="2:29" s="14" customFormat="1" ht="15.95" customHeight="1" x14ac:dyDescent="0.25">
      <c r="B15" s="19" t="str">
        <f>TacklesPlayer6</f>
        <v>Kalvin Phillips</v>
      </c>
      <c r="C15" s="22" t="str">
        <f>TacklesPlayer7</f>
        <v>Stuart Dallas</v>
      </c>
      <c r="D15" s="22" t="str">
        <f>TacklesPlayer1</f>
        <v>N'Golo Kante</v>
      </c>
      <c r="E15" s="22" t="str">
        <f>TacklesPlayer2</f>
        <v>Reece James</v>
      </c>
      <c r="F15" s="22"/>
      <c r="G15" s="22"/>
      <c r="H15" s="153" t="s">
        <v>43</v>
      </c>
      <c r="I15" s="52">
        <f t="shared" si="1"/>
        <v>17</v>
      </c>
      <c r="K15" s="45">
        <f>IFERROR(INDEX(TacklesRemaining,MATCH('Tackles Selections'!B15,TacklesPlayers,0)),"")</f>
        <v>2.8967000000000001</v>
      </c>
      <c r="L15" s="47">
        <f>IFERROR(INDEX(TacklesRemaining,MATCH('Tackles Selections'!C15,TacklesPlayers,0)),"")</f>
        <v>2.4081000000000001</v>
      </c>
      <c r="M15" s="47">
        <f>IFERROR(INDEX(TacklesRemaining,MATCH('Tackles Selections'!D15,TacklesPlayers,0)),"")</f>
        <v>2.2385999999999999</v>
      </c>
      <c r="N15" s="47">
        <f>IFERROR(INDEX(TacklesRemaining,MATCH('Tackles Selections'!E15,TacklesPlayers,0)),"")</f>
        <v>2.2385999999999999</v>
      </c>
      <c r="O15" s="47" t="str">
        <f>IFERROR(INDEX(TacklesRemaining,MATCH('Tackles Selections'!F15,TacklesPlayers,0)),"")</f>
        <v/>
      </c>
      <c r="P15" s="47" t="str">
        <f>IFERROR(INDEX(TacklesRemaining,MATCH('Tackles Selections'!G15,TacklesPlayers,0)),"")</f>
        <v/>
      </c>
      <c r="Q15" s="56">
        <f t="shared" si="2"/>
        <v>9.782</v>
      </c>
      <c r="R15" s="23"/>
      <c r="S15" s="101">
        <f>INDEX(Resulting_Tackles_Totals,MATCH('Tackles Selections'!B15,Resulting_Tackles_Players,0))+INDEX(Resulting_Tackles_Totals,MATCH('Tackles Selections'!C15,Resulting_Tackles_Players,0))+INDEX(Resulting_Tackles_Totals,MATCH('Tackles Selections'!D15,Resulting_Tackles_Players,0))+INDEX(Resulting_Tackles_Totals,MATCH('Tackles Selections'!E15,Resulting_Tackles_Players,0))+INDEX(Resulting_Tackles_Totals,MATCH('Tackles Selections'!F15,Resulting_Tackles_Players,0))+INDEX(Resulting_Tackles_Totals,MATCH('Tackles Selections'!G15,Resulting_Tackles_Players,0))</f>
        <v>0</v>
      </c>
      <c r="T15" s="56" t="str">
        <f t="shared" si="0"/>
        <v>L</v>
      </c>
      <c r="V15" s="45">
        <f t="shared" si="3"/>
        <v>85.467550990154692</v>
      </c>
      <c r="W15" s="48">
        <f>IFERROR(INDEX(FractionalPriceLookUp2,MATCH('Tackles Selections'!V15,DecimalPriceLookUp,1)),"")</f>
        <v>60</v>
      </c>
      <c r="Y15" s="87">
        <f t="shared" si="6"/>
        <v>4</v>
      </c>
      <c r="Z15" s="65">
        <f t="shared" si="4"/>
        <v>0</v>
      </c>
      <c r="AA15" s="206"/>
      <c r="AB15" s="158" t="str">
        <f t="shared" si="5"/>
        <v>No</v>
      </c>
      <c r="AC15" s="150" t="s">
        <v>142</v>
      </c>
    </row>
    <row r="16" spans="2:29" s="14" customFormat="1" ht="15.95" customHeight="1" x14ac:dyDescent="0.25">
      <c r="B16" s="19" t="str">
        <f>TacklesPlayer5</f>
        <v>Thiago Silva</v>
      </c>
      <c r="C16" s="22" t="str">
        <f>TacklesPlayer4</f>
        <v>Ben Chilwell</v>
      </c>
      <c r="D16" s="22" t="str">
        <f>TacklesPlayer6</f>
        <v>Kalvin Phillips</v>
      </c>
      <c r="E16" s="22"/>
      <c r="F16" s="22"/>
      <c r="G16" s="22"/>
      <c r="H16" s="153" t="s">
        <v>39</v>
      </c>
      <c r="I16" s="52">
        <f t="shared" si="1"/>
        <v>13</v>
      </c>
      <c r="K16" s="45">
        <f>IFERROR(INDEX(TacklesRemaining,MATCH('Tackles Selections'!B16,TacklesPlayers,0)),"")</f>
        <v>0.95940000000000003</v>
      </c>
      <c r="L16" s="47">
        <f>IFERROR(INDEX(TacklesRemaining,MATCH('Tackles Selections'!C16,TacklesPlayers,0)),"")</f>
        <v>1.4391</v>
      </c>
      <c r="M16" s="47">
        <f>IFERROR(INDEX(TacklesRemaining,MATCH('Tackles Selections'!D16,TacklesPlayers,0)),"")</f>
        <v>2.8967000000000001</v>
      </c>
      <c r="N16" s="47" t="str">
        <f>IFERROR(INDEX(TacklesRemaining,MATCH('Tackles Selections'!E16,TacklesPlayers,0)),"")</f>
        <v/>
      </c>
      <c r="O16" s="47" t="str">
        <f>IFERROR(INDEX(TacklesRemaining,MATCH('Tackles Selections'!F16,TacklesPlayers,0)),"")</f>
        <v/>
      </c>
      <c r="P16" s="47" t="str">
        <f>IFERROR(INDEX(TacklesRemaining,MATCH('Tackles Selections'!G16,TacklesPlayers,0)),"")</f>
        <v/>
      </c>
      <c r="Q16" s="56">
        <f t="shared" si="2"/>
        <v>5.2952000000000004</v>
      </c>
      <c r="R16" s="23"/>
      <c r="S16" s="101">
        <f>INDEX(Resulting_Tackles_Totals,MATCH('Tackles Selections'!B16,Resulting_Tackles_Players,0))+INDEX(Resulting_Tackles_Totals,MATCH('Tackles Selections'!C16,Resulting_Tackles_Players,0))+INDEX(Resulting_Tackles_Totals,MATCH('Tackles Selections'!D16,Resulting_Tackles_Players,0))+INDEX(Resulting_Tackles_Totals,MATCH('Tackles Selections'!E16,Resulting_Tackles_Players,0))+INDEX(Resulting_Tackles_Totals,MATCH('Tackles Selections'!F16,Resulting_Tackles_Players,0))+INDEX(Resulting_Tackles_Totals,MATCH('Tackles Selections'!G16,Resulting_Tackles_Players,0))</f>
        <v>0</v>
      </c>
      <c r="T16" s="56" t="str">
        <f t="shared" si="0"/>
        <v>L</v>
      </c>
      <c r="V16" s="45">
        <f t="shared" si="3"/>
        <v>838.70594405998816</v>
      </c>
      <c r="W16" s="48">
        <f>IFERROR(INDEX(FractionalPriceLookUp2,MATCH('Tackles Selections'!V16,DecimalPriceLookUp,1)),"")</f>
        <v>500</v>
      </c>
      <c r="Y16" s="87">
        <f t="shared" si="6"/>
        <v>3</v>
      </c>
      <c r="Z16" s="65">
        <f t="shared" si="4"/>
        <v>0</v>
      </c>
      <c r="AA16" s="206"/>
      <c r="AB16" s="158" t="str">
        <f t="shared" si="5"/>
        <v>No</v>
      </c>
      <c r="AC16" s="150" t="s">
        <v>142</v>
      </c>
    </row>
    <row r="17" spans="2:29" s="14" customFormat="1" ht="15.95" customHeight="1" x14ac:dyDescent="0.25">
      <c r="B17" s="19" t="str">
        <f>TacklesPlayer8</f>
        <v>Luke Ayling</v>
      </c>
      <c r="C17" s="22" t="str">
        <f>TacklesPlayer9</f>
        <v>Ezgjan Alioski</v>
      </c>
      <c r="D17" s="22" t="str">
        <f>TacklesPlayer3</f>
        <v>Mateo Kovacic</v>
      </c>
      <c r="E17" s="22" t="str">
        <f>TacklesPlayer4</f>
        <v>Ben Chilwell</v>
      </c>
      <c r="F17" s="22"/>
      <c r="G17" s="22"/>
      <c r="H17" s="153" t="s">
        <v>41</v>
      </c>
      <c r="I17" s="52">
        <f t="shared" si="1"/>
        <v>15</v>
      </c>
      <c r="K17" s="45">
        <f>IFERROR(INDEX(TacklesRemaining,MATCH('Tackles Selections'!B17,TacklesPlayers,0)),"")</f>
        <v>2.0242</v>
      </c>
      <c r="L17" s="47">
        <f>IFERROR(INDEX(TacklesRemaining,MATCH('Tackles Selections'!C17,TacklesPlayers,0)),"")</f>
        <v>2.4430000000000001</v>
      </c>
      <c r="M17" s="47">
        <f>IFERROR(INDEX(TacklesRemaining,MATCH('Tackles Selections'!D17,TacklesPlayers,0)),"")</f>
        <v>2.5583999999999998</v>
      </c>
      <c r="N17" s="47">
        <f>IFERROR(INDEX(TacklesRemaining,MATCH('Tackles Selections'!E17,TacklesPlayers,0)),"")</f>
        <v>1.4391</v>
      </c>
      <c r="O17" s="47" t="str">
        <f>IFERROR(INDEX(TacklesRemaining,MATCH('Tackles Selections'!F17,TacklesPlayers,0)),"")</f>
        <v/>
      </c>
      <c r="P17" s="47" t="str">
        <f>IFERROR(INDEX(TacklesRemaining,MATCH('Tackles Selections'!G17,TacklesPlayers,0)),"")</f>
        <v/>
      </c>
      <c r="Q17" s="56">
        <f t="shared" si="2"/>
        <v>8.4647000000000006</v>
      </c>
      <c r="R17" s="23"/>
      <c r="S17" s="101">
        <f>INDEX(Resulting_Tackles_Totals,MATCH('Tackles Selections'!B17,Resulting_Tackles_Players,0))+INDEX(Resulting_Tackles_Totals,MATCH('Tackles Selections'!C17,Resulting_Tackles_Players,0))+INDEX(Resulting_Tackles_Totals,MATCH('Tackles Selections'!D17,Resulting_Tackles_Players,0))+INDEX(Resulting_Tackles_Totals,MATCH('Tackles Selections'!E17,Resulting_Tackles_Players,0))+INDEX(Resulting_Tackles_Totals,MATCH('Tackles Selections'!F17,Resulting_Tackles_Players,0))+INDEX(Resulting_Tackles_Totals,MATCH('Tackles Selections'!G17,Resulting_Tackles_Players,0))</f>
        <v>0</v>
      </c>
      <c r="T17" s="56" t="str">
        <f t="shared" si="0"/>
        <v>L</v>
      </c>
      <c r="V17" s="45">
        <f t="shared" si="3"/>
        <v>74.849940245100512</v>
      </c>
      <c r="W17" s="48">
        <f>IFERROR(INDEX(FractionalPriceLookUp2,MATCH('Tackles Selections'!V17,DecimalPriceLookUp,1)),"")</f>
        <v>50</v>
      </c>
      <c r="Y17" s="87">
        <f t="shared" si="6"/>
        <v>4</v>
      </c>
      <c r="Z17" s="65">
        <f t="shared" si="4"/>
        <v>0</v>
      </c>
      <c r="AA17" s="206"/>
      <c r="AB17" s="158" t="str">
        <f t="shared" si="5"/>
        <v>No</v>
      </c>
      <c r="AC17" s="150" t="s">
        <v>142</v>
      </c>
    </row>
    <row r="18" spans="2:29" s="14" customFormat="1" ht="15.95" customHeight="1" x14ac:dyDescent="0.25">
      <c r="B18" s="19" t="str">
        <f>TacklesPlayer1</f>
        <v>N'Golo Kante</v>
      </c>
      <c r="C18" s="22" t="str">
        <f>TacklesPlayer5</f>
        <v>Thiago Silva</v>
      </c>
      <c r="D18" s="22"/>
      <c r="E18" s="22"/>
      <c r="F18" s="22"/>
      <c r="G18" s="22"/>
      <c r="H18" s="153" t="s">
        <v>35</v>
      </c>
      <c r="I18" s="52">
        <f t="shared" si="1"/>
        <v>9</v>
      </c>
      <c r="K18" s="45">
        <f>IFERROR(INDEX(TacklesRemaining,MATCH('Tackles Selections'!B18,TacklesPlayers,0)),"")</f>
        <v>2.2385999999999999</v>
      </c>
      <c r="L18" s="47">
        <f>IFERROR(INDEX(TacklesRemaining,MATCH('Tackles Selections'!C18,TacklesPlayers,0)),"")</f>
        <v>0.95940000000000003</v>
      </c>
      <c r="M18" s="47" t="str">
        <f>IFERROR(INDEX(TacklesRemaining,MATCH('Tackles Selections'!D18,TacklesPlayers,0)),"")</f>
        <v/>
      </c>
      <c r="N18" s="47" t="str">
        <f>IFERROR(INDEX(TacklesRemaining,MATCH('Tackles Selections'!E18,TacklesPlayers,0)),"")</f>
        <v/>
      </c>
      <c r="O18" s="47" t="str">
        <f>IFERROR(INDEX(TacklesRemaining,MATCH('Tackles Selections'!F18,TacklesPlayers,0)),"")</f>
        <v/>
      </c>
      <c r="P18" s="47" t="str">
        <f>IFERROR(INDEX(TacklesRemaining,MATCH('Tackles Selections'!G18,TacklesPlayers,0)),"")</f>
        <v/>
      </c>
      <c r="Q18" s="56">
        <f t="shared" si="2"/>
        <v>3.198</v>
      </c>
      <c r="R18" s="23"/>
      <c r="S18" s="101">
        <f>INDEX(Resulting_Tackles_Totals,MATCH('Tackles Selections'!B18,Resulting_Tackles_Players,0))+INDEX(Resulting_Tackles_Totals,MATCH('Tackles Selections'!C18,Resulting_Tackles_Players,0))+INDEX(Resulting_Tackles_Totals,MATCH('Tackles Selections'!D18,Resulting_Tackles_Players,0))+INDEX(Resulting_Tackles_Totals,MATCH('Tackles Selections'!E18,Resulting_Tackles_Players,0))+INDEX(Resulting_Tackles_Totals,MATCH('Tackles Selections'!F18,Resulting_Tackles_Players,0))+INDEX(Resulting_Tackles_Totals,MATCH('Tackles Selections'!G18,Resulting_Tackles_Players,0))</f>
        <v>0</v>
      </c>
      <c r="T18" s="56" t="str">
        <f t="shared" si="0"/>
        <v>L</v>
      </c>
      <c r="V18" s="45">
        <f t="shared" si="3"/>
        <v>570.1261810383902</v>
      </c>
      <c r="W18" s="48">
        <f>IFERROR(INDEX(FractionalPriceLookUp2,MATCH('Tackles Selections'!V18,DecimalPriceLookUp,1)),"")</f>
        <v>250</v>
      </c>
      <c r="Y18" s="87">
        <f t="shared" si="6"/>
        <v>2</v>
      </c>
      <c r="Z18" s="65">
        <f t="shared" si="4"/>
        <v>0</v>
      </c>
      <c r="AA18" s="206"/>
      <c r="AB18" s="158" t="str">
        <f t="shared" si="5"/>
        <v>No</v>
      </c>
      <c r="AC18" s="150" t="s">
        <v>142</v>
      </c>
    </row>
    <row r="19" spans="2:29" s="14" customFormat="1" ht="15.95" customHeight="1" x14ac:dyDescent="0.25">
      <c r="B19" s="19" t="str">
        <f>TacklesPlayer5</f>
        <v>Thiago Silva</v>
      </c>
      <c r="C19" s="22" t="str">
        <f>TacklesPlayer10</f>
        <v>Robin Koch</v>
      </c>
      <c r="D19" s="22"/>
      <c r="E19" s="22"/>
      <c r="F19" s="22"/>
      <c r="G19" s="22"/>
      <c r="H19" s="153" t="s">
        <v>30</v>
      </c>
      <c r="I19" s="52">
        <f t="shared" si="1"/>
        <v>4</v>
      </c>
      <c r="K19" s="45">
        <f>IFERROR(INDEX(TacklesRemaining,MATCH('Tackles Selections'!B19,TacklesPlayers,0)),"")</f>
        <v>0.95940000000000003</v>
      </c>
      <c r="L19" s="47">
        <f>IFERROR(INDEX(TacklesRemaining,MATCH('Tackles Selections'!C19,TacklesPlayers,0)),"")</f>
        <v>1.6053999999999999</v>
      </c>
      <c r="M19" s="47" t="str">
        <f>IFERROR(INDEX(TacklesRemaining,MATCH('Tackles Selections'!D19,TacklesPlayers,0)),"")</f>
        <v/>
      </c>
      <c r="N19" s="47" t="str">
        <f>IFERROR(INDEX(TacklesRemaining,MATCH('Tackles Selections'!E19,TacklesPlayers,0)),"")</f>
        <v/>
      </c>
      <c r="O19" s="47" t="str">
        <f>IFERROR(INDEX(TacklesRemaining,MATCH('Tackles Selections'!F19,TacklesPlayers,0)),"")</f>
        <v/>
      </c>
      <c r="P19" s="47" t="str">
        <f>IFERROR(INDEX(TacklesRemaining,MATCH('Tackles Selections'!G19,TacklesPlayers,0)),"")</f>
        <v/>
      </c>
      <c r="Q19" s="56">
        <f t="shared" si="2"/>
        <v>2.5648</v>
      </c>
      <c r="R19" s="23"/>
      <c r="S19" s="101">
        <f>INDEX(Resulting_Tackles_Totals,MATCH('Tackles Selections'!B19,Resulting_Tackles_Players,0))+INDEX(Resulting_Tackles_Totals,MATCH('Tackles Selections'!C19,Resulting_Tackles_Players,0))+INDEX(Resulting_Tackles_Totals,MATCH('Tackles Selections'!D19,Resulting_Tackles_Players,0))+INDEX(Resulting_Tackles_Totals,MATCH('Tackles Selections'!E19,Resulting_Tackles_Players,0))+INDEX(Resulting_Tackles_Totals,MATCH('Tackles Selections'!F19,Resulting_Tackles_Players,0))+INDEX(Resulting_Tackles_Totals,MATCH('Tackles Selections'!G19,Resulting_Tackles_Players,0))</f>
        <v>0</v>
      </c>
      <c r="T19" s="56" t="str">
        <f t="shared" si="0"/>
        <v>L</v>
      </c>
      <c r="V19" s="45">
        <f t="shared" si="3"/>
        <v>8.5000804126913234</v>
      </c>
      <c r="W19" s="48">
        <f>IFERROR(INDEX(FractionalPriceLookUp2,MATCH('Tackles Selections'!V19,DecimalPriceLookUp,1)),"")</f>
        <v>6</v>
      </c>
      <c r="Y19" s="87">
        <f t="shared" si="6"/>
        <v>2</v>
      </c>
      <c r="Z19" s="65">
        <f t="shared" si="4"/>
        <v>0</v>
      </c>
      <c r="AA19" s="206"/>
      <c r="AB19" s="158" t="str">
        <f t="shared" si="5"/>
        <v>No</v>
      </c>
      <c r="AC19" s="150" t="s">
        <v>142</v>
      </c>
    </row>
    <row r="20" spans="2:29" s="14" customFormat="1" ht="15.95" customHeight="1" x14ac:dyDescent="0.25">
      <c r="B20" s="19" t="str">
        <f>TacklesPlayer1</f>
        <v>N'Golo Kante</v>
      </c>
      <c r="C20" s="22" t="str">
        <f>TacklesPlayer8</f>
        <v>Luke Ayling</v>
      </c>
      <c r="D20" s="22" t="str">
        <f>TacklesPlayer6</f>
        <v>Kalvin Phillips</v>
      </c>
      <c r="E20" s="22"/>
      <c r="F20" s="22"/>
      <c r="G20" s="22"/>
      <c r="H20" s="153" t="s">
        <v>40</v>
      </c>
      <c r="I20" s="52">
        <f t="shared" si="1"/>
        <v>14</v>
      </c>
      <c r="K20" s="45">
        <f>IFERROR(INDEX(TacklesRemaining,MATCH('Tackles Selections'!B20,TacklesPlayers,0)),"")</f>
        <v>2.2385999999999999</v>
      </c>
      <c r="L20" s="47">
        <f>IFERROR(INDEX(TacklesRemaining,MATCH('Tackles Selections'!C20,TacklesPlayers,0)),"")</f>
        <v>2.0242</v>
      </c>
      <c r="M20" s="47">
        <f>IFERROR(INDEX(TacklesRemaining,MATCH('Tackles Selections'!D20,TacklesPlayers,0)),"")</f>
        <v>2.8967000000000001</v>
      </c>
      <c r="N20" s="47" t="str">
        <f>IFERROR(INDEX(TacklesRemaining,MATCH('Tackles Selections'!E20,TacklesPlayers,0)),"")</f>
        <v/>
      </c>
      <c r="O20" s="47" t="str">
        <f>IFERROR(INDEX(TacklesRemaining,MATCH('Tackles Selections'!F20,TacklesPlayers,0)),"")</f>
        <v/>
      </c>
      <c r="P20" s="47" t="str">
        <f>IFERROR(INDEX(TacklesRemaining,MATCH('Tackles Selections'!G20,TacklesPlayers,0)),"")</f>
        <v/>
      </c>
      <c r="Q20" s="56">
        <f t="shared" si="2"/>
        <v>7.1595000000000004</v>
      </c>
      <c r="R20" s="23"/>
      <c r="S20" s="101">
        <f>INDEX(Resulting_Tackles_Totals,MATCH('Tackles Selections'!B20,Resulting_Tackles_Players,0))+INDEX(Resulting_Tackles_Totals,MATCH('Tackles Selections'!C20,Resulting_Tackles_Players,0))+INDEX(Resulting_Tackles_Totals,MATCH('Tackles Selections'!D20,Resulting_Tackles_Players,0))+INDEX(Resulting_Tackles_Totals,MATCH('Tackles Selections'!E20,Resulting_Tackles_Players,0))+INDEX(Resulting_Tackles_Totals,MATCH('Tackles Selections'!F20,Resulting_Tackles_Players,0))+INDEX(Resulting_Tackles_Totals,MATCH('Tackles Selections'!G20,Resulting_Tackles_Players,0))</f>
        <v>0</v>
      </c>
      <c r="T20" s="56" t="str">
        <f t="shared" si="0"/>
        <v>L</v>
      </c>
      <c r="V20" s="45">
        <f t="shared" si="3"/>
        <v>144.04170902710368</v>
      </c>
      <c r="W20" s="48">
        <f>IFERROR(INDEX(FractionalPriceLookUp2,MATCH('Tackles Selections'!V20,DecimalPriceLookUp,1)),"")</f>
        <v>80</v>
      </c>
      <c r="Y20" s="87">
        <f t="shared" si="6"/>
        <v>3</v>
      </c>
      <c r="Z20" s="65">
        <f t="shared" si="4"/>
        <v>0</v>
      </c>
      <c r="AA20" s="206"/>
      <c r="AB20" s="158" t="str">
        <f t="shared" si="5"/>
        <v>No</v>
      </c>
      <c r="AC20" s="150" t="s">
        <v>142</v>
      </c>
    </row>
    <row r="21" spans="2:29" s="14" customFormat="1" ht="15.95" customHeight="1" x14ac:dyDescent="0.25">
      <c r="B21" s="20" t="str">
        <f>TacklesPlayer6</f>
        <v>Kalvin Phillips</v>
      </c>
      <c r="C21" s="24" t="str">
        <f>TacklesPlayer7</f>
        <v>Stuart Dallas</v>
      </c>
      <c r="D21" s="24" t="str">
        <f>TacklesPlayer3</f>
        <v>Mateo Kovacic</v>
      </c>
      <c r="E21" s="24"/>
      <c r="F21" s="24"/>
      <c r="G21" s="24"/>
      <c r="H21" s="154" t="s">
        <v>43</v>
      </c>
      <c r="I21" s="52">
        <f t="shared" si="1"/>
        <v>17</v>
      </c>
      <c r="K21" s="45">
        <f>IFERROR(INDEX(TacklesRemaining,MATCH('Tackles Selections'!B21,TacklesPlayers,0)),"")</f>
        <v>2.8967000000000001</v>
      </c>
      <c r="L21" s="47">
        <f>IFERROR(INDEX(TacklesRemaining,MATCH('Tackles Selections'!C21,TacklesPlayers,0)),"")</f>
        <v>2.4081000000000001</v>
      </c>
      <c r="M21" s="47">
        <f>IFERROR(INDEX(TacklesRemaining,MATCH('Tackles Selections'!D21,TacklesPlayers,0)),"")</f>
        <v>2.5583999999999998</v>
      </c>
      <c r="N21" s="47" t="str">
        <f>IFERROR(INDEX(TacklesRemaining,MATCH('Tackles Selections'!E21,TacklesPlayers,0)),"")</f>
        <v/>
      </c>
      <c r="O21" s="47" t="str">
        <f>IFERROR(INDEX(TacklesRemaining,MATCH('Tackles Selections'!F21,TacklesPlayers,0)),"")</f>
        <v/>
      </c>
      <c r="P21" s="47" t="str">
        <f>IFERROR(INDEX(TacklesRemaining,MATCH('Tackles Selections'!G21,TacklesPlayers,0)),"")</f>
        <v/>
      </c>
      <c r="Q21" s="56">
        <f t="shared" si="2"/>
        <v>7.8632</v>
      </c>
      <c r="R21" s="23"/>
      <c r="S21" s="101">
        <f>INDEX(Resulting_Tackles_Totals,MATCH('Tackles Selections'!B21,Resulting_Tackles_Players,0))+INDEX(Resulting_Tackles_Totals,MATCH('Tackles Selections'!C21,Resulting_Tackles_Players,0))+INDEX(Resulting_Tackles_Totals,MATCH('Tackles Selections'!D21,Resulting_Tackles_Players,0))+INDEX(Resulting_Tackles_Totals,MATCH('Tackles Selections'!E21,Resulting_Tackles_Players,0))+INDEX(Resulting_Tackles_Totals,MATCH('Tackles Selections'!F21,Resulting_Tackles_Players,0))+INDEX(Resulting_Tackles_Totals,MATCH('Tackles Selections'!G21,Resulting_Tackles_Players,0))</f>
        <v>0</v>
      </c>
      <c r="T21" s="56" t="str">
        <f t="shared" si="0"/>
        <v>L</v>
      </c>
      <c r="V21" s="46">
        <f t="shared" si="3"/>
        <v>754.60333959711102</v>
      </c>
      <c r="W21" s="49">
        <f>IFERROR(INDEX(FractionalPriceLookUp2,MATCH('Tackles Selections'!V21,DecimalPriceLookUp,1)),"")</f>
        <v>500</v>
      </c>
      <c r="Y21" s="87">
        <f t="shared" si="6"/>
        <v>3</v>
      </c>
      <c r="Z21" s="65">
        <f t="shared" si="4"/>
        <v>0</v>
      </c>
      <c r="AA21" s="207"/>
      <c r="AB21" s="159" t="str">
        <f t="shared" si="5"/>
        <v>No</v>
      </c>
      <c r="AC21" s="151" t="s">
        <v>142</v>
      </c>
    </row>
    <row r="22" spans="2:29" s="14" customFormat="1" ht="15.95" customHeight="1" x14ac:dyDescent="0.25">
      <c r="B22" s="19"/>
      <c r="C22" s="22"/>
      <c r="D22" s="22"/>
      <c r="E22" s="22"/>
      <c r="F22" s="22"/>
      <c r="G22" s="22"/>
      <c r="H22" s="153"/>
      <c r="I22" s="50" t="str">
        <f t="shared" si="1"/>
        <v/>
      </c>
      <c r="J22" s="23"/>
      <c r="K22" s="47" t="str">
        <f>IFERROR(INDEX(TacklesRemaining,MATCH('Tackles Selections'!B22,TacklesPlayers,0)),"")</f>
        <v/>
      </c>
      <c r="L22" s="47" t="str">
        <f>IFERROR(INDEX(TacklesRemaining,MATCH('Tackles Selections'!C22,TacklesPlayers,0)),"")</f>
        <v/>
      </c>
      <c r="M22" s="47" t="str">
        <f>IFERROR(INDEX(TacklesRemaining,MATCH('Tackles Selections'!D22,TacklesPlayers,0)),"")</f>
        <v/>
      </c>
      <c r="N22" s="47" t="str">
        <f>IFERROR(INDEX(TacklesRemaining,MATCH('Tackles Selections'!E22,TacklesPlayers,0)),"")</f>
        <v/>
      </c>
      <c r="O22" s="47" t="str">
        <f>IFERROR(INDEX(TacklesRemaining,MATCH('Tackles Selections'!F22,TacklesPlayers,0)),"")</f>
        <v/>
      </c>
      <c r="P22" s="47" t="str">
        <f>IFERROR(INDEX(TacklesRemaining,MATCH('Tackles Selections'!G22,TacklesPlayers,0)),"")</f>
        <v/>
      </c>
      <c r="Q22" s="47">
        <f t="shared" si="2"/>
        <v>0</v>
      </c>
      <c r="R22" s="23"/>
      <c r="S22" s="96">
        <f>INDEX(Resulting_Tackles_Totals,MATCH('Tackles Selections'!B22,Resulting_Tackles_Players,0))+INDEX(Resulting_Tackles_Totals,MATCH('Tackles Selections'!C22,Resulting_Tackles_Players,0))+INDEX(Resulting_Tackles_Totals,MATCH('Tackles Selections'!D22,Resulting_Tackles_Players,0))+INDEX(Resulting_Tackles_Totals,MATCH('Tackles Selections'!E22,Resulting_Tackles_Players,0))+INDEX(Resulting_Tackles_Totals,MATCH('Tackles Selections'!F22,Resulting_Tackles_Players,0))+INDEX(Resulting_Tackles_Totals,MATCH('Tackles Selections'!G22,Resulting_Tackles_Players,0))</f>
        <v>0</v>
      </c>
      <c r="T22" s="47" t="str">
        <f>IF(I22="","",IF(S22&gt;I22,"W","L"))</f>
        <v/>
      </c>
      <c r="U22" s="23"/>
      <c r="V22" s="45" t="str">
        <f t="shared" si="3"/>
        <v/>
      </c>
      <c r="W22" s="48" t="str">
        <f>IFERROR(INDEX(FractionalPriceLookUp2,MATCH('Tackles Selections'!V22,DecimalPriceLookUp,1)),"")</f>
        <v/>
      </c>
      <c r="X22" s="23"/>
      <c r="Y22" s="87">
        <f t="shared" si="6"/>
        <v>0</v>
      </c>
      <c r="Z22" s="65">
        <f t="shared" si="4"/>
        <v>0</v>
      </c>
      <c r="AA22" s="84"/>
      <c r="AB22" s="158" t="str">
        <f t="shared" si="5"/>
        <v>No</v>
      </c>
      <c r="AC22" s="150" t="s">
        <v>142</v>
      </c>
    </row>
    <row r="23" spans="2:29" s="14" customFormat="1" ht="15.95" customHeight="1" x14ac:dyDescent="0.25">
      <c r="B23" s="19"/>
      <c r="C23" s="22"/>
      <c r="D23" s="22"/>
      <c r="E23" s="22"/>
      <c r="F23" s="22"/>
      <c r="G23" s="22"/>
      <c r="H23" s="153"/>
      <c r="I23" s="50" t="str">
        <f t="shared" si="1"/>
        <v/>
      </c>
      <c r="J23" s="23"/>
      <c r="K23" s="47" t="str">
        <f>IFERROR(INDEX(TacklesRemaining,MATCH('Tackles Selections'!B23,TacklesPlayers,0)),"")</f>
        <v/>
      </c>
      <c r="L23" s="47" t="str">
        <f>IFERROR(INDEX(TacklesRemaining,MATCH('Tackles Selections'!C23,TacklesPlayers,0)),"")</f>
        <v/>
      </c>
      <c r="M23" s="47" t="str">
        <f>IFERROR(INDEX(TacklesRemaining,MATCH('Tackles Selections'!D23,TacklesPlayers,0)),"")</f>
        <v/>
      </c>
      <c r="N23" s="47" t="str">
        <f>IFERROR(INDEX(TacklesRemaining,MATCH('Tackles Selections'!E23,TacklesPlayers,0)),"")</f>
        <v/>
      </c>
      <c r="O23" s="47" t="str">
        <f>IFERROR(INDEX(TacklesRemaining,MATCH('Tackles Selections'!F23,TacklesPlayers,0)),"")</f>
        <v/>
      </c>
      <c r="P23" s="47" t="str">
        <f>IFERROR(INDEX(TacklesRemaining,MATCH('Tackles Selections'!G23,TacklesPlayers,0)),"")</f>
        <v/>
      </c>
      <c r="Q23" s="47">
        <f t="shared" si="2"/>
        <v>0</v>
      </c>
      <c r="R23" s="23"/>
      <c r="S23" s="96">
        <f>INDEX(Resulting_Tackles_Totals,MATCH('Tackles Selections'!B23,Resulting_Tackles_Players,0))+INDEX(Resulting_Tackles_Totals,MATCH('Tackles Selections'!C23,Resulting_Tackles_Players,0))+INDEX(Resulting_Tackles_Totals,MATCH('Tackles Selections'!D23,Resulting_Tackles_Players,0))+INDEX(Resulting_Tackles_Totals,MATCH('Tackles Selections'!E23,Resulting_Tackles_Players,0))+INDEX(Resulting_Tackles_Totals,MATCH('Tackles Selections'!F23,Resulting_Tackles_Players,0))+INDEX(Resulting_Tackles_Totals,MATCH('Tackles Selections'!G23,Resulting_Tackles_Players,0))</f>
        <v>0</v>
      </c>
      <c r="T23" s="47" t="str">
        <f t="shared" ref="T23:T46" si="7">IF(I23="","",IF(S23&gt;I23,"W","L"))</f>
        <v/>
      </c>
      <c r="U23" s="23"/>
      <c r="V23" s="45" t="str">
        <f t="shared" si="3"/>
        <v/>
      </c>
      <c r="W23" s="48" t="str">
        <f>IFERROR(INDEX(FractionalPriceLookUp2,MATCH('Tackles Selections'!V23,DecimalPriceLookUp,1)),"")</f>
        <v/>
      </c>
      <c r="X23" s="23"/>
      <c r="Y23" s="87">
        <f t="shared" si="6"/>
        <v>0</v>
      </c>
      <c r="Z23" s="65">
        <f t="shared" si="4"/>
        <v>0</v>
      </c>
      <c r="AA23" s="84"/>
      <c r="AB23" s="158" t="str">
        <f t="shared" si="5"/>
        <v>No</v>
      </c>
      <c r="AC23" s="150" t="s">
        <v>142</v>
      </c>
    </row>
    <row r="24" spans="2:29" s="14" customFormat="1" ht="15.95" customHeight="1" x14ac:dyDescent="0.25">
      <c r="B24" s="19"/>
      <c r="C24" s="22"/>
      <c r="D24" s="22"/>
      <c r="E24" s="22"/>
      <c r="F24" s="22"/>
      <c r="G24" s="22"/>
      <c r="H24" s="153"/>
      <c r="I24" s="50" t="str">
        <f t="shared" si="1"/>
        <v/>
      </c>
      <c r="J24" s="23"/>
      <c r="K24" s="47" t="str">
        <f>IFERROR(INDEX(TacklesRemaining,MATCH('Tackles Selections'!B24,TacklesPlayers,0)),"")</f>
        <v/>
      </c>
      <c r="L24" s="47" t="str">
        <f>IFERROR(INDEX(TacklesRemaining,MATCH('Tackles Selections'!C24,TacklesPlayers,0)),"")</f>
        <v/>
      </c>
      <c r="M24" s="47" t="str">
        <f>IFERROR(INDEX(TacklesRemaining,MATCH('Tackles Selections'!D24,TacklesPlayers,0)),"")</f>
        <v/>
      </c>
      <c r="N24" s="47" t="str">
        <f>IFERROR(INDEX(TacklesRemaining,MATCH('Tackles Selections'!E24,TacklesPlayers,0)),"")</f>
        <v/>
      </c>
      <c r="O24" s="47" t="str">
        <f>IFERROR(INDEX(TacklesRemaining,MATCH('Tackles Selections'!F24,TacklesPlayers,0)),"")</f>
        <v/>
      </c>
      <c r="P24" s="47" t="str">
        <f>IFERROR(INDEX(TacklesRemaining,MATCH('Tackles Selections'!G24,TacklesPlayers,0)),"")</f>
        <v/>
      </c>
      <c r="Q24" s="47">
        <f t="shared" si="2"/>
        <v>0</v>
      </c>
      <c r="R24" s="23"/>
      <c r="S24" s="96">
        <f>INDEX(Resulting_Tackles_Totals,MATCH('Tackles Selections'!B24,Resulting_Tackles_Players,0))+INDEX(Resulting_Tackles_Totals,MATCH('Tackles Selections'!C24,Resulting_Tackles_Players,0))+INDEX(Resulting_Tackles_Totals,MATCH('Tackles Selections'!D24,Resulting_Tackles_Players,0))+INDEX(Resulting_Tackles_Totals,MATCH('Tackles Selections'!E24,Resulting_Tackles_Players,0))+INDEX(Resulting_Tackles_Totals,MATCH('Tackles Selections'!F24,Resulting_Tackles_Players,0))+INDEX(Resulting_Tackles_Totals,MATCH('Tackles Selections'!G24,Resulting_Tackles_Players,0))</f>
        <v>0</v>
      </c>
      <c r="T24" s="47" t="str">
        <f t="shared" si="7"/>
        <v/>
      </c>
      <c r="U24" s="23"/>
      <c r="V24" s="45" t="str">
        <f t="shared" si="3"/>
        <v/>
      </c>
      <c r="W24" s="48" t="str">
        <f>IFERROR(INDEX(FractionalPriceLookUp2,MATCH('Tackles Selections'!V24,DecimalPriceLookUp,1)),"")</f>
        <v/>
      </c>
      <c r="X24" s="23"/>
      <c r="Y24" s="87">
        <f t="shared" si="6"/>
        <v>0</v>
      </c>
      <c r="Z24" s="65">
        <f t="shared" si="4"/>
        <v>0</v>
      </c>
      <c r="AA24" s="84"/>
      <c r="AB24" s="158" t="str">
        <f t="shared" si="5"/>
        <v>No</v>
      </c>
      <c r="AC24" s="150" t="s">
        <v>142</v>
      </c>
    </row>
    <row r="25" spans="2:29" s="14" customFormat="1" ht="15.95" customHeight="1" x14ac:dyDescent="0.25">
      <c r="B25" s="19"/>
      <c r="C25" s="22"/>
      <c r="D25" s="22"/>
      <c r="E25" s="22"/>
      <c r="F25" s="22"/>
      <c r="G25" s="22"/>
      <c r="H25" s="153"/>
      <c r="I25" s="50" t="str">
        <f t="shared" si="1"/>
        <v/>
      </c>
      <c r="J25" s="23"/>
      <c r="K25" s="47" t="str">
        <f>IFERROR(INDEX(TacklesRemaining,MATCH('Tackles Selections'!B25,TacklesPlayers,0)),"")</f>
        <v/>
      </c>
      <c r="L25" s="47" t="str">
        <f>IFERROR(INDEX(TacklesRemaining,MATCH('Tackles Selections'!C25,TacklesPlayers,0)),"")</f>
        <v/>
      </c>
      <c r="M25" s="47" t="str">
        <f>IFERROR(INDEX(TacklesRemaining,MATCH('Tackles Selections'!D25,TacklesPlayers,0)),"")</f>
        <v/>
      </c>
      <c r="N25" s="47" t="str">
        <f>IFERROR(INDEX(TacklesRemaining,MATCH('Tackles Selections'!E25,TacklesPlayers,0)),"")</f>
        <v/>
      </c>
      <c r="O25" s="47" t="str">
        <f>IFERROR(INDEX(TacklesRemaining,MATCH('Tackles Selections'!F25,TacklesPlayers,0)),"")</f>
        <v/>
      </c>
      <c r="P25" s="47" t="str">
        <f>IFERROR(INDEX(TacklesRemaining,MATCH('Tackles Selections'!G25,TacklesPlayers,0)),"")</f>
        <v/>
      </c>
      <c r="Q25" s="47">
        <f t="shared" si="2"/>
        <v>0</v>
      </c>
      <c r="R25" s="23"/>
      <c r="S25" s="96">
        <f>INDEX(Resulting_Tackles_Totals,MATCH('Tackles Selections'!B25,Resulting_Tackles_Players,0))+INDEX(Resulting_Tackles_Totals,MATCH('Tackles Selections'!C25,Resulting_Tackles_Players,0))+INDEX(Resulting_Tackles_Totals,MATCH('Tackles Selections'!D25,Resulting_Tackles_Players,0))+INDEX(Resulting_Tackles_Totals,MATCH('Tackles Selections'!E25,Resulting_Tackles_Players,0))+INDEX(Resulting_Tackles_Totals,MATCH('Tackles Selections'!F25,Resulting_Tackles_Players,0))+INDEX(Resulting_Tackles_Totals,MATCH('Tackles Selections'!G25,Resulting_Tackles_Players,0))</f>
        <v>0</v>
      </c>
      <c r="T25" s="47" t="str">
        <f t="shared" si="7"/>
        <v/>
      </c>
      <c r="U25" s="23"/>
      <c r="V25" s="45" t="str">
        <f t="shared" si="3"/>
        <v/>
      </c>
      <c r="W25" s="48" t="str">
        <f>IFERROR(INDEX(FractionalPriceLookUp2,MATCH('Tackles Selections'!V25,DecimalPriceLookUp,1)),"")</f>
        <v/>
      </c>
      <c r="X25" s="23"/>
      <c r="Y25" s="87">
        <f t="shared" si="6"/>
        <v>0</v>
      </c>
      <c r="Z25" s="65">
        <f t="shared" si="4"/>
        <v>0</v>
      </c>
      <c r="AA25" s="84"/>
      <c r="AB25" s="158" t="str">
        <f t="shared" si="5"/>
        <v>No</v>
      </c>
      <c r="AC25" s="150" t="s">
        <v>142</v>
      </c>
    </row>
    <row r="26" spans="2:29" s="14" customFormat="1" ht="15.95" customHeight="1" x14ac:dyDescent="0.25">
      <c r="B26" s="19"/>
      <c r="C26" s="22"/>
      <c r="D26" s="22"/>
      <c r="E26" s="22"/>
      <c r="F26" s="22"/>
      <c r="G26" s="22"/>
      <c r="H26" s="153"/>
      <c r="I26" s="50" t="str">
        <f t="shared" si="1"/>
        <v/>
      </c>
      <c r="J26" s="23"/>
      <c r="K26" s="47" t="str">
        <f>IFERROR(INDEX(TacklesRemaining,MATCH('Tackles Selections'!B26,TacklesPlayers,0)),"")</f>
        <v/>
      </c>
      <c r="L26" s="47" t="str">
        <f>IFERROR(INDEX(TacklesRemaining,MATCH('Tackles Selections'!C26,TacklesPlayers,0)),"")</f>
        <v/>
      </c>
      <c r="M26" s="47" t="str">
        <f>IFERROR(INDEX(TacklesRemaining,MATCH('Tackles Selections'!D26,TacklesPlayers,0)),"")</f>
        <v/>
      </c>
      <c r="N26" s="47" t="str">
        <f>IFERROR(INDEX(TacklesRemaining,MATCH('Tackles Selections'!E26,TacklesPlayers,0)),"")</f>
        <v/>
      </c>
      <c r="O26" s="47" t="str">
        <f>IFERROR(INDEX(TacklesRemaining,MATCH('Tackles Selections'!F26,TacklesPlayers,0)),"")</f>
        <v/>
      </c>
      <c r="P26" s="47" t="str">
        <f>IFERROR(INDEX(TacklesRemaining,MATCH('Tackles Selections'!G26,TacklesPlayers,0)),"")</f>
        <v/>
      </c>
      <c r="Q26" s="47">
        <f t="shared" si="2"/>
        <v>0</v>
      </c>
      <c r="R26" s="23"/>
      <c r="S26" s="96">
        <f>INDEX(Resulting_Tackles_Totals,MATCH('Tackles Selections'!B26,Resulting_Tackles_Players,0))+INDEX(Resulting_Tackles_Totals,MATCH('Tackles Selections'!C26,Resulting_Tackles_Players,0))+INDEX(Resulting_Tackles_Totals,MATCH('Tackles Selections'!D26,Resulting_Tackles_Players,0))+INDEX(Resulting_Tackles_Totals,MATCH('Tackles Selections'!E26,Resulting_Tackles_Players,0))+INDEX(Resulting_Tackles_Totals,MATCH('Tackles Selections'!F26,Resulting_Tackles_Players,0))+INDEX(Resulting_Tackles_Totals,MATCH('Tackles Selections'!G26,Resulting_Tackles_Players,0))</f>
        <v>0</v>
      </c>
      <c r="T26" s="47" t="str">
        <f t="shared" si="7"/>
        <v/>
      </c>
      <c r="U26" s="23"/>
      <c r="V26" s="45" t="str">
        <f t="shared" si="3"/>
        <v/>
      </c>
      <c r="W26" s="48" t="str">
        <f>IFERROR(INDEX(FractionalPriceLookUp2,MATCH('Tackles Selections'!V26,DecimalPriceLookUp,1)),"")</f>
        <v/>
      </c>
      <c r="X26" s="23"/>
      <c r="Y26" s="87">
        <f t="shared" si="6"/>
        <v>0</v>
      </c>
      <c r="Z26" s="65">
        <f t="shared" si="4"/>
        <v>0</v>
      </c>
      <c r="AA26" s="84"/>
      <c r="AB26" s="158" t="str">
        <f t="shared" si="5"/>
        <v>No</v>
      </c>
      <c r="AC26" s="150" t="s">
        <v>142</v>
      </c>
    </row>
    <row r="27" spans="2:29" s="14" customFormat="1" ht="15.95" customHeight="1" x14ac:dyDescent="0.25">
      <c r="B27" s="19"/>
      <c r="C27" s="22"/>
      <c r="D27" s="22"/>
      <c r="E27" s="22"/>
      <c r="F27" s="22"/>
      <c r="G27" s="22"/>
      <c r="H27" s="153"/>
      <c r="I27" s="50" t="str">
        <f t="shared" si="1"/>
        <v/>
      </c>
      <c r="J27" s="23"/>
      <c r="K27" s="47" t="str">
        <f>IFERROR(INDEX(TacklesRemaining,MATCH('Tackles Selections'!B27,TacklesPlayers,0)),"")</f>
        <v/>
      </c>
      <c r="L27" s="47" t="str">
        <f>IFERROR(INDEX(TacklesRemaining,MATCH('Tackles Selections'!C27,TacklesPlayers,0)),"")</f>
        <v/>
      </c>
      <c r="M27" s="47" t="str">
        <f>IFERROR(INDEX(TacklesRemaining,MATCH('Tackles Selections'!D27,TacklesPlayers,0)),"")</f>
        <v/>
      </c>
      <c r="N27" s="47" t="str">
        <f>IFERROR(INDEX(TacklesRemaining,MATCH('Tackles Selections'!E27,TacklesPlayers,0)),"")</f>
        <v/>
      </c>
      <c r="O27" s="47" t="str">
        <f>IFERROR(INDEX(TacklesRemaining,MATCH('Tackles Selections'!F27,TacklesPlayers,0)),"")</f>
        <v/>
      </c>
      <c r="P27" s="47" t="str">
        <f>IFERROR(INDEX(TacklesRemaining,MATCH('Tackles Selections'!G27,TacklesPlayers,0)),"")</f>
        <v/>
      </c>
      <c r="Q27" s="47">
        <f t="shared" si="2"/>
        <v>0</v>
      </c>
      <c r="R27" s="23"/>
      <c r="S27" s="96">
        <f>INDEX(Resulting_Tackles_Totals,MATCH('Tackles Selections'!B27,Resulting_Tackles_Players,0))+INDEX(Resulting_Tackles_Totals,MATCH('Tackles Selections'!C27,Resulting_Tackles_Players,0))+INDEX(Resulting_Tackles_Totals,MATCH('Tackles Selections'!D27,Resulting_Tackles_Players,0))+INDEX(Resulting_Tackles_Totals,MATCH('Tackles Selections'!E27,Resulting_Tackles_Players,0))+INDEX(Resulting_Tackles_Totals,MATCH('Tackles Selections'!F27,Resulting_Tackles_Players,0))+INDEX(Resulting_Tackles_Totals,MATCH('Tackles Selections'!G27,Resulting_Tackles_Players,0))</f>
        <v>0</v>
      </c>
      <c r="T27" s="47" t="str">
        <f t="shared" si="7"/>
        <v/>
      </c>
      <c r="U27" s="23"/>
      <c r="V27" s="45" t="str">
        <f t="shared" si="3"/>
        <v/>
      </c>
      <c r="W27" s="48" t="str">
        <f>IFERROR(INDEX(FractionalPriceLookUp2,MATCH('Tackles Selections'!V27,DecimalPriceLookUp,1)),"")</f>
        <v/>
      </c>
      <c r="X27" s="23"/>
      <c r="Y27" s="87">
        <f t="shared" si="6"/>
        <v>0</v>
      </c>
      <c r="Z27" s="65">
        <f t="shared" si="4"/>
        <v>0</v>
      </c>
      <c r="AA27" s="84"/>
      <c r="AB27" s="158" t="str">
        <f t="shared" si="5"/>
        <v>No</v>
      </c>
      <c r="AC27" s="150" t="s">
        <v>142</v>
      </c>
    </row>
    <row r="28" spans="2:29" s="14" customFormat="1" ht="15.95" customHeight="1" x14ac:dyDescent="0.25">
      <c r="B28" s="19"/>
      <c r="C28" s="22"/>
      <c r="D28" s="22"/>
      <c r="E28" s="22"/>
      <c r="F28" s="22"/>
      <c r="G28" s="22"/>
      <c r="H28" s="153"/>
      <c r="I28" s="50" t="str">
        <f t="shared" si="1"/>
        <v/>
      </c>
      <c r="J28" s="23"/>
      <c r="K28" s="47" t="str">
        <f>IFERROR(INDEX(TacklesRemaining,MATCH('Tackles Selections'!B28,TacklesPlayers,0)),"")</f>
        <v/>
      </c>
      <c r="L28" s="47" t="str">
        <f>IFERROR(INDEX(TacklesRemaining,MATCH('Tackles Selections'!C28,TacklesPlayers,0)),"")</f>
        <v/>
      </c>
      <c r="M28" s="47" t="str">
        <f>IFERROR(INDEX(TacklesRemaining,MATCH('Tackles Selections'!D28,TacklesPlayers,0)),"")</f>
        <v/>
      </c>
      <c r="N28" s="47" t="str">
        <f>IFERROR(INDEX(TacklesRemaining,MATCH('Tackles Selections'!E28,TacklesPlayers,0)),"")</f>
        <v/>
      </c>
      <c r="O28" s="47" t="str">
        <f>IFERROR(INDEX(TacklesRemaining,MATCH('Tackles Selections'!F28,TacklesPlayers,0)),"")</f>
        <v/>
      </c>
      <c r="P28" s="47" t="str">
        <f>IFERROR(INDEX(TacklesRemaining,MATCH('Tackles Selections'!G28,TacklesPlayers,0)),"")</f>
        <v/>
      </c>
      <c r="Q28" s="47">
        <f t="shared" si="2"/>
        <v>0</v>
      </c>
      <c r="R28" s="23"/>
      <c r="S28" s="96">
        <f>INDEX(Resulting_Tackles_Totals,MATCH('Tackles Selections'!B28,Resulting_Tackles_Players,0))+INDEX(Resulting_Tackles_Totals,MATCH('Tackles Selections'!C28,Resulting_Tackles_Players,0))+INDEX(Resulting_Tackles_Totals,MATCH('Tackles Selections'!D28,Resulting_Tackles_Players,0))+INDEX(Resulting_Tackles_Totals,MATCH('Tackles Selections'!E28,Resulting_Tackles_Players,0))+INDEX(Resulting_Tackles_Totals,MATCH('Tackles Selections'!F28,Resulting_Tackles_Players,0))+INDEX(Resulting_Tackles_Totals,MATCH('Tackles Selections'!G28,Resulting_Tackles_Players,0))</f>
        <v>0</v>
      </c>
      <c r="T28" s="47" t="str">
        <f t="shared" si="7"/>
        <v/>
      </c>
      <c r="U28" s="23"/>
      <c r="V28" s="45" t="str">
        <f t="shared" si="3"/>
        <v/>
      </c>
      <c r="W28" s="48" t="str">
        <f>IFERROR(INDEX(FractionalPriceLookUp2,MATCH('Tackles Selections'!V28,DecimalPriceLookUp,1)),"")</f>
        <v/>
      </c>
      <c r="X28" s="23"/>
      <c r="Y28" s="87">
        <f t="shared" si="6"/>
        <v>0</v>
      </c>
      <c r="Z28" s="65">
        <f t="shared" si="4"/>
        <v>0</v>
      </c>
      <c r="AA28" s="84"/>
      <c r="AB28" s="158" t="str">
        <f t="shared" si="5"/>
        <v>No</v>
      </c>
      <c r="AC28" s="150" t="s">
        <v>142</v>
      </c>
    </row>
    <row r="29" spans="2:29" s="14" customFormat="1" ht="15.95" customHeight="1" x14ac:dyDescent="0.25">
      <c r="B29" s="19"/>
      <c r="C29" s="22"/>
      <c r="D29" s="22"/>
      <c r="E29" s="22"/>
      <c r="F29" s="22"/>
      <c r="G29" s="22"/>
      <c r="H29" s="153"/>
      <c r="I29" s="50" t="str">
        <f t="shared" si="1"/>
        <v/>
      </c>
      <c r="J29" s="23"/>
      <c r="K29" s="47" t="str">
        <f>IFERROR(INDEX(TacklesRemaining,MATCH('Tackles Selections'!B29,TacklesPlayers,0)),"")</f>
        <v/>
      </c>
      <c r="L29" s="47" t="str">
        <f>IFERROR(INDEX(TacklesRemaining,MATCH('Tackles Selections'!C29,TacklesPlayers,0)),"")</f>
        <v/>
      </c>
      <c r="M29" s="47" t="str">
        <f>IFERROR(INDEX(TacklesRemaining,MATCH('Tackles Selections'!D29,TacklesPlayers,0)),"")</f>
        <v/>
      </c>
      <c r="N29" s="47" t="str">
        <f>IFERROR(INDEX(TacklesRemaining,MATCH('Tackles Selections'!E29,TacklesPlayers,0)),"")</f>
        <v/>
      </c>
      <c r="O29" s="47" t="str">
        <f>IFERROR(INDEX(TacklesRemaining,MATCH('Tackles Selections'!F29,TacklesPlayers,0)),"")</f>
        <v/>
      </c>
      <c r="P29" s="47" t="str">
        <f>IFERROR(INDEX(TacklesRemaining,MATCH('Tackles Selections'!G29,TacklesPlayers,0)),"")</f>
        <v/>
      </c>
      <c r="Q29" s="47">
        <f t="shared" si="2"/>
        <v>0</v>
      </c>
      <c r="R29" s="23"/>
      <c r="S29" s="96">
        <f>INDEX(Resulting_Tackles_Totals,MATCH('Tackles Selections'!B29,Resulting_Tackles_Players,0))+INDEX(Resulting_Tackles_Totals,MATCH('Tackles Selections'!C29,Resulting_Tackles_Players,0))+INDEX(Resulting_Tackles_Totals,MATCH('Tackles Selections'!D29,Resulting_Tackles_Players,0))+INDEX(Resulting_Tackles_Totals,MATCH('Tackles Selections'!E29,Resulting_Tackles_Players,0))+INDEX(Resulting_Tackles_Totals,MATCH('Tackles Selections'!F29,Resulting_Tackles_Players,0))+INDEX(Resulting_Tackles_Totals,MATCH('Tackles Selections'!G29,Resulting_Tackles_Players,0))</f>
        <v>0</v>
      </c>
      <c r="T29" s="47" t="str">
        <f t="shared" si="7"/>
        <v/>
      </c>
      <c r="U29" s="23"/>
      <c r="V29" s="45" t="str">
        <f t="shared" si="3"/>
        <v/>
      </c>
      <c r="W29" s="48" t="str">
        <f>IFERROR(INDEX(FractionalPriceLookUp2,MATCH('Tackles Selections'!V29,DecimalPriceLookUp,1)),"")</f>
        <v/>
      </c>
      <c r="X29" s="23"/>
      <c r="Y29" s="87">
        <f t="shared" si="6"/>
        <v>0</v>
      </c>
      <c r="Z29" s="65">
        <f t="shared" si="4"/>
        <v>0</v>
      </c>
      <c r="AA29" s="84"/>
      <c r="AB29" s="158" t="str">
        <f t="shared" si="5"/>
        <v>No</v>
      </c>
      <c r="AC29" s="150" t="s">
        <v>142</v>
      </c>
    </row>
    <row r="30" spans="2:29" s="14" customFormat="1" ht="15.95" customHeight="1" x14ac:dyDescent="0.25">
      <c r="B30" s="19"/>
      <c r="C30" s="22"/>
      <c r="D30" s="22"/>
      <c r="E30" s="22"/>
      <c r="F30" s="22"/>
      <c r="G30" s="22"/>
      <c r="H30" s="153"/>
      <c r="I30" s="50" t="str">
        <f t="shared" si="1"/>
        <v/>
      </c>
      <c r="J30" s="23"/>
      <c r="K30" s="47" t="str">
        <f>IFERROR(INDEX(TacklesRemaining,MATCH('Tackles Selections'!B30,TacklesPlayers,0)),"")</f>
        <v/>
      </c>
      <c r="L30" s="47" t="str">
        <f>IFERROR(INDEX(TacklesRemaining,MATCH('Tackles Selections'!C30,TacklesPlayers,0)),"")</f>
        <v/>
      </c>
      <c r="M30" s="47" t="str">
        <f>IFERROR(INDEX(TacklesRemaining,MATCH('Tackles Selections'!D30,TacklesPlayers,0)),"")</f>
        <v/>
      </c>
      <c r="N30" s="47" t="str">
        <f>IFERROR(INDEX(TacklesRemaining,MATCH('Tackles Selections'!E30,TacklesPlayers,0)),"")</f>
        <v/>
      </c>
      <c r="O30" s="47" t="str">
        <f>IFERROR(INDEX(TacklesRemaining,MATCH('Tackles Selections'!F30,TacklesPlayers,0)),"")</f>
        <v/>
      </c>
      <c r="P30" s="47" t="str">
        <f>IFERROR(INDEX(TacklesRemaining,MATCH('Tackles Selections'!G30,TacklesPlayers,0)),"")</f>
        <v/>
      </c>
      <c r="Q30" s="47">
        <f t="shared" si="2"/>
        <v>0</v>
      </c>
      <c r="R30" s="23"/>
      <c r="S30" s="96">
        <f>INDEX(Resulting_Tackles_Totals,MATCH('Tackles Selections'!B30,Resulting_Tackles_Players,0))+INDEX(Resulting_Tackles_Totals,MATCH('Tackles Selections'!C30,Resulting_Tackles_Players,0))+INDEX(Resulting_Tackles_Totals,MATCH('Tackles Selections'!D30,Resulting_Tackles_Players,0))+INDEX(Resulting_Tackles_Totals,MATCH('Tackles Selections'!E30,Resulting_Tackles_Players,0))+INDEX(Resulting_Tackles_Totals,MATCH('Tackles Selections'!F30,Resulting_Tackles_Players,0))+INDEX(Resulting_Tackles_Totals,MATCH('Tackles Selections'!G30,Resulting_Tackles_Players,0))</f>
        <v>0</v>
      </c>
      <c r="T30" s="47" t="str">
        <f t="shared" si="7"/>
        <v/>
      </c>
      <c r="U30" s="23"/>
      <c r="V30" s="45" t="str">
        <f t="shared" si="3"/>
        <v/>
      </c>
      <c r="W30" s="48" t="str">
        <f>IFERROR(INDEX(FractionalPriceLookUp2,MATCH('Tackles Selections'!V30,DecimalPriceLookUp,1)),"")</f>
        <v/>
      </c>
      <c r="X30" s="23"/>
      <c r="Y30" s="87">
        <f t="shared" si="6"/>
        <v>0</v>
      </c>
      <c r="Z30" s="65">
        <f t="shared" si="4"/>
        <v>0</v>
      </c>
      <c r="AA30" s="84"/>
      <c r="AB30" s="158" t="str">
        <f t="shared" si="5"/>
        <v>No</v>
      </c>
      <c r="AC30" s="150" t="s">
        <v>142</v>
      </c>
    </row>
    <row r="31" spans="2:29" s="14" customFormat="1" ht="15.95" customHeight="1" x14ac:dyDescent="0.25">
      <c r="B31" s="19"/>
      <c r="C31" s="22"/>
      <c r="D31" s="22"/>
      <c r="E31" s="22"/>
      <c r="F31" s="22"/>
      <c r="G31" s="22"/>
      <c r="H31" s="153"/>
      <c r="I31" s="50" t="str">
        <f t="shared" si="1"/>
        <v/>
      </c>
      <c r="J31" s="23"/>
      <c r="K31" s="47" t="str">
        <f>IFERROR(INDEX(TacklesRemaining,MATCH('Tackles Selections'!B31,TacklesPlayers,0)),"")</f>
        <v/>
      </c>
      <c r="L31" s="47" t="str">
        <f>IFERROR(INDEX(TacklesRemaining,MATCH('Tackles Selections'!C31,TacklesPlayers,0)),"")</f>
        <v/>
      </c>
      <c r="M31" s="47" t="str">
        <f>IFERROR(INDEX(TacklesRemaining,MATCH('Tackles Selections'!D31,TacklesPlayers,0)),"")</f>
        <v/>
      </c>
      <c r="N31" s="47" t="str">
        <f>IFERROR(INDEX(TacklesRemaining,MATCH('Tackles Selections'!E31,TacklesPlayers,0)),"")</f>
        <v/>
      </c>
      <c r="O31" s="47" t="str">
        <f>IFERROR(INDEX(TacklesRemaining,MATCH('Tackles Selections'!F31,TacklesPlayers,0)),"")</f>
        <v/>
      </c>
      <c r="P31" s="47" t="str">
        <f>IFERROR(INDEX(TacklesRemaining,MATCH('Tackles Selections'!G31,TacklesPlayers,0)),"")</f>
        <v/>
      </c>
      <c r="Q31" s="47">
        <f t="shared" si="2"/>
        <v>0</v>
      </c>
      <c r="R31" s="23"/>
      <c r="S31" s="96">
        <f>INDEX(Resulting_Tackles_Totals,MATCH('Tackles Selections'!B31,Resulting_Tackles_Players,0))+INDEX(Resulting_Tackles_Totals,MATCH('Tackles Selections'!C31,Resulting_Tackles_Players,0))+INDEX(Resulting_Tackles_Totals,MATCH('Tackles Selections'!D31,Resulting_Tackles_Players,0))+INDEX(Resulting_Tackles_Totals,MATCH('Tackles Selections'!E31,Resulting_Tackles_Players,0))+INDEX(Resulting_Tackles_Totals,MATCH('Tackles Selections'!F31,Resulting_Tackles_Players,0))+INDEX(Resulting_Tackles_Totals,MATCH('Tackles Selections'!G31,Resulting_Tackles_Players,0))</f>
        <v>0</v>
      </c>
      <c r="T31" s="47" t="str">
        <f t="shared" si="7"/>
        <v/>
      </c>
      <c r="U31" s="23"/>
      <c r="V31" s="45" t="str">
        <f t="shared" si="3"/>
        <v/>
      </c>
      <c r="W31" s="48" t="str">
        <f>IFERROR(INDEX(FractionalPriceLookUp2,MATCH('Tackles Selections'!V31,DecimalPriceLookUp,1)),"")</f>
        <v/>
      </c>
      <c r="X31" s="23"/>
      <c r="Y31" s="87">
        <f t="shared" si="6"/>
        <v>0</v>
      </c>
      <c r="Z31" s="65">
        <f t="shared" si="4"/>
        <v>0</v>
      </c>
      <c r="AA31" s="84"/>
      <c r="AB31" s="158" t="str">
        <f t="shared" si="5"/>
        <v>No</v>
      </c>
      <c r="AC31" s="150" t="s">
        <v>142</v>
      </c>
    </row>
    <row r="32" spans="2:29" s="14" customFormat="1" ht="15.95" customHeight="1" x14ac:dyDescent="0.25">
      <c r="B32" s="19"/>
      <c r="C32" s="22"/>
      <c r="D32" s="22"/>
      <c r="E32" s="22"/>
      <c r="F32" s="22"/>
      <c r="G32" s="22"/>
      <c r="H32" s="153"/>
      <c r="I32" s="50" t="str">
        <f t="shared" si="1"/>
        <v/>
      </c>
      <c r="J32" s="23"/>
      <c r="K32" s="47" t="str">
        <f>IFERROR(INDEX(TacklesRemaining,MATCH('Tackles Selections'!B32,TacklesPlayers,0)),"")</f>
        <v/>
      </c>
      <c r="L32" s="47" t="str">
        <f>IFERROR(INDEX(TacklesRemaining,MATCH('Tackles Selections'!C32,TacklesPlayers,0)),"")</f>
        <v/>
      </c>
      <c r="M32" s="47" t="str">
        <f>IFERROR(INDEX(TacklesRemaining,MATCH('Tackles Selections'!D32,TacklesPlayers,0)),"")</f>
        <v/>
      </c>
      <c r="N32" s="47" t="str">
        <f>IFERROR(INDEX(TacklesRemaining,MATCH('Tackles Selections'!E32,TacklesPlayers,0)),"")</f>
        <v/>
      </c>
      <c r="O32" s="47" t="str">
        <f>IFERROR(INDEX(TacklesRemaining,MATCH('Tackles Selections'!F32,TacklesPlayers,0)),"")</f>
        <v/>
      </c>
      <c r="P32" s="47" t="str">
        <f>IFERROR(INDEX(TacklesRemaining,MATCH('Tackles Selections'!G32,TacklesPlayers,0)),"")</f>
        <v/>
      </c>
      <c r="Q32" s="47">
        <f t="shared" si="2"/>
        <v>0</v>
      </c>
      <c r="R32" s="23"/>
      <c r="S32" s="96">
        <f>INDEX(Resulting_Tackles_Totals,MATCH('Tackles Selections'!B32,Resulting_Tackles_Players,0))+INDEX(Resulting_Tackles_Totals,MATCH('Tackles Selections'!C32,Resulting_Tackles_Players,0))+INDEX(Resulting_Tackles_Totals,MATCH('Tackles Selections'!D32,Resulting_Tackles_Players,0))+INDEX(Resulting_Tackles_Totals,MATCH('Tackles Selections'!E32,Resulting_Tackles_Players,0))+INDEX(Resulting_Tackles_Totals,MATCH('Tackles Selections'!F32,Resulting_Tackles_Players,0))+INDEX(Resulting_Tackles_Totals,MATCH('Tackles Selections'!G32,Resulting_Tackles_Players,0))</f>
        <v>0</v>
      </c>
      <c r="T32" s="47" t="str">
        <f t="shared" si="7"/>
        <v/>
      </c>
      <c r="U32" s="23"/>
      <c r="V32" s="45" t="str">
        <f t="shared" si="3"/>
        <v/>
      </c>
      <c r="W32" s="48" t="str">
        <f>IFERROR(INDEX(FractionalPriceLookUp2,MATCH('Tackles Selections'!V32,DecimalPriceLookUp,1)),"")</f>
        <v/>
      </c>
      <c r="X32" s="23"/>
      <c r="Y32" s="87">
        <f t="shared" si="6"/>
        <v>0</v>
      </c>
      <c r="Z32" s="65">
        <f t="shared" si="4"/>
        <v>0</v>
      </c>
      <c r="AA32" s="84"/>
      <c r="AB32" s="158" t="str">
        <f t="shared" si="5"/>
        <v>No</v>
      </c>
      <c r="AC32" s="150" t="s">
        <v>141</v>
      </c>
    </row>
    <row r="33" spans="2:29" s="14" customFormat="1" ht="15.95" customHeight="1" x14ac:dyDescent="0.25">
      <c r="B33" s="19"/>
      <c r="C33" s="22"/>
      <c r="D33" s="22"/>
      <c r="E33" s="22"/>
      <c r="F33" s="22"/>
      <c r="G33" s="22"/>
      <c r="H33" s="153"/>
      <c r="I33" s="50" t="str">
        <f t="shared" si="1"/>
        <v/>
      </c>
      <c r="J33" s="23"/>
      <c r="K33" s="47" t="str">
        <f>IFERROR(INDEX(TacklesRemaining,MATCH('Tackles Selections'!B33,TacklesPlayers,0)),"")</f>
        <v/>
      </c>
      <c r="L33" s="47" t="str">
        <f>IFERROR(INDEX(TacklesRemaining,MATCH('Tackles Selections'!C33,TacklesPlayers,0)),"")</f>
        <v/>
      </c>
      <c r="M33" s="47" t="str">
        <f>IFERROR(INDEX(TacklesRemaining,MATCH('Tackles Selections'!D33,TacklesPlayers,0)),"")</f>
        <v/>
      </c>
      <c r="N33" s="47" t="str">
        <f>IFERROR(INDEX(TacklesRemaining,MATCH('Tackles Selections'!E33,TacklesPlayers,0)),"")</f>
        <v/>
      </c>
      <c r="O33" s="47" t="str">
        <f>IFERROR(INDEX(TacklesRemaining,MATCH('Tackles Selections'!F33,TacklesPlayers,0)),"")</f>
        <v/>
      </c>
      <c r="P33" s="47" t="str">
        <f>IFERROR(INDEX(TacklesRemaining,MATCH('Tackles Selections'!G33,TacklesPlayers,0)),"")</f>
        <v/>
      </c>
      <c r="Q33" s="47">
        <f t="shared" si="2"/>
        <v>0</v>
      </c>
      <c r="R33" s="23"/>
      <c r="S33" s="96">
        <f>INDEX(Resulting_Tackles_Totals,MATCH('Tackles Selections'!B33,Resulting_Tackles_Players,0))+INDEX(Resulting_Tackles_Totals,MATCH('Tackles Selections'!C33,Resulting_Tackles_Players,0))+INDEX(Resulting_Tackles_Totals,MATCH('Tackles Selections'!D33,Resulting_Tackles_Players,0))+INDEX(Resulting_Tackles_Totals,MATCH('Tackles Selections'!E33,Resulting_Tackles_Players,0))+INDEX(Resulting_Tackles_Totals,MATCH('Tackles Selections'!F33,Resulting_Tackles_Players,0))+INDEX(Resulting_Tackles_Totals,MATCH('Tackles Selections'!G33,Resulting_Tackles_Players,0))</f>
        <v>0</v>
      </c>
      <c r="T33" s="47" t="str">
        <f t="shared" si="7"/>
        <v/>
      </c>
      <c r="U33" s="23"/>
      <c r="V33" s="45" t="str">
        <f t="shared" si="3"/>
        <v/>
      </c>
      <c r="W33" s="48" t="str">
        <f>IFERROR(INDEX(FractionalPriceLookUp2,MATCH('Tackles Selections'!V33,DecimalPriceLookUp,1)),"")</f>
        <v/>
      </c>
      <c r="X33" s="23"/>
      <c r="Y33" s="87">
        <f t="shared" si="6"/>
        <v>0</v>
      </c>
      <c r="Z33" s="65">
        <f t="shared" si="4"/>
        <v>0</v>
      </c>
      <c r="AA33" s="84"/>
      <c r="AB33" s="158" t="str">
        <f t="shared" si="5"/>
        <v>No</v>
      </c>
      <c r="AC33" s="150" t="s">
        <v>141</v>
      </c>
    </row>
    <row r="34" spans="2:29" s="14" customFormat="1" ht="15.95" customHeight="1" x14ac:dyDescent="0.25">
      <c r="B34" s="19"/>
      <c r="C34" s="22"/>
      <c r="D34" s="22"/>
      <c r="E34" s="22"/>
      <c r="F34" s="22"/>
      <c r="G34" s="22"/>
      <c r="H34" s="153"/>
      <c r="I34" s="50" t="str">
        <f t="shared" si="1"/>
        <v/>
      </c>
      <c r="J34" s="23"/>
      <c r="K34" s="47" t="str">
        <f>IFERROR(INDEX(TacklesRemaining,MATCH('Tackles Selections'!B34,TacklesPlayers,0)),"")</f>
        <v/>
      </c>
      <c r="L34" s="47" t="str">
        <f>IFERROR(INDEX(TacklesRemaining,MATCH('Tackles Selections'!C34,TacklesPlayers,0)),"")</f>
        <v/>
      </c>
      <c r="M34" s="47" t="str">
        <f>IFERROR(INDEX(TacklesRemaining,MATCH('Tackles Selections'!D34,TacklesPlayers,0)),"")</f>
        <v/>
      </c>
      <c r="N34" s="47" t="str">
        <f>IFERROR(INDEX(TacklesRemaining,MATCH('Tackles Selections'!E34,TacklesPlayers,0)),"")</f>
        <v/>
      </c>
      <c r="O34" s="47" t="str">
        <f>IFERROR(INDEX(TacklesRemaining,MATCH('Tackles Selections'!F34,TacklesPlayers,0)),"")</f>
        <v/>
      </c>
      <c r="P34" s="47" t="str">
        <f>IFERROR(INDEX(TacklesRemaining,MATCH('Tackles Selections'!G34,TacklesPlayers,0)),"")</f>
        <v/>
      </c>
      <c r="Q34" s="47">
        <f t="shared" si="2"/>
        <v>0</v>
      </c>
      <c r="R34" s="23"/>
      <c r="S34" s="96">
        <f>INDEX(Resulting_Tackles_Totals,MATCH('Tackles Selections'!B34,Resulting_Tackles_Players,0))+INDEX(Resulting_Tackles_Totals,MATCH('Tackles Selections'!C34,Resulting_Tackles_Players,0))+INDEX(Resulting_Tackles_Totals,MATCH('Tackles Selections'!D34,Resulting_Tackles_Players,0))+INDEX(Resulting_Tackles_Totals,MATCH('Tackles Selections'!E34,Resulting_Tackles_Players,0))+INDEX(Resulting_Tackles_Totals,MATCH('Tackles Selections'!F34,Resulting_Tackles_Players,0))+INDEX(Resulting_Tackles_Totals,MATCH('Tackles Selections'!G34,Resulting_Tackles_Players,0))</f>
        <v>0</v>
      </c>
      <c r="T34" s="47" t="str">
        <f t="shared" si="7"/>
        <v/>
      </c>
      <c r="U34" s="23"/>
      <c r="V34" s="45" t="str">
        <f t="shared" si="3"/>
        <v/>
      </c>
      <c r="W34" s="48" t="str">
        <f>IFERROR(INDEX(FractionalPriceLookUp2,MATCH('Tackles Selections'!V34,DecimalPriceLookUp,1)),"")</f>
        <v/>
      </c>
      <c r="X34" s="23"/>
      <c r="Y34" s="87">
        <f t="shared" si="6"/>
        <v>0</v>
      </c>
      <c r="Z34" s="65">
        <f t="shared" si="4"/>
        <v>0</v>
      </c>
      <c r="AA34" s="84"/>
      <c r="AB34" s="158" t="str">
        <f t="shared" si="5"/>
        <v>No</v>
      </c>
      <c r="AC34" s="150" t="s">
        <v>141</v>
      </c>
    </row>
    <row r="35" spans="2:29" s="14" customFormat="1" ht="15.95" customHeight="1" x14ac:dyDescent="0.25">
      <c r="B35" s="19"/>
      <c r="C35" s="22"/>
      <c r="D35" s="22"/>
      <c r="E35" s="22"/>
      <c r="F35" s="22"/>
      <c r="G35" s="22"/>
      <c r="H35" s="153"/>
      <c r="I35" s="50" t="str">
        <f t="shared" si="1"/>
        <v/>
      </c>
      <c r="J35" s="23"/>
      <c r="K35" s="47" t="str">
        <f>IFERROR(INDEX(TacklesRemaining,MATCH('Tackles Selections'!B35,TacklesPlayers,0)),"")</f>
        <v/>
      </c>
      <c r="L35" s="47" t="str">
        <f>IFERROR(INDEX(TacklesRemaining,MATCH('Tackles Selections'!C35,TacklesPlayers,0)),"")</f>
        <v/>
      </c>
      <c r="M35" s="47" t="str">
        <f>IFERROR(INDEX(TacklesRemaining,MATCH('Tackles Selections'!D35,TacklesPlayers,0)),"")</f>
        <v/>
      </c>
      <c r="N35" s="47" t="str">
        <f>IFERROR(INDEX(TacklesRemaining,MATCH('Tackles Selections'!E35,TacklesPlayers,0)),"")</f>
        <v/>
      </c>
      <c r="O35" s="47" t="str">
        <f>IFERROR(INDEX(TacklesRemaining,MATCH('Tackles Selections'!F35,TacklesPlayers,0)),"")</f>
        <v/>
      </c>
      <c r="P35" s="47" t="str">
        <f>IFERROR(INDEX(TacklesRemaining,MATCH('Tackles Selections'!G35,TacklesPlayers,0)),"")</f>
        <v/>
      </c>
      <c r="Q35" s="47">
        <f t="shared" si="2"/>
        <v>0</v>
      </c>
      <c r="R35" s="23"/>
      <c r="S35" s="96">
        <f>INDEX(Resulting_Tackles_Totals,MATCH('Tackles Selections'!B35,Resulting_Tackles_Players,0))+INDEX(Resulting_Tackles_Totals,MATCH('Tackles Selections'!C35,Resulting_Tackles_Players,0))+INDEX(Resulting_Tackles_Totals,MATCH('Tackles Selections'!D35,Resulting_Tackles_Players,0))+INDEX(Resulting_Tackles_Totals,MATCH('Tackles Selections'!E35,Resulting_Tackles_Players,0))+INDEX(Resulting_Tackles_Totals,MATCH('Tackles Selections'!F35,Resulting_Tackles_Players,0))+INDEX(Resulting_Tackles_Totals,MATCH('Tackles Selections'!G35,Resulting_Tackles_Players,0))</f>
        <v>0</v>
      </c>
      <c r="T35" s="47" t="str">
        <f t="shared" si="7"/>
        <v/>
      </c>
      <c r="U35" s="23"/>
      <c r="V35" s="45" t="str">
        <f t="shared" si="3"/>
        <v/>
      </c>
      <c r="W35" s="48" t="str">
        <f>IFERROR(INDEX(FractionalPriceLookUp2,MATCH('Tackles Selections'!V35,DecimalPriceLookUp,1)),"")</f>
        <v/>
      </c>
      <c r="X35" s="23"/>
      <c r="Y35" s="87">
        <f t="shared" si="6"/>
        <v>0</v>
      </c>
      <c r="Z35" s="65">
        <f t="shared" si="4"/>
        <v>0</v>
      </c>
      <c r="AA35" s="84"/>
      <c r="AB35" s="158" t="str">
        <f t="shared" si="5"/>
        <v>No</v>
      </c>
      <c r="AC35" s="150" t="s">
        <v>141</v>
      </c>
    </row>
    <row r="36" spans="2:29" x14ac:dyDescent="0.25">
      <c r="B36" s="19"/>
      <c r="C36" s="22"/>
      <c r="D36" s="22"/>
      <c r="E36" s="22"/>
      <c r="F36" s="22"/>
      <c r="G36" s="22"/>
      <c r="H36" s="153"/>
      <c r="I36" s="50" t="str">
        <f t="shared" si="1"/>
        <v/>
      </c>
      <c r="K36" s="47" t="str">
        <f>IFERROR(INDEX(TacklesRemaining,MATCH('Tackles Selections'!B36,TacklesPlayers,0)),"")</f>
        <v/>
      </c>
      <c r="L36" s="47" t="str">
        <f>IFERROR(INDEX(TacklesRemaining,MATCH('Tackles Selections'!C36,TacklesPlayers,0)),"")</f>
        <v/>
      </c>
      <c r="M36" s="47" t="str">
        <f>IFERROR(INDEX(TacklesRemaining,MATCH('Tackles Selections'!D36,TacklesPlayers,0)),"")</f>
        <v/>
      </c>
      <c r="N36" s="47" t="str">
        <f>IFERROR(INDEX(TacklesRemaining,MATCH('Tackles Selections'!E36,TacklesPlayers,0)),"")</f>
        <v/>
      </c>
      <c r="O36" s="47" t="str">
        <f>IFERROR(INDEX(TacklesRemaining,MATCH('Tackles Selections'!F36,TacklesPlayers,0)),"")</f>
        <v/>
      </c>
      <c r="P36" s="47" t="str">
        <f>IFERROR(INDEX(TacklesRemaining,MATCH('Tackles Selections'!G36,TacklesPlayers,0)),"")</f>
        <v/>
      </c>
      <c r="Q36" s="47">
        <f t="shared" si="2"/>
        <v>0</v>
      </c>
      <c r="S36" s="96">
        <f>INDEX(Resulting_Tackles_Totals,MATCH('Tackles Selections'!B36,Resulting_Tackles_Players,0))+INDEX(Resulting_Tackles_Totals,MATCH('Tackles Selections'!C36,Resulting_Tackles_Players,0))+INDEX(Resulting_Tackles_Totals,MATCH('Tackles Selections'!D36,Resulting_Tackles_Players,0))+INDEX(Resulting_Tackles_Totals,MATCH('Tackles Selections'!E36,Resulting_Tackles_Players,0))+INDEX(Resulting_Tackles_Totals,MATCH('Tackles Selections'!F36,Resulting_Tackles_Players,0))+INDEX(Resulting_Tackles_Totals,MATCH('Tackles Selections'!G36,Resulting_Tackles_Players,0))</f>
        <v>0</v>
      </c>
      <c r="T36" s="47" t="str">
        <f t="shared" si="7"/>
        <v/>
      </c>
      <c r="V36" s="45" t="str">
        <f t="shared" si="3"/>
        <v/>
      </c>
      <c r="W36" s="48" t="str">
        <f>IFERROR(INDEX(FractionalPriceLookUp2,MATCH('Tackles Selections'!V36,DecimalPriceLookUp,1)),"")</f>
        <v/>
      </c>
      <c r="Y36" s="87">
        <f t="shared" si="6"/>
        <v>0</v>
      </c>
      <c r="Z36" s="65">
        <f t="shared" si="4"/>
        <v>0</v>
      </c>
      <c r="AA36" s="84"/>
      <c r="AB36" s="158" t="str">
        <f t="shared" si="5"/>
        <v>No</v>
      </c>
      <c r="AC36" s="150" t="s">
        <v>141</v>
      </c>
    </row>
    <row r="37" spans="2:29" x14ac:dyDescent="0.25">
      <c r="B37" s="19"/>
      <c r="C37" s="22"/>
      <c r="D37" s="22"/>
      <c r="E37" s="22"/>
      <c r="F37" s="22"/>
      <c r="G37" s="22"/>
      <c r="H37" s="153"/>
      <c r="I37" s="50" t="str">
        <f t="shared" si="1"/>
        <v/>
      </c>
      <c r="K37" s="47" t="str">
        <f>IFERROR(INDEX(TacklesRemaining,MATCH('Tackles Selections'!B37,TacklesPlayers,0)),"")</f>
        <v/>
      </c>
      <c r="L37" s="47" t="str">
        <f>IFERROR(INDEX(TacklesRemaining,MATCH('Tackles Selections'!C37,TacklesPlayers,0)),"")</f>
        <v/>
      </c>
      <c r="M37" s="47" t="str">
        <f>IFERROR(INDEX(TacklesRemaining,MATCH('Tackles Selections'!D37,TacklesPlayers,0)),"")</f>
        <v/>
      </c>
      <c r="N37" s="47" t="str">
        <f>IFERROR(INDEX(TacklesRemaining,MATCH('Tackles Selections'!E37,TacklesPlayers,0)),"")</f>
        <v/>
      </c>
      <c r="O37" s="47" t="str">
        <f>IFERROR(INDEX(TacklesRemaining,MATCH('Tackles Selections'!F37,TacklesPlayers,0)),"")</f>
        <v/>
      </c>
      <c r="P37" s="47" t="str">
        <f>IFERROR(INDEX(TacklesRemaining,MATCH('Tackles Selections'!G37,TacklesPlayers,0)),"")</f>
        <v/>
      </c>
      <c r="Q37" s="47">
        <f t="shared" si="2"/>
        <v>0</v>
      </c>
      <c r="S37" s="96">
        <f>INDEX(Resulting_Tackles_Totals,MATCH('Tackles Selections'!B37,Resulting_Tackles_Players,0))+INDEX(Resulting_Tackles_Totals,MATCH('Tackles Selections'!C37,Resulting_Tackles_Players,0))+INDEX(Resulting_Tackles_Totals,MATCH('Tackles Selections'!D37,Resulting_Tackles_Players,0))+INDEX(Resulting_Tackles_Totals,MATCH('Tackles Selections'!E37,Resulting_Tackles_Players,0))+INDEX(Resulting_Tackles_Totals,MATCH('Tackles Selections'!F37,Resulting_Tackles_Players,0))+INDEX(Resulting_Tackles_Totals,MATCH('Tackles Selections'!G37,Resulting_Tackles_Players,0))</f>
        <v>0</v>
      </c>
      <c r="T37" s="47" t="str">
        <f t="shared" si="7"/>
        <v/>
      </c>
      <c r="V37" s="45" t="str">
        <f t="shared" si="3"/>
        <v/>
      </c>
      <c r="W37" s="48" t="str">
        <f>IFERROR(INDEX(FractionalPriceLookUp2,MATCH('Tackles Selections'!V37,DecimalPriceLookUp,1)),"")</f>
        <v/>
      </c>
      <c r="Y37" s="87">
        <f t="shared" si="6"/>
        <v>0</v>
      </c>
      <c r="Z37" s="65">
        <f t="shared" si="4"/>
        <v>0</v>
      </c>
      <c r="AA37" s="84"/>
      <c r="AB37" s="158" t="str">
        <f t="shared" si="5"/>
        <v>No</v>
      </c>
      <c r="AC37" s="150" t="s">
        <v>141</v>
      </c>
    </row>
    <row r="38" spans="2:29" x14ac:dyDescent="0.25">
      <c r="B38" s="19"/>
      <c r="C38" s="22"/>
      <c r="D38" s="22"/>
      <c r="E38" s="22"/>
      <c r="F38" s="22"/>
      <c r="G38" s="22"/>
      <c r="H38" s="153"/>
      <c r="I38" s="50" t="str">
        <f t="shared" si="1"/>
        <v/>
      </c>
      <c r="K38" s="47" t="str">
        <f>IFERROR(INDEX(TacklesRemaining,MATCH('Tackles Selections'!B38,TacklesPlayers,0)),"")</f>
        <v/>
      </c>
      <c r="L38" s="47" t="str">
        <f>IFERROR(INDEX(TacklesRemaining,MATCH('Tackles Selections'!C38,TacklesPlayers,0)),"")</f>
        <v/>
      </c>
      <c r="M38" s="47" t="str">
        <f>IFERROR(INDEX(TacklesRemaining,MATCH('Tackles Selections'!D38,TacklesPlayers,0)),"")</f>
        <v/>
      </c>
      <c r="N38" s="47" t="str">
        <f>IFERROR(INDEX(TacklesRemaining,MATCH('Tackles Selections'!E38,TacklesPlayers,0)),"")</f>
        <v/>
      </c>
      <c r="O38" s="47" t="str">
        <f>IFERROR(INDEX(TacklesRemaining,MATCH('Tackles Selections'!F38,TacklesPlayers,0)),"")</f>
        <v/>
      </c>
      <c r="P38" s="47" t="str">
        <f>IFERROR(INDEX(TacklesRemaining,MATCH('Tackles Selections'!G38,TacklesPlayers,0)),"")</f>
        <v/>
      </c>
      <c r="Q38" s="47">
        <f t="shared" si="2"/>
        <v>0</v>
      </c>
      <c r="S38" s="96">
        <f>INDEX(Resulting_Tackles_Totals,MATCH('Tackles Selections'!B38,Resulting_Tackles_Players,0))+INDEX(Resulting_Tackles_Totals,MATCH('Tackles Selections'!C38,Resulting_Tackles_Players,0))+INDEX(Resulting_Tackles_Totals,MATCH('Tackles Selections'!D38,Resulting_Tackles_Players,0))+INDEX(Resulting_Tackles_Totals,MATCH('Tackles Selections'!E38,Resulting_Tackles_Players,0))+INDEX(Resulting_Tackles_Totals,MATCH('Tackles Selections'!F38,Resulting_Tackles_Players,0))+INDEX(Resulting_Tackles_Totals,MATCH('Tackles Selections'!G38,Resulting_Tackles_Players,0))</f>
        <v>0</v>
      </c>
      <c r="T38" s="47" t="str">
        <f t="shared" si="7"/>
        <v/>
      </c>
      <c r="V38" s="45" t="str">
        <f t="shared" si="3"/>
        <v/>
      </c>
      <c r="W38" s="48" t="str">
        <f>IFERROR(INDEX(FractionalPriceLookUp2,MATCH('Tackles Selections'!V38,DecimalPriceLookUp,1)),"")</f>
        <v/>
      </c>
      <c r="Y38" s="87">
        <f t="shared" si="6"/>
        <v>0</v>
      </c>
      <c r="Z38" s="65">
        <f t="shared" si="4"/>
        <v>0</v>
      </c>
      <c r="AA38" s="84"/>
      <c r="AB38" s="158" t="str">
        <f t="shared" si="5"/>
        <v>No</v>
      </c>
      <c r="AC38" s="150" t="s">
        <v>142</v>
      </c>
    </row>
    <row r="39" spans="2:29" x14ac:dyDescent="0.25">
      <c r="B39" s="19"/>
      <c r="C39" s="22"/>
      <c r="D39" s="22"/>
      <c r="E39" s="22"/>
      <c r="F39" s="22"/>
      <c r="G39" s="22"/>
      <c r="H39" s="153"/>
      <c r="I39" s="50" t="str">
        <f t="shared" si="1"/>
        <v/>
      </c>
      <c r="K39" s="47" t="str">
        <f>IFERROR(INDEX(TacklesRemaining,MATCH('Tackles Selections'!B39,TacklesPlayers,0)),"")</f>
        <v/>
      </c>
      <c r="L39" s="47" t="str">
        <f>IFERROR(INDEX(TacklesRemaining,MATCH('Tackles Selections'!C39,TacklesPlayers,0)),"")</f>
        <v/>
      </c>
      <c r="M39" s="47" t="str">
        <f>IFERROR(INDEX(TacklesRemaining,MATCH('Tackles Selections'!D39,TacklesPlayers,0)),"")</f>
        <v/>
      </c>
      <c r="N39" s="47" t="str">
        <f>IFERROR(INDEX(TacklesRemaining,MATCH('Tackles Selections'!E39,TacklesPlayers,0)),"")</f>
        <v/>
      </c>
      <c r="O39" s="47" t="str">
        <f>IFERROR(INDEX(TacklesRemaining,MATCH('Tackles Selections'!F39,TacklesPlayers,0)),"")</f>
        <v/>
      </c>
      <c r="P39" s="47" t="str">
        <f>IFERROR(INDEX(TacklesRemaining,MATCH('Tackles Selections'!G39,TacklesPlayers,0)),"")</f>
        <v/>
      </c>
      <c r="Q39" s="47">
        <f t="shared" si="2"/>
        <v>0</v>
      </c>
      <c r="S39" s="96">
        <f>INDEX(Resulting_Tackles_Totals,MATCH('Tackles Selections'!B39,Resulting_Tackles_Players,0))+INDEX(Resulting_Tackles_Totals,MATCH('Tackles Selections'!C39,Resulting_Tackles_Players,0))+INDEX(Resulting_Tackles_Totals,MATCH('Tackles Selections'!D39,Resulting_Tackles_Players,0))+INDEX(Resulting_Tackles_Totals,MATCH('Tackles Selections'!E39,Resulting_Tackles_Players,0))+INDEX(Resulting_Tackles_Totals,MATCH('Tackles Selections'!F39,Resulting_Tackles_Players,0))+INDEX(Resulting_Tackles_Totals,MATCH('Tackles Selections'!G39,Resulting_Tackles_Players,0))</f>
        <v>0</v>
      </c>
      <c r="T39" s="47" t="str">
        <f t="shared" si="7"/>
        <v/>
      </c>
      <c r="V39" s="45" t="str">
        <f t="shared" si="3"/>
        <v/>
      </c>
      <c r="W39" s="48" t="str">
        <f>IFERROR(INDEX(FractionalPriceLookUp2,MATCH('Tackles Selections'!V39,DecimalPriceLookUp,1)),"")</f>
        <v/>
      </c>
      <c r="Y39" s="87">
        <f t="shared" si="6"/>
        <v>0</v>
      </c>
      <c r="Z39" s="65">
        <f t="shared" si="4"/>
        <v>0</v>
      </c>
      <c r="AA39" s="84"/>
      <c r="AB39" s="158" t="str">
        <f t="shared" si="5"/>
        <v>No</v>
      </c>
      <c r="AC39" s="150" t="s">
        <v>142</v>
      </c>
    </row>
    <row r="40" spans="2:29" x14ac:dyDescent="0.25">
      <c r="B40" s="19"/>
      <c r="C40" s="22"/>
      <c r="D40" s="22"/>
      <c r="E40" s="22"/>
      <c r="F40" s="22"/>
      <c r="G40" s="22"/>
      <c r="H40" s="153"/>
      <c r="I40" s="50" t="str">
        <f t="shared" si="1"/>
        <v/>
      </c>
      <c r="K40" s="47" t="str">
        <f>IFERROR(INDEX(TacklesRemaining,MATCH('Tackles Selections'!B40,TacklesPlayers,0)),"")</f>
        <v/>
      </c>
      <c r="L40" s="47" t="str">
        <f>IFERROR(INDEX(TacklesRemaining,MATCH('Tackles Selections'!C40,TacklesPlayers,0)),"")</f>
        <v/>
      </c>
      <c r="M40" s="47" t="str">
        <f>IFERROR(INDEX(TacklesRemaining,MATCH('Tackles Selections'!D40,TacklesPlayers,0)),"")</f>
        <v/>
      </c>
      <c r="N40" s="47" t="str">
        <f>IFERROR(INDEX(TacklesRemaining,MATCH('Tackles Selections'!E40,TacklesPlayers,0)),"")</f>
        <v/>
      </c>
      <c r="O40" s="47" t="str">
        <f>IFERROR(INDEX(TacklesRemaining,MATCH('Tackles Selections'!F40,TacklesPlayers,0)),"")</f>
        <v/>
      </c>
      <c r="P40" s="47" t="str">
        <f>IFERROR(INDEX(TacklesRemaining,MATCH('Tackles Selections'!G40,TacklesPlayers,0)),"")</f>
        <v/>
      </c>
      <c r="Q40" s="47">
        <f t="shared" si="2"/>
        <v>0</v>
      </c>
      <c r="S40" s="96">
        <f>INDEX(Resulting_Tackles_Totals,MATCH('Tackles Selections'!B40,Resulting_Tackles_Players,0))+INDEX(Resulting_Tackles_Totals,MATCH('Tackles Selections'!C40,Resulting_Tackles_Players,0))+INDEX(Resulting_Tackles_Totals,MATCH('Tackles Selections'!D40,Resulting_Tackles_Players,0))+INDEX(Resulting_Tackles_Totals,MATCH('Tackles Selections'!E40,Resulting_Tackles_Players,0))+INDEX(Resulting_Tackles_Totals,MATCH('Tackles Selections'!F40,Resulting_Tackles_Players,0))+INDEX(Resulting_Tackles_Totals,MATCH('Tackles Selections'!G40,Resulting_Tackles_Players,0))</f>
        <v>0</v>
      </c>
      <c r="T40" s="47" t="str">
        <f t="shared" si="7"/>
        <v/>
      </c>
      <c r="V40" s="45" t="str">
        <f t="shared" si="3"/>
        <v/>
      </c>
      <c r="W40" s="48" t="str">
        <f>IFERROR(INDEX(FractionalPriceLookUp2,MATCH('Tackles Selections'!V40,DecimalPriceLookUp,1)),"")</f>
        <v/>
      </c>
      <c r="Y40" s="87">
        <f t="shared" si="6"/>
        <v>0</v>
      </c>
      <c r="Z40" s="65">
        <f t="shared" si="4"/>
        <v>0</v>
      </c>
      <c r="AA40" s="84"/>
      <c r="AB40" s="158" t="str">
        <f t="shared" si="5"/>
        <v>No</v>
      </c>
      <c r="AC40" s="150" t="s">
        <v>142</v>
      </c>
    </row>
    <row r="41" spans="2:29" x14ac:dyDescent="0.25">
      <c r="B41" s="19"/>
      <c r="C41" s="22"/>
      <c r="D41" s="22"/>
      <c r="E41" s="22"/>
      <c r="F41" s="22"/>
      <c r="G41" s="22"/>
      <c r="H41" s="153"/>
      <c r="I41" s="50" t="str">
        <f t="shared" si="1"/>
        <v/>
      </c>
      <c r="K41" s="47" t="str">
        <f>IFERROR(INDEX(TacklesRemaining,MATCH('Tackles Selections'!B41,TacklesPlayers,0)),"")</f>
        <v/>
      </c>
      <c r="L41" s="47" t="str">
        <f>IFERROR(INDEX(TacklesRemaining,MATCH('Tackles Selections'!C41,TacklesPlayers,0)),"")</f>
        <v/>
      </c>
      <c r="M41" s="47" t="str">
        <f>IFERROR(INDEX(TacklesRemaining,MATCH('Tackles Selections'!D41,TacklesPlayers,0)),"")</f>
        <v/>
      </c>
      <c r="N41" s="47" t="str">
        <f>IFERROR(INDEX(TacklesRemaining,MATCH('Tackles Selections'!E41,TacklesPlayers,0)),"")</f>
        <v/>
      </c>
      <c r="O41" s="47" t="str">
        <f>IFERROR(INDEX(TacklesRemaining,MATCH('Tackles Selections'!F41,TacklesPlayers,0)),"")</f>
        <v/>
      </c>
      <c r="P41" s="47" t="str">
        <f>IFERROR(INDEX(TacklesRemaining,MATCH('Tackles Selections'!G41,TacklesPlayers,0)),"")</f>
        <v/>
      </c>
      <c r="Q41" s="47">
        <f t="shared" si="2"/>
        <v>0</v>
      </c>
      <c r="S41" s="96">
        <f>INDEX(Resulting_Tackles_Totals,MATCH('Tackles Selections'!B41,Resulting_Tackles_Players,0))+INDEX(Resulting_Tackles_Totals,MATCH('Tackles Selections'!C41,Resulting_Tackles_Players,0))+INDEX(Resulting_Tackles_Totals,MATCH('Tackles Selections'!D41,Resulting_Tackles_Players,0))+INDEX(Resulting_Tackles_Totals,MATCH('Tackles Selections'!E41,Resulting_Tackles_Players,0))+INDEX(Resulting_Tackles_Totals,MATCH('Tackles Selections'!F41,Resulting_Tackles_Players,0))+INDEX(Resulting_Tackles_Totals,MATCH('Tackles Selections'!G41,Resulting_Tackles_Players,0))</f>
        <v>0</v>
      </c>
      <c r="T41" s="47" t="str">
        <f t="shared" si="7"/>
        <v/>
      </c>
      <c r="V41" s="45" t="str">
        <f t="shared" si="3"/>
        <v/>
      </c>
      <c r="W41" s="48" t="str">
        <f>IFERROR(INDEX(FractionalPriceLookUp2,MATCH('Tackles Selections'!V41,DecimalPriceLookUp,1)),"")</f>
        <v/>
      </c>
      <c r="Y41" s="87">
        <f t="shared" si="6"/>
        <v>0</v>
      </c>
      <c r="Z41" s="65">
        <f t="shared" si="4"/>
        <v>0</v>
      </c>
      <c r="AA41" s="84"/>
      <c r="AB41" s="158" t="str">
        <f t="shared" si="5"/>
        <v>No</v>
      </c>
      <c r="AC41" s="150" t="s">
        <v>142</v>
      </c>
    </row>
    <row r="42" spans="2:29" x14ac:dyDescent="0.25">
      <c r="B42" s="19"/>
      <c r="C42" s="22"/>
      <c r="D42" s="22"/>
      <c r="E42" s="22"/>
      <c r="F42" s="22"/>
      <c r="G42" s="22"/>
      <c r="H42" s="153"/>
      <c r="I42" s="50" t="str">
        <f t="shared" si="1"/>
        <v/>
      </c>
      <c r="K42" s="47" t="str">
        <f>IFERROR(INDEX(TacklesRemaining,MATCH('Tackles Selections'!B42,TacklesPlayers,0)),"")</f>
        <v/>
      </c>
      <c r="L42" s="47" t="str">
        <f>IFERROR(INDEX(TacklesRemaining,MATCH('Tackles Selections'!C42,TacklesPlayers,0)),"")</f>
        <v/>
      </c>
      <c r="M42" s="47" t="str">
        <f>IFERROR(INDEX(TacklesRemaining,MATCH('Tackles Selections'!D42,TacklesPlayers,0)),"")</f>
        <v/>
      </c>
      <c r="N42" s="47" t="str">
        <f>IFERROR(INDEX(TacklesRemaining,MATCH('Tackles Selections'!E42,TacklesPlayers,0)),"")</f>
        <v/>
      </c>
      <c r="O42" s="47" t="str">
        <f>IFERROR(INDEX(TacklesRemaining,MATCH('Tackles Selections'!F42,TacklesPlayers,0)),"")</f>
        <v/>
      </c>
      <c r="P42" s="47" t="str">
        <f>IFERROR(INDEX(TacklesRemaining,MATCH('Tackles Selections'!G42,TacklesPlayers,0)),"")</f>
        <v/>
      </c>
      <c r="Q42" s="47">
        <f t="shared" si="2"/>
        <v>0</v>
      </c>
      <c r="S42" s="96">
        <f>INDEX(Resulting_Tackles_Totals,MATCH('Tackles Selections'!B42,Resulting_Tackles_Players,0))+INDEX(Resulting_Tackles_Totals,MATCH('Tackles Selections'!C42,Resulting_Tackles_Players,0))+INDEX(Resulting_Tackles_Totals,MATCH('Tackles Selections'!D42,Resulting_Tackles_Players,0))+INDEX(Resulting_Tackles_Totals,MATCH('Tackles Selections'!E42,Resulting_Tackles_Players,0))+INDEX(Resulting_Tackles_Totals,MATCH('Tackles Selections'!F42,Resulting_Tackles_Players,0))+INDEX(Resulting_Tackles_Totals,MATCH('Tackles Selections'!G42,Resulting_Tackles_Players,0))</f>
        <v>0</v>
      </c>
      <c r="T42" s="47" t="str">
        <f t="shared" si="7"/>
        <v/>
      </c>
      <c r="V42" s="45" t="str">
        <f t="shared" si="3"/>
        <v/>
      </c>
      <c r="W42" s="48" t="str">
        <f>IFERROR(INDEX(FractionalPriceLookUp2,MATCH('Tackles Selections'!V42,DecimalPriceLookUp,1)),"")</f>
        <v/>
      </c>
      <c r="Y42" s="87">
        <f t="shared" si="6"/>
        <v>0</v>
      </c>
      <c r="Z42" s="65">
        <f t="shared" si="4"/>
        <v>0</v>
      </c>
      <c r="AA42" s="84"/>
      <c r="AB42" s="158" t="str">
        <f t="shared" si="5"/>
        <v>No</v>
      </c>
      <c r="AC42" s="150" t="s">
        <v>142</v>
      </c>
    </row>
    <row r="43" spans="2:29" x14ac:dyDescent="0.25">
      <c r="B43" s="19"/>
      <c r="C43" s="22"/>
      <c r="D43" s="22"/>
      <c r="E43" s="22"/>
      <c r="F43" s="22"/>
      <c r="G43" s="22"/>
      <c r="H43" s="153"/>
      <c r="I43" s="50" t="str">
        <f t="shared" si="1"/>
        <v/>
      </c>
      <c r="K43" s="47" t="str">
        <f>IFERROR(INDEX(TacklesRemaining,MATCH('Tackles Selections'!B43,TacklesPlayers,0)),"")</f>
        <v/>
      </c>
      <c r="L43" s="47" t="str">
        <f>IFERROR(INDEX(TacklesRemaining,MATCH('Tackles Selections'!C43,TacklesPlayers,0)),"")</f>
        <v/>
      </c>
      <c r="M43" s="47" t="str">
        <f>IFERROR(INDEX(TacklesRemaining,MATCH('Tackles Selections'!D43,TacklesPlayers,0)),"")</f>
        <v/>
      </c>
      <c r="N43" s="47" t="str">
        <f>IFERROR(INDEX(TacklesRemaining,MATCH('Tackles Selections'!E43,TacklesPlayers,0)),"")</f>
        <v/>
      </c>
      <c r="O43" s="47" t="str">
        <f>IFERROR(INDEX(TacklesRemaining,MATCH('Tackles Selections'!F43,TacklesPlayers,0)),"")</f>
        <v/>
      </c>
      <c r="P43" s="47" t="str">
        <f>IFERROR(INDEX(TacklesRemaining,MATCH('Tackles Selections'!G43,TacklesPlayers,0)),"")</f>
        <v/>
      </c>
      <c r="Q43" s="47">
        <f t="shared" si="2"/>
        <v>0</v>
      </c>
      <c r="S43" s="96">
        <f>INDEX(Resulting_Tackles_Totals,MATCH('Tackles Selections'!B43,Resulting_Tackles_Players,0))+INDEX(Resulting_Tackles_Totals,MATCH('Tackles Selections'!C43,Resulting_Tackles_Players,0))+INDEX(Resulting_Tackles_Totals,MATCH('Tackles Selections'!D43,Resulting_Tackles_Players,0))+INDEX(Resulting_Tackles_Totals,MATCH('Tackles Selections'!E43,Resulting_Tackles_Players,0))+INDEX(Resulting_Tackles_Totals,MATCH('Tackles Selections'!F43,Resulting_Tackles_Players,0))+INDEX(Resulting_Tackles_Totals,MATCH('Tackles Selections'!G43,Resulting_Tackles_Players,0))</f>
        <v>0</v>
      </c>
      <c r="T43" s="47" t="str">
        <f t="shared" si="7"/>
        <v/>
      </c>
      <c r="V43" s="45" t="str">
        <f t="shared" si="3"/>
        <v/>
      </c>
      <c r="W43" s="48" t="str">
        <f>IFERROR(INDEX(FractionalPriceLookUp2,MATCH('Tackles Selections'!V43,DecimalPriceLookUp,1)),"")</f>
        <v/>
      </c>
      <c r="Y43" s="87">
        <f t="shared" si="6"/>
        <v>0</v>
      </c>
      <c r="Z43" s="65">
        <f t="shared" si="4"/>
        <v>0</v>
      </c>
      <c r="AA43" s="84"/>
      <c r="AB43" s="158" t="str">
        <f t="shared" si="5"/>
        <v>No</v>
      </c>
      <c r="AC43" s="150" t="s">
        <v>142</v>
      </c>
    </row>
    <row r="44" spans="2:29" x14ac:dyDescent="0.25">
      <c r="B44" s="19"/>
      <c r="C44" s="22"/>
      <c r="D44" s="22"/>
      <c r="E44" s="22"/>
      <c r="F44" s="22"/>
      <c r="G44" s="22"/>
      <c r="H44" s="153"/>
      <c r="I44" s="50" t="str">
        <f t="shared" si="1"/>
        <v/>
      </c>
      <c r="K44" s="47" t="str">
        <f>IFERROR(INDEX(TacklesRemaining,MATCH('Tackles Selections'!B44,TacklesPlayers,0)),"")</f>
        <v/>
      </c>
      <c r="L44" s="47" t="str">
        <f>IFERROR(INDEX(TacklesRemaining,MATCH('Tackles Selections'!C44,TacklesPlayers,0)),"")</f>
        <v/>
      </c>
      <c r="M44" s="47" t="str">
        <f>IFERROR(INDEX(TacklesRemaining,MATCH('Tackles Selections'!D44,TacklesPlayers,0)),"")</f>
        <v/>
      </c>
      <c r="N44" s="47" t="str">
        <f>IFERROR(INDEX(TacklesRemaining,MATCH('Tackles Selections'!E44,TacklesPlayers,0)),"")</f>
        <v/>
      </c>
      <c r="O44" s="47" t="str">
        <f>IFERROR(INDEX(TacklesRemaining,MATCH('Tackles Selections'!F44,TacklesPlayers,0)),"")</f>
        <v/>
      </c>
      <c r="P44" s="47" t="str">
        <f>IFERROR(INDEX(TacklesRemaining,MATCH('Tackles Selections'!G44,TacklesPlayers,0)),"")</f>
        <v/>
      </c>
      <c r="Q44" s="47">
        <f t="shared" si="2"/>
        <v>0</v>
      </c>
      <c r="S44" s="96">
        <f>INDEX(Resulting_Tackles_Totals,MATCH('Tackles Selections'!B44,Resulting_Tackles_Players,0))+INDEX(Resulting_Tackles_Totals,MATCH('Tackles Selections'!C44,Resulting_Tackles_Players,0))+INDEX(Resulting_Tackles_Totals,MATCH('Tackles Selections'!D44,Resulting_Tackles_Players,0))+INDEX(Resulting_Tackles_Totals,MATCH('Tackles Selections'!E44,Resulting_Tackles_Players,0))+INDEX(Resulting_Tackles_Totals,MATCH('Tackles Selections'!F44,Resulting_Tackles_Players,0))+INDEX(Resulting_Tackles_Totals,MATCH('Tackles Selections'!G44,Resulting_Tackles_Players,0))</f>
        <v>0</v>
      </c>
      <c r="T44" s="47" t="str">
        <f t="shared" si="7"/>
        <v/>
      </c>
      <c r="V44" s="45" t="str">
        <f t="shared" si="3"/>
        <v/>
      </c>
      <c r="W44" s="48" t="str">
        <f>IFERROR(INDEX(FractionalPriceLookUp2,MATCH('Tackles Selections'!V44,DecimalPriceLookUp,1)),"")</f>
        <v/>
      </c>
      <c r="Y44" s="87">
        <f t="shared" si="6"/>
        <v>0</v>
      </c>
      <c r="Z44" s="65">
        <f t="shared" si="4"/>
        <v>0</v>
      </c>
      <c r="AA44" s="84"/>
      <c r="AB44" s="158" t="str">
        <f t="shared" si="5"/>
        <v>No</v>
      </c>
      <c r="AC44" s="150" t="s">
        <v>142</v>
      </c>
    </row>
    <row r="45" spans="2:29" x14ac:dyDescent="0.25">
      <c r="B45" s="19"/>
      <c r="C45" s="22"/>
      <c r="D45" s="22"/>
      <c r="E45" s="22"/>
      <c r="F45" s="22"/>
      <c r="G45" s="22"/>
      <c r="H45" s="153"/>
      <c r="I45" s="50" t="str">
        <f t="shared" si="1"/>
        <v/>
      </c>
      <c r="K45" s="47" t="str">
        <f>IFERROR(INDEX(TacklesRemaining,MATCH('Tackles Selections'!B45,TacklesPlayers,0)),"")</f>
        <v/>
      </c>
      <c r="L45" s="47" t="str">
        <f>IFERROR(INDEX(TacklesRemaining,MATCH('Tackles Selections'!C45,TacklesPlayers,0)),"")</f>
        <v/>
      </c>
      <c r="M45" s="47" t="str">
        <f>IFERROR(INDEX(TacklesRemaining,MATCH('Tackles Selections'!D45,TacklesPlayers,0)),"")</f>
        <v/>
      </c>
      <c r="N45" s="47" t="str">
        <f>IFERROR(INDEX(TacklesRemaining,MATCH('Tackles Selections'!E45,TacklesPlayers,0)),"")</f>
        <v/>
      </c>
      <c r="O45" s="47" t="str">
        <f>IFERROR(INDEX(TacklesRemaining,MATCH('Tackles Selections'!F45,TacklesPlayers,0)),"")</f>
        <v/>
      </c>
      <c r="P45" s="47" t="str">
        <f>IFERROR(INDEX(TacklesRemaining,MATCH('Tackles Selections'!G45,TacklesPlayers,0)),"")</f>
        <v/>
      </c>
      <c r="Q45" s="47">
        <f t="shared" si="2"/>
        <v>0</v>
      </c>
      <c r="S45" s="96">
        <f>INDEX(Resulting_Tackles_Totals,MATCH('Tackles Selections'!B45,Resulting_Tackles_Players,0))+INDEX(Resulting_Tackles_Totals,MATCH('Tackles Selections'!C45,Resulting_Tackles_Players,0))+INDEX(Resulting_Tackles_Totals,MATCH('Tackles Selections'!D45,Resulting_Tackles_Players,0))+INDEX(Resulting_Tackles_Totals,MATCH('Tackles Selections'!E45,Resulting_Tackles_Players,0))+INDEX(Resulting_Tackles_Totals,MATCH('Tackles Selections'!F45,Resulting_Tackles_Players,0))+INDEX(Resulting_Tackles_Totals,MATCH('Tackles Selections'!G45,Resulting_Tackles_Players,0))</f>
        <v>0</v>
      </c>
      <c r="T45" s="47" t="str">
        <f t="shared" si="7"/>
        <v/>
      </c>
      <c r="V45" s="45" t="str">
        <f t="shared" si="3"/>
        <v/>
      </c>
      <c r="W45" s="48" t="str">
        <f>IFERROR(INDEX(FractionalPriceLookUp2,MATCH('Tackles Selections'!V45,DecimalPriceLookUp,1)),"")</f>
        <v/>
      </c>
      <c r="Y45" s="87">
        <f t="shared" si="6"/>
        <v>0</v>
      </c>
      <c r="Z45" s="65">
        <f t="shared" si="4"/>
        <v>0</v>
      </c>
      <c r="AA45" s="84"/>
      <c r="AB45" s="158" t="str">
        <f t="shared" si="5"/>
        <v>No</v>
      </c>
      <c r="AC45" s="150" t="s">
        <v>142</v>
      </c>
    </row>
    <row r="46" spans="2:29" x14ac:dyDescent="0.25">
      <c r="B46" s="19"/>
      <c r="C46" s="22"/>
      <c r="D46" s="22"/>
      <c r="E46" s="22"/>
      <c r="F46" s="22"/>
      <c r="G46" s="22"/>
      <c r="H46" s="153"/>
      <c r="I46" s="50" t="str">
        <f t="shared" si="1"/>
        <v/>
      </c>
      <c r="K46" s="47" t="str">
        <f>IFERROR(INDEX(TacklesRemaining,MATCH('Tackles Selections'!B46,TacklesPlayers,0)),"")</f>
        <v/>
      </c>
      <c r="L46" s="47" t="str">
        <f>IFERROR(INDEX(TacklesRemaining,MATCH('Tackles Selections'!C46,TacklesPlayers,0)),"")</f>
        <v/>
      </c>
      <c r="M46" s="47" t="str">
        <f>IFERROR(INDEX(TacklesRemaining,MATCH('Tackles Selections'!D46,TacklesPlayers,0)),"")</f>
        <v/>
      </c>
      <c r="N46" s="47" t="str">
        <f>IFERROR(INDEX(TacklesRemaining,MATCH('Tackles Selections'!E46,TacklesPlayers,0)),"")</f>
        <v/>
      </c>
      <c r="O46" s="47" t="str">
        <f>IFERROR(INDEX(TacklesRemaining,MATCH('Tackles Selections'!F46,TacklesPlayers,0)),"")</f>
        <v/>
      </c>
      <c r="P46" s="47" t="str">
        <f>IFERROR(INDEX(TacklesRemaining,MATCH('Tackles Selections'!G46,TacklesPlayers,0)),"")</f>
        <v/>
      </c>
      <c r="Q46" s="47">
        <f t="shared" si="2"/>
        <v>0</v>
      </c>
      <c r="S46" s="96">
        <f>INDEX(Resulting_Tackles_Totals,MATCH('Tackles Selections'!B46,Resulting_Tackles_Players,0))+INDEX(Resulting_Tackles_Totals,MATCH('Tackles Selections'!C46,Resulting_Tackles_Players,0))+INDEX(Resulting_Tackles_Totals,MATCH('Tackles Selections'!D46,Resulting_Tackles_Players,0))+INDEX(Resulting_Tackles_Totals,MATCH('Tackles Selections'!E46,Resulting_Tackles_Players,0))+INDEX(Resulting_Tackles_Totals,MATCH('Tackles Selections'!F46,Resulting_Tackles_Players,0))+INDEX(Resulting_Tackles_Totals,MATCH('Tackles Selections'!G46,Resulting_Tackles_Players,0))</f>
        <v>0</v>
      </c>
      <c r="T46" s="47" t="str">
        <f t="shared" si="7"/>
        <v/>
      </c>
      <c r="V46" s="45" t="str">
        <f t="shared" si="3"/>
        <v/>
      </c>
      <c r="W46" s="48" t="str">
        <f>IFERROR(INDEX(FractionalPriceLookUp2,MATCH('Tackles Selections'!V46,DecimalPriceLookUp,1)),"")</f>
        <v/>
      </c>
      <c r="Y46" s="87">
        <f t="shared" si="6"/>
        <v>0</v>
      </c>
      <c r="Z46" s="65">
        <f t="shared" si="4"/>
        <v>0</v>
      </c>
      <c r="AA46" s="84"/>
      <c r="AB46" s="158" t="str">
        <f t="shared" si="5"/>
        <v>No</v>
      </c>
      <c r="AC46" s="150" t="s">
        <v>142</v>
      </c>
    </row>
  </sheetData>
  <conditionalFormatting sqref="AA38:AA45">
    <cfRule type="expression" dxfId="5" priority="4">
      <formula>$Z38&gt;120</formula>
    </cfRule>
  </conditionalFormatting>
  <conditionalFormatting sqref="AA22:AA37">
    <cfRule type="expression" dxfId="4" priority="3">
      <formula>$Z22&gt;120</formula>
    </cfRule>
  </conditionalFormatting>
  <conditionalFormatting sqref="AA46">
    <cfRule type="expression" dxfId="3" priority="2">
      <formula>$Z46&gt;120</formula>
    </cfRule>
  </conditionalFormatting>
  <conditionalFormatting sqref="AA7:AA21">
    <cfRule type="expression" dxfId="2" priority="1">
      <formula>$Z7&gt;120</formula>
    </cfRule>
  </conditionalFormatting>
  <dataValidations count="1">
    <dataValidation type="list" allowBlank="1" showInputMessage="1" showErrorMessage="1" sqref="H7:H46" xr:uid="{00000000-0002-0000-0300-000000000000}">
      <formula1>TcK_Totals_List</formula1>
    </dataValidation>
  </dataValidations>
  <pageMargins left="0.7" right="0.7" top="0.75" bottom="0.75" header="0.3" footer="0.3"/>
  <pageSetup paperSize="9" orientation="portrait" r:id="rId1"/>
  <ignoredErrors>
    <ignoredError sqref="B8:C19" formula="1"/>
  </ignoredErrors>
  <drawing r:id="rId2"/>
  <legacyDrawing r:id="rId3"/>
  <controls>
    <mc:AlternateContent xmlns:mc="http://schemas.openxmlformats.org/markup-compatibility/2006">
      <mc:Choice Requires="x14">
        <control shapeId="4102" r:id="rId4" name="CommandButton6">
          <controlPr defaultSize="0" autoLine="0" r:id="rId5">
            <anchor moveWithCells="1">
              <from>
                <xdr:col>3</xdr:col>
                <xdr:colOff>238125</xdr:colOff>
                <xdr:row>1</xdr:row>
                <xdr:rowOff>9525</xdr:rowOff>
              </from>
              <to>
                <xdr:col>5</xdr:col>
                <xdr:colOff>304800</xdr:colOff>
                <xdr:row>4</xdr:row>
                <xdr:rowOff>19050</xdr:rowOff>
              </to>
            </anchor>
          </controlPr>
        </control>
      </mc:Choice>
      <mc:Fallback>
        <control shapeId="4102" r:id="rId4" name="CommandButton6"/>
      </mc:Fallback>
    </mc:AlternateContent>
    <mc:AlternateContent xmlns:mc="http://schemas.openxmlformats.org/markup-compatibility/2006">
      <mc:Choice Requires="x14">
        <control shapeId="4101" r:id="rId6" name="CommandButton5">
          <controlPr defaultSize="0" autoLine="0" r:id="rId7">
            <anchor moveWithCells="1">
              <from>
                <xdr:col>1</xdr:col>
                <xdr:colOff>0</xdr:colOff>
                <xdr:row>1</xdr:row>
                <xdr:rowOff>9525</xdr:rowOff>
              </from>
              <to>
                <xdr:col>3</xdr:col>
                <xdr:colOff>66675</xdr:colOff>
                <xdr:row>4</xdr:row>
                <xdr:rowOff>19050</xdr:rowOff>
              </to>
            </anchor>
          </controlPr>
        </control>
      </mc:Choice>
      <mc:Fallback>
        <control shapeId="4101" r:id="rId6" name="CommandButton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1000000}">
          <x14:formula1>
            <xm:f>OFFSET(TacklesPlayer1,0,0,COUNTA('Player Inputs'!$Q$4:$Q$24)-1,1)</xm:f>
          </x14:formula1>
          <xm:sqref>B22:C46 E22:G46 D22:D31 D34:D46</xm:sqref>
        </x14:dataValidation>
        <x14:dataValidation type="list" allowBlank="1" showInputMessage="1" showErrorMessage="1" xr:uid="{00000000-0002-0000-0300-000002000000}">
          <x14:formula1>
            <xm:f>Lists!$L$3:$L$4</xm:f>
          </x14:formula1>
          <xm:sqref>AC7:AC46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X32"/>
  <sheetViews>
    <sheetView zoomScale="85" zoomScaleNormal="85" workbookViewId="0">
      <selection activeCell="F19" sqref="F19"/>
    </sheetView>
  </sheetViews>
  <sheetFormatPr defaultColWidth="9.140625" defaultRowHeight="15" x14ac:dyDescent="0.25"/>
  <cols>
    <col min="1" max="1" width="2.7109375" style="111" customWidth="1"/>
    <col min="2" max="5" width="20.7109375" style="111" customWidth="1"/>
    <col min="6" max="6" width="15" style="116" customWidth="1"/>
    <col min="7" max="8" width="15" style="111" hidden="1" customWidth="1"/>
    <col min="9" max="9" width="2.7109375" style="111" customWidth="1"/>
    <col min="10" max="14" width="9.140625" style="111" hidden="1" customWidth="1"/>
    <col min="15" max="15" width="2.7109375" style="111" hidden="1" customWidth="1"/>
    <col min="16" max="19" width="9.140625" style="111" hidden="1" customWidth="1"/>
    <col min="20" max="20" width="2.7109375" style="111" hidden="1" customWidth="1"/>
    <col min="21" max="22" width="14.7109375" style="111" customWidth="1"/>
    <col min="23" max="23" width="2.7109375" style="111" customWidth="1"/>
    <col min="24" max="24" width="100.7109375" style="111" customWidth="1"/>
    <col min="25" max="16384" width="9.140625" style="111"/>
  </cols>
  <sheetData>
    <row r="2" spans="2:24" x14ac:dyDescent="0.25">
      <c r="B2" s="112" t="s">
        <v>17</v>
      </c>
      <c r="C2" s="113" t="s">
        <v>18</v>
      </c>
      <c r="D2" s="113" t="s">
        <v>19</v>
      </c>
      <c r="E2" s="113" t="s">
        <v>20</v>
      </c>
      <c r="F2" s="117" t="s">
        <v>151</v>
      </c>
      <c r="G2" s="117" t="s">
        <v>66</v>
      </c>
      <c r="H2" s="114" t="s">
        <v>160</v>
      </c>
      <c r="J2" s="131" t="s">
        <v>152</v>
      </c>
      <c r="K2" s="132" t="s">
        <v>153</v>
      </c>
      <c r="L2" s="132" t="s">
        <v>154</v>
      </c>
      <c r="M2" s="132" t="s">
        <v>155</v>
      </c>
      <c r="P2" s="131" t="s">
        <v>156</v>
      </c>
      <c r="Q2" s="132" t="s">
        <v>157</v>
      </c>
      <c r="R2" s="132" t="s">
        <v>158</v>
      </c>
      <c r="S2" s="133" t="s">
        <v>159</v>
      </c>
      <c r="U2" s="131" t="s">
        <v>57</v>
      </c>
      <c r="V2" s="132" t="s">
        <v>58</v>
      </c>
      <c r="X2" s="137" t="s">
        <v>60</v>
      </c>
    </row>
    <row r="3" spans="2:24" x14ac:dyDescent="0.25">
      <c r="B3" s="143" t="str">
        <f>ShotsPlayer1</f>
        <v>Timo Werner</v>
      </c>
      <c r="C3" s="144"/>
      <c r="D3" s="144"/>
      <c r="E3" s="144"/>
      <c r="F3" s="115" t="s">
        <v>26</v>
      </c>
      <c r="G3" s="115">
        <f>IFERROR(SUBSTITUTE(F3,"+","")-1,"")</f>
        <v>0</v>
      </c>
      <c r="H3" s="115">
        <f>COUNTA(B3:E3)</f>
        <v>1</v>
      </c>
      <c r="J3" s="122">
        <f>IFERROR(0.44*(INDEX(ShotsRemaining,MATCH('1st Half Shots'!B3,ShotsPlayers,0))),"")</f>
        <v>0.68583240000000001</v>
      </c>
      <c r="K3" s="123" t="str">
        <f>IFERROR(0.44*INDEX(ShotsRemaining,MATCH('1st Half Shots'!C3,ShotsPlayers,0)),"")</f>
        <v/>
      </c>
      <c r="L3" s="123" t="str">
        <f>IFERROR(0.44*(INDEX(ShotsRemaining,MATCH('1st Half Shots'!D3,ShotsPlayers,0))),"")</f>
        <v/>
      </c>
      <c r="M3" s="123" t="str">
        <f>IFERROR(INDEX(ShotsRemaining,MATCH('1st Half Shots'!E3,ShotsPlayers,0)),"")</f>
        <v/>
      </c>
      <c r="P3" s="122">
        <f>IFERROR(1/(1-_xlfn.POISSON.DIST(G3,J3,1)),"")</f>
        <v>2.0147917932483401</v>
      </c>
      <c r="Q3" s="123" t="str">
        <f>IFERROR(1/(1-_xlfn.POISSON.DIST(G3,K3,1)),"")</f>
        <v/>
      </c>
      <c r="R3" s="123" t="str">
        <f>IFERROR(1/(1-_xlfn.POISSON.DIST(G3,L3,1)),"")</f>
        <v/>
      </c>
      <c r="S3" s="124" t="str">
        <f>IFERROR(1/(1-_xlfn.POISSON.DIST(G3,M3,1)),"")</f>
        <v/>
      </c>
      <c r="U3" s="122">
        <f>PRODUCT(P3:S3)</f>
        <v>2.0147917932483401</v>
      </c>
      <c r="V3" s="138">
        <f>IFERROR(INDEX(FractionalPriceLookUp,MATCH('1st Half Shots'!U3,DecimalPriceLookUp,1)),"")</f>
        <v>0.83333333333333337</v>
      </c>
      <c r="X3" s="134" t="str">
        <f>CONCATENATE(B3," ",F3," Shots On Target")</f>
        <v>Timo Werner 1+ Shots On Target</v>
      </c>
    </row>
    <row r="4" spans="2:24" x14ac:dyDescent="0.25">
      <c r="B4" s="143" t="str">
        <f>ShotsPlayer1</f>
        <v>Timo Werner</v>
      </c>
      <c r="C4" s="144"/>
      <c r="D4" s="144"/>
      <c r="E4" s="144"/>
      <c r="F4" s="115" t="s">
        <v>27</v>
      </c>
      <c r="G4" s="115">
        <f t="shared" ref="G4:G20" si="0">IFERROR(SUBSTITUTE(F4,"+","")-1,"")</f>
        <v>1</v>
      </c>
      <c r="H4" s="115">
        <f t="shared" ref="H4:H20" si="1">COUNTA(B4:E4)</f>
        <v>1</v>
      </c>
      <c r="J4" s="125">
        <f>IFERROR(0.44*(INDEX(ShotsRemaining,MATCH('1st Half Shots'!B4,ShotsPlayers,0))),"")</f>
        <v>0.68583240000000001</v>
      </c>
      <c r="K4" s="126" t="str">
        <f>IFERROR(0.44*INDEX(ShotsRemaining,MATCH('1st Half Shots'!C4,ShotsPlayers,0)),"")</f>
        <v/>
      </c>
      <c r="L4" s="126" t="str">
        <f>IFERROR(0.44*(INDEX(ShotsRemaining,MATCH('1st Half Shots'!D4,ShotsPlayers,0))),"")</f>
        <v/>
      </c>
      <c r="M4" s="126" t="str">
        <f>IFERROR(INDEX(ShotsRemaining,MATCH('1st Half Shots'!E4,ShotsPlayers,0)),"")</f>
        <v/>
      </c>
      <c r="P4" s="125">
        <f t="shared" ref="P4:P20" si="2">IFERROR(1/(1-_xlfn.POISSON.DIST(G4,J4,1)),"")</f>
        <v>6.6271051753906951</v>
      </c>
      <c r="Q4" s="126" t="str">
        <f t="shared" ref="Q4:Q20" si="3">IFERROR(1/(1-_xlfn.POISSON.DIST(G4,K4,1)),"")</f>
        <v/>
      </c>
      <c r="R4" s="126" t="str">
        <f t="shared" ref="R4:R20" si="4">IFERROR(1/(1-_xlfn.POISSON.DIST(G4,L4,1)),"")</f>
        <v/>
      </c>
      <c r="S4" s="127" t="str">
        <f t="shared" ref="S4:S20" si="5">IFERROR(1/(1-_xlfn.POISSON.DIST(G4,M4,1)),"")</f>
        <v/>
      </c>
      <c r="U4" s="125">
        <f t="shared" ref="U4:U11" si="6">PRODUCT(P4:S4)</f>
        <v>6.6271051753906951</v>
      </c>
      <c r="V4" s="139">
        <f>IFERROR(INDEX(FractionalPriceLookUp,MATCH('1st Half Shots'!U4,DecimalPriceLookUp,1)),"")</f>
        <v>4.5</v>
      </c>
      <c r="X4" s="135" t="str">
        <f t="shared" ref="X4:X20" si="7">CONCATENATE(B4," ",F4," Shots On Target")</f>
        <v>Timo Werner 2+ Shots On Target</v>
      </c>
    </row>
    <row r="5" spans="2:24" x14ac:dyDescent="0.25">
      <c r="B5" s="143" t="str">
        <f>ShotsPlayer1</f>
        <v>Timo Werner</v>
      </c>
      <c r="C5" s="144"/>
      <c r="D5" s="144"/>
      <c r="E5" s="144"/>
      <c r="F5" s="115" t="s">
        <v>28</v>
      </c>
      <c r="G5" s="115">
        <f t="shared" si="0"/>
        <v>2</v>
      </c>
      <c r="H5" s="115">
        <f t="shared" si="1"/>
        <v>1</v>
      </c>
      <c r="J5" s="125">
        <f>IFERROR(0.44*(INDEX(ShotsRemaining,MATCH('1st Half Shots'!B5,ShotsPlayers,0))),"")</f>
        <v>0.68583240000000001</v>
      </c>
      <c r="K5" s="126" t="str">
        <f>IFERROR(0.44*INDEX(ShotsRemaining,MATCH('1st Half Shots'!C5,ShotsPlayers,0)),"")</f>
        <v/>
      </c>
      <c r="L5" s="126" t="str">
        <f>IFERROR(0.44*(INDEX(ShotsRemaining,MATCH('1st Half Shots'!D5,ShotsPlayers,0))),"")</f>
        <v/>
      </c>
      <c r="M5" s="126" t="str">
        <f>IFERROR(INDEX(ShotsRemaining,MATCH('1st Half Shots'!E5,ShotsPlayers,0)),"")</f>
        <v/>
      </c>
      <c r="P5" s="125">
        <f t="shared" si="2"/>
        <v>30.825553951867974</v>
      </c>
      <c r="Q5" s="126" t="str">
        <f t="shared" si="3"/>
        <v/>
      </c>
      <c r="R5" s="126" t="str">
        <f t="shared" si="4"/>
        <v/>
      </c>
      <c r="S5" s="127" t="str">
        <f t="shared" si="5"/>
        <v/>
      </c>
      <c r="U5" s="125">
        <f t="shared" si="6"/>
        <v>30.825553951867974</v>
      </c>
      <c r="V5" s="139">
        <f>IFERROR(INDEX(FractionalPriceLookUp,MATCH('1st Half Shots'!U5,DecimalPriceLookUp,1)),"")</f>
        <v>20</v>
      </c>
      <c r="X5" s="135" t="str">
        <f t="shared" si="7"/>
        <v>Timo Werner 3+ Shots On Target</v>
      </c>
    </row>
    <row r="6" spans="2:24" x14ac:dyDescent="0.25">
      <c r="B6" s="143" t="str">
        <f>ShotsPlayer2</f>
        <v>Tammy Abraham</v>
      </c>
      <c r="C6" s="144"/>
      <c r="D6" s="144"/>
      <c r="E6" s="144"/>
      <c r="F6" s="115" t="s">
        <v>26</v>
      </c>
      <c r="G6" s="115">
        <f t="shared" si="0"/>
        <v>0</v>
      </c>
      <c r="H6" s="115">
        <f t="shared" si="1"/>
        <v>1</v>
      </c>
      <c r="J6" s="125">
        <f>IFERROR(0.44*(INDEX(ShotsRemaining,MATCH('1st Half Shots'!B6,ShotsPlayers,0))),"")</f>
        <v>0.78419879999999997</v>
      </c>
      <c r="K6" s="126" t="str">
        <f>IFERROR(0.44*INDEX(ShotsRemaining,MATCH('1st Half Shots'!C6,ShotsPlayers,0)),"")</f>
        <v/>
      </c>
      <c r="L6" s="126" t="str">
        <f>IFERROR(0.44*(INDEX(ShotsRemaining,MATCH('1st Half Shots'!D6,ShotsPlayers,0))),"")</f>
        <v/>
      </c>
      <c r="M6" s="126" t="str">
        <f>IFERROR(INDEX(ShotsRemaining,MATCH('1st Half Shots'!E6,ShotsPlayers,0)),"")</f>
        <v/>
      </c>
      <c r="P6" s="125">
        <f t="shared" si="2"/>
        <v>1.8398766105893827</v>
      </c>
      <c r="Q6" s="126" t="str">
        <f t="shared" si="3"/>
        <v/>
      </c>
      <c r="R6" s="126" t="str">
        <f t="shared" si="4"/>
        <v/>
      </c>
      <c r="S6" s="127" t="str">
        <f t="shared" si="5"/>
        <v/>
      </c>
      <c r="U6" s="125">
        <f t="shared" si="6"/>
        <v>1.8398766105893827</v>
      </c>
      <c r="V6" s="139">
        <f>IFERROR(INDEX(FractionalPriceLookUp,MATCH('1st Half Shots'!U6,DecimalPriceLookUp,1)),"")</f>
        <v>0.66666666666666663</v>
      </c>
      <c r="X6" s="135" t="str">
        <f t="shared" si="7"/>
        <v>Tammy Abraham 1+ Shots On Target</v>
      </c>
    </row>
    <row r="7" spans="2:24" x14ac:dyDescent="0.25">
      <c r="B7" s="143" t="str">
        <f>ShotsPlayer2</f>
        <v>Tammy Abraham</v>
      </c>
      <c r="C7" s="144"/>
      <c r="D7" s="144"/>
      <c r="E7" s="144"/>
      <c r="F7" s="115" t="s">
        <v>27</v>
      </c>
      <c r="G7" s="115">
        <f t="shared" si="0"/>
        <v>1</v>
      </c>
      <c r="H7" s="115">
        <f t="shared" si="1"/>
        <v>1</v>
      </c>
      <c r="J7" s="125">
        <f>IFERROR(0.44*(INDEX(ShotsRemaining,MATCH('1st Half Shots'!B7,ShotsPlayers,0))),"")</f>
        <v>0.78419879999999997</v>
      </c>
      <c r="K7" s="126" t="str">
        <f>IFERROR(0.44*INDEX(ShotsRemaining,MATCH('1st Half Shots'!C7,ShotsPlayers,0)),"")</f>
        <v/>
      </c>
      <c r="L7" s="126" t="str">
        <f>IFERROR(0.44*(INDEX(ShotsRemaining,MATCH('1st Half Shots'!D7,ShotsPlayers,0))),"")</f>
        <v/>
      </c>
      <c r="M7" s="126" t="str">
        <f>IFERROR(INDEX(ShotsRemaining,MATCH('1st Half Shots'!E7,ShotsPlayers,0)),"")</f>
        <v/>
      </c>
      <c r="P7" s="125">
        <f t="shared" si="2"/>
        <v>5.3896881716205138</v>
      </c>
      <c r="Q7" s="126" t="str">
        <f t="shared" si="3"/>
        <v/>
      </c>
      <c r="R7" s="126" t="str">
        <f t="shared" si="4"/>
        <v/>
      </c>
      <c r="S7" s="127" t="str">
        <f t="shared" si="5"/>
        <v/>
      </c>
      <c r="U7" s="125">
        <f t="shared" si="6"/>
        <v>5.3896881716205138</v>
      </c>
      <c r="V7" s="139">
        <f>IFERROR(INDEX(FractionalPriceLookUp,MATCH('1st Half Shots'!U7,DecimalPriceLookUp,1)),"")</f>
        <v>3</v>
      </c>
      <c r="X7" s="135" t="str">
        <f t="shared" si="7"/>
        <v>Tammy Abraham 2+ Shots On Target</v>
      </c>
    </row>
    <row r="8" spans="2:24" x14ac:dyDescent="0.25">
      <c r="B8" s="143" t="str">
        <f>ShotsPlayer2</f>
        <v>Tammy Abraham</v>
      </c>
      <c r="C8" s="144"/>
      <c r="D8" s="144"/>
      <c r="E8" s="144"/>
      <c r="F8" s="115" t="s">
        <v>28</v>
      </c>
      <c r="G8" s="115">
        <f t="shared" si="0"/>
        <v>2</v>
      </c>
      <c r="H8" s="115">
        <f t="shared" si="1"/>
        <v>1</v>
      </c>
      <c r="J8" s="125">
        <f>IFERROR(0.44*(INDEX(ShotsRemaining,MATCH('1st Half Shots'!B8,ShotsPlayers,0))),"")</f>
        <v>0.78419879999999997</v>
      </c>
      <c r="K8" s="126" t="str">
        <f>IFERROR(0.44*INDEX(ShotsRemaining,MATCH('1st Half Shots'!C8,ShotsPlayers,0)),"")</f>
        <v/>
      </c>
      <c r="L8" s="126" t="str">
        <f>IFERROR(0.44*(INDEX(ShotsRemaining,MATCH('1st Half Shots'!D8,ShotsPlayers,0))),"")</f>
        <v/>
      </c>
      <c r="M8" s="126" t="str">
        <f>IFERROR(INDEX(ShotsRemaining,MATCH('1st Half Shots'!E8,ShotsPlayers,0)),"")</f>
        <v/>
      </c>
      <c r="P8" s="125">
        <f t="shared" si="2"/>
        <v>22.134852059314959</v>
      </c>
      <c r="Q8" s="126" t="str">
        <f t="shared" si="3"/>
        <v/>
      </c>
      <c r="R8" s="126" t="str">
        <f t="shared" si="4"/>
        <v/>
      </c>
      <c r="S8" s="127" t="str">
        <f t="shared" si="5"/>
        <v/>
      </c>
      <c r="U8" s="125">
        <f t="shared" si="6"/>
        <v>22.134852059314959</v>
      </c>
      <c r="V8" s="139">
        <f>IFERROR(INDEX(FractionalPriceLookUp,MATCH('1st Half Shots'!U8,DecimalPriceLookUp,1)),"")</f>
        <v>14</v>
      </c>
      <c r="X8" s="135" t="str">
        <f t="shared" si="7"/>
        <v>Tammy Abraham 3+ Shots On Target</v>
      </c>
    </row>
    <row r="9" spans="2:24" x14ac:dyDescent="0.25">
      <c r="B9" s="143" t="str">
        <f>ShotsPlayer3</f>
        <v>Hakim Ziyech</v>
      </c>
      <c r="C9" s="144"/>
      <c r="D9" s="144"/>
      <c r="E9" s="144"/>
      <c r="F9" s="115" t="s">
        <v>26</v>
      </c>
      <c r="G9" s="115">
        <f t="shared" si="0"/>
        <v>0</v>
      </c>
      <c r="H9" s="115">
        <f t="shared" si="1"/>
        <v>1</v>
      </c>
      <c r="J9" s="125">
        <f>IFERROR(0.44*(INDEX(ShotsRemaining,MATCH('1st Half Shots'!B9,ShotsPlayers,0))),"")</f>
        <v>0.62571960000000004</v>
      </c>
      <c r="K9" s="126" t="str">
        <f>IFERROR(0.44*INDEX(ShotsRemaining,MATCH('1st Half Shots'!C9,ShotsPlayers,0)),"")</f>
        <v/>
      </c>
      <c r="L9" s="126" t="str">
        <f>IFERROR(0.44*(INDEX(ShotsRemaining,MATCH('1st Half Shots'!D9,ShotsPlayers,0))),"")</f>
        <v/>
      </c>
      <c r="M9" s="126" t="str">
        <f>IFERROR(INDEX(ShotsRemaining,MATCH('1st Half Shots'!E9,ShotsPlayers,0)),"")</f>
        <v/>
      </c>
      <c r="P9" s="125">
        <f t="shared" si="2"/>
        <v>2.1499661269332244</v>
      </c>
      <c r="Q9" s="126" t="str">
        <f t="shared" si="3"/>
        <v/>
      </c>
      <c r="R9" s="126" t="str">
        <f t="shared" si="4"/>
        <v/>
      </c>
      <c r="S9" s="127" t="str">
        <f t="shared" si="5"/>
        <v/>
      </c>
      <c r="U9" s="125">
        <f t="shared" si="6"/>
        <v>2.1499661269332244</v>
      </c>
      <c r="V9" s="139">
        <f>IFERROR(INDEX(FractionalPriceLookUp,MATCH('1st Half Shots'!U9,DecimalPriceLookUp,1)),"")</f>
        <v>0.90909090909090906</v>
      </c>
      <c r="X9" s="135" t="str">
        <f t="shared" si="7"/>
        <v>Hakim Ziyech 1+ Shots On Target</v>
      </c>
    </row>
    <row r="10" spans="2:24" x14ac:dyDescent="0.25">
      <c r="B10" s="143" t="str">
        <f>ShotsPlayer3</f>
        <v>Hakim Ziyech</v>
      </c>
      <c r="C10" s="144"/>
      <c r="D10" s="144"/>
      <c r="E10" s="144"/>
      <c r="F10" s="115" t="s">
        <v>27</v>
      </c>
      <c r="G10" s="115">
        <f t="shared" si="0"/>
        <v>1</v>
      </c>
      <c r="H10" s="115">
        <f t="shared" si="1"/>
        <v>1</v>
      </c>
      <c r="J10" s="125">
        <f>IFERROR(0.44*(INDEX(ShotsRemaining,MATCH('1st Half Shots'!B10,ShotsPlayers,0))),"")</f>
        <v>0.62571960000000004</v>
      </c>
      <c r="K10" s="126" t="str">
        <f>IFERROR(0.44*INDEX(ShotsRemaining,MATCH('1st Half Shots'!C10,ShotsPlayers,0)),"")</f>
        <v/>
      </c>
      <c r="L10" s="126" t="str">
        <f>IFERROR(0.44*(INDEX(ShotsRemaining,MATCH('1st Half Shots'!D10,ShotsPlayers,0))),"")</f>
        <v/>
      </c>
      <c r="M10" s="126" t="str">
        <f>IFERROR(INDEX(ShotsRemaining,MATCH('1st Half Shots'!E10,ShotsPlayers,0)),"")</f>
        <v/>
      </c>
      <c r="P10" s="125">
        <f t="shared" si="2"/>
        <v>7.6663033314582361</v>
      </c>
      <c r="Q10" s="126" t="str">
        <f t="shared" si="3"/>
        <v/>
      </c>
      <c r="R10" s="126" t="str">
        <f t="shared" si="4"/>
        <v/>
      </c>
      <c r="S10" s="127" t="str">
        <f t="shared" si="5"/>
        <v/>
      </c>
      <c r="U10" s="125">
        <f t="shared" si="6"/>
        <v>7.6663033314582361</v>
      </c>
      <c r="V10" s="139">
        <f>IFERROR(INDEX(FractionalPriceLookUp,MATCH('1st Half Shots'!U10,DecimalPriceLookUp,1)),"")</f>
        <v>5</v>
      </c>
      <c r="X10" s="135" t="str">
        <f t="shared" si="7"/>
        <v>Hakim Ziyech 2+ Shots On Target</v>
      </c>
    </row>
    <row r="11" spans="2:24" x14ac:dyDescent="0.25">
      <c r="B11" s="143" t="str">
        <f>ShotsPlayer3</f>
        <v>Hakim Ziyech</v>
      </c>
      <c r="C11" s="144"/>
      <c r="D11" s="144"/>
      <c r="E11" s="144"/>
      <c r="F11" s="115" t="s">
        <v>28</v>
      </c>
      <c r="G11" s="115">
        <f t="shared" si="0"/>
        <v>2</v>
      </c>
      <c r="H11" s="115">
        <f t="shared" si="1"/>
        <v>1</v>
      </c>
      <c r="J11" s="125">
        <f>IFERROR(0.44*(INDEX(ShotsRemaining,MATCH('1st Half Shots'!B11,ShotsPlayers,0))),"")</f>
        <v>0.62571960000000004</v>
      </c>
      <c r="K11" s="126" t="str">
        <f>IFERROR(0.44*INDEX(ShotsRemaining,MATCH('1st Half Shots'!C11,ShotsPlayers,0)),"")</f>
        <v/>
      </c>
      <c r="L11" s="126" t="str">
        <f>IFERROR(0.44*(INDEX(ShotsRemaining,MATCH('1st Half Shots'!D11,ShotsPlayers,0))),"")</f>
        <v/>
      </c>
      <c r="M11" s="126" t="str">
        <f>IFERROR(INDEX(ShotsRemaining,MATCH('1st Half Shots'!E11,ShotsPlayers,0)),"")</f>
        <v/>
      </c>
      <c r="P11" s="125">
        <f t="shared" si="2"/>
        <v>38.861785305048556</v>
      </c>
      <c r="Q11" s="126" t="str">
        <f t="shared" si="3"/>
        <v/>
      </c>
      <c r="R11" s="126" t="str">
        <f t="shared" si="4"/>
        <v/>
      </c>
      <c r="S11" s="127" t="str">
        <f t="shared" si="5"/>
        <v/>
      </c>
      <c r="U11" s="125">
        <f t="shared" si="6"/>
        <v>38.861785305048556</v>
      </c>
      <c r="V11" s="139">
        <f>IFERROR(INDEX(FractionalPriceLookUp,MATCH('1st Half Shots'!U11,DecimalPriceLookUp,1)),"")</f>
        <v>22</v>
      </c>
      <c r="X11" s="135" t="str">
        <f t="shared" si="7"/>
        <v>Hakim Ziyech 3+ Shots On Target</v>
      </c>
    </row>
    <row r="12" spans="2:24" x14ac:dyDescent="0.25">
      <c r="B12" s="143" t="str">
        <f>ShotsPlayer6</f>
        <v>Patrick Bamford</v>
      </c>
      <c r="C12" s="144"/>
      <c r="D12" s="144"/>
      <c r="E12" s="144"/>
      <c r="F12" s="115" t="s">
        <v>26</v>
      </c>
      <c r="G12" s="115">
        <f t="shared" si="0"/>
        <v>0</v>
      </c>
      <c r="H12" s="115">
        <f t="shared" si="1"/>
        <v>1</v>
      </c>
      <c r="J12" s="125">
        <f>IFERROR(0.44*(INDEX(ShotsRemaining,MATCH('1st Half Shots'!B12,ShotsPlayers,0))),"")</f>
        <v>0.42965120000000001</v>
      </c>
      <c r="K12" s="126" t="str">
        <f>IFERROR(0.44*INDEX(ShotsRemaining,MATCH('1st Half Shots'!C12,ShotsPlayers,0)),"")</f>
        <v/>
      </c>
      <c r="L12" s="126" t="str">
        <f>IFERROR(0.44*(INDEX(ShotsRemaining,MATCH('1st Half Shots'!D12,ShotsPlayers,0))),"")</f>
        <v/>
      </c>
      <c r="M12" s="126" t="str">
        <f>IFERROR(INDEX(ShotsRemaining,MATCH('1st Half Shots'!E12,ShotsPlayers,0)),"")</f>
        <v/>
      </c>
      <c r="P12" s="125">
        <f t="shared" si="2"/>
        <v>2.8631639426112248</v>
      </c>
      <c r="Q12" s="126" t="str">
        <f t="shared" si="3"/>
        <v/>
      </c>
      <c r="R12" s="126" t="str">
        <f t="shared" si="4"/>
        <v/>
      </c>
      <c r="S12" s="127" t="str">
        <f t="shared" si="5"/>
        <v/>
      </c>
      <c r="U12" s="125">
        <f t="shared" ref="U12:U14" si="8">PRODUCT(P12:S12)</f>
        <v>2.8631639426112248</v>
      </c>
      <c r="V12" s="139">
        <f>IFERROR(INDEX(FractionalPriceLookUp,MATCH('1st Half Shots'!U12,DecimalPriceLookUp,1)),"")</f>
        <v>1.375</v>
      </c>
      <c r="X12" s="135" t="str">
        <f t="shared" si="7"/>
        <v>Patrick Bamford 1+ Shots On Target</v>
      </c>
    </row>
    <row r="13" spans="2:24" x14ac:dyDescent="0.25">
      <c r="B13" s="143" t="str">
        <f>ShotsPlayer6</f>
        <v>Patrick Bamford</v>
      </c>
      <c r="C13" s="144"/>
      <c r="D13" s="144"/>
      <c r="E13" s="144"/>
      <c r="F13" s="115" t="s">
        <v>27</v>
      </c>
      <c r="G13" s="115">
        <f t="shared" si="0"/>
        <v>1</v>
      </c>
      <c r="H13" s="115">
        <f t="shared" si="1"/>
        <v>1</v>
      </c>
      <c r="J13" s="125">
        <f>IFERROR(0.44*(INDEX(ShotsRemaining,MATCH('1st Half Shots'!B13,ShotsPlayers,0))),"")</f>
        <v>0.42965120000000001</v>
      </c>
      <c r="K13" s="126" t="str">
        <f>IFERROR(0.44*INDEX(ShotsRemaining,MATCH('1st Half Shots'!C13,ShotsPlayers,0)),"")</f>
        <v/>
      </c>
      <c r="L13" s="126" t="str">
        <f>IFERROR(0.44*(INDEX(ShotsRemaining,MATCH('1st Half Shots'!D13,ShotsPlayers,0))),"")</f>
        <v/>
      </c>
      <c r="M13" s="126" t="str">
        <f>IFERROR(INDEX(ShotsRemaining,MATCH('1st Half Shots'!E13,ShotsPlayers,0)),"")</f>
        <v/>
      </c>
      <c r="P13" s="125">
        <f t="shared" si="2"/>
        <v>14.352463255358872</v>
      </c>
      <c r="Q13" s="126" t="str">
        <f t="shared" si="3"/>
        <v/>
      </c>
      <c r="R13" s="126" t="str">
        <f t="shared" si="4"/>
        <v/>
      </c>
      <c r="S13" s="127" t="str">
        <f t="shared" si="5"/>
        <v/>
      </c>
      <c r="U13" s="125">
        <f t="shared" si="8"/>
        <v>14.352463255358872</v>
      </c>
      <c r="V13" s="139">
        <f>IFERROR(INDEX(FractionalPriceLookUp,MATCH('1st Half Shots'!U13,DecimalPriceLookUp,1)),"")</f>
        <v>9</v>
      </c>
      <c r="X13" s="135" t="str">
        <f t="shared" si="7"/>
        <v>Patrick Bamford 2+ Shots On Target</v>
      </c>
    </row>
    <row r="14" spans="2:24" x14ac:dyDescent="0.25">
      <c r="B14" s="143" t="str">
        <f>ShotsPlayer6</f>
        <v>Patrick Bamford</v>
      </c>
      <c r="C14" s="144"/>
      <c r="D14" s="144"/>
      <c r="E14" s="144"/>
      <c r="F14" s="115" t="s">
        <v>28</v>
      </c>
      <c r="G14" s="115">
        <f t="shared" si="0"/>
        <v>2</v>
      </c>
      <c r="H14" s="115">
        <f t="shared" si="1"/>
        <v>1</v>
      </c>
      <c r="J14" s="125">
        <f>IFERROR(0.44*(INDEX(ShotsRemaining,MATCH('1st Half Shots'!B14,ShotsPlayers,0))),"")</f>
        <v>0.42965120000000001</v>
      </c>
      <c r="K14" s="126" t="str">
        <f>IFERROR(0.44*INDEX(ShotsRemaining,MATCH('1st Half Shots'!C14,ShotsPlayers,0)),"")</f>
        <v/>
      </c>
      <c r="L14" s="126" t="str">
        <f>IFERROR(0.44*(INDEX(ShotsRemaining,MATCH('1st Half Shots'!D14,ShotsPlayers,0))),"")</f>
        <v/>
      </c>
      <c r="M14" s="126" t="str">
        <f>IFERROR(INDEX(ShotsRemaining,MATCH('1st Half Shots'!E14,ShotsPlayers,0)),"")</f>
        <v/>
      </c>
      <c r="P14" s="125">
        <f t="shared" si="2"/>
        <v>104.04240736693552</v>
      </c>
      <c r="Q14" s="126" t="str">
        <f t="shared" si="3"/>
        <v/>
      </c>
      <c r="R14" s="126" t="str">
        <f t="shared" si="4"/>
        <v/>
      </c>
      <c r="S14" s="127" t="str">
        <f t="shared" si="5"/>
        <v/>
      </c>
      <c r="U14" s="125">
        <f t="shared" si="8"/>
        <v>104.04240736693552</v>
      </c>
      <c r="V14" s="139">
        <f>IFERROR(INDEX(FractionalPriceLookUp,MATCH('1st Half Shots'!U14,DecimalPriceLookUp,1)),"")</f>
        <v>66</v>
      </c>
      <c r="X14" s="135" t="str">
        <f t="shared" si="7"/>
        <v>Patrick Bamford 3+ Shots On Target</v>
      </c>
    </row>
    <row r="15" spans="2:24" x14ac:dyDescent="0.25">
      <c r="B15" s="143" t="str">
        <f>ShotsPlayer7</f>
        <v>Raphinha</v>
      </c>
      <c r="C15" s="144"/>
      <c r="D15" s="144"/>
      <c r="E15" s="144"/>
      <c r="F15" s="115" t="s">
        <v>26</v>
      </c>
      <c r="G15" s="115">
        <f t="shared" si="0"/>
        <v>0</v>
      </c>
      <c r="H15" s="115">
        <f t="shared" si="1"/>
        <v>1</v>
      </c>
      <c r="J15" s="125">
        <f>IFERROR(0.44*(INDEX(ShotsRemaining,MATCH('1st Half Shots'!B15,ShotsPlayers,0))),"")</f>
        <v>0.31591999999999998</v>
      </c>
      <c r="K15" s="126" t="str">
        <f>IFERROR(0.44*INDEX(ShotsRemaining,MATCH('1st Half Shots'!C15,ShotsPlayers,0)),"")</f>
        <v/>
      </c>
      <c r="L15" s="126" t="str">
        <f>IFERROR(0.44*(INDEX(ShotsRemaining,MATCH('1st Half Shots'!D15,ShotsPlayers,0))),"")</f>
        <v/>
      </c>
      <c r="M15" s="126" t="str">
        <f>IFERROR(INDEX(ShotsRemaining,MATCH('1st Half Shots'!E15,ShotsPlayers,0)),"")</f>
        <v/>
      </c>
      <c r="P15" s="125">
        <f t="shared" si="2"/>
        <v>3.691641296622135</v>
      </c>
      <c r="Q15" s="126" t="str">
        <f t="shared" si="3"/>
        <v/>
      </c>
      <c r="R15" s="126" t="str">
        <f t="shared" si="4"/>
        <v/>
      </c>
      <c r="S15" s="127" t="str">
        <f t="shared" si="5"/>
        <v/>
      </c>
      <c r="U15" s="125">
        <f t="shared" ref="U15:U20" si="9">PRODUCT(P15:S15)</f>
        <v>3.691641296622135</v>
      </c>
      <c r="V15" s="139">
        <f>IFERROR(INDEX(FractionalPriceLookUp,MATCH('1st Half Shots'!U15,DecimalPriceLookUp,1)),"")</f>
        <v>1.875</v>
      </c>
      <c r="X15" s="135" t="str">
        <f t="shared" si="7"/>
        <v>Raphinha 1+ Shots On Target</v>
      </c>
    </row>
    <row r="16" spans="2:24" x14ac:dyDescent="0.25">
      <c r="B16" s="143" t="str">
        <f>ShotsPlayer7</f>
        <v>Raphinha</v>
      </c>
      <c r="C16" s="144"/>
      <c r="D16" s="144"/>
      <c r="E16" s="144"/>
      <c r="F16" s="115" t="s">
        <v>27</v>
      </c>
      <c r="G16" s="115">
        <f t="shared" si="0"/>
        <v>1</v>
      </c>
      <c r="H16" s="115">
        <f t="shared" si="1"/>
        <v>1</v>
      </c>
      <c r="J16" s="125">
        <f>IFERROR(0.44*(INDEX(ShotsRemaining,MATCH('1st Half Shots'!B16,ShotsPlayers,0))),"")</f>
        <v>0.31591999999999998</v>
      </c>
      <c r="K16" s="126" t="str">
        <f>IFERROR(0.44*INDEX(ShotsRemaining,MATCH('1st Half Shots'!C16,ShotsPlayers,0)),"")</f>
        <v/>
      </c>
      <c r="L16" s="126" t="str">
        <f>IFERROR(0.44*(INDEX(ShotsRemaining,MATCH('1st Half Shots'!D16,ShotsPlayers,0))),"")</f>
        <v/>
      </c>
      <c r="M16" s="126" t="str">
        <f>IFERROR(INDEX(ShotsRemaining,MATCH('1st Half Shots'!E16,ShotsPlayers,0)),"")</f>
        <v/>
      </c>
      <c r="P16" s="125">
        <f t="shared" si="2"/>
        <v>24.667400465293724</v>
      </c>
      <c r="Q16" s="126" t="str">
        <f t="shared" si="3"/>
        <v/>
      </c>
      <c r="R16" s="126" t="str">
        <f t="shared" si="4"/>
        <v/>
      </c>
      <c r="S16" s="127" t="str">
        <f t="shared" si="5"/>
        <v/>
      </c>
      <c r="U16" s="125">
        <f t="shared" si="9"/>
        <v>24.667400465293724</v>
      </c>
      <c r="V16" s="139">
        <f>IFERROR(INDEX(FractionalPriceLookUp,MATCH('1st Half Shots'!U16,DecimalPriceLookUp,1)),"")</f>
        <v>16</v>
      </c>
      <c r="X16" s="135" t="str">
        <f t="shared" si="7"/>
        <v>Raphinha 2+ Shots On Target</v>
      </c>
    </row>
    <row r="17" spans="2:24" x14ac:dyDescent="0.25">
      <c r="B17" s="143" t="str">
        <f>ShotsPlayer7</f>
        <v>Raphinha</v>
      </c>
      <c r="C17" s="144"/>
      <c r="D17" s="144"/>
      <c r="E17" s="144"/>
      <c r="F17" s="115" t="s">
        <v>28</v>
      </c>
      <c r="G17" s="115">
        <f t="shared" si="0"/>
        <v>2</v>
      </c>
      <c r="H17" s="115">
        <f t="shared" si="1"/>
        <v>1</v>
      </c>
      <c r="J17" s="125">
        <f>IFERROR(0.44*(INDEX(ShotsRemaining,MATCH('1st Half Shots'!B17,ShotsPlayers,0))),"")</f>
        <v>0.31591999999999998</v>
      </c>
      <c r="K17" s="126" t="str">
        <f>IFERROR(0.44*INDEX(ShotsRemaining,MATCH('1st Half Shots'!C17,ShotsPlayers,0)),"")</f>
        <v/>
      </c>
      <c r="L17" s="126" t="str">
        <f>IFERROR(0.44*(INDEX(ShotsRemaining,MATCH('1st Half Shots'!D17,ShotsPlayers,0))),"")</f>
        <v/>
      </c>
      <c r="M17" s="126" t="str">
        <f>IFERROR(INDEX(ShotsRemaining,MATCH('1st Half Shots'!E17,ShotsPlayers,0)),"")</f>
        <v/>
      </c>
      <c r="P17" s="125">
        <f t="shared" si="2"/>
        <v>240.71027244314007</v>
      </c>
      <c r="Q17" s="126" t="str">
        <f t="shared" si="3"/>
        <v/>
      </c>
      <c r="R17" s="126" t="str">
        <f t="shared" si="4"/>
        <v/>
      </c>
      <c r="S17" s="127" t="str">
        <f t="shared" si="5"/>
        <v/>
      </c>
      <c r="U17" s="125">
        <f t="shared" si="9"/>
        <v>240.71027244314007</v>
      </c>
      <c r="V17" s="139">
        <f>IFERROR(INDEX(FractionalPriceLookUp,MATCH('1st Half Shots'!U17,DecimalPriceLookUp,1)),"")</f>
        <v>100</v>
      </c>
      <c r="X17" s="135" t="str">
        <f t="shared" si="7"/>
        <v>Raphinha 3+ Shots On Target</v>
      </c>
    </row>
    <row r="18" spans="2:24" x14ac:dyDescent="0.25">
      <c r="B18" s="143" t="str">
        <f>ShotsPlayer8</f>
        <v>Mateusz Klich</v>
      </c>
      <c r="C18" s="144"/>
      <c r="D18" s="144"/>
      <c r="E18" s="144"/>
      <c r="F18" s="115" t="s">
        <v>26</v>
      </c>
      <c r="G18" s="115">
        <f t="shared" si="0"/>
        <v>0</v>
      </c>
      <c r="H18" s="115">
        <f t="shared" si="1"/>
        <v>1</v>
      </c>
      <c r="J18" s="125">
        <f>IFERROR(0.44*(INDEX(ShotsRemaining,MATCH('1st Half Shots'!B18,ShotsPlayers,0))),"")</f>
        <v>0.1863928</v>
      </c>
      <c r="K18" s="126" t="str">
        <f>IFERROR(0.44*INDEX(ShotsRemaining,MATCH('1st Half Shots'!C18,ShotsPlayers,0)),"")</f>
        <v/>
      </c>
      <c r="L18" s="126" t="str">
        <f>IFERROR(0.44*(INDEX(ShotsRemaining,MATCH('1st Half Shots'!D18,ShotsPlayers,0))),"")</f>
        <v/>
      </c>
      <c r="M18" s="126" t="str">
        <f>IFERROR(INDEX(ShotsRemaining,MATCH('1st Half Shots'!E18,ShotsPlayers,0)),"")</f>
        <v/>
      </c>
      <c r="P18" s="125">
        <f t="shared" si="2"/>
        <v>5.8805378459819959</v>
      </c>
      <c r="Q18" s="126" t="str">
        <f t="shared" si="3"/>
        <v/>
      </c>
      <c r="R18" s="126" t="str">
        <f t="shared" si="4"/>
        <v/>
      </c>
      <c r="S18" s="127" t="str">
        <f t="shared" si="5"/>
        <v/>
      </c>
      <c r="U18" s="125">
        <f t="shared" si="9"/>
        <v>5.8805378459819959</v>
      </c>
      <c r="V18" s="139">
        <f>IFERROR(INDEX(FractionalPriceLookUp,MATCH('1st Half Shots'!U18,DecimalPriceLookUp,1)),"")</f>
        <v>3.5</v>
      </c>
      <c r="X18" s="135" t="str">
        <f t="shared" si="7"/>
        <v>Mateusz Klich 1+ Shots On Target</v>
      </c>
    </row>
    <row r="19" spans="2:24" x14ac:dyDescent="0.25">
      <c r="B19" s="143" t="str">
        <f>ShotsPlayer8</f>
        <v>Mateusz Klich</v>
      </c>
      <c r="C19" s="144"/>
      <c r="D19" s="144"/>
      <c r="E19" s="144"/>
      <c r="F19" s="115" t="s">
        <v>27</v>
      </c>
      <c r="G19" s="115">
        <f t="shared" si="0"/>
        <v>1</v>
      </c>
      <c r="H19" s="115">
        <f t="shared" si="1"/>
        <v>1</v>
      </c>
      <c r="J19" s="125">
        <f>IFERROR(0.44*(INDEX(ShotsRemaining,MATCH('1st Half Shots'!B19,ShotsPlayers,0))),"")</f>
        <v>0.1863928</v>
      </c>
      <c r="K19" s="126" t="str">
        <f>IFERROR(0.44*INDEX(ShotsRemaining,MATCH('1st Half Shots'!C19,ShotsPlayers,0)),"")</f>
        <v/>
      </c>
      <c r="L19" s="126" t="str">
        <f>IFERROR(0.44*(INDEX(ShotsRemaining,MATCH('1st Half Shots'!D19,ShotsPlayers,0))),"")</f>
        <v/>
      </c>
      <c r="M19" s="126" t="str">
        <f>IFERROR(INDEX(ShotsRemaining,MATCH('1st Half Shots'!E19,ShotsPlayers,0)),"")</f>
        <v/>
      </c>
      <c r="P19" s="125">
        <f t="shared" si="2"/>
        <v>65.120154479473342</v>
      </c>
      <c r="Q19" s="126" t="str">
        <f t="shared" si="3"/>
        <v/>
      </c>
      <c r="R19" s="126" t="str">
        <f t="shared" si="4"/>
        <v/>
      </c>
      <c r="S19" s="127" t="str">
        <f t="shared" si="5"/>
        <v/>
      </c>
      <c r="U19" s="125">
        <f t="shared" si="9"/>
        <v>65.120154479473342</v>
      </c>
      <c r="V19" s="139">
        <f>IFERROR(INDEX(FractionalPriceLookUp,MATCH('1st Half Shots'!U19,DecimalPriceLookUp,1)),"")</f>
        <v>40</v>
      </c>
      <c r="X19" s="135" t="str">
        <f t="shared" si="7"/>
        <v>Mateusz Klich 2+ Shots On Target</v>
      </c>
    </row>
    <row r="20" spans="2:24" x14ac:dyDescent="0.25">
      <c r="B20" s="143" t="str">
        <f>ShotsPlayer8</f>
        <v>Mateusz Klich</v>
      </c>
      <c r="C20" s="146"/>
      <c r="D20" s="146"/>
      <c r="E20" s="146"/>
      <c r="F20" s="115" t="s">
        <v>28</v>
      </c>
      <c r="G20" s="115">
        <f t="shared" si="0"/>
        <v>2</v>
      </c>
      <c r="H20" s="115">
        <f t="shared" si="1"/>
        <v>1</v>
      </c>
      <c r="J20" s="128">
        <f>IFERROR(0.44*(INDEX(ShotsRemaining,MATCH('1st Half Shots'!B20,ShotsPlayers,0))),"")</f>
        <v>0.1863928</v>
      </c>
      <c r="K20" s="129" t="str">
        <f>IFERROR(0.44*INDEX(ShotsRemaining,MATCH('1st Half Shots'!C20,ShotsPlayers,0)),"")</f>
        <v/>
      </c>
      <c r="L20" s="129" t="str">
        <f>IFERROR(0.44*(INDEX(ShotsRemaining,MATCH('1st Half Shots'!D20,ShotsPlayers,0))),"")</f>
        <v/>
      </c>
      <c r="M20" s="129" t="str">
        <f>IFERROR(INDEX(ShotsRemaining,MATCH('1st Half Shots'!E20,ShotsPlayers,0)),"")</f>
        <v/>
      </c>
      <c r="P20" s="128">
        <f t="shared" si="2"/>
        <v>1064.8539289502557</v>
      </c>
      <c r="Q20" s="129" t="str">
        <f t="shared" si="3"/>
        <v/>
      </c>
      <c r="R20" s="129" t="str">
        <f t="shared" si="4"/>
        <v/>
      </c>
      <c r="S20" s="130" t="str">
        <f t="shared" si="5"/>
        <v/>
      </c>
      <c r="U20" s="125">
        <f t="shared" si="9"/>
        <v>1064.8539289502557</v>
      </c>
      <c r="V20" s="139">
        <f>IFERROR(INDEX(FractionalPriceLookUp,MATCH('1st Half Shots'!U20,DecimalPriceLookUp,1)),"")</f>
        <v>500</v>
      </c>
      <c r="X20" s="136" t="str">
        <f t="shared" si="7"/>
        <v>Mateusz Klich 3+ Shots On Target</v>
      </c>
    </row>
    <row r="22" spans="2:24" x14ac:dyDescent="0.25">
      <c r="B22" s="192" t="s">
        <v>17</v>
      </c>
      <c r="C22" s="193" t="s">
        <v>18</v>
      </c>
      <c r="D22" s="193" t="s">
        <v>19</v>
      </c>
      <c r="E22" s="193" t="s">
        <v>20</v>
      </c>
      <c r="F22" s="132" t="s">
        <v>151</v>
      </c>
      <c r="G22" s="132" t="s">
        <v>66</v>
      </c>
      <c r="H22" s="133" t="s">
        <v>160</v>
      </c>
      <c r="J22" s="118" t="s">
        <v>152</v>
      </c>
      <c r="K22" s="117" t="s">
        <v>153</v>
      </c>
      <c r="L22" s="117" t="s">
        <v>154</v>
      </c>
      <c r="M22" s="117" t="s">
        <v>155</v>
      </c>
      <c r="N22" s="114" t="s">
        <v>163</v>
      </c>
      <c r="U22" s="131" t="s">
        <v>57</v>
      </c>
      <c r="V22" s="133" t="s">
        <v>58</v>
      </c>
      <c r="X22" s="137" t="s">
        <v>60</v>
      </c>
    </row>
    <row r="23" spans="2:24" x14ac:dyDescent="0.25">
      <c r="B23" s="147" t="str">
        <f>ShotsPlayer1</f>
        <v>Timo Werner</v>
      </c>
      <c r="C23" s="148" t="str">
        <f>ShotsPlayer2</f>
        <v>Tammy Abraham</v>
      </c>
      <c r="D23" s="148"/>
      <c r="E23" s="148"/>
      <c r="F23" s="194" t="s">
        <v>28</v>
      </c>
      <c r="G23" s="194">
        <f>IFERROR(SUBSTITUTE(F23,"+","")-1,"")</f>
        <v>2</v>
      </c>
      <c r="H23" s="119">
        <f>COUNTA(B23:E23)</f>
        <v>2</v>
      </c>
      <c r="J23" s="125">
        <f>IFERROR(0.44*(INDEX(ShotsRemaining,MATCH('1st Half Shots'!B23,ShotsPlayers,0))),"")</f>
        <v>0.68583240000000001</v>
      </c>
      <c r="K23" s="126">
        <f>IFERROR(0.44*INDEX(ShotsRemaining,MATCH('1st Half Shots'!C23,ShotsPlayers,0)),"")</f>
        <v>0.78419879999999997</v>
      </c>
      <c r="L23" s="126" t="str">
        <f>IFERROR(0.44*(INDEX(ShotsRemaining,MATCH('1st Half Shots'!D23,ShotsPlayers,0))),"")</f>
        <v/>
      </c>
      <c r="M23" s="126" t="str">
        <f>IFERROR(INDEX(ShotsRemaining,MATCH('1st Half Shots'!E23,ShotsPlayers,0)),"")</f>
        <v/>
      </c>
      <c r="N23" s="127">
        <f>SUM(J23:M23)</f>
        <v>1.4700312</v>
      </c>
      <c r="U23" s="122">
        <f>IFERROR(1/(1-_xlfn.POISSON.DIST(G23,N23,1)),"")</f>
        <v>5.4445825033128568</v>
      </c>
      <c r="V23" s="138">
        <f>IFERROR(INDEX(FractionalPriceLookUp,MATCH('1st Half Shots'!U23,DecimalPriceLookUp,1)),"")</f>
        <v>3</v>
      </c>
      <c r="X23" s="134" t="str">
        <f>IF(H23=4,CONCATENATE(B23,", ",C23,", ",D23," &amp; ",E23," to have ",F23," shots on target between them"),IF(H23=3,CONCATENATE(B23,", ",C23," &amp; ",D23," to have ",F23," shots on target between them"),IF(H23=2,CONCATENATE(B23," &amp; ",C23," to have ",F23," shots on target between them"))))</f>
        <v>Timo Werner &amp; Tammy Abraham to have 3+ shots on target between them</v>
      </c>
    </row>
    <row r="24" spans="2:24" x14ac:dyDescent="0.25">
      <c r="B24" s="143" t="str">
        <f>ShotsPlayer2</f>
        <v>Tammy Abraham</v>
      </c>
      <c r="C24" s="144" t="str">
        <f>ShotsPlayer6</f>
        <v>Patrick Bamford</v>
      </c>
      <c r="D24" s="144"/>
      <c r="E24" s="144"/>
      <c r="F24" s="115" t="s">
        <v>28</v>
      </c>
      <c r="G24" s="115">
        <f t="shared" ref="G24:G32" si="10">IFERROR(SUBSTITUTE(F24,"+","")-1,"")</f>
        <v>2</v>
      </c>
      <c r="H24" s="120">
        <f t="shared" ref="H24:H32" si="11">COUNTA(B24:E24)</f>
        <v>2</v>
      </c>
      <c r="J24" s="125">
        <f>IFERROR(0.44*(INDEX(ShotsRemaining,MATCH('1st Half Shots'!B24,ShotsPlayers,0))),"")</f>
        <v>0.78419879999999997</v>
      </c>
      <c r="K24" s="126">
        <f>IFERROR(0.44*INDEX(ShotsRemaining,MATCH('1st Half Shots'!C24,ShotsPlayers,0)),"")</f>
        <v>0.42965120000000001</v>
      </c>
      <c r="L24" s="126" t="str">
        <f>IFERROR(0.44*(INDEX(ShotsRemaining,MATCH('1st Half Shots'!D24,ShotsPlayers,0))),"")</f>
        <v/>
      </c>
      <c r="M24" s="126" t="str">
        <f>IFERROR(INDEX(ShotsRemaining,MATCH('1st Half Shots'!E24,ShotsPlayers,0)),"")</f>
        <v/>
      </c>
      <c r="N24" s="127">
        <f t="shared" ref="N24:N32" si="12">SUM(J24:M24)</f>
        <v>1.2138499999999999</v>
      </c>
      <c r="U24" s="125">
        <f t="shared" ref="U24:U32" si="13">IFERROR(1/(1-_xlfn.POISSON.DIST(G24,N24,1)),"")</f>
        <v>8.0951874000076316</v>
      </c>
      <c r="V24" s="139">
        <f>IFERROR(INDEX(FractionalPriceLookUp,MATCH('1st Half Shots'!U24,DecimalPriceLookUp,1)),"")</f>
        <v>5.5</v>
      </c>
      <c r="X24" s="135" t="str">
        <f t="shared" ref="X24:X32" si="14">IF(H24=4,CONCATENATE(B24,", ",C24,", ",D24," &amp; ",E24," to have ",F24," shots on target between them"),IF(H24=3,CONCATENATE(B24,", ",C24," &amp; ",D24," to have ",F24," shots on target between them"),IF(H24=2,CONCATENATE(B24," &amp; ",C24," to have ",F24," shots on target between them"))))</f>
        <v>Tammy Abraham &amp; Patrick Bamford to have 3+ shots on target between them</v>
      </c>
    </row>
    <row r="25" spans="2:24" x14ac:dyDescent="0.25">
      <c r="B25" s="143" t="str">
        <f>ShotsPlayer1</f>
        <v>Timo Werner</v>
      </c>
      <c r="C25" s="144" t="str">
        <f>ShotsPlayer7</f>
        <v>Raphinha</v>
      </c>
      <c r="D25" s="144"/>
      <c r="E25" s="144"/>
      <c r="F25" s="115" t="s">
        <v>30</v>
      </c>
      <c r="G25" s="115">
        <f t="shared" si="10"/>
        <v>4</v>
      </c>
      <c r="H25" s="120">
        <f t="shared" si="11"/>
        <v>2</v>
      </c>
      <c r="J25" s="125">
        <f>IFERROR(0.44*(INDEX(ShotsRemaining,MATCH('1st Half Shots'!B25,ShotsPlayers,0))),"")</f>
        <v>0.68583240000000001</v>
      </c>
      <c r="K25" s="126">
        <f>IFERROR(0.44*INDEX(ShotsRemaining,MATCH('1st Half Shots'!C25,ShotsPlayers,0)),"")</f>
        <v>0.31591999999999998</v>
      </c>
      <c r="L25" s="126" t="str">
        <f>IFERROR(0.44*(INDEX(ShotsRemaining,MATCH('1st Half Shots'!D25,ShotsPlayers,0))),"")</f>
        <v/>
      </c>
      <c r="M25" s="126" t="str">
        <f>IFERROR(INDEX(ShotsRemaining,MATCH('1st Half Shots'!E25,ShotsPlayers,0)),"")</f>
        <v/>
      </c>
      <c r="N25" s="127">
        <f t="shared" si="12"/>
        <v>1.0017524</v>
      </c>
      <c r="U25" s="125">
        <f t="shared" si="13"/>
        <v>271.23948708183389</v>
      </c>
      <c r="V25" s="139">
        <f>IFERROR(INDEX(FractionalPriceLookUp,MATCH('1st Half Shots'!U25,DecimalPriceLookUp,1)),"")</f>
        <v>150</v>
      </c>
      <c r="X25" s="135" t="str">
        <f t="shared" si="14"/>
        <v>Timo Werner &amp; Raphinha to have 5+ shots on target between them</v>
      </c>
    </row>
    <row r="26" spans="2:24" x14ac:dyDescent="0.25">
      <c r="B26" s="143" t="str">
        <f>ShotsPlayer7</f>
        <v>Raphinha</v>
      </c>
      <c r="C26" s="144" t="str">
        <f>ShotsPlayer2</f>
        <v>Tammy Abraham</v>
      </c>
      <c r="D26" s="144" t="str">
        <f>ShotsPlayer8</f>
        <v>Mateusz Klich</v>
      </c>
      <c r="E26" s="144"/>
      <c r="F26" s="115" t="s">
        <v>30</v>
      </c>
      <c r="G26" s="115">
        <f t="shared" si="10"/>
        <v>4</v>
      </c>
      <c r="H26" s="120">
        <f t="shared" si="11"/>
        <v>3</v>
      </c>
      <c r="J26" s="125">
        <f>IFERROR(0.44*(INDEX(ShotsRemaining,MATCH('1st Half Shots'!B26,ShotsPlayers,0))),"")</f>
        <v>0.31591999999999998</v>
      </c>
      <c r="K26" s="126">
        <f>IFERROR(0.44*INDEX(ShotsRemaining,MATCH('1st Half Shots'!C26,ShotsPlayers,0)),"")</f>
        <v>0.78419879999999997</v>
      </c>
      <c r="L26" s="126">
        <f>IFERROR(0.44*(INDEX(ShotsRemaining,MATCH('1st Half Shots'!D26,ShotsPlayers,0))),"")</f>
        <v>0.1863928</v>
      </c>
      <c r="M26" s="126" t="str">
        <f>IFERROR(INDEX(ShotsRemaining,MATCH('1st Half Shots'!E26,ShotsPlayers,0)),"")</f>
        <v/>
      </c>
      <c r="N26" s="127">
        <f t="shared" si="12"/>
        <v>1.2865115999999999</v>
      </c>
      <c r="U26" s="125">
        <f t="shared" si="13"/>
        <v>97.735717380765209</v>
      </c>
      <c r="V26" s="139">
        <f>IFERROR(INDEX(FractionalPriceLookUp,MATCH('1st Half Shots'!U26,DecimalPriceLookUp,1)),"")</f>
        <v>66</v>
      </c>
      <c r="X26" s="135" t="str">
        <f t="shared" si="14"/>
        <v>Raphinha, Tammy Abraham &amp; Mateusz Klich to have 5+ shots on target between them</v>
      </c>
    </row>
    <row r="27" spans="2:24" x14ac:dyDescent="0.25">
      <c r="B27" s="143" t="str">
        <f>ShotsPlayer1</f>
        <v>Timo Werner</v>
      </c>
      <c r="C27" s="144" t="str">
        <f>ShotsPlayer2</f>
        <v>Tammy Abraham</v>
      </c>
      <c r="D27" s="144" t="str">
        <f>ShotsPlayer6</f>
        <v>Patrick Bamford</v>
      </c>
      <c r="E27" s="144" t="str">
        <f>ShotsPlayer7</f>
        <v>Raphinha</v>
      </c>
      <c r="F27" s="115" t="s">
        <v>32</v>
      </c>
      <c r="G27" s="115">
        <f t="shared" si="10"/>
        <v>6</v>
      </c>
      <c r="H27" s="120">
        <f t="shared" si="11"/>
        <v>4</v>
      </c>
      <c r="J27" s="125">
        <f>IFERROR(0.44*(INDEX(ShotsRemaining,MATCH('1st Half Shots'!B27,ShotsPlayers,0))),"")</f>
        <v>0.68583240000000001</v>
      </c>
      <c r="K27" s="126">
        <f>IFERROR(0.44*INDEX(ShotsRemaining,MATCH('1st Half Shots'!C27,ShotsPlayers,0)),"")</f>
        <v>0.78419879999999997</v>
      </c>
      <c r="L27" s="126">
        <f>IFERROR(0.44*(INDEX(ShotsRemaining,MATCH('1st Half Shots'!D27,ShotsPlayers,0))),"")</f>
        <v>0.42965120000000001</v>
      </c>
      <c r="M27" s="126">
        <f>IFERROR(INDEX(ShotsRemaining,MATCH('1st Half Shots'!E27,ShotsPlayers,0)),"")</f>
        <v>0.71799999999999997</v>
      </c>
      <c r="N27" s="127">
        <f t="shared" si="12"/>
        <v>2.6176824000000001</v>
      </c>
      <c r="U27" s="125">
        <f t="shared" si="13"/>
        <v>56.369400530748976</v>
      </c>
      <c r="V27" s="139">
        <f>IFERROR(INDEX(FractionalPriceLookUp,MATCH('1st Half Shots'!U27,DecimalPriceLookUp,1)),"")</f>
        <v>33</v>
      </c>
      <c r="X27" s="135" t="str">
        <f t="shared" si="14"/>
        <v>Timo Werner, Tammy Abraham, Patrick Bamford &amp; Raphinha to have 7+ shots on target between them</v>
      </c>
    </row>
    <row r="28" spans="2:24" x14ac:dyDescent="0.25">
      <c r="B28" s="143" t="str">
        <f>ShotsPlayer1</f>
        <v>Timo Werner</v>
      </c>
      <c r="C28" s="144" t="str">
        <f>ShotsPlayer2</f>
        <v>Tammy Abraham</v>
      </c>
      <c r="D28" s="144" t="str">
        <f>ShotsPlayer6</f>
        <v>Patrick Bamford</v>
      </c>
      <c r="E28" s="144" t="str">
        <f>ShotsPlayer7</f>
        <v>Raphinha</v>
      </c>
      <c r="F28" s="115" t="s">
        <v>30</v>
      </c>
      <c r="G28" s="115">
        <f t="shared" si="10"/>
        <v>4</v>
      </c>
      <c r="H28" s="120">
        <f t="shared" si="11"/>
        <v>4</v>
      </c>
      <c r="J28" s="125">
        <f>IFERROR(0.44*(INDEX(ShotsRemaining,MATCH('1st Half Shots'!B28,ShotsPlayers,0))),"")</f>
        <v>0.68583240000000001</v>
      </c>
      <c r="K28" s="126">
        <f>IFERROR(0.44*INDEX(ShotsRemaining,MATCH('1st Half Shots'!C28,ShotsPlayers,0)),"")</f>
        <v>0.78419879999999997</v>
      </c>
      <c r="L28" s="126">
        <f>IFERROR(0.44*(INDEX(ShotsRemaining,MATCH('1st Half Shots'!D28,ShotsPlayers,0))),"")</f>
        <v>0.42965120000000001</v>
      </c>
      <c r="M28" s="126">
        <f>IFERROR(INDEX(ShotsRemaining,MATCH('1st Half Shots'!E28,ShotsPlayers,0)),"")</f>
        <v>0.71799999999999997</v>
      </c>
      <c r="N28" s="127">
        <f t="shared" si="12"/>
        <v>2.6176824000000001</v>
      </c>
      <c r="U28" s="125">
        <f t="shared" si="13"/>
        <v>7.9943045974641453</v>
      </c>
      <c r="V28" s="139">
        <f>IFERROR(INDEX(FractionalPriceLookUp,MATCH('1st Half Shots'!U28,DecimalPriceLookUp,1)),"")</f>
        <v>5</v>
      </c>
      <c r="X28" s="135" t="str">
        <f t="shared" si="14"/>
        <v>Timo Werner, Tammy Abraham, Patrick Bamford &amp; Raphinha to have 5+ shots on target between them</v>
      </c>
    </row>
    <row r="29" spans="2:24" x14ac:dyDescent="0.25">
      <c r="B29" s="143" t="str">
        <f>ShotsPlayer6</f>
        <v>Patrick Bamford</v>
      </c>
      <c r="C29" s="144" t="str">
        <f>ShotsPlayer7</f>
        <v>Raphinha</v>
      </c>
      <c r="D29" s="144"/>
      <c r="E29" s="144"/>
      <c r="F29" s="115" t="s">
        <v>30</v>
      </c>
      <c r="G29" s="115">
        <f t="shared" si="10"/>
        <v>4</v>
      </c>
      <c r="H29" s="120">
        <f t="shared" si="11"/>
        <v>2</v>
      </c>
      <c r="J29" s="125">
        <f>IFERROR(0.44*(INDEX(ShotsRemaining,MATCH('1st Half Shots'!B29,ShotsPlayers,0))),"")</f>
        <v>0.42965120000000001</v>
      </c>
      <c r="K29" s="126">
        <f>IFERROR(0.44*INDEX(ShotsRemaining,MATCH('1st Half Shots'!C29,ShotsPlayers,0)),"")</f>
        <v>0.31591999999999998</v>
      </c>
      <c r="L29" s="126" t="str">
        <f>IFERROR(0.44*(INDEX(ShotsRemaining,MATCH('1st Half Shots'!D29,ShotsPlayers,0))),"")</f>
        <v/>
      </c>
      <c r="M29" s="126" t="str">
        <f>IFERROR(INDEX(ShotsRemaining,MATCH('1st Half Shots'!E29,ShotsPlayers,0)),"")</f>
        <v/>
      </c>
      <c r="N29" s="127">
        <f t="shared" si="12"/>
        <v>0.74557119999999999</v>
      </c>
      <c r="U29" s="125">
        <f t="shared" si="13"/>
        <v>963.98450471984324</v>
      </c>
      <c r="V29" s="139">
        <f>IFERROR(INDEX(FractionalPriceLookUp,MATCH('1st Half Shots'!U29,DecimalPriceLookUp,1)),"")</f>
        <v>500</v>
      </c>
      <c r="X29" s="135" t="str">
        <f t="shared" si="14"/>
        <v>Patrick Bamford &amp; Raphinha to have 5+ shots on target between them</v>
      </c>
    </row>
    <row r="30" spans="2:24" x14ac:dyDescent="0.25">
      <c r="B30" s="143" t="str">
        <f>ShotsPlayer1</f>
        <v>Timo Werner</v>
      </c>
      <c r="C30" s="144" t="str">
        <f>ShotsPlayer2</f>
        <v>Tammy Abraham</v>
      </c>
      <c r="D30" s="144"/>
      <c r="E30" s="144"/>
      <c r="F30" s="115" t="s">
        <v>30</v>
      </c>
      <c r="G30" s="115">
        <f t="shared" si="10"/>
        <v>4</v>
      </c>
      <c r="H30" s="120">
        <f t="shared" si="11"/>
        <v>2</v>
      </c>
      <c r="J30" s="125">
        <f>IFERROR(0.44*(INDEX(ShotsRemaining,MATCH('1st Half Shots'!B30,ShotsPlayers,0))),"")</f>
        <v>0.68583240000000001</v>
      </c>
      <c r="K30" s="126">
        <f>IFERROR(0.44*INDEX(ShotsRemaining,MATCH('1st Half Shots'!C30,ShotsPlayers,0)),"")</f>
        <v>0.78419879999999997</v>
      </c>
      <c r="L30" s="126" t="str">
        <f>IFERROR(0.44*(INDEX(ShotsRemaining,MATCH('1st Half Shots'!D30,ShotsPlayers,0))),"")</f>
        <v/>
      </c>
      <c r="M30" s="126" t="str">
        <f>IFERROR(INDEX(ShotsRemaining,MATCH('1st Half Shots'!E30,ShotsPlayers,0)),"")</f>
        <v/>
      </c>
      <c r="N30" s="127">
        <f t="shared" si="12"/>
        <v>1.4700312</v>
      </c>
      <c r="U30" s="125">
        <f t="shared" si="13"/>
        <v>58.138110020344591</v>
      </c>
      <c r="V30" s="139">
        <f>IFERROR(INDEX(FractionalPriceLookUp,MATCH('1st Half Shots'!U30,DecimalPriceLookUp,1)),"")</f>
        <v>33</v>
      </c>
      <c r="X30" s="135" t="str">
        <f t="shared" si="14"/>
        <v>Timo Werner &amp; Tammy Abraham to have 5+ shots on target between them</v>
      </c>
    </row>
    <row r="31" spans="2:24" x14ac:dyDescent="0.25">
      <c r="B31" s="143" t="str">
        <f>ShotsPlayer2</f>
        <v>Tammy Abraham</v>
      </c>
      <c r="C31" s="144" t="str">
        <f>ShotsPlayer6</f>
        <v>Patrick Bamford</v>
      </c>
      <c r="D31" s="144" t="str">
        <f>ShotsPlayer1</f>
        <v>Timo Werner</v>
      </c>
      <c r="E31" s="144"/>
      <c r="F31" s="115" t="s">
        <v>29</v>
      </c>
      <c r="G31" s="115">
        <f t="shared" si="10"/>
        <v>3</v>
      </c>
      <c r="H31" s="120">
        <f t="shared" si="11"/>
        <v>3</v>
      </c>
      <c r="J31" s="125">
        <f>IFERROR(0.44*(INDEX(ShotsRemaining,MATCH('1st Half Shots'!B31,ShotsPlayers,0))),"")</f>
        <v>0.78419879999999997</v>
      </c>
      <c r="K31" s="126">
        <f>IFERROR(0.44*INDEX(ShotsRemaining,MATCH('1st Half Shots'!C31,ShotsPlayers,0)),"")</f>
        <v>0.42965120000000001</v>
      </c>
      <c r="L31" s="126">
        <f>IFERROR(0.44*(INDEX(ShotsRemaining,MATCH('1st Half Shots'!D31,ShotsPlayers,0))),"")</f>
        <v>0.68583240000000001</v>
      </c>
      <c r="M31" s="126" t="str">
        <f>IFERROR(INDEX(ShotsRemaining,MATCH('1st Half Shots'!E31,ShotsPlayers,0)),"")</f>
        <v/>
      </c>
      <c r="N31" s="127">
        <f t="shared" si="12"/>
        <v>1.8996823999999999</v>
      </c>
      <c r="U31" s="125">
        <f t="shared" si="13"/>
        <v>7.9844470740116691</v>
      </c>
      <c r="V31" s="139">
        <f>IFERROR(INDEX(FractionalPriceLookUp,MATCH('1st Half Shots'!U31,DecimalPriceLookUp,1)),"")</f>
        <v>5</v>
      </c>
      <c r="X31" s="135" t="str">
        <f t="shared" si="14"/>
        <v>Tammy Abraham, Patrick Bamford &amp; Timo Werner to have 4+ shots on target between them</v>
      </c>
    </row>
    <row r="32" spans="2:24" x14ac:dyDescent="0.25">
      <c r="B32" s="145" t="str">
        <f>ShotsPlayer8</f>
        <v>Mateusz Klich</v>
      </c>
      <c r="C32" s="146" t="str">
        <f>ShotsPlayer3</f>
        <v>Hakim Ziyech</v>
      </c>
      <c r="D32" s="146"/>
      <c r="E32" s="146"/>
      <c r="F32" s="195" t="s">
        <v>30</v>
      </c>
      <c r="G32" s="195">
        <f t="shared" si="10"/>
        <v>4</v>
      </c>
      <c r="H32" s="121">
        <f t="shared" si="11"/>
        <v>2</v>
      </c>
      <c r="J32" s="128">
        <f>IFERROR(0.44*(INDEX(ShotsRemaining,MATCH('1st Half Shots'!B32,ShotsPlayers,0))),"")</f>
        <v>0.1863928</v>
      </c>
      <c r="K32" s="129">
        <f>IFERROR(0.44*INDEX(ShotsRemaining,MATCH('1st Half Shots'!C32,ShotsPlayers,0)),"")</f>
        <v>0.62571960000000004</v>
      </c>
      <c r="L32" s="129" t="str">
        <f>IFERROR(0.44*(INDEX(ShotsRemaining,MATCH('1st Half Shots'!D32,ShotsPlayers,0))),"")</f>
        <v/>
      </c>
      <c r="M32" s="129" t="str">
        <f>IFERROR(INDEX(ShotsRemaining,MATCH('1st Half Shots'!E32,ShotsPlayers,0)),"")</f>
        <v/>
      </c>
      <c r="N32" s="130">
        <f t="shared" si="12"/>
        <v>0.81211240000000007</v>
      </c>
      <c r="U32" s="128">
        <f t="shared" si="13"/>
        <v>663.80480650769027</v>
      </c>
      <c r="V32" s="140">
        <f>IFERROR(INDEX(FractionalPriceLookUp,MATCH('1st Half Shots'!U32,DecimalPriceLookUp,1)),"")</f>
        <v>250</v>
      </c>
      <c r="X32" s="136" t="str">
        <f t="shared" si="14"/>
        <v>Mateusz Klich &amp; Hakim Ziyech to have 5+ shots on target between them</v>
      </c>
    </row>
  </sheetData>
  <sheetProtection sheet="1" objects="1" scenarios="1"/>
  <dataValidations count="1">
    <dataValidation type="list" allowBlank="1" showInputMessage="1" showErrorMessage="1" sqref="F3:F20 F23:F32" xr:uid="{00000000-0002-0000-0400-000000000000}">
      <formula1>SoT_Totals_List</formula1>
    </dataValidation>
  </dataValidations>
  <pageMargins left="0.7" right="0.7" top="0.75" bottom="0.75" header="0.3" footer="0.3"/>
  <pageSetup paperSize="9" orientation="portrait" r:id="rId1"/>
  <ignoredErrors>
    <ignoredError sqref="B28:C30 B24 B2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B2:P14"/>
  <sheetViews>
    <sheetView zoomScale="85" zoomScaleNormal="85" workbookViewId="0">
      <selection activeCell="P3" sqref="P3:P14"/>
    </sheetView>
  </sheetViews>
  <sheetFormatPr defaultColWidth="9.140625" defaultRowHeight="15" x14ac:dyDescent="0.25"/>
  <cols>
    <col min="1" max="1" width="2.7109375" style="111" customWidth="1"/>
    <col min="2" max="2" width="20.7109375" style="111" customWidth="1"/>
    <col min="3" max="3" width="15" style="116" customWidth="1"/>
    <col min="4" max="5" width="15" style="111" hidden="1" customWidth="1"/>
    <col min="6" max="6" width="2.7109375" style="111" customWidth="1"/>
    <col min="7" max="8" width="9.140625" style="111" hidden="1" customWidth="1"/>
    <col min="9" max="9" width="2.7109375" style="111" hidden="1" customWidth="1"/>
    <col min="10" max="11" width="9.140625" style="111" hidden="1" customWidth="1"/>
    <col min="12" max="12" width="2.7109375" style="111" hidden="1" customWidth="1"/>
    <col min="13" max="14" width="14.7109375" style="111" customWidth="1"/>
    <col min="15" max="15" width="2.7109375" style="111" customWidth="1"/>
    <col min="16" max="16" width="100.7109375" style="111" customWidth="1"/>
    <col min="17" max="16384" width="9.140625" style="111"/>
  </cols>
  <sheetData>
    <row r="2" spans="2:16" x14ac:dyDescent="0.25">
      <c r="B2" s="112" t="s">
        <v>17</v>
      </c>
      <c r="C2" s="117" t="s">
        <v>151</v>
      </c>
      <c r="D2" s="117" t="s">
        <v>66</v>
      </c>
      <c r="E2" s="114" t="s">
        <v>160</v>
      </c>
      <c r="G2" s="131" t="s">
        <v>152</v>
      </c>
      <c r="H2" s="132" t="s">
        <v>153</v>
      </c>
      <c r="J2" s="131" t="s">
        <v>156</v>
      </c>
      <c r="K2" s="132" t="s">
        <v>157</v>
      </c>
      <c r="M2" s="131" t="s">
        <v>57</v>
      </c>
      <c r="N2" s="132" t="s">
        <v>58</v>
      </c>
      <c r="P2" s="137" t="s">
        <v>60</v>
      </c>
    </row>
    <row r="3" spans="2:16" x14ac:dyDescent="0.25">
      <c r="B3" s="143" t="str">
        <f>ShotsPlayer1</f>
        <v>Timo Werner</v>
      </c>
      <c r="C3" s="115" t="s">
        <v>26</v>
      </c>
      <c r="D3" s="115">
        <f>IFERROR(SUBSTITUTE(C3,"+","")-1,"")</f>
        <v>0</v>
      </c>
      <c r="E3" s="115">
        <f t="shared" ref="E3:E12" si="0">COUNTA(B3:B3)</f>
        <v>1</v>
      </c>
      <c r="G3" s="122">
        <f>IFERROR(0.44*(INDEX(ShotsRemaining,MATCH('SoT Each Half'!B3,ShotsPlayers,0))),"")</f>
        <v>0.68583240000000001</v>
      </c>
      <c r="H3" s="124">
        <f>IFERROR(0.56*(INDEX(ShotsRemaining,MATCH('SoT Each Half'!B3,ShotsPlayers,0))),"")</f>
        <v>0.87287760000000014</v>
      </c>
      <c r="J3" s="126">
        <f t="shared" ref="J3:J12" si="1">IFERROR(1/(1-_xlfn.POISSON.DIST(D3,G3,1)),"")</f>
        <v>2.0147917932483401</v>
      </c>
      <c r="K3" s="126">
        <f t="shared" ref="K3:K12" si="2">IFERROR(1/(1-_xlfn.POISSON.DIST(D3,H3,1)),"")</f>
        <v>1.7174685481628624</v>
      </c>
      <c r="M3" s="122">
        <f t="shared" ref="M3:M12" si="3">PRODUCT(J3:K3)</f>
        <v>3.4603415360006768</v>
      </c>
      <c r="N3" s="138">
        <f>IFERROR(INDEX(FractionalPriceLookUp,MATCH('SoT Each Half'!M3,DecimalPriceLookUp,1)),"")</f>
        <v>1.75</v>
      </c>
      <c r="P3" s="134" t="str">
        <f>IF(D3=0,CONCATENATE(B3," to have ",C3," shot on target in each half"),IF(D3=1,CONCATENATE(B3," to have ",C3," shots on target in each half")))</f>
        <v>Timo Werner to have 1+ shot on target in each half</v>
      </c>
    </row>
    <row r="4" spans="2:16" x14ac:dyDescent="0.25">
      <c r="B4" s="143" t="str">
        <f>ShotsPlayer1</f>
        <v>Timo Werner</v>
      </c>
      <c r="C4" s="115" t="s">
        <v>27</v>
      </c>
      <c r="D4" s="115">
        <f t="shared" ref="D4:D12" si="4">IFERROR(SUBSTITUTE(C4,"+","")-1,"")</f>
        <v>1</v>
      </c>
      <c r="E4" s="115">
        <f t="shared" si="0"/>
        <v>1</v>
      </c>
      <c r="G4" s="125">
        <f>IFERROR(0.44*(INDEX(ShotsRemaining,MATCH('SoT Each Half'!B4,ShotsPlayers,0))),"")</f>
        <v>0.68583240000000001</v>
      </c>
      <c r="H4" s="127">
        <f>IFERROR(0.56*(INDEX(ShotsRemaining,MATCH('SoT Each Half'!B4,ShotsPlayers,0))),"")</f>
        <v>0.87287760000000014</v>
      </c>
      <c r="J4" s="126">
        <f t="shared" si="1"/>
        <v>6.6271051753906951</v>
      </c>
      <c r="K4" s="126">
        <f t="shared" si="2"/>
        <v>4.5953838768016331</v>
      </c>
      <c r="M4" s="125">
        <f t="shared" si="3"/>
        <v>30.454092272859057</v>
      </c>
      <c r="N4" s="139">
        <f>IFERROR(INDEX(FractionalPriceLookUp,MATCH('SoT Each Half'!M4,DecimalPriceLookUp,1)),"")</f>
        <v>20</v>
      </c>
      <c r="P4" s="135" t="str">
        <f t="shared" ref="P4:P12" si="5">IF(D4=0,CONCATENATE(B4," to have ",C4," shot on target in each half"),IF(D4=1,CONCATENATE(B4," to have ",C4," shots on target in each half")))</f>
        <v>Timo Werner to have 2+ shots on target in each half</v>
      </c>
    </row>
    <row r="5" spans="2:16" x14ac:dyDescent="0.25">
      <c r="B5" s="143" t="str">
        <f>ShotsPlayer2</f>
        <v>Tammy Abraham</v>
      </c>
      <c r="C5" s="115" t="s">
        <v>26</v>
      </c>
      <c r="D5" s="115">
        <f t="shared" si="4"/>
        <v>0</v>
      </c>
      <c r="E5" s="115">
        <f t="shared" si="0"/>
        <v>1</v>
      </c>
      <c r="G5" s="125">
        <f>IFERROR(0.44*(INDEX(ShotsRemaining,MATCH('SoT Each Half'!B5,ShotsPlayers,0))),"")</f>
        <v>0.78419879999999997</v>
      </c>
      <c r="H5" s="127">
        <f>IFERROR(0.56*(INDEX(ShotsRemaining,MATCH('SoT Each Half'!B5,ShotsPlayers,0))),"")</f>
        <v>0.99807120000000016</v>
      </c>
      <c r="J5" s="126">
        <f t="shared" si="1"/>
        <v>1.8398766105893827</v>
      </c>
      <c r="K5" s="126">
        <f t="shared" si="2"/>
        <v>1.5837562152318168</v>
      </c>
      <c r="M5" s="125">
        <f t="shared" si="3"/>
        <v>2.913916017280584</v>
      </c>
      <c r="N5" s="139">
        <f>IFERROR(INDEX(FractionalPriceLookUp,MATCH('SoT Each Half'!M5,DecimalPriceLookUp,1)),"")</f>
        <v>1.375</v>
      </c>
      <c r="P5" s="135" t="str">
        <f t="shared" si="5"/>
        <v>Tammy Abraham to have 1+ shot on target in each half</v>
      </c>
    </row>
    <row r="6" spans="2:16" x14ac:dyDescent="0.25">
      <c r="B6" s="143" t="str">
        <f>ShotsPlayer2</f>
        <v>Tammy Abraham</v>
      </c>
      <c r="C6" s="115" t="s">
        <v>27</v>
      </c>
      <c r="D6" s="115">
        <f t="shared" si="4"/>
        <v>1</v>
      </c>
      <c r="E6" s="115">
        <f t="shared" si="0"/>
        <v>1</v>
      </c>
      <c r="G6" s="125">
        <f>IFERROR(0.44*(INDEX(ShotsRemaining,MATCH('SoT Each Half'!B6,ShotsPlayers,0))),"")</f>
        <v>0.78419879999999997</v>
      </c>
      <c r="H6" s="127">
        <f>IFERROR(0.56*(INDEX(ShotsRemaining,MATCH('SoT Each Half'!B6,ShotsPlayers,0))),"")</f>
        <v>0.99807120000000016</v>
      </c>
      <c r="J6" s="126">
        <f t="shared" si="1"/>
        <v>5.3896881716205138</v>
      </c>
      <c r="K6" s="126">
        <f t="shared" si="2"/>
        <v>3.7946120361406903</v>
      </c>
      <c r="M6" s="125">
        <f t="shared" si="3"/>
        <v>20.451775607076311</v>
      </c>
      <c r="N6" s="139">
        <f>IFERROR(INDEX(FractionalPriceLookUp,MATCH('SoT Each Half'!M6,DecimalPriceLookUp,1)),"")</f>
        <v>12</v>
      </c>
      <c r="P6" s="135" t="str">
        <f t="shared" si="5"/>
        <v>Tammy Abraham to have 2+ shots on target in each half</v>
      </c>
    </row>
    <row r="7" spans="2:16" x14ac:dyDescent="0.25">
      <c r="B7" s="143" t="str">
        <f>ShotsPlayer3</f>
        <v>Hakim Ziyech</v>
      </c>
      <c r="C7" s="115" t="s">
        <v>26</v>
      </c>
      <c r="D7" s="115">
        <f t="shared" si="4"/>
        <v>0</v>
      </c>
      <c r="E7" s="115">
        <f t="shared" si="0"/>
        <v>1</v>
      </c>
      <c r="G7" s="125">
        <f>IFERROR(0.44*(INDEX(ShotsRemaining,MATCH('SoT Each Half'!B7,ShotsPlayers,0))),"")</f>
        <v>0.62571960000000004</v>
      </c>
      <c r="H7" s="127">
        <f>IFERROR(0.56*(INDEX(ShotsRemaining,MATCH('SoT Each Half'!B7,ShotsPlayers,0))),"")</f>
        <v>0.79637040000000014</v>
      </c>
      <c r="J7" s="126">
        <f t="shared" si="1"/>
        <v>2.1499661269332244</v>
      </c>
      <c r="K7" s="126">
        <f t="shared" si="2"/>
        <v>1.8213702487961736</v>
      </c>
      <c r="M7" s="125">
        <f t="shared" si="3"/>
        <v>3.9158843395157126</v>
      </c>
      <c r="N7" s="139">
        <f>IFERROR(INDEX(FractionalPriceLookUp,MATCH('SoT Each Half'!M7,DecimalPriceLookUp,1)),"")</f>
        <v>2</v>
      </c>
      <c r="P7" s="135" t="str">
        <f t="shared" si="5"/>
        <v>Hakim Ziyech to have 1+ shot on target in each half</v>
      </c>
    </row>
    <row r="8" spans="2:16" x14ac:dyDescent="0.25">
      <c r="B8" s="143" t="str">
        <f>ShotsPlayer3</f>
        <v>Hakim Ziyech</v>
      </c>
      <c r="C8" s="115" t="s">
        <v>27</v>
      </c>
      <c r="D8" s="115">
        <f t="shared" si="4"/>
        <v>1</v>
      </c>
      <c r="E8" s="115">
        <f t="shared" si="0"/>
        <v>1</v>
      </c>
      <c r="G8" s="125">
        <f>IFERROR(0.44*(INDEX(ShotsRemaining,MATCH('SoT Each Half'!B8,ShotsPlayers,0))),"")</f>
        <v>0.62571960000000004</v>
      </c>
      <c r="H8" s="127">
        <f>IFERROR(0.56*(INDEX(ShotsRemaining,MATCH('SoT Each Half'!B8,ShotsPlayers,0))),"")</f>
        <v>0.79637040000000014</v>
      </c>
      <c r="J8" s="126">
        <f t="shared" si="1"/>
        <v>7.6663033314582361</v>
      </c>
      <c r="K8" s="126">
        <f t="shared" si="2"/>
        <v>5.2658253591991837</v>
      </c>
      <c r="M8" s="125">
        <f t="shared" si="3"/>
        <v>40.369414494105968</v>
      </c>
      <c r="N8" s="139">
        <f>IFERROR(INDEX(FractionalPriceLookUp,MATCH('SoT Each Half'!M8,DecimalPriceLookUp,1)),"")</f>
        <v>25</v>
      </c>
      <c r="P8" s="135" t="str">
        <f t="shared" si="5"/>
        <v>Hakim Ziyech to have 2+ shots on target in each half</v>
      </c>
    </row>
    <row r="9" spans="2:16" x14ac:dyDescent="0.25">
      <c r="B9" s="143" t="str">
        <f>ShotsPlayer6</f>
        <v>Patrick Bamford</v>
      </c>
      <c r="C9" s="115" t="s">
        <v>26</v>
      </c>
      <c r="D9" s="115">
        <f t="shared" si="4"/>
        <v>0</v>
      </c>
      <c r="E9" s="115">
        <f t="shared" si="0"/>
        <v>1</v>
      </c>
      <c r="G9" s="125">
        <f>IFERROR(0.44*(INDEX(ShotsRemaining,MATCH('SoT Each Half'!B9,ShotsPlayers,0))),"")</f>
        <v>0.42965120000000001</v>
      </c>
      <c r="H9" s="127">
        <f>IFERROR(0.56*(INDEX(ShotsRemaining,MATCH('SoT Each Half'!B9,ShotsPlayers,0))),"")</f>
        <v>0.54682880000000011</v>
      </c>
      <c r="J9" s="126">
        <f t="shared" si="1"/>
        <v>2.8631639426112248</v>
      </c>
      <c r="K9" s="126">
        <f t="shared" si="2"/>
        <v>2.3740694885199631</v>
      </c>
      <c r="M9" s="125">
        <f t="shared" si="3"/>
        <v>6.797350156783831</v>
      </c>
      <c r="N9" s="139">
        <f>IFERROR(INDEX(FractionalPriceLookUp,MATCH('SoT Each Half'!M9,DecimalPriceLookUp,1)),"")</f>
        <v>4.5</v>
      </c>
      <c r="P9" s="135" t="str">
        <f t="shared" si="5"/>
        <v>Patrick Bamford to have 1+ shot on target in each half</v>
      </c>
    </row>
    <row r="10" spans="2:16" x14ac:dyDescent="0.25">
      <c r="B10" s="143" t="str">
        <f>ShotsPlayer6</f>
        <v>Patrick Bamford</v>
      </c>
      <c r="C10" s="115" t="s">
        <v>27</v>
      </c>
      <c r="D10" s="115">
        <f t="shared" si="4"/>
        <v>1</v>
      </c>
      <c r="E10" s="115">
        <f t="shared" si="0"/>
        <v>1</v>
      </c>
      <c r="G10" s="125">
        <f>IFERROR(0.44*(INDEX(ShotsRemaining,MATCH('SoT Each Half'!B10,ShotsPlayers,0))),"")</f>
        <v>0.42965120000000001</v>
      </c>
      <c r="H10" s="127">
        <f>IFERROR(0.56*(INDEX(ShotsRemaining,MATCH('SoT Each Half'!B10,ShotsPlayers,0))),"")</f>
        <v>0.54682880000000011</v>
      </c>
      <c r="J10" s="126">
        <f t="shared" si="1"/>
        <v>14.352463255358872</v>
      </c>
      <c r="K10" s="126">
        <f t="shared" si="2"/>
        <v>9.5490179258237262</v>
      </c>
      <c r="M10" s="125">
        <f t="shared" si="3"/>
        <v>137.05192890514823</v>
      </c>
      <c r="N10" s="139">
        <f>IFERROR(INDEX(FractionalPriceLookUp,MATCH('SoT Each Half'!M10,DecimalPriceLookUp,1)),"")</f>
        <v>80</v>
      </c>
      <c r="P10" s="135" t="str">
        <f t="shared" si="5"/>
        <v>Patrick Bamford to have 2+ shots on target in each half</v>
      </c>
    </row>
    <row r="11" spans="2:16" x14ac:dyDescent="0.25">
      <c r="B11" s="143" t="str">
        <f>ShotsPlayer7</f>
        <v>Raphinha</v>
      </c>
      <c r="C11" s="115" t="s">
        <v>26</v>
      </c>
      <c r="D11" s="115">
        <f t="shared" si="4"/>
        <v>0</v>
      </c>
      <c r="E11" s="115">
        <f t="shared" si="0"/>
        <v>1</v>
      </c>
      <c r="G11" s="125">
        <f>IFERROR(0.44*(INDEX(ShotsRemaining,MATCH('SoT Each Half'!B11,ShotsPlayers,0))),"")</f>
        <v>0.31591999999999998</v>
      </c>
      <c r="H11" s="127">
        <f>IFERROR(0.56*(INDEX(ShotsRemaining,MATCH('SoT Each Half'!B11,ShotsPlayers,0))),"")</f>
        <v>0.40208000000000005</v>
      </c>
      <c r="J11" s="126">
        <f t="shared" si="1"/>
        <v>3.691641296622135</v>
      </c>
      <c r="K11" s="126">
        <f t="shared" si="2"/>
        <v>3.02048398030814</v>
      </c>
      <c r="M11" s="125">
        <f t="shared" si="3"/>
        <v>11.150543397491129</v>
      </c>
      <c r="N11" s="139">
        <f>IFERROR(INDEX(FractionalPriceLookUp,MATCH('SoT Each Half'!M11,DecimalPriceLookUp,1)),"")</f>
        <v>7.5</v>
      </c>
      <c r="P11" s="135" t="str">
        <f t="shared" si="5"/>
        <v>Raphinha to have 1+ shot on target in each half</v>
      </c>
    </row>
    <row r="12" spans="2:16" x14ac:dyDescent="0.25">
      <c r="B12" s="143" t="str">
        <f>ShotsPlayer7</f>
        <v>Raphinha</v>
      </c>
      <c r="C12" s="115" t="s">
        <v>27</v>
      </c>
      <c r="D12" s="115">
        <f t="shared" si="4"/>
        <v>1</v>
      </c>
      <c r="E12" s="115">
        <f t="shared" si="0"/>
        <v>1</v>
      </c>
      <c r="G12" s="125">
        <f>IFERROR(0.44*(INDEX(ShotsRemaining,MATCH('SoT Each Half'!B12,ShotsPlayers,0))),"")</f>
        <v>0.31591999999999998</v>
      </c>
      <c r="H12" s="127">
        <f>IFERROR(0.56*(INDEX(ShotsRemaining,MATCH('SoT Each Half'!B12,ShotsPlayers,0))),"")</f>
        <v>0.40208000000000005</v>
      </c>
      <c r="J12" s="126">
        <f t="shared" si="1"/>
        <v>24.667400465293724</v>
      </c>
      <c r="K12" s="126">
        <f t="shared" si="2"/>
        <v>16.100334646871357</v>
      </c>
      <c r="M12" s="125">
        <f t="shared" si="3"/>
        <v>397.15340235961918</v>
      </c>
      <c r="N12" s="139">
        <f>IFERROR(INDEX(FractionalPriceLookUp,MATCH('SoT Each Half'!M12,DecimalPriceLookUp,1)),"")</f>
        <v>200</v>
      </c>
      <c r="P12" s="135" t="str">
        <f t="shared" si="5"/>
        <v>Raphinha to have 2+ shots on target in each half</v>
      </c>
    </row>
    <row r="13" spans="2:16" x14ac:dyDescent="0.25">
      <c r="B13" s="143" t="str">
        <f>ShotsPlayer8</f>
        <v>Mateusz Klich</v>
      </c>
      <c r="C13" s="115" t="s">
        <v>26</v>
      </c>
      <c r="D13" s="115">
        <f t="shared" ref="D13:D14" si="6">IFERROR(SUBSTITUTE(C13,"+","")-1,"")</f>
        <v>0</v>
      </c>
      <c r="E13" s="115">
        <f t="shared" ref="E13:E14" si="7">COUNTA(B13:B13)</f>
        <v>1</v>
      </c>
      <c r="G13" s="125">
        <f>IFERROR(0.44*(INDEX(ShotsRemaining,MATCH('SoT Each Half'!B13,ShotsPlayers,0))),"")</f>
        <v>0.1863928</v>
      </c>
      <c r="H13" s="127">
        <f>IFERROR(0.56*(INDEX(ShotsRemaining,MATCH('SoT Each Half'!B13,ShotsPlayers,0))),"")</f>
        <v>0.23722720000000003</v>
      </c>
      <c r="J13" s="126">
        <f t="shared" ref="J13:J14" si="8">IFERROR(1/(1-_xlfn.POISSON.DIST(D13,G13,1)),"")</f>
        <v>5.8805378459819959</v>
      </c>
      <c r="K13" s="126">
        <f t="shared" ref="K13:K14" si="9">IFERROR(1/(1-_xlfn.POISSON.DIST(D13,H13,1)),"")</f>
        <v>4.7351186368015377</v>
      </c>
      <c r="M13" s="125">
        <f t="shared" ref="M13:M14" si="10">PRODUCT(J13:K13)</f>
        <v>27.84504434892612</v>
      </c>
      <c r="N13" s="139">
        <f>IFERROR(INDEX(FractionalPriceLookUp,MATCH('SoT Each Half'!M13,DecimalPriceLookUp,1)),"")</f>
        <v>18</v>
      </c>
      <c r="P13" s="135" t="str">
        <f t="shared" ref="P13:P14" si="11">IF(D13=0,CONCATENATE(B13," to have ",C13," shot on target in each half"),IF(D13=1,CONCATENATE(B13," to have ",C13," shots on target in each half")))</f>
        <v>Mateusz Klich to have 1+ shot on target in each half</v>
      </c>
    </row>
    <row r="14" spans="2:16" x14ac:dyDescent="0.25">
      <c r="B14" s="143" t="str">
        <f>ShotsPlayer8</f>
        <v>Mateusz Klich</v>
      </c>
      <c r="C14" s="115" t="s">
        <v>27</v>
      </c>
      <c r="D14" s="115">
        <f t="shared" si="6"/>
        <v>1</v>
      </c>
      <c r="E14" s="115">
        <f t="shared" si="7"/>
        <v>1</v>
      </c>
      <c r="G14" s="125">
        <f>IFERROR(0.44*(INDEX(ShotsRemaining,MATCH('SoT Each Half'!B14,ShotsPlayers,0))),"")</f>
        <v>0.1863928</v>
      </c>
      <c r="H14" s="127">
        <f>IFERROR(0.56*(INDEX(ShotsRemaining,MATCH('SoT Each Half'!B14,ShotsPlayers,0))),"")</f>
        <v>0.23722720000000003</v>
      </c>
      <c r="J14" s="126">
        <f t="shared" si="8"/>
        <v>65.120154479473342</v>
      </c>
      <c r="K14" s="126">
        <f t="shared" si="9"/>
        <v>41.562281960673303</v>
      </c>
      <c r="M14" s="128">
        <f t="shared" si="10"/>
        <v>2706.5422217984737</v>
      </c>
      <c r="N14" s="140">
        <f>IFERROR(INDEX(FractionalPriceLookUp,MATCH('SoT Each Half'!M14,DecimalPriceLookUp,1)),"")</f>
        <v>1000</v>
      </c>
      <c r="P14" s="136" t="str">
        <f t="shared" si="11"/>
        <v>Mateusz Klich to have 2+ shots on target in each half</v>
      </c>
    </row>
  </sheetData>
  <sheetProtection sheet="1" objects="1" scenarios="1"/>
  <dataValidations count="1">
    <dataValidation type="list" allowBlank="1" showInputMessage="1" showErrorMessage="1" sqref="C3:C14" xr:uid="{00000000-0002-0000-0500-000000000000}">
      <formula1>SoT_Totals_List</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B2:AQ28"/>
  <sheetViews>
    <sheetView workbookViewId="0">
      <selection activeCell="V30" sqref="V30"/>
    </sheetView>
  </sheetViews>
  <sheetFormatPr defaultColWidth="9.140625" defaultRowHeight="15" x14ac:dyDescent="0.25"/>
  <cols>
    <col min="1" max="1" width="2.7109375" style="10" customWidth="1"/>
    <col min="2" max="3" width="20.7109375" style="10" customWidth="1"/>
    <col min="4" max="4" width="15" style="160" customWidth="1"/>
    <col min="5" max="6" width="15" style="10" hidden="1" customWidth="1"/>
    <col min="7" max="7" width="2.7109375" style="10" customWidth="1"/>
    <col min="8" max="8" width="61.7109375" style="10" hidden="1" customWidth="1"/>
    <col min="9" max="9" width="2.7109375" style="10" hidden="1" customWidth="1"/>
    <col min="10" max="12" width="9.140625" style="10" hidden="1" customWidth="1"/>
    <col min="13" max="13" width="2.7109375" style="10" hidden="1" customWidth="1"/>
    <col min="14" max="15" width="9" style="10" hidden="1" customWidth="1"/>
    <col min="16" max="16" width="2.7109375" style="10" hidden="1" customWidth="1"/>
    <col min="17" max="18" width="9.140625" style="10" hidden="1" customWidth="1"/>
    <col min="19" max="19" width="2.7109375" style="10" hidden="1" customWidth="1"/>
    <col min="20" max="21" width="20.7109375" style="10" customWidth="1"/>
    <col min="22" max="22" width="15" style="10" customWidth="1"/>
    <col min="23" max="24" width="15" style="10" hidden="1" customWidth="1"/>
    <col min="25" max="25" width="2.7109375" style="10" customWidth="1"/>
    <col min="26" max="26" width="61.7109375" style="10" hidden="1" customWidth="1"/>
    <col min="27" max="27" width="2.7109375" style="10" hidden="1" customWidth="1"/>
    <col min="28" max="29" width="9.140625" style="10" hidden="1" customWidth="1"/>
    <col min="30" max="30" width="2.7109375" style="10" hidden="1" customWidth="1"/>
    <col min="31" max="32" width="9.140625" style="10" hidden="1" customWidth="1"/>
    <col min="33" max="33" width="2.7109375" style="10" hidden="1" customWidth="1"/>
    <col min="34" max="36" width="9.140625" style="10" hidden="1" customWidth="1"/>
    <col min="37" max="37" width="2.7109375" style="10" hidden="1" customWidth="1"/>
    <col min="38" max="39" width="11.7109375" style="10" customWidth="1"/>
    <col min="40" max="40" width="2.7109375" style="10" customWidth="1"/>
    <col min="41" max="41" width="111.85546875" style="10" bestFit="1" customWidth="1"/>
    <col min="42" max="42" width="2.7109375" style="10" customWidth="1"/>
    <col min="43" max="43" width="0" style="10" hidden="1" customWidth="1"/>
    <col min="44" max="16384" width="9.140625" style="10"/>
  </cols>
  <sheetData>
    <row r="2" spans="2:43" x14ac:dyDescent="0.25">
      <c r="B2" s="161" t="s">
        <v>17</v>
      </c>
      <c r="C2" s="162" t="s">
        <v>18</v>
      </c>
      <c r="D2" s="163" t="s">
        <v>151</v>
      </c>
      <c r="E2" s="164" t="s">
        <v>66</v>
      </c>
      <c r="F2" s="165" t="s">
        <v>160</v>
      </c>
      <c r="G2" s="166"/>
      <c r="H2" s="167" t="s">
        <v>167</v>
      </c>
      <c r="I2" s="166"/>
      <c r="J2" s="98" t="s">
        <v>161</v>
      </c>
      <c r="K2" s="191" t="s">
        <v>162</v>
      </c>
      <c r="L2" s="97" t="s">
        <v>143</v>
      </c>
      <c r="M2" s="166"/>
      <c r="N2" s="168" t="s">
        <v>152</v>
      </c>
      <c r="O2" s="169" t="s">
        <v>153</v>
      </c>
      <c r="P2" s="166"/>
      <c r="Q2" s="168" t="s">
        <v>156</v>
      </c>
      <c r="R2" s="169" t="s">
        <v>157</v>
      </c>
      <c r="S2" s="166"/>
      <c r="T2" s="170" t="s">
        <v>17</v>
      </c>
      <c r="U2" s="171" t="s">
        <v>18</v>
      </c>
      <c r="V2" s="163" t="s">
        <v>138</v>
      </c>
      <c r="W2" s="164" t="s">
        <v>66</v>
      </c>
      <c r="X2" s="165" t="s">
        <v>160</v>
      </c>
      <c r="Y2" s="166"/>
      <c r="Z2" s="167" t="s">
        <v>167</v>
      </c>
      <c r="AA2" s="166"/>
      <c r="AB2" s="168" t="s">
        <v>152</v>
      </c>
      <c r="AC2" s="169" t="s">
        <v>153</v>
      </c>
      <c r="AD2" s="166"/>
      <c r="AE2" s="168" t="s">
        <v>156</v>
      </c>
      <c r="AF2" s="169" t="s">
        <v>157</v>
      </c>
      <c r="AG2" s="166"/>
      <c r="AH2" s="98" t="s">
        <v>161</v>
      </c>
      <c r="AI2" s="191" t="s">
        <v>162</v>
      </c>
      <c r="AJ2" s="97" t="s">
        <v>143</v>
      </c>
      <c r="AK2" s="166"/>
      <c r="AL2" s="168" t="s">
        <v>57</v>
      </c>
      <c r="AM2" s="169" t="s">
        <v>58</v>
      </c>
      <c r="AN2" s="166"/>
      <c r="AO2" s="167" t="s">
        <v>60</v>
      </c>
      <c r="AQ2" s="97" t="s">
        <v>143</v>
      </c>
    </row>
    <row r="3" spans="2:43" x14ac:dyDescent="0.25">
      <c r="B3" s="172" t="str">
        <f>ShotsPlayer1</f>
        <v>Timo Werner</v>
      </c>
      <c r="C3" s="173"/>
      <c r="D3" s="174" t="s">
        <v>28</v>
      </c>
      <c r="E3" s="175">
        <f>IFERROR(SUBSTITUTE(D3,"+","")-1,"")</f>
        <v>2</v>
      </c>
      <c r="F3" s="175">
        <f t="shared" ref="F3:F20" si="0">COUNTA(B3,C3)</f>
        <v>1</v>
      </c>
      <c r="G3" s="166"/>
      <c r="H3" s="176" t="str">
        <f t="shared" ref="H3:H20" si="1">IF(F3=2,CONCATENATE(B3," &amp; ",C3," ",D3," shots on target each "),IF(F3=1,CONCATENATE(B3," ",D3," shots on target ")))</f>
        <v xml:space="preserve">Timo Werner 3+ shots on target </v>
      </c>
      <c r="I3" s="166"/>
      <c r="J3" s="181">
        <f>INDEX(Resulting_Shots_Totals,MATCH('Stats RABs'!B3,Resulting_Shots_Players,0))</f>
        <v>0</v>
      </c>
      <c r="K3" s="189">
        <f>INDEX(Resulting_Shots_Totals,MATCH('Stats RABs'!C3,Resulting_Shots_Players,0))</f>
        <v>0</v>
      </c>
      <c r="L3" s="182" t="str">
        <f>IF(OR(J3="V",K3="V"),"V",IF(F3=2,IF(AND(J3&gt;E3,K3&gt;E3),"W","L"),IF(F3=1,IF(J3&gt;E3,"W","L"))))</f>
        <v>L</v>
      </c>
      <c r="M3" s="166"/>
      <c r="N3" s="177">
        <f t="shared" ref="N3:N20" si="2">IFERROR(INDEX(ShotsRemaining,MATCH(B3,ShotsPlayers,0)),"")</f>
        <v>1.55871</v>
      </c>
      <c r="O3" s="178" t="str">
        <f t="shared" ref="O3:O20" si="3">IFERROR(INDEX(ShotsRemaining,MATCH(C3,ShotsPlayers,0)),"")</f>
        <v/>
      </c>
      <c r="P3" s="166"/>
      <c r="Q3" s="177">
        <f>IFERROR(1/(1-_xlfn.POISSON.DIST(E3,N3,1)),"")</f>
        <v>4.8537020980219205</v>
      </c>
      <c r="R3" s="178" t="str">
        <f>IFERROR(1/(1-_xlfn.POISSON.DIST(E3,O3,1)),"")</f>
        <v/>
      </c>
      <c r="S3" s="166"/>
      <c r="T3" s="172" t="str">
        <f>TacklesPlayer1</f>
        <v>N'Golo Kante</v>
      </c>
      <c r="U3" s="173"/>
      <c r="V3" s="174" t="s">
        <v>28</v>
      </c>
      <c r="W3" s="175">
        <f>IFERROR(SUBSTITUTE(V3,"+","")-1,"")</f>
        <v>2</v>
      </c>
      <c r="X3" s="175">
        <f t="shared" ref="X3:X20" si="4">COUNTA(T3,U3)</f>
        <v>1</v>
      </c>
      <c r="Y3" s="166"/>
      <c r="Z3" s="176" t="str">
        <f>IF(X3=2,CONCATENATE(T3," &amp; ",U3," ",V3," tackles each "),IF(X3=1,CONCATENATE(T3," ",V3," tackles")))</f>
        <v>N'Golo Kante 3+ tackles</v>
      </c>
      <c r="AA3" s="166"/>
      <c r="AB3" s="177">
        <f t="shared" ref="AB3:AB20" si="5">IFERROR(INDEX(TacklesRemaining,MATCH(T3,TacklesPlayers,0)),"")</f>
        <v>2.2385999999999999</v>
      </c>
      <c r="AC3" s="178" t="str">
        <f t="shared" ref="AC3:AC20" si="6">IFERROR(INDEX(TacklesRemaining,MATCH(U3,TacklesPlayers,0)),"")</f>
        <v/>
      </c>
      <c r="AD3" s="166"/>
      <c r="AE3" s="177">
        <f>IFERROR(1/(1-_xlfn.POISSON.DIST(W3,AB3,1)),"")</f>
        <v>2.5798635079595975</v>
      </c>
      <c r="AF3" s="178" t="str">
        <f>IFERROR(1/(1-_xlfn.POISSON.DIST(W3,AC3,1)),"")</f>
        <v/>
      </c>
      <c r="AG3" s="166"/>
      <c r="AH3" s="181">
        <f>INDEX(Resulting_Tackles_Totals,MATCH('Stats RABs'!T3,Resulting_Tackles_Players,0))</f>
        <v>0</v>
      </c>
      <c r="AI3" s="189">
        <f>INDEX(Resulting_Tackles_Totals,MATCH('Stats RABs'!U3,Resulting_Tackles_Players,0))</f>
        <v>0</v>
      </c>
      <c r="AJ3" s="182" t="str">
        <f>IF(OR(AH3="V",AI3="V"),"V",IF(F3=2,IF(AND(AH3&gt;E3,AI3&gt;E3),"W","L"),IF(F3=1,IF(AH3&gt;E3,"W","L"))))</f>
        <v>L</v>
      </c>
      <c r="AK3" s="166"/>
      <c r="AL3" s="177">
        <f t="shared" ref="AL3:AL20" si="7">PRODUCT(Q3:R3)*PRODUCT(AE3:AF3)</f>
        <v>12.521888921193691</v>
      </c>
      <c r="AM3" s="179">
        <f>IFERROR(INDEX(FractionalPriceLookUp,MATCH('Stats RABs'!AL3,DecimalPriceLookUp,1)),"")</f>
        <v>8</v>
      </c>
      <c r="AN3" s="166"/>
      <c r="AO3" s="176" t="str">
        <f t="shared" ref="AO3:AO20" si="8">H3&amp;"and "&amp;Z3</f>
        <v>Timo Werner 3+ shots on target and N'Golo Kante 3+ tackles</v>
      </c>
      <c r="AQ3" s="182" t="str">
        <f t="shared" ref="AQ3:AQ20" si="9">IF(OR(L3="V",AJ3="V"),"V",IF(AND(L3="W",AJ3="W"),"W","L"))</f>
        <v>L</v>
      </c>
    </row>
    <row r="4" spans="2:43" x14ac:dyDescent="0.25">
      <c r="B4" s="172" t="str">
        <f>ShotsPlayer2</f>
        <v>Tammy Abraham</v>
      </c>
      <c r="C4" s="173"/>
      <c r="D4" s="174" t="s">
        <v>27</v>
      </c>
      <c r="E4" s="175">
        <f t="shared" ref="E4:E12" si="10">IFERROR(SUBSTITUTE(D4,"+","")-1,"")</f>
        <v>1</v>
      </c>
      <c r="F4" s="175">
        <f t="shared" si="0"/>
        <v>1</v>
      </c>
      <c r="G4" s="166"/>
      <c r="H4" s="180" t="str">
        <f t="shared" si="1"/>
        <v xml:space="preserve">Tammy Abraham 2+ shots on target </v>
      </c>
      <c r="I4" s="166"/>
      <c r="J4" s="181">
        <f>INDEX(Resulting_Shots_Totals,MATCH('Stats RABs'!B4,Resulting_Shots_Players,0))</f>
        <v>0</v>
      </c>
      <c r="K4" s="189">
        <f>INDEX(Resulting_Shots_Totals,MATCH('Stats RABs'!C4,Resulting_Shots_Players,0))</f>
        <v>0</v>
      </c>
      <c r="L4" s="182" t="str">
        <f t="shared" ref="L4:L20" si="11">IF(OR(J4="V",K4="V"),"V",IF(F4=2,IF(AND(J4&gt;E4,K4&gt;E4),"W","L"),IF(F4=1,IF(J4&gt;E4,"W","L"))))</f>
        <v>L</v>
      </c>
      <c r="M4" s="166"/>
      <c r="N4" s="181">
        <f t="shared" si="2"/>
        <v>1.78227</v>
      </c>
      <c r="O4" s="182" t="str">
        <f t="shared" si="3"/>
        <v/>
      </c>
      <c r="P4" s="166"/>
      <c r="Q4" s="181">
        <f>IFERROR(1/(1-_xlfn.POISSON.DIST(E4,N4,1)),"")</f>
        <v>1.8801692518452295</v>
      </c>
      <c r="R4" s="182" t="str">
        <f t="shared" ref="R4:R12" si="12">IFERROR(1/(1-_xlfn.POISSON.DIST(E4,O4,1)),"")</f>
        <v/>
      </c>
      <c r="S4" s="166"/>
      <c r="T4" s="172" t="str">
        <f>TacklesPlayer2</f>
        <v>Reece James</v>
      </c>
      <c r="U4" s="173"/>
      <c r="V4" s="174" t="s">
        <v>28</v>
      </c>
      <c r="W4" s="175">
        <f t="shared" ref="W4:W12" si="13">IFERROR(SUBSTITUTE(V4,"+","")-1,"")</f>
        <v>2</v>
      </c>
      <c r="X4" s="175">
        <f t="shared" si="4"/>
        <v>1</v>
      </c>
      <c r="Y4" s="166"/>
      <c r="Z4" s="176" t="str">
        <f t="shared" ref="Z4:Z20" si="14">IF(X4=2,CONCATENATE(T4," &amp; ",U4," ",V4," tackles each "),IF(X4=1,CONCATENATE(T4," ",V4," tackles")))</f>
        <v>Reece James 3+ tackles</v>
      </c>
      <c r="AA4" s="166"/>
      <c r="AB4" s="181">
        <f t="shared" si="5"/>
        <v>2.2385999999999999</v>
      </c>
      <c r="AC4" s="182" t="str">
        <f t="shared" si="6"/>
        <v/>
      </c>
      <c r="AD4" s="166"/>
      <c r="AE4" s="181">
        <f t="shared" ref="AE4:AE12" si="15">IFERROR(1/(1-_xlfn.POISSON.DIST(W4,AB4,1)),"")</f>
        <v>2.5798635079595975</v>
      </c>
      <c r="AF4" s="182" t="str">
        <f t="shared" ref="AF4:AF12" si="16">IFERROR(1/(1-_xlfn.POISSON.DIST(W4,AC4,1)),"")</f>
        <v/>
      </c>
      <c r="AG4" s="166"/>
      <c r="AH4" s="181">
        <f>INDEX(Resulting_Tackles_Totals,MATCH('Stats RABs'!T4,Resulting_Tackles_Players,0))</f>
        <v>0</v>
      </c>
      <c r="AI4" s="189">
        <f>INDEX(Resulting_Tackles_Totals,MATCH('Stats RABs'!U4,Resulting_Tackles_Players,0))</f>
        <v>0</v>
      </c>
      <c r="AJ4" s="182" t="str">
        <f t="shared" ref="AJ4:AJ20" si="17">IF(OR(AH4="V",AI4="V"),"V",IF(F4=2,IF(AND(AH4&gt;E4,AI4&gt;E4),"W","L"),IF(F4=1,IF(AH4&gt;E4,"W","L"))))</f>
        <v>L</v>
      </c>
      <c r="AK4" s="166"/>
      <c r="AL4" s="181">
        <f t="shared" si="7"/>
        <v>4.8505800416232061</v>
      </c>
      <c r="AM4" s="183">
        <f>IFERROR(INDEX(FractionalPriceLookUp,MATCH('Stats RABs'!AL4,DecimalPriceLookUp,1)),"")</f>
        <v>2.75</v>
      </c>
      <c r="AN4" s="166"/>
      <c r="AO4" s="180" t="str">
        <f t="shared" si="8"/>
        <v>Tammy Abraham 2+ shots on target and Reece James 3+ tackles</v>
      </c>
      <c r="AQ4" s="182" t="str">
        <f t="shared" si="9"/>
        <v>L</v>
      </c>
    </row>
    <row r="5" spans="2:43" x14ac:dyDescent="0.25">
      <c r="B5" s="172" t="str">
        <f>ShotsPlayer6</f>
        <v>Patrick Bamford</v>
      </c>
      <c r="C5" s="173"/>
      <c r="D5" s="174" t="s">
        <v>27</v>
      </c>
      <c r="E5" s="175">
        <f t="shared" si="10"/>
        <v>1</v>
      </c>
      <c r="F5" s="175">
        <f t="shared" si="0"/>
        <v>1</v>
      </c>
      <c r="G5" s="166"/>
      <c r="H5" s="180" t="str">
        <f t="shared" si="1"/>
        <v xml:space="preserve">Patrick Bamford 2+ shots on target </v>
      </c>
      <c r="I5" s="166"/>
      <c r="J5" s="181">
        <f>INDEX(Resulting_Shots_Totals,MATCH('Stats RABs'!B5,Resulting_Shots_Players,0))</f>
        <v>0</v>
      </c>
      <c r="K5" s="189">
        <f>INDEX(Resulting_Shots_Totals,MATCH('Stats RABs'!C5,Resulting_Shots_Players,0))</f>
        <v>0</v>
      </c>
      <c r="L5" s="182" t="str">
        <f t="shared" si="11"/>
        <v>L</v>
      </c>
      <c r="M5" s="166"/>
      <c r="N5" s="181">
        <f t="shared" si="2"/>
        <v>0.97648000000000001</v>
      </c>
      <c r="O5" s="182" t="str">
        <f t="shared" si="3"/>
        <v/>
      </c>
      <c r="P5" s="166"/>
      <c r="Q5" s="181">
        <f t="shared" ref="Q5:Q12" si="18">IFERROR(1/(1-_xlfn.POISSON.DIST(E5,N5,1)),"")</f>
        <v>3.9125253177315424</v>
      </c>
      <c r="R5" s="182" t="str">
        <f t="shared" si="12"/>
        <v/>
      </c>
      <c r="S5" s="166"/>
      <c r="T5" s="172" t="str">
        <f>TacklesPlayer6</f>
        <v>Kalvin Phillips</v>
      </c>
      <c r="U5" s="173"/>
      <c r="V5" s="174" t="s">
        <v>29</v>
      </c>
      <c r="W5" s="175">
        <f t="shared" si="13"/>
        <v>3</v>
      </c>
      <c r="X5" s="175">
        <f t="shared" si="4"/>
        <v>1</v>
      </c>
      <c r="Y5" s="166"/>
      <c r="Z5" s="176" t="str">
        <f t="shared" si="14"/>
        <v>Kalvin Phillips 4+ tackles</v>
      </c>
      <c r="AA5" s="166"/>
      <c r="AB5" s="181">
        <f t="shared" si="5"/>
        <v>2.8967000000000001</v>
      </c>
      <c r="AC5" s="182" t="str">
        <f t="shared" si="6"/>
        <v/>
      </c>
      <c r="AD5" s="166"/>
      <c r="AE5" s="181">
        <f t="shared" si="15"/>
        <v>3.0336258047893878</v>
      </c>
      <c r="AF5" s="182" t="str">
        <f t="shared" si="16"/>
        <v/>
      </c>
      <c r="AG5" s="166"/>
      <c r="AH5" s="181">
        <f>INDEX(Resulting_Tackles_Totals,MATCH('Stats RABs'!T5,Resulting_Tackles_Players,0))</f>
        <v>0</v>
      </c>
      <c r="AI5" s="189">
        <f>INDEX(Resulting_Tackles_Totals,MATCH('Stats RABs'!U5,Resulting_Tackles_Players,0))</f>
        <v>0</v>
      </c>
      <c r="AJ5" s="182" t="str">
        <f t="shared" si="17"/>
        <v>L</v>
      </c>
      <c r="AK5" s="166"/>
      <c r="AL5" s="181">
        <f t="shared" si="7"/>
        <v>11.869137765762206</v>
      </c>
      <c r="AM5" s="183">
        <f>IFERROR(INDEX(FractionalPriceLookUp,MATCH('Stats RABs'!AL5,DecimalPriceLookUp,1)),"")</f>
        <v>7.5</v>
      </c>
      <c r="AN5" s="166"/>
      <c r="AO5" s="180" t="str">
        <f t="shared" si="8"/>
        <v>Patrick Bamford 2+ shots on target and Kalvin Phillips 4+ tackles</v>
      </c>
      <c r="AQ5" s="182" t="str">
        <f t="shared" si="9"/>
        <v>L</v>
      </c>
    </row>
    <row r="6" spans="2:43" x14ac:dyDescent="0.25">
      <c r="B6" s="172" t="str">
        <f>ShotsPlayer7</f>
        <v>Raphinha</v>
      </c>
      <c r="C6" s="173"/>
      <c r="D6" s="174" t="s">
        <v>27</v>
      </c>
      <c r="E6" s="175">
        <f t="shared" si="10"/>
        <v>1</v>
      </c>
      <c r="F6" s="175">
        <f t="shared" si="0"/>
        <v>1</v>
      </c>
      <c r="G6" s="166"/>
      <c r="H6" s="180" t="str">
        <f t="shared" si="1"/>
        <v xml:space="preserve">Raphinha 2+ shots on target </v>
      </c>
      <c r="I6" s="166"/>
      <c r="J6" s="181">
        <f>INDEX(Resulting_Shots_Totals,MATCH('Stats RABs'!B6,Resulting_Shots_Players,0))</f>
        <v>0</v>
      </c>
      <c r="K6" s="189">
        <f>INDEX(Resulting_Shots_Totals,MATCH('Stats RABs'!C6,Resulting_Shots_Players,0))</f>
        <v>0</v>
      </c>
      <c r="L6" s="182" t="str">
        <f t="shared" si="11"/>
        <v>L</v>
      </c>
      <c r="M6" s="166"/>
      <c r="N6" s="181">
        <f t="shared" si="2"/>
        <v>0.71799999999999997</v>
      </c>
      <c r="O6" s="182" t="str">
        <f t="shared" si="3"/>
        <v/>
      </c>
      <c r="P6" s="166"/>
      <c r="Q6" s="181">
        <f t="shared" si="18"/>
        <v>6.1695844824140718</v>
      </c>
      <c r="R6" s="182" t="str">
        <f t="shared" si="12"/>
        <v/>
      </c>
      <c r="S6" s="166"/>
      <c r="T6" s="172" t="str">
        <f>TacklesPlayer7</f>
        <v>Stuart Dallas</v>
      </c>
      <c r="U6" s="173"/>
      <c r="V6" s="174" t="s">
        <v>27</v>
      </c>
      <c r="W6" s="175">
        <f t="shared" si="13"/>
        <v>1</v>
      </c>
      <c r="X6" s="175">
        <f t="shared" si="4"/>
        <v>1</v>
      </c>
      <c r="Y6" s="166"/>
      <c r="Z6" s="176" t="str">
        <f t="shared" si="14"/>
        <v>Stuart Dallas 2+ tackles</v>
      </c>
      <c r="AA6" s="166"/>
      <c r="AB6" s="181">
        <f t="shared" si="5"/>
        <v>2.4081000000000001</v>
      </c>
      <c r="AC6" s="182" t="str">
        <f t="shared" si="6"/>
        <v/>
      </c>
      <c r="AD6" s="166"/>
      <c r="AE6" s="181">
        <f>IFERROR(1/(1-_xlfn.POISSON.DIST(W6,AB6,1)),"")</f>
        <v>1.4423388565732393</v>
      </c>
      <c r="AF6" s="182" t="str">
        <f t="shared" si="16"/>
        <v/>
      </c>
      <c r="AG6" s="166"/>
      <c r="AH6" s="181">
        <f>INDEX(Resulting_Tackles_Totals,MATCH('Stats RABs'!T6,Resulting_Tackles_Players,0))</f>
        <v>0</v>
      </c>
      <c r="AI6" s="189">
        <f>INDEX(Resulting_Tackles_Totals,MATCH('Stats RABs'!U6,Resulting_Tackles_Players,0))</f>
        <v>0</v>
      </c>
      <c r="AJ6" s="182" t="str">
        <f t="shared" si="17"/>
        <v>L</v>
      </c>
      <c r="AK6" s="166"/>
      <c r="AL6" s="181">
        <f t="shared" si="7"/>
        <v>8.8986314278971133</v>
      </c>
      <c r="AM6" s="183">
        <f>IFERROR(INDEX(FractionalPriceLookUp,MATCH('Stats RABs'!AL6,DecimalPriceLookUp,1)),"")</f>
        <v>6</v>
      </c>
      <c r="AN6" s="166"/>
      <c r="AO6" s="180" t="str">
        <f t="shared" si="8"/>
        <v>Raphinha 2+ shots on target and Stuart Dallas 2+ tackles</v>
      </c>
      <c r="AQ6" s="182" t="str">
        <f t="shared" si="9"/>
        <v>L</v>
      </c>
    </row>
    <row r="7" spans="2:43" x14ac:dyDescent="0.25">
      <c r="B7" s="172" t="str">
        <f>ShotsPlayer1</f>
        <v>Timo Werner</v>
      </c>
      <c r="C7" s="173" t="str">
        <f>ShotsPlayer6</f>
        <v>Patrick Bamford</v>
      </c>
      <c r="D7" s="174" t="s">
        <v>27</v>
      </c>
      <c r="E7" s="175">
        <f t="shared" si="10"/>
        <v>1</v>
      </c>
      <c r="F7" s="175">
        <f t="shared" si="0"/>
        <v>2</v>
      </c>
      <c r="G7" s="166"/>
      <c r="H7" s="180" t="str">
        <f t="shared" si="1"/>
        <v xml:space="preserve">Timo Werner &amp; Patrick Bamford 2+ shots on target each </v>
      </c>
      <c r="I7" s="166"/>
      <c r="J7" s="181">
        <f>INDEX(Resulting_Shots_Totals,MATCH('Stats RABs'!B7,Resulting_Shots_Players,0))</f>
        <v>0</v>
      </c>
      <c r="K7" s="189">
        <f>INDEX(Resulting_Shots_Totals,MATCH('Stats RABs'!C7,Resulting_Shots_Players,0))</f>
        <v>0</v>
      </c>
      <c r="L7" s="182" t="str">
        <f t="shared" si="11"/>
        <v>L</v>
      </c>
      <c r="M7" s="166"/>
      <c r="N7" s="181">
        <f t="shared" si="2"/>
        <v>1.55871</v>
      </c>
      <c r="O7" s="182">
        <f t="shared" si="3"/>
        <v>0.97648000000000001</v>
      </c>
      <c r="P7" s="166"/>
      <c r="Q7" s="181">
        <f t="shared" si="18"/>
        <v>2.166243214417932</v>
      </c>
      <c r="R7" s="182">
        <f t="shared" si="12"/>
        <v>3.9125253177315424</v>
      </c>
      <c r="S7" s="166"/>
      <c r="T7" s="172" t="str">
        <f>TacklesPlayer1</f>
        <v>N'Golo Kante</v>
      </c>
      <c r="U7" s="173" t="str">
        <f>TacklesPlayer6</f>
        <v>Kalvin Phillips</v>
      </c>
      <c r="V7" s="174" t="s">
        <v>27</v>
      </c>
      <c r="W7" s="175">
        <f t="shared" si="13"/>
        <v>1</v>
      </c>
      <c r="X7" s="175">
        <f t="shared" si="4"/>
        <v>2</v>
      </c>
      <c r="Y7" s="166"/>
      <c r="Z7" s="176" t="str">
        <f t="shared" si="14"/>
        <v xml:space="preserve">N'Golo Kante &amp; Kalvin Phillips 2+ tackles each </v>
      </c>
      <c r="AA7" s="166"/>
      <c r="AB7" s="181">
        <f t="shared" si="5"/>
        <v>2.2385999999999999</v>
      </c>
      <c r="AC7" s="182">
        <f t="shared" si="6"/>
        <v>2.8967000000000001</v>
      </c>
      <c r="AD7" s="166"/>
      <c r="AE7" s="181">
        <f t="shared" si="15"/>
        <v>1.5273227441723287</v>
      </c>
      <c r="AF7" s="182">
        <f t="shared" si="16"/>
        <v>1.2740763805839932</v>
      </c>
      <c r="AG7" s="166"/>
      <c r="AH7" s="181">
        <f>INDEX(Resulting_Tackles_Totals,MATCH('Stats RABs'!T7,Resulting_Tackles_Players,0))</f>
        <v>0</v>
      </c>
      <c r="AI7" s="189">
        <f>INDEX(Resulting_Tackles_Totals,MATCH('Stats RABs'!U7,Resulting_Tackles_Players,0))</f>
        <v>0</v>
      </c>
      <c r="AJ7" s="182" t="str">
        <f t="shared" si="17"/>
        <v>L</v>
      </c>
      <c r="AK7" s="166"/>
      <c r="AL7" s="181">
        <f t="shared" si="7"/>
        <v>16.492658251243629</v>
      </c>
      <c r="AM7" s="183">
        <f>IFERROR(INDEX(FractionalPriceLookUp,MATCH('Stats RABs'!AL7,DecimalPriceLookUp,1)),"")</f>
        <v>10</v>
      </c>
      <c r="AN7" s="166"/>
      <c r="AO7" s="180" t="str">
        <f t="shared" si="8"/>
        <v xml:space="preserve">Timo Werner &amp; Patrick Bamford 2+ shots on target each and N'Golo Kante &amp; Kalvin Phillips 2+ tackles each </v>
      </c>
      <c r="AQ7" s="182" t="str">
        <f t="shared" si="9"/>
        <v>L</v>
      </c>
    </row>
    <row r="8" spans="2:43" x14ac:dyDescent="0.25">
      <c r="B8" s="172" t="str">
        <f>ShotsPlayer2</f>
        <v>Tammy Abraham</v>
      </c>
      <c r="C8" s="173" t="str">
        <f>ShotsPlayer7</f>
        <v>Raphinha</v>
      </c>
      <c r="D8" s="174" t="s">
        <v>26</v>
      </c>
      <c r="E8" s="175">
        <f t="shared" si="10"/>
        <v>0</v>
      </c>
      <c r="F8" s="175">
        <f t="shared" si="0"/>
        <v>2</v>
      </c>
      <c r="G8" s="166"/>
      <c r="H8" s="180" t="str">
        <f t="shared" si="1"/>
        <v xml:space="preserve">Tammy Abraham &amp; Raphinha 1+ shots on target each </v>
      </c>
      <c r="I8" s="166"/>
      <c r="J8" s="181">
        <f>INDEX(Resulting_Shots_Totals,MATCH('Stats RABs'!B8,Resulting_Shots_Players,0))</f>
        <v>0</v>
      </c>
      <c r="K8" s="189">
        <f>INDEX(Resulting_Shots_Totals,MATCH('Stats RABs'!C8,Resulting_Shots_Players,0))</f>
        <v>0</v>
      </c>
      <c r="L8" s="182" t="str">
        <f t="shared" si="11"/>
        <v>L</v>
      </c>
      <c r="M8" s="166"/>
      <c r="N8" s="181">
        <f t="shared" si="2"/>
        <v>1.78227</v>
      </c>
      <c r="O8" s="182">
        <f t="shared" si="3"/>
        <v>0.71799999999999997</v>
      </c>
      <c r="P8" s="166"/>
      <c r="Q8" s="181">
        <f t="shared" si="18"/>
        <v>1.2022926848637898</v>
      </c>
      <c r="R8" s="182">
        <f t="shared" si="12"/>
        <v>1.9520831313915947</v>
      </c>
      <c r="S8" s="166"/>
      <c r="T8" s="172" t="str">
        <f>TacklesPlayer2</f>
        <v>Reece James</v>
      </c>
      <c r="U8" s="173" t="str">
        <f>TacklesPlayer7</f>
        <v>Stuart Dallas</v>
      </c>
      <c r="V8" s="174" t="s">
        <v>27</v>
      </c>
      <c r="W8" s="175">
        <f t="shared" si="13"/>
        <v>1</v>
      </c>
      <c r="X8" s="175">
        <f t="shared" si="4"/>
        <v>2</v>
      </c>
      <c r="Y8" s="166"/>
      <c r="Z8" s="176" t="str">
        <f t="shared" si="14"/>
        <v xml:space="preserve">Reece James &amp; Stuart Dallas 2+ tackles each </v>
      </c>
      <c r="AA8" s="166"/>
      <c r="AB8" s="181">
        <f t="shared" si="5"/>
        <v>2.2385999999999999</v>
      </c>
      <c r="AC8" s="182">
        <f t="shared" si="6"/>
        <v>2.4081000000000001</v>
      </c>
      <c r="AD8" s="166"/>
      <c r="AE8" s="181">
        <f t="shared" si="15"/>
        <v>1.5273227441723287</v>
      </c>
      <c r="AF8" s="182">
        <f t="shared" si="16"/>
        <v>1.4423388565732393</v>
      </c>
      <c r="AG8" s="166"/>
      <c r="AH8" s="181">
        <f>INDEX(Resulting_Tackles_Totals,MATCH('Stats RABs'!T8,Resulting_Tackles_Players,0))</f>
        <v>0</v>
      </c>
      <c r="AI8" s="189">
        <f>INDEX(Resulting_Tackles_Totals,MATCH('Stats RABs'!U8,Resulting_Tackles_Players,0))</f>
        <v>0</v>
      </c>
      <c r="AJ8" s="182" t="str">
        <f t="shared" si="17"/>
        <v>L</v>
      </c>
      <c r="AK8" s="166"/>
      <c r="AL8" s="181">
        <f t="shared" si="7"/>
        <v>5.1701915791523732</v>
      </c>
      <c r="AM8" s="183">
        <f>IFERROR(INDEX(FractionalPriceLookUp,MATCH('Stats RABs'!AL8,DecimalPriceLookUp,1)),"")</f>
        <v>3</v>
      </c>
      <c r="AN8" s="166"/>
      <c r="AO8" s="180" t="str">
        <f t="shared" si="8"/>
        <v xml:space="preserve">Tammy Abraham &amp; Raphinha 1+ shots on target each and Reece James &amp; Stuart Dallas 2+ tackles each </v>
      </c>
      <c r="AQ8" s="182" t="str">
        <f t="shared" si="9"/>
        <v>L</v>
      </c>
    </row>
    <row r="9" spans="2:43" x14ac:dyDescent="0.25">
      <c r="B9" s="172" t="str">
        <f>ShotsPlayer6</f>
        <v>Patrick Bamford</v>
      </c>
      <c r="C9" s="173" t="str">
        <f>ShotsPlayer2</f>
        <v>Tammy Abraham</v>
      </c>
      <c r="D9" s="174" t="s">
        <v>27</v>
      </c>
      <c r="E9" s="175">
        <f t="shared" si="10"/>
        <v>1</v>
      </c>
      <c r="F9" s="175">
        <f t="shared" si="0"/>
        <v>2</v>
      </c>
      <c r="G9" s="166"/>
      <c r="H9" s="180" t="str">
        <f t="shared" si="1"/>
        <v xml:space="preserve">Patrick Bamford &amp; Tammy Abraham 2+ shots on target each </v>
      </c>
      <c r="I9" s="166"/>
      <c r="J9" s="181">
        <f>INDEX(Resulting_Shots_Totals,MATCH('Stats RABs'!B9,Resulting_Shots_Players,0))</f>
        <v>0</v>
      </c>
      <c r="K9" s="189">
        <f>INDEX(Resulting_Shots_Totals,MATCH('Stats RABs'!C9,Resulting_Shots_Players,0))</f>
        <v>0</v>
      </c>
      <c r="L9" s="182" t="str">
        <f t="shared" si="11"/>
        <v>L</v>
      </c>
      <c r="M9" s="166"/>
      <c r="N9" s="181">
        <f t="shared" si="2"/>
        <v>0.97648000000000001</v>
      </c>
      <c r="O9" s="182">
        <f t="shared" si="3"/>
        <v>1.78227</v>
      </c>
      <c r="P9" s="166"/>
      <c r="Q9" s="181">
        <f t="shared" si="18"/>
        <v>3.9125253177315424</v>
      </c>
      <c r="R9" s="182">
        <f t="shared" si="12"/>
        <v>1.8801692518452295</v>
      </c>
      <c r="S9" s="166"/>
      <c r="T9" s="172" t="str">
        <f>TacklesPlayer6</f>
        <v>Kalvin Phillips</v>
      </c>
      <c r="U9" s="173" t="str">
        <f>TacklesPlayer2</f>
        <v>Reece James</v>
      </c>
      <c r="V9" s="174" t="s">
        <v>26</v>
      </c>
      <c r="W9" s="175">
        <f t="shared" si="13"/>
        <v>0</v>
      </c>
      <c r="X9" s="175">
        <f t="shared" si="4"/>
        <v>2</v>
      </c>
      <c r="Y9" s="166"/>
      <c r="Z9" s="176" t="str">
        <f t="shared" si="14"/>
        <v xml:space="preserve">Kalvin Phillips &amp; Reece James 1+ tackles each </v>
      </c>
      <c r="AA9" s="166"/>
      <c r="AB9" s="181">
        <f t="shared" si="5"/>
        <v>2.8967000000000001</v>
      </c>
      <c r="AC9" s="182">
        <f t="shared" si="6"/>
        <v>2.2385999999999999</v>
      </c>
      <c r="AD9" s="166"/>
      <c r="AE9" s="181">
        <f t="shared" si="15"/>
        <v>1.058430773087371</v>
      </c>
      <c r="AF9" s="182">
        <f t="shared" si="16"/>
        <v>1.1193290391870803</v>
      </c>
      <c r="AG9" s="166"/>
      <c r="AH9" s="181">
        <f>INDEX(Resulting_Tackles_Totals,MATCH('Stats RABs'!T9,Resulting_Tackles_Players,0))</f>
        <v>0</v>
      </c>
      <c r="AI9" s="189">
        <f>INDEX(Resulting_Tackles_Totals,MATCH('Stats RABs'!U9,Resulting_Tackles_Players,0))</f>
        <v>0</v>
      </c>
      <c r="AJ9" s="182" t="str">
        <f t="shared" si="17"/>
        <v>L</v>
      </c>
      <c r="AK9" s="166"/>
      <c r="AL9" s="181">
        <f t="shared" si="7"/>
        <v>8.7151393571058389</v>
      </c>
      <c r="AM9" s="183">
        <f>IFERROR(INDEX(FractionalPriceLookUp,MATCH('Stats RABs'!AL9,DecimalPriceLookUp,1)),"")</f>
        <v>6</v>
      </c>
      <c r="AN9" s="166"/>
      <c r="AO9" s="180" t="str">
        <f t="shared" si="8"/>
        <v xml:space="preserve">Patrick Bamford &amp; Tammy Abraham 2+ shots on target each and Kalvin Phillips &amp; Reece James 1+ tackles each </v>
      </c>
      <c r="AQ9" s="182" t="str">
        <f t="shared" si="9"/>
        <v>L</v>
      </c>
    </row>
    <row r="10" spans="2:43" x14ac:dyDescent="0.25">
      <c r="B10" s="172" t="str">
        <f>ShotsPlayer7</f>
        <v>Raphinha</v>
      </c>
      <c r="C10" s="173" t="str">
        <f>ShotsPlayer1</f>
        <v>Timo Werner</v>
      </c>
      <c r="D10" s="174" t="s">
        <v>26</v>
      </c>
      <c r="E10" s="175">
        <f t="shared" si="10"/>
        <v>0</v>
      </c>
      <c r="F10" s="175">
        <f t="shared" si="0"/>
        <v>2</v>
      </c>
      <c r="G10" s="166"/>
      <c r="H10" s="180" t="str">
        <f t="shared" si="1"/>
        <v xml:space="preserve">Raphinha &amp; Timo Werner 1+ shots on target each </v>
      </c>
      <c r="I10" s="166"/>
      <c r="J10" s="181">
        <f>INDEX(Resulting_Shots_Totals,MATCH('Stats RABs'!B10,Resulting_Shots_Players,0))</f>
        <v>0</v>
      </c>
      <c r="K10" s="189">
        <f>INDEX(Resulting_Shots_Totals,MATCH('Stats RABs'!C10,Resulting_Shots_Players,0))</f>
        <v>0</v>
      </c>
      <c r="L10" s="182" t="str">
        <f t="shared" si="11"/>
        <v>L</v>
      </c>
      <c r="M10" s="166"/>
      <c r="N10" s="181">
        <f t="shared" si="2"/>
        <v>0.71799999999999997</v>
      </c>
      <c r="O10" s="182">
        <f t="shared" si="3"/>
        <v>1.55871</v>
      </c>
      <c r="P10" s="166"/>
      <c r="Q10" s="181">
        <f t="shared" si="18"/>
        <v>1.9520831313915947</v>
      </c>
      <c r="R10" s="182">
        <f t="shared" si="12"/>
        <v>1.2664757759553114</v>
      </c>
      <c r="S10" s="166"/>
      <c r="T10" s="172" t="str">
        <f>TacklesPlayer7</f>
        <v>Stuart Dallas</v>
      </c>
      <c r="U10" s="173" t="str">
        <f>TacklesPlayer1</f>
        <v>N'Golo Kante</v>
      </c>
      <c r="V10" s="174" t="s">
        <v>28</v>
      </c>
      <c r="W10" s="175">
        <f t="shared" si="13"/>
        <v>2</v>
      </c>
      <c r="X10" s="175">
        <f t="shared" si="4"/>
        <v>2</v>
      </c>
      <c r="Y10" s="166"/>
      <c r="Z10" s="176" t="str">
        <f t="shared" si="14"/>
        <v xml:space="preserve">Stuart Dallas &amp; N'Golo Kante 3+ tackles each </v>
      </c>
      <c r="AA10" s="166"/>
      <c r="AB10" s="181">
        <f t="shared" si="5"/>
        <v>2.4081000000000001</v>
      </c>
      <c r="AC10" s="182">
        <f t="shared" si="6"/>
        <v>2.2385999999999999</v>
      </c>
      <c r="AD10" s="166"/>
      <c r="AE10" s="181">
        <f t="shared" si="15"/>
        <v>2.3126409007581858</v>
      </c>
      <c r="AF10" s="182">
        <f t="shared" si="16"/>
        <v>2.5798635079595975</v>
      </c>
      <c r="AG10" s="166"/>
      <c r="AH10" s="181">
        <f>INDEX(Resulting_Tackles_Totals,MATCH('Stats RABs'!T10,Resulting_Tackles_Players,0))</f>
        <v>0</v>
      </c>
      <c r="AI10" s="189">
        <f>INDEX(Resulting_Tackles_Totals,MATCH('Stats RABs'!U10,Resulting_Tackles_Players,0))</f>
        <v>0</v>
      </c>
      <c r="AJ10" s="182" t="str">
        <f t="shared" si="17"/>
        <v>L</v>
      </c>
      <c r="AK10" s="166"/>
      <c r="AL10" s="181">
        <f t="shared" si="7"/>
        <v>14.750275353561316</v>
      </c>
      <c r="AM10" s="183">
        <f>IFERROR(INDEX(FractionalPriceLookUp,MATCH('Stats RABs'!AL10,DecimalPriceLookUp,1)),"")</f>
        <v>9</v>
      </c>
      <c r="AN10" s="166"/>
      <c r="AO10" s="180" t="str">
        <f t="shared" si="8"/>
        <v xml:space="preserve">Raphinha &amp; Timo Werner 1+ shots on target each and Stuart Dallas &amp; N'Golo Kante 3+ tackles each </v>
      </c>
      <c r="AQ10" s="182" t="str">
        <f t="shared" si="9"/>
        <v>L</v>
      </c>
    </row>
    <row r="11" spans="2:43" x14ac:dyDescent="0.25">
      <c r="B11" s="172" t="str">
        <f>ShotsPlayer3</f>
        <v>Hakim Ziyech</v>
      </c>
      <c r="C11" s="173"/>
      <c r="D11" s="174" t="s">
        <v>27</v>
      </c>
      <c r="E11" s="175">
        <f t="shared" si="10"/>
        <v>1</v>
      </c>
      <c r="F11" s="175">
        <f t="shared" si="0"/>
        <v>1</v>
      </c>
      <c r="G11" s="166"/>
      <c r="H11" s="180" t="str">
        <f t="shared" si="1"/>
        <v xml:space="preserve">Hakim Ziyech 2+ shots on target </v>
      </c>
      <c r="I11" s="166"/>
      <c r="J11" s="181">
        <f>INDEX(Resulting_Shots_Totals,MATCH('Stats RABs'!B11,Resulting_Shots_Players,0))</f>
        <v>0</v>
      </c>
      <c r="K11" s="189">
        <f>INDEX(Resulting_Shots_Totals,MATCH('Stats RABs'!C11,Resulting_Shots_Players,0))</f>
        <v>0</v>
      </c>
      <c r="L11" s="182" t="str">
        <f t="shared" si="11"/>
        <v>L</v>
      </c>
      <c r="M11" s="166"/>
      <c r="N11" s="181">
        <f t="shared" si="2"/>
        <v>1.4220900000000001</v>
      </c>
      <c r="O11" s="182" t="str">
        <f t="shared" si="3"/>
        <v/>
      </c>
      <c r="P11" s="166"/>
      <c r="Q11" s="181">
        <f t="shared" si="18"/>
        <v>2.4051804737882274</v>
      </c>
      <c r="R11" s="182" t="str">
        <f t="shared" si="12"/>
        <v/>
      </c>
      <c r="S11" s="166"/>
      <c r="T11" s="172" t="str">
        <f>TacklesPlayer6</f>
        <v>Kalvin Phillips</v>
      </c>
      <c r="U11" s="173"/>
      <c r="V11" s="174" t="s">
        <v>30</v>
      </c>
      <c r="W11" s="175">
        <f t="shared" si="13"/>
        <v>4</v>
      </c>
      <c r="X11" s="175">
        <f t="shared" si="4"/>
        <v>1</v>
      </c>
      <c r="Y11" s="166"/>
      <c r="Z11" s="176" t="str">
        <f t="shared" si="14"/>
        <v>Kalvin Phillips 5+ tackles</v>
      </c>
      <c r="AA11" s="166"/>
      <c r="AB11" s="181">
        <f t="shared" si="5"/>
        <v>2.8967000000000001</v>
      </c>
      <c r="AC11" s="182" t="str">
        <f t="shared" si="6"/>
        <v/>
      </c>
      <c r="AD11" s="166"/>
      <c r="AE11" s="181">
        <f t="shared" si="15"/>
        <v>5.9634505424237183</v>
      </c>
      <c r="AF11" s="182" t="str">
        <f t="shared" si="16"/>
        <v/>
      </c>
      <c r="AG11" s="166"/>
      <c r="AH11" s="181">
        <f>INDEX(Resulting_Tackles_Totals,MATCH('Stats RABs'!T11,Resulting_Tackles_Players,0))</f>
        <v>0</v>
      </c>
      <c r="AI11" s="189">
        <f>INDEX(Resulting_Tackles_Totals,MATCH('Stats RABs'!U11,Resulting_Tackles_Players,0))</f>
        <v>0</v>
      </c>
      <c r="AJ11" s="182" t="str">
        <f t="shared" si="17"/>
        <v>L</v>
      </c>
      <c r="AK11" s="166"/>
      <c r="AL11" s="181">
        <f t="shared" si="7"/>
        <v>14.343174801039341</v>
      </c>
      <c r="AM11" s="183">
        <f>IFERROR(INDEX(FractionalPriceLookUp,MATCH('Stats RABs'!AL11,DecimalPriceLookUp,1)),"")</f>
        <v>9</v>
      </c>
      <c r="AN11" s="166"/>
      <c r="AO11" s="180" t="str">
        <f t="shared" si="8"/>
        <v>Hakim Ziyech 2+ shots on target and Kalvin Phillips 5+ tackles</v>
      </c>
      <c r="AQ11" s="182" t="str">
        <f t="shared" si="9"/>
        <v>L</v>
      </c>
    </row>
    <row r="12" spans="2:43" x14ac:dyDescent="0.25">
      <c r="B12" s="172" t="str">
        <f>ShotsPlayer8</f>
        <v>Mateusz Klich</v>
      </c>
      <c r="C12" s="173" t="str">
        <f>ShotsPlayer1</f>
        <v>Timo Werner</v>
      </c>
      <c r="D12" s="174" t="s">
        <v>27</v>
      </c>
      <c r="E12" s="175">
        <f t="shared" si="10"/>
        <v>1</v>
      </c>
      <c r="F12" s="175">
        <f t="shared" si="0"/>
        <v>2</v>
      </c>
      <c r="G12" s="166"/>
      <c r="H12" s="180" t="str">
        <f t="shared" si="1"/>
        <v xml:space="preserve">Mateusz Klich &amp; Timo Werner 2+ shots on target each </v>
      </c>
      <c r="I12" s="166"/>
      <c r="J12" s="181">
        <f>INDEX(Resulting_Shots_Totals,MATCH('Stats RABs'!B12,Resulting_Shots_Players,0))</f>
        <v>0</v>
      </c>
      <c r="K12" s="189">
        <f>INDEX(Resulting_Shots_Totals,MATCH('Stats RABs'!C12,Resulting_Shots_Players,0))</f>
        <v>0</v>
      </c>
      <c r="L12" s="182" t="str">
        <f t="shared" si="11"/>
        <v>L</v>
      </c>
      <c r="M12" s="166"/>
      <c r="N12" s="181">
        <f t="shared" si="2"/>
        <v>0.42362</v>
      </c>
      <c r="O12" s="182">
        <f t="shared" si="3"/>
        <v>1.55871</v>
      </c>
      <c r="P12" s="166"/>
      <c r="Q12" s="181">
        <f t="shared" si="18"/>
        <v>14.706968373659999</v>
      </c>
      <c r="R12" s="182">
        <f t="shared" si="12"/>
        <v>2.166243214417932</v>
      </c>
      <c r="S12" s="166"/>
      <c r="T12" s="172" t="str">
        <f>TacklesPlayer8</f>
        <v>Luke Ayling</v>
      </c>
      <c r="U12" s="173" t="str">
        <f>TacklesPlayer3</f>
        <v>Mateo Kovacic</v>
      </c>
      <c r="V12" s="174" t="s">
        <v>27</v>
      </c>
      <c r="W12" s="175">
        <f t="shared" si="13"/>
        <v>1</v>
      </c>
      <c r="X12" s="175">
        <f t="shared" si="4"/>
        <v>2</v>
      </c>
      <c r="Y12" s="166"/>
      <c r="Z12" s="176" t="str">
        <f t="shared" si="14"/>
        <v xml:space="preserve">Luke Ayling &amp; Mateo Kovacic 2+ tackles each </v>
      </c>
      <c r="AA12" s="166"/>
      <c r="AB12" s="181">
        <f t="shared" si="5"/>
        <v>2.0242</v>
      </c>
      <c r="AC12" s="182">
        <f t="shared" si="6"/>
        <v>2.5583999999999998</v>
      </c>
      <c r="AD12" s="166"/>
      <c r="AE12" s="181">
        <f t="shared" si="15"/>
        <v>1.6652657589699389</v>
      </c>
      <c r="AF12" s="182">
        <f t="shared" si="16"/>
        <v>1.3803035362144762</v>
      </c>
      <c r="AG12" s="166"/>
      <c r="AH12" s="181">
        <f>INDEX(Resulting_Tackles_Totals,MATCH('Stats RABs'!T12,Resulting_Tackles_Players,0))</f>
        <v>0</v>
      </c>
      <c r="AI12" s="189">
        <f>INDEX(Resulting_Tackles_Totals,MATCH('Stats RABs'!U12,Resulting_Tackles_Players,0))</f>
        <v>0</v>
      </c>
      <c r="AJ12" s="182" t="str">
        <f t="shared" si="17"/>
        <v>L</v>
      </c>
      <c r="AK12" s="166"/>
      <c r="AL12" s="181">
        <f t="shared" si="7"/>
        <v>73.229914430953102</v>
      </c>
      <c r="AM12" s="183">
        <f>IFERROR(INDEX(FractionalPriceLookUp,MATCH('Stats RABs'!AL12,DecimalPriceLookUp,1)),"")</f>
        <v>50</v>
      </c>
      <c r="AN12" s="166"/>
      <c r="AO12" s="180" t="str">
        <f t="shared" si="8"/>
        <v xml:space="preserve">Mateusz Klich &amp; Timo Werner 2+ shots on target each and Luke Ayling &amp; Mateo Kovacic 2+ tackles each </v>
      </c>
      <c r="AQ12" s="182" t="str">
        <f t="shared" si="9"/>
        <v>L</v>
      </c>
    </row>
    <row r="13" spans="2:43" x14ac:dyDescent="0.25">
      <c r="B13" s="172" t="str">
        <f>ShotsPlayer6</f>
        <v>Patrick Bamford</v>
      </c>
      <c r="C13" s="173" t="str">
        <f>ShotsPlayer3</f>
        <v>Hakim Ziyech</v>
      </c>
      <c r="D13" s="174" t="s">
        <v>27</v>
      </c>
      <c r="E13" s="175">
        <f t="shared" ref="E13:E20" si="19">IFERROR(SUBSTITUTE(D13,"+","")-1,"")</f>
        <v>1</v>
      </c>
      <c r="F13" s="175">
        <f t="shared" si="0"/>
        <v>2</v>
      </c>
      <c r="G13" s="166"/>
      <c r="H13" s="180" t="str">
        <f t="shared" si="1"/>
        <v xml:space="preserve">Patrick Bamford &amp; Hakim Ziyech 2+ shots on target each </v>
      </c>
      <c r="I13" s="166"/>
      <c r="J13" s="181">
        <f>INDEX(Resulting_Shots_Totals,MATCH('Stats RABs'!B13,Resulting_Shots_Players,0))</f>
        <v>0</v>
      </c>
      <c r="K13" s="189">
        <f>INDEX(Resulting_Shots_Totals,MATCH('Stats RABs'!C13,Resulting_Shots_Players,0))</f>
        <v>0</v>
      </c>
      <c r="L13" s="182" t="str">
        <f t="shared" si="11"/>
        <v>L</v>
      </c>
      <c r="M13" s="166"/>
      <c r="N13" s="181">
        <f t="shared" si="2"/>
        <v>0.97648000000000001</v>
      </c>
      <c r="O13" s="182">
        <f t="shared" si="3"/>
        <v>1.4220900000000001</v>
      </c>
      <c r="P13" s="166"/>
      <c r="Q13" s="181">
        <f t="shared" ref="Q13:Q20" si="20">IFERROR(1/(1-_xlfn.POISSON.DIST(E13,N13,1)),"")</f>
        <v>3.9125253177315424</v>
      </c>
      <c r="R13" s="182">
        <f t="shared" ref="R13:R20" si="21">IFERROR(1/(1-_xlfn.POISSON.DIST(E13,O13,1)),"")</f>
        <v>2.4051804737882274</v>
      </c>
      <c r="S13" s="166"/>
      <c r="T13" s="172" t="str">
        <f>TacklesPlayer9</f>
        <v>Ezgjan Alioski</v>
      </c>
      <c r="U13" s="173" t="str">
        <f>TacklesPlayer4</f>
        <v>Ben Chilwell</v>
      </c>
      <c r="V13" s="174" t="s">
        <v>27</v>
      </c>
      <c r="W13" s="175">
        <f t="shared" ref="W13:W20" si="22">IFERROR(SUBSTITUTE(V13,"+","")-1,"")</f>
        <v>1</v>
      </c>
      <c r="X13" s="175">
        <f t="shared" si="4"/>
        <v>2</v>
      </c>
      <c r="Y13" s="166"/>
      <c r="Z13" s="176" t="str">
        <f t="shared" si="14"/>
        <v xml:space="preserve">Ezgjan Alioski &amp; Ben Chilwell 2+ tackles each </v>
      </c>
      <c r="AA13" s="166"/>
      <c r="AB13" s="181">
        <f t="shared" si="5"/>
        <v>2.4430000000000001</v>
      </c>
      <c r="AC13" s="182">
        <f t="shared" si="6"/>
        <v>1.4391</v>
      </c>
      <c r="AD13" s="166"/>
      <c r="AE13" s="181">
        <f t="shared" ref="AE13:AE20" si="23">IFERROR(1/(1-_xlfn.POISSON.DIST(W13,AB13,1)),"")</f>
        <v>1.4269322426570266</v>
      </c>
      <c r="AF13" s="182">
        <f t="shared" ref="AF13:AF20" si="24">IFERROR(1/(1-_xlfn.POISSON.DIST(W13,AC13,1)),"")</f>
        <v>2.3719774494781904</v>
      </c>
      <c r="AG13" s="166"/>
      <c r="AH13" s="181">
        <f>INDEX(Resulting_Tackles_Totals,MATCH('Stats RABs'!T13,Resulting_Tackles_Players,0))</f>
        <v>0</v>
      </c>
      <c r="AI13" s="189">
        <f>INDEX(Resulting_Tackles_Totals,MATCH('Stats RABs'!U13,Resulting_Tackles_Players,0))</f>
        <v>0</v>
      </c>
      <c r="AJ13" s="182" t="str">
        <f t="shared" si="17"/>
        <v>L</v>
      </c>
      <c r="AK13" s="166"/>
      <c r="AL13" s="181">
        <f t="shared" si="7"/>
        <v>31.85068209903541</v>
      </c>
      <c r="AM13" s="183">
        <f>IFERROR(INDEX(FractionalPriceLookUp,MATCH('Stats RABs'!AL13,DecimalPriceLookUp,1)),"")</f>
        <v>20</v>
      </c>
      <c r="AN13" s="166"/>
      <c r="AO13" s="180" t="str">
        <f t="shared" si="8"/>
        <v xml:space="preserve">Patrick Bamford &amp; Hakim Ziyech 2+ shots on target each and Ezgjan Alioski &amp; Ben Chilwell 2+ tackles each </v>
      </c>
      <c r="AQ13" s="182" t="str">
        <f t="shared" si="9"/>
        <v>L</v>
      </c>
    </row>
    <row r="14" spans="2:43" x14ac:dyDescent="0.25">
      <c r="B14" s="172" t="str">
        <f>ShotsPlayer1</f>
        <v>Timo Werner</v>
      </c>
      <c r="C14" s="173"/>
      <c r="D14" s="174" t="s">
        <v>27</v>
      </c>
      <c r="E14" s="175">
        <f t="shared" si="19"/>
        <v>1</v>
      </c>
      <c r="F14" s="175">
        <f t="shared" si="0"/>
        <v>1</v>
      </c>
      <c r="G14" s="166"/>
      <c r="H14" s="180" t="str">
        <f t="shared" si="1"/>
        <v xml:space="preserve">Timo Werner 2+ shots on target </v>
      </c>
      <c r="I14" s="166"/>
      <c r="J14" s="181">
        <f>INDEX(Resulting_Shots_Totals,MATCH('Stats RABs'!B14,Resulting_Shots_Players,0))</f>
        <v>0</v>
      </c>
      <c r="K14" s="189">
        <f>INDEX(Resulting_Shots_Totals,MATCH('Stats RABs'!C14,Resulting_Shots_Players,0))</f>
        <v>0</v>
      </c>
      <c r="L14" s="182" t="str">
        <f t="shared" si="11"/>
        <v>L</v>
      </c>
      <c r="M14" s="166"/>
      <c r="N14" s="181">
        <f t="shared" si="2"/>
        <v>1.55871</v>
      </c>
      <c r="O14" s="182" t="str">
        <f t="shared" si="3"/>
        <v/>
      </c>
      <c r="P14" s="166"/>
      <c r="Q14" s="181">
        <f t="shared" si="20"/>
        <v>2.166243214417932</v>
      </c>
      <c r="R14" s="182" t="str">
        <f t="shared" si="21"/>
        <v/>
      </c>
      <c r="S14" s="166"/>
      <c r="T14" s="172" t="str">
        <f>TacklesPlayer6</f>
        <v>Kalvin Phillips</v>
      </c>
      <c r="U14" s="173"/>
      <c r="V14" s="174" t="s">
        <v>30</v>
      </c>
      <c r="W14" s="175">
        <f t="shared" si="22"/>
        <v>4</v>
      </c>
      <c r="X14" s="175">
        <f t="shared" si="4"/>
        <v>1</v>
      </c>
      <c r="Y14" s="166"/>
      <c r="Z14" s="176" t="str">
        <f t="shared" si="14"/>
        <v>Kalvin Phillips 5+ tackles</v>
      </c>
      <c r="AA14" s="166"/>
      <c r="AB14" s="181">
        <f t="shared" si="5"/>
        <v>2.8967000000000001</v>
      </c>
      <c r="AC14" s="182" t="str">
        <f t="shared" si="6"/>
        <v/>
      </c>
      <c r="AD14" s="166"/>
      <c r="AE14" s="181">
        <f t="shared" si="23"/>
        <v>5.9634505424237183</v>
      </c>
      <c r="AF14" s="182" t="str">
        <f t="shared" si="24"/>
        <v/>
      </c>
      <c r="AG14" s="166"/>
      <c r="AH14" s="181">
        <f>INDEX(Resulting_Tackles_Totals,MATCH('Stats RABs'!T14,Resulting_Tackles_Players,0))</f>
        <v>0</v>
      </c>
      <c r="AI14" s="189">
        <f>INDEX(Resulting_Tackles_Totals,MATCH('Stats RABs'!U14,Resulting_Tackles_Players,0))</f>
        <v>0</v>
      </c>
      <c r="AJ14" s="182" t="str">
        <f t="shared" si="17"/>
        <v>L</v>
      </c>
      <c r="AK14" s="166"/>
      <c r="AL14" s="181">
        <f t="shared" si="7"/>
        <v>12.918284272042316</v>
      </c>
      <c r="AM14" s="183">
        <f>IFERROR(INDEX(FractionalPriceLookUp,MATCH('Stats RABs'!AL14,DecimalPriceLookUp,1)),"")</f>
        <v>8</v>
      </c>
      <c r="AN14" s="166"/>
      <c r="AO14" s="180" t="str">
        <f t="shared" si="8"/>
        <v>Timo Werner 2+ shots on target and Kalvin Phillips 5+ tackles</v>
      </c>
      <c r="AQ14" s="182" t="str">
        <f t="shared" si="9"/>
        <v>L</v>
      </c>
    </row>
    <row r="15" spans="2:43" x14ac:dyDescent="0.25">
      <c r="B15" s="172" t="str">
        <f>ShotsPlayer8</f>
        <v>Mateusz Klich</v>
      </c>
      <c r="C15" s="173" t="str">
        <f>ShotsPlayer3</f>
        <v>Hakim Ziyech</v>
      </c>
      <c r="D15" s="174" t="s">
        <v>27</v>
      </c>
      <c r="E15" s="175">
        <f t="shared" si="19"/>
        <v>1</v>
      </c>
      <c r="F15" s="175">
        <f t="shared" si="0"/>
        <v>2</v>
      </c>
      <c r="G15" s="166"/>
      <c r="H15" s="180" t="str">
        <f t="shared" si="1"/>
        <v xml:space="preserve">Mateusz Klich &amp; Hakim Ziyech 2+ shots on target each </v>
      </c>
      <c r="I15" s="166"/>
      <c r="J15" s="181">
        <f>INDEX(Resulting_Shots_Totals,MATCH('Stats RABs'!B15,Resulting_Shots_Players,0))</f>
        <v>0</v>
      </c>
      <c r="K15" s="189">
        <f>INDEX(Resulting_Shots_Totals,MATCH('Stats RABs'!C15,Resulting_Shots_Players,0))</f>
        <v>0</v>
      </c>
      <c r="L15" s="182" t="str">
        <f t="shared" si="11"/>
        <v>L</v>
      </c>
      <c r="M15" s="166"/>
      <c r="N15" s="181">
        <f t="shared" si="2"/>
        <v>0.42362</v>
      </c>
      <c r="O15" s="182">
        <f t="shared" si="3"/>
        <v>1.4220900000000001</v>
      </c>
      <c r="P15" s="166"/>
      <c r="Q15" s="181">
        <f t="shared" si="20"/>
        <v>14.706968373659999</v>
      </c>
      <c r="R15" s="182">
        <f t="shared" si="21"/>
        <v>2.4051804737882274</v>
      </c>
      <c r="S15" s="166"/>
      <c r="T15" s="172" t="str">
        <f>TacklesPlayer5</f>
        <v>Thiago Silva</v>
      </c>
      <c r="U15" s="173" t="str">
        <f>TacklesPlayer10</f>
        <v>Robin Koch</v>
      </c>
      <c r="V15" s="174" t="s">
        <v>27</v>
      </c>
      <c r="W15" s="175">
        <f t="shared" si="22"/>
        <v>1</v>
      </c>
      <c r="X15" s="175">
        <f t="shared" si="4"/>
        <v>2</v>
      </c>
      <c r="Y15" s="166"/>
      <c r="Z15" s="176" t="str">
        <f t="shared" si="14"/>
        <v xml:space="preserve">Thiago Silva &amp; Robin Koch 2+ tackles each </v>
      </c>
      <c r="AA15" s="166"/>
      <c r="AB15" s="181">
        <f t="shared" si="5"/>
        <v>0.95940000000000003</v>
      </c>
      <c r="AC15" s="182">
        <f t="shared" si="6"/>
        <v>1.6053999999999999</v>
      </c>
      <c r="AD15" s="166"/>
      <c r="AE15" s="181">
        <f t="shared" si="23"/>
        <v>4.0110802086482122</v>
      </c>
      <c r="AF15" s="182">
        <f t="shared" si="24"/>
        <v>2.0972641006478607</v>
      </c>
      <c r="AG15" s="166"/>
      <c r="AH15" s="181">
        <f>INDEX(Resulting_Tackles_Totals,MATCH('Stats RABs'!T15,Resulting_Tackles_Players,0))</f>
        <v>0</v>
      </c>
      <c r="AI15" s="189">
        <f>INDEX(Resulting_Tackles_Totals,MATCH('Stats RABs'!U15,Resulting_Tackles_Players,0))</f>
        <v>0</v>
      </c>
      <c r="AJ15" s="182" t="str">
        <f t="shared" si="17"/>
        <v>L</v>
      </c>
      <c r="AK15" s="166"/>
      <c r="AL15" s="181">
        <f t="shared" si="7"/>
        <v>297.56736376726792</v>
      </c>
      <c r="AM15" s="183">
        <f>IFERROR(INDEX(FractionalPriceLookUp,MATCH('Stats RABs'!AL15,DecimalPriceLookUp,1)),"")</f>
        <v>150</v>
      </c>
      <c r="AN15" s="166"/>
      <c r="AO15" s="180" t="str">
        <f t="shared" si="8"/>
        <v xml:space="preserve">Mateusz Klich &amp; Hakim Ziyech 2+ shots on target each and Thiago Silva &amp; Robin Koch 2+ tackles each </v>
      </c>
      <c r="AQ15" s="182" t="str">
        <f t="shared" si="9"/>
        <v>L</v>
      </c>
    </row>
    <row r="16" spans="2:43" x14ac:dyDescent="0.25">
      <c r="B16" s="172" t="str">
        <f>ShotsPlayer1</f>
        <v>Timo Werner</v>
      </c>
      <c r="C16" s="173"/>
      <c r="D16" s="174" t="s">
        <v>28</v>
      </c>
      <c r="E16" s="175">
        <f t="shared" si="19"/>
        <v>2</v>
      </c>
      <c r="F16" s="175">
        <f t="shared" si="0"/>
        <v>1</v>
      </c>
      <c r="G16" s="166"/>
      <c r="H16" s="180" t="str">
        <f t="shared" si="1"/>
        <v xml:space="preserve">Timo Werner 3+ shots on target </v>
      </c>
      <c r="I16" s="166"/>
      <c r="J16" s="181">
        <f>INDEX(Resulting_Shots_Totals,MATCH('Stats RABs'!B16,Resulting_Shots_Players,0))</f>
        <v>0</v>
      </c>
      <c r="K16" s="189">
        <f>INDEX(Resulting_Shots_Totals,MATCH('Stats RABs'!C16,Resulting_Shots_Players,0))</f>
        <v>0</v>
      </c>
      <c r="L16" s="182" t="str">
        <f t="shared" si="11"/>
        <v>L</v>
      </c>
      <c r="M16" s="166"/>
      <c r="N16" s="181">
        <f t="shared" si="2"/>
        <v>1.55871</v>
      </c>
      <c r="O16" s="182" t="str">
        <f t="shared" si="3"/>
        <v/>
      </c>
      <c r="P16" s="166"/>
      <c r="Q16" s="181">
        <f t="shared" si="20"/>
        <v>4.8537020980219205</v>
      </c>
      <c r="R16" s="182" t="str">
        <f t="shared" si="21"/>
        <v/>
      </c>
      <c r="S16" s="166"/>
      <c r="T16" s="172" t="str">
        <f>TacklesPlayer10</f>
        <v>Robin Koch</v>
      </c>
      <c r="U16" s="173"/>
      <c r="V16" s="174" t="s">
        <v>26</v>
      </c>
      <c r="W16" s="175">
        <f t="shared" si="22"/>
        <v>0</v>
      </c>
      <c r="X16" s="175">
        <f t="shared" si="4"/>
        <v>1</v>
      </c>
      <c r="Y16" s="166"/>
      <c r="Z16" s="176" t="str">
        <f t="shared" si="14"/>
        <v>Robin Koch 1+ tackles</v>
      </c>
      <c r="AA16" s="166"/>
      <c r="AB16" s="181">
        <f t="shared" si="5"/>
        <v>1.6053999999999999</v>
      </c>
      <c r="AC16" s="182" t="str">
        <f t="shared" si="6"/>
        <v/>
      </c>
      <c r="AD16" s="166"/>
      <c r="AE16" s="181">
        <f t="shared" si="23"/>
        <v>1.2512656789414949</v>
      </c>
      <c r="AF16" s="182" t="str">
        <f t="shared" si="24"/>
        <v/>
      </c>
      <c r="AG16" s="166"/>
      <c r="AH16" s="181">
        <f>INDEX(Resulting_Tackles_Totals,MATCH('Stats RABs'!T16,Resulting_Tackles_Players,0))</f>
        <v>0</v>
      </c>
      <c r="AI16" s="189">
        <f>INDEX(Resulting_Tackles_Totals,MATCH('Stats RABs'!U16,Resulting_Tackles_Players,0))</f>
        <v>0</v>
      </c>
      <c r="AJ16" s="182" t="str">
        <f t="shared" si="17"/>
        <v>L</v>
      </c>
      <c r="AK16" s="166"/>
      <c r="AL16" s="181">
        <f t="shared" si="7"/>
        <v>6.0732708510611566</v>
      </c>
      <c r="AM16" s="183">
        <f>IFERROR(INDEX(FractionalPriceLookUp,MATCH('Stats RABs'!AL16,DecimalPriceLookUp,1)),"")</f>
        <v>4</v>
      </c>
      <c r="AN16" s="166"/>
      <c r="AO16" s="180" t="str">
        <f t="shared" si="8"/>
        <v>Timo Werner 3+ shots on target and Robin Koch 1+ tackles</v>
      </c>
      <c r="AQ16" s="182" t="str">
        <f t="shared" si="9"/>
        <v>L</v>
      </c>
    </row>
    <row r="17" spans="2:43" x14ac:dyDescent="0.25">
      <c r="B17" s="172" t="str">
        <f>ShotsPlayer7</f>
        <v>Raphinha</v>
      </c>
      <c r="C17" s="173" t="str">
        <f>ShotsPlayer1</f>
        <v>Timo Werner</v>
      </c>
      <c r="D17" s="174" t="s">
        <v>27</v>
      </c>
      <c r="E17" s="175">
        <f t="shared" si="19"/>
        <v>1</v>
      </c>
      <c r="F17" s="175">
        <f t="shared" si="0"/>
        <v>2</v>
      </c>
      <c r="G17" s="166"/>
      <c r="H17" s="180" t="str">
        <f t="shared" si="1"/>
        <v xml:space="preserve">Raphinha &amp; Timo Werner 2+ shots on target each </v>
      </c>
      <c r="I17" s="166"/>
      <c r="J17" s="181">
        <f>INDEX(Resulting_Shots_Totals,MATCH('Stats RABs'!B17,Resulting_Shots_Players,0))</f>
        <v>0</v>
      </c>
      <c r="K17" s="189">
        <f>INDEX(Resulting_Shots_Totals,MATCH('Stats RABs'!C17,Resulting_Shots_Players,0))</f>
        <v>0</v>
      </c>
      <c r="L17" s="182" t="str">
        <f t="shared" si="11"/>
        <v>L</v>
      </c>
      <c r="M17" s="166"/>
      <c r="N17" s="181">
        <f t="shared" si="2"/>
        <v>0.71799999999999997</v>
      </c>
      <c r="O17" s="182">
        <f t="shared" si="3"/>
        <v>1.55871</v>
      </c>
      <c r="P17" s="166"/>
      <c r="Q17" s="181">
        <f t="shared" si="20"/>
        <v>6.1695844824140718</v>
      </c>
      <c r="R17" s="182">
        <f t="shared" si="21"/>
        <v>2.166243214417932</v>
      </c>
      <c r="S17" s="166"/>
      <c r="T17" s="172" t="str">
        <f>TacklesPlayer2</f>
        <v>Reece James</v>
      </c>
      <c r="U17" s="173" t="str">
        <f>TacklesPlayer7</f>
        <v>Stuart Dallas</v>
      </c>
      <c r="V17" s="174" t="s">
        <v>27</v>
      </c>
      <c r="W17" s="175">
        <f t="shared" si="22"/>
        <v>1</v>
      </c>
      <c r="X17" s="175">
        <f t="shared" si="4"/>
        <v>2</v>
      </c>
      <c r="Y17" s="166"/>
      <c r="Z17" s="176" t="str">
        <f t="shared" si="14"/>
        <v xml:space="preserve">Reece James &amp; Stuart Dallas 2+ tackles each </v>
      </c>
      <c r="AA17" s="166"/>
      <c r="AB17" s="181">
        <f t="shared" si="5"/>
        <v>2.2385999999999999</v>
      </c>
      <c r="AC17" s="182">
        <f t="shared" si="6"/>
        <v>2.4081000000000001</v>
      </c>
      <c r="AD17" s="166"/>
      <c r="AE17" s="181">
        <f t="shared" si="23"/>
        <v>1.5273227441723287</v>
      </c>
      <c r="AF17" s="182">
        <f t="shared" si="24"/>
        <v>1.4423388565732393</v>
      </c>
      <c r="AG17" s="166"/>
      <c r="AH17" s="181">
        <f>INDEX(Resulting_Tackles_Totals,MATCH('Stats RABs'!T17,Resulting_Tackles_Players,0))</f>
        <v>0</v>
      </c>
      <c r="AI17" s="189">
        <f>INDEX(Resulting_Tackles_Totals,MATCH('Stats RABs'!U17,Resulting_Tackles_Players,0))</f>
        <v>0</v>
      </c>
      <c r="AJ17" s="182" t="str">
        <f t="shared" si="17"/>
        <v>L</v>
      </c>
      <c r="AK17" s="166"/>
      <c r="AL17" s="181">
        <f t="shared" si="7"/>
        <v>29.441589531331815</v>
      </c>
      <c r="AM17" s="183">
        <f>IFERROR(INDEX(FractionalPriceLookUp,MATCH('Stats RABs'!AL17,DecimalPriceLookUp,1)),"")</f>
        <v>20</v>
      </c>
      <c r="AN17" s="166"/>
      <c r="AO17" s="180" t="str">
        <f t="shared" si="8"/>
        <v xml:space="preserve">Raphinha &amp; Timo Werner 2+ shots on target each and Reece James &amp; Stuart Dallas 2+ tackles each </v>
      </c>
      <c r="AQ17" s="182" t="str">
        <f t="shared" si="9"/>
        <v>L</v>
      </c>
    </row>
    <row r="18" spans="2:43" x14ac:dyDescent="0.25">
      <c r="B18" s="172" t="str">
        <f>ShotsPlayer8</f>
        <v>Mateusz Klich</v>
      </c>
      <c r="C18" s="173"/>
      <c r="D18" s="174" t="s">
        <v>29</v>
      </c>
      <c r="E18" s="175">
        <f t="shared" si="19"/>
        <v>3</v>
      </c>
      <c r="F18" s="175">
        <f t="shared" si="0"/>
        <v>1</v>
      </c>
      <c r="G18" s="166"/>
      <c r="H18" s="180" t="str">
        <f t="shared" si="1"/>
        <v xml:space="preserve">Mateusz Klich 4+ shots on target </v>
      </c>
      <c r="I18" s="166"/>
      <c r="J18" s="181">
        <f>INDEX(Resulting_Shots_Totals,MATCH('Stats RABs'!B18,Resulting_Shots_Players,0))</f>
        <v>0</v>
      </c>
      <c r="K18" s="189">
        <f>INDEX(Resulting_Shots_Totals,MATCH('Stats RABs'!C18,Resulting_Shots_Players,0))</f>
        <v>0</v>
      </c>
      <c r="L18" s="182" t="str">
        <f t="shared" si="11"/>
        <v>L</v>
      </c>
      <c r="M18" s="166"/>
      <c r="N18" s="181">
        <f t="shared" si="2"/>
        <v>0.42362</v>
      </c>
      <c r="O18" s="182" t="str">
        <f t="shared" si="3"/>
        <v/>
      </c>
      <c r="P18" s="166"/>
      <c r="Q18" s="181">
        <f t="shared" si="20"/>
        <v>1043.3295392173472</v>
      </c>
      <c r="R18" s="182" t="str">
        <f t="shared" si="21"/>
        <v/>
      </c>
      <c r="S18" s="166"/>
      <c r="T18" s="172" t="str">
        <f>TacklesPlayer3</f>
        <v>Mateo Kovacic</v>
      </c>
      <c r="U18" s="173"/>
      <c r="V18" s="174" t="s">
        <v>29</v>
      </c>
      <c r="W18" s="175">
        <f t="shared" si="22"/>
        <v>3</v>
      </c>
      <c r="X18" s="175">
        <f t="shared" si="4"/>
        <v>1</v>
      </c>
      <c r="Y18" s="166"/>
      <c r="Z18" s="176" t="str">
        <f t="shared" si="14"/>
        <v>Mateo Kovacic 4+ tackles</v>
      </c>
      <c r="AA18" s="166"/>
      <c r="AB18" s="181">
        <f t="shared" si="5"/>
        <v>2.5583999999999998</v>
      </c>
      <c r="AC18" s="182" t="str">
        <f t="shared" si="6"/>
        <v/>
      </c>
      <c r="AD18" s="166"/>
      <c r="AE18" s="181">
        <f t="shared" si="23"/>
        <v>3.9219158903735205</v>
      </c>
      <c r="AF18" s="182" t="str">
        <f t="shared" si="24"/>
        <v/>
      </c>
      <c r="AG18" s="166"/>
      <c r="AH18" s="181">
        <f>INDEX(Resulting_Tackles_Totals,MATCH('Stats RABs'!T18,Resulting_Tackles_Players,0))</f>
        <v>0</v>
      </c>
      <c r="AI18" s="189">
        <f>INDEX(Resulting_Tackles_Totals,MATCH('Stats RABs'!U18,Resulting_Tackles_Players,0))</f>
        <v>0</v>
      </c>
      <c r="AJ18" s="182" t="str">
        <f t="shared" si="17"/>
        <v>L</v>
      </c>
      <c r="AK18" s="166"/>
      <c r="AL18" s="181">
        <f t="shared" si="7"/>
        <v>4091.8506987525975</v>
      </c>
      <c r="AM18" s="183">
        <f>IFERROR(INDEX(FractionalPriceLookUp,MATCH('Stats RABs'!AL18,DecimalPriceLookUp,1)),"")</f>
        <v>1000</v>
      </c>
      <c r="AN18" s="166"/>
      <c r="AO18" s="180" t="str">
        <f t="shared" si="8"/>
        <v>Mateusz Klich 4+ shots on target and Mateo Kovacic 4+ tackles</v>
      </c>
      <c r="AQ18" s="182" t="str">
        <f t="shared" si="9"/>
        <v>L</v>
      </c>
    </row>
    <row r="19" spans="2:43" x14ac:dyDescent="0.25">
      <c r="B19" s="172" t="str">
        <f>ShotsPlayer4</f>
        <v>Mason Mount</v>
      </c>
      <c r="C19" s="173" t="str">
        <f>ShotsPlayer9</f>
        <v>Stuart Dallas</v>
      </c>
      <c r="D19" s="174" t="s">
        <v>26</v>
      </c>
      <c r="E19" s="175">
        <f t="shared" si="19"/>
        <v>0</v>
      </c>
      <c r="F19" s="175">
        <f t="shared" si="0"/>
        <v>2</v>
      </c>
      <c r="G19" s="166"/>
      <c r="H19" s="180" t="str">
        <f t="shared" si="1"/>
        <v xml:space="preserve">Mason Mount &amp; Stuart Dallas 1+ shots on target each </v>
      </c>
      <c r="I19" s="166"/>
      <c r="J19" s="181">
        <f>INDEX(Resulting_Shots_Totals,MATCH('Stats RABs'!B19,Resulting_Shots_Players,0))</f>
        <v>0</v>
      </c>
      <c r="K19" s="189">
        <f>INDEX(Resulting_Shots_Totals,MATCH('Stats RABs'!C19,Resulting_Shots_Players,0))</f>
        <v>0</v>
      </c>
      <c r="L19" s="182" t="str">
        <f t="shared" si="11"/>
        <v>L</v>
      </c>
      <c r="M19" s="166"/>
      <c r="N19" s="181">
        <f t="shared" si="2"/>
        <v>0.83835000000000004</v>
      </c>
      <c r="O19" s="182">
        <f t="shared" si="3"/>
        <v>0.53849999999999998</v>
      </c>
      <c r="P19" s="166"/>
      <c r="Q19" s="181">
        <f t="shared" si="20"/>
        <v>1.7618768277617307</v>
      </c>
      <c r="R19" s="182">
        <f t="shared" si="21"/>
        <v>2.4016698176523326</v>
      </c>
      <c r="S19" s="166"/>
      <c r="T19" s="172" t="str">
        <f>TacklesPlayer4</f>
        <v>Ben Chilwell</v>
      </c>
      <c r="U19" s="173" t="str">
        <f>TacklesPlayer9</f>
        <v>Ezgjan Alioski</v>
      </c>
      <c r="V19" s="174" t="s">
        <v>27</v>
      </c>
      <c r="W19" s="175">
        <f t="shared" si="22"/>
        <v>1</v>
      </c>
      <c r="X19" s="175">
        <f t="shared" si="4"/>
        <v>2</v>
      </c>
      <c r="Y19" s="166"/>
      <c r="Z19" s="176" t="str">
        <f t="shared" si="14"/>
        <v xml:space="preserve">Ben Chilwell &amp; Ezgjan Alioski 2+ tackles each </v>
      </c>
      <c r="AA19" s="166"/>
      <c r="AB19" s="181">
        <f t="shared" si="5"/>
        <v>1.4391</v>
      </c>
      <c r="AC19" s="182">
        <f t="shared" si="6"/>
        <v>2.4430000000000001</v>
      </c>
      <c r="AD19" s="166"/>
      <c r="AE19" s="181">
        <f t="shared" si="23"/>
        <v>2.3719774494781904</v>
      </c>
      <c r="AF19" s="182">
        <f t="shared" si="24"/>
        <v>1.4269322426570266</v>
      </c>
      <c r="AG19" s="166"/>
      <c r="AH19" s="181">
        <f>INDEX(Resulting_Tackles_Totals,MATCH('Stats RABs'!T19,Resulting_Tackles_Players,0))</f>
        <v>0</v>
      </c>
      <c r="AI19" s="189">
        <f>INDEX(Resulting_Tackles_Totals,MATCH('Stats RABs'!U19,Resulting_Tackles_Players,0))</f>
        <v>0</v>
      </c>
      <c r="AJ19" s="182" t="str">
        <f t="shared" si="17"/>
        <v>L</v>
      </c>
      <c r="AK19" s="166"/>
      <c r="AL19" s="181">
        <f t="shared" si="7"/>
        <v>14.321969717602087</v>
      </c>
      <c r="AM19" s="183">
        <f>IFERROR(INDEX(FractionalPriceLookUp,MATCH('Stats RABs'!AL19,DecimalPriceLookUp,1)),"")</f>
        <v>9</v>
      </c>
      <c r="AN19" s="166"/>
      <c r="AO19" s="180" t="str">
        <f t="shared" si="8"/>
        <v xml:space="preserve">Mason Mount &amp; Stuart Dallas 1+ shots on target each and Ben Chilwell &amp; Ezgjan Alioski 2+ tackles each </v>
      </c>
      <c r="AQ19" s="182" t="str">
        <f t="shared" si="9"/>
        <v>L</v>
      </c>
    </row>
    <row r="20" spans="2:43" x14ac:dyDescent="0.25">
      <c r="B20" s="172" t="str">
        <f>ShotsPlayer1</f>
        <v>Timo Werner</v>
      </c>
      <c r="C20" s="173" t="str">
        <f>ShotsPlayer6</f>
        <v>Patrick Bamford</v>
      </c>
      <c r="D20" s="184" t="s">
        <v>28</v>
      </c>
      <c r="E20" s="175">
        <f t="shared" si="19"/>
        <v>2</v>
      </c>
      <c r="F20" s="175">
        <f t="shared" si="0"/>
        <v>2</v>
      </c>
      <c r="G20" s="166"/>
      <c r="H20" s="185" t="str">
        <f t="shared" si="1"/>
        <v xml:space="preserve">Timo Werner &amp; Patrick Bamford 3+ shots on target each </v>
      </c>
      <c r="I20" s="166"/>
      <c r="J20" s="186">
        <f>INDEX(Resulting_Shots_Totals,MATCH('Stats RABs'!B20,Resulting_Shots_Players,0))</f>
        <v>0</v>
      </c>
      <c r="K20" s="190">
        <f>INDEX(Resulting_Shots_Totals,MATCH('Stats RABs'!C20,Resulting_Shots_Players,0))</f>
        <v>0</v>
      </c>
      <c r="L20" s="182" t="str">
        <f t="shared" si="11"/>
        <v>L</v>
      </c>
      <c r="M20" s="166"/>
      <c r="N20" s="186">
        <f t="shared" si="2"/>
        <v>1.55871</v>
      </c>
      <c r="O20" s="187">
        <f t="shared" si="3"/>
        <v>0.97648000000000001</v>
      </c>
      <c r="P20" s="166"/>
      <c r="Q20" s="186">
        <f t="shared" si="20"/>
        <v>4.8537020980219205</v>
      </c>
      <c r="R20" s="187">
        <f t="shared" si="21"/>
        <v>13.153324275027012</v>
      </c>
      <c r="S20" s="166"/>
      <c r="T20" s="172" t="str">
        <f>TacklesPlayer2</f>
        <v>Reece James</v>
      </c>
      <c r="U20" s="173" t="str">
        <f>TacklesPlayer7</f>
        <v>Stuart Dallas</v>
      </c>
      <c r="V20" s="184" t="s">
        <v>28</v>
      </c>
      <c r="W20" s="175">
        <f t="shared" si="22"/>
        <v>2</v>
      </c>
      <c r="X20" s="175">
        <f t="shared" si="4"/>
        <v>2</v>
      </c>
      <c r="Y20" s="166"/>
      <c r="Z20" s="176" t="str">
        <f t="shared" si="14"/>
        <v xml:space="preserve">Reece James &amp; Stuart Dallas 3+ tackles each </v>
      </c>
      <c r="AA20" s="166"/>
      <c r="AB20" s="186">
        <f t="shared" si="5"/>
        <v>2.2385999999999999</v>
      </c>
      <c r="AC20" s="187">
        <f t="shared" si="6"/>
        <v>2.4081000000000001</v>
      </c>
      <c r="AD20" s="166"/>
      <c r="AE20" s="186">
        <f t="shared" si="23"/>
        <v>2.5798635079595975</v>
      </c>
      <c r="AF20" s="187">
        <f t="shared" si="24"/>
        <v>2.3126409007581858</v>
      </c>
      <c r="AG20" s="166"/>
      <c r="AH20" s="186">
        <f>INDEX(Resulting_Tackles_Totals,MATCH('Stats RABs'!T20,Resulting_Tackles_Players,0))</f>
        <v>0</v>
      </c>
      <c r="AI20" s="190">
        <f>INDEX(Resulting_Tackles_Totals,MATCH('Stats RABs'!U20,Resulting_Tackles_Players,0))</f>
        <v>0</v>
      </c>
      <c r="AJ20" s="182" t="str">
        <f t="shared" si="17"/>
        <v>L</v>
      </c>
      <c r="AK20" s="166"/>
      <c r="AL20" s="186">
        <f t="shared" si="7"/>
        <v>380.90228349057816</v>
      </c>
      <c r="AM20" s="188">
        <f>IFERROR(INDEX(FractionalPriceLookUp,MATCH('Stats RABs'!AL20,DecimalPriceLookUp,1)),"")</f>
        <v>200</v>
      </c>
      <c r="AN20" s="166"/>
      <c r="AO20" s="185" t="str">
        <f t="shared" si="8"/>
        <v xml:space="preserve">Timo Werner &amp; Patrick Bamford 3+ shots on target each and Reece James &amp; Stuart Dallas 3+ tackles each </v>
      </c>
      <c r="AQ20" s="182" t="str">
        <f t="shared" si="9"/>
        <v>L</v>
      </c>
    </row>
    <row r="21" spans="2:43" x14ac:dyDescent="0.25">
      <c r="D21" s="10"/>
    </row>
    <row r="22" spans="2:43" x14ac:dyDescent="0.25">
      <c r="D22" s="10"/>
    </row>
    <row r="23" spans="2:43" x14ac:dyDescent="0.25">
      <c r="D23" s="10"/>
    </row>
    <row r="24" spans="2:43" x14ac:dyDescent="0.25">
      <c r="D24" s="10"/>
    </row>
    <row r="25" spans="2:43" x14ac:dyDescent="0.25">
      <c r="D25" s="10"/>
    </row>
    <row r="26" spans="2:43" x14ac:dyDescent="0.25">
      <c r="D26" s="10"/>
    </row>
    <row r="27" spans="2:43" x14ac:dyDescent="0.25">
      <c r="D27" s="10"/>
    </row>
    <row r="28" spans="2:43" x14ac:dyDescent="0.25">
      <c r="D28" s="10"/>
    </row>
  </sheetData>
  <dataValidations disablePrompts="1" count="1">
    <dataValidation type="list" allowBlank="1" showInputMessage="1" showErrorMessage="1" sqref="V3:V20 D3:D20" xr:uid="{00000000-0002-0000-0600-000000000000}">
      <formula1>SoT_Totals_List</formula1>
    </dataValidation>
  </dataValidations>
  <pageMargins left="0.7" right="0.7" top="0.75" bottom="0.75" header="0.3" footer="0.3"/>
  <pageSetup paperSize="9" orientation="portrait" r:id="rId1"/>
  <ignoredErrors>
    <ignoredError sqref="T10 B15" 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F23"/>
  <sheetViews>
    <sheetView workbookViewId="0">
      <selection activeCell="E24" sqref="E24"/>
    </sheetView>
  </sheetViews>
  <sheetFormatPr defaultColWidth="9.140625" defaultRowHeight="15" x14ac:dyDescent="0.25"/>
  <cols>
    <col min="1" max="1" width="2.7109375" style="107" customWidth="1"/>
    <col min="2" max="2" width="25.7109375" style="107" customWidth="1"/>
    <col min="3" max="3" width="15.7109375" style="107" customWidth="1"/>
    <col min="4" max="4" width="2.7109375" style="107" customWidth="1"/>
    <col min="5" max="5" width="25.7109375" style="107" customWidth="1"/>
    <col min="6" max="6" width="15.7109375" style="107" customWidth="1"/>
    <col min="7" max="16384" width="9.140625" style="107"/>
  </cols>
  <sheetData>
    <row r="2" spans="2:6" ht="24.95" customHeight="1" x14ac:dyDescent="0.3">
      <c r="B2" s="204" t="s">
        <v>10</v>
      </c>
      <c r="C2" s="204"/>
      <c r="D2" s="109"/>
      <c r="E2" s="204" t="s">
        <v>138</v>
      </c>
      <c r="F2" s="204"/>
    </row>
    <row r="3" spans="2:6" x14ac:dyDescent="0.25">
      <c r="B3" s="108" t="s">
        <v>12</v>
      </c>
      <c r="C3" s="108" t="s">
        <v>148</v>
      </c>
      <c r="E3" s="108" t="s">
        <v>12</v>
      </c>
      <c r="F3" s="108" t="s">
        <v>61</v>
      </c>
    </row>
    <row r="4" spans="2:6" x14ac:dyDescent="0.25">
      <c r="B4" s="105" t="str">
        <f>ShotsPlayer1</f>
        <v>Timo Werner</v>
      </c>
      <c r="C4" s="106"/>
      <c r="E4" s="105" t="str">
        <f>TacklesPlayer1</f>
        <v>N'Golo Kante</v>
      </c>
      <c r="F4" s="106"/>
    </row>
    <row r="5" spans="2:6" x14ac:dyDescent="0.25">
      <c r="B5" s="105" t="str">
        <f>ShotsPlayer2</f>
        <v>Tammy Abraham</v>
      </c>
      <c r="C5" s="106"/>
      <c r="E5" s="105" t="str">
        <f>TacklesPlayer2</f>
        <v>Reece James</v>
      </c>
      <c r="F5" s="106"/>
    </row>
    <row r="6" spans="2:6" x14ac:dyDescent="0.25">
      <c r="B6" s="105" t="str">
        <f>ShotsPlayer3</f>
        <v>Hakim Ziyech</v>
      </c>
      <c r="C6" s="106"/>
      <c r="E6" s="105" t="str">
        <f>TacklesPlayer3</f>
        <v>Mateo Kovacic</v>
      </c>
      <c r="F6" s="106"/>
    </row>
    <row r="7" spans="2:6" x14ac:dyDescent="0.25">
      <c r="B7" s="105" t="str">
        <f>ShotsPlayer4</f>
        <v>Mason Mount</v>
      </c>
      <c r="C7" s="106"/>
      <c r="E7" s="105" t="str">
        <f>TacklesPlayer4</f>
        <v>Ben Chilwell</v>
      </c>
      <c r="F7" s="106"/>
    </row>
    <row r="8" spans="2:6" x14ac:dyDescent="0.25">
      <c r="B8" s="105" t="str">
        <f>ShotsPlayer5</f>
        <v>Mateo Kovacic</v>
      </c>
      <c r="C8" s="106"/>
      <c r="E8" s="105" t="str">
        <f>TacklesPlayer5</f>
        <v>Thiago Silva</v>
      </c>
      <c r="F8" s="106"/>
    </row>
    <row r="9" spans="2:6" x14ac:dyDescent="0.25">
      <c r="B9" s="105" t="str">
        <f>ShotsPlayer6</f>
        <v>Patrick Bamford</v>
      </c>
      <c r="C9" s="106"/>
      <c r="E9" s="105" t="str">
        <f>TacklesPlayer6</f>
        <v>Kalvin Phillips</v>
      </c>
      <c r="F9" s="106"/>
    </row>
    <row r="10" spans="2:6" x14ac:dyDescent="0.25">
      <c r="B10" s="105" t="str">
        <f>ShotsPlayer7</f>
        <v>Raphinha</v>
      </c>
      <c r="C10" s="106"/>
      <c r="E10" s="105" t="str">
        <f>TacklesPlayer7</f>
        <v>Stuart Dallas</v>
      </c>
      <c r="F10" s="106"/>
    </row>
    <row r="11" spans="2:6" x14ac:dyDescent="0.25">
      <c r="B11" s="105" t="str">
        <f>ShotsPlayer8</f>
        <v>Mateusz Klich</v>
      </c>
      <c r="C11" s="106"/>
      <c r="E11" s="105" t="str">
        <f>TacklesPlayer8</f>
        <v>Luke Ayling</v>
      </c>
      <c r="F11" s="106"/>
    </row>
    <row r="12" spans="2:6" x14ac:dyDescent="0.25">
      <c r="B12" s="105" t="str">
        <f>ShotsPlayer9</f>
        <v>Stuart Dallas</v>
      </c>
      <c r="C12" s="106"/>
      <c r="E12" s="105" t="str">
        <f>TacklesPlayer9</f>
        <v>Ezgjan Alioski</v>
      </c>
      <c r="F12" s="106"/>
    </row>
    <row r="13" spans="2:6" x14ac:dyDescent="0.25">
      <c r="B13" s="105" t="str">
        <f>ShotsPlayer10</f>
        <v>Jack Harrison</v>
      </c>
      <c r="C13" s="106"/>
      <c r="E13" s="105" t="str">
        <f>TacklesPlayer10</f>
        <v>Robin Koch</v>
      </c>
      <c r="F13" s="106"/>
    </row>
    <row r="14" spans="2:6" x14ac:dyDescent="0.25">
      <c r="B14" s="105">
        <f>ShotsPlayer11</f>
        <v>0</v>
      </c>
      <c r="C14" s="95"/>
      <c r="E14" s="105">
        <f>TacklesPlayer11</f>
        <v>0</v>
      </c>
      <c r="F14" s="95"/>
    </row>
    <row r="15" spans="2:6" x14ac:dyDescent="0.25">
      <c r="B15" s="105">
        <f>ShotsPlayer12</f>
        <v>0</v>
      </c>
      <c r="C15" s="95"/>
      <c r="E15" s="105">
        <f>TacklesPlayer12</f>
        <v>0</v>
      </c>
      <c r="F15" s="95"/>
    </row>
    <row r="16" spans="2:6" x14ac:dyDescent="0.25">
      <c r="B16" s="105">
        <f>ShotsPlayer13</f>
        <v>0</v>
      </c>
      <c r="C16" s="95"/>
      <c r="E16" s="105">
        <f>TacklesPlayer13</f>
        <v>0</v>
      </c>
      <c r="F16" s="95"/>
    </row>
    <row r="17" spans="2:6" x14ac:dyDescent="0.25">
      <c r="B17" s="105">
        <f>ShotsPlayer14</f>
        <v>0</v>
      </c>
      <c r="C17" s="95"/>
      <c r="E17" s="105">
        <f>TacklesPlayer14</f>
        <v>0</v>
      </c>
      <c r="F17" s="95"/>
    </row>
    <row r="18" spans="2:6" x14ac:dyDescent="0.25">
      <c r="B18" s="105">
        <f>ShotsPlayer15</f>
        <v>0</v>
      </c>
      <c r="C18" s="95"/>
      <c r="E18" s="105">
        <f>TacklesPlayer15</f>
        <v>0</v>
      </c>
      <c r="F18" s="95"/>
    </row>
    <row r="19" spans="2:6" x14ac:dyDescent="0.25">
      <c r="B19" s="105">
        <f>ShotsPlayer16</f>
        <v>0</v>
      </c>
      <c r="C19" s="95"/>
      <c r="E19" s="105">
        <f>TacklesPlayer16</f>
        <v>0</v>
      </c>
      <c r="F19" s="95"/>
    </row>
    <row r="20" spans="2:6" x14ac:dyDescent="0.25">
      <c r="B20" s="105">
        <f>ShotsPlayer17</f>
        <v>0</v>
      </c>
      <c r="C20" s="95"/>
      <c r="E20" s="105">
        <f>TacklesPlayer17</f>
        <v>0</v>
      </c>
      <c r="F20" s="95"/>
    </row>
    <row r="21" spans="2:6" x14ac:dyDescent="0.25">
      <c r="B21" s="105">
        <f>ShotsPlayer18</f>
        <v>0</v>
      </c>
      <c r="C21" s="95"/>
      <c r="E21" s="105">
        <f>TacklesPlayer18</f>
        <v>0</v>
      </c>
      <c r="F21" s="95"/>
    </row>
    <row r="22" spans="2:6" x14ac:dyDescent="0.25">
      <c r="B22" s="105">
        <f>ShotsPlayer19</f>
        <v>0</v>
      </c>
      <c r="C22" s="95"/>
      <c r="E22" s="105">
        <f>TacklesPlayer19</f>
        <v>0</v>
      </c>
      <c r="F22" s="95"/>
    </row>
    <row r="23" spans="2:6" x14ac:dyDescent="0.25">
      <c r="B23" s="105">
        <f>ShotsPlayer20</f>
        <v>0</v>
      </c>
      <c r="C23" s="95"/>
      <c r="E23" s="105">
        <f>TacklesPlayer20</f>
        <v>0</v>
      </c>
      <c r="F23" s="95"/>
    </row>
  </sheetData>
  <mergeCells count="2">
    <mergeCell ref="B2:C2"/>
    <mergeCell ref="E2:F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8">
          <controlPr defaultSize="0" autoLine="0" r:id="rId5">
            <anchor moveWithCells="1">
              <from>
                <xdr:col>7</xdr:col>
                <xdr:colOff>47625</xdr:colOff>
                <xdr:row>7</xdr:row>
                <xdr:rowOff>104775</xdr:rowOff>
              </from>
              <to>
                <xdr:col>10</xdr:col>
                <xdr:colOff>304800</xdr:colOff>
                <xdr:row>12</xdr:row>
                <xdr:rowOff>0</xdr:rowOff>
              </to>
            </anchor>
          </controlPr>
        </control>
      </mc:Choice>
      <mc:Fallback>
        <control shapeId="6145" r:id="rId4" name="CommandButton8"/>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99"/>
  <sheetViews>
    <sheetView topLeftCell="D78" workbookViewId="0">
      <selection activeCell="M100" sqref="M100"/>
    </sheetView>
  </sheetViews>
  <sheetFormatPr defaultRowHeight="15" x14ac:dyDescent="0.25"/>
  <cols>
    <col min="1" max="1" width="13.85546875" customWidth="1"/>
    <col min="2" max="2" width="13.5703125" customWidth="1"/>
    <col min="3" max="3" width="19.85546875" style="73" customWidth="1"/>
    <col min="4" max="4" width="16.42578125" style="73" customWidth="1"/>
    <col min="5" max="5" width="18.28515625" style="69" bestFit="1" customWidth="1"/>
    <col min="6" max="6" width="30.85546875" customWidth="1"/>
    <col min="7" max="7" width="110.7109375" style="73" customWidth="1"/>
    <col min="8" max="12" width="10" customWidth="1"/>
  </cols>
  <sheetData>
    <row r="1" spans="1:13" x14ac:dyDescent="0.25">
      <c r="A1" s="67" t="s">
        <v>69</v>
      </c>
      <c r="B1" s="67" t="s">
        <v>70</v>
      </c>
      <c r="C1" s="110" t="s">
        <v>71</v>
      </c>
      <c r="D1" s="110" t="s">
        <v>72</v>
      </c>
      <c r="E1" s="68" t="s">
        <v>73</v>
      </c>
      <c r="F1" s="67" t="s">
        <v>106</v>
      </c>
      <c r="G1" s="110" t="s">
        <v>129</v>
      </c>
      <c r="H1" s="67" t="s">
        <v>145</v>
      </c>
      <c r="I1" s="67" t="s">
        <v>112</v>
      </c>
      <c r="J1" s="67" t="s">
        <v>108</v>
      </c>
      <c r="K1" s="67" t="s">
        <v>146</v>
      </c>
      <c r="L1" s="67" t="s">
        <v>147</v>
      </c>
      <c r="M1" s="67" t="s">
        <v>149</v>
      </c>
    </row>
    <row r="2" spans="1:13" x14ac:dyDescent="0.25">
      <c r="A2" t="s">
        <v>104</v>
      </c>
      <c r="B2" t="s">
        <v>105</v>
      </c>
      <c r="C2" s="73" t="str">
        <f t="shared" ref="C2:C33" si="0">TYPE</f>
        <v>Premier League</v>
      </c>
      <c r="D2" s="73" t="str">
        <f t="shared" ref="D2:D33" si="1">EVENT</f>
        <v>|Chelsea| |.v| |Leeds United|</v>
      </c>
      <c r="E2" s="69">
        <f t="shared" ref="E2:E33" si="2">DATE</f>
        <v>44170.833333333336</v>
      </c>
      <c r="F2" t="s">
        <v>126</v>
      </c>
      <c r="G2" s="73">
        <f>'Shots Selections'!AA7</f>
        <v>0</v>
      </c>
      <c r="H2" s="99" t="str">
        <f>'Shots Selections'!T7</f>
        <v>L</v>
      </c>
      <c r="M2" t="str">
        <f>IF(OR(H2="",'Shots Selections'!AB7="No"),"Don't Export","Export")</f>
        <v>Don't Export</v>
      </c>
    </row>
    <row r="3" spans="1:13" x14ac:dyDescent="0.25">
      <c r="A3" t="s">
        <v>104</v>
      </c>
      <c r="B3" t="s">
        <v>105</v>
      </c>
      <c r="C3" s="73" t="str">
        <f t="shared" si="0"/>
        <v>Premier League</v>
      </c>
      <c r="D3" s="73" t="str">
        <f t="shared" si="1"/>
        <v>|Chelsea| |.v| |Leeds United|</v>
      </c>
      <c r="E3" s="69">
        <f t="shared" si="2"/>
        <v>44170.833333333336</v>
      </c>
      <c r="F3" t="s">
        <v>126</v>
      </c>
      <c r="G3" s="73">
        <f>'Shots Selections'!AA8</f>
        <v>0</v>
      </c>
      <c r="H3" s="99" t="str">
        <f>'Shots Selections'!T8</f>
        <v>L</v>
      </c>
      <c r="M3" t="str">
        <f>IF(OR(H3="",'Shots Selections'!AB8="No"),"Don't Export","Export")</f>
        <v>Don't Export</v>
      </c>
    </row>
    <row r="4" spans="1:13" x14ac:dyDescent="0.25">
      <c r="A4" t="s">
        <v>104</v>
      </c>
      <c r="B4" t="s">
        <v>105</v>
      </c>
      <c r="C4" s="73" t="str">
        <f t="shared" si="0"/>
        <v>Premier League</v>
      </c>
      <c r="D4" s="73" t="str">
        <f t="shared" si="1"/>
        <v>|Chelsea| |.v| |Leeds United|</v>
      </c>
      <c r="E4" s="69">
        <f t="shared" si="2"/>
        <v>44170.833333333336</v>
      </c>
      <c r="F4" t="s">
        <v>126</v>
      </c>
      <c r="G4" s="73">
        <f>'Shots Selections'!AA9</f>
        <v>0</v>
      </c>
      <c r="H4" s="99" t="str">
        <f>'Shots Selections'!T9</f>
        <v>L</v>
      </c>
      <c r="M4" t="str">
        <f>IF(OR(H4="",'Shots Selections'!AB9="No"),"Don't Export","Export")</f>
        <v>Don't Export</v>
      </c>
    </row>
    <row r="5" spans="1:13" x14ac:dyDescent="0.25">
      <c r="A5" t="s">
        <v>104</v>
      </c>
      <c r="B5" t="s">
        <v>105</v>
      </c>
      <c r="C5" s="73" t="str">
        <f t="shared" si="0"/>
        <v>Premier League</v>
      </c>
      <c r="D5" s="73" t="str">
        <f t="shared" si="1"/>
        <v>|Chelsea| |.v| |Leeds United|</v>
      </c>
      <c r="E5" s="69">
        <f t="shared" si="2"/>
        <v>44170.833333333336</v>
      </c>
      <c r="F5" t="s">
        <v>126</v>
      </c>
      <c r="G5" s="73">
        <f>'Shots Selections'!AA10</f>
        <v>0</v>
      </c>
      <c r="H5" s="99" t="str">
        <f>'Shots Selections'!T10</f>
        <v>L</v>
      </c>
      <c r="M5" t="str">
        <f>IF(OR(H5="",'Shots Selections'!AB10="No"),"Don't Export","Export")</f>
        <v>Don't Export</v>
      </c>
    </row>
    <row r="6" spans="1:13" x14ac:dyDescent="0.25">
      <c r="A6" t="s">
        <v>104</v>
      </c>
      <c r="B6" t="s">
        <v>105</v>
      </c>
      <c r="C6" s="73" t="str">
        <f t="shared" si="0"/>
        <v>Premier League</v>
      </c>
      <c r="D6" s="73" t="str">
        <f t="shared" si="1"/>
        <v>|Chelsea| |.v| |Leeds United|</v>
      </c>
      <c r="E6" s="69">
        <f t="shared" si="2"/>
        <v>44170.833333333336</v>
      </c>
      <c r="F6" t="s">
        <v>126</v>
      </c>
      <c r="G6" s="73">
        <f>'Shots Selections'!AA11</f>
        <v>0</v>
      </c>
      <c r="H6" s="99" t="str">
        <f>'Shots Selections'!T11</f>
        <v>L</v>
      </c>
      <c r="M6" t="str">
        <f>IF(OR(H6="",'Shots Selections'!AB11="No"),"Don't Export","Export")</f>
        <v>Don't Export</v>
      </c>
    </row>
    <row r="7" spans="1:13" x14ac:dyDescent="0.25">
      <c r="A7" t="s">
        <v>104</v>
      </c>
      <c r="B7" t="s">
        <v>105</v>
      </c>
      <c r="C7" s="73" t="str">
        <f t="shared" si="0"/>
        <v>Premier League</v>
      </c>
      <c r="D7" s="73" t="str">
        <f t="shared" si="1"/>
        <v>|Chelsea| |.v| |Leeds United|</v>
      </c>
      <c r="E7" s="69">
        <f t="shared" si="2"/>
        <v>44170.833333333336</v>
      </c>
      <c r="F7" t="s">
        <v>126</v>
      </c>
      <c r="G7" s="73">
        <f>'Shots Selections'!AA12</f>
        <v>0</v>
      </c>
      <c r="H7" s="99" t="str">
        <f>'Shots Selections'!T12</f>
        <v>L</v>
      </c>
      <c r="M7" t="str">
        <f>IF(OR(H7="",'Shots Selections'!AB12="No"),"Don't Export","Export")</f>
        <v>Don't Export</v>
      </c>
    </row>
    <row r="8" spans="1:13" x14ac:dyDescent="0.25">
      <c r="A8" t="s">
        <v>104</v>
      </c>
      <c r="B8" t="s">
        <v>105</v>
      </c>
      <c r="C8" s="73" t="str">
        <f t="shared" si="0"/>
        <v>Premier League</v>
      </c>
      <c r="D8" s="73" t="str">
        <f t="shared" si="1"/>
        <v>|Chelsea| |.v| |Leeds United|</v>
      </c>
      <c r="E8" s="69">
        <f t="shared" si="2"/>
        <v>44170.833333333336</v>
      </c>
      <c r="F8" t="s">
        <v>126</v>
      </c>
      <c r="G8" s="73">
        <f>'Shots Selections'!AA13</f>
        <v>0</v>
      </c>
      <c r="H8" s="99" t="str">
        <f>'Shots Selections'!T13</f>
        <v>L</v>
      </c>
      <c r="M8" t="str">
        <f>IF(OR(H8="",'Shots Selections'!AB13="No"),"Don't Export","Export")</f>
        <v>Don't Export</v>
      </c>
    </row>
    <row r="9" spans="1:13" x14ac:dyDescent="0.25">
      <c r="A9" t="s">
        <v>104</v>
      </c>
      <c r="B9" t="s">
        <v>105</v>
      </c>
      <c r="C9" s="73" t="str">
        <f t="shared" si="0"/>
        <v>Premier League</v>
      </c>
      <c r="D9" s="73" t="str">
        <f t="shared" si="1"/>
        <v>|Chelsea| |.v| |Leeds United|</v>
      </c>
      <c r="E9" s="69">
        <f t="shared" si="2"/>
        <v>44170.833333333336</v>
      </c>
      <c r="F9" t="s">
        <v>126</v>
      </c>
      <c r="G9" s="73">
        <f>'Shots Selections'!AA14</f>
        <v>0</v>
      </c>
      <c r="H9" s="99" t="str">
        <f>'Shots Selections'!T14</f>
        <v>L</v>
      </c>
      <c r="M9" t="str">
        <f>IF(OR(H9="",'Shots Selections'!AB14="No"),"Don't Export","Export")</f>
        <v>Don't Export</v>
      </c>
    </row>
    <row r="10" spans="1:13" x14ac:dyDescent="0.25">
      <c r="A10" t="s">
        <v>104</v>
      </c>
      <c r="B10" t="s">
        <v>105</v>
      </c>
      <c r="C10" s="73" t="str">
        <f t="shared" si="0"/>
        <v>Premier League</v>
      </c>
      <c r="D10" s="73" t="str">
        <f t="shared" si="1"/>
        <v>|Chelsea| |.v| |Leeds United|</v>
      </c>
      <c r="E10" s="69">
        <f t="shared" si="2"/>
        <v>44170.833333333336</v>
      </c>
      <c r="F10" t="s">
        <v>126</v>
      </c>
      <c r="G10" s="73">
        <f>'Shots Selections'!AA15</f>
        <v>0</v>
      </c>
      <c r="H10" s="99" t="str">
        <f>'Shots Selections'!T15</f>
        <v>L</v>
      </c>
      <c r="M10" t="str">
        <f>IF(OR(H10="",'Shots Selections'!AB15="No"),"Don't Export","Export")</f>
        <v>Don't Export</v>
      </c>
    </row>
    <row r="11" spans="1:13" x14ac:dyDescent="0.25">
      <c r="A11" t="s">
        <v>104</v>
      </c>
      <c r="B11" t="s">
        <v>105</v>
      </c>
      <c r="C11" s="73" t="str">
        <f t="shared" si="0"/>
        <v>Premier League</v>
      </c>
      <c r="D11" s="73" t="str">
        <f t="shared" si="1"/>
        <v>|Chelsea| |.v| |Leeds United|</v>
      </c>
      <c r="E11" s="69">
        <f t="shared" si="2"/>
        <v>44170.833333333336</v>
      </c>
      <c r="F11" t="s">
        <v>126</v>
      </c>
      <c r="G11" s="73">
        <f>'Shots Selections'!AA16</f>
        <v>0</v>
      </c>
      <c r="H11" s="99" t="str">
        <f>'Shots Selections'!T16</f>
        <v>L</v>
      </c>
      <c r="M11" t="str">
        <f>IF(OR(H11="",'Shots Selections'!AB16="No"),"Don't Export","Export")</f>
        <v>Don't Export</v>
      </c>
    </row>
    <row r="12" spans="1:13" x14ac:dyDescent="0.25">
      <c r="A12" t="s">
        <v>104</v>
      </c>
      <c r="B12" t="s">
        <v>105</v>
      </c>
      <c r="C12" s="73" t="str">
        <f t="shared" si="0"/>
        <v>Premier League</v>
      </c>
      <c r="D12" s="73" t="str">
        <f t="shared" si="1"/>
        <v>|Chelsea| |.v| |Leeds United|</v>
      </c>
      <c r="E12" s="69">
        <f t="shared" si="2"/>
        <v>44170.833333333336</v>
      </c>
      <c r="F12" t="s">
        <v>126</v>
      </c>
      <c r="G12" s="73">
        <f>'Shots Selections'!AA17</f>
        <v>0</v>
      </c>
      <c r="H12" s="99" t="str">
        <f>'Shots Selections'!T17</f>
        <v>L</v>
      </c>
      <c r="M12" t="str">
        <f>IF(OR(H12="",'Shots Selections'!AB17="No"),"Don't Export","Export")</f>
        <v>Don't Export</v>
      </c>
    </row>
    <row r="13" spans="1:13" x14ac:dyDescent="0.25">
      <c r="A13" t="s">
        <v>104</v>
      </c>
      <c r="B13" t="s">
        <v>105</v>
      </c>
      <c r="C13" s="73" t="str">
        <f t="shared" si="0"/>
        <v>Premier League</v>
      </c>
      <c r="D13" s="73" t="str">
        <f t="shared" si="1"/>
        <v>|Chelsea| |.v| |Leeds United|</v>
      </c>
      <c r="E13" s="69">
        <f t="shared" si="2"/>
        <v>44170.833333333336</v>
      </c>
      <c r="F13" t="s">
        <v>126</v>
      </c>
      <c r="G13" s="73">
        <f>'Shots Selections'!AA18</f>
        <v>0</v>
      </c>
      <c r="H13" s="99" t="str">
        <f>'Shots Selections'!T18</f>
        <v>L</v>
      </c>
      <c r="M13" t="str">
        <f>IF(OR(H13="",'Shots Selections'!AB18="No"),"Don't Export","Export")</f>
        <v>Don't Export</v>
      </c>
    </row>
    <row r="14" spans="1:13" x14ac:dyDescent="0.25">
      <c r="A14" t="s">
        <v>104</v>
      </c>
      <c r="B14" t="s">
        <v>105</v>
      </c>
      <c r="C14" s="73" t="str">
        <f t="shared" si="0"/>
        <v>Premier League</v>
      </c>
      <c r="D14" s="73" t="str">
        <f t="shared" si="1"/>
        <v>|Chelsea| |.v| |Leeds United|</v>
      </c>
      <c r="E14" s="69">
        <f t="shared" si="2"/>
        <v>44170.833333333336</v>
      </c>
      <c r="F14" t="s">
        <v>126</v>
      </c>
      <c r="G14" s="73">
        <f>'Shots Selections'!AA19</f>
        <v>0</v>
      </c>
      <c r="H14" s="99" t="str">
        <f>'Shots Selections'!T19</f>
        <v>L</v>
      </c>
      <c r="M14" t="str">
        <f>IF(OR(H14="",'Shots Selections'!AB19="No"),"Don't Export","Export")</f>
        <v>Don't Export</v>
      </c>
    </row>
    <row r="15" spans="1:13" x14ac:dyDescent="0.25">
      <c r="A15" t="s">
        <v>104</v>
      </c>
      <c r="B15" t="s">
        <v>105</v>
      </c>
      <c r="C15" s="73" t="str">
        <f t="shared" si="0"/>
        <v>Premier League</v>
      </c>
      <c r="D15" s="73" t="str">
        <f t="shared" si="1"/>
        <v>|Chelsea| |.v| |Leeds United|</v>
      </c>
      <c r="E15" s="69">
        <f t="shared" si="2"/>
        <v>44170.833333333336</v>
      </c>
      <c r="F15" t="s">
        <v>126</v>
      </c>
      <c r="G15" s="73">
        <f>'Shots Selections'!AA20</f>
        <v>0</v>
      </c>
      <c r="H15" s="99" t="str">
        <f>'Shots Selections'!T20</f>
        <v>L</v>
      </c>
      <c r="M15" t="str">
        <f>IF(OR(H15="",'Shots Selections'!AB20="No"),"Don't Export","Export")</f>
        <v>Don't Export</v>
      </c>
    </row>
    <row r="16" spans="1:13" x14ac:dyDescent="0.25">
      <c r="A16" t="s">
        <v>104</v>
      </c>
      <c r="B16" t="s">
        <v>105</v>
      </c>
      <c r="C16" s="73" t="str">
        <f t="shared" si="0"/>
        <v>Premier League</v>
      </c>
      <c r="D16" s="73" t="str">
        <f t="shared" si="1"/>
        <v>|Chelsea| |.v| |Leeds United|</v>
      </c>
      <c r="E16" s="69">
        <f t="shared" si="2"/>
        <v>44170.833333333336</v>
      </c>
      <c r="F16" t="s">
        <v>126</v>
      </c>
      <c r="G16" s="73">
        <f>'Shots Selections'!AA21</f>
        <v>0</v>
      </c>
      <c r="H16" s="99" t="str">
        <f>'Shots Selections'!T21</f>
        <v>L</v>
      </c>
      <c r="M16" t="str">
        <f>IF(OR(H16="",'Shots Selections'!AB21="No"),"Don't Export","Export")</f>
        <v>Don't Export</v>
      </c>
    </row>
    <row r="17" spans="1:13" x14ac:dyDescent="0.25">
      <c r="A17" t="s">
        <v>104</v>
      </c>
      <c r="B17" t="s">
        <v>105</v>
      </c>
      <c r="C17" s="73" t="str">
        <f t="shared" si="0"/>
        <v>Premier League</v>
      </c>
      <c r="D17" s="73" t="str">
        <f t="shared" si="1"/>
        <v>|Chelsea| |.v| |Leeds United|</v>
      </c>
      <c r="E17" s="69">
        <f t="shared" si="2"/>
        <v>44170.833333333336</v>
      </c>
      <c r="F17" t="s">
        <v>126</v>
      </c>
      <c r="G17" s="73">
        <f>'Shots Selections'!AA22</f>
        <v>0</v>
      </c>
      <c r="H17" s="99" t="str">
        <f>'Shots Selections'!T22</f>
        <v/>
      </c>
      <c r="M17" t="str">
        <f>IF(OR(H17="",'Shots Selections'!AB22="No"),"Don't Export","Export")</f>
        <v>Don't Export</v>
      </c>
    </row>
    <row r="18" spans="1:13" x14ac:dyDescent="0.25">
      <c r="A18" t="s">
        <v>104</v>
      </c>
      <c r="B18" t="s">
        <v>105</v>
      </c>
      <c r="C18" s="73" t="str">
        <f t="shared" si="0"/>
        <v>Premier League</v>
      </c>
      <c r="D18" s="73" t="str">
        <f t="shared" si="1"/>
        <v>|Chelsea| |.v| |Leeds United|</v>
      </c>
      <c r="E18" s="69">
        <f t="shared" si="2"/>
        <v>44170.833333333336</v>
      </c>
      <c r="F18" t="s">
        <v>126</v>
      </c>
      <c r="G18" s="73">
        <f>'Shots Selections'!AA23</f>
        <v>0</v>
      </c>
      <c r="H18" s="99" t="str">
        <f>'Shots Selections'!T23</f>
        <v/>
      </c>
      <c r="M18" t="str">
        <f>IF(OR(H18="",'Shots Selections'!AB23="No"),"Don't Export","Export")</f>
        <v>Don't Export</v>
      </c>
    </row>
    <row r="19" spans="1:13" x14ac:dyDescent="0.25">
      <c r="A19" t="s">
        <v>104</v>
      </c>
      <c r="B19" t="s">
        <v>105</v>
      </c>
      <c r="C19" s="73" t="str">
        <f t="shared" si="0"/>
        <v>Premier League</v>
      </c>
      <c r="D19" s="73" t="str">
        <f t="shared" si="1"/>
        <v>|Chelsea| |.v| |Leeds United|</v>
      </c>
      <c r="E19" s="69">
        <f t="shared" si="2"/>
        <v>44170.833333333336</v>
      </c>
      <c r="F19" t="s">
        <v>126</v>
      </c>
      <c r="G19" s="73">
        <f>'Shots Selections'!AA24</f>
        <v>0</v>
      </c>
      <c r="H19" s="99" t="str">
        <f>'Shots Selections'!T24</f>
        <v/>
      </c>
      <c r="M19" t="str">
        <f>IF(OR(H19="",'Shots Selections'!AB24="No"),"Don't Export","Export")</f>
        <v>Don't Export</v>
      </c>
    </row>
    <row r="20" spans="1:13" x14ac:dyDescent="0.25">
      <c r="A20" t="s">
        <v>104</v>
      </c>
      <c r="B20" t="s">
        <v>105</v>
      </c>
      <c r="C20" s="73" t="str">
        <f t="shared" si="0"/>
        <v>Premier League</v>
      </c>
      <c r="D20" s="73" t="str">
        <f t="shared" si="1"/>
        <v>|Chelsea| |.v| |Leeds United|</v>
      </c>
      <c r="E20" s="69">
        <f t="shared" si="2"/>
        <v>44170.833333333336</v>
      </c>
      <c r="F20" t="s">
        <v>126</v>
      </c>
      <c r="G20" s="73">
        <f>'Shots Selections'!AA25</f>
        <v>0</v>
      </c>
      <c r="H20" s="99" t="str">
        <f>'Shots Selections'!T25</f>
        <v/>
      </c>
      <c r="M20" t="str">
        <f>IF(OR(H20="",'Shots Selections'!AB25="No"),"Don't Export","Export")</f>
        <v>Don't Export</v>
      </c>
    </row>
    <row r="21" spans="1:13" x14ac:dyDescent="0.25">
      <c r="A21" t="s">
        <v>104</v>
      </c>
      <c r="B21" t="s">
        <v>105</v>
      </c>
      <c r="C21" s="73" t="str">
        <f t="shared" si="0"/>
        <v>Premier League</v>
      </c>
      <c r="D21" s="73" t="str">
        <f t="shared" si="1"/>
        <v>|Chelsea| |.v| |Leeds United|</v>
      </c>
      <c r="E21" s="69">
        <f t="shared" si="2"/>
        <v>44170.833333333336</v>
      </c>
      <c r="F21" t="s">
        <v>126</v>
      </c>
      <c r="G21" s="73">
        <f>'Shots Selections'!AA26</f>
        <v>0</v>
      </c>
      <c r="H21" s="99" t="str">
        <f>'Shots Selections'!T26</f>
        <v/>
      </c>
      <c r="M21" t="str">
        <f>IF(OR(H21="",'Shots Selections'!AB26="No"),"Don't Export","Export")</f>
        <v>Don't Export</v>
      </c>
    </row>
    <row r="22" spans="1:13" x14ac:dyDescent="0.25">
      <c r="A22" t="s">
        <v>104</v>
      </c>
      <c r="B22" t="s">
        <v>105</v>
      </c>
      <c r="C22" s="73" t="str">
        <f t="shared" si="0"/>
        <v>Premier League</v>
      </c>
      <c r="D22" s="73" t="str">
        <f t="shared" si="1"/>
        <v>|Chelsea| |.v| |Leeds United|</v>
      </c>
      <c r="E22" s="69">
        <f t="shared" si="2"/>
        <v>44170.833333333336</v>
      </c>
      <c r="F22" t="s">
        <v>126</v>
      </c>
      <c r="G22" s="73">
        <f>'Shots Selections'!AA27</f>
        <v>0</v>
      </c>
      <c r="H22" s="99" t="str">
        <f>'Shots Selections'!T27</f>
        <v/>
      </c>
      <c r="M22" t="str">
        <f>IF(OR(H22="",'Shots Selections'!AB27="No"),"Don't Export","Export")</f>
        <v>Don't Export</v>
      </c>
    </row>
    <row r="23" spans="1:13" x14ac:dyDescent="0.25">
      <c r="A23" t="s">
        <v>104</v>
      </c>
      <c r="B23" t="s">
        <v>105</v>
      </c>
      <c r="C23" s="73" t="str">
        <f t="shared" si="0"/>
        <v>Premier League</v>
      </c>
      <c r="D23" s="73" t="str">
        <f t="shared" si="1"/>
        <v>|Chelsea| |.v| |Leeds United|</v>
      </c>
      <c r="E23" s="69">
        <f t="shared" si="2"/>
        <v>44170.833333333336</v>
      </c>
      <c r="F23" t="s">
        <v>126</v>
      </c>
      <c r="G23" s="73">
        <f>'Shots Selections'!AA28</f>
        <v>0</v>
      </c>
      <c r="H23" s="99" t="str">
        <f>'Shots Selections'!T28</f>
        <v/>
      </c>
      <c r="M23" t="str">
        <f>IF(OR(H23="",'Shots Selections'!AB28="No"),"Don't Export","Export")</f>
        <v>Don't Export</v>
      </c>
    </row>
    <row r="24" spans="1:13" x14ac:dyDescent="0.25">
      <c r="A24" t="s">
        <v>104</v>
      </c>
      <c r="B24" t="s">
        <v>105</v>
      </c>
      <c r="C24" s="73" t="str">
        <f t="shared" si="0"/>
        <v>Premier League</v>
      </c>
      <c r="D24" s="73" t="str">
        <f t="shared" si="1"/>
        <v>|Chelsea| |.v| |Leeds United|</v>
      </c>
      <c r="E24" s="69">
        <f t="shared" si="2"/>
        <v>44170.833333333336</v>
      </c>
      <c r="F24" t="s">
        <v>126</v>
      </c>
      <c r="G24" s="73">
        <f>'Shots Selections'!AA29</f>
        <v>0</v>
      </c>
      <c r="H24" s="99" t="str">
        <f>'Shots Selections'!T29</f>
        <v/>
      </c>
      <c r="M24" t="str">
        <f>IF(OR(H24="",'Shots Selections'!AB29="No"),"Don't Export","Export")</f>
        <v>Don't Export</v>
      </c>
    </row>
    <row r="25" spans="1:13" x14ac:dyDescent="0.25">
      <c r="A25" t="s">
        <v>104</v>
      </c>
      <c r="B25" t="s">
        <v>105</v>
      </c>
      <c r="C25" s="73" t="str">
        <f t="shared" si="0"/>
        <v>Premier League</v>
      </c>
      <c r="D25" s="73" t="str">
        <f t="shared" si="1"/>
        <v>|Chelsea| |.v| |Leeds United|</v>
      </c>
      <c r="E25" s="69">
        <f t="shared" si="2"/>
        <v>44170.833333333336</v>
      </c>
      <c r="F25" t="s">
        <v>126</v>
      </c>
      <c r="G25" s="73">
        <f>'Shots Selections'!AA30</f>
        <v>0</v>
      </c>
      <c r="H25" s="99" t="str">
        <f>'Shots Selections'!T30</f>
        <v/>
      </c>
      <c r="M25" t="str">
        <f>IF(OR(H25="",'Shots Selections'!AB30="No"),"Don't Export","Export")</f>
        <v>Don't Export</v>
      </c>
    </row>
    <row r="26" spans="1:13" x14ac:dyDescent="0.25">
      <c r="A26" t="s">
        <v>104</v>
      </c>
      <c r="B26" t="s">
        <v>105</v>
      </c>
      <c r="C26" s="73" t="str">
        <f t="shared" si="0"/>
        <v>Premier League</v>
      </c>
      <c r="D26" s="73" t="str">
        <f t="shared" si="1"/>
        <v>|Chelsea| |.v| |Leeds United|</v>
      </c>
      <c r="E26" s="69">
        <f t="shared" si="2"/>
        <v>44170.833333333336</v>
      </c>
      <c r="F26" t="s">
        <v>126</v>
      </c>
      <c r="G26" s="73">
        <f>'Shots Selections'!AA31</f>
        <v>0</v>
      </c>
      <c r="H26" s="99" t="str">
        <f>'Shots Selections'!T31</f>
        <v/>
      </c>
      <c r="M26" t="str">
        <f>IF(OR(H26="",'Shots Selections'!AB31="No"),"Don't Export","Export")</f>
        <v>Don't Export</v>
      </c>
    </row>
    <row r="27" spans="1:13" x14ac:dyDescent="0.25">
      <c r="A27" t="s">
        <v>104</v>
      </c>
      <c r="B27" t="s">
        <v>105</v>
      </c>
      <c r="C27" s="73" t="str">
        <f t="shared" si="0"/>
        <v>Premier League</v>
      </c>
      <c r="D27" s="73" t="str">
        <f t="shared" si="1"/>
        <v>|Chelsea| |.v| |Leeds United|</v>
      </c>
      <c r="E27" s="69">
        <f t="shared" si="2"/>
        <v>44170.833333333336</v>
      </c>
      <c r="F27" t="s">
        <v>126</v>
      </c>
      <c r="G27" s="73">
        <f>'Shots Selections'!AA32</f>
        <v>0</v>
      </c>
      <c r="H27" s="99" t="str">
        <f>'Shots Selections'!T32</f>
        <v/>
      </c>
      <c r="M27" t="str">
        <f>IF(OR(H27="",'Shots Selections'!AB32="No"),"Don't Export","Export")</f>
        <v>Don't Export</v>
      </c>
    </row>
    <row r="28" spans="1:13" x14ac:dyDescent="0.25">
      <c r="A28" t="s">
        <v>104</v>
      </c>
      <c r="B28" t="s">
        <v>105</v>
      </c>
      <c r="C28" s="73" t="str">
        <f t="shared" si="0"/>
        <v>Premier League</v>
      </c>
      <c r="D28" s="73" t="str">
        <f t="shared" si="1"/>
        <v>|Chelsea| |.v| |Leeds United|</v>
      </c>
      <c r="E28" s="69">
        <f t="shared" si="2"/>
        <v>44170.833333333336</v>
      </c>
      <c r="F28" t="s">
        <v>126</v>
      </c>
      <c r="G28" s="73">
        <f>'Shots Selections'!AA33</f>
        <v>0</v>
      </c>
      <c r="H28" s="99" t="str">
        <f>'Shots Selections'!T33</f>
        <v/>
      </c>
      <c r="M28" t="str">
        <f>IF(OR(H28="",'Shots Selections'!AB33="No"),"Don't Export","Export")</f>
        <v>Don't Export</v>
      </c>
    </row>
    <row r="29" spans="1:13" x14ac:dyDescent="0.25">
      <c r="A29" t="s">
        <v>104</v>
      </c>
      <c r="B29" t="s">
        <v>105</v>
      </c>
      <c r="C29" s="73" t="str">
        <f t="shared" si="0"/>
        <v>Premier League</v>
      </c>
      <c r="D29" s="73" t="str">
        <f t="shared" si="1"/>
        <v>|Chelsea| |.v| |Leeds United|</v>
      </c>
      <c r="E29" s="69">
        <f t="shared" si="2"/>
        <v>44170.833333333336</v>
      </c>
      <c r="F29" t="s">
        <v>126</v>
      </c>
      <c r="G29" s="73">
        <f>'Shots Selections'!AA34</f>
        <v>0</v>
      </c>
      <c r="H29" s="99" t="str">
        <f>'Shots Selections'!T34</f>
        <v/>
      </c>
      <c r="M29" t="str">
        <f>IF(OR(H29="",'Shots Selections'!AB34="No"),"Don't Export","Export")</f>
        <v>Don't Export</v>
      </c>
    </row>
    <row r="30" spans="1:13" x14ac:dyDescent="0.25">
      <c r="A30" t="s">
        <v>104</v>
      </c>
      <c r="B30" t="s">
        <v>105</v>
      </c>
      <c r="C30" s="73" t="str">
        <f t="shared" si="0"/>
        <v>Premier League</v>
      </c>
      <c r="D30" s="73" t="str">
        <f t="shared" si="1"/>
        <v>|Chelsea| |.v| |Leeds United|</v>
      </c>
      <c r="E30" s="69">
        <f t="shared" si="2"/>
        <v>44170.833333333336</v>
      </c>
      <c r="F30" t="s">
        <v>126</v>
      </c>
      <c r="G30" s="73">
        <f>'Shots Selections'!AA35</f>
        <v>0</v>
      </c>
      <c r="H30" s="99" t="str">
        <f>'Shots Selections'!T35</f>
        <v/>
      </c>
      <c r="M30" t="str">
        <f>IF(OR(H30="",'Shots Selections'!AB35="No"),"Don't Export","Export")</f>
        <v>Don't Export</v>
      </c>
    </row>
    <row r="31" spans="1:13" x14ac:dyDescent="0.25">
      <c r="A31" t="s">
        <v>104</v>
      </c>
      <c r="B31" t="s">
        <v>105</v>
      </c>
      <c r="C31" s="73" t="str">
        <f t="shared" si="0"/>
        <v>Premier League</v>
      </c>
      <c r="D31" s="73" t="str">
        <f t="shared" si="1"/>
        <v>|Chelsea| |.v| |Leeds United|</v>
      </c>
      <c r="E31" s="69">
        <f t="shared" si="2"/>
        <v>44170.833333333336</v>
      </c>
      <c r="F31" t="s">
        <v>126</v>
      </c>
      <c r="G31" s="73">
        <f>'Shots Selections'!AA36</f>
        <v>0</v>
      </c>
      <c r="H31" s="99" t="str">
        <f>'Shots Selections'!T36</f>
        <v/>
      </c>
      <c r="M31" t="str">
        <f>IF(OR(H31="",'Shots Selections'!AB36="No"),"Don't Export","Export")</f>
        <v>Don't Export</v>
      </c>
    </row>
    <row r="32" spans="1:13" x14ac:dyDescent="0.25">
      <c r="A32" t="s">
        <v>104</v>
      </c>
      <c r="B32" t="s">
        <v>105</v>
      </c>
      <c r="C32" s="73" t="str">
        <f t="shared" si="0"/>
        <v>Premier League</v>
      </c>
      <c r="D32" s="73" t="str">
        <f t="shared" si="1"/>
        <v>|Chelsea| |.v| |Leeds United|</v>
      </c>
      <c r="E32" s="69">
        <f t="shared" si="2"/>
        <v>44170.833333333336</v>
      </c>
      <c r="F32" t="s">
        <v>126</v>
      </c>
      <c r="G32" s="73">
        <f>'Shots Selections'!AA37</f>
        <v>0</v>
      </c>
      <c r="H32" s="99" t="str">
        <f>'Shots Selections'!T37</f>
        <v/>
      </c>
      <c r="M32" t="str">
        <f>IF(OR(H32="",'Shots Selections'!AB37="No"),"Don't Export","Export")</f>
        <v>Don't Export</v>
      </c>
    </row>
    <row r="33" spans="1:13" x14ac:dyDescent="0.25">
      <c r="A33" t="s">
        <v>104</v>
      </c>
      <c r="B33" t="s">
        <v>105</v>
      </c>
      <c r="C33" s="73" t="str">
        <f t="shared" si="0"/>
        <v>Premier League</v>
      </c>
      <c r="D33" s="73" t="str">
        <f t="shared" si="1"/>
        <v>|Chelsea| |.v| |Leeds United|</v>
      </c>
      <c r="E33" s="69">
        <f t="shared" si="2"/>
        <v>44170.833333333336</v>
      </c>
      <c r="F33" t="s">
        <v>126</v>
      </c>
      <c r="G33" s="73">
        <f>'Shots Selections'!AA38</f>
        <v>0</v>
      </c>
      <c r="H33" s="99" t="str">
        <f>'Shots Selections'!T38</f>
        <v/>
      </c>
      <c r="M33" t="str">
        <f>IF(OR(H33="",'Shots Selections'!AB38="No"),"Don't Export","Export")</f>
        <v>Don't Export</v>
      </c>
    </row>
    <row r="34" spans="1:13" x14ac:dyDescent="0.25">
      <c r="A34" t="s">
        <v>104</v>
      </c>
      <c r="B34" t="s">
        <v>105</v>
      </c>
      <c r="C34" s="73" t="str">
        <f t="shared" ref="C34:C55" si="3">TYPE</f>
        <v>Premier League</v>
      </c>
      <c r="D34" s="73" t="str">
        <f t="shared" ref="D34:D55" si="4">EVENT</f>
        <v>|Chelsea| |.v| |Leeds United|</v>
      </c>
      <c r="E34" s="69">
        <f t="shared" ref="E34:E55" si="5">DATE</f>
        <v>44170.833333333336</v>
      </c>
      <c r="F34" t="s">
        <v>126</v>
      </c>
      <c r="G34" s="73">
        <f>'Shots Selections'!AA39</f>
        <v>0</v>
      </c>
      <c r="H34" s="99" t="str">
        <f>'Shots Selections'!T39</f>
        <v/>
      </c>
      <c r="M34" t="str">
        <f>IF(OR(H34="",'Shots Selections'!AB39="No"),"Don't Export","Export")</f>
        <v>Don't Export</v>
      </c>
    </row>
    <row r="35" spans="1:13" x14ac:dyDescent="0.25">
      <c r="A35" t="s">
        <v>104</v>
      </c>
      <c r="B35" t="s">
        <v>105</v>
      </c>
      <c r="C35" s="73" t="str">
        <f t="shared" si="3"/>
        <v>Premier League</v>
      </c>
      <c r="D35" s="73" t="str">
        <f t="shared" si="4"/>
        <v>|Chelsea| |.v| |Leeds United|</v>
      </c>
      <c r="E35" s="69">
        <f t="shared" si="5"/>
        <v>44170.833333333336</v>
      </c>
      <c r="F35" t="s">
        <v>126</v>
      </c>
      <c r="G35" s="73">
        <f>'Shots Selections'!AA40</f>
        <v>0</v>
      </c>
      <c r="H35" s="99" t="str">
        <f>'Shots Selections'!T40</f>
        <v/>
      </c>
      <c r="M35" t="str">
        <f>IF(OR(H35="",'Shots Selections'!AB40="No"),"Don't Export","Export")</f>
        <v>Don't Export</v>
      </c>
    </row>
    <row r="36" spans="1:13" x14ac:dyDescent="0.25">
      <c r="A36" t="s">
        <v>104</v>
      </c>
      <c r="B36" t="s">
        <v>105</v>
      </c>
      <c r="C36" s="73" t="str">
        <f t="shared" si="3"/>
        <v>Premier League</v>
      </c>
      <c r="D36" s="73" t="str">
        <f t="shared" si="4"/>
        <v>|Chelsea| |.v| |Leeds United|</v>
      </c>
      <c r="E36" s="69">
        <f t="shared" si="5"/>
        <v>44170.833333333336</v>
      </c>
      <c r="F36" t="s">
        <v>126</v>
      </c>
      <c r="G36" s="73">
        <f>'Shots Selections'!AA41</f>
        <v>0</v>
      </c>
      <c r="H36" s="99" t="str">
        <f>'Shots Selections'!T41</f>
        <v/>
      </c>
      <c r="M36" t="str">
        <f>IF(OR(H36="",'Shots Selections'!AB41="No"),"Don't Export","Export")</f>
        <v>Don't Export</v>
      </c>
    </row>
    <row r="37" spans="1:13" x14ac:dyDescent="0.25">
      <c r="A37" t="s">
        <v>104</v>
      </c>
      <c r="B37" t="s">
        <v>105</v>
      </c>
      <c r="C37" s="73" t="str">
        <f t="shared" si="3"/>
        <v>Premier League</v>
      </c>
      <c r="D37" s="73" t="str">
        <f t="shared" si="4"/>
        <v>|Chelsea| |.v| |Leeds United|</v>
      </c>
      <c r="E37" s="69">
        <f t="shared" si="5"/>
        <v>44170.833333333336</v>
      </c>
      <c r="F37" t="s">
        <v>126</v>
      </c>
      <c r="G37" s="73">
        <f>'Shots Selections'!AA42</f>
        <v>0</v>
      </c>
      <c r="H37" s="99" t="str">
        <f>'Shots Selections'!T42</f>
        <v/>
      </c>
      <c r="M37" t="str">
        <f>IF(OR(H37="",'Shots Selections'!AB42="No"),"Don't Export","Export")</f>
        <v>Don't Export</v>
      </c>
    </row>
    <row r="38" spans="1:13" x14ac:dyDescent="0.25">
      <c r="A38" t="s">
        <v>104</v>
      </c>
      <c r="B38" t="s">
        <v>105</v>
      </c>
      <c r="C38" s="73" t="str">
        <f t="shared" si="3"/>
        <v>Premier League</v>
      </c>
      <c r="D38" s="73" t="str">
        <f t="shared" si="4"/>
        <v>|Chelsea| |.v| |Leeds United|</v>
      </c>
      <c r="E38" s="69">
        <f t="shared" si="5"/>
        <v>44170.833333333336</v>
      </c>
      <c r="F38" t="s">
        <v>126</v>
      </c>
      <c r="G38" s="73">
        <f>'Shots Selections'!AA43</f>
        <v>0</v>
      </c>
      <c r="H38" s="99" t="str">
        <f>'Shots Selections'!T43</f>
        <v/>
      </c>
      <c r="M38" t="str">
        <f>IF(OR(H38="",'Shots Selections'!AB43="No"),"Don't Export","Export")</f>
        <v>Don't Export</v>
      </c>
    </row>
    <row r="39" spans="1:13" x14ac:dyDescent="0.25">
      <c r="A39" t="s">
        <v>104</v>
      </c>
      <c r="B39" t="s">
        <v>105</v>
      </c>
      <c r="C39" s="73" t="str">
        <f t="shared" si="3"/>
        <v>Premier League</v>
      </c>
      <c r="D39" s="73" t="str">
        <f t="shared" si="4"/>
        <v>|Chelsea| |.v| |Leeds United|</v>
      </c>
      <c r="E39" s="69">
        <f t="shared" si="5"/>
        <v>44170.833333333336</v>
      </c>
      <c r="F39" t="s">
        <v>126</v>
      </c>
      <c r="G39" s="73">
        <f>'Shots Selections'!AA44</f>
        <v>0</v>
      </c>
      <c r="H39" s="99" t="str">
        <f>'Shots Selections'!T44</f>
        <v/>
      </c>
      <c r="M39" t="str">
        <f>IF(OR(H39="",'Shots Selections'!AB44="No"),"Don't Export","Export")</f>
        <v>Don't Export</v>
      </c>
    </row>
    <row r="40" spans="1:13" x14ac:dyDescent="0.25">
      <c r="A40" t="s">
        <v>104</v>
      </c>
      <c r="B40" t="s">
        <v>105</v>
      </c>
      <c r="C40" s="73" t="str">
        <f t="shared" si="3"/>
        <v>Premier League</v>
      </c>
      <c r="D40" s="73" t="str">
        <f t="shared" si="4"/>
        <v>|Chelsea| |.v| |Leeds United|</v>
      </c>
      <c r="E40" s="69">
        <f t="shared" si="5"/>
        <v>44170.833333333336</v>
      </c>
      <c r="F40" t="s">
        <v>126</v>
      </c>
      <c r="G40" s="73">
        <f>'Shots Selections'!AA45</f>
        <v>0</v>
      </c>
      <c r="H40" s="99" t="str">
        <f>'Shots Selections'!T45</f>
        <v/>
      </c>
      <c r="M40" t="str">
        <f>IF(OR(H40="",'Shots Selections'!AB45="No"),"Don't Export","Export")</f>
        <v>Don't Export</v>
      </c>
    </row>
    <row r="41" spans="1:13" x14ac:dyDescent="0.25">
      <c r="A41" t="s">
        <v>104</v>
      </c>
      <c r="B41" t="s">
        <v>105</v>
      </c>
      <c r="C41" s="73" t="str">
        <f t="shared" si="3"/>
        <v>Premier League</v>
      </c>
      <c r="D41" s="73" t="str">
        <f t="shared" si="4"/>
        <v>|Chelsea| |.v| |Leeds United|</v>
      </c>
      <c r="E41" s="69">
        <f t="shared" si="5"/>
        <v>44170.833333333336</v>
      </c>
      <c r="F41" t="s">
        <v>126</v>
      </c>
      <c r="G41" s="73">
        <f>'Shots Selections'!AA46</f>
        <v>0</v>
      </c>
      <c r="H41" s="99" t="str">
        <f>'Shots Selections'!T46</f>
        <v/>
      </c>
      <c r="M41" t="str">
        <f>IF(OR(H41="",'Shots Selections'!AB46="No"),"Don't Export","Export")</f>
        <v>Don't Export</v>
      </c>
    </row>
    <row r="42" spans="1:13" x14ac:dyDescent="0.25">
      <c r="A42" t="s">
        <v>104</v>
      </c>
      <c r="B42" t="s">
        <v>105</v>
      </c>
      <c r="C42" s="73" t="str">
        <f t="shared" si="3"/>
        <v>Premier League</v>
      </c>
      <c r="D42" s="73" t="str">
        <f t="shared" si="4"/>
        <v>|Chelsea| |.v| |Leeds United|</v>
      </c>
      <c r="E42" s="69">
        <f t="shared" si="5"/>
        <v>44170.833333333336</v>
      </c>
      <c r="F42" t="s">
        <v>128</v>
      </c>
      <c r="G42" s="73">
        <f>'Tackles Selections'!AA7</f>
        <v>0</v>
      </c>
      <c r="H42" s="99" t="str">
        <f>'Tackles Selections'!T7</f>
        <v>L</v>
      </c>
      <c r="M42" t="str">
        <f>IF(OR(H42="",'Tackles Selections'!AB7="No"),"Don't Export","Export")</f>
        <v>Don't Export</v>
      </c>
    </row>
    <row r="43" spans="1:13" x14ac:dyDescent="0.25">
      <c r="A43" t="s">
        <v>104</v>
      </c>
      <c r="B43" t="s">
        <v>105</v>
      </c>
      <c r="C43" s="73" t="str">
        <f t="shared" si="3"/>
        <v>Premier League</v>
      </c>
      <c r="D43" s="73" t="str">
        <f t="shared" si="4"/>
        <v>|Chelsea| |.v| |Leeds United|</v>
      </c>
      <c r="E43" s="69">
        <f t="shared" si="5"/>
        <v>44170.833333333336</v>
      </c>
      <c r="F43" t="s">
        <v>128</v>
      </c>
      <c r="G43" s="73">
        <f>'Tackles Selections'!AA8</f>
        <v>0</v>
      </c>
      <c r="H43" s="99" t="str">
        <f>'Tackles Selections'!T8</f>
        <v>L</v>
      </c>
      <c r="M43" t="str">
        <f>IF(OR(H43="",'Tackles Selections'!AB8="No"),"Don't Export","Export")</f>
        <v>Don't Export</v>
      </c>
    </row>
    <row r="44" spans="1:13" x14ac:dyDescent="0.25">
      <c r="A44" t="s">
        <v>104</v>
      </c>
      <c r="B44" t="s">
        <v>105</v>
      </c>
      <c r="C44" s="73" t="str">
        <f t="shared" si="3"/>
        <v>Premier League</v>
      </c>
      <c r="D44" s="73" t="str">
        <f t="shared" si="4"/>
        <v>|Chelsea| |.v| |Leeds United|</v>
      </c>
      <c r="E44" s="69">
        <f t="shared" si="5"/>
        <v>44170.833333333336</v>
      </c>
      <c r="F44" t="s">
        <v>128</v>
      </c>
      <c r="G44" s="73">
        <f>'Tackles Selections'!AA9</f>
        <v>0</v>
      </c>
      <c r="H44" s="99" t="str">
        <f>'Tackles Selections'!T9</f>
        <v>L</v>
      </c>
      <c r="M44" t="str">
        <f>IF(OR(H44="",'Tackles Selections'!AB9="No"),"Don't Export","Export")</f>
        <v>Don't Export</v>
      </c>
    </row>
    <row r="45" spans="1:13" x14ac:dyDescent="0.25">
      <c r="A45" t="s">
        <v>104</v>
      </c>
      <c r="B45" t="s">
        <v>105</v>
      </c>
      <c r="C45" s="73" t="str">
        <f t="shared" si="3"/>
        <v>Premier League</v>
      </c>
      <c r="D45" s="73" t="str">
        <f t="shared" si="4"/>
        <v>|Chelsea| |.v| |Leeds United|</v>
      </c>
      <c r="E45" s="69">
        <f t="shared" si="5"/>
        <v>44170.833333333336</v>
      </c>
      <c r="F45" t="s">
        <v>128</v>
      </c>
      <c r="G45" s="73">
        <f>'Tackles Selections'!AA10</f>
        <v>0</v>
      </c>
      <c r="H45" s="99" t="str">
        <f>'Tackles Selections'!T10</f>
        <v>L</v>
      </c>
      <c r="M45" t="str">
        <f>IF(OR(H45="",'Tackles Selections'!AB10="No"),"Don't Export","Export")</f>
        <v>Don't Export</v>
      </c>
    </row>
    <row r="46" spans="1:13" x14ac:dyDescent="0.25">
      <c r="A46" t="s">
        <v>104</v>
      </c>
      <c r="B46" t="s">
        <v>105</v>
      </c>
      <c r="C46" s="73" t="str">
        <f t="shared" si="3"/>
        <v>Premier League</v>
      </c>
      <c r="D46" s="73" t="str">
        <f t="shared" si="4"/>
        <v>|Chelsea| |.v| |Leeds United|</v>
      </c>
      <c r="E46" s="69">
        <f t="shared" si="5"/>
        <v>44170.833333333336</v>
      </c>
      <c r="F46" t="s">
        <v>128</v>
      </c>
      <c r="G46" s="73">
        <f>'Tackles Selections'!AA11</f>
        <v>0</v>
      </c>
      <c r="H46" s="99" t="str">
        <f>'Tackles Selections'!T11</f>
        <v>L</v>
      </c>
      <c r="M46" t="str">
        <f>IF(OR(H46="",'Tackles Selections'!AB11="No"),"Don't Export","Export")</f>
        <v>Don't Export</v>
      </c>
    </row>
    <row r="47" spans="1:13" x14ac:dyDescent="0.25">
      <c r="A47" t="s">
        <v>104</v>
      </c>
      <c r="B47" t="s">
        <v>105</v>
      </c>
      <c r="C47" s="73" t="str">
        <f t="shared" si="3"/>
        <v>Premier League</v>
      </c>
      <c r="D47" s="73" t="str">
        <f t="shared" si="4"/>
        <v>|Chelsea| |.v| |Leeds United|</v>
      </c>
      <c r="E47" s="69">
        <f t="shared" si="5"/>
        <v>44170.833333333336</v>
      </c>
      <c r="F47" t="s">
        <v>128</v>
      </c>
      <c r="G47" s="73">
        <f>'Tackles Selections'!AA12</f>
        <v>0</v>
      </c>
      <c r="H47" s="99" t="str">
        <f>'Tackles Selections'!T12</f>
        <v>L</v>
      </c>
      <c r="M47" t="str">
        <f>IF(OR(H47="",'Tackles Selections'!AB12="No"),"Don't Export","Export")</f>
        <v>Don't Export</v>
      </c>
    </row>
    <row r="48" spans="1:13" x14ac:dyDescent="0.25">
      <c r="A48" t="s">
        <v>104</v>
      </c>
      <c r="B48" t="s">
        <v>105</v>
      </c>
      <c r="C48" s="73" t="str">
        <f t="shared" si="3"/>
        <v>Premier League</v>
      </c>
      <c r="D48" s="73" t="str">
        <f t="shared" si="4"/>
        <v>|Chelsea| |.v| |Leeds United|</v>
      </c>
      <c r="E48" s="69">
        <f t="shared" si="5"/>
        <v>44170.833333333336</v>
      </c>
      <c r="F48" t="s">
        <v>128</v>
      </c>
      <c r="G48" s="73">
        <f>'Tackles Selections'!AA13</f>
        <v>0</v>
      </c>
      <c r="H48" s="99" t="str">
        <f>'Tackles Selections'!T13</f>
        <v>L</v>
      </c>
      <c r="M48" t="str">
        <f>IF(OR(H48="",'Tackles Selections'!AB13="No"),"Don't Export","Export")</f>
        <v>Don't Export</v>
      </c>
    </row>
    <row r="49" spans="1:13" x14ac:dyDescent="0.25">
      <c r="A49" t="s">
        <v>104</v>
      </c>
      <c r="B49" t="s">
        <v>105</v>
      </c>
      <c r="C49" s="73" t="str">
        <f t="shared" si="3"/>
        <v>Premier League</v>
      </c>
      <c r="D49" s="73" t="str">
        <f t="shared" si="4"/>
        <v>|Chelsea| |.v| |Leeds United|</v>
      </c>
      <c r="E49" s="69">
        <f t="shared" si="5"/>
        <v>44170.833333333336</v>
      </c>
      <c r="F49" t="s">
        <v>128</v>
      </c>
      <c r="G49" s="73">
        <f>'Tackles Selections'!AA14</f>
        <v>0</v>
      </c>
      <c r="H49" s="99" t="str">
        <f>'Tackles Selections'!T14</f>
        <v>L</v>
      </c>
      <c r="M49" t="str">
        <f>IF(OR(H49="",'Tackles Selections'!AB14="No"),"Don't Export","Export")</f>
        <v>Don't Export</v>
      </c>
    </row>
    <row r="50" spans="1:13" x14ac:dyDescent="0.25">
      <c r="A50" t="s">
        <v>104</v>
      </c>
      <c r="B50" t="s">
        <v>105</v>
      </c>
      <c r="C50" s="73" t="str">
        <f t="shared" si="3"/>
        <v>Premier League</v>
      </c>
      <c r="D50" s="73" t="str">
        <f t="shared" si="4"/>
        <v>|Chelsea| |.v| |Leeds United|</v>
      </c>
      <c r="E50" s="69">
        <f t="shared" si="5"/>
        <v>44170.833333333336</v>
      </c>
      <c r="F50" t="s">
        <v>128</v>
      </c>
      <c r="G50" s="73">
        <f>'Tackles Selections'!AA15</f>
        <v>0</v>
      </c>
      <c r="H50" s="99" t="str">
        <f>'Tackles Selections'!T15</f>
        <v>L</v>
      </c>
      <c r="M50" t="str">
        <f>IF(OR(H50="",'Tackles Selections'!AB15="No"),"Don't Export","Export")</f>
        <v>Don't Export</v>
      </c>
    </row>
    <row r="51" spans="1:13" x14ac:dyDescent="0.25">
      <c r="A51" t="s">
        <v>104</v>
      </c>
      <c r="B51" t="s">
        <v>105</v>
      </c>
      <c r="C51" s="73" t="str">
        <f t="shared" si="3"/>
        <v>Premier League</v>
      </c>
      <c r="D51" s="73" t="str">
        <f t="shared" si="4"/>
        <v>|Chelsea| |.v| |Leeds United|</v>
      </c>
      <c r="E51" s="69">
        <f t="shared" si="5"/>
        <v>44170.833333333336</v>
      </c>
      <c r="F51" t="s">
        <v>128</v>
      </c>
      <c r="G51" s="73">
        <f>'Tackles Selections'!AA16</f>
        <v>0</v>
      </c>
      <c r="H51" s="99" t="str">
        <f>'Tackles Selections'!T16</f>
        <v>L</v>
      </c>
      <c r="M51" t="str">
        <f>IF(OR(H51="",'Tackles Selections'!AB16="No"),"Don't Export","Export")</f>
        <v>Don't Export</v>
      </c>
    </row>
    <row r="52" spans="1:13" x14ac:dyDescent="0.25">
      <c r="A52" t="s">
        <v>104</v>
      </c>
      <c r="B52" t="s">
        <v>105</v>
      </c>
      <c r="C52" s="73" t="str">
        <f t="shared" si="3"/>
        <v>Premier League</v>
      </c>
      <c r="D52" s="73" t="str">
        <f t="shared" si="4"/>
        <v>|Chelsea| |.v| |Leeds United|</v>
      </c>
      <c r="E52" s="69">
        <f t="shared" si="5"/>
        <v>44170.833333333336</v>
      </c>
      <c r="F52" t="s">
        <v>128</v>
      </c>
      <c r="G52" s="73">
        <f>'Tackles Selections'!AA17</f>
        <v>0</v>
      </c>
      <c r="H52" s="99" t="str">
        <f>'Tackles Selections'!T17</f>
        <v>L</v>
      </c>
      <c r="M52" t="str">
        <f>IF(OR(H52="",'Tackles Selections'!AB17="No"),"Don't Export","Export")</f>
        <v>Don't Export</v>
      </c>
    </row>
    <row r="53" spans="1:13" x14ac:dyDescent="0.25">
      <c r="A53" t="s">
        <v>104</v>
      </c>
      <c r="B53" t="s">
        <v>105</v>
      </c>
      <c r="C53" s="73" t="str">
        <f t="shared" si="3"/>
        <v>Premier League</v>
      </c>
      <c r="D53" s="73" t="str">
        <f t="shared" si="4"/>
        <v>|Chelsea| |.v| |Leeds United|</v>
      </c>
      <c r="E53" s="69">
        <f t="shared" si="5"/>
        <v>44170.833333333336</v>
      </c>
      <c r="F53" t="s">
        <v>128</v>
      </c>
      <c r="G53" s="73">
        <f>'Tackles Selections'!AA18</f>
        <v>0</v>
      </c>
      <c r="H53" s="99" t="str">
        <f>'Tackles Selections'!T18</f>
        <v>L</v>
      </c>
      <c r="M53" t="str">
        <f>IF(OR(H53="",'Tackles Selections'!AB18="No"),"Don't Export","Export")</f>
        <v>Don't Export</v>
      </c>
    </row>
    <row r="54" spans="1:13" x14ac:dyDescent="0.25">
      <c r="A54" t="s">
        <v>104</v>
      </c>
      <c r="B54" t="s">
        <v>105</v>
      </c>
      <c r="C54" s="73" t="str">
        <f t="shared" si="3"/>
        <v>Premier League</v>
      </c>
      <c r="D54" s="73" t="str">
        <f t="shared" si="4"/>
        <v>|Chelsea| |.v| |Leeds United|</v>
      </c>
      <c r="E54" s="69">
        <f t="shared" si="5"/>
        <v>44170.833333333336</v>
      </c>
      <c r="F54" t="s">
        <v>128</v>
      </c>
      <c r="G54" s="73">
        <f>'Tackles Selections'!AA19</f>
        <v>0</v>
      </c>
      <c r="H54" s="99" t="str">
        <f>'Tackles Selections'!T19</f>
        <v>L</v>
      </c>
      <c r="M54" t="str">
        <f>IF(OR(H54="",'Tackles Selections'!AB19="No"),"Don't Export","Export")</f>
        <v>Don't Export</v>
      </c>
    </row>
    <row r="55" spans="1:13" x14ac:dyDescent="0.25">
      <c r="A55" t="s">
        <v>104</v>
      </c>
      <c r="B55" t="s">
        <v>105</v>
      </c>
      <c r="C55" s="73" t="str">
        <f t="shared" si="3"/>
        <v>Premier League</v>
      </c>
      <c r="D55" s="73" t="str">
        <f t="shared" si="4"/>
        <v>|Chelsea| |.v| |Leeds United|</v>
      </c>
      <c r="E55" s="69">
        <f t="shared" si="5"/>
        <v>44170.833333333336</v>
      </c>
      <c r="F55" t="s">
        <v>128</v>
      </c>
      <c r="G55" s="73">
        <f>'Tackles Selections'!AA20</f>
        <v>0</v>
      </c>
      <c r="H55" s="99" t="str">
        <f>'Tackles Selections'!T20</f>
        <v>L</v>
      </c>
      <c r="M55" t="str">
        <f>IF(OR(H55="",'Tackles Selections'!AB20="No"),"Don't Export","Export")</f>
        <v>Don't Export</v>
      </c>
    </row>
    <row r="56" spans="1:13" x14ac:dyDescent="0.25">
      <c r="A56" t="s">
        <v>104</v>
      </c>
      <c r="B56" t="s">
        <v>105</v>
      </c>
      <c r="C56" s="73" t="str">
        <f t="shared" ref="C56:C99" si="6">TYPE</f>
        <v>Premier League</v>
      </c>
      <c r="D56" s="73" t="str">
        <f t="shared" ref="D56:D99" si="7">EVENT</f>
        <v>|Chelsea| |.v| |Leeds United|</v>
      </c>
      <c r="E56" s="69">
        <f t="shared" ref="E56:E99" si="8">DATE</f>
        <v>44170.833333333336</v>
      </c>
      <c r="F56" t="s">
        <v>128</v>
      </c>
      <c r="G56" s="73">
        <f>'Tackles Selections'!AA21</f>
        <v>0</v>
      </c>
      <c r="H56" s="99" t="str">
        <f>'Tackles Selections'!T21</f>
        <v>L</v>
      </c>
      <c r="M56" t="str">
        <f>IF(OR(H56="",'Tackles Selections'!AB21="No"),"Don't Export","Export")</f>
        <v>Don't Export</v>
      </c>
    </row>
    <row r="57" spans="1:13" x14ac:dyDescent="0.25">
      <c r="A57" t="s">
        <v>104</v>
      </c>
      <c r="B57" t="s">
        <v>105</v>
      </c>
      <c r="C57" s="73" t="str">
        <f t="shared" si="6"/>
        <v>Premier League</v>
      </c>
      <c r="D57" s="73" t="str">
        <f t="shared" si="7"/>
        <v>|Chelsea| |.v| |Leeds United|</v>
      </c>
      <c r="E57" s="69">
        <f t="shared" si="8"/>
        <v>44170.833333333336</v>
      </c>
      <c r="F57" t="s">
        <v>128</v>
      </c>
      <c r="G57" s="73">
        <f>'Tackles Selections'!AA22</f>
        <v>0</v>
      </c>
      <c r="H57" s="99" t="str">
        <f>'Tackles Selections'!T22</f>
        <v/>
      </c>
      <c r="M57" t="str">
        <f>IF(OR(H57="",'Tackles Selections'!AB22="No"),"Don't Export","Export")</f>
        <v>Don't Export</v>
      </c>
    </row>
    <row r="58" spans="1:13" x14ac:dyDescent="0.25">
      <c r="A58" t="s">
        <v>104</v>
      </c>
      <c r="B58" t="s">
        <v>105</v>
      </c>
      <c r="C58" s="73" t="str">
        <f t="shared" si="6"/>
        <v>Premier League</v>
      </c>
      <c r="D58" s="73" t="str">
        <f t="shared" si="7"/>
        <v>|Chelsea| |.v| |Leeds United|</v>
      </c>
      <c r="E58" s="69">
        <f t="shared" si="8"/>
        <v>44170.833333333336</v>
      </c>
      <c r="F58" t="s">
        <v>128</v>
      </c>
      <c r="G58" s="73">
        <f>'Tackles Selections'!AA23</f>
        <v>0</v>
      </c>
      <c r="H58" s="99" t="str">
        <f>'Tackles Selections'!T23</f>
        <v/>
      </c>
      <c r="M58" t="str">
        <f>IF(OR(H58="",'Tackles Selections'!AB23="No"),"Don't Export","Export")</f>
        <v>Don't Export</v>
      </c>
    </row>
    <row r="59" spans="1:13" x14ac:dyDescent="0.25">
      <c r="A59" t="s">
        <v>104</v>
      </c>
      <c r="B59" t="s">
        <v>105</v>
      </c>
      <c r="C59" s="73" t="str">
        <f t="shared" si="6"/>
        <v>Premier League</v>
      </c>
      <c r="D59" s="73" t="str">
        <f t="shared" si="7"/>
        <v>|Chelsea| |.v| |Leeds United|</v>
      </c>
      <c r="E59" s="69">
        <f t="shared" si="8"/>
        <v>44170.833333333336</v>
      </c>
      <c r="F59" t="s">
        <v>128</v>
      </c>
      <c r="G59" s="73">
        <f>'Tackles Selections'!AA24</f>
        <v>0</v>
      </c>
      <c r="H59" s="99" t="str">
        <f>'Tackles Selections'!T24</f>
        <v/>
      </c>
      <c r="M59" t="str">
        <f>IF(OR(H59="",'Tackles Selections'!AB24="No"),"Don't Export","Export")</f>
        <v>Don't Export</v>
      </c>
    </row>
    <row r="60" spans="1:13" x14ac:dyDescent="0.25">
      <c r="A60" t="s">
        <v>104</v>
      </c>
      <c r="B60" t="s">
        <v>105</v>
      </c>
      <c r="C60" s="73" t="str">
        <f t="shared" si="6"/>
        <v>Premier League</v>
      </c>
      <c r="D60" s="73" t="str">
        <f t="shared" si="7"/>
        <v>|Chelsea| |.v| |Leeds United|</v>
      </c>
      <c r="E60" s="69">
        <f t="shared" si="8"/>
        <v>44170.833333333336</v>
      </c>
      <c r="F60" t="s">
        <v>128</v>
      </c>
      <c r="G60" s="73">
        <f>'Tackles Selections'!AA25</f>
        <v>0</v>
      </c>
      <c r="H60" s="99" t="str">
        <f>'Tackles Selections'!T25</f>
        <v/>
      </c>
      <c r="M60" t="str">
        <f>IF(OR(H60="",'Tackles Selections'!AB25="No"),"Don't Export","Export")</f>
        <v>Don't Export</v>
      </c>
    </row>
    <row r="61" spans="1:13" x14ac:dyDescent="0.25">
      <c r="A61" t="s">
        <v>104</v>
      </c>
      <c r="B61" t="s">
        <v>105</v>
      </c>
      <c r="C61" s="73" t="str">
        <f t="shared" si="6"/>
        <v>Premier League</v>
      </c>
      <c r="D61" s="73" t="str">
        <f t="shared" si="7"/>
        <v>|Chelsea| |.v| |Leeds United|</v>
      </c>
      <c r="E61" s="69">
        <f t="shared" si="8"/>
        <v>44170.833333333336</v>
      </c>
      <c r="F61" t="s">
        <v>128</v>
      </c>
      <c r="G61" s="73">
        <f>'Tackles Selections'!AA26</f>
        <v>0</v>
      </c>
      <c r="H61" s="99" t="str">
        <f>'Tackles Selections'!T26</f>
        <v/>
      </c>
      <c r="M61" t="str">
        <f>IF(OR(H61="",'Tackles Selections'!AB26="No"),"Don't Export","Export")</f>
        <v>Don't Export</v>
      </c>
    </row>
    <row r="62" spans="1:13" x14ac:dyDescent="0.25">
      <c r="A62" t="s">
        <v>104</v>
      </c>
      <c r="B62" t="s">
        <v>105</v>
      </c>
      <c r="C62" s="73" t="str">
        <f t="shared" si="6"/>
        <v>Premier League</v>
      </c>
      <c r="D62" s="73" t="str">
        <f t="shared" si="7"/>
        <v>|Chelsea| |.v| |Leeds United|</v>
      </c>
      <c r="E62" s="69">
        <f t="shared" si="8"/>
        <v>44170.833333333336</v>
      </c>
      <c r="F62" t="s">
        <v>128</v>
      </c>
      <c r="G62" s="73">
        <f>'Tackles Selections'!AA27</f>
        <v>0</v>
      </c>
      <c r="H62" s="99" t="str">
        <f>'Tackles Selections'!T27</f>
        <v/>
      </c>
      <c r="M62" t="str">
        <f>IF(OR(H62="",'Tackles Selections'!AB27="No"),"Don't Export","Export")</f>
        <v>Don't Export</v>
      </c>
    </row>
    <row r="63" spans="1:13" x14ac:dyDescent="0.25">
      <c r="A63" t="s">
        <v>104</v>
      </c>
      <c r="B63" t="s">
        <v>105</v>
      </c>
      <c r="C63" s="73" t="str">
        <f t="shared" si="6"/>
        <v>Premier League</v>
      </c>
      <c r="D63" s="73" t="str">
        <f t="shared" si="7"/>
        <v>|Chelsea| |.v| |Leeds United|</v>
      </c>
      <c r="E63" s="69">
        <f t="shared" si="8"/>
        <v>44170.833333333336</v>
      </c>
      <c r="F63" t="s">
        <v>128</v>
      </c>
      <c r="G63" s="73">
        <f>'Tackles Selections'!AA28</f>
        <v>0</v>
      </c>
      <c r="H63" s="99" t="str">
        <f>'Tackles Selections'!T28</f>
        <v/>
      </c>
      <c r="M63" t="str">
        <f>IF(OR(H63="",'Tackles Selections'!AB28="No"),"Don't Export","Export")</f>
        <v>Don't Export</v>
      </c>
    </row>
    <row r="64" spans="1:13" x14ac:dyDescent="0.25">
      <c r="A64" t="s">
        <v>104</v>
      </c>
      <c r="B64" t="s">
        <v>105</v>
      </c>
      <c r="C64" s="73" t="str">
        <f t="shared" si="6"/>
        <v>Premier League</v>
      </c>
      <c r="D64" s="73" t="str">
        <f t="shared" si="7"/>
        <v>|Chelsea| |.v| |Leeds United|</v>
      </c>
      <c r="E64" s="69">
        <f t="shared" si="8"/>
        <v>44170.833333333336</v>
      </c>
      <c r="F64" t="s">
        <v>128</v>
      </c>
      <c r="G64" s="73">
        <f>'Tackles Selections'!AA29</f>
        <v>0</v>
      </c>
      <c r="H64" s="99" t="str">
        <f>'Tackles Selections'!T29</f>
        <v/>
      </c>
      <c r="M64" t="str">
        <f>IF(OR(H64="",'Tackles Selections'!AB29="No"),"Don't Export","Export")</f>
        <v>Don't Export</v>
      </c>
    </row>
    <row r="65" spans="1:13" x14ac:dyDescent="0.25">
      <c r="A65" t="s">
        <v>104</v>
      </c>
      <c r="B65" t="s">
        <v>105</v>
      </c>
      <c r="C65" s="73" t="str">
        <f t="shared" si="6"/>
        <v>Premier League</v>
      </c>
      <c r="D65" s="73" t="str">
        <f t="shared" si="7"/>
        <v>|Chelsea| |.v| |Leeds United|</v>
      </c>
      <c r="E65" s="69">
        <f t="shared" si="8"/>
        <v>44170.833333333336</v>
      </c>
      <c r="F65" t="s">
        <v>128</v>
      </c>
      <c r="G65" s="73">
        <f>'Tackles Selections'!AA30</f>
        <v>0</v>
      </c>
      <c r="H65" s="99" t="str">
        <f>'Tackles Selections'!T30</f>
        <v/>
      </c>
      <c r="M65" t="str">
        <f>IF(OR(H65="",'Tackles Selections'!AB30="No"),"Don't Export","Export")</f>
        <v>Don't Export</v>
      </c>
    </row>
    <row r="66" spans="1:13" x14ac:dyDescent="0.25">
      <c r="A66" t="s">
        <v>104</v>
      </c>
      <c r="B66" t="s">
        <v>105</v>
      </c>
      <c r="C66" s="73" t="str">
        <f t="shared" si="6"/>
        <v>Premier League</v>
      </c>
      <c r="D66" s="73" t="str">
        <f t="shared" si="7"/>
        <v>|Chelsea| |.v| |Leeds United|</v>
      </c>
      <c r="E66" s="69">
        <f t="shared" si="8"/>
        <v>44170.833333333336</v>
      </c>
      <c r="F66" t="s">
        <v>128</v>
      </c>
      <c r="G66" s="73">
        <f>'Tackles Selections'!AA31</f>
        <v>0</v>
      </c>
      <c r="H66" s="99" t="str">
        <f>'Tackles Selections'!T31</f>
        <v/>
      </c>
      <c r="M66" t="str">
        <f>IF(OR(H66="",'Tackles Selections'!AB31="No"),"Don't Export","Export")</f>
        <v>Don't Export</v>
      </c>
    </row>
    <row r="67" spans="1:13" x14ac:dyDescent="0.25">
      <c r="A67" t="s">
        <v>104</v>
      </c>
      <c r="B67" t="s">
        <v>105</v>
      </c>
      <c r="C67" s="73" t="str">
        <f t="shared" si="6"/>
        <v>Premier League</v>
      </c>
      <c r="D67" s="73" t="str">
        <f t="shared" si="7"/>
        <v>|Chelsea| |.v| |Leeds United|</v>
      </c>
      <c r="E67" s="69">
        <f t="shared" si="8"/>
        <v>44170.833333333336</v>
      </c>
      <c r="F67" t="s">
        <v>128</v>
      </c>
      <c r="G67" s="73">
        <f>'Tackles Selections'!AA32</f>
        <v>0</v>
      </c>
      <c r="H67" s="99" t="str">
        <f>'Tackles Selections'!T32</f>
        <v/>
      </c>
      <c r="M67" t="str">
        <f>IF(OR(H67="",'Tackles Selections'!AB32="No"),"Don't Export","Export")</f>
        <v>Don't Export</v>
      </c>
    </row>
    <row r="68" spans="1:13" x14ac:dyDescent="0.25">
      <c r="A68" t="s">
        <v>104</v>
      </c>
      <c r="B68" t="s">
        <v>105</v>
      </c>
      <c r="C68" s="73" t="str">
        <f t="shared" si="6"/>
        <v>Premier League</v>
      </c>
      <c r="D68" s="73" t="str">
        <f t="shared" si="7"/>
        <v>|Chelsea| |.v| |Leeds United|</v>
      </c>
      <c r="E68" s="69">
        <f t="shared" si="8"/>
        <v>44170.833333333336</v>
      </c>
      <c r="F68" t="s">
        <v>128</v>
      </c>
      <c r="G68" s="73">
        <f>'Tackles Selections'!AA33</f>
        <v>0</v>
      </c>
      <c r="H68" s="99" t="str">
        <f>'Tackles Selections'!T33</f>
        <v/>
      </c>
      <c r="M68" t="str">
        <f>IF(OR(H68="",'Tackles Selections'!AB33="No"),"Don't Export","Export")</f>
        <v>Don't Export</v>
      </c>
    </row>
    <row r="69" spans="1:13" x14ac:dyDescent="0.25">
      <c r="A69" t="s">
        <v>104</v>
      </c>
      <c r="B69" t="s">
        <v>105</v>
      </c>
      <c r="C69" s="73" t="str">
        <f t="shared" si="6"/>
        <v>Premier League</v>
      </c>
      <c r="D69" s="73" t="str">
        <f t="shared" si="7"/>
        <v>|Chelsea| |.v| |Leeds United|</v>
      </c>
      <c r="E69" s="69">
        <f t="shared" si="8"/>
        <v>44170.833333333336</v>
      </c>
      <c r="F69" t="s">
        <v>128</v>
      </c>
      <c r="G69" s="73">
        <f>'Tackles Selections'!AA34</f>
        <v>0</v>
      </c>
      <c r="H69" s="99" t="str">
        <f>'Tackles Selections'!T34</f>
        <v/>
      </c>
      <c r="M69" t="str">
        <f>IF(OR(H69="",'Tackles Selections'!AB34="No"),"Don't Export","Export")</f>
        <v>Don't Export</v>
      </c>
    </row>
    <row r="70" spans="1:13" x14ac:dyDescent="0.25">
      <c r="A70" t="s">
        <v>104</v>
      </c>
      <c r="B70" t="s">
        <v>105</v>
      </c>
      <c r="C70" s="73" t="str">
        <f t="shared" si="6"/>
        <v>Premier League</v>
      </c>
      <c r="D70" s="73" t="str">
        <f t="shared" si="7"/>
        <v>|Chelsea| |.v| |Leeds United|</v>
      </c>
      <c r="E70" s="69">
        <f t="shared" si="8"/>
        <v>44170.833333333336</v>
      </c>
      <c r="F70" t="s">
        <v>128</v>
      </c>
      <c r="G70" s="73">
        <f>'Tackles Selections'!AA35</f>
        <v>0</v>
      </c>
      <c r="H70" s="99" t="str">
        <f>'Tackles Selections'!T35</f>
        <v/>
      </c>
      <c r="M70" t="str">
        <f>IF(OR(H70="",'Tackles Selections'!AB35="No"),"Don't Export","Export")</f>
        <v>Don't Export</v>
      </c>
    </row>
    <row r="71" spans="1:13" x14ac:dyDescent="0.25">
      <c r="A71" t="s">
        <v>104</v>
      </c>
      <c r="B71" t="s">
        <v>105</v>
      </c>
      <c r="C71" s="73" t="str">
        <f t="shared" si="6"/>
        <v>Premier League</v>
      </c>
      <c r="D71" s="73" t="str">
        <f t="shared" si="7"/>
        <v>|Chelsea| |.v| |Leeds United|</v>
      </c>
      <c r="E71" s="69">
        <f t="shared" si="8"/>
        <v>44170.833333333336</v>
      </c>
      <c r="F71" t="s">
        <v>128</v>
      </c>
      <c r="G71" s="73">
        <f>'Tackles Selections'!AA36</f>
        <v>0</v>
      </c>
      <c r="H71" s="99" t="str">
        <f>'Tackles Selections'!T36</f>
        <v/>
      </c>
      <c r="M71" t="str">
        <f>IF(OR(H71="",'Tackles Selections'!AB36="No"),"Don't Export","Export")</f>
        <v>Don't Export</v>
      </c>
    </row>
    <row r="72" spans="1:13" x14ac:dyDescent="0.25">
      <c r="A72" t="s">
        <v>104</v>
      </c>
      <c r="B72" t="s">
        <v>105</v>
      </c>
      <c r="C72" s="73" t="str">
        <f t="shared" si="6"/>
        <v>Premier League</v>
      </c>
      <c r="D72" s="73" t="str">
        <f t="shared" si="7"/>
        <v>|Chelsea| |.v| |Leeds United|</v>
      </c>
      <c r="E72" s="69">
        <f t="shared" si="8"/>
        <v>44170.833333333336</v>
      </c>
      <c r="F72" t="s">
        <v>128</v>
      </c>
      <c r="G72" s="73">
        <f>'Tackles Selections'!AA37</f>
        <v>0</v>
      </c>
      <c r="H72" s="99" t="str">
        <f>'Tackles Selections'!T37</f>
        <v/>
      </c>
      <c r="M72" t="str">
        <f>IF(OR(H72="",'Tackles Selections'!AB37="No"),"Don't Export","Export")</f>
        <v>Don't Export</v>
      </c>
    </row>
    <row r="73" spans="1:13" x14ac:dyDescent="0.25">
      <c r="A73" t="s">
        <v>104</v>
      </c>
      <c r="B73" t="s">
        <v>105</v>
      </c>
      <c r="C73" s="73" t="str">
        <f t="shared" si="6"/>
        <v>Premier League</v>
      </c>
      <c r="D73" s="73" t="str">
        <f t="shared" si="7"/>
        <v>|Chelsea| |.v| |Leeds United|</v>
      </c>
      <c r="E73" s="69">
        <f t="shared" si="8"/>
        <v>44170.833333333336</v>
      </c>
      <c r="F73" t="s">
        <v>128</v>
      </c>
      <c r="G73" s="73">
        <f>'Tackles Selections'!AA38</f>
        <v>0</v>
      </c>
      <c r="H73" s="99" t="str">
        <f>'Tackles Selections'!T38</f>
        <v/>
      </c>
      <c r="M73" t="str">
        <f>IF(OR(H73="",'Tackles Selections'!AB38="No"),"Don't Export","Export")</f>
        <v>Don't Export</v>
      </c>
    </row>
    <row r="74" spans="1:13" x14ac:dyDescent="0.25">
      <c r="A74" t="s">
        <v>104</v>
      </c>
      <c r="B74" t="s">
        <v>105</v>
      </c>
      <c r="C74" s="73" t="str">
        <f t="shared" si="6"/>
        <v>Premier League</v>
      </c>
      <c r="D74" s="73" t="str">
        <f t="shared" si="7"/>
        <v>|Chelsea| |.v| |Leeds United|</v>
      </c>
      <c r="E74" s="69">
        <f t="shared" si="8"/>
        <v>44170.833333333336</v>
      </c>
      <c r="F74" t="s">
        <v>128</v>
      </c>
      <c r="G74" s="73">
        <f>'Tackles Selections'!AA39</f>
        <v>0</v>
      </c>
      <c r="H74" s="99" t="str">
        <f>'Tackles Selections'!T39</f>
        <v/>
      </c>
      <c r="M74" t="str">
        <f>IF(OR(H74="",'Tackles Selections'!AB39="No"),"Don't Export","Export")</f>
        <v>Don't Export</v>
      </c>
    </row>
    <row r="75" spans="1:13" x14ac:dyDescent="0.25">
      <c r="A75" t="s">
        <v>104</v>
      </c>
      <c r="B75" t="s">
        <v>105</v>
      </c>
      <c r="C75" s="73" t="str">
        <f t="shared" si="6"/>
        <v>Premier League</v>
      </c>
      <c r="D75" s="73" t="str">
        <f t="shared" si="7"/>
        <v>|Chelsea| |.v| |Leeds United|</v>
      </c>
      <c r="E75" s="69">
        <f t="shared" si="8"/>
        <v>44170.833333333336</v>
      </c>
      <c r="F75" t="s">
        <v>128</v>
      </c>
      <c r="G75" s="73">
        <f>'Tackles Selections'!AA40</f>
        <v>0</v>
      </c>
      <c r="H75" s="99" t="str">
        <f>'Tackles Selections'!T40</f>
        <v/>
      </c>
      <c r="M75" t="str">
        <f>IF(OR(H75="",'Tackles Selections'!AB40="No"),"Don't Export","Export")</f>
        <v>Don't Export</v>
      </c>
    </row>
    <row r="76" spans="1:13" x14ac:dyDescent="0.25">
      <c r="A76" t="s">
        <v>104</v>
      </c>
      <c r="B76" t="s">
        <v>105</v>
      </c>
      <c r="C76" s="73" t="str">
        <f t="shared" si="6"/>
        <v>Premier League</v>
      </c>
      <c r="D76" s="73" t="str">
        <f t="shared" si="7"/>
        <v>|Chelsea| |.v| |Leeds United|</v>
      </c>
      <c r="E76" s="69">
        <f t="shared" si="8"/>
        <v>44170.833333333336</v>
      </c>
      <c r="F76" t="s">
        <v>128</v>
      </c>
      <c r="G76" s="73">
        <f>'Tackles Selections'!AA41</f>
        <v>0</v>
      </c>
      <c r="H76" s="99" t="str">
        <f>'Tackles Selections'!T41</f>
        <v/>
      </c>
      <c r="M76" t="str">
        <f>IF(OR(H76="",'Tackles Selections'!AB41="No"),"Don't Export","Export")</f>
        <v>Don't Export</v>
      </c>
    </row>
    <row r="77" spans="1:13" x14ac:dyDescent="0.25">
      <c r="A77" t="s">
        <v>104</v>
      </c>
      <c r="B77" t="s">
        <v>105</v>
      </c>
      <c r="C77" s="73" t="str">
        <f t="shared" si="6"/>
        <v>Premier League</v>
      </c>
      <c r="D77" s="73" t="str">
        <f t="shared" si="7"/>
        <v>|Chelsea| |.v| |Leeds United|</v>
      </c>
      <c r="E77" s="69">
        <f t="shared" si="8"/>
        <v>44170.833333333336</v>
      </c>
      <c r="F77" t="s">
        <v>128</v>
      </c>
      <c r="G77" s="73">
        <f>'Tackles Selections'!AA42</f>
        <v>0</v>
      </c>
      <c r="H77" s="99" t="str">
        <f>'Tackles Selections'!T42</f>
        <v/>
      </c>
      <c r="M77" t="str">
        <f>IF(OR(H77="",'Tackles Selections'!AB42="No"),"Don't Export","Export")</f>
        <v>Don't Export</v>
      </c>
    </row>
    <row r="78" spans="1:13" x14ac:dyDescent="0.25">
      <c r="A78" t="s">
        <v>104</v>
      </c>
      <c r="B78" t="s">
        <v>105</v>
      </c>
      <c r="C78" s="73" t="str">
        <f t="shared" si="6"/>
        <v>Premier League</v>
      </c>
      <c r="D78" s="73" t="str">
        <f t="shared" si="7"/>
        <v>|Chelsea| |.v| |Leeds United|</v>
      </c>
      <c r="E78" s="69">
        <f t="shared" si="8"/>
        <v>44170.833333333336</v>
      </c>
      <c r="F78" t="s">
        <v>128</v>
      </c>
      <c r="G78" s="73">
        <f>'Tackles Selections'!AA43</f>
        <v>0</v>
      </c>
      <c r="H78" s="99" t="str">
        <f>'Tackles Selections'!T43</f>
        <v/>
      </c>
      <c r="M78" t="str">
        <f>IF(OR(H78="",'Tackles Selections'!AB43="No"),"Don't Export","Export")</f>
        <v>Don't Export</v>
      </c>
    </row>
    <row r="79" spans="1:13" x14ac:dyDescent="0.25">
      <c r="A79" t="s">
        <v>104</v>
      </c>
      <c r="B79" t="s">
        <v>105</v>
      </c>
      <c r="C79" s="73" t="str">
        <f t="shared" si="6"/>
        <v>Premier League</v>
      </c>
      <c r="D79" s="73" t="str">
        <f t="shared" si="7"/>
        <v>|Chelsea| |.v| |Leeds United|</v>
      </c>
      <c r="E79" s="69">
        <f t="shared" si="8"/>
        <v>44170.833333333336</v>
      </c>
      <c r="F79" t="s">
        <v>128</v>
      </c>
      <c r="G79" s="73">
        <f>'Tackles Selections'!AA44</f>
        <v>0</v>
      </c>
      <c r="H79" s="99" t="str">
        <f>'Tackles Selections'!T44</f>
        <v/>
      </c>
      <c r="M79" t="str">
        <f>IF(OR(H79="",'Tackles Selections'!AB44="No"),"Don't Export","Export")</f>
        <v>Don't Export</v>
      </c>
    </row>
    <row r="80" spans="1:13" x14ac:dyDescent="0.25">
      <c r="A80" t="s">
        <v>104</v>
      </c>
      <c r="B80" t="s">
        <v>105</v>
      </c>
      <c r="C80" s="73" t="str">
        <f t="shared" si="6"/>
        <v>Premier League</v>
      </c>
      <c r="D80" s="73" t="str">
        <f t="shared" si="7"/>
        <v>|Chelsea| |.v| |Leeds United|</v>
      </c>
      <c r="E80" s="69">
        <f t="shared" si="8"/>
        <v>44170.833333333336</v>
      </c>
      <c r="F80" t="s">
        <v>128</v>
      </c>
      <c r="G80" s="73">
        <f>'Tackles Selections'!AA45</f>
        <v>0</v>
      </c>
      <c r="H80" s="99" t="str">
        <f>'Tackles Selections'!T45</f>
        <v/>
      </c>
      <c r="M80" t="str">
        <f>IF(OR(H80="",'Tackles Selections'!AB45="No"),"Don't Export","Export")</f>
        <v>Don't Export</v>
      </c>
    </row>
    <row r="81" spans="1:13" x14ac:dyDescent="0.25">
      <c r="A81" t="s">
        <v>104</v>
      </c>
      <c r="B81" t="s">
        <v>105</v>
      </c>
      <c r="C81" s="73" t="str">
        <f t="shared" si="6"/>
        <v>Premier League</v>
      </c>
      <c r="D81" s="73" t="str">
        <f t="shared" si="7"/>
        <v>|Chelsea| |.v| |Leeds United|</v>
      </c>
      <c r="E81" s="69">
        <f t="shared" si="8"/>
        <v>44170.833333333336</v>
      </c>
      <c r="F81" t="s">
        <v>128</v>
      </c>
      <c r="G81" s="73">
        <f>'Tackles Selections'!AA46</f>
        <v>0</v>
      </c>
      <c r="H81" s="99" t="str">
        <f>'Tackles Selections'!T46</f>
        <v/>
      </c>
      <c r="M81" t="str">
        <f>IF(OR(H81="",'Tackles Selections'!AB46="No"),"Don't Export","Export")</f>
        <v>Don't Export</v>
      </c>
    </row>
    <row r="82" spans="1:13" x14ac:dyDescent="0.25">
      <c r="A82" t="s">
        <v>104</v>
      </c>
      <c r="B82" t="s">
        <v>105</v>
      </c>
      <c r="C82" s="73" t="str">
        <f t="shared" si="6"/>
        <v>Premier League</v>
      </c>
      <c r="D82" s="73" t="str">
        <f t="shared" si="7"/>
        <v>|Chelsea| |.v| |Leeds United|</v>
      </c>
      <c r="E82" s="69">
        <f t="shared" si="8"/>
        <v>44170.833333333336</v>
      </c>
      <c r="F82" t="s">
        <v>168</v>
      </c>
      <c r="G82" s="73" t="str">
        <f>'Stats RABs'!AO3</f>
        <v>Timo Werner 3+ shots on target and N'Golo Kante 3+ tackles</v>
      </c>
      <c r="H82" t="str">
        <f>IF('Stats RABs'!AQ3="V","V",IF('Stats RABs'!AQ3="W","W",IF('Stats RABs'!AQ3="L","L")))</f>
        <v>L</v>
      </c>
      <c r="M82" t="str">
        <f>IF(H82="V","Don't Export","Export")</f>
        <v>Export</v>
      </c>
    </row>
    <row r="83" spans="1:13" x14ac:dyDescent="0.25">
      <c r="A83" t="s">
        <v>104</v>
      </c>
      <c r="B83" t="s">
        <v>105</v>
      </c>
      <c r="C83" s="73" t="str">
        <f t="shared" si="6"/>
        <v>Premier League</v>
      </c>
      <c r="D83" s="73" t="str">
        <f t="shared" si="7"/>
        <v>|Chelsea| |.v| |Leeds United|</v>
      </c>
      <c r="E83" s="69">
        <f t="shared" si="8"/>
        <v>44170.833333333336</v>
      </c>
      <c r="F83" t="s">
        <v>168</v>
      </c>
      <c r="G83" s="73" t="str">
        <f>'Stats RABs'!AO4</f>
        <v>Tammy Abraham 2+ shots on target and Reece James 3+ tackles</v>
      </c>
      <c r="H83" t="str">
        <f>IF('Stats RABs'!AQ4="V","V",IF('Stats RABs'!AQ4="W","W",IF('Stats RABs'!AQ4="L","L")))</f>
        <v>L</v>
      </c>
      <c r="M83" t="str">
        <f t="shared" ref="M83:M98" si="9">IF(H83="V","Don't Export","Export")</f>
        <v>Export</v>
      </c>
    </row>
    <row r="84" spans="1:13" x14ac:dyDescent="0.25">
      <c r="A84" t="s">
        <v>104</v>
      </c>
      <c r="B84" t="s">
        <v>105</v>
      </c>
      <c r="C84" s="73" t="str">
        <f t="shared" si="6"/>
        <v>Premier League</v>
      </c>
      <c r="D84" s="73" t="str">
        <f t="shared" si="7"/>
        <v>|Chelsea| |.v| |Leeds United|</v>
      </c>
      <c r="E84" s="69">
        <f t="shared" si="8"/>
        <v>44170.833333333336</v>
      </c>
      <c r="F84" t="s">
        <v>168</v>
      </c>
      <c r="G84" s="73" t="str">
        <f>'Stats RABs'!AO5</f>
        <v>Patrick Bamford 2+ shots on target and Kalvin Phillips 4+ tackles</v>
      </c>
      <c r="H84" t="str">
        <f>IF('Stats RABs'!AQ5="V","V",IF('Stats RABs'!AQ5="W","W",IF('Stats RABs'!AQ5="L","L")))</f>
        <v>L</v>
      </c>
      <c r="M84" t="str">
        <f t="shared" si="9"/>
        <v>Export</v>
      </c>
    </row>
    <row r="85" spans="1:13" x14ac:dyDescent="0.25">
      <c r="A85" t="s">
        <v>104</v>
      </c>
      <c r="B85" t="s">
        <v>105</v>
      </c>
      <c r="C85" s="73" t="str">
        <f t="shared" si="6"/>
        <v>Premier League</v>
      </c>
      <c r="D85" s="73" t="str">
        <f t="shared" si="7"/>
        <v>|Chelsea| |.v| |Leeds United|</v>
      </c>
      <c r="E85" s="69">
        <f t="shared" si="8"/>
        <v>44170.833333333336</v>
      </c>
      <c r="F85" t="s">
        <v>168</v>
      </c>
      <c r="G85" s="73" t="str">
        <f>'Stats RABs'!AO6</f>
        <v>Raphinha 2+ shots on target and Stuart Dallas 2+ tackles</v>
      </c>
      <c r="H85" t="str">
        <f>IF('Stats RABs'!AQ6="V","V",IF('Stats RABs'!AQ6="W","W",IF('Stats RABs'!AQ6="L","L")))</f>
        <v>L</v>
      </c>
      <c r="M85" t="str">
        <f t="shared" si="9"/>
        <v>Export</v>
      </c>
    </row>
    <row r="86" spans="1:13" x14ac:dyDescent="0.25">
      <c r="A86" t="s">
        <v>104</v>
      </c>
      <c r="B86" t="s">
        <v>105</v>
      </c>
      <c r="C86" s="73" t="str">
        <f t="shared" si="6"/>
        <v>Premier League</v>
      </c>
      <c r="D86" s="73" t="str">
        <f t="shared" si="7"/>
        <v>|Chelsea| |.v| |Leeds United|</v>
      </c>
      <c r="E86" s="69">
        <f t="shared" si="8"/>
        <v>44170.833333333336</v>
      </c>
      <c r="F86" t="s">
        <v>168</v>
      </c>
      <c r="G86" s="73" t="str">
        <f>'Stats RABs'!AO7</f>
        <v xml:space="preserve">Timo Werner &amp; Patrick Bamford 2+ shots on target each and N'Golo Kante &amp; Kalvin Phillips 2+ tackles each </v>
      </c>
      <c r="H86" t="str">
        <f>IF('Stats RABs'!AQ7="V","V",IF('Stats RABs'!AQ7="W","W",IF('Stats RABs'!AQ7="L","L")))</f>
        <v>L</v>
      </c>
      <c r="M86" t="str">
        <f t="shared" si="9"/>
        <v>Export</v>
      </c>
    </row>
    <row r="87" spans="1:13" x14ac:dyDescent="0.25">
      <c r="A87" t="s">
        <v>104</v>
      </c>
      <c r="B87" t="s">
        <v>105</v>
      </c>
      <c r="C87" s="73" t="str">
        <f t="shared" si="6"/>
        <v>Premier League</v>
      </c>
      <c r="D87" s="73" t="str">
        <f t="shared" si="7"/>
        <v>|Chelsea| |.v| |Leeds United|</v>
      </c>
      <c r="E87" s="69">
        <f t="shared" si="8"/>
        <v>44170.833333333336</v>
      </c>
      <c r="F87" t="s">
        <v>168</v>
      </c>
      <c r="G87" s="73" t="str">
        <f>'Stats RABs'!AO8</f>
        <v xml:space="preserve">Tammy Abraham &amp; Raphinha 1+ shots on target each and Reece James &amp; Stuart Dallas 2+ tackles each </v>
      </c>
      <c r="H87" t="str">
        <f>IF('Stats RABs'!AQ8="V","V",IF('Stats RABs'!AQ8="W","W",IF('Stats RABs'!AQ8="L","L")))</f>
        <v>L</v>
      </c>
      <c r="M87" t="str">
        <f t="shared" si="9"/>
        <v>Export</v>
      </c>
    </row>
    <row r="88" spans="1:13" x14ac:dyDescent="0.25">
      <c r="A88" t="s">
        <v>104</v>
      </c>
      <c r="B88" t="s">
        <v>105</v>
      </c>
      <c r="C88" s="73" t="str">
        <f t="shared" si="6"/>
        <v>Premier League</v>
      </c>
      <c r="D88" s="73" t="str">
        <f t="shared" si="7"/>
        <v>|Chelsea| |.v| |Leeds United|</v>
      </c>
      <c r="E88" s="69">
        <f t="shared" si="8"/>
        <v>44170.833333333336</v>
      </c>
      <c r="F88" t="s">
        <v>168</v>
      </c>
      <c r="G88" s="73" t="str">
        <f>'Stats RABs'!AO9</f>
        <v xml:space="preserve">Patrick Bamford &amp; Tammy Abraham 2+ shots on target each and Kalvin Phillips &amp; Reece James 1+ tackles each </v>
      </c>
      <c r="H88" t="str">
        <f>IF('Stats RABs'!AQ9="V","V",IF('Stats RABs'!AQ9="W","W",IF('Stats RABs'!AQ9="L","L")))</f>
        <v>L</v>
      </c>
      <c r="M88" t="str">
        <f t="shared" si="9"/>
        <v>Export</v>
      </c>
    </row>
    <row r="89" spans="1:13" x14ac:dyDescent="0.25">
      <c r="A89" t="s">
        <v>104</v>
      </c>
      <c r="B89" t="s">
        <v>105</v>
      </c>
      <c r="C89" s="73" t="str">
        <f t="shared" si="6"/>
        <v>Premier League</v>
      </c>
      <c r="D89" s="73" t="str">
        <f t="shared" si="7"/>
        <v>|Chelsea| |.v| |Leeds United|</v>
      </c>
      <c r="E89" s="69">
        <f t="shared" si="8"/>
        <v>44170.833333333336</v>
      </c>
      <c r="F89" t="s">
        <v>168</v>
      </c>
      <c r="G89" s="73" t="str">
        <f>'Stats RABs'!AO10</f>
        <v xml:space="preserve">Raphinha &amp; Timo Werner 1+ shots on target each and Stuart Dallas &amp; N'Golo Kante 3+ tackles each </v>
      </c>
      <c r="H89" t="str">
        <f>IF('Stats RABs'!AQ10="V","V",IF('Stats RABs'!AQ10="W","W",IF('Stats RABs'!AQ10="L","L")))</f>
        <v>L</v>
      </c>
      <c r="M89" t="str">
        <f t="shared" si="9"/>
        <v>Export</v>
      </c>
    </row>
    <row r="90" spans="1:13" x14ac:dyDescent="0.25">
      <c r="A90" t="s">
        <v>104</v>
      </c>
      <c r="B90" t="s">
        <v>105</v>
      </c>
      <c r="C90" s="73" t="str">
        <f t="shared" si="6"/>
        <v>Premier League</v>
      </c>
      <c r="D90" s="73" t="str">
        <f t="shared" si="7"/>
        <v>|Chelsea| |.v| |Leeds United|</v>
      </c>
      <c r="E90" s="69">
        <f t="shared" si="8"/>
        <v>44170.833333333336</v>
      </c>
      <c r="F90" t="s">
        <v>168</v>
      </c>
      <c r="G90" s="73" t="str">
        <f>'Stats RABs'!AO11</f>
        <v>Hakim Ziyech 2+ shots on target and Kalvin Phillips 5+ tackles</v>
      </c>
      <c r="H90" t="str">
        <f>IF('Stats RABs'!AQ11="V","V",IF('Stats RABs'!AQ11="W","W",IF('Stats RABs'!AQ11="L","L")))</f>
        <v>L</v>
      </c>
      <c r="M90" t="str">
        <f t="shared" si="9"/>
        <v>Export</v>
      </c>
    </row>
    <row r="91" spans="1:13" x14ac:dyDescent="0.25">
      <c r="A91" t="s">
        <v>104</v>
      </c>
      <c r="B91" t="s">
        <v>105</v>
      </c>
      <c r="C91" s="73" t="str">
        <f t="shared" si="6"/>
        <v>Premier League</v>
      </c>
      <c r="D91" s="73" t="str">
        <f t="shared" si="7"/>
        <v>|Chelsea| |.v| |Leeds United|</v>
      </c>
      <c r="E91" s="69">
        <f t="shared" si="8"/>
        <v>44170.833333333336</v>
      </c>
      <c r="F91" t="s">
        <v>168</v>
      </c>
      <c r="G91" s="73" t="str">
        <f>'Stats RABs'!AO12</f>
        <v xml:space="preserve">Mateusz Klich &amp; Timo Werner 2+ shots on target each and Luke Ayling &amp; Mateo Kovacic 2+ tackles each </v>
      </c>
      <c r="H91" t="str">
        <f>IF('Stats RABs'!AQ12="V","V",IF('Stats RABs'!AQ12="W","W",IF('Stats RABs'!AQ12="L","L")))</f>
        <v>L</v>
      </c>
      <c r="M91" t="str">
        <f t="shared" si="9"/>
        <v>Export</v>
      </c>
    </row>
    <row r="92" spans="1:13" x14ac:dyDescent="0.25">
      <c r="A92" t="s">
        <v>104</v>
      </c>
      <c r="B92" t="s">
        <v>105</v>
      </c>
      <c r="C92" s="73" t="str">
        <f t="shared" si="6"/>
        <v>Premier League</v>
      </c>
      <c r="D92" s="73" t="str">
        <f t="shared" si="7"/>
        <v>|Chelsea| |.v| |Leeds United|</v>
      </c>
      <c r="E92" s="69">
        <f t="shared" si="8"/>
        <v>44170.833333333336</v>
      </c>
      <c r="F92" t="s">
        <v>168</v>
      </c>
      <c r="G92" s="73" t="str">
        <f>'Stats RABs'!AO13</f>
        <v xml:space="preserve">Patrick Bamford &amp; Hakim Ziyech 2+ shots on target each and Ezgjan Alioski &amp; Ben Chilwell 2+ tackles each </v>
      </c>
      <c r="H92" t="str">
        <f>IF('Stats RABs'!AQ13="V","V",IF('Stats RABs'!AQ13="W","W",IF('Stats RABs'!AQ13="L","L")))</f>
        <v>L</v>
      </c>
      <c r="M92" t="str">
        <f t="shared" si="9"/>
        <v>Export</v>
      </c>
    </row>
    <row r="93" spans="1:13" x14ac:dyDescent="0.25">
      <c r="A93" t="s">
        <v>104</v>
      </c>
      <c r="B93" t="s">
        <v>105</v>
      </c>
      <c r="C93" s="73" t="str">
        <f t="shared" si="6"/>
        <v>Premier League</v>
      </c>
      <c r="D93" s="73" t="str">
        <f t="shared" si="7"/>
        <v>|Chelsea| |.v| |Leeds United|</v>
      </c>
      <c r="E93" s="69">
        <f t="shared" si="8"/>
        <v>44170.833333333336</v>
      </c>
      <c r="F93" t="s">
        <v>168</v>
      </c>
      <c r="G93" s="73" t="str">
        <f>'Stats RABs'!AO14</f>
        <v>Timo Werner 2+ shots on target and Kalvin Phillips 5+ tackles</v>
      </c>
      <c r="H93" t="str">
        <f>IF('Stats RABs'!AQ14="V","V",IF('Stats RABs'!AQ14="W","W",IF('Stats RABs'!AQ14="L","L")))</f>
        <v>L</v>
      </c>
      <c r="M93" t="str">
        <f t="shared" si="9"/>
        <v>Export</v>
      </c>
    </row>
    <row r="94" spans="1:13" x14ac:dyDescent="0.25">
      <c r="A94" t="s">
        <v>104</v>
      </c>
      <c r="B94" t="s">
        <v>105</v>
      </c>
      <c r="C94" s="73" t="str">
        <f t="shared" si="6"/>
        <v>Premier League</v>
      </c>
      <c r="D94" s="73" t="str">
        <f t="shared" si="7"/>
        <v>|Chelsea| |.v| |Leeds United|</v>
      </c>
      <c r="E94" s="69">
        <f t="shared" si="8"/>
        <v>44170.833333333336</v>
      </c>
      <c r="F94" t="s">
        <v>168</v>
      </c>
      <c r="G94" s="73" t="str">
        <f>'Stats RABs'!AO15</f>
        <v xml:space="preserve">Mateusz Klich &amp; Hakim Ziyech 2+ shots on target each and Thiago Silva &amp; Robin Koch 2+ tackles each </v>
      </c>
      <c r="H94" t="str">
        <f>IF('Stats RABs'!AQ15="V","V",IF('Stats RABs'!AQ15="W","W",IF('Stats RABs'!AQ15="L","L")))</f>
        <v>L</v>
      </c>
      <c r="M94" t="str">
        <f t="shared" si="9"/>
        <v>Export</v>
      </c>
    </row>
    <row r="95" spans="1:13" x14ac:dyDescent="0.25">
      <c r="A95" t="s">
        <v>104</v>
      </c>
      <c r="B95" t="s">
        <v>105</v>
      </c>
      <c r="C95" s="73" t="str">
        <f t="shared" si="6"/>
        <v>Premier League</v>
      </c>
      <c r="D95" s="73" t="str">
        <f t="shared" si="7"/>
        <v>|Chelsea| |.v| |Leeds United|</v>
      </c>
      <c r="E95" s="69">
        <f t="shared" si="8"/>
        <v>44170.833333333336</v>
      </c>
      <c r="F95" t="s">
        <v>168</v>
      </c>
      <c r="G95" s="73" t="str">
        <f>'Stats RABs'!AO16</f>
        <v>Timo Werner 3+ shots on target and Robin Koch 1+ tackles</v>
      </c>
      <c r="H95" t="str">
        <f>IF('Stats RABs'!AQ16="V","V",IF('Stats RABs'!AQ16="W","W",IF('Stats RABs'!AQ16="L","L")))</f>
        <v>L</v>
      </c>
      <c r="M95" t="str">
        <f t="shared" si="9"/>
        <v>Export</v>
      </c>
    </row>
    <row r="96" spans="1:13" x14ac:dyDescent="0.25">
      <c r="A96" t="s">
        <v>104</v>
      </c>
      <c r="B96" t="s">
        <v>105</v>
      </c>
      <c r="C96" s="73" t="str">
        <f t="shared" si="6"/>
        <v>Premier League</v>
      </c>
      <c r="D96" s="73" t="str">
        <f t="shared" si="7"/>
        <v>|Chelsea| |.v| |Leeds United|</v>
      </c>
      <c r="E96" s="69">
        <f t="shared" si="8"/>
        <v>44170.833333333336</v>
      </c>
      <c r="F96" t="s">
        <v>168</v>
      </c>
      <c r="G96" s="73" t="str">
        <f>'Stats RABs'!AO17</f>
        <v xml:space="preserve">Raphinha &amp; Timo Werner 2+ shots on target each and Reece James &amp; Stuart Dallas 2+ tackles each </v>
      </c>
      <c r="H96" t="str">
        <f>IF('Stats RABs'!AQ17="V","V",IF('Stats RABs'!AQ17="W","W",IF('Stats RABs'!AQ17="L","L")))</f>
        <v>L</v>
      </c>
      <c r="M96" t="str">
        <f t="shared" si="9"/>
        <v>Export</v>
      </c>
    </row>
    <row r="97" spans="1:13" x14ac:dyDescent="0.25">
      <c r="A97" t="s">
        <v>104</v>
      </c>
      <c r="B97" t="s">
        <v>105</v>
      </c>
      <c r="C97" s="73" t="str">
        <f t="shared" si="6"/>
        <v>Premier League</v>
      </c>
      <c r="D97" s="73" t="str">
        <f t="shared" si="7"/>
        <v>|Chelsea| |.v| |Leeds United|</v>
      </c>
      <c r="E97" s="69">
        <f t="shared" si="8"/>
        <v>44170.833333333336</v>
      </c>
      <c r="F97" t="s">
        <v>168</v>
      </c>
      <c r="G97" s="73" t="str">
        <f>'Stats RABs'!AO18</f>
        <v>Mateusz Klich 4+ shots on target and Mateo Kovacic 4+ tackles</v>
      </c>
      <c r="H97" t="str">
        <f>IF('Stats RABs'!AQ18="V","V",IF('Stats RABs'!AQ18="W","W",IF('Stats RABs'!AQ18="L","L")))</f>
        <v>L</v>
      </c>
      <c r="M97" t="str">
        <f t="shared" si="9"/>
        <v>Export</v>
      </c>
    </row>
    <row r="98" spans="1:13" x14ac:dyDescent="0.25">
      <c r="A98" t="s">
        <v>104</v>
      </c>
      <c r="B98" t="s">
        <v>105</v>
      </c>
      <c r="C98" s="73" t="str">
        <f t="shared" si="6"/>
        <v>Premier League</v>
      </c>
      <c r="D98" s="73" t="str">
        <f t="shared" si="7"/>
        <v>|Chelsea| |.v| |Leeds United|</v>
      </c>
      <c r="E98" s="69">
        <f t="shared" si="8"/>
        <v>44170.833333333336</v>
      </c>
      <c r="F98" t="s">
        <v>168</v>
      </c>
      <c r="G98" s="73" t="str">
        <f>'Stats RABs'!AO19</f>
        <v xml:space="preserve">Mason Mount &amp; Stuart Dallas 1+ shots on target each and Ben Chilwell &amp; Ezgjan Alioski 2+ tackles each </v>
      </c>
      <c r="H98" t="str">
        <f>IF('Stats RABs'!AQ19="V","V",IF('Stats RABs'!AQ19="W","W",IF('Stats RABs'!AQ19="L","L")))</f>
        <v>L</v>
      </c>
      <c r="M98" t="str">
        <f t="shared" si="9"/>
        <v>Export</v>
      </c>
    </row>
    <row r="99" spans="1:13" x14ac:dyDescent="0.25">
      <c r="A99" t="s">
        <v>104</v>
      </c>
      <c r="B99" t="s">
        <v>105</v>
      </c>
      <c r="C99" s="73" t="str">
        <f t="shared" si="6"/>
        <v>Premier League</v>
      </c>
      <c r="D99" s="73" t="str">
        <f t="shared" si="7"/>
        <v>|Chelsea| |.v| |Leeds United|</v>
      </c>
      <c r="E99" s="69">
        <f t="shared" si="8"/>
        <v>44170.833333333336</v>
      </c>
      <c r="F99" t="s">
        <v>168</v>
      </c>
      <c r="G99" s="73" t="str">
        <f>'Stats RABs'!AO20</f>
        <v xml:space="preserve">Timo Werner &amp; Patrick Bamford 3+ shots on target each and Reece James &amp; Stuart Dallas 3+ tackles each </v>
      </c>
      <c r="H99" t="str">
        <f>IF('Stats RABs'!AQ20="V","V",IF('Stats RABs'!AQ20="W","W",IF('Stats RABs'!AQ20="L","L")))</f>
        <v>L</v>
      </c>
      <c r="M99" t="str">
        <f>IF(H99="V","Don't Export","Export")</f>
        <v>Export</v>
      </c>
    </row>
  </sheetData>
  <autoFilter ref="A1:M81" xr:uid="{00000000-0009-0000-0000-000008000000}"/>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B2:Q118"/>
  <sheetViews>
    <sheetView topLeftCell="A61" workbookViewId="0">
      <selection activeCell="H86" sqref="H86"/>
    </sheetView>
  </sheetViews>
  <sheetFormatPr defaultColWidth="9.140625" defaultRowHeight="15" x14ac:dyDescent="0.25"/>
  <cols>
    <col min="1" max="1" width="2.7109375" style="2" customWidth="1"/>
    <col min="2" max="2" width="26.85546875" style="2" customWidth="1"/>
    <col min="3" max="3" width="2.7109375" style="40" customWidth="1"/>
    <col min="4" max="5" width="16.7109375" style="41" customWidth="1"/>
    <col min="6" max="6" width="2.7109375" style="40" customWidth="1"/>
    <col min="7" max="10" width="10.7109375" style="2" customWidth="1"/>
    <col min="11" max="11" width="2.7109375" style="2" customWidth="1"/>
    <col min="12" max="12" width="13" style="2" customWidth="1"/>
    <col min="13" max="16384" width="9.140625" style="2"/>
  </cols>
  <sheetData>
    <row r="2" spans="2:17" x14ac:dyDescent="0.25">
      <c r="B2" s="13" t="s">
        <v>7</v>
      </c>
      <c r="C2" s="39"/>
      <c r="D2" s="5" t="s">
        <v>24</v>
      </c>
      <c r="E2" s="4" t="s">
        <v>25</v>
      </c>
      <c r="F2" s="39"/>
      <c r="G2" s="5" t="s">
        <v>63</v>
      </c>
      <c r="H2" s="37" t="s">
        <v>64</v>
      </c>
      <c r="I2" s="27" t="s">
        <v>63</v>
      </c>
      <c r="J2" s="28" t="s">
        <v>65</v>
      </c>
      <c r="L2" s="83" t="s">
        <v>140</v>
      </c>
      <c r="N2" s="5" t="s">
        <v>63</v>
      </c>
      <c r="O2" s="37" t="s">
        <v>64</v>
      </c>
      <c r="P2" s="27" t="s">
        <v>63</v>
      </c>
      <c r="Q2" s="28" t="s">
        <v>65</v>
      </c>
    </row>
    <row r="3" spans="2:17" x14ac:dyDescent="0.25">
      <c r="B3" s="34" t="s">
        <v>0</v>
      </c>
      <c r="C3" s="38"/>
      <c r="D3" s="42" t="s">
        <v>26</v>
      </c>
      <c r="E3" s="42" t="s">
        <v>26</v>
      </c>
      <c r="F3" s="38"/>
      <c r="G3" s="30">
        <v>1.2</v>
      </c>
      <c r="H3" s="29">
        <v>0.1</v>
      </c>
      <c r="I3" s="30">
        <v>1.1000000000000001</v>
      </c>
      <c r="J3" s="31">
        <v>1.0909090909090908</v>
      </c>
      <c r="L3" s="31" t="s">
        <v>141</v>
      </c>
      <c r="N3" s="30">
        <v>1.2</v>
      </c>
      <c r="O3" s="29">
        <v>0.1</v>
      </c>
      <c r="P3" s="30">
        <v>1.1000000000000001</v>
      </c>
      <c r="Q3" s="31">
        <v>1.0909090909090908</v>
      </c>
    </row>
    <row r="4" spans="2:17" x14ac:dyDescent="0.25">
      <c r="B4" s="35" t="s">
        <v>1</v>
      </c>
      <c r="C4" s="38"/>
      <c r="D4" s="42" t="s">
        <v>27</v>
      </c>
      <c r="E4" s="42" t="s">
        <v>27</v>
      </c>
      <c r="F4" s="38"/>
      <c r="G4" s="30">
        <v>1.22</v>
      </c>
      <c r="H4" s="29">
        <v>0.1111111111111111</v>
      </c>
      <c r="I4" s="30">
        <v>1.1111111111111112</v>
      </c>
      <c r="J4" s="31">
        <v>1.0979999999999999</v>
      </c>
      <c r="L4" s="31" t="s">
        <v>142</v>
      </c>
      <c r="N4" s="30">
        <v>1.22</v>
      </c>
      <c r="O4" s="29">
        <v>0.1111111111111111</v>
      </c>
      <c r="P4" s="30">
        <v>1.1111111111111112</v>
      </c>
      <c r="Q4" s="31">
        <v>1.0979999999999999</v>
      </c>
    </row>
    <row r="5" spans="2:17" x14ac:dyDescent="0.25">
      <c r="B5" s="35" t="s">
        <v>2</v>
      </c>
      <c r="C5" s="38"/>
      <c r="D5" s="42" t="s">
        <v>28</v>
      </c>
      <c r="E5" s="42" t="s">
        <v>28</v>
      </c>
      <c r="F5" s="38"/>
      <c r="G5" s="30">
        <v>1.25</v>
      </c>
      <c r="H5" s="29">
        <v>0.14285714285714285</v>
      </c>
      <c r="I5" s="30">
        <v>1.1428571428571428</v>
      </c>
      <c r="J5" s="31">
        <v>1.09375</v>
      </c>
      <c r="N5" s="30">
        <v>1.25</v>
      </c>
      <c r="O5" s="29">
        <v>0.14285714285714285</v>
      </c>
      <c r="P5" s="30">
        <v>1.1428571428571428</v>
      </c>
      <c r="Q5" s="31">
        <v>1.09375</v>
      </c>
    </row>
    <row r="6" spans="2:17" x14ac:dyDescent="0.25">
      <c r="B6" s="35" t="s">
        <v>3</v>
      </c>
      <c r="C6" s="38"/>
      <c r="D6" s="42" t="s">
        <v>29</v>
      </c>
      <c r="E6" s="42" t="s">
        <v>29</v>
      </c>
      <c r="F6" s="38"/>
      <c r="G6" s="30">
        <v>1.286</v>
      </c>
      <c r="H6" s="29">
        <v>0.16666666666666666</v>
      </c>
      <c r="I6" s="30">
        <v>1.1666666666666667</v>
      </c>
      <c r="J6" s="31">
        <v>1.1022857142857143</v>
      </c>
      <c r="N6" s="30">
        <v>1.286</v>
      </c>
      <c r="O6" s="29">
        <v>0.16666666666666666</v>
      </c>
      <c r="P6" s="30">
        <v>1.1666666666666667</v>
      </c>
      <c r="Q6" s="31">
        <v>1.1022857142857143</v>
      </c>
    </row>
    <row r="7" spans="2:17" x14ac:dyDescent="0.25">
      <c r="B7" s="35" t="s">
        <v>4</v>
      </c>
      <c r="C7" s="38"/>
      <c r="D7" s="42" t="s">
        <v>30</v>
      </c>
      <c r="E7" s="42" t="s">
        <v>30</v>
      </c>
      <c r="F7" s="38"/>
      <c r="G7" s="30">
        <v>1.33</v>
      </c>
      <c r="H7" s="29">
        <v>0.2</v>
      </c>
      <c r="I7" s="30">
        <v>1.2</v>
      </c>
      <c r="J7" s="31">
        <v>1.1083333333333334</v>
      </c>
      <c r="N7" s="30">
        <v>1.33</v>
      </c>
      <c r="O7" s="29">
        <v>0.2</v>
      </c>
      <c r="P7" s="30">
        <v>1.2</v>
      </c>
      <c r="Q7" s="31">
        <v>1.1083333333333334</v>
      </c>
    </row>
    <row r="8" spans="2:17" x14ac:dyDescent="0.25">
      <c r="B8" s="35" t="s">
        <v>5</v>
      </c>
      <c r="C8" s="38"/>
      <c r="D8" s="42" t="s">
        <v>31</v>
      </c>
      <c r="E8" s="42" t="s">
        <v>31</v>
      </c>
      <c r="F8" s="38"/>
      <c r="G8" s="30">
        <v>1.3640000000000001</v>
      </c>
      <c r="H8" s="29">
        <v>0.25</v>
      </c>
      <c r="I8" s="30">
        <v>1.25</v>
      </c>
      <c r="J8" s="31">
        <v>1.0912000000000002</v>
      </c>
      <c r="N8" s="30">
        <v>1.3640000000000001</v>
      </c>
      <c r="O8" s="29">
        <v>0.25</v>
      </c>
      <c r="P8" s="30">
        <v>1.25</v>
      </c>
      <c r="Q8" s="31">
        <v>1.0912000000000002</v>
      </c>
    </row>
    <row r="9" spans="2:17" x14ac:dyDescent="0.25">
      <c r="B9" s="35" t="s">
        <v>6</v>
      </c>
      <c r="C9" s="38"/>
      <c r="D9" s="42" t="s">
        <v>32</v>
      </c>
      <c r="E9" s="42" t="s">
        <v>32</v>
      </c>
      <c r="F9" s="38"/>
      <c r="G9" s="30">
        <v>1.4</v>
      </c>
      <c r="H9" s="29">
        <v>0.2857142857142857</v>
      </c>
      <c r="I9" s="30">
        <v>1.2857142857142856</v>
      </c>
      <c r="J9" s="31">
        <v>1.088888888888889</v>
      </c>
      <c r="N9" s="30">
        <v>1.4</v>
      </c>
      <c r="O9" s="29">
        <v>0.2857142857142857</v>
      </c>
      <c r="P9" s="30">
        <v>1.2857142857142856</v>
      </c>
      <c r="Q9" s="31">
        <v>1.088888888888889</v>
      </c>
    </row>
    <row r="10" spans="2:17" x14ac:dyDescent="0.25">
      <c r="B10" s="35" t="s">
        <v>165</v>
      </c>
      <c r="C10" s="38"/>
      <c r="D10" s="42" t="s">
        <v>33</v>
      </c>
      <c r="E10" s="42" t="s">
        <v>33</v>
      </c>
      <c r="F10" s="38"/>
      <c r="G10" s="30">
        <v>1.5</v>
      </c>
      <c r="H10" s="29">
        <v>0.36363636363636365</v>
      </c>
      <c r="I10" s="30">
        <v>1.3636363636363638</v>
      </c>
      <c r="J10" s="31">
        <v>1.0999999999999999</v>
      </c>
      <c r="N10" s="30">
        <v>1.5</v>
      </c>
      <c r="O10" s="29">
        <v>0.36363636363636365</v>
      </c>
      <c r="P10" s="30">
        <v>1.3636363636363638</v>
      </c>
      <c r="Q10" s="31">
        <v>1.0999999999999999</v>
      </c>
    </row>
    <row r="11" spans="2:17" x14ac:dyDescent="0.25">
      <c r="B11" s="35" t="s">
        <v>166</v>
      </c>
      <c r="C11" s="38"/>
      <c r="D11" s="42" t="s">
        <v>34</v>
      </c>
      <c r="E11" s="42" t="s">
        <v>34</v>
      </c>
      <c r="F11" s="38"/>
      <c r="G11" s="30">
        <v>1.5329999999999999</v>
      </c>
      <c r="H11" s="29">
        <v>0.4</v>
      </c>
      <c r="I11" s="30">
        <v>1.4</v>
      </c>
      <c r="J11" s="31">
        <v>1.095</v>
      </c>
      <c r="N11" s="30">
        <v>1.5329999999999999</v>
      </c>
      <c r="O11" s="29">
        <v>0.4</v>
      </c>
      <c r="P11" s="30">
        <v>1.4</v>
      </c>
      <c r="Q11" s="31">
        <v>1.095</v>
      </c>
    </row>
    <row r="12" spans="2:17" x14ac:dyDescent="0.25">
      <c r="B12" s="35" t="s">
        <v>169</v>
      </c>
      <c r="C12" s="38"/>
      <c r="D12" s="42" t="s">
        <v>35</v>
      </c>
      <c r="E12" s="42" t="s">
        <v>35</v>
      </c>
      <c r="F12" s="38"/>
      <c r="G12" s="30">
        <v>1.571</v>
      </c>
      <c r="H12" s="29">
        <v>0.4</v>
      </c>
      <c r="I12" s="30">
        <v>1.4</v>
      </c>
      <c r="J12" s="31">
        <v>1.1221428571428571</v>
      </c>
      <c r="N12" s="30">
        <v>1.571</v>
      </c>
      <c r="O12" s="29">
        <v>0.4</v>
      </c>
      <c r="P12" s="30">
        <v>1.4</v>
      </c>
      <c r="Q12" s="31">
        <v>1.1221428571428571</v>
      </c>
    </row>
    <row r="13" spans="2:17" x14ac:dyDescent="0.25">
      <c r="B13" s="35" t="s">
        <v>170</v>
      </c>
      <c r="C13" s="38"/>
      <c r="D13" s="42" t="s">
        <v>36</v>
      </c>
      <c r="E13" s="42" t="s">
        <v>36</v>
      </c>
      <c r="F13" s="38"/>
      <c r="G13" s="30">
        <v>1.615</v>
      </c>
      <c r="H13" s="29">
        <v>0.5</v>
      </c>
      <c r="I13" s="30">
        <v>1.5</v>
      </c>
      <c r="J13" s="31">
        <v>1.0766666666666667</v>
      </c>
      <c r="N13" s="30">
        <v>1.615</v>
      </c>
      <c r="O13" s="29">
        <v>0.5</v>
      </c>
      <c r="P13" s="30">
        <v>1.5</v>
      </c>
      <c r="Q13" s="31">
        <v>1.0766666666666667</v>
      </c>
    </row>
    <row r="14" spans="2:17" x14ac:dyDescent="0.25">
      <c r="B14" s="35"/>
      <c r="C14" s="38"/>
      <c r="D14" s="42" t="s">
        <v>37</v>
      </c>
      <c r="E14" s="42" t="s">
        <v>37</v>
      </c>
      <c r="F14" s="38"/>
      <c r="G14" s="30">
        <v>1.66</v>
      </c>
      <c r="H14" s="29">
        <v>0.53333333333333333</v>
      </c>
      <c r="I14" s="30">
        <v>1.5333333333333332</v>
      </c>
      <c r="J14" s="31">
        <v>1.0826086956521739</v>
      </c>
      <c r="N14" s="30">
        <v>1.66</v>
      </c>
      <c r="O14" s="29">
        <v>0.53333333333333333</v>
      </c>
      <c r="P14" s="30">
        <v>1.5333333333333332</v>
      </c>
      <c r="Q14" s="31">
        <v>1.0826086956521739</v>
      </c>
    </row>
    <row r="15" spans="2:17" x14ac:dyDescent="0.25">
      <c r="B15" s="35"/>
      <c r="C15" s="38"/>
      <c r="D15" s="42" t="s">
        <v>38</v>
      </c>
      <c r="E15" s="42" t="s">
        <v>38</v>
      </c>
      <c r="F15" s="38"/>
      <c r="G15" s="30">
        <v>1.72</v>
      </c>
      <c r="H15" s="29">
        <v>0.5714285714285714</v>
      </c>
      <c r="I15" s="30">
        <v>1.5714285714285714</v>
      </c>
      <c r="J15" s="31">
        <v>1.0945454545454545</v>
      </c>
      <c r="N15" s="30">
        <v>1.72</v>
      </c>
      <c r="O15" s="29">
        <v>0.5714285714285714</v>
      </c>
      <c r="P15" s="30">
        <v>1.5714285714285714</v>
      </c>
      <c r="Q15" s="31">
        <v>1.0945454545454545</v>
      </c>
    </row>
    <row r="16" spans="2:17" x14ac:dyDescent="0.25">
      <c r="B16" s="35"/>
      <c r="C16" s="38"/>
      <c r="D16" s="42" t="s">
        <v>39</v>
      </c>
      <c r="E16" s="42" t="s">
        <v>39</v>
      </c>
      <c r="F16" s="38"/>
      <c r="G16" s="30">
        <v>1.8</v>
      </c>
      <c r="H16" s="29">
        <v>0.61538461538461542</v>
      </c>
      <c r="I16" s="30">
        <v>1.6153846153846154</v>
      </c>
      <c r="J16" s="31">
        <v>1.1142857142857143</v>
      </c>
      <c r="N16" s="30">
        <v>1.8</v>
      </c>
      <c r="O16" s="29">
        <v>0.61538461538461542</v>
      </c>
      <c r="P16" s="30">
        <v>1.6153846153846154</v>
      </c>
      <c r="Q16" s="31">
        <v>1.1142857142857143</v>
      </c>
    </row>
    <row r="17" spans="2:17" x14ac:dyDescent="0.25">
      <c r="B17" s="35"/>
      <c r="C17" s="38"/>
      <c r="D17" s="42" t="s">
        <v>40</v>
      </c>
      <c r="E17" s="42" t="s">
        <v>40</v>
      </c>
      <c r="F17" s="38"/>
      <c r="G17" s="30">
        <v>1.83</v>
      </c>
      <c r="H17" s="29">
        <v>0.66666666666666663</v>
      </c>
      <c r="I17" s="30">
        <v>1.6666666666666665</v>
      </c>
      <c r="J17" s="31">
        <v>1.0980000000000001</v>
      </c>
      <c r="N17" s="30">
        <v>1.83</v>
      </c>
      <c r="O17" s="29">
        <v>0.66666666666666663</v>
      </c>
      <c r="P17" s="30">
        <v>1.6666666666666665</v>
      </c>
      <c r="Q17" s="31">
        <v>1.0980000000000001</v>
      </c>
    </row>
    <row r="18" spans="2:17" x14ac:dyDescent="0.25">
      <c r="B18" s="35"/>
      <c r="C18" s="38"/>
      <c r="D18" s="42" t="s">
        <v>41</v>
      </c>
      <c r="E18" s="42" t="s">
        <v>41</v>
      </c>
      <c r="F18" s="38"/>
      <c r="G18" s="30">
        <v>1.91</v>
      </c>
      <c r="H18" s="29">
        <v>0.72727272727272729</v>
      </c>
      <c r="I18" s="30">
        <v>1.7272727272727273</v>
      </c>
      <c r="J18" s="31">
        <v>1.1057894736842104</v>
      </c>
      <c r="N18" s="30">
        <v>1.91</v>
      </c>
      <c r="O18" s="29">
        <v>0.72727272727272729</v>
      </c>
      <c r="P18" s="30">
        <v>1.7272727272727273</v>
      </c>
      <c r="Q18" s="31">
        <v>1.1057894736842104</v>
      </c>
    </row>
    <row r="19" spans="2:17" x14ac:dyDescent="0.25">
      <c r="B19" s="35"/>
      <c r="C19" s="38"/>
      <c r="D19" s="42"/>
      <c r="E19" s="42" t="s">
        <v>42</v>
      </c>
      <c r="F19" s="38"/>
      <c r="G19" s="30">
        <v>2</v>
      </c>
      <c r="H19" s="29">
        <v>0.83333333333333337</v>
      </c>
      <c r="I19" s="30">
        <v>1.8333333333333335</v>
      </c>
      <c r="J19" s="31">
        <v>1.0909090909090908</v>
      </c>
      <c r="N19" s="30">
        <v>2</v>
      </c>
      <c r="O19" s="29">
        <v>0.83333333333333337</v>
      </c>
      <c r="P19" s="30">
        <v>1.8333333333333335</v>
      </c>
      <c r="Q19" s="31">
        <v>1.0909090909090908</v>
      </c>
    </row>
    <row r="20" spans="2:17" x14ac:dyDescent="0.25">
      <c r="B20" s="35"/>
      <c r="C20" s="38"/>
      <c r="D20" s="42"/>
      <c r="E20" s="42" t="s">
        <v>43</v>
      </c>
      <c r="F20" s="38"/>
      <c r="G20" s="30">
        <v>2.1</v>
      </c>
      <c r="H20" s="29">
        <v>0.90909090909090906</v>
      </c>
      <c r="I20" s="30">
        <v>1.9090909090909092</v>
      </c>
      <c r="J20" s="31">
        <v>1.1000000000000001</v>
      </c>
      <c r="N20" s="30">
        <v>2.1</v>
      </c>
      <c r="O20" s="29">
        <v>0.90909090909090906</v>
      </c>
      <c r="P20" s="30">
        <v>1.9090909090909092</v>
      </c>
      <c r="Q20" s="31">
        <v>1.1000000000000001</v>
      </c>
    </row>
    <row r="21" spans="2:17" x14ac:dyDescent="0.25">
      <c r="B21" s="35"/>
      <c r="C21" s="38"/>
      <c r="D21" s="42"/>
      <c r="E21" s="42" t="s">
        <v>44</v>
      </c>
      <c r="F21" s="38"/>
      <c r="G21" s="30">
        <v>2.2000000000000002</v>
      </c>
      <c r="H21" s="29">
        <v>1</v>
      </c>
      <c r="I21" s="30">
        <v>2</v>
      </c>
      <c r="J21" s="31">
        <v>1.1000000000000001</v>
      </c>
      <c r="N21" s="30">
        <v>2.2000000000000002</v>
      </c>
      <c r="O21" s="29">
        <v>1</v>
      </c>
      <c r="P21" s="30">
        <v>2</v>
      </c>
      <c r="Q21" s="31">
        <v>1.1000000000000001</v>
      </c>
    </row>
    <row r="22" spans="2:17" x14ac:dyDescent="0.25">
      <c r="B22" s="35"/>
      <c r="C22" s="38"/>
      <c r="D22" s="42"/>
      <c r="E22" s="42" t="s">
        <v>45</v>
      </c>
      <c r="F22" s="38"/>
      <c r="G22" s="30">
        <v>2.25</v>
      </c>
      <c r="H22" s="29">
        <v>1</v>
      </c>
      <c r="I22" s="30">
        <v>2</v>
      </c>
      <c r="J22" s="31">
        <v>1.125</v>
      </c>
      <c r="N22" s="30">
        <v>2.25</v>
      </c>
      <c r="O22" s="29">
        <v>1</v>
      </c>
      <c r="P22" s="30">
        <v>2</v>
      </c>
      <c r="Q22" s="31">
        <v>1.125</v>
      </c>
    </row>
    <row r="23" spans="2:17" x14ac:dyDescent="0.25">
      <c r="B23" s="35"/>
      <c r="C23" s="38"/>
      <c r="D23" s="42"/>
      <c r="E23" s="42" t="s">
        <v>46</v>
      </c>
      <c r="F23" s="38"/>
      <c r="G23" s="30">
        <v>2.375</v>
      </c>
      <c r="H23" s="29">
        <v>1.1000000000000001</v>
      </c>
      <c r="I23" s="30">
        <v>2.1</v>
      </c>
      <c r="J23" s="31">
        <v>1.1309523809523809</v>
      </c>
      <c r="N23" s="30">
        <v>2.375</v>
      </c>
      <c r="O23" s="29">
        <v>1.1000000000000001</v>
      </c>
      <c r="P23" s="30">
        <v>2.1</v>
      </c>
      <c r="Q23" s="31">
        <v>1.1309523809523809</v>
      </c>
    </row>
    <row r="24" spans="2:17" x14ac:dyDescent="0.25">
      <c r="B24" s="35"/>
      <c r="C24" s="38"/>
      <c r="D24" s="42"/>
      <c r="E24" s="42" t="s">
        <v>47</v>
      </c>
      <c r="F24" s="38"/>
      <c r="G24" s="30">
        <v>2.5</v>
      </c>
      <c r="H24" s="29">
        <v>1.2</v>
      </c>
      <c r="I24" s="30">
        <v>2.2000000000000002</v>
      </c>
      <c r="J24" s="31">
        <v>1.1363636363636362</v>
      </c>
      <c r="N24" s="30">
        <v>2.5</v>
      </c>
      <c r="O24" s="29">
        <v>1.2</v>
      </c>
      <c r="P24" s="30">
        <v>2.2000000000000002</v>
      </c>
      <c r="Q24" s="31">
        <v>1.1363636363636362</v>
      </c>
    </row>
    <row r="25" spans="2:17" x14ac:dyDescent="0.25">
      <c r="B25" s="35"/>
      <c r="C25" s="38"/>
      <c r="D25" s="42"/>
      <c r="E25" s="42" t="s">
        <v>48</v>
      </c>
      <c r="F25" s="38"/>
      <c r="G25" s="30">
        <v>2.625</v>
      </c>
      <c r="H25" s="29">
        <v>1.25</v>
      </c>
      <c r="I25" s="30">
        <v>2.25</v>
      </c>
      <c r="J25" s="31">
        <v>1.1666666666666667</v>
      </c>
      <c r="N25" s="30">
        <v>2.625</v>
      </c>
      <c r="O25" s="29">
        <v>1.25</v>
      </c>
      <c r="P25" s="30">
        <v>2.25</v>
      </c>
      <c r="Q25" s="31">
        <v>1.1666666666666667</v>
      </c>
    </row>
    <row r="26" spans="2:17" x14ac:dyDescent="0.25">
      <c r="B26" s="35"/>
      <c r="C26" s="38"/>
      <c r="D26" s="42"/>
      <c r="E26" s="42" t="s">
        <v>49</v>
      </c>
      <c r="F26" s="38"/>
      <c r="G26" s="30">
        <v>2.75</v>
      </c>
      <c r="H26" s="29">
        <v>1.375</v>
      </c>
      <c r="I26" s="30">
        <v>2.375</v>
      </c>
      <c r="J26" s="31">
        <v>1.1578947368421053</v>
      </c>
      <c r="N26" s="30">
        <v>2.75</v>
      </c>
      <c r="O26" s="29">
        <v>1.375</v>
      </c>
      <c r="P26" s="30">
        <v>2.375</v>
      </c>
      <c r="Q26" s="31">
        <v>1.1578947368421053</v>
      </c>
    </row>
    <row r="27" spans="2:17" x14ac:dyDescent="0.25">
      <c r="B27" s="35"/>
      <c r="C27" s="38"/>
      <c r="D27" s="42"/>
      <c r="E27" s="42" t="s">
        <v>50</v>
      </c>
      <c r="F27" s="38"/>
      <c r="G27" s="30">
        <v>3</v>
      </c>
      <c r="H27" s="29">
        <v>1.5</v>
      </c>
      <c r="I27" s="30">
        <v>2.5</v>
      </c>
      <c r="J27" s="31">
        <v>1.2</v>
      </c>
      <c r="N27" s="30">
        <v>3</v>
      </c>
      <c r="O27" s="29">
        <v>1.5</v>
      </c>
      <c r="P27" s="30">
        <v>2.5</v>
      </c>
      <c r="Q27" s="31">
        <v>1.2</v>
      </c>
    </row>
    <row r="28" spans="2:17" x14ac:dyDescent="0.25">
      <c r="B28" s="35"/>
      <c r="C28" s="38"/>
      <c r="D28" s="42"/>
      <c r="E28" s="42"/>
      <c r="F28" s="38"/>
      <c r="G28" s="30">
        <v>3.25</v>
      </c>
      <c r="H28" s="29">
        <v>1.75</v>
      </c>
      <c r="I28" s="30">
        <v>2.75</v>
      </c>
      <c r="J28" s="31">
        <v>1.1818181818181819</v>
      </c>
      <c r="N28" s="30">
        <v>3.25</v>
      </c>
      <c r="O28" s="29">
        <v>1.75</v>
      </c>
      <c r="P28" s="30">
        <v>2.75</v>
      </c>
      <c r="Q28" s="31">
        <v>1.1818181818181819</v>
      </c>
    </row>
    <row r="29" spans="2:17" x14ac:dyDescent="0.25">
      <c r="B29" s="35"/>
      <c r="C29" s="38"/>
      <c r="D29" s="42"/>
      <c r="E29" s="42"/>
      <c r="F29" s="38"/>
      <c r="G29" s="30">
        <v>3.5</v>
      </c>
      <c r="H29" s="29">
        <v>1.875</v>
      </c>
      <c r="I29" s="30">
        <v>2.875</v>
      </c>
      <c r="J29" s="31">
        <v>1.2173913043478262</v>
      </c>
      <c r="N29" s="30">
        <v>3.5</v>
      </c>
      <c r="O29" s="29">
        <v>1.875</v>
      </c>
      <c r="P29" s="30">
        <v>2.875</v>
      </c>
      <c r="Q29" s="31">
        <v>1.2173913043478262</v>
      </c>
    </row>
    <row r="30" spans="2:17" x14ac:dyDescent="0.25">
      <c r="B30" s="35"/>
      <c r="C30" s="38"/>
      <c r="D30" s="42"/>
      <c r="E30" s="42"/>
      <c r="F30" s="38"/>
      <c r="G30" s="30">
        <v>3.75</v>
      </c>
      <c r="H30" s="29">
        <v>2</v>
      </c>
      <c r="I30" s="30">
        <v>3</v>
      </c>
      <c r="J30" s="31">
        <v>1.25</v>
      </c>
      <c r="N30" s="30">
        <v>3.75</v>
      </c>
      <c r="O30" s="29">
        <v>2</v>
      </c>
      <c r="P30" s="30">
        <v>3</v>
      </c>
      <c r="Q30" s="31">
        <v>1.25</v>
      </c>
    </row>
    <row r="31" spans="2:17" x14ac:dyDescent="0.25">
      <c r="B31" s="35"/>
      <c r="C31" s="38"/>
      <c r="D31" s="42"/>
      <c r="E31" s="42"/>
      <c r="F31" s="38"/>
      <c r="G31" s="30">
        <v>4</v>
      </c>
      <c r="H31" s="29">
        <v>2.25</v>
      </c>
      <c r="I31" s="30">
        <v>3.25</v>
      </c>
      <c r="J31" s="31">
        <v>1.2307692307692308</v>
      </c>
      <c r="N31" s="30">
        <v>4</v>
      </c>
      <c r="O31" s="29">
        <v>2.25</v>
      </c>
      <c r="P31" s="30">
        <v>3.25</v>
      </c>
      <c r="Q31" s="31">
        <v>1.2307692307692308</v>
      </c>
    </row>
    <row r="32" spans="2:17" x14ac:dyDescent="0.25">
      <c r="B32" s="35"/>
      <c r="C32" s="38"/>
      <c r="D32" s="42"/>
      <c r="E32" s="42"/>
      <c r="F32" s="38"/>
      <c r="G32" s="30">
        <v>4.33</v>
      </c>
      <c r="H32" s="29">
        <v>2.5</v>
      </c>
      <c r="I32" s="30">
        <v>3.5</v>
      </c>
      <c r="J32" s="31">
        <v>1.2371428571428571</v>
      </c>
      <c r="N32" s="30">
        <v>4.33</v>
      </c>
      <c r="O32" s="29">
        <v>2.5</v>
      </c>
      <c r="P32" s="30">
        <v>3.5</v>
      </c>
      <c r="Q32" s="31">
        <v>1.2371428571428571</v>
      </c>
    </row>
    <row r="33" spans="2:17" x14ac:dyDescent="0.25">
      <c r="B33" s="35"/>
      <c r="C33" s="38"/>
      <c r="D33" s="42"/>
      <c r="E33" s="42"/>
      <c r="F33" s="38"/>
      <c r="G33" s="30">
        <v>4.5</v>
      </c>
      <c r="H33" s="29">
        <v>2.75</v>
      </c>
      <c r="I33" s="30">
        <v>3.75</v>
      </c>
      <c r="J33" s="31">
        <v>1.2</v>
      </c>
      <c r="N33" s="30">
        <v>4.5</v>
      </c>
      <c r="O33" s="29">
        <v>2.75</v>
      </c>
      <c r="P33" s="30">
        <v>3.75</v>
      </c>
      <c r="Q33" s="31">
        <v>1.2</v>
      </c>
    </row>
    <row r="34" spans="2:17" x14ac:dyDescent="0.25">
      <c r="B34" s="35"/>
      <c r="C34" s="38"/>
      <c r="D34" s="42"/>
      <c r="E34" s="42"/>
      <c r="F34" s="38"/>
      <c r="G34" s="30">
        <v>5</v>
      </c>
      <c r="H34" s="29">
        <v>3</v>
      </c>
      <c r="I34" s="30">
        <v>4</v>
      </c>
      <c r="J34" s="31">
        <v>1.25</v>
      </c>
      <c r="N34" s="30">
        <v>5</v>
      </c>
      <c r="O34" s="29">
        <v>3</v>
      </c>
      <c r="P34" s="30">
        <v>4</v>
      </c>
      <c r="Q34" s="31">
        <v>1.25</v>
      </c>
    </row>
    <row r="35" spans="2:17" x14ac:dyDescent="0.25">
      <c r="B35" s="35"/>
      <c r="C35" s="38"/>
      <c r="D35" s="42"/>
      <c r="E35" s="42"/>
      <c r="F35" s="38"/>
      <c r="G35" s="30">
        <v>5.5</v>
      </c>
      <c r="H35" s="29">
        <v>3.5</v>
      </c>
      <c r="I35" s="30">
        <v>4.5</v>
      </c>
      <c r="J35" s="31">
        <v>1.2222222222222223</v>
      </c>
      <c r="N35" s="30">
        <v>5.5</v>
      </c>
      <c r="O35" s="29">
        <v>3.5</v>
      </c>
      <c r="P35" s="30">
        <v>4.5</v>
      </c>
      <c r="Q35" s="31">
        <v>1.2222222222222223</v>
      </c>
    </row>
    <row r="36" spans="2:17" x14ac:dyDescent="0.25">
      <c r="B36" s="35"/>
      <c r="C36" s="38"/>
      <c r="D36" s="42"/>
      <c r="E36" s="42"/>
      <c r="F36" s="38"/>
      <c r="G36" s="30">
        <v>6</v>
      </c>
      <c r="H36" s="29">
        <v>4</v>
      </c>
      <c r="I36" s="30">
        <v>5</v>
      </c>
      <c r="J36" s="31">
        <v>1.2</v>
      </c>
      <c r="N36" s="30">
        <v>6</v>
      </c>
      <c r="O36" s="29">
        <v>4</v>
      </c>
      <c r="P36" s="30">
        <v>5</v>
      </c>
      <c r="Q36" s="31">
        <v>1.2</v>
      </c>
    </row>
    <row r="37" spans="2:17" x14ac:dyDescent="0.25">
      <c r="B37" s="35"/>
      <c r="C37" s="38"/>
      <c r="D37" s="42"/>
      <c r="E37" s="42"/>
      <c r="F37" s="38"/>
      <c r="G37" s="30">
        <v>6.5</v>
      </c>
      <c r="H37" s="29">
        <v>4.5</v>
      </c>
      <c r="I37" s="30">
        <v>5.5</v>
      </c>
      <c r="J37" s="31">
        <v>1.1818181818181819</v>
      </c>
      <c r="N37" s="30">
        <v>6.5</v>
      </c>
      <c r="O37" s="29">
        <v>4.5</v>
      </c>
      <c r="P37" s="30">
        <v>5.5</v>
      </c>
      <c r="Q37" s="31">
        <v>1.1818181818181819</v>
      </c>
    </row>
    <row r="38" spans="2:17" x14ac:dyDescent="0.25">
      <c r="B38" s="35"/>
      <c r="C38" s="38"/>
      <c r="D38" s="42"/>
      <c r="E38" s="42"/>
      <c r="F38" s="38"/>
      <c r="G38" s="30">
        <v>7</v>
      </c>
      <c r="H38" s="29">
        <v>4.5</v>
      </c>
      <c r="I38" s="30">
        <v>5.5</v>
      </c>
      <c r="J38" s="31">
        <v>1.2727272727272727</v>
      </c>
      <c r="N38" s="30">
        <v>7</v>
      </c>
      <c r="O38" s="29">
        <v>4.5</v>
      </c>
      <c r="P38" s="30">
        <v>5.5</v>
      </c>
      <c r="Q38" s="31">
        <v>1.2727272727272727</v>
      </c>
    </row>
    <row r="39" spans="2:17" x14ac:dyDescent="0.25">
      <c r="B39" s="35"/>
      <c r="C39" s="38"/>
      <c r="D39" s="42"/>
      <c r="E39" s="42"/>
      <c r="F39" s="38"/>
      <c r="G39" s="30">
        <v>7.5</v>
      </c>
      <c r="H39" s="29">
        <v>5</v>
      </c>
      <c r="I39" s="30">
        <v>6</v>
      </c>
      <c r="J39" s="31">
        <v>1.25</v>
      </c>
      <c r="N39" s="30">
        <v>7.5</v>
      </c>
      <c r="O39" s="29">
        <v>5</v>
      </c>
      <c r="P39" s="30">
        <v>6</v>
      </c>
      <c r="Q39" s="31">
        <v>1.25</v>
      </c>
    </row>
    <row r="40" spans="2:17" x14ac:dyDescent="0.25">
      <c r="B40" s="35"/>
      <c r="C40" s="38"/>
      <c r="D40" s="42"/>
      <c r="E40" s="42"/>
      <c r="F40" s="38"/>
      <c r="G40" s="30">
        <v>8</v>
      </c>
      <c r="H40" s="29">
        <v>5.5</v>
      </c>
      <c r="I40" s="30">
        <v>6.5</v>
      </c>
      <c r="J40" s="31">
        <v>1.2307692307692308</v>
      </c>
      <c r="N40" s="30">
        <v>8</v>
      </c>
      <c r="O40" s="29">
        <v>5.5</v>
      </c>
      <c r="P40" s="30">
        <v>6.5</v>
      </c>
      <c r="Q40" s="31">
        <v>1.2307692307692308</v>
      </c>
    </row>
    <row r="41" spans="2:17" x14ac:dyDescent="0.25">
      <c r="B41" s="35"/>
      <c r="C41" s="38"/>
      <c r="D41" s="42"/>
      <c r="E41" s="42"/>
      <c r="F41" s="38"/>
      <c r="G41" s="30">
        <v>8.5</v>
      </c>
      <c r="H41" s="29">
        <v>6</v>
      </c>
      <c r="I41" s="30">
        <v>7</v>
      </c>
      <c r="J41" s="31">
        <v>1.2142857142857142</v>
      </c>
      <c r="N41" s="30">
        <v>8.5</v>
      </c>
      <c r="O41" s="29">
        <v>6</v>
      </c>
      <c r="P41" s="30">
        <v>7</v>
      </c>
      <c r="Q41" s="31">
        <v>1.2142857142857142</v>
      </c>
    </row>
    <row r="42" spans="2:17" x14ac:dyDescent="0.25">
      <c r="B42" s="35"/>
      <c r="C42" s="38"/>
      <c r="D42" s="42"/>
      <c r="E42" s="42"/>
      <c r="F42" s="38"/>
      <c r="G42" s="30">
        <v>9</v>
      </c>
      <c r="H42" s="29">
        <v>6.5</v>
      </c>
      <c r="I42" s="30">
        <v>7.5</v>
      </c>
      <c r="J42" s="31">
        <v>1.2</v>
      </c>
      <c r="N42" s="30">
        <v>9</v>
      </c>
      <c r="O42" s="29">
        <v>6.5</v>
      </c>
      <c r="P42" s="30">
        <v>7.5</v>
      </c>
      <c r="Q42" s="31">
        <v>1.2</v>
      </c>
    </row>
    <row r="43" spans="2:17" x14ac:dyDescent="0.25">
      <c r="B43" s="35"/>
      <c r="C43" s="38"/>
      <c r="D43" s="42"/>
      <c r="E43" s="42"/>
      <c r="F43" s="38"/>
      <c r="G43" s="30">
        <v>9.5</v>
      </c>
      <c r="H43" s="29">
        <v>6.5</v>
      </c>
      <c r="I43" s="30">
        <v>7.5</v>
      </c>
      <c r="J43" s="31">
        <v>1.2666666666666666</v>
      </c>
      <c r="N43" s="30">
        <v>9.5</v>
      </c>
      <c r="O43" s="29">
        <v>6.5</v>
      </c>
      <c r="P43" s="30">
        <v>7.5</v>
      </c>
      <c r="Q43" s="31">
        <v>1.2666666666666666</v>
      </c>
    </row>
    <row r="44" spans="2:17" x14ac:dyDescent="0.25">
      <c r="B44" s="35"/>
      <c r="C44" s="38"/>
      <c r="D44" s="42"/>
      <c r="E44" s="42"/>
      <c r="F44" s="38"/>
      <c r="G44" s="30">
        <v>10</v>
      </c>
      <c r="H44" s="29">
        <v>7</v>
      </c>
      <c r="I44" s="30">
        <v>8</v>
      </c>
      <c r="J44" s="31">
        <v>1.25</v>
      </c>
      <c r="N44" s="30">
        <v>10</v>
      </c>
      <c r="O44" s="29">
        <v>7</v>
      </c>
      <c r="P44" s="30">
        <v>8</v>
      </c>
      <c r="Q44" s="31">
        <v>1.25</v>
      </c>
    </row>
    <row r="45" spans="2:17" x14ac:dyDescent="0.25">
      <c r="B45" s="35"/>
      <c r="C45" s="38"/>
      <c r="D45" s="42"/>
      <c r="E45" s="42"/>
      <c r="F45" s="38"/>
      <c r="G45" s="30">
        <v>11</v>
      </c>
      <c r="H45" s="29">
        <v>7.5</v>
      </c>
      <c r="I45" s="30">
        <v>8.5</v>
      </c>
      <c r="J45" s="31">
        <v>1.2941176470588236</v>
      </c>
      <c r="N45" s="30">
        <v>11</v>
      </c>
      <c r="O45" s="29">
        <v>7.5</v>
      </c>
      <c r="P45" s="30">
        <v>8.5</v>
      </c>
      <c r="Q45" s="31">
        <v>1.2941176470588236</v>
      </c>
    </row>
    <row r="46" spans="2:17" x14ac:dyDescent="0.25">
      <c r="B46" s="35"/>
      <c r="C46" s="38"/>
      <c r="D46" s="42"/>
      <c r="E46" s="42"/>
      <c r="F46" s="38"/>
      <c r="G46" s="30">
        <v>12</v>
      </c>
      <c r="H46" s="29">
        <v>8</v>
      </c>
      <c r="I46" s="30">
        <v>9</v>
      </c>
      <c r="J46" s="31">
        <v>1.3333333333333333</v>
      </c>
      <c r="N46" s="30">
        <v>12</v>
      </c>
      <c r="O46" s="29">
        <v>8</v>
      </c>
      <c r="P46" s="30">
        <v>9</v>
      </c>
      <c r="Q46" s="31">
        <v>1.3333333333333333</v>
      </c>
    </row>
    <row r="47" spans="2:17" x14ac:dyDescent="0.25">
      <c r="B47" s="35"/>
      <c r="C47" s="38"/>
      <c r="D47" s="42"/>
      <c r="E47" s="42"/>
      <c r="F47" s="38"/>
      <c r="G47" s="30">
        <v>13</v>
      </c>
      <c r="H47" s="29">
        <v>9</v>
      </c>
      <c r="I47" s="30">
        <v>9.5</v>
      </c>
      <c r="J47" s="31">
        <v>1.368421052631579</v>
      </c>
      <c r="N47" s="30">
        <v>13</v>
      </c>
      <c r="O47" s="29">
        <v>9</v>
      </c>
      <c r="P47" s="30">
        <v>9.5</v>
      </c>
      <c r="Q47" s="31">
        <v>1.368421052631579</v>
      </c>
    </row>
    <row r="48" spans="2:17" x14ac:dyDescent="0.25">
      <c r="B48" s="35"/>
      <c r="C48" s="38"/>
      <c r="D48" s="42"/>
      <c r="E48" s="42"/>
      <c r="F48" s="38"/>
      <c r="G48" s="30">
        <v>15</v>
      </c>
      <c r="H48" s="29">
        <v>10</v>
      </c>
      <c r="I48" s="30">
        <v>11</v>
      </c>
      <c r="J48" s="31">
        <v>1.3636363636363635</v>
      </c>
      <c r="N48" s="30">
        <v>15</v>
      </c>
      <c r="O48" s="29">
        <v>10</v>
      </c>
      <c r="P48" s="30">
        <v>11</v>
      </c>
      <c r="Q48" s="31">
        <v>1.3636363636363635</v>
      </c>
    </row>
    <row r="49" spans="2:17" x14ac:dyDescent="0.25">
      <c r="B49" s="35"/>
      <c r="C49" s="38"/>
      <c r="D49" s="42"/>
      <c r="E49" s="42"/>
      <c r="F49" s="38"/>
      <c r="G49" s="30">
        <v>17</v>
      </c>
      <c r="H49" s="29">
        <v>11</v>
      </c>
      <c r="I49" s="30">
        <v>12</v>
      </c>
      <c r="J49" s="31">
        <v>1.4166666666666667</v>
      </c>
      <c r="N49" s="30">
        <v>17</v>
      </c>
      <c r="O49" s="29">
        <v>11</v>
      </c>
      <c r="P49" s="30">
        <v>12</v>
      </c>
      <c r="Q49" s="31">
        <v>1.4166666666666667</v>
      </c>
    </row>
    <row r="50" spans="2:17" x14ac:dyDescent="0.25">
      <c r="B50" s="35"/>
      <c r="C50" s="38"/>
      <c r="D50" s="42"/>
      <c r="E50" s="42"/>
      <c r="F50" s="38"/>
      <c r="G50" s="30">
        <v>19</v>
      </c>
      <c r="H50" s="29">
        <v>12</v>
      </c>
      <c r="I50" s="30">
        <v>13</v>
      </c>
      <c r="J50" s="31">
        <v>1.4615384615384615</v>
      </c>
      <c r="N50" s="30">
        <v>19</v>
      </c>
      <c r="O50" s="29">
        <v>12</v>
      </c>
      <c r="P50" s="30">
        <v>13</v>
      </c>
      <c r="Q50" s="31">
        <v>1.4615384615384615</v>
      </c>
    </row>
    <row r="51" spans="2:17" x14ac:dyDescent="0.25">
      <c r="B51" s="35"/>
      <c r="C51" s="38"/>
      <c r="D51" s="42"/>
      <c r="E51" s="42"/>
      <c r="F51" s="38"/>
      <c r="G51" s="30">
        <v>21</v>
      </c>
      <c r="H51" s="29">
        <v>14</v>
      </c>
      <c r="I51" s="30">
        <v>15</v>
      </c>
      <c r="J51" s="31">
        <v>1.4</v>
      </c>
      <c r="N51" s="30">
        <v>21</v>
      </c>
      <c r="O51" s="29">
        <v>14</v>
      </c>
      <c r="P51" s="30">
        <v>15</v>
      </c>
      <c r="Q51" s="31">
        <v>1.4</v>
      </c>
    </row>
    <row r="52" spans="2:17" x14ac:dyDescent="0.25">
      <c r="B52" s="35"/>
      <c r="C52" s="38"/>
      <c r="D52" s="42"/>
      <c r="E52" s="42"/>
      <c r="F52" s="38"/>
      <c r="G52" s="30">
        <v>23</v>
      </c>
      <c r="H52" s="29">
        <v>16</v>
      </c>
      <c r="I52" s="30">
        <v>17</v>
      </c>
      <c r="J52" s="31">
        <v>1.3529411764705883</v>
      </c>
      <c r="N52" s="30">
        <v>23</v>
      </c>
      <c r="O52" s="29">
        <v>16</v>
      </c>
      <c r="P52" s="30">
        <v>17</v>
      </c>
      <c r="Q52" s="31">
        <v>1.3529411764705883</v>
      </c>
    </row>
    <row r="53" spans="2:17" x14ac:dyDescent="0.25">
      <c r="B53" s="35"/>
      <c r="C53" s="38"/>
      <c r="D53" s="42"/>
      <c r="E53" s="42"/>
      <c r="F53" s="38"/>
      <c r="G53" s="30">
        <v>26</v>
      </c>
      <c r="H53" s="29">
        <v>18</v>
      </c>
      <c r="I53" s="30">
        <v>19</v>
      </c>
      <c r="J53" s="31">
        <v>1.368421052631579</v>
      </c>
      <c r="N53" s="30">
        <v>26</v>
      </c>
      <c r="O53" s="29">
        <v>18</v>
      </c>
      <c r="P53" s="30">
        <v>19</v>
      </c>
      <c r="Q53" s="31">
        <v>1.368421052631579</v>
      </c>
    </row>
    <row r="54" spans="2:17" x14ac:dyDescent="0.25">
      <c r="B54" s="35"/>
      <c r="C54" s="38"/>
      <c r="D54" s="42"/>
      <c r="E54" s="42"/>
      <c r="F54" s="38"/>
      <c r="G54" s="30">
        <v>29</v>
      </c>
      <c r="H54" s="29">
        <v>20</v>
      </c>
      <c r="I54" s="30">
        <v>21</v>
      </c>
      <c r="J54" s="31">
        <v>1.3809523809523809</v>
      </c>
      <c r="N54" s="30">
        <v>29</v>
      </c>
      <c r="O54" s="29">
        <v>20</v>
      </c>
      <c r="P54" s="30">
        <v>21</v>
      </c>
      <c r="Q54" s="31">
        <v>1.3809523809523809</v>
      </c>
    </row>
    <row r="55" spans="2:17" x14ac:dyDescent="0.25">
      <c r="B55" s="35"/>
      <c r="C55" s="38"/>
      <c r="D55" s="42"/>
      <c r="E55" s="42"/>
      <c r="F55" s="38"/>
      <c r="G55" s="30">
        <v>34</v>
      </c>
      <c r="H55" s="29">
        <v>22</v>
      </c>
      <c r="I55" s="30">
        <v>23</v>
      </c>
      <c r="J55" s="31">
        <v>1.4782608695652173</v>
      </c>
      <c r="N55" s="30">
        <v>34</v>
      </c>
      <c r="O55" s="29">
        <v>22</v>
      </c>
      <c r="P55" s="30">
        <v>23</v>
      </c>
      <c r="Q55" s="31">
        <v>1.4782608695652173</v>
      </c>
    </row>
    <row r="56" spans="2:17" x14ac:dyDescent="0.25">
      <c r="B56" s="35"/>
      <c r="C56" s="38"/>
      <c r="D56" s="42"/>
      <c r="E56" s="42"/>
      <c r="F56" s="38"/>
      <c r="G56" s="30">
        <v>40</v>
      </c>
      <c r="H56" s="29">
        <v>25</v>
      </c>
      <c r="I56" s="30">
        <v>26</v>
      </c>
      <c r="J56" s="31">
        <v>1.5384615384615385</v>
      </c>
      <c r="N56" s="30">
        <v>40</v>
      </c>
      <c r="O56" s="29">
        <v>25</v>
      </c>
      <c r="P56" s="30">
        <v>26</v>
      </c>
      <c r="Q56" s="31">
        <v>1.5384615384615385</v>
      </c>
    </row>
    <row r="57" spans="2:17" x14ac:dyDescent="0.25">
      <c r="B57" s="35"/>
      <c r="C57" s="38"/>
      <c r="D57" s="42"/>
      <c r="E57" s="42"/>
      <c r="F57" s="38"/>
      <c r="G57" s="30">
        <v>46</v>
      </c>
      <c r="H57" s="29">
        <v>28</v>
      </c>
      <c r="I57" s="30">
        <v>29</v>
      </c>
      <c r="J57" s="31">
        <v>1.5862068965517242</v>
      </c>
      <c r="N57" s="30">
        <v>46</v>
      </c>
      <c r="O57" s="29">
        <v>28</v>
      </c>
      <c r="P57" s="30">
        <v>29</v>
      </c>
      <c r="Q57" s="31">
        <v>1.5862068965517242</v>
      </c>
    </row>
    <row r="58" spans="2:17" x14ac:dyDescent="0.25">
      <c r="B58" s="35"/>
      <c r="C58" s="38"/>
      <c r="D58" s="42"/>
      <c r="E58" s="42"/>
      <c r="F58" s="38"/>
      <c r="G58" s="30">
        <v>51</v>
      </c>
      <c r="H58" s="29">
        <v>33</v>
      </c>
      <c r="I58" s="30">
        <v>34</v>
      </c>
      <c r="J58" s="31">
        <v>1.5</v>
      </c>
      <c r="N58" s="30">
        <v>51</v>
      </c>
      <c r="O58" s="29">
        <v>33</v>
      </c>
      <c r="P58" s="30">
        <v>34</v>
      </c>
      <c r="Q58" s="31">
        <v>1.5</v>
      </c>
    </row>
    <row r="59" spans="2:17" x14ac:dyDescent="0.25">
      <c r="B59" s="35"/>
      <c r="C59" s="38"/>
      <c r="D59" s="42"/>
      <c r="E59" s="42"/>
      <c r="F59" s="38"/>
      <c r="G59" s="30">
        <v>56</v>
      </c>
      <c r="H59" s="29">
        <v>33</v>
      </c>
      <c r="I59" s="30">
        <v>34</v>
      </c>
      <c r="J59" s="31">
        <v>1.6470588235294117</v>
      </c>
      <c r="N59" s="30">
        <v>56</v>
      </c>
      <c r="O59" s="29">
        <v>33</v>
      </c>
      <c r="P59" s="30">
        <v>34</v>
      </c>
      <c r="Q59" s="31">
        <v>1.6470588235294117</v>
      </c>
    </row>
    <row r="60" spans="2:17" x14ac:dyDescent="0.25">
      <c r="B60" s="35"/>
      <c r="C60" s="38"/>
      <c r="D60" s="42"/>
      <c r="E60" s="42"/>
      <c r="F60" s="38"/>
      <c r="G60" s="30">
        <v>61</v>
      </c>
      <c r="H60" s="29">
        <v>40</v>
      </c>
      <c r="I60" s="30">
        <v>41</v>
      </c>
      <c r="J60" s="31">
        <v>1.4878048780487805</v>
      </c>
      <c r="N60" s="30">
        <v>61</v>
      </c>
      <c r="O60" s="29">
        <v>40</v>
      </c>
      <c r="P60" s="30">
        <v>41</v>
      </c>
      <c r="Q60" s="31">
        <v>1.4878048780487805</v>
      </c>
    </row>
    <row r="61" spans="2:17" x14ac:dyDescent="0.25">
      <c r="B61" s="35"/>
      <c r="C61" s="38"/>
      <c r="D61" s="42"/>
      <c r="E61" s="42"/>
      <c r="F61" s="38"/>
      <c r="G61" s="30">
        <v>67</v>
      </c>
      <c r="H61" s="29">
        <v>50</v>
      </c>
      <c r="I61" s="30">
        <v>51</v>
      </c>
      <c r="J61" s="31">
        <v>1.3137254901960784</v>
      </c>
      <c r="N61" s="30">
        <v>67</v>
      </c>
      <c r="O61" s="29">
        <v>50</v>
      </c>
      <c r="P61" s="30">
        <v>51</v>
      </c>
      <c r="Q61" s="31">
        <v>1.3137254901960784</v>
      </c>
    </row>
    <row r="62" spans="2:17" x14ac:dyDescent="0.25">
      <c r="B62" s="35"/>
      <c r="C62" s="38"/>
      <c r="D62" s="42"/>
      <c r="E62" s="42"/>
      <c r="F62" s="38"/>
      <c r="G62" s="30">
        <v>71</v>
      </c>
      <c r="H62" s="29">
        <v>50</v>
      </c>
      <c r="I62" s="30">
        <v>51</v>
      </c>
      <c r="J62" s="31">
        <v>1.392156862745098</v>
      </c>
      <c r="N62" s="30">
        <v>71</v>
      </c>
      <c r="O62" s="29">
        <v>50</v>
      </c>
      <c r="P62" s="30">
        <v>51</v>
      </c>
      <c r="Q62" s="31">
        <v>1.392156862745098</v>
      </c>
    </row>
    <row r="63" spans="2:17" x14ac:dyDescent="0.25">
      <c r="B63" s="35"/>
      <c r="C63" s="38"/>
      <c r="D63" s="42"/>
      <c r="E63" s="42"/>
      <c r="F63" s="38"/>
      <c r="G63" s="30">
        <v>76</v>
      </c>
      <c r="H63" s="29">
        <v>50</v>
      </c>
      <c r="I63" s="30">
        <v>51</v>
      </c>
      <c r="J63" s="31">
        <v>1.4901960784313726</v>
      </c>
      <c r="N63" s="30">
        <v>76</v>
      </c>
      <c r="O63" s="29">
        <v>50</v>
      </c>
      <c r="P63" s="30">
        <v>51</v>
      </c>
      <c r="Q63" s="31">
        <v>1.4901960784313726</v>
      </c>
    </row>
    <row r="64" spans="2:17" x14ac:dyDescent="0.25">
      <c r="B64" s="35"/>
      <c r="C64" s="38"/>
      <c r="D64" s="42"/>
      <c r="E64" s="42"/>
      <c r="F64" s="38"/>
      <c r="G64" s="30">
        <v>81</v>
      </c>
      <c r="H64" s="29">
        <v>60</v>
      </c>
      <c r="I64" s="30">
        <v>61</v>
      </c>
      <c r="J64" s="31">
        <v>1.3278688524590163</v>
      </c>
      <c r="N64" s="30">
        <v>81</v>
      </c>
      <c r="O64" s="29">
        <v>60</v>
      </c>
      <c r="P64" s="30">
        <v>61</v>
      </c>
      <c r="Q64" s="31">
        <v>1.3278688524590163</v>
      </c>
    </row>
    <row r="65" spans="2:17" x14ac:dyDescent="0.25">
      <c r="B65" s="35"/>
      <c r="C65" s="38"/>
      <c r="D65" s="42"/>
      <c r="E65" s="42"/>
      <c r="F65" s="38"/>
      <c r="G65" s="30">
        <v>86</v>
      </c>
      <c r="H65" s="29">
        <v>60</v>
      </c>
      <c r="I65" s="30">
        <v>61</v>
      </c>
      <c r="J65" s="31">
        <v>1.4098360655737705</v>
      </c>
      <c r="N65" s="30">
        <v>86</v>
      </c>
      <c r="O65" s="29">
        <v>60</v>
      </c>
      <c r="P65" s="30">
        <v>61</v>
      </c>
      <c r="Q65" s="31">
        <v>1.4098360655737705</v>
      </c>
    </row>
    <row r="66" spans="2:17" x14ac:dyDescent="0.25">
      <c r="B66" s="35"/>
      <c r="C66" s="38"/>
      <c r="D66" s="42"/>
      <c r="E66" s="42"/>
      <c r="F66" s="38"/>
      <c r="G66" s="30">
        <v>91</v>
      </c>
      <c r="H66" s="29">
        <v>60</v>
      </c>
      <c r="I66" s="30">
        <v>61</v>
      </c>
      <c r="J66" s="31">
        <v>1.4918032786885247</v>
      </c>
      <c r="N66" s="30">
        <v>91</v>
      </c>
      <c r="O66" s="29">
        <v>60</v>
      </c>
      <c r="P66" s="30">
        <v>61</v>
      </c>
      <c r="Q66" s="31">
        <v>1.4918032786885247</v>
      </c>
    </row>
    <row r="67" spans="2:17" x14ac:dyDescent="0.25">
      <c r="B67" s="35"/>
      <c r="C67" s="38"/>
      <c r="D67" s="42"/>
      <c r="E67" s="42"/>
      <c r="F67" s="38"/>
      <c r="G67" s="30">
        <v>96</v>
      </c>
      <c r="H67" s="29">
        <v>66</v>
      </c>
      <c r="I67" s="30">
        <v>67</v>
      </c>
      <c r="J67" s="31">
        <v>1.4328358208955223</v>
      </c>
      <c r="N67" s="30">
        <v>96</v>
      </c>
      <c r="O67" s="29">
        <v>66</v>
      </c>
      <c r="P67" s="30">
        <v>67</v>
      </c>
      <c r="Q67" s="31">
        <v>1.4328358208955223</v>
      </c>
    </row>
    <row r="68" spans="2:17" x14ac:dyDescent="0.25">
      <c r="B68" s="35"/>
      <c r="C68" s="38"/>
      <c r="D68" s="42"/>
      <c r="E68" s="42"/>
      <c r="F68" s="38"/>
      <c r="G68" s="30">
        <v>101</v>
      </c>
      <c r="H68" s="29">
        <v>66</v>
      </c>
      <c r="I68" s="30">
        <v>67</v>
      </c>
      <c r="J68" s="31">
        <v>1.5074626865671641</v>
      </c>
      <c r="N68" s="30">
        <v>101</v>
      </c>
      <c r="O68" s="29">
        <v>66</v>
      </c>
      <c r="P68" s="30">
        <v>67</v>
      </c>
      <c r="Q68" s="31">
        <v>1.5074626865671641</v>
      </c>
    </row>
    <row r="69" spans="2:17" x14ac:dyDescent="0.25">
      <c r="B69" s="35"/>
      <c r="C69" s="38"/>
      <c r="D69" s="42"/>
      <c r="E69" s="42"/>
      <c r="F69" s="38"/>
      <c r="G69" s="30">
        <v>111</v>
      </c>
      <c r="H69" s="29">
        <v>66</v>
      </c>
      <c r="I69" s="30">
        <v>67</v>
      </c>
      <c r="J69" s="31">
        <v>1.6567164179104477</v>
      </c>
      <c r="N69" s="30">
        <v>111</v>
      </c>
      <c r="O69" s="29">
        <v>66</v>
      </c>
      <c r="P69" s="30">
        <v>67</v>
      </c>
      <c r="Q69" s="31">
        <v>1.6567164179104477</v>
      </c>
    </row>
    <row r="70" spans="2:17" x14ac:dyDescent="0.25">
      <c r="B70" s="35"/>
      <c r="C70" s="38"/>
      <c r="D70" s="42"/>
      <c r="E70" s="42"/>
      <c r="F70" s="38"/>
      <c r="G70" s="30">
        <v>116</v>
      </c>
      <c r="H70" s="29">
        <v>75</v>
      </c>
      <c r="I70" s="30">
        <v>76</v>
      </c>
      <c r="J70" s="31">
        <v>1.5263157894736843</v>
      </c>
      <c r="N70" s="30">
        <v>116</v>
      </c>
      <c r="O70" s="29">
        <v>75</v>
      </c>
      <c r="P70" s="30">
        <v>76</v>
      </c>
      <c r="Q70" s="31">
        <v>1.5263157894736843</v>
      </c>
    </row>
    <row r="71" spans="2:17" x14ac:dyDescent="0.25">
      <c r="B71" s="35"/>
      <c r="C71" s="38"/>
      <c r="D71" s="42"/>
      <c r="E71" s="42"/>
      <c r="F71" s="38"/>
      <c r="G71" s="30">
        <v>126</v>
      </c>
      <c r="H71" s="29">
        <v>75</v>
      </c>
      <c r="I71" s="30">
        <v>76</v>
      </c>
      <c r="J71" s="31">
        <v>1.6578947368421053</v>
      </c>
      <c r="N71" s="30">
        <v>126</v>
      </c>
      <c r="O71" s="29">
        <v>75</v>
      </c>
      <c r="P71" s="30">
        <v>76</v>
      </c>
      <c r="Q71" s="31">
        <v>1.6578947368421053</v>
      </c>
    </row>
    <row r="72" spans="2:17" x14ac:dyDescent="0.25">
      <c r="B72" s="35"/>
      <c r="C72" s="38"/>
      <c r="D72" s="42"/>
      <c r="E72" s="42"/>
      <c r="F72" s="38"/>
      <c r="G72" s="30">
        <v>136</v>
      </c>
      <c r="H72" s="29">
        <v>80</v>
      </c>
      <c r="I72" s="30">
        <v>81</v>
      </c>
      <c r="J72" s="31">
        <v>1.6790123456790123</v>
      </c>
      <c r="N72" s="30">
        <v>136</v>
      </c>
      <c r="O72" s="29">
        <v>80</v>
      </c>
      <c r="P72" s="30">
        <v>81</v>
      </c>
      <c r="Q72" s="31">
        <v>1.6790123456790123</v>
      </c>
    </row>
    <row r="73" spans="2:17" x14ac:dyDescent="0.25">
      <c r="B73" s="35"/>
      <c r="C73" s="38"/>
      <c r="D73" s="42"/>
      <c r="E73" s="42"/>
      <c r="F73" s="38"/>
      <c r="G73" s="30">
        <v>141</v>
      </c>
      <c r="H73" s="29">
        <v>80</v>
      </c>
      <c r="I73" s="30">
        <v>81</v>
      </c>
      <c r="J73" s="31">
        <v>1.7407407407407407</v>
      </c>
      <c r="N73" s="30">
        <v>141</v>
      </c>
      <c r="O73" s="29">
        <v>80</v>
      </c>
      <c r="P73" s="30">
        <v>81</v>
      </c>
      <c r="Q73" s="31">
        <v>1.7407407407407407</v>
      </c>
    </row>
    <row r="74" spans="2:17" x14ac:dyDescent="0.25">
      <c r="B74" s="35"/>
      <c r="C74" s="38"/>
      <c r="D74" s="42"/>
      <c r="E74" s="42"/>
      <c r="F74" s="38"/>
      <c r="G74" s="30">
        <v>146</v>
      </c>
      <c r="H74" s="29">
        <v>100</v>
      </c>
      <c r="I74" s="30">
        <v>101</v>
      </c>
      <c r="J74" s="31">
        <v>1.4455445544554455</v>
      </c>
      <c r="N74" s="30">
        <v>146</v>
      </c>
      <c r="O74" s="29">
        <v>100</v>
      </c>
      <c r="P74" s="30">
        <v>101</v>
      </c>
      <c r="Q74" s="31">
        <v>1.4455445544554455</v>
      </c>
    </row>
    <row r="75" spans="2:17" x14ac:dyDescent="0.25">
      <c r="B75" s="35"/>
      <c r="C75" s="38"/>
      <c r="D75" s="42"/>
      <c r="E75" s="42"/>
      <c r="F75" s="38"/>
      <c r="G75" s="30">
        <v>151</v>
      </c>
      <c r="H75" s="29">
        <v>100</v>
      </c>
      <c r="I75" s="30">
        <v>101</v>
      </c>
      <c r="J75" s="31">
        <v>1.495049504950495</v>
      </c>
      <c r="N75" s="30">
        <v>151</v>
      </c>
      <c r="O75" s="29">
        <v>100</v>
      </c>
      <c r="P75" s="30">
        <v>101</v>
      </c>
      <c r="Q75" s="31">
        <v>1.495049504950495</v>
      </c>
    </row>
    <row r="76" spans="2:17" x14ac:dyDescent="0.25">
      <c r="B76" s="35"/>
      <c r="C76" s="38"/>
      <c r="D76" s="42"/>
      <c r="E76" s="42"/>
      <c r="F76" s="38"/>
      <c r="G76" s="30">
        <v>201</v>
      </c>
      <c r="H76" s="29">
        <v>100</v>
      </c>
      <c r="I76" s="30">
        <v>126</v>
      </c>
      <c r="J76" s="31">
        <v>1.5952380952380953</v>
      </c>
      <c r="N76" s="30">
        <v>201</v>
      </c>
      <c r="O76" s="29">
        <v>100</v>
      </c>
      <c r="P76" s="30">
        <v>126</v>
      </c>
      <c r="Q76" s="31">
        <v>1.5952380952380953</v>
      </c>
    </row>
    <row r="77" spans="2:17" x14ac:dyDescent="0.25">
      <c r="B77" s="35"/>
      <c r="C77" s="38"/>
      <c r="D77" s="42"/>
      <c r="E77" s="42"/>
      <c r="F77" s="38"/>
      <c r="G77" s="30">
        <v>251</v>
      </c>
      <c r="H77" s="29">
        <v>150</v>
      </c>
      <c r="I77" s="30">
        <v>151</v>
      </c>
      <c r="J77" s="31">
        <v>1.6622516556291391</v>
      </c>
      <c r="N77" s="30">
        <v>251</v>
      </c>
      <c r="O77" s="29">
        <v>150</v>
      </c>
      <c r="P77" s="30">
        <v>151</v>
      </c>
      <c r="Q77" s="31">
        <v>1.6622516556291391</v>
      </c>
    </row>
    <row r="78" spans="2:17" x14ac:dyDescent="0.25">
      <c r="B78" s="35"/>
      <c r="C78" s="38"/>
      <c r="D78" s="42"/>
      <c r="E78" s="42"/>
      <c r="F78" s="38"/>
      <c r="G78" s="30">
        <v>301</v>
      </c>
      <c r="H78" s="29">
        <v>150</v>
      </c>
      <c r="I78" s="30">
        <v>151</v>
      </c>
      <c r="J78" s="31">
        <v>1.9933774834437086</v>
      </c>
      <c r="N78" s="30">
        <v>301</v>
      </c>
      <c r="O78" s="29">
        <v>150</v>
      </c>
      <c r="P78" s="30">
        <v>151</v>
      </c>
      <c r="Q78" s="31">
        <v>1.9933774834437086</v>
      </c>
    </row>
    <row r="79" spans="2:17" x14ac:dyDescent="0.25">
      <c r="B79" s="35"/>
      <c r="C79" s="38"/>
      <c r="D79" s="42"/>
      <c r="E79" s="42"/>
      <c r="F79" s="38"/>
      <c r="G79" s="30">
        <v>351</v>
      </c>
      <c r="H79" s="29">
        <v>200</v>
      </c>
      <c r="I79" s="30">
        <v>201</v>
      </c>
      <c r="J79" s="31">
        <v>1.7462686567164178</v>
      </c>
      <c r="N79" s="30">
        <v>351</v>
      </c>
      <c r="O79" s="29">
        <v>200</v>
      </c>
      <c r="P79" s="30">
        <v>201</v>
      </c>
      <c r="Q79" s="31">
        <v>1.7462686567164178</v>
      </c>
    </row>
    <row r="80" spans="2:17" x14ac:dyDescent="0.25">
      <c r="B80" s="35"/>
      <c r="C80" s="38"/>
      <c r="D80" s="42"/>
      <c r="E80" s="42"/>
      <c r="F80" s="38"/>
      <c r="G80" s="30">
        <v>401</v>
      </c>
      <c r="H80" s="29">
        <v>250</v>
      </c>
      <c r="I80" s="30">
        <v>251</v>
      </c>
      <c r="J80" s="31">
        <v>1.597609561752988</v>
      </c>
      <c r="N80" s="30">
        <v>401</v>
      </c>
      <c r="O80" s="29">
        <v>250</v>
      </c>
      <c r="P80" s="30">
        <v>251</v>
      </c>
      <c r="Q80" s="31">
        <v>1.597609561752988</v>
      </c>
    </row>
    <row r="81" spans="2:17" x14ac:dyDescent="0.25">
      <c r="B81" s="35"/>
      <c r="C81" s="38"/>
      <c r="D81" s="42"/>
      <c r="E81" s="42"/>
      <c r="F81" s="38"/>
      <c r="G81" s="30">
        <v>451</v>
      </c>
      <c r="H81" s="29">
        <v>250</v>
      </c>
      <c r="I81" s="30">
        <v>251</v>
      </c>
      <c r="J81" s="31">
        <v>1.796812749003984</v>
      </c>
      <c r="N81" s="30">
        <v>451</v>
      </c>
      <c r="O81" s="29">
        <v>250</v>
      </c>
      <c r="P81" s="30">
        <v>251</v>
      </c>
      <c r="Q81" s="31">
        <v>1.796812749003984</v>
      </c>
    </row>
    <row r="82" spans="2:17" x14ac:dyDescent="0.25">
      <c r="B82" s="35"/>
      <c r="C82" s="38"/>
      <c r="D82" s="42"/>
      <c r="E82" s="42"/>
      <c r="F82" s="38"/>
      <c r="G82" s="30">
        <v>501</v>
      </c>
      <c r="H82" s="29">
        <v>250</v>
      </c>
      <c r="I82" s="30">
        <v>301</v>
      </c>
      <c r="J82" s="31">
        <v>1.6644518272425248</v>
      </c>
      <c r="N82" s="30">
        <v>501</v>
      </c>
      <c r="O82" s="29">
        <v>250</v>
      </c>
      <c r="P82" s="30">
        <v>301</v>
      </c>
      <c r="Q82" s="31">
        <v>1.6644518272425248</v>
      </c>
    </row>
    <row r="83" spans="2:17" x14ac:dyDescent="0.25">
      <c r="B83" s="35"/>
      <c r="C83" s="38"/>
      <c r="D83" s="42"/>
      <c r="E83" s="42"/>
      <c r="F83" s="38"/>
      <c r="G83" s="30">
        <v>551</v>
      </c>
      <c r="H83" s="29">
        <v>250</v>
      </c>
      <c r="I83" s="30">
        <v>301</v>
      </c>
      <c r="J83" s="31">
        <v>1.830564784053156</v>
      </c>
      <c r="N83" s="30">
        <v>551</v>
      </c>
      <c r="O83" s="29">
        <v>250</v>
      </c>
      <c r="P83" s="30">
        <v>301</v>
      </c>
      <c r="Q83" s="31">
        <v>1.830564784053156</v>
      </c>
    </row>
    <row r="84" spans="2:17" x14ac:dyDescent="0.25">
      <c r="B84" s="35"/>
      <c r="C84" s="38"/>
      <c r="D84" s="42"/>
      <c r="E84" s="42"/>
      <c r="F84" s="38"/>
      <c r="G84" s="30">
        <v>601</v>
      </c>
      <c r="H84" s="29">
        <v>250</v>
      </c>
      <c r="I84" s="30">
        <v>351</v>
      </c>
      <c r="J84" s="31">
        <v>1.7122507122507122</v>
      </c>
      <c r="N84" s="30">
        <v>601</v>
      </c>
      <c r="O84" s="29">
        <v>250</v>
      </c>
      <c r="P84" s="30">
        <v>351</v>
      </c>
      <c r="Q84" s="31">
        <v>1.7122507122507122</v>
      </c>
    </row>
    <row r="85" spans="2:17" x14ac:dyDescent="0.25">
      <c r="B85" s="35"/>
      <c r="C85" s="38"/>
      <c r="D85" s="42"/>
      <c r="E85" s="42"/>
      <c r="F85" s="38"/>
      <c r="G85" s="30">
        <v>651</v>
      </c>
      <c r="H85" s="29">
        <v>250</v>
      </c>
      <c r="I85" s="30">
        <v>351</v>
      </c>
      <c r="J85" s="31">
        <v>1.8547008547008548</v>
      </c>
      <c r="N85" s="30">
        <v>651</v>
      </c>
      <c r="O85" s="29">
        <v>250</v>
      </c>
      <c r="P85" s="30">
        <v>351</v>
      </c>
      <c r="Q85" s="31">
        <v>1.8547008547008548</v>
      </c>
    </row>
    <row r="86" spans="2:17" x14ac:dyDescent="0.25">
      <c r="B86" s="35"/>
      <c r="C86" s="38"/>
      <c r="D86" s="42"/>
      <c r="E86" s="42"/>
      <c r="F86" s="38"/>
      <c r="G86" s="30">
        <v>701</v>
      </c>
      <c r="H86" s="29">
        <v>400</v>
      </c>
      <c r="I86" s="30">
        <v>401</v>
      </c>
      <c r="J86" s="31">
        <v>1.7481296758104738</v>
      </c>
      <c r="N86" s="30">
        <v>701</v>
      </c>
      <c r="O86" s="29">
        <v>400</v>
      </c>
      <c r="P86" s="30">
        <v>401</v>
      </c>
      <c r="Q86" s="31">
        <v>1.7481296758104738</v>
      </c>
    </row>
    <row r="87" spans="2:17" x14ac:dyDescent="0.25">
      <c r="B87" s="35"/>
      <c r="C87" s="38"/>
      <c r="D87" s="42"/>
      <c r="E87" s="42"/>
      <c r="F87" s="38"/>
      <c r="G87" s="30">
        <v>751</v>
      </c>
      <c r="H87" s="29">
        <v>500</v>
      </c>
      <c r="I87" s="30">
        <v>451</v>
      </c>
      <c r="J87" s="31">
        <v>1.6651884700665189</v>
      </c>
      <c r="N87" s="30">
        <v>751</v>
      </c>
      <c r="O87" s="29">
        <v>500</v>
      </c>
      <c r="P87" s="30">
        <v>451</v>
      </c>
      <c r="Q87" s="31">
        <v>1.6651884700665189</v>
      </c>
    </row>
    <row r="88" spans="2:17" x14ac:dyDescent="0.25">
      <c r="B88" s="35"/>
      <c r="C88" s="38"/>
      <c r="D88" s="42"/>
      <c r="E88" s="42"/>
      <c r="F88" s="38"/>
      <c r="G88" s="30">
        <v>801</v>
      </c>
      <c r="H88" s="29">
        <v>500</v>
      </c>
      <c r="I88" s="30">
        <v>501</v>
      </c>
      <c r="J88" s="31">
        <v>1.5988023952095809</v>
      </c>
      <c r="N88" s="30">
        <v>801</v>
      </c>
      <c r="O88" s="29">
        <v>500</v>
      </c>
      <c r="P88" s="30">
        <v>501</v>
      </c>
      <c r="Q88" s="31">
        <v>1.5988023952095809</v>
      </c>
    </row>
    <row r="89" spans="2:17" x14ac:dyDescent="0.25">
      <c r="B89" s="35"/>
      <c r="C89" s="38"/>
      <c r="D89" s="42"/>
      <c r="E89" s="42"/>
      <c r="F89" s="38"/>
      <c r="G89" s="30">
        <v>851</v>
      </c>
      <c r="H89" s="29">
        <v>500</v>
      </c>
      <c r="I89" s="30">
        <v>501</v>
      </c>
      <c r="J89" s="31">
        <v>1.6986027944111777</v>
      </c>
      <c r="N89" s="30">
        <v>851</v>
      </c>
      <c r="O89" s="29">
        <v>500</v>
      </c>
      <c r="P89" s="30">
        <v>501</v>
      </c>
      <c r="Q89" s="31">
        <v>1.6986027944111777</v>
      </c>
    </row>
    <row r="90" spans="2:17" x14ac:dyDescent="0.25">
      <c r="B90" s="35"/>
      <c r="C90" s="38"/>
      <c r="D90" s="42"/>
      <c r="E90" s="42"/>
      <c r="F90" s="38"/>
      <c r="G90" s="30">
        <v>901</v>
      </c>
      <c r="H90" s="29">
        <v>500</v>
      </c>
      <c r="I90" s="30">
        <v>501</v>
      </c>
      <c r="J90" s="31">
        <v>1.7984031936127745</v>
      </c>
      <c r="N90" s="30">
        <v>901</v>
      </c>
      <c r="O90" s="29">
        <v>500</v>
      </c>
      <c r="P90" s="30">
        <v>501</v>
      </c>
      <c r="Q90" s="31">
        <v>1.7984031936127745</v>
      </c>
    </row>
    <row r="91" spans="2:17" x14ac:dyDescent="0.25">
      <c r="B91" s="35"/>
      <c r="C91" s="38"/>
      <c r="D91" s="42"/>
      <c r="E91" s="42"/>
      <c r="F91" s="38"/>
      <c r="G91" s="30">
        <v>951</v>
      </c>
      <c r="H91" s="29">
        <v>500</v>
      </c>
      <c r="I91" s="30">
        <v>601</v>
      </c>
      <c r="J91" s="31">
        <v>1.5823627287853577</v>
      </c>
      <c r="N91" s="30">
        <v>951</v>
      </c>
      <c r="O91" s="29">
        <v>500</v>
      </c>
      <c r="P91" s="30">
        <v>601</v>
      </c>
      <c r="Q91" s="31">
        <v>1.5823627287853577</v>
      </c>
    </row>
    <row r="92" spans="2:17" x14ac:dyDescent="0.25">
      <c r="B92" s="35"/>
      <c r="C92" s="38"/>
      <c r="D92" s="42"/>
      <c r="E92" s="42"/>
      <c r="F92" s="38"/>
      <c r="G92" s="30">
        <v>1001</v>
      </c>
      <c r="H92" s="29">
        <v>500</v>
      </c>
      <c r="I92" s="30">
        <v>601</v>
      </c>
      <c r="J92" s="31">
        <v>1.6655574043261232</v>
      </c>
      <c r="N92" s="30">
        <v>1001</v>
      </c>
      <c r="O92" s="29">
        <v>500</v>
      </c>
      <c r="P92" s="30">
        <v>601</v>
      </c>
      <c r="Q92" s="31">
        <v>1.6655574043261232</v>
      </c>
    </row>
    <row r="93" spans="2:17" x14ac:dyDescent="0.25">
      <c r="B93" s="35"/>
      <c r="C93" s="38"/>
      <c r="D93" s="42"/>
      <c r="E93" s="42"/>
      <c r="F93" s="38"/>
      <c r="G93" s="30">
        <v>1251</v>
      </c>
      <c r="H93" s="29">
        <v>750</v>
      </c>
      <c r="I93" s="30">
        <v>751</v>
      </c>
      <c r="J93" s="31">
        <v>1.6657789613848202</v>
      </c>
      <c r="N93" s="30">
        <v>1251</v>
      </c>
      <c r="O93" s="29">
        <v>500</v>
      </c>
      <c r="P93" s="30">
        <v>751</v>
      </c>
      <c r="Q93" s="31">
        <v>1.6657789613848202</v>
      </c>
    </row>
    <row r="94" spans="2:17" x14ac:dyDescent="0.25">
      <c r="B94" s="35"/>
      <c r="C94" s="38"/>
      <c r="D94" s="42"/>
      <c r="E94" s="42"/>
      <c r="F94" s="38"/>
      <c r="G94" s="30">
        <v>1501</v>
      </c>
      <c r="H94" s="29">
        <v>800</v>
      </c>
      <c r="I94" s="30">
        <v>801</v>
      </c>
      <c r="J94" s="31">
        <v>1.8739076154806491</v>
      </c>
      <c r="N94" s="30">
        <v>1501</v>
      </c>
      <c r="O94" s="29">
        <v>500</v>
      </c>
      <c r="P94" s="30">
        <v>801</v>
      </c>
      <c r="Q94" s="31">
        <v>1.8739076154806491</v>
      </c>
    </row>
    <row r="95" spans="2:17" x14ac:dyDescent="0.25">
      <c r="B95" s="35"/>
      <c r="C95" s="38"/>
      <c r="D95" s="42"/>
      <c r="E95" s="42"/>
      <c r="F95" s="38"/>
      <c r="G95" s="30">
        <v>1751</v>
      </c>
      <c r="H95" s="29">
        <v>1000</v>
      </c>
      <c r="I95" s="30">
        <v>1001</v>
      </c>
      <c r="J95" s="31">
        <v>1.7492507492507492</v>
      </c>
      <c r="N95" s="30">
        <v>1751</v>
      </c>
      <c r="O95" s="29">
        <v>500</v>
      </c>
      <c r="P95" s="30">
        <v>1001</v>
      </c>
      <c r="Q95" s="31">
        <v>1.7492507492507492</v>
      </c>
    </row>
    <row r="96" spans="2:17" x14ac:dyDescent="0.25">
      <c r="B96" s="35"/>
      <c r="C96" s="38"/>
      <c r="D96" s="42"/>
      <c r="E96" s="42"/>
      <c r="F96" s="38"/>
      <c r="G96" s="30">
        <v>2001</v>
      </c>
      <c r="H96" s="29">
        <v>1000</v>
      </c>
      <c r="I96" s="30">
        <v>1001</v>
      </c>
      <c r="J96" s="31">
        <v>1.9990009990009989</v>
      </c>
      <c r="N96" s="30">
        <v>2001</v>
      </c>
      <c r="O96" s="29">
        <v>500</v>
      </c>
      <c r="P96" s="30">
        <v>1001</v>
      </c>
      <c r="Q96" s="31">
        <v>1.9990009990009989</v>
      </c>
    </row>
    <row r="97" spans="2:17" x14ac:dyDescent="0.25">
      <c r="B97" s="35"/>
      <c r="C97" s="38"/>
      <c r="D97" s="42"/>
      <c r="E97" s="42"/>
      <c r="F97" s="38"/>
      <c r="G97" s="30">
        <v>2251</v>
      </c>
      <c r="H97" s="29">
        <v>1000</v>
      </c>
      <c r="I97" s="30">
        <v>1001</v>
      </c>
      <c r="J97" s="31">
        <v>2.2487512487512489</v>
      </c>
      <c r="N97" s="30">
        <v>2251</v>
      </c>
      <c r="O97" s="29">
        <v>500</v>
      </c>
      <c r="P97" s="30">
        <v>1001</v>
      </c>
      <c r="Q97" s="31">
        <v>2.2487512487512489</v>
      </c>
    </row>
    <row r="98" spans="2:17" x14ac:dyDescent="0.25">
      <c r="B98" s="35"/>
      <c r="C98" s="38"/>
      <c r="D98" s="42"/>
      <c r="E98" s="42"/>
      <c r="F98" s="38"/>
      <c r="G98" s="30">
        <v>2501</v>
      </c>
      <c r="H98" s="29">
        <v>1000</v>
      </c>
      <c r="I98" s="30">
        <v>1001</v>
      </c>
      <c r="J98" s="31">
        <v>2.4985014985014984</v>
      </c>
      <c r="N98" s="30">
        <v>2501</v>
      </c>
      <c r="O98" s="29">
        <v>500</v>
      </c>
      <c r="P98" s="30">
        <v>1001</v>
      </c>
      <c r="Q98" s="31">
        <v>2.4985014985014984</v>
      </c>
    </row>
    <row r="99" spans="2:17" x14ac:dyDescent="0.25">
      <c r="B99" s="35"/>
      <c r="C99" s="38"/>
      <c r="D99" s="42"/>
      <c r="E99" s="42"/>
      <c r="F99" s="38"/>
      <c r="G99" s="30">
        <v>2551</v>
      </c>
      <c r="H99" s="29">
        <v>1000</v>
      </c>
      <c r="I99" s="30">
        <v>1001</v>
      </c>
      <c r="J99" s="31">
        <v>2.5484515484515486</v>
      </c>
      <c r="N99" s="30">
        <v>2551</v>
      </c>
      <c r="O99" s="29">
        <v>500</v>
      </c>
      <c r="P99" s="30">
        <v>1001</v>
      </c>
      <c r="Q99" s="31">
        <v>2.5484515484515486</v>
      </c>
    </row>
    <row r="100" spans="2:17" x14ac:dyDescent="0.25">
      <c r="B100" s="35"/>
      <c r="C100" s="38"/>
      <c r="D100" s="42"/>
      <c r="E100" s="42"/>
      <c r="F100" s="38"/>
      <c r="G100" s="30">
        <v>2751</v>
      </c>
      <c r="H100" s="29">
        <v>1000</v>
      </c>
      <c r="I100" s="30">
        <v>1001</v>
      </c>
      <c r="J100" s="31">
        <v>2.7482517482517483</v>
      </c>
      <c r="N100" s="30">
        <v>2751</v>
      </c>
      <c r="O100" s="29">
        <v>500</v>
      </c>
      <c r="P100" s="30">
        <v>1001</v>
      </c>
      <c r="Q100" s="31">
        <v>2.7482517482517483</v>
      </c>
    </row>
    <row r="101" spans="2:17" x14ac:dyDescent="0.25">
      <c r="B101" s="35"/>
      <c r="C101" s="38"/>
      <c r="D101" s="42"/>
      <c r="E101" s="42"/>
      <c r="F101" s="38"/>
      <c r="G101" s="30">
        <v>3001</v>
      </c>
      <c r="H101" s="29">
        <v>1000</v>
      </c>
      <c r="I101" s="30">
        <v>1001</v>
      </c>
      <c r="J101" s="31">
        <v>2.9980019980019978</v>
      </c>
      <c r="N101" s="30">
        <v>3001</v>
      </c>
      <c r="O101" s="29">
        <v>500</v>
      </c>
      <c r="P101" s="30">
        <v>1001</v>
      </c>
      <c r="Q101" s="31">
        <v>2.9980019980019978</v>
      </c>
    </row>
    <row r="102" spans="2:17" x14ac:dyDescent="0.25">
      <c r="B102" s="35"/>
      <c r="C102" s="38"/>
      <c r="D102" s="42"/>
      <c r="E102" s="42"/>
      <c r="F102" s="38"/>
      <c r="G102" s="30">
        <v>3501</v>
      </c>
      <c r="H102" s="29">
        <v>1000</v>
      </c>
      <c r="I102" s="30">
        <v>1001</v>
      </c>
      <c r="J102" s="31">
        <v>3.4975024975024973</v>
      </c>
      <c r="N102" s="30">
        <v>3501</v>
      </c>
      <c r="O102" s="29">
        <v>500</v>
      </c>
      <c r="P102" s="30">
        <v>1001</v>
      </c>
      <c r="Q102" s="31">
        <v>3.4975024975024973</v>
      </c>
    </row>
    <row r="103" spans="2:17" x14ac:dyDescent="0.25">
      <c r="B103" s="35"/>
      <c r="C103" s="38"/>
      <c r="D103" s="42"/>
      <c r="E103" s="42"/>
      <c r="F103" s="38"/>
      <c r="G103" s="30">
        <v>3751</v>
      </c>
      <c r="H103" s="29">
        <v>1000</v>
      </c>
      <c r="I103" s="30">
        <v>1001</v>
      </c>
      <c r="J103" s="31">
        <v>3.7472527472527473</v>
      </c>
      <c r="N103" s="30">
        <v>3751</v>
      </c>
      <c r="O103" s="29">
        <v>500</v>
      </c>
      <c r="P103" s="30">
        <v>1001</v>
      </c>
      <c r="Q103" s="31">
        <v>3.7472527472527473</v>
      </c>
    </row>
    <row r="104" spans="2:17" x14ac:dyDescent="0.25">
      <c r="B104" s="35"/>
      <c r="C104" s="38"/>
      <c r="D104" s="42"/>
      <c r="E104" s="42"/>
      <c r="F104" s="38"/>
      <c r="G104" s="30">
        <v>4001</v>
      </c>
      <c r="H104" s="29">
        <v>1000</v>
      </c>
      <c r="I104" s="30">
        <v>1001</v>
      </c>
      <c r="J104" s="31">
        <v>3.9970029970029972</v>
      </c>
      <c r="N104" s="30">
        <v>4001</v>
      </c>
      <c r="O104" s="29">
        <v>500</v>
      </c>
      <c r="P104" s="30">
        <v>1001</v>
      </c>
      <c r="Q104" s="31">
        <v>3.9970029970029972</v>
      </c>
    </row>
    <row r="105" spans="2:17" x14ac:dyDescent="0.25">
      <c r="B105" s="35"/>
      <c r="C105" s="38"/>
      <c r="D105" s="42"/>
      <c r="E105" s="42"/>
      <c r="F105" s="38"/>
      <c r="G105" s="30">
        <v>4501</v>
      </c>
      <c r="H105" s="29">
        <v>1000</v>
      </c>
      <c r="I105" s="30">
        <v>1001</v>
      </c>
      <c r="J105" s="31">
        <v>4.4965034965034967</v>
      </c>
      <c r="N105" s="30">
        <v>4501</v>
      </c>
      <c r="O105" s="29">
        <v>500</v>
      </c>
      <c r="P105" s="30">
        <v>1001</v>
      </c>
      <c r="Q105" s="31">
        <v>4.4965034965034967</v>
      </c>
    </row>
    <row r="106" spans="2:17" x14ac:dyDescent="0.25">
      <c r="B106" s="35"/>
      <c r="C106" s="38"/>
      <c r="D106" s="42"/>
      <c r="E106" s="42"/>
      <c r="F106" s="38"/>
      <c r="G106" s="30">
        <v>4751</v>
      </c>
      <c r="H106" s="29">
        <v>1000</v>
      </c>
      <c r="I106" s="30">
        <v>1001</v>
      </c>
      <c r="J106" s="31">
        <v>4.7462537462537462</v>
      </c>
      <c r="N106" s="30">
        <v>4751</v>
      </c>
      <c r="O106" s="29">
        <v>500</v>
      </c>
      <c r="P106" s="30">
        <v>1001</v>
      </c>
      <c r="Q106" s="31">
        <v>4.7462537462537462</v>
      </c>
    </row>
    <row r="107" spans="2:17" x14ac:dyDescent="0.25">
      <c r="B107" s="35"/>
      <c r="C107" s="38"/>
      <c r="D107" s="42"/>
      <c r="E107" s="42"/>
      <c r="F107" s="38"/>
      <c r="G107" s="30">
        <v>5001</v>
      </c>
      <c r="H107" s="29">
        <v>1000</v>
      </c>
      <c r="I107" s="30">
        <v>1001</v>
      </c>
      <c r="J107" s="31">
        <v>4.9960039960039957</v>
      </c>
      <c r="N107" s="30">
        <v>5001</v>
      </c>
      <c r="O107" s="29">
        <v>500</v>
      </c>
      <c r="P107" s="30">
        <v>1001</v>
      </c>
      <c r="Q107" s="31">
        <v>4.9960039960039957</v>
      </c>
    </row>
    <row r="108" spans="2:17" x14ac:dyDescent="0.25">
      <c r="B108" s="35"/>
      <c r="C108" s="38"/>
      <c r="D108" s="42"/>
      <c r="E108" s="42"/>
      <c r="F108" s="38"/>
      <c r="G108" s="30">
        <v>5501</v>
      </c>
      <c r="H108" s="29">
        <v>1000</v>
      </c>
      <c r="I108" s="30">
        <v>1001</v>
      </c>
      <c r="J108" s="31">
        <v>5.4955044955044956</v>
      </c>
      <c r="N108" s="30">
        <v>5501</v>
      </c>
      <c r="O108" s="29">
        <v>500</v>
      </c>
      <c r="P108" s="30">
        <v>1001</v>
      </c>
      <c r="Q108" s="31">
        <v>5.4955044955044956</v>
      </c>
    </row>
    <row r="109" spans="2:17" x14ac:dyDescent="0.25">
      <c r="B109" s="35"/>
      <c r="C109" s="38"/>
      <c r="D109" s="42"/>
      <c r="E109" s="42"/>
      <c r="F109" s="38"/>
      <c r="G109" s="30">
        <v>6001</v>
      </c>
      <c r="H109" s="29">
        <v>1000</v>
      </c>
      <c r="I109" s="30">
        <v>1001</v>
      </c>
      <c r="J109" s="31">
        <v>5.9950049950049946</v>
      </c>
      <c r="N109" s="30">
        <v>6001</v>
      </c>
      <c r="O109" s="29">
        <v>500</v>
      </c>
      <c r="P109" s="30">
        <v>1001</v>
      </c>
      <c r="Q109" s="31">
        <v>5.9950049950049946</v>
      </c>
    </row>
    <row r="110" spans="2:17" x14ac:dyDescent="0.25">
      <c r="B110" s="35"/>
      <c r="C110" s="38"/>
      <c r="D110" s="42"/>
      <c r="E110" s="42"/>
      <c r="F110" s="38"/>
      <c r="G110" s="30">
        <v>6501</v>
      </c>
      <c r="H110" s="29">
        <v>1000</v>
      </c>
      <c r="I110" s="30">
        <v>1001</v>
      </c>
      <c r="J110" s="31">
        <v>6.4945054945054945</v>
      </c>
      <c r="N110" s="30">
        <v>6501</v>
      </c>
      <c r="O110" s="29">
        <v>500</v>
      </c>
      <c r="P110" s="30">
        <v>1001</v>
      </c>
      <c r="Q110" s="31">
        <v>6.4945054945054945</v>
      </c>
    </row>
    <row r="111" spans="2:17" x14ac:dyDescent="0.25">
      <c r="B111" s="35"/>
      <c r="C111" s="38"/>
      <c r="D111" s="42"/>
      <c r="E111" s="42"/>
      <c r="F111" s="38"/>
      <c r="G111" s="30">
        <v>7001</v>
      </c>
      <c r="H111" s="29">
        <v>1000</v>
      </c>
      <c r="I111" s="30">
        <v>1001</v>
      </c>
      <c r="J111" s="31">
        <v>6.9940059940059944</v>
      </c>
      <c r="N111" s="30">
        <v>7001</v>
      </c>
      <c r="O111" s="29">
        <v>500</v>
      </c>
      <c r="P111" s="30">
        <v>1001</v>
      </c>
      <c r="Q111" s="31">
        <v>6.9940059940059944</v>
      </c>
    </row>
    <row r="112" spans="2:17" x14ac:dyDescent="0.25">
      <c r="B112" s="35"/>
      <c r="C112" s="38"/>
      <c r="D112" s="42"/>
      <c r="E112" s="42"/>
      <c r="F112" s="38"/>
      <c r="G112" s="30">
        <v>7501</v>
      </c>
      <c r="H112" s="29">
        <v>1000</v>
      </c>
      <c r="I112" s="30">
        <v>1001</v>
      </c>
      <c r="J112" s="31">
        <v>7.4935064935064934</v>
      </c>
      <c r="N112" s="30">
        <v>7501</v>
      </c>
      <c r="O112" s="29">
        <v>500</v>
      </c>
      <c r="P112" s="30">
        <v>1001</v>
      </c>
      <c r="Q112" s="31">
        <v>7.4935064935064934</v>
      </c>
    </row>
    <row r="113" spans="2:17" x14ac:dyDescent="0.25">
      <c r="B113" s="35"/>
      <c r="C113" s="38"/>
      <c r="D113" s="42"/>
      <c r="E113" s="42"/>
      <c r="F113" s="38"/>
      <c r="G113" s="30">
        <v>8001</v>
      </c>
      <c r="H113" s="29">
        <v>1000</v>
      </c>
      <c r="I113" s="30">
        <v>1001</v>
      </c>
      <c r="J113" s="31">
        <v>7.9930069930069934</v>
      </c>
      <c r="N113" s="30">
        <v>8001</v>
      </c>
      <c r="O113" s="29">
        <v>500</v>
      </c>
      <c r="P113" s="30">
        <v>1001</v>
      </c>
      <c r="Q113" s="31">
        <v>7.9930069930069934</v>
      </c>
    </row>
    <row r="114" spans="2:17" x14ac:dyDescent="0.25">
      <c r="B114" s="35"/>
      <c r="C114" s="38"/>
      <c r="D114" s="42"/>
      <c r="E114" s="42"/>
      <c r="F114" s="38"/>
      <c r="G114" s="30">
        <v>8501</v>
      </c>
      <c r="H114" s="29">
        <v>1000</v>
      </c>
      <c r="I114" s="30">
        <v>1001</v>
      </c>
      <c r="J114" s="31">
        <v>8.4925074925074924</v>
      </c>
      <c r="N114" s="30">
        <v>8501</v>
      </c>
      <c r="O114" s="29">
        <v>500</v>
      </c>
      <c r="P114" s="30">
        <v>1001</v>
      </c>
      <c r="Q114" s="31">
        <v>8.4925074925074924</v>
      </c>
    </row>
    <row r="115" spans="2:17" x14ac:dyDescent="0.25">
      <c r="B115" s="35"/>
      <c r="C115" s="38"/>
      <c r="D115" s="42"/>
      <c r="E115" s="42"/>
      <c r="F115" s="38"/>
      <c r="G115" s="30">
        <v>9001</v>
      </c>
      <c r="H115" s="29">
        <v>1000</v>
      </c>
      <c r="I115" s="30">
        <v>1001</v>
      </c>
      <c r="J115" s="31">
        <v>8.9920079920079914</v>
      </c>
      <c r="N115" s="30">
        <v>9001</v>
      </c>
      <c r="O115" s="29">
        <v>500</v>
      </c>
      <c r="P115" s="30">
        <v>1001</v>
      </c>
      <c r="Q115" s="31">
        <v>8.9920079920079914</v>
      </c>
    </row>
    <row r="116" spans="2:17" x14ac:dyDescent="0.25">
      <c r="B116" s="35"/>
      <c r="C116" s="38"/>
      <c r="D116" s="42"/>
      <c r="E116" s="42"/>
      <c r="F116" s="38"/>
      <c r="G116" s="30">
        <v>9501</v>
      </c>
      <c r="H116" s="29">
        <v>1000</v>
      </c>
      <c r="I116" s="30">
        <v>1001</v>
      </c>
      <c r="J116" s="31">
        <v>9.4915084915084922</v>
      </c>
      <c r="N116" s="30">
        <v>9501</v>
      </c>
      <c r="O116" s="29">
        <v>500</v>
      </c>
      <c r="P116" s="30">
        <v>1001</v>
      </c>
      <c r="Q116" s="31">
        <v>9.4915084915084922</v>
      </c>
    </row>
    <row r="117" spans="2:17" x14ac:dyDescent="0.25">
      <c r="B117" s="35"/>
      <c r="C117" s="38"/>
      <c r="D117" s="42"/>
      <c r="E117" s="42"/>
      <c r="F117" s="38"/>
      <c r="G117" s="30">
        <v>10001</v>
      </c>
      <c r="H117" s="29">
        <v>1000</v>
      </c>
      <c r="I117" s="30">
        <v>1001</v>
      </c>
      <c r="J117" s="31">
        <v>9.9910089910089912</v>
      </c>
      <c r="N117" s="30">
        <v>10001</v>
      </c>
      <c r="O117" s="29">
        <v>500</v>
      </c>
      <c r="P117" s="30">
        <v>1001</v>
      </c>
      <c r="Q117" s="31">
        <v>9.9910089910089912</v>
      </c>
    </row>
    <row r="118" spans="2:17" x14ac:dyDescent="0.25">
      <c r="B118" s="36"/>
      <c r="C118" s="38"/>
      <c r="D118" s="43"/>
      <c r="E118" s="43"/>
      <c r="F118" s="38"/>
      <c r="G118" s="32">
        <v>10501</v>
      </c>
      <c r="H118" s="29">
        <v>1000</v>
      </c>
      <c r="I118" s="32">
        <v>1001</v>
      </c>
      <c r="J118" s="33">
        <v>10.49050949050949</v>
      </c>
      <c r="N118" s="32">
        <v>10501</v>
      </c>
      <c r="O118" s="29">
        <v>500</v>
      </c>
      <c r="P118" s="32">
        <v>1001</v>
      </c>
      <c r="Q118" s="33">
        <v>10.49050949050949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E2"/>
  <sheetViews>
    <sheetView workbookViewId="0">
      <selection sqref="A1:AE2"/>
    </sheetView>
  </sheetViews>
  <sheetFormatPr defaultRowHeight="15" x14ac:dyDescent="0.25"/>
  <cols>
    <col min="1" max="1" width="10.5703125" bestFit="1" customWidth="1"/>
    <col min="2" max="2" width="8.28515625" bestFit="1" customWidth="1"/>
    <col min="3" max="3" width="17.85546875" bestFit="1" customWidth="1"/>
    <col min="4" max="4" width="25.140625" bestFit="1" customWidth="1"/>
    <col min="5" max="5" width="18.28515625" style="69" bestFit="1" customWidth="1"/>
  </cols>
  <sheetData>
    <row r="1" spans="1:31" s="67" customFormat="1" x14ac:dyDescent="0.25">
      <c r="A1" s="67" t="s">
        <v>69</v>
      </c>
      <c r="B1" s="67" t="s">
        <v>70</v>
      </c>
      <c r="C1" s="67" t="s">
        <v>71</v>
      </c>
      <c r="D1" s="67" t="s">
        <v>72</v>
      </c>
      <c r="E1" s="68" t="s">
        <v>73</v>
      </c>
      <c r="F1" s="67" t="s">
        <v>74</v>
      </c>
      <c r="G1" s="67" t="s">
        <v>75</v>
      </c>
      <c r="H1" s="67" t="s">
        <v>76</v>
      </c>
      <c r="I1" s="67" t="s">
        <v>77</v>
      </c>
      <c r="J1" s="67" t="s">
        <v>78</v>
      </c>
      <c r="K1" s="67" t="s">
        <v>79</v>
      </c>
      <c r="L1" s="67" t="s">
        <v>80</v>
      </c>
      <c r="M1" s="67" t="s">
        <v>81</v>
      </c>
      <c r="N1" s="67" t="s">
        <v>82</v>
      </c>
      <c r="O1" s="67" t="s">
        <v>83</v>
      </c>
      <c r="P1" s="67" t="s">
        <v>84</v>
      </c>
      <c r="Q1" s="67" t="s">
        <v>85</v>
      </c>
      <c r="R1" s="67" t="s">
        <v>86</v>
      </c>
      <c r="S1" s="67" t="s">
        <v>87</v>
      </c>
      <c r="T1" s="67" t="s">
        <v>88</v>
      </c>
      <c r="U1" s="67" t="s">
        <v>89</v>
      </c>
      <c r="V1" s="67" t="s">
        <v>90</v>
      </c>
      <c r="W1" s="67" t="s">
        <v>91</v>
      </c>
      <c r="X1" s="67" t="s">
        <v>92</v>
      </c>
      <c r="Y1" s="67" t="s">
        <v>93</v>
      </c>
      <c r="Z1" s="67" t="s">
        <v>94</v>
      </c>
      <c r="AA1" s="67" t="s">
        <v>95</v>
      </c>
      <c r="AB1" s="67" t="s">
        <v>96</v>
      </c>
      <c r="AC1" s="67" t="s">
        <v>97</v>
      </c>
      <c r="AD1" s="67" t="s">
        <v>98</v>
      </c>
      <c r="AE1" s="67" t="s">
        <v>99</v>
      </c>
    </row>
    <row r="2" spans="1:31" x14ac:dyDescent="0.25">
      <c r="A2" t="s">
        <v>104</v>
      </c>
      <c r="B2" t="s">
        <v>105</v>
      </c>
      <c r="C2" t="str">
        <f>TYPE</f>
        <v>Premier League</v>
      </c>
      <c r="D2" t="str">
        <f>EVENT</f>
        <v>|Chelsea| |.v| |Leeds United|</v>
      </c>
      <c r="E2" s="69">
        <f>DATE</f>
        <v>44170.833333333336</v>
      </c>
      <c r="I2" t="s">
        <v>100</v>
      </c>
      <c r="J2" t="s">
        <v>101</v>
      </c>
      <c r="K2" t="s">
        <v>102</v>
      </c>
      <c r="L2">
        <v>0</v>
      </c>
      <c r="O2">
        <v>0</v>
      </c>
      <c r="P2">
        <v>0.05</v>
      </c>
      <c r="X2" t="s">
        <v>103</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filterMode="1"/>
  <dimension ref="A1:AL6"/>
  <sheetViews>
    <sheetView topLeftCell="N1" workbookViewId="0">
      <selection sqref="A1:AL6"/>
    </sheetView>
  </sheetViews>
  <sheetFormatPr defaultRowHeight="15" x14ac:dyDescent="0.25"/>
  <cols>
    <col min="3" max="3" width="17.85546875" bestFit="1" customWidth="1"/>
    <col min="4" max="4" width="25.140625" bestFit="1" customWidth="1"/>
    <col min="5" max="5" width="18.28515625" style="69" bestFit="1" customWidth="1"/>
    <col min="6" max="6" width="40.85546875" customWidth="1"/>
    <col min="31" max="31" width="22.42578125" customWidth="1"/>
    <col min="32" max="32" width="23.7109375" customWidth="1"/>
    <col min="37" max="37" width="13.7109375" bestFit="1" customWidth="1"/>
    <col min="38" max="38" width="11.85546875" bestFit="1" customWidth="1"/>
  </cols>
  <sheetData>
    <row r="1" spans="1:38" x14ac:dyDescent="0.25">
      <c r="A1" s="67" t="s">
        <v>69</v>
      </c>
      <c r="B1" s="67" t="s">
        <v>70</v>
      </c>
      <c r="C1" s="67" t="s">
        <v>71</v>
      </c>
      <c r="D1" s="67" t="s">
        <v>72</v>
      </c>
      <c r="E1" s="68" t="s">
        <v>73</v>
      </c>
      <c r="F1" s="67" t="s">
        <v>106</v>
      </c>
      <c r="G1" s="67" t="s">
        <v>78</v>
      </c>
      <c r="H1" s="67" t="s">
        <v>79</v>
      </c>
      <c r="I1" s="67" t="s">
        <v>80</v>
      </c>
      <c r="J1" s="67" t="s">
        <v>83</v>
      </c>
      <c r="K1" s="67" t="s">
        <v>107</v>
      </c>
      <c r="L1" s="67" t="s">
        <v>108</v>
      </c>
      <c r="M1" s="67" t="s">
        <v>109</v>
      </c>
      <c r="N1" s="67" t="s">
        <v>110</v>
      </c>
      <c r="O1" s="67" t="s">
        <v>111</v>
      </c>
      <c r="P1" s="67" t="s">
        <v>112</v>
      </c>
      <c r="Q1" s="67" t="s">
        <v>113</v>
      </c>
      <c r="R1" s="67" t="s">
        <v>114</v>
      </c>
      <c r="S1" s="67" t="s">
        <v>115</v>
      </c>
      <c r="T1" s="67" t="s">
        <v>116</v>
      </c>
      <c r="U1" s="67" t="s">
        <v>117</v>
      </c>
      <c r="V1" s="67" t="s">
        <v>118</v>
      </c>
      <c r="W1" s="67" t="s">
        <v>119</v>
      </c>
      <c r="X1" s="67" t="s">
        <v>87</v>
      </c>
      <c r="Y1" s="67" t="s">
        <v>92</v>
      </c>
      <c r="Z1" s="67" t="s">
        <v>120</v>
      </c>
      <c r="AA1" s="67" t="s">
        <v>84</v>
      </c>
      <c r="AB1" s="67" t="s">
        <v>85</v>
      </c>
      <c r="AC1" s="67" t="s">
        <v>121</v>
      </c>
      <c r="AD1" s="67" t="s">
        <v>122</v>
      </c>
      <c r="AE1" s="67" t="s">
        <v>123</v>
      </c>
      <c r="AF1" s="67" t="s">
        <v>124</v>
      </c>
      <c r="AG1" s="67" t="s">
        <v>125</v>
      </c>
      <c r="AH1" s="67" t="s">
        <v>95</v>
      </c>
      <c r="AI1" s="67" t="s">
        <v>96</v>
      </c>
      <c r="AJ1" s="67" t="s">
        <v>97</v>
      </c>
      <c r="AK1" s="67" t="s">
        <v>98</v>
      </c>
      <c r="AL1" s="67" t="s">
        <v>137</v>
      </c>
    </row>
    <row r="2" spans="1:38" x14ac:dyDescent="0.25">
      <c r="A2" t="s">
        <v>104</v>
      </c>
      <c r="B2" t="s">
        <v>105</v>
      </c>
      <c r="C2" t="str">
        <f>TYPE</f>
        <v>Premier League</v>
      </c>
      <c r="D2" t="str">
        <f>EVENT</f>
        <v>|Chelsea| |.v| |Leeds United|</v>
      </c>
      <c r="E2" s="69">
        <f>DATE</f>
        <v>44170.833333333336</v>
      </c>
      <c r="F2" t="s">
        <v>126</v>
      </c>
      <c r="G2" t="s">
        <v>101</v>
      </c>
      <c r="H2" t="s">
        <v>127</v>
      </c>
      <c r="I2">
        <v>27</v>
      </c>
      <c r="O2" t="s">
        <v>102</v>
      </c>
      <c r="P2" t="s">
        <v>102</v>
      </c>
      <c r="S2" t="s">
        <v>127</v>
      </c>
      <c r="W2">
        <v>6666</v>
      </c>
      <c r="Y2" t="s">
        <v>103</v>
      </c>
      <c r="Z2" t="s">
        <v>127</v>
      </c>
      <c r="AD2" t="s">
        <v>102</v>
      </c>
      <c r="AE2" s="70" t="s">
        <v>175</v>
      </c>
      <c r="AH2">
        <v>1000</v>
      </c>
      <c r="AL2" t="str">
        <f>IF('Match Setup'!E3="Y","Export","Don't Export")</f>
        <v>Export</v>
      </c>
    </row>
    <row r="3" spans="1:38" x14ac:dyDescent="0.25">
      <c r="A3" t="s">
        <v>104</v>
      </c>
      <c r="B3" t="s">
        <v>105</v>
      </c>
      <c r="C3" t="str">
        <f>TYPE</f>
        <v>Premier League</v>
      </c>
      <c r="D3" t="str">
        <f>EVENT</f>
        <v>|Chelsea| |.v| |Leeds United|</v>
      </c>
      <c r="E3" s="69">
        <f>DATE</f>
        <v>44170.833333333336</v>
      </c>
      <c r="F3" t="s">
        <v>128</v>
      </c>
      <c r="G3" t="s">
        <v>101</v>
      </c>
      <c r="H3" t="s">
        <v>127</v>
      </c>
      <c r="I3">
        <v>27</v>
      </c>
      <c r="O3" t="s">
        <v>102</v>
      </c>
      <c r="P3" t="s">
        <v>102</v>
      </c>
      <c r="S3" t="s">
        <v>127</v>
      </c>
      <c r="W3">
        <v>6666</v>
      </c>
      <c r="Y3" t="s">
        <v>103</v>
      </c>
      <c r="Z3" t="s">
        <v>127</v>
      </c>
      <c r="AD3" t="s">
        <v>102</v>
      </c>
      <c r="AE3" s="70" t="s">
        <v>175</v>
      </c>
      <c r="AH3">
        <v>1000</v>
      </c>
      <c r="AL3" t="str">
        <f>IF('Match Setup'!E4="Y","Export","Don't Export")</f>
        <v>Export</v>
      </c>
    </row>
    <row r="4" spans="1:38" x14ac:dyDescent="0.25">
      <c r="A4" t="s">
        <v>104</v>
      </c>
      <c r="B4" t="s">
        <v>105</v>
      </c>
      <c r="C4" t="str">
        <f>TYPE</f>
        <v>Premier League</v>
      </c>
      <c r="D4" t="str">
        <f>EVENT</f>
        <v>|Chelsea| |.v| |Leeds United|</v>
      </c>
      <c r="E4" s="69">
        <f>DATE</f>
        <v>44170.833333333336</v>
      </c>
      <c r="F4" t="s">
        <v>164</v>
      </c>
      <c r="G4" t="s">
        <v>101</v>
      </c>
      <c r="H4" t="s">
        <v>127</v>
      </c>
      <c r="I4">
        <v>30</v>
      </c>
      <c r="O4" t="s">
        <v>102</v>
      </c>
      <c r="P4" t="s">
        <v>102</v>
      </c>
      <c r="S4" t="s">
        <v>127</v>
      </c>
      <c r="W4">
        <v>5000</v>
      </c>
      <c r="Y4" t="s">
        <v>103</v>
      </c>
      <c r="Z4" t="s">
        <v>127</v>
      </c>
      <c r="AD4" t="s">
        <v>102</v>
      </c>
      <c r="AE4" s="70" t="s">
        <v>174</v>
      </c>
      <c r="AH4">
        <v>2500</v>
      </c>
      <c r="AL4" t="str">
        <f>IF('Match Setup'!E5="Y","Export","Don't Export")</f>
        <v>Export</v>
      </c>
    </row>
    <row r="5" spans="1:38" x14ac:dyDescent="0.25">
      <c r="A5" t="s">
        <v>104</v>
      </c>
      <c r="B5" t="s">
        <v>105</v>
      </c>
      <c r="C5" t="str">
        <f>TYPE</f>
        <v>Premier League</v>
      </c>
      <c r="D5" t="str">
        <f>EVENT</f>
        <v>|Chelsea| |.v| |Leeds United|</v>
      </c>
      <c r="E5" s="69">
        <f>DATE</f>
        <v>44170.833333333336</v>
      </c>
      <c r="F5" t="s">
        <v>172</v>
      </c>
      <c r="G5" t="s">
        <v>101</v>
      </c>
      <c r="H5" t="s">
        <v>127</v>
      </c>
      <c r="I5">
        <v>31</v>
      </c>
      <c r="O5" t="s">
        <v>102</v>
      </c>
      <c r="P5" t="s">
        <v>102</v>
      </c>
      <c r="S5" t="s">
        <v>127</v>
      </c>
      <c r="W5">
        <v>5001</v>
      </c>
      <c r="Y5" t="s">
        <v>103</v>
      </c>
      <c r="Z5" t="s">
        <v>127</v>
      </c>
      <c r="AD5" t="s">
        <v>102</v>
      </c>
      <c r="AE5" s="70" t="s">
        <v>175</v>
      </c>
      <c r="AH5">
        <v>2500</v>
      </c>
      <c r="AL5" t="str">
        <f>IF('Match Setup'!E6="Y","Export","Don't Export")</f>
        <v>Export</v>
      </c>
    </row>
    <row r="6" spans="1:38" x14ac:dyDescent="0.25">
      <c r="A6" t="s">
        <v>104</v>
      </c>
      <c r="B6" t="s">
        <v>105</v>
      </c>
      <c r="C6" t="str">
        <f>TYPE</f>
        <v>Premier League</v>
      </c>
      <c r="D6" t="str">
        <f>EVENT</f>
        <v>|Chelsea| |.v| |Leeds United|</v>
      </c>
      <c r="E6" s="69">
        <f>DATE</f>
        <v>44170.833333333336</v>
      </c>
      <c r="F6" t="s">
        <v>171</v>
      </c>
      <c r="G6" t="s">
        <v>101</v>
      </c>
      <c r="H6" t="s">
        <v>127</v>
      </c>
      <c r="I6">
        <v>29</v>
      </c>
      <c r="O6" t="s">
        <v>102</v>
      </c>
      <c r="P6" t="s">
        <v>102</v>
      </c>
      <c r="S6" t="s">
        <v>127</v>
      </c>
      <c r="W6">
        <v>5002</v>
      </c>
      <c r="Y6" t="s">
        <v>103</v>
      </c>
      <c r="Z6" t="s">
        <v>127</v>
      </c>
      <c r="AD6" t="s">
        <v>102</v>
      </c>
      <c r="AE6" s="70" t="s">
        <v>174</v>
      </c>
      <c r="AH6">
        <v>2500</v>
      </c>
      <c r="AL6" t="str">
        <f>IF('Match Setup'!E7="Y","Export","Don't Export")</f>
        <v>Export</v>
      </c>
    </row>
  </sheetData>
  <autoFilter ref="A1:AL6" xr:uid="{00000000-0009-0000-0000-00000B000000}">
    <filterColumn colId="37">
      <filters>
        <filter val="Export"/>
      </filters>
    </filterColumn>
  </autoFilter>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E139"/>
  <sheetViews>
    <sheetView workbookViewId="0"/>
  </sheetViews>
  <sheetFormatPr defaultRowHeight="15" x14ac:dyDescent="0.25"/>
  <cols>
    <col min="1" max="1" width="10.5703125" bestFit="1" customWidth="1"/>
    <col min="2" max="2" width="8.28515625" bestFit="1" customWidth="1"/>
    <col min="3" max="3" width="15" bestFit="1" customWidth="1"/>
    <col min="4" max="4" width="29.42578125" bestFit="1" customWidth="1"/>
    <col min="5" max="5" width="18.28515625" style="69" bestFit="1" customWidth="1"/>
    <col min="6" max="6" width="39.140625" bestFit="1" customWidth="1"/>
    <col min="7" max="7" width="96.7109375" bestFit="1" customWidth="1"/>
    <col min="8" max="8" width="7.140625" bestFit="1" customWidth="1"/>
    <col min="9" max="9" width="9.85546875" bestFit="1" customWidth="1"/>
    <col min="10" max="10" width="10.42578125" bestFit="1" customWidth="1"/>
    <col min="11" max="11" width="7.85546875" bestFit="1" customWidth="1"/>
    <col min="12" max="12" width="8.42578125" bestFit="1" customWidth="1"/>
    <col min="13" max="13" width="11.28515625" bestFit="1" customWidth="1"/>
    <col min="14" max="14" width="7.5703125" bestFit="1" customWidth="1"/>
    <col min="15" max="15" width="8.42578125" style="142" customWidth="1"/>
    <col min="16" max="16" width="8.5703125" bestFit="1" customWidth="1"/>
    <col min="17" max="17" width="9.42578125" bestFit="1" customWidth="1"/>
    <col min="18" max="18" width="12.140625" bestFit="1" customWidth="1"/>
    <col min="19" max="19" width="11.5703125" bestFit="1" customWidth="1"/>
    <col min="20" max="20" width="7.42578125" bestFit="1" customWidth="1"/>
    <col min="21" max="21" width="9.140625" bestFit="1" customWidth="1"/>
    <col min="22" max="22" width="9.5703125" bestFit="1" customWidth="1"/>
    <col min="23" max="24" width="6.85546875" bestFit="1" customWidth="1"/>
    <col min="25" max="25" width="14.85546875" bestFit="1" customWidth="1"/>
    <col min="26" max="26" width="12.7109375" bestFit="1" customWidth="1"/>
    <col min="27" max="27" width="13.7109375" bestFit="1" customWidth="1"/>
    <col min="28" max="28" width="15.85546875" bestFit="1" customWidth="1"/>
    <col min="29" max="29" width="11.28515625" bestFit="1" customWidth="1"/>
    <col min="30" max="30" width="12.7109375" bestFit="1" customWidth="1"/>
    <col min="31" max="31" width="13.7109375" bestFit="1" customWidth="1"/>
  </cols>
  <sheetData>
    <row r="1" spans="1:31" s="67" customFormat="1" x14ac:dyDescent="0.25">
      <c r="A1" s="67" t="s">
        <v>69</v>
      </c>
      <c r="B1" s="67" t="s">
        <v>70</v>
      </c>
      <c r="C1" s="67" t="s">
        <v>71</v>
      </c>
      <c r="D1" s="67" t="s">
        <v>72</v>
      </c>
      <c r="E1" s="68" t="s">
        <v>73</v>
      </c>
      <c r="F1" s="67" t="s">
        <v>106</v>
      </c>
      <c r="G1" s="67" t="s">
        <v>129</v>
      </c>
      <c r="H1" s="67" t="s">
        <v>78</v>
      </c>
      <c r="I1" s="67" t="s">
        <v>79</v>
      </c>
      <c r="J1" s="67" t="s">
        <v>80</v>
      </c>
      <c r="K1" s="67" t="s">
        <v>84</v>
      </c>
      <c r="L1" s="67" t="s">
        <v>85</v>
      </c>
      <c r="M1" s="67" t="s">
        <v>130</v>
      </c>
      <c r="N1" s="67" t="s">
        <v>131</v>
      </c>
      <c r="O1" s="141" t="s">
        <v>107</v>
      </c>
      <c r="P1" s="67" t="s">
        <v>132</v>
      </c>
      <c r="Q1" s="67" t="s">
        <v>133</v>
      </c>
      <c r="R1" s="67" t="s">
        <v>134</v>
      </c>
      <c r="S1" s="67" t="s">
        <v>135</v>
      </c>
      <c r="T1" s="67" t="s">
        <v>87</v>
      </c>
      <c r="U1" s="67" t="s">
        <v>88</v>
      </c>
      <c r="V1" s="67" t="s">
        <v>92</v>
      </c>
      <c r="W1" s="67" t="s">
        <v>95</v>
      </c>
      <c r="X1" s="67" t="s">
        <v>96</v>
      </c>
      <c r="Y1" s="67" t="s">
        <v>97</v>
      </c>
      <c r="Z1" s="67" t="s">
        <v>98</v>
      </c>
      <c r="AA1" s="67" t="s">
        <v>99</v>
      </c>
      <c r="AB1" s="67" t="s">
        <v>136</v>
      </c>
      <c r="AC1" s="67" t="s">
        <v>137</v>
      </c>
      <c r="AD1" s="67" t="s">
        <v>98</v>
      </c>
      <c r="AE1" s="67" t="s">
        <v>99</v>
      </c>
    </row>
    <row r="2" spans="1:31" x14ac:dyDescent="0.25">
      <c r="A2" t="s">
        <v>104</v>
      </c>
      <c r="B2" t="s">
        <v>105</v>
      </c>
      <c r="C2" t="str">
        <f t="shared" ref="C2:C43" si="0">TYPE</f>
        <v>Premier League</v>
      </c>
      <c r="D2" t="str">
        <f t="shared" ref="D2:D43" si="1">EVENT</f>
        <v>|Chelsea| |.v| |Leeds United|</v>
      </c>
      <c r="E2" s="69">
        <f t="shared" ref="E2:E43" si="2">DATE</f>
        <v>44170.833333333336</v>
      </c>
      <c r="F2" t="s">
        <v>126</v>
      </c>
      <c r="G2" s="73">
        <f>'Shots Selections'!AA7</f>
        <v>0</v>
      </c>
      <c r="H2" t="s">
        <v>101</v>
      </c>
      <c r="I2" t="s">
        <v>127</v>
      </c>
      <c r="K2">
        <v>0.05</v>
      </c>
      <c r="M2">
        <f>IFERROR(IF(O2="","",33333/O2),"")</f>
        <v>5555.5</v>
      </c>
      <c r="N2" t="s">
        <v>150</v>
      </c>
      <c r="O2" s="142">
        <f>IF('Shots Selections'!W7="","1/100",'Shots Selections'!W7)</f>
        <v>6</v>
      </c>
      <c r="V2" t="s">
        <v>103</v>
      </c>
      <c r="AC2" t="str">
        <f>IF(OR(O2="1/100",'Shots Selections'!AB7="No",'Shots Selections'!AC7="No",'Match Setup'!$E$3="N"),"Don't Export","Export")</f>
        <v>Don't Export</v>
      </c>
    </row>
    <row r="3" spans="1:31" x14ac:dyDescent="0.25">
      <c r="A3" t="s">
        <v>104</v>
      </c>
      <c r="B3" t="s">
        <v>105</v>
      </c>
      <c r="C3" t="str">
        <f t="shared" si="0"/>
        <v>Premier League</v>
      </c>
      <c r="D3" t="str">
        <f t="shared" si="1"/>
        <v>|Chelsea| |.v| |Leeds United|</v>
      </c>
      <c r="E3" s="69">
        <f t="shared" si="2"/>
        <v>44170.833333333336</v>
      </c>
      <c r="F3" t="s">
        <v>126</v>
      </c>
      <c r="G3" s="73">
        <f>'Shots Selections'!AA8</f>
        <v>0</v>
      </c>
      <c r="H3" t="s">
        <v>101</v>
      </c>
      <c r="I3" t="s">
        <v>127</v>
      </c>
      <c r="K3">
        <v>0.05</v>
      </c>
      <c r="M3">
        <f t="shared" ref="M3:M66" si="3">IFERROR(IF(O3="","",33333/O3),"")</f>
        <v>505.04545454545456</v>
      </c>
      <c r="N3" t="s">
        <v>150</v>
      </c>
      <c r="O3" s="142">
        <f>IF('Shots Selections'!W8="","1/100",'Shots Selections'!W8)</f>
        <v>66</v>
      </c>
      <c r="V3" t="s">
        <v>103</v>
      </c>
      <c r="AC3" t="str">
        <f>IF(OR(O3="1/100",'Shots Selections'!AB8="No",'Shots Selections'!AC8="No",'Match Setup'!$E$3="N"),"Don't Export","Export")</f>
        <v>Don't Export</v>
      </c>
    </row>
    <row r="4" spans="1:31" x14ac:dyDescent="0.25">
      <c r="A4" t="s">
        <v>104</v>
      </c>
      <c r="B4" t="s">
        <v>105</v>
      </c>
      <c r="C4" t="str">
        <f t="shared" si="0"/>
        <v>Premier League</v>
      </c>
      <c r="D4" t="str">
        <f t="shared" si="1"/>
        <v>|Chelsea| |.v| |Leeds United|</v>
      </c>
      <c r="E4" s="69">
        <f t="shared" si="2"/>
        <v>44170.833333333336</v>
      </c>
      <c r="F4" t="s">
        <v>126</v>
      </c>
      <c r="G4" s="73">
        <f>'Shots Selections'!AA9</f>
        <v>0</v>
      </c>
      <c r="H4" t="s">
        <v>101</v>
      </c>
      <c r="I4" t="s">
        <v>127</v>
      </c>
      <c r="K4">
        <v>0.05</v>
      </c>
      <c r="M4">
        <f t="shared" si="3"/>
        <v>7407.333333333333</v>
      </c>
      <c r="N4" t="s">
        <v>150</v>
      </c>
      <c r="O4" s="142">
        <f>IF('Shots Selections'!W9="","1/100",'Shots Selections'!W9)</f>
        <v>4.5</v>
      </c>
      <c r="V4" t="s">
        <v>103</v>
      </c>
      <c r="AC4" t="str">
        <f>IF(OR(O4="1/100",'Shots Selections'!AB9="No",'Shots Selections'!AC9="No",'Match Setup'!$E$3="N"),"Don't Export","Export")</f>
        <v>Don't Export</v>
      </c>
    </row>
    <row r="5" spans="1:31" x14ac:dyDescent="0.25">
      <c r="A5" t="s">
        <v>104</v>
      </c>
      <c r="B5" t="s">
        <v>105</v>
      </c>
      <c r="C5" t="str">
        <f t="shared" si="0"/>
        <v>Premier League</v>
      </c>
      <c r="D5" t="str">
        <f t="shared" si="1"/>
        <v>|Chelsea| |.v| |Leeds United|</v>
      </c>
      <c r="E5" s="69">
        <f t="shared" si="2"/>
        <v>44170.833333333336</v>
      </c>
      <c r="F5" t="s">
        <v>126</v>
      </c>
      <c r="G5" s="73">
        <f>'Shots Selections'!AA10</f>
        <v>0</v>
      </c>
      <c r="H5" t="s">
        <v>101</v>
      </c>
      <c r="I5" t="s">
        <v>127</v>
      </c>
      <c r="K5">
        <v>0.05</v>
      </c>
      <c r="M5">
        <f t="shared" si="3"/>
        <v>333.33</v>
      </c>
      <c r="N5" t="s">
        <v>150</v>
      </c>
      <c r="O5" s="142">
        <f>IF('Shots Selections'!W10="","1/100",'Shots Selections'!W10)</f>
        <v>100</v>
      </c>
      <c r="V5" t="s">
        <v>103</v>
      </c>
      <c r="AC5" t="str">
        <f>IF(OR(O5="1/100",'Shots Selections'!AB10="No",'Shots Selections'!AC10="No",'Match Setup'!$E$3="N"),"Don't Export","Export")</f>
        <v>Don't Export</v>
      </c>
    </row>
    <row r="6" spans="1:31" x14ac:dyDescent="0.25">
      <c r="A6" t="s">
        <v>104</v>
      </c>
      <c r="B6" t="s">
        <v>105</v>
      </c>
      <c r="C6" t="str">
        <f t="shared" si="0"/>
        <v>Premier League</v>
      </c>
      <c r="D6" t="str">
        <f t="shared" si="1"/>
        <v>|Chelsea| |.v| |Leeds United|</v>
      </c>
      <c r="E6" s="69">
        <f t="shared" si="2"/>
        <v>44170.833333333336</v>
      </c>
      <c r="F6" t="s">
        <v>126</v>
      </c>
      <c r="G6" s="73">
        <f>'Shots Selections'!AA11</f>
        <v>0</v>
      </c>
      <c r="H6" t="s">
        <v>101</v>
      </c>
      <c r="I6" t="s">
        <v>127</v>
      </c>
      <c r="K6">
        <v>0.05</v>
      </c>
      <c r="M6">
        <f t="shared" si="3"/>
        <v>3030.2727272727275</v>
      </c>
      <c r="N6" t="s">
        <v>150</v>
      </c>
      <c r="O6" s="142">
        <f>IF('Shots Selections'!W11="","1/100",'Shots Selections'!W11)</f>
        <v>11</v>
      </c>
      <c r="V6" t="s">
        <v>103</v>
      </c>
      <c r="AC6" t="str">
        <f>IF(OR(O6="1/100",'Shots Selections'!AB11="No",'Shots Selections'!AC11="No",'Match Setup'!$E$3="N"),"Don't Export","Export")</f>
        <v>Don't Export</v>
      </c>
    </row>
    <row r="7" spans="1:31" x14ac:dyDescent="0.25">
      <c r="A7" t="s">
        <v>104</v>
      </c>
      <c r="B7" t="s">
        <v>105</v>
      </c>
      <c r="C7" t="str">
        <f t="shared" si="0"/>
        <v>Premier League</v>
      </c>
      <c r="D7" t="str">
        <f t="shared" si="1"/>
        <v>|Chelsea| |.v| |Leeds United|</v>
      </c>
      <c r="E7" s="69">
        <f t="shared" si="2"/>
        <v>44170.833333333336</v>
      </c>
      <c r="F7" t="s">
        <v>126</v>
      </c>
      <c r="G7" s="73">
        <f>'Shots Selections'!AA12</f>
        <v>0</v>
      </c>
      <c r="H7" t="s">
        <v>101</v>
      </c>
      <c r="I7" t="s">
        <v>127</v>
      </c>
      <c r="K7">
        <v>0.05</v>
      </c>
      <c r="M7">
        <f t="shared" si="3"/>
        <v>133.33199999999999</v>
      </c>
      <c r="N7" t="s">
        <v>150</v>
      </c>
      <c r="O7" s="142">
        <f>IF('Shots Selections'!W12="","1/100",'Shots Selections'!W12)</f>
        <v>250</v>
      </c>
      <c r="V7" t="s">
        <v>103</v>
      </c>
      <c r="AC7" t="str">
        <f>IF(OR(O7="1/100",'Shots Selections'!AB12="No",'Shots Selections'!AC12="No",'Match Setup'!$E$3="N"),"Don't Export","Export")</f>
        <v>Don't Export</v>
      </c>
    </row>
    <row r="8" spans="1:31" x14ac:dyDescent="0.25">
      <c r="A8" t="s">
        <v>104</v>
      </c>
      <c r="B8" t="s">
        <v>105</v>
      </c>
      <c r="C8" t="str">
        <f t="shared" si="0"/>
        <v>Premier League</v>
      </c>
      <c r="D8" t="str">
        <f t="shared" si="1"/>
        <v>|Chelsea| |.v| |Leeds United|</v>
      </c>
      <c r="E8" s="69">
        <f t="shared" si="2"/>
        <v>44170.833333333336</v>
      </c>
      <c r="F8" t="s">
        <v>126</v>
      </c>
      <c r="G8" s="73">
        <f>'Shots Selections'!AA13</f>
        <v>0</v>
      </c>
      <c r="H8" t="s">
        <v>101</v>
      </c>
      <c r="I8" t="s">
        <v>127</v>
      </c>
      <c r="K8">
        <v>0.05</v>
      </c>
      <c r="M8">
        <f t="shared" si="3"/>
        <v>133.33199999999999</v>
      </c>
      <c r="N8" t="s">
        <v>150</v>
      </c>
      <c r="O8" s="142">
        <f>IF('Shots Selections'!W13="","1/100",'Shots Selections'!W13)</f>
        <v>250</v>
      </c>
      <c r="V8" t="s">
        <v>103</v>
      </c>
      <c r="AC8" t="str">
        <f>IF(OR(O8="1/100",'Shots Selections'!AB13="No",'Shots Selections'!AC13="No",'Match Setup'!$E$3="N"),"Don't Export","Export")</f>
        <v>Don't Export</v>
      </c>
    </row>
    <row r="9" spans="1:31" x14ac:dyDescent="0.25">
      <c r="A9" t="s">
        <v>104</v>
      </c>
      <c r="B9" t="s">
        <v>105</v>
      </c>
      <c r="C9" t="str">
        <f t="shared" si="0"/>
        <v>Premier League</v>
      </c>
      <c r="D9" t="str">
        <f t="shared" si="1"/>
        <v>|Chelsea| |.v| |Leeds United|</v>
      </c>
      <c r="E9" s="69">
        <f t="shared" si="2"/>
        <v>44170.833333333336</v>
      </c>
      <c r="F9" t="s">
        <v>126</v>
      </c>
      <c r="G9" s="73">
        <f>'Shots Selections'!AA14</f>
        <v>0</v>
      </c>
      <c r="H9" t="s">
        <v>101</v>
      </c>
      <c r="I9" t="s">
        <v>127</v>
      </c>
      <c r="K9">
        <v>0.05</v>
      </c>
      <c r="M9">
        <f t="shared" si="3"/>
        <v>133.33199999999999</v>
      </c>
      <c r="N9" t="s">
        <v>150</v>
      </c>
      <c r="O9" s="142">
        <f>IF('Shots Selections'!W14="","1/100",'Shots Selections'!W14)</f>
        <v>250</v>
      </c>
      <c r="V9" t="s">
        <v>103</v>
      </c>
      <c r="AC9" t="str">
        <f>IF(OR(O9="1/100",'Shots Selections'!AB14="No",'Shots Selections'!AC14="No",'Match Setup'!$E$3="N"),"Don't Export","Export")</f>
        <v>Don't Export</v>
      </c>
    </row>
    <row r="10" spans="1:31" x14ac:dyDescent="0.25">
      <c r="A10" t="s">
        <v>104</v>
      </c>
      <c r="B10" t="s">
        <v>105</v>
      </c>
      <c r="C10" t="str">
        <f t="shared" si="0"/>
        <v>Premier League</v>
      </c>
      <c r="D10" t="str">
        <f t="shared" si="1"/>
        <v>|Chelsea| |.v| |Leeds United|</v>
      </c>
      <c r="E10" s="69">
        <f t="shared" si="2"/>
        <v>44170.833333333336</v>
      </c>
      <c r="F10" t="s">
        <v>126</v>
      </c>
      <c r="G10" s="73">
        <f>'Shots Selections'!AA15</f>
        <v>0</v>
      </c>
      <c r="H10" t="s">
        <v>101</v>
      </c>
      <c r="I10" t="s">
        <v>127</v>
      </c>
      <c r="K10">
        <v>0.05</v>
      </c>
      <c r="M10">
        <f t="shared" si="3"/>
        <v>1666.65</v>
      </c>
      <c r="N10" t="s">
        <v>150</v>
      </c>
      <c r="O10" s="142">
        <f>IF('Shots Selections'!W15="","1/100",'Shots Selections'!W15)</f>
        <v>20</v>
      </c>
      <c r="V10" t="s">
        <v>103</v>
      </c>
      <c r="AC10" t="str">
        <f>IF(OR(O10="1/100",'Shots Selections'!AB15="No",'Shots Selections'!AC15="No",'Match Setup'!$E$3="N"),"Don't Export","Export")</f>
        <v>Don't Export</v>
      </c>
    </row>
    <row r="11" spans="1:31" x14ac:dyDescent="0.25">
      <c r="A11" t="s">
        <v>104</v>
      </c>
      <c r="B11" t="s">
        <v>105</v>
      </c>
      <c r="C11" t="str">
        <f t="shared" si="0"/>
        <v>Premier League</v>
      </c>
      <c r="D11" t="str">
        <f t="shared" si="1"/>
        <v>|Chelsea| |.v| |Leeds United|</v>
      </c>
      <c r="E11" s="69">
        <f t="shared" si="2"/>
        <v>44170.833333333336</v>
      </c>
      <c r="F11" t="s">
        <v>126</v>
      </c>
      <c r="G11" s="73">
        <f>'Shots Selections'!AA16</f>
        <v>0</v>
      </c>
      <c r="H11" t="s">
        <v>101</v>
      </c>
      <c r="I11" t="s">
        <v>127</v>
      </c>
      <c r="K11">
        <v>0.05</v>
      </c>
      <c r="M11">
        <f t="shared" si="3"/>
        <v>555.54999999999995</v>
      </c>
      <c r="N11" t="s">
        <v>150</v>
      </c>
      <c r="O11" s="142">
        <f>IF('Shots Selections'!W16="","1/100",'Shots Selections'!W16)</f>
        <v>60</v>
      </c>
      <c r="V11" t="s">
        <v>103</v>
      </c>
      <c r="AC11" t="str">
        <f>IF(OR(O11="1/100",'Shots Selections'!AB16="No",'Shots Selections'!AC16="No",'Match Setup'!$E$3="N"),"Don't Export","Export")</f>
        <v>Don't Export</v>
      </c>
    </row>
    <row r="12" spans="1:31" x14ac:dyDescent="0.25">
      <c r="A12" t="s">
        <v>104</v>
      </c>
      <c r="B12" t="s">
        <v>105</v>
      </c>
      <c r="C12" t="str">
        <f t="shared" si="0"/>
        <v>Premier League</v>
      </c>
      <c r="D12" t="str">
        <f t="shared" si="1"/>
        <v>|Chelsea| |.v| |Leeds United|</v>
      </c>
      <c r="E12" s="69">
        <f t="shared" si="2"/>
        <v>44170.833333333336</v>
      </c>
      <c r="F12" t="s">
        <v>126</v>
      </c>
      <c r="G12" s="73">
        <f>'Shots Selections'!AA17</f>
        <v>0</v>
      </c>
      <c r="H12" t="s">
        <v>101</v>
      </c>
      <c r="I12" t="s">
        <v>127</v>
      </c>
      <c r="K12">
        <v>0.05</v>
      </c>
      <c r="M12">
        <f t="shared" si="3"/>
        <v>666.66</v>
      </c>
      <c r="N12" t="s">
        <v>150</v>
      </c>
      <c r="O12" s="142">
        <f>IF('Shots Selections'!W17="","1/100",'Shots Selections'!W17)</f>
        <v>50</v>
      </c>
      <c r="V12" t="s">
        <v>103</v>
      </c>
      <c r="AC12" t="str">
        <f>IF(OR(O12="1/100",'Shots Selections'!AB17="No",'Shots Selections'!AC17="No",'Match Setup'!$E$3="N"),"Don't Export","Export")</f>
        <v>Don't Export</v>
      </c>
    </row>
    <row r="13" spans="1:31" x14ac:dyDescent="0.25">
      <c r="A13" t="s">
        <v>104</v>
      </c>
      <c r="B13" t="s">
        <v>105</v>
      </c>
      <c r="C13" t="str">
        <f t="shared" si="0"/>
        <v>Premier League</v>
      </c>
      <c r="D13" t="str">
        <f t="shared" si="1"/>
        <v>|Chelsea| |.v| |Leeds United|</v>
      </c>
      <c r="E13" s="69">
        <f t="shared" si="2"/>
        <v>44170.833333333336</v>
      </c>
      <c r="F13" t="s">
        <v>126</v>
      </c>
      <c r="G13" s="73">
        <f>'Shots Selections'!AA18</f>
        <v>0</v>
      </c>
      <c r="H13" t="s">
        <v>101</v>
      </c>
      <c r="I13" t="s">
        <v>127</v>
      </c>
      <c r="K13">
        <v>0.05</v>
      </c>
      <c r="M13">
        <f t="shared" si="3"/>
        <v>333.33</v>
      </c>
      <c r="N13" t="s">
        <v>150</v>
      </c>
      <c r="O13" s="142">
        <f>IF('Shots Selections'!W18="","1/100",'Shots Selections'!W18)</f>
        <v>100</v>
      </c>
      <c r="V13" t="s">
        <v>103</v>
      </c>
      <c r="AC13" t="str">
        <f>IF(OR(O13="1/100",'Shots Selections'!AB18="No",'Shots Selections'!AC18="No",'Match Setup'!$E$3="N"),"Don't Export","Export")</f>
        <v>Don't Export</v>
      </c>
    </row>
    <row r="14" spans="1:31" x14ac:dyDescent="0.25">
      <c r="A14" t="s">
        <v>104</v>
      </c>
      <c r="B14" t="s">
        <v>105</v>
      </c>
      <c r="C14" t="str">
        <f t="shared" si="0"/>
        <v>Premier League</v>
      </c>
      <c r="D14" t="str">
        <f t="shared" si="1"/>
        <v>|Chelsea| |.v| |Leeds United|</v>
      </c>
      <c r="E14" s="69">
        <f t="shared" si="2"/>
        <v>44170.833333333336</v>
      </c>
      <c r="F14" t="s">
        <v>126</v>
      </c>
      <c r="G14" s="73">
        <f>'Shots Selections'!AA19</f>
        <v>0</v>
      </c>
      <c r="H14" t="s">
        <v>101</v>
      </c>
      <c r="I14" t="s">
        <v>127</v>
      </c>
      <c r="K14">
        <v>0.05</v>
      </c>
      <c r="M14">
        <f t="shared" si="3"/>
        <v>1851.8333333333333</v>
      </c>
      <c r="N14" t="s">
        <v>150</v>
      </c>
      <c r="O14" s="142">
        <f>IF('Shots Selections'!W19="","1/100",'Shots Selections'!W19)</f>
        <v>18</v>
      </c>
      <c r="V14" t="s">
        <v>103</v>
      </c>
      <c r="AC14" t="str">
        <f>IF(OR(O14="1/100",'Shots Selections'!AB19="No",'Shots Selections'!AC19="No",'Match Setup'!$E$3="N"),"Don't Export","Export")</f>
        <v>Don't Export</v>
      </c>
    </row>
    <row r="15" spans="1:31" x14ac:dyDescent="0.25">
      <c r="A15" t="s">
        <v>104</v>
      </c>
      <c r="B15" t="s">
        <v>105</v>
      </c>
      <c r="C15" t="str">
        <f t="shared" si="0"/>
        <v>Premier League</v>
      </c>
      <c r="D15" t="str">
        <f t="shared" si="1"/>
        <v>|Chelsea| |.v| |Leeds United|</v>
      </c>
      <c r="E15" s="69">
        <f t="shared" si="2"/>
        <v>44170.833333333336</v>
      </c>
      <c r="F15" t="s">
        <v>126</v>
      </c>
      <c r="G15" s="73">
        <f>'Shots Selections'!AA20</f>
        <v>0</v>
      </c>
      <c r="H15" t="s">
        <v>101</v>
      </c>
      <c r="I15" t="s">
        <v>127</v>
      </c>
      <c r="K15">
        <v>0.05</v>
      </c>
      <c r="M15">
        <f t="shared" si="3"/>
        <v>2777.75</v>
      </c>
      <c r="N15" t="s">
        <v>150</v>
      </c>
      <c r="O15" s="142">
        <f>IF('Shots Selections'!W20="","1/100",'Shots Selections'!W20)</f>
        <v>12</v>
      </c>
      <c r="V15" t="s">
        <v>103</v>
      </c>
      <c r="AC15" t="str">
        <f>IF(OR(O15="1/100",'Shots Selections'!AB20="No",'Shots Selections'!AC20="No",'Match Setup'!$E$3="N"),"Don't Export","Export")</f>
        <v>Don't Export</v>
      </c>
    </row>
    <row r="16" spans="1:31" x14ac:dyDescent="0.25">
      <c r="A16" t="s">
        <v>104</v>
      </c>
      <c r="B16" t="s">
        <v>105</v>
      </c>
      <c r="C16" t="str">
        <f t="shared" si="0"/>
        <v>Premier League</v>
      </c>
      <c r="D16" t="str">
        <f t="shared" si="1"/>
        <v>|Chelsea| |.v| |Leeds United|</v>
      </c>
      <c r="E16" s="69">
        <f t="shared" si="2"/>
        <v>44170.833333333336</v>
      </c>
      <c r="F16" t="s">
        <v>126</v>
      </c>
      <c r="G16" s="73">
        <f>'Shots Selections'!AA21</f>
        <v>0</v>
      </c>
      <c r="H16" t="s">
        <v>101</v>
      </c>
      <c r="I16" t="s">
        <v>127</v>
      </c>
      <c r="K16">
        <v>0.05</v>
      </c>
      <c r="M16">
        <f t="shared" si="3"/>
        <v>666.66</v>
      </c>
      <c r="N16" t="s">
        <v>150</v>
      </c>
      <c r="O16" s="142">
        <f>IF('Shots Selections'!W21="","1/100",'Shots Selections'!W21)</f>
        <v>50</v>
      </c>
      <c r="V16" t="s">
        <v>103</v>
      </c>
      <c r="AC16" t="str">
        <f>IF(OR(O16="1/100",'Shots Selections'!AB21="No",'Shots Selections'!AC21="No",'Match Setup'!$E$3="N"),"Don't Export","Export")</f>
        <v>Don't Export</v>
      </c>
    </row>
    <row r="17" spans="1:29" x14ac:dyDescent="0.25">
      <c r="A17" t="s">
        <v>104</v>
      </c>
      <c r="B17" t="s">
        <v>105</v>
      </c>
      <c r="C17" t="str">
        <f t="shared" si="0"/>
        <v>Premier League</v>
      </c>
      <c r="D17" t="str">
        <f t="shared" si="1"/>
        <v>|Chelsea| |.v| |Leeds United|</v>
      </c>
      <c r="E17" s="69">
        <f t="shared" si="2"/>
        <v>44170.833333333336</v>
      </c>
      <c r="F17" t="s">
        <v>126</v>
      </c>
      <c r="G17" s="73">
        <f>'Shots Selections'!AA22</f>
        <v>0</v>
      </c>
      <c r="H17" t="s">
        <v>101</v>
      </c>
      <c r="I17" t="s">
        <v>127</v>
      </c>
      <c r="K17">
        <v>0.05</v>
      </c>
      <c r="M17" t="str">
        <f t="shared" si="3"/>
        <v/>
      </c>
      <c r="N17" t="s">
        <v>150</v>
      </c>
      <c r="O17" s="142" t="str">
        <f>IF('Shots Selections'!W22="","1/100",'Shots Selections'!W22)</f>
        <v>1/100</v>
      </c>
      <c r="V17" t="s">
        <v>103</v>
      </c>
      <c r="AC17" t="str">
        <f>IF(OR(O17="1/100",'Shots Selections'!AB22="No",'Shots Selections'!AC22="No",'Match Setup'!$E$3="N"),"Don't Export","Export")</f>
        <v>Don't Export</v>
      </c>
    </row>
    <row r="18" spans="1:29" x14ac:dyDescent="0.25">
      <c r="A18" t="s">
        <v>104</v>
      </c>
      <c r="B18" t="s">
        <v>105</v>
      </c>
      <c r="C18" t="str">
        <f t="shared" si="0"/>
        <v>Premier League</v>
      </c>
      <c r="D18" t="str">
        <f t="shared" si="1"/>
        <v>|Chelsea| |.v| |Leeds United|</v>
      </c>
      <c r="E18" s="69">
        <f t="shared" si="2"/>
        <v>44170.833333333336</v>
      </c>
      <c r="F18" t="s">
        <v>126</v>
      </c>
      <c r="G18" s="73">
        <f>'Shots Selections'!AA23</f>
        <v>0</v>
      </c>
      <c r="H18" t="s">
        <v>101</v>
      </c>
      <c r="I18" t="s">
        <v>127</v>
      </c>
      <c r="K18">
        <v>0.05</v>
      </c>
      <c r="M18" t="str">
        <f t="shared" si="3"/>
        <v/>
      </c>
      <c r="N18" t="s">
        <v>150</v>
      </c>
      <c r="O18" s="142" t="str">
        <f>IF('Shots Selections'!W23="","1/100",'Shots Selections'!W23)</f>
        <v>1/100</v>
      </c>
      <c r="V18" t="s">
        <v>103</v>
      </c>
      <c r="AC18" t="str">
        <f>IF(OR(O18="1/100",'Shots Selections'!AB23="No",'Shots Selections'!AC23="No",'Match Setup'!$E$3="N"),"Don't Export","Export")</f>
        <v>Don't Export</v>
      </c>
    </row>
    <row r="19" spans="1:29" x14ac:dyDescent="0.25">
      <c r="A19" t="s">
        <v>104</v>
      </c>
      <c r="B19" t="s">
        <v>105</v>
      </c>
      <c r="C19" t="str">
        <f t="shared" si="0"/>
        <v>Premier League</v>
      </c>
      <c r="D19" t="str">
        <f t="shared" si="1"/>
        <v>|Chelsea| |.v| |Leeds United|</v>
      </c>
      <c r="E19" s="69">
        <f t="shared" si="2"/>
        <v>44170.833333333336</v>
      </c>
      <c r="F19" t="s">
        <v>126</v>
      </c>
      <c r="G19" s="73">
        <f>'Shots Selections'!AA24</f>
        <v>0</v>
      </c>
      <c r="H19" t="s">
        <v>101</v>
      </c>
      <c r="I19" t="s">
        <v>127</v>
      </c>
      <c r="K19">
        <v>0.05</v>
      </c>
      <c r="M19" t="str">
        <f t="shared" si="3"/>
        <v/>
      </c>
      <c r="N19" t="s">
        <v>150</v>
      </c>
      <c r="O19" s="142" t="str">
        <f>IF('Shots Selections'!W24="","1/100",'Shots Selections'!W24)</f>
        <v>1/100</v>
      </c>
      <c r="V19" t="s">
        <v>103</v>
      </c>
      <c r="AC19" t="str">
        <f>IF(OR(O19="1/100",'Shots Selections'!AB24="No",'Shots Selections'!AC24="No",'Match Setup'!$E$3="N"),"Don't Export","Export")</f>
        <v>Don't Export</v>
      </c>
    </row>
    <row r="20" spans="1:29" x14ac:dyDescent="0.25">
      <c r="A20" t="s">
        <v>104</v>
      </c>
      <c r="B20" t="s">
        <v>105</v>
      </c>
      <c r="C20" t="str">
        <f t="shared" si="0"/>
        <v>Premier League</v>
      </c>
      <c r="D20" t="str">
        <f t="shared" si="1"/>
        <v>|Chelsea| |.v| |Leeds United|</v>
      </c>
      <c r="E20" s="69">
        <f t="shared" si="2"/>
        <v>44170.833333333336</v>
      </c>
      <c r="F20" t="s">
        <v>126</v>
      </c>
      <c r="G20" s="73">
        <f>'Shots Selections'!AA25</f>
        <v>0</v>
      </c>
      <c r="H20" t="s">
        <v>101</v>
      </c>
      <c r="I20" t="s">
        <v>127</v>
      </c>
      <c r="K20">
        <v>0.05</v>
      </c>
      <c r="M20" t="str">
        <f t="shared" si="3"/>
        <v/>
      </c>
      <c r="N20" t="s">
        <v>150</v>
      </c>
      <c r="O20" s="142" t="str">
        <f>IF('Shots Selections'!W25="","1/100",'Shots Selections'!W25)</f>
        <v>1/100</v>
      </c>
      <c r="V20" t="s">
        <v>103</v>
      </c>
      <c r="AC20" t="str">
        <f>IF(OR(O20="1/100",'Shots Selections'!AB25="No",'Shots Selections'!AC25="No",'Match Setup'!$E$3="N"),"Don't Export","Export")</f>
        <v>Don't Export</v>
      </c>
    </row>
    <row r="21" spans="1:29" x14ac:dyDescent="0.25">
      <c r="A21" t="s">
        <v>104</v>
      </c>
      <c r="B21" t="s">
        <v>105</v>
      </c>
      <c r="C21" t="str">
        <f t="shared" si="0"/>
        <v>Premier League</v>
      </c>
      <c r="D21" t="str">
        <f t="shared" si="1"/>
        <v>|Chelsea| |.v| |Leeds United|</v>
      </c>
      <c r="E21" s="69">
        <f t="shared" si="2"/>
        <v>44170.833333333336</v>
      </c>
      <c r="F21" t="s">
        <v>126</v>
      </c>
      <c r="G21" s="73">
        <f>'Shots Selections'!AA26</f>
        <v>0</v>
      </c>
      <c r="H21" t="s">
        <v>101</v>
      </c>
      <c r="I21" t="s">
        <v>127</v>
      </c>
      <c r="K21">
        <v>0.05</v>
      </c>
      <c r="M21" t="str">
        <f t="shared" si="3"/>
        <v/>
      </c>
      <c r="N21" t="s">
        <v>150</v>
      </c>
      <c r="O21" s="142" t="str">
        <f>IF('Shots Selections'!W26="","1/100",'Shots Selections'!W26)</f>
        <v>1/100</v>
      </c>
      <c r="V21" t="s">
        <v>103</v>
      </c>
      <c r="AC21" t="str">
        <f>IF(OR(O21="1/100",'Shots Selections'!AB26="No",'Shots Selections'!AC26="No",'Match Setup'!$E$3="N"),"Don't Export","Export")</f>
        <v>Don't Export</v>
      </c>
    </row>
    <row r="22" spans="1:29" x14ac:dyDescent="0.25">
      <c r="A22" t="s">
        <v>104</v>
      </c>
      <c r="B22" t="s">
        <v>105</v>
      </c>
      <c r="C22" t="str">
        <f t="shared" si="0"/>
        <v>Premier League</v>
      </c>
      <c r="D22" t="str">
        <f t="shared" si="1"/>
        <v>|Chelsea| |.v| |Leeds United|</v>
      </c>
      <c r="E22" s="69">
        <f t="shared" si="2"/>
        <v>44170.833333333336</v>
      </c>
      <c r="F22" t="s">
        <v>126</v>
      </c>
      <c r="G22" s="73">
        <f>'Shots Selections'!AA27</f>
        <v>0</v>
      </c>
      <c r="H22" t="s">
        <v>101</v>
      </c>
      <c r="I22" t="s">
        <v>127</v>
      </c>
      <c r="K22">
        <v>0.05</v>
      </c>
      <c r="M22" t="str">
        <f t="shared" si="3"/>
        <v/>
      </c>
      <c r="N22" t="s">
        <v>150</v>
      </c>
      <c r="O22" s="142" t="str">
        <f>IF('Shots Selections'!W27="","1/100",'Shots Selections'!W27)</f>
        <v>1/100</v>
      </c>
      <c r="V22" t="s">
        <v>103</v>
      </c>
      <c r="AC22" t="str">
        <f>IF(OR(O22="1/100",'Shots Selections'!AB27="No",'Shots Selections'!AC27="No",'Match Setup'!$E$3="N"),"Don't Export","Export")</f>
        <v>Don't Export</v>
      </c>
    </row>
    <row r="23" spans="1:29" x14ac:dyDescent="0.25">
      <c r="A23" t="s">
        <v>104</v>
      </c>
      <c r="B23" t="s">
        <v>105</v>
      </c>
      <c r="C23" t="str">
        <f t="shared" si="0"/>
        <v>Premier League</v>
      </c>
      <c r="D23" t="str">
        <f t="shared" si="1"/>
        <v>|Chelsea| |.v| |Leeds United|</v>
      </c>
      <c r="E23" s="69">
        <f t="shared" si="2"/>
        <v>44170.833333333336</v>
      </c>
      <c r="F23" t="s">
        <v>126</v>
      </c>
      <c r="G23" s="73">
        <f>'Shots Selections'!AA28</f>
        <v>0</v>
      </c>
      <c r="H23" t="s">
        <v>101</v>
      </c>
      <c r="I23" t="s">
        <v>127</v>
      </c>
      <c r="K23">
        <v>0.05</v>
      </c>
      <c r="M23" t="str">
        <f t="shared" si="3"/>
        <v/>
      </c>
      <c r="N23" t="s">
        <v>150</v>
      </c>
      <c r="O23" s="142" t="str">
        <f>IF('Shots Selections'!W28="","1/100",'Shots Selections'!W28)</f>
        <v>1/100</v>
      </c>
      <c r="V23" t="s">
        <v>103</v>
      </c>
      <c r="AC23" t="str">
        <f>IF(OR(O23="1/100",'Shots Selections'!AB28="No",'Shots Selections'!AC28="No",'Match Setup'!$E$3="N"),"Don't Export","Export")</f>
        <v>Don't Export</v>
      </c>
    </row>
    <row r="24" spans="1:29" x14ac:dyDescent="0.25">
      <c r="A24" t="s">
        <v>104</v>
      </c>
      <c r="B24" t="s">
        <v>105</v>
      </c>
      <c r="C24" t="str">
        <f t="shared" si="0"/>
        <v>Premier League</v>
      </c>
      <c r="D24" t="str">
        <f t="shared" si="1"/>
        <v>|Chelsea| |.v| |Leeds United|</v>
      </c>
      <c r="E24" s="69">
        <f t="shared" si="2"/>
        <v>44170.833333333336</v>
      </c>
      <c r="F24" t="s">
        <v>126</v>
      </c>
      <c r="G24" s="73">
        <f>'Shots Selections'!AA29</f>
        <v>0</v>
      </c>
      <c r="H24" t="s">
        <v>101</v>
      </c>
      <c r="I24" t="s">
        <v>127</v>
      </c>
      <c r="K24">
        <v>0.05</v>
      </c>
      <c r="M24" t="str">
        <f t="shared" si="3"/>
        <v/>
      </c>
      <c r="N24" t="s">
        <v>150</v>
      </c>
      <c r="O24" s="142" t="str">
        <f>IF('Shots Selections'!W29="","1/100",'Shots Selections'!W29)</f>
        <v>1/100</v>
      </c>
      <c r="V24" t="s">
        <v>103</v>
      </c>
      <c r="AC24" t="str">
        <f>IF(OR(O24="1/100",'Shots Selections'!AB29="No",'Shots Selections'!AC29="No",'Match Setup'!$E$3="N"),"Don't Export","Export")</f>
        <v>Don't Export</v>
      </c>
    </row>
    <row r="25" spans="1:29" x14ac:dyDescent="0.25">
      <c r="A25" t="s">
        <v>104</v>
      </c>
      <c r="B25" t="s">
        <v>105</v>
      </c>
      <c r="C25" t="str">
        <f t="shared" si="0"/>
        <v>Premier League</v>
      </c>
      <c r="D25" t="str">
        <f t="shared" si="1"/>
        <v>|Chelsea| |.v| |Leeds United|</v>
      </c>
      <c r="E25" s="69">
        <f t="shared" si="2"/>
        <v>44170.833333333336</v>
      </c>
      <c r="F25" t="s">
        <v>126</v>
      </c>
      <c r="G25" s="73">
        <f>'Shots Selections'!AA30</f>
        <v>0</v>
      </c>
      <c r="H25" t="s">
        <v>101</v>
      </c>
      <c r="I25" t="s">
        <v>127</v>
      </c>
      <c r="K25">
        <v>0.05</v>
      </c>
      <c r="M25" t="str">
        <f t="shared" si="3"/>
        <v/>
      </c>
      <c r="N25" t="s">
        <v>150</v>
      </c>
      <c r="O25" s="142" t="str">
        <f>IF('Shots Selections'!W30="","1/100",'Shots Selections'!W30)</f>
        <v>1/100</v>
      </c>
      <c r="V25" t="s">
        <v>103</v>
      </c>
      <c r="AC25" t="str">
        <f>IF(OR(O25="1/100",'Shots Selections'!AB30="No",'Shots Selections'!AC30="No",'Match Setup'!$E$3="N"),"Don't Export","Export")</f>
        <v>Don't Export</v>
      </c>
    </row>
    <row r="26" spans="1:29" x14ac:dyDescent="0.25">
      <c r="A26" t="s">
        <v>104</v>
      </c>
      <c r="B26" t="s">
        <v>105</v>
      </c>
      <c r="C26" t="str">
        <f t="shared" si="0"/>
        <v>Premier League</v>
      </c>
      <c r="D26" t="str">
        <f t="shared" si="1"/>
        <v>|Chelsea| |.v| |Leeds United|</v>
      </c>
      <c r="E26" s="69">
        <f t="shared" si="2"/>
        <v>44170.833333333336</v>
      </c>
      <c r="F26" t="s">
        <v>126</v>
      </c>
      <c r="G26" s="73">
        <f>'Shots Selections'!AA31</f>
        <v>0</v>
      </c>
      <c r="H26" t="s">
        <v>101</v>
      </c>
      <c r="I26" t="s">
        <v>127</v>
      </c>
      <c r="K26">
        <v>0.05</v>
      </c>
      <c r="M26" t="str">
        <f t="shared" si="3"/>
        <v/>
      </c>
      <c r="N26" t="s">
        <v>150</v>
      </c>
      <c r="O26" s="142" t="str">
        <f>IF('Shots Selections'!W31="","1/100",'Shots Selections'!W31)</f>
        <v>1/100</v>
      </c>
      <c r="V26" t="s">
        <v>103</v>
      </c>
      <c r="AC26" t="str">
        <f>IF(OR(O26="1/100",'Shots Selections'!AB31="No",'Shots Selections'!AC31="No",'Match Setup'!$E$3="N"),"Don't Export","Export")</f>
        <v>Don't Export</v>
      </c>
    </row>
    <row r="27" spans="1:29" x14ac:dyDescent="0.25">
      <c r="A27" t="s">
        <v>104</v>
      </c>
      <c r="B27" t="s">
        <v>105</v>
      </c>
      <c r="C27" t="str">
        <f t="shared" si="0"/>
        <v>Premier League</v>
      </c>
      <c r="D27" t="str">
        <f t="shared" si="1"/>
        <v>|Chelsea| |.v| |Leeds United|</v>
      </c>
      <c r="E27" s="69">
        <f t="shared" si="2"/>
        <v>44170.833333333336</v>
      </c>
      <c r="F27" t="s">
        <v>126</v>
      </c>
      <c r="G27" s="73">
        <f>'Shots Selections'!AA32</f>
        <v>0</v>
      </c>
      <c r="H27" t="s">
        <v>101</v>
      </c>
      <c r="I27" t="s">
        <v>127</v>
      </c>
      <c r="K27">
        <v>0.05</v>
      </c>
      <c r="M27" t="str">
        <f t="shared" si="3"/>
        <v/>
      </c>
      <c r="N27" t="s">
        <v>150</v>
      </c>
      <c r="O27" s="142" t="str">
        <f>IF('Shots Selections'!W32="","1/100",'Shots Selections'!W32)</f>
        <v>1/100</v>
      </c>
      <c r="V27" t="s">
        <v>103</v>
      </c>
      <c r="AC27" t="str">
        <f>IF(OR(O27="1/100",'Shots Selections'!AB32="No",'Shots Selections'!AC32="No",'Match Setup'!$E$3="N"),"Don't Export","Export")</f>
        <v>Don't Export</v>
      </c>
    </row>
    <row r="28" spans="1:29" x14ac:dyDescent="0.25">
      <c r="A28" t="s">
        <v>104</v>
      </c>
      <c r="B28" t="s">
        <v>105</v>
      </c>
      <c r="C28" t="str">
        <f t="shared" si="0"/>
        <v>Premier League</v>
      </c>
      <c r="D28" t="str">
        <f t="shared" si="1"/>
        <v>|Chelsea| |.v| |Leeds United|</v>
      </c>
      <c r="E28" s="69">
        <f t="shared" si="2"/>
        <v>44170.833333333336</v>
      </c>
      <c r="F28" t="s">
        <v>126</v>
      </c>
      <c r="G28" s="73">
        <f>'Shots Selections'!AA33</f>
        <v>0</v>
      </c>
      <c r="H28" t="s">
        <v>101</v>
      </c>
      <c r="I28" t="s">
        <v>127</v>
      </c>
      <c r="K28">
        <v>0.05</v>
      </c>
      <c r="M28" t="str">
        <f t="shared" si="3"/>
        <v/>
      </c>
      <c r="N28" t="s">
        <v>150</v>
      </c>
      <c r="O28" s="142" t="str">
        <f>IF('Shots Selections'!W33="","1/100",'Shots Selections'!W33)</f>
        <v>1/100</v>
      </c>
      <c r="V28" t="s">
        <v>103</v>
      </c>
      <c r="AC28" t="str">
        <f>IF(OR(O28="1/100",'Shots Selections'!AB33="No",'Shots Selections'!AC33="No",'Match Setup'!$E$3="N"),"Don't Export","Export")</f>
        <v>Don't Export</v>
      </c>
    </row>
    <row r="29" spans="1:29" x14ac:dyDescent="0.25">
      <c r="A29" t="s">
        <v>104</v>
      </c>
      <c r="B29" t="s">
        <v>105</v>
      </c>
      <c r="C29" t="str">
        <f t="shared" si="0"/>
        <v>Premier League</v>
      </c>
      <c r="D29" t="str">
        <f t="shared" si="1"/>
        <v>|Chelsea| |.v| |Leeds United|</v>
      </c>
      <c r="E29" s="69">
        <f t="shared" si="2"/>
        <v>44170.833333333336</v>
      </c>
      <c r="F29" t="s">
        <v>126</v>
      </c>
      <c r="G29" s="73">
        <f>'Shots Selections'!AA34</f>
        <v>0</v>
      </c>
      <c r="H29" t="s">
        <v>101</v>
      </c>
      <c r="I29" t="s">
        <v>127</v>
      </c>
      <c r="K29">
        <v>0.05</v>
      </c>
      <c r="M29" t="str">
        <f t="shared" si="3"/>
        <v/>
      </c>
      <c r="N29" t="s">
        <v>150</v>
      </c>
      <c r="O29" s="142" t="str">
        <f>IF('Shots Selections'!W34="","1/100",'Shots Selections'!W34)</f>
        <v>1/100</v>
      </c>
      <c r="V29" t="s">
        <v>103</v>
      </c>
      <c r="AC29" t="str">
        <f>IF(OR(O29="1/100",'Shots Selections'!AB34="No",'Shots Selections'!AC34="No",'Match Setup'!$E$3="N"),"Don't Export","Export")</f>
        <v>Don't Export</v>
      </c>
    </row>
    <row r="30" spans="1:29" x14ac:dyDescent="0.25">
      <c r="A30" t="s">
        <v>104</v>
      </c>
      <c r="B30" t="s">
        <v>105</v>
      </c>
      <c r="C30" t="str">
        <f t="shared" si="0"/>
        <v>Premier League</v>
      </c>
      <c r="D30" t="str">
        <f t="shared" si="1"/>
        <v>|Chelsea| |.v| |Leeds United|</v>
      </c>
      <c r="E30" s="69">
        <f t="shared" si="2"/>
        <v>44170.833333333336</v>
      </c>
      <c r="F30" t="s">
        <v>126</v>
      </c>
      <c r="G30" s="73">
        <f>'Shots Selections'!AA35</f>
        <v>0</v>
      </c>
      <c r="H30" t="s">
        <v>101</v>
      </c>
      <c r="I30" t="s">
        <v>127</v>
      </c>
      <c r="K30">
        <v>0.05</v>
      </c>
      <c r="M30" t="str">
        <f t="shared" si="3"/>
        <v/>
      </c>
      <c r="N30" t="s">
        <v>150</v>
      </c>
      <c r="O30" s="142" t="str">
        <f>IF('Shots Selections'!W35="","1/100",'Shots Selections'!W35)</f>
        <v>1/100</v>
      </c>
      <c r="V30" t="s">
        <v>103</v>
      </c>
      <c r="AC30" t="str">
        <f>IF(OR(O30="1/100",'Shots Selections'!AB35="No",'Shots Selections'!AC35="No",'Match Setup'!$E$3="N"),"Don't Export","Export")</f>
        <v>Don't Export</v>
      </c>
    </row>
    <row r="31" spans="1:29" x14ac:dyDescent="0.25">
      <c r="A31" t="s">
        <v>104</v>
      </c>
      <c r="B31" t="s">
        <v>105</v>
      </c>
      <c r="C31" t="str">
        <f t="shared" si="0"/>
        <v>Premier League</v>
      </c>
      <c r="D31" t="str">
        <f t="shared" si="1"/>
        <v>|Chelsea| |.v| |Leeds United|</v>
      </c>
      <c r="E31" s="69">
        <f t="shared" si="2"/>
        <v>44170.833333333336</v>
      </c>
      <c r="F31" t="s">
        <v>126</v>
      </c>
      <c r="G31" s="73">
        <f>'Shots Selections'!AA36</f>
        <v>0</v>
      </c>
      <c r="H31" t="s">
        <v>101</v>
      </c>
      <c r="I31" t="s">
        <v>127</v>
      </c>
      <c r="K31">
        <v>0.05</v>
      </c>
      <c r="M31" t="str">
        <f t="shared" si="3"/>
        <v/>
      </c>
      <c r="N31" t="s">
        <v>150</v>
      </c>
      <c r="O31" s="142" t="str">
        <f>IF('Shots Selections'!W36="","1/100",'Shots Selections'!W36)</f>
        <v>1/100</v>
      </c>
      <c r="V31" t="s">
        <v>103</v>
      </c>
      <c r="AC31" t="str">
        <f>IF(OR(O31="1/100",'Shots Selections'!AB36="No",'Shots Selections'!AC36="No",'Match Setup'!$E$3="N"),"Don't Export","Export")</f>
        <v>Don't Export</v>
      </c>
    </row>
    <row r="32" spans="1:29" x14ac:dyDescent="0.25">
      <c r="A32" t="s">
        <v>104</v>
      </c>
      <c r="B32" t="s">
        <v>105</v>
      </c>
      <c r="C32" t="str">
        <f t="shared" si="0"/>
        <v>Premier League</v>
      </c>
      <c r="D32" t="str">
        <f t="shared" si="1"/>
        <v>|Chelsea| |.v| |Leeds United|</v>
      </c>
      <c r="E32" s="69">
        <f t="shared" si="2"/>
        <v>44170.833333333336</v>
      </c>
      <c r="F32" t="s">
        <v>126</v>
      </c>
      <c r="G32" s="73">
        <f>'Shots Selections'!AA37</f>
        <v>0</v>
      </c>
      <c r="H32" t="s">
        <v>101</v>
      </c>
      <c r="I32" t="s">
        <v>127</v>
      </c>
      <c r="K32">
        <v>0.05</v>
      </c>
      <c r="M32" t="str">
        <f t="shared" si="3"/>
        <v/>
      </c>
      <c r="N32" t="s">
        <v>150</v>
      </c>
      <c r="O32" s="142" t="str">
        <f>IF('Shots Selections'!W37="","1/100",'Shots Selections'!W37)</f>
        <v>1/100</v>
      </c>
      <c r="V32" t="s">
        <v>103</v>
      </c>
      <c r="AC32" t="str">
        <f>IF(OR(O32="1/100",'Shots Selections'!AB37="No",'Shots Selections'!AC37="No",'Match Setup'!$E$3="N"),"Don't Export","Export")</f>
        <v>Don't Export</v>
      </c>
    </row>
    <row r="33" spans="1:29" x14ac:dyDescent="0.25">
      <c r="A33" t="s">
        <v>104</v>
      </c>
      <c r="B33" t="s">
        <v>105</v>
      </c>
      <c r="C33" t="str">
        <f t="shared" si="0"/>
        <v>Premier League</v>
      </c>
      <c r="D33" t="str">
        <f t="shared" si="1"/>
        <v>|Chelsea| |.v| |Leeds United|</v>
      </c>
      <c r="E33" s="69">
        <f t="shared" si="2"/>
        <v>44170.833333333336</v>
      </c>
      <c r="F33" t="s">
        <v>126</v>
      </c>
      <c r="G33" s="73">
        <f>'Shots Selections'!AA38</f>
        <v>0</v>
      </c>
      <c r="H33" t="s">
        <v>101</v>
      </c>
      <c r="I33" t="s">
        <v>127</v>
      </c>
      <c r="K33">
        <v>0.05</v>
      </c>
      <c r="M33" t="str">
        <f t="shared" si="3"/>
        <v/>
      </c>
      <c r="N33" t="s">
        <v>150</v>
      </c>
      <c r="O33" s="142" t="str">
        <f>IF('Shots Selections'!W38="","1/100",'Shots Selections'!W38)</f>
        <v>1/100</v>
      </c>
      <c r="V33" t="s">
        <v>103</v>
      </c>
      <c r="AC33" t="str">
        <f>IF(OR(O33="1/100",'Shots Selections'!AB38="No",'Shots Selections'!AC38="No",'Match Setup'!$E$3="N"),"Don't Export","Export")</f>
        <v>Don't Export</v>
      </c>
    </row>
    <row r="34" spans="1:29" x14ac:dyDescent="0.25">
      <c r="A34" t="s">
        <v>104</v>
      </c>
      <c r="B34" t="s">
        <v>105</v>
      </c>
      <c r="C34" t="str">
        <f t="shared" si="0"/>
        <v>Premier League</v>
      </c>
      <c r="D34" t="str">
        <f t="shared" si="1"/>
        <v>|Chelsea| |.v| |Leeds United|</v>
      </c>
      <c r="E34" s="69">
        <f t="shared" si="2"/>
        <v>44170.833333333336</v>
      </c>
      <c r="F34" t="s">
        <v>126</v>
      </c>
      <c r="G34" s="73">
        <f>'Shots Selections'!AA39</f>
        <v>0</v>
      </c>
      <c r="H34" t="s">
        <v>101</v>
      </c>
      <c r="I34" t="s">
        <v>127</v>
      </c>
      <c r="K34">
        <v>0.05</v>
      </c>
      <c r="M34" t="str">
        <f t="shared" si="3"/>
        <v/>
      </c>
      <c r="N34" t="s">
        <v>150</v>
      </c>
      <c r="O34" s="142" t="str">
        <f>IF('Shots Selections'!W39="","1/100",'Shots Selections'!W39)</f>
        <v>1/100</v>
      </c>
      <c r="V34" t="s">
        <v>103</v>
      </c>
      <c r="AC34" t="str">
        <f>IF(OR(O34="1/100",'Shots Selections'!AB39="No",'Shots Selections'!AC39="No",'Match Setup'!$E$3="N"),"Don't Export","Export")</f>
        <v>Don't Export</v>
      </c>
    </row>
    <row r="35" spans="1:29" x14ac:dyDescent="0.25">
      <c r="A35" t="s">
        <v>104</v>
      </c>
      <c r="B35" t="s">
        <v>105</v>
      </c>
      <c r="C35" t="str">
        <f t="shared" si="0"/>
        <v>Premier League</v>
      </c>
      <c r="D35" t="str">
        <f t="shared" si="1"/>
        <v>|Chelsea| |.v| |Leeds United|</v>
      </c>
      <c r="E35" s="69">
        <f t="shared" si="2"/>
        <v>44170.833333333336</v>
      </c>
      <c r="F35" t="s">
        <v>126</v>
      </c>
      <c r="G35" s="73">
        <f>'Shots Selections'!AA40</f>
        <v>0</v>
      </c>
      <c r="H35" t="s">
        <v>101</v>
      </c>
      <c r="I35" t="s">
        <v>127</v>
      </c>
      <c r="K35">
        <v>0.05</v>
      </c>
      <c r="M35" t="str">
        <f t="shared" si="3"/>
        <v/>
      </c>
      <c r="N35" t="s">
        <v>150</v>
      </c>
      <c r="O35" s="142" t="str">
        <f>IF('Shots Selections'!W40="","1/100",'Shots Selections'!W40)</f>
        <v>1/100</v>
      </c>
      <c r="V35" t="s">
        <v>103</v>
      </c>
      <c r="AC35" t="str">
        <f>IF(OR(O35="1/100",'Shots Selections'!AB40="No",'Shots Selections'!AC40="No",'Match Setup'!$E$3="N"),"Don't Export","Export")</f>
        <v>Don't Export</v>
      </c>
    </row>
    <row r="36" spans="1:29" x14ac:dyDescent="0.25">
      <c r="A36" t="s">
        <v>104</v>
      </c>
      <c r="B36" t="s">
        <v>105</v>
      </c>
      <c r="C36" t="str">
        <f t="shared" si="0"/>
        <v>Premier League</v>
      </c>
      <c r="D36" t="str">
        <f t="shared" si="1"/>
        <v>|Chelsea| |.v| |Leeds United|</v>
      </c>
      <c r="E36" s="69">
        <f t="shared" si="2"/>
        <v>44170.833333333336</v>
      </c>
      <c r="F36" t="s">
        <v>126</v>
      </c>
      <c r="G36" s="73">
        <f>'Shots Selections'!AA41</f>
        <v>0</v>
      </c>
      <c r="H36" t="s">
        <v>101</v>
      </c>
      <c r="I36" t="s">
        <v>127</v>
      </c>
      <c r="K36">
        <v>0.05</v>
      </c>
      <c r="M36" t="str">
        <f t="shared" si="3"/>
        <v/>
      </c>
      <c r="N36" t="s">
        <v>150</v>
      </c>
      <c r="O36" s="142" t="str">
        <f>IF('Shots Selections'!W41="","1/100",'Shots Selections'!W41)</f>
        <v>1/100</v>
      </c>
      <c r="V36" t="s">
        <v>103</v>
      </c>
      <c r="AC36" t="str">
        <f>IF(OR(O36="1/100",'Shots Selections'!AB41="No",'Shots Selections'!AC41="No",'Match Setup'!$E$3="N"),"Don't Export","Export")</f>
        <v>Don't Export</v>
      </c>
    </row>
    <row r="37" spans="1:29" x14ac:dyDescent="0.25">
      <c r="A37" t="s">
        <v>104</v>
      </c>
      <c r="B37" t="s">
        <v>105</v>
      </c>
      <c r="C37" t="str">
        <f t="shared" si="0"/>
        <v>Premier League</v>
      </c>
      <c r="D37" t="str">
        <f t="shared" si="1"/>
        <v>|Chelsea| |.v| |Leeds United|</v>
      </c>
      <c r="E37" s="69">
        <f t="shared" si="2"/>
        <v>44170.833333333336</v>
      </c>
      <c r="F37" t="s">
        <v>126</v>
      </c>
      <c r="G37" s="73">
        <f>'Shots Selections'!AA42</f>
        <v>0</v>
      </c>
      <c r="H37" t="s">
        <v>101</v>
      </c>
      <c r="I37" t="s">
        <v>127</v>
      </c>
      <c r="K37">
        <v>0.05</v>
      </c>
      <c r="M37" t="str">
        <f t="shared" si="3"/>
        <v/>
      </c>
      <c r="N37" t="s">
        <v>150</v>
      </c>
      <c r="O37" s="142" t="str">
        <f>IF('Shots Selections'!W42="","1/100",'Shots Selections'!W42)</f>
        <v>1/100</v>
      </c>
      <c r="V37" t="s">
        <v>103</v>
      </c>
      <c r="AC37" t="str">
        <f>IF(OR(O37="1/100",'Shots Selections'!AB42="No",'Shots Selections'!AC42="No",'Match Setup'!$E$3="N"),"Don't Export","Export")</f>
        <v>Don't Export</v>
      </c>
    </row>
    <row r="38" spans="1:29" x14ac:dyDescent="0.25">
      <c r="A38" t="s">
        <v>104</v>
      </c>
      <c r="B38" t="s">
        <v>105</v>
      </c>
      <c r="C38" t="str">
        <f t="shared" si="0"/>
        <v>Premier League</v>
      </c>
      <c r="D38" t="str">
        <f t="shared" si="1"/>
        <v>|Chelsea| |.v| |Leeds United|</v>
      </c>
      <c r="E38" s="69">
        <f t="shared" si="2"/>
        <v>44170.833333333336</v>
      </c>
      <c r="F38" t="s">
        <v>126</v>
      </c>
      <c r="G38" s="73">
        <f>'Shots Selections'!AA43</f>
        <v>0</v>
      </c>
      <c r="H38" t="s">
        <v>101</v>
      </c>
      <c r="I38" t="s">
        <v>127</v>
      </c>
      <c r="K38">
        <v>0.05</v>
      </c>
      <c r="M38" t="str">
        <f t="shared" si="3"/>
        <v/>
      </c>
      <c r="N38" t="s">
        <v>150</v>
      </c>
      <c r="O38" s="142" t="str">
        <f>IF('Shots Selections'!W43="","1/100",'Shots Selections'!W43)</f>
        <v>1/100</v>
      </c>
      <c r="V38" t="s">
        <v>103</v>
      </c>
      <c r="AC38" t="str">
        <f>IF(OR(O38="1/100",'Shots Selections'!AB43="No",'Shots Selections'!AC43="No",'Match Setup'!$E$3="N"),"Don't Export","Export")</f>
        <v>Don't Export</v>
      </c>
    </row>
    <row r="39" spans="1:29" x14ac:dyDescent="0.25">
      <c r="A39" t="s">
        <v>104</v>
      </c>
      <c r="B39" t="s">
        <v>105</v>
      </c>
      <c r="C39" t="str">
        <f t="shared" si="0"/>
        <v>Premier League</v>
      </c>
      <c r="D39" t="str">
        <f t="shared" si="1"/>
        <v>|Chelsea| |.v| |Leeds United|</v>
      </c>
      <c r="E39" s="69">
        <f t="shared" si="2"/>
        <v>44170.833333333336</v>
      </c>
      <c r="F39" t="s">
        <v>126</v>
      </c>
      <c r="G39" s="73">
        <f>'Shots Selections'!AA44</f>
        <v>0</v>
      </c>
      <c r="H39" t="s">
        <v>101</v>
      </c>
      <c r="I39" t="s">
        <v>127</v>
      </c>
      <c r="K39">
        <v>0.05</v>
      </c>
      <c r="M39" t="str">
        <f t="shared" si="3"/>
        <v/>
      </c>
      <c r="N39" t="s">
        <v>150</v>
      </c>
      <c r="O39" s="142" t="str">
        <f>IF('Shots Selections'!W44="","1/100",'Shots Selections'!W44)</f>
        <v>1/100</v>
      </c>
      <c r="V39" t="s">
        <v>103</v>
      </c>
      <c r="AC39" t="str">
        <f>IF(OR(O39="1/100",'Shots Selections'!AB44="No",'Shots Selections'!AC44="No",'Match Setup'!$E$3="N"),"Don't Export","Export")</f>
        <v>Don't Export</v>
      </c>
    </row>
    <row r="40" spans="1:29" x14ac:dyDescent="0.25">
      <c r="A40" t="s">
        <v>104</v>
      </c>
      <c r="B40" t="s">
        <v>105</v>
      </c>
      <c r="C40" t="str">
        <f t="shared" si="0"/>
        <v>Premier League</v>
      </c>
      <c r="D40" t="str">
        <f t="shared" si="1"/>
        <v>|Chelsea| |.v| |Leeds United|</v>
      </c>
      <c r="E40" s="69">
        <f t="shared" si="2"/>
        <v>44170.833333333336</v>
      </c>
      <c r="F40" t="s">
        <v>126</v>
      </c>
      <c r="G40" s="73">
        <f>'Shots Selections'!AA45</f>
        <v>0</v>
      </c>
      <c r="H40" t="s">
        <v>101</v>
      </c>
      <c r="I40" t="s">
        <v>127</v>
      </c>
      <c r="K40">
        <v>0.05</v>
      </c>
      <c r="M40" t="str">
        <f t="shared" si="3"/>
        <v/>
      </c>
      <c r="N40" t="s">
        <v>150</v>
      </c>
      <c r="O40" s="142" t="str">
        <f>IF('Shots Selections'!W45="","1/100",'Shots Selections'!W45)</f>
        <v>1/100</v>
      </c>
      <c r="V40" t="s">
        <v>103</v>
      </c>
      <c r="AC40" t="str">
        <f>IF(OR(O40="1/100",'Shots Selections'!AB45="No",'Shots Selections'!AC45="No",'Match Setup'!$E$3="N"),"Don't Export","Export")</f>
        <v>Don't Export</v>
      </c>
    </row>
    <row r="41" spans="1:29" x14ac:dyDescent="0.25">
      <c r="A41" t="s">
        <v>104</v>
      </c>
      <c r="B41" t="s">
        <v>105</v>
      </c>
      <c r="C41" t="str">
        <f t="shared" si="0"/>
        <v>Premier League</v>
      </c>
      <c r="D41" t="str">
        <f t="shared" si="1"/>
        <v>|Chelsea| |.v| |Leeds United|</v>
      </c>
      <c r="E41" s="69">
        <f t="shared" si="2"/>
        <v>44170.833333333336</v>
      </c>
      <c r="F41" t="s">
        <v>126</v>
      </c>
      <c r="G41" s="73">
        <f>'Shots Selections'!AA46</f>
        <v>0</v>
      </c>
      <c r="H41" t="s">
        <v>101</v>
      </c>
      <c r="I41" t="s">
        <v>127</v>
      </c>
      <c r="K41">
        <v>0.05</v>
      </c>
      <c r="M41" t="str">
        <f t="shared" si="3"/>
        <v/>
      </c>
      <c r="N41" t="s">
        <v>150</v>
      </c>
      <c r="O41" s="142" t="str">
        <f>IF('Shots Selections'!W46="","1/100",'Shots Selections'!W46)</f>
        <v>1/100</v>
      </c>
      <c r="V41" t="s">
        <v>103</v>
      </c>
      <c r="AC41" t="str">
        <f>IF(OR(O41="1/100",'Shots Selections'!AB46="No",'Shots Selections'!AC46="No",'Match Setup'!$E$4="N"),"Don't Export","Export")</f>
        <v>Don't Export</v>
      </c>
    </row>
    <row r="42" spans="1:29" x14ac:dyDescent="0.25">
      <c r="A42" t="s">
        <v>104</v>
      </c>
      <c r="B42" t="s">
        <v>105</v>
      </c>
      <c r="C42" t="str">
        <f t="shared" si="0"/>
        <v>Premier League</v>
      </c>
      <c r="D42" t="str">
        <f t="shared" si="1"/>
        <v>|Chelsea| |.v| |Leeds United|</v>
      </c>
      <c r="E42" s="69">
        <f t="shared" si="2"/>
        <v>44170.833333333336</v>
      </c>
      <c r="F42" t="s">
        <v>128</v>
      </c>
      <c r="G42" s="73">
        <f>'Tackles Selections'!AA7</f>
        <v>0</v>
      </c>
      <c r="H42" t="s">
        <v>101</v>
      </c>
      <c r="I42" t="s">
        <v>127</v>
      </c>
      <c r="K42">
        <v>0.05</v>
      </c>
      <c r="M42">
        <f t="shared" si="3"/>
        <v>1851.8333333333333</v>
      </c>
      <c r="N42" t="s">
        <v>150</v>
      </c>
      <c r="O42" s="142">
        <f>IF('Tackles Selections'!W7="","1/100",'Tackles Selections'!W7)</f>
        <v>18</v>
      </c>
      <c r="V42" t="s">
        <v>103</v>
      </c>
      <c r="AC42" t="str">
        <f>IF(OR(O42="1/100",'Shots Selections'!AB47="No",'Shots Selections'!AC47="No",'Match Setup'!$E$4="N"),"Don't Export","Export")</f>
        <v>Export</v>
      </c>
    </row>
    <row r="43" spans="1:29" x14ac:dyDescent="0.25">
      <c r="A43" t="s">
        <v>104</v>
      </c>
      <c r="B43" t="s">
        <v>105</v>
      </c>
      <c r="C43" t="str">
        <f t="shared" si="0"/>
        <v>Premier League</v>
      </c>
      <c r="D43" t="str">
        <f t="shared" si="1"/>
        <v>|Chelsea| |.v| |Leeds United|</v>
      </c>
      <c r="E43" s="69">
        <f t="shared" si="2"/>
        <v>44170.833333333336</v>
      </c>
      <c r="F43" t="s">
        <v>128</v>
      </c>
      <c r="G43" s="73">
        <f>'Tackles Selections'!AA8</f>
        <v>0</v>
      </c>
      <c r="H43" t="s">
        <v>101</v>
      </c>
      <c r="I43" t="s">
        <v>127</v>
      </c>
      <c r="K43">
        <v>0.05</v>
      </c>
      <c r="M43">
        <f t="shared" si="3"/>
        <v>4761.8571428571431</v>
      </c>
      <c r="N43" t="s">
        <v>150</v>
      </c>
      <c r="O43" s="142">
        <f>IF('Tackles Selections'!W8="","1/100",'Tackles Selections'!W8)</f>
        <v>7</v>
      </c>
      <c r="V43" t="s">
        <v>103</v>
      </c>
      <c r="AC43" t="str">
        <f>IF(OR(O43="1/100",'Shots Selections'!AB48="No",'Shots Selections'!AC48="No",'Match Setup'!$E$4="N"),"Don't Export","Export")</f>
        <v>Export</v>
      </c>
    </row>
    <row r="44" spans="1:29" x14ac:dyDescent="0.25">
      <c r="A44" t="s">
        <v>104</v>
      </c>
      <c r="B44" t="s">
        <v>105</v>
      </c>
      <c r="C44" t="str">
        <f t="shared" ref="C44:C97" si="4">TYPE</f>
        <v>Premier League</v>
      </c>
      <c r="D44" t="str">
        <f t="shared" ref="D44:D97" si="5">EVENT</f>
        <v>|Chelsea| |.v| |Leeds United|</v>
      </c>
      <c r="E44" s="69">
        <f t="shared" ref="E44:E97" si="6">DATE</f>
        <v>44170.833333333336</v>
      </c>
      <c r="F44" t="s">
        <v>128</v>
      </c>
      <c r="G44" s="73">
        <f>'Tackles Selections'!AA9</f>
        <v>0</v>
      </c>
      <c r="H44" t="s">
        <v>101</v>
      </c>
      <c r="I44" t="s">
        <v>127</v>
      </c>
      <c r="K44">
        <v>0.05</v>
      </c>
      <c r="M44">
        <f t="shared" si="3"/>
        <v>1851.8333333333333</v>
      </c>
      <c r="N44" t="s">
        <v>150</v>
      </c>
      <c r="O44" s="142">
        <f>IF('Tackles Selections'!W9="","1/100",'Tackles Selections'!W9)</f>
        <v>18</v>
      </c>
      <c r="V44" t="s">
        <v>103</v>
      </c>
      <c r="AC44" t="str">
        <f>IF(OR(O44="1/100",'Shots Selections'!AB49="No",'Shots Selections'!AC49="No",'Match Setup'!$E$4="N"),"Don't Export","Export")</f>
        <v>Export</v>
      </c>
    </row>
    <row r="45" spans="1:29" x14ac:dyDescent="0.25">
      <c r="A45" t="s">
        <v>104</v>
      </c>
      <c r="B45" t="s">
        <v>105</v>
      </c>
      <c r="C45" t="str">
        <f t="shared" si="4"/>
        <v>Premier League</v>
      </c>
      <c r="D45" t="str">
        <f t="shared" si="5"/>
        <v>|Chelsea| |.v| |Leeds United|</v>
      </c>
      <c r="E45" s="69">
        <f t="shared" si="6"/>
        <v>44170.833333333336</v>
      </c>
      <c r="F45" t="s">
        <v>128</v>
      </c>
      <c r="G45" s="73">
        <f>'Tackles Selections'!AA10</f>
        <v>0</v>
      </c>
      <c r="H45" t="s">
        <v>101</v>
      </c>
      <c r="I45" t="s">
        <v>127</v>
      </c>
      <c r="K45">
        <v>0.05</v>
      </c>
      <c r="M45">
        <f t="shared" si="3"/>
        <v>8333.25</v>
      </c>
      <c r="N45" t="s">
        <v>150</v>
      </c>
      <c r="O45" s="142">
        <f>IF('Tackles Selections'!W10="","1/100",'Tackles Selections'!W10)</f>
        <v>4</v>
      </c>
      <c r="V45" t="s">
        <v>103</v>
      </c>
      <c r="AC45" t="str">
        <f>IF(OR(O45="1/100",'Shots Selections'!AB50="No",'Shots Selections'!AC50="No",'Match Setup'!$E$4="N"),"Don't Export","Export")</f>
        <v>Export</v>
      </c>
    </row>
    <row r="46" spans="1:29" x14ac:dyDescent="0.25">
      <c r="A46" t="s">
        <v>104</v>
      </c>
      <c r="B46" t="s">
        <v>105</v>
      </c>
      <c r="C46" t="str">
        <f t="shared" si="4"/>
        <v>Premier League</v>
      </c>
      <c r="D46" t="str">
        <f t="shared" si="5"/>
        <v>|Chelsea| |.v| |Leeds United|</v>
      </c>
      <c r="E46" s="69">
        <f t="shared" si="6"/>
        <v>44170.833333333336</v>
      </c>
      <c r="F46" t="s">
        <v>128</v>
      </c>
      <c r="G46" s="73">
        <f>'Tackles Selections'!AA11</f>
        <v>0</v>
      </c>
      <c r="H46" t="s">
        <v>101</v>
      </c>
      <c r="I46" t="s">
        <v>127</v>
      </c>
      <c r="K46">
        <v>0.05</v>
      </c>
      <c r="M46">
        <f t="shared" si="3"/>
        <v>133.33199999999999</v>
      </c>
      <c r="N46" t="s">
        <v>150</v>
      </c>
      <c r="O46" s="142">
        <f>IF('Tackles Selections'!W11="","1/100",'Tackles Selections'!W11)</f>
        <v>250</v>
      </c>
      <c r="V46" t="s">
        <v>103</v>
      </c>
      <c r="AC46" t="str">
        <f>IF(OR(O46="1/100",'Shots Selections'!AB51="No",'Shots Selections'!AC51="No",'Match Setup'!$E$4="N"),"Don't Export","Export")</f>
        <v>Export</v>
      </c>
    </row>
    <row r="47" spans="1:29" x14ac:dyDescent="0.25">
      <c r="A47" t="s">
        <v>104</v>
      </c>
      <c r="B47" t="s">
        <v>105</v>
      </c>
      <c r="C47" t="str">
        <f t="shared" si="4"/>
        <v>Premier League</v>
      </c>
      <c r="D47" t="str">
        <f t="shared" si="5"/>
        <v>|Chelsea| |.v| |Leeds United|</v>
      </c>
      <c r="E47" s="69">
        <f t="shared" si="6"/>
        <v>44170.833333333336</v>
      </c>
      <c r="F47" t="s">
        <v>128</v>
      </c>
      <c r="G47" s="73">
        <f>'Tackles Selections'!AA12</f>
        <v>0</v>
      </c>
      <c r="H47" t="s">
        <v>101</v>
      </c>
      <c r="I47" t="s">
        <v>127</v>
      </c>
      <c r="K47">
        <v>0.05</v>
      </c>
      <c r="M47">
        <f t="shared" si="3"/>
        <v>1515.1363636363637</v>
      </c>
      <c r="N47" t="s">
        <v>150</v>
      </c>
      <c r="O47" s="142">
        <f>IF('Tackles Selections'!W12="","1/100",'Tackles Selections'!W12)</f>
        <v>22</v>
      </c>
      <c r="V47" t="s">
        <v>103</v>
      </c>
      <c r="AC47" t="str">
        <f>IF(OR(O47="1/100",'Shots Selections'!AB52="No",'Shots Selections'!AC52="No",'Match Setup'!$E$4="N"),"Don't Export","Export")</f>
        <v>Export</v>
      </c>
    </row>
    <row r="48" spans="1:29" x14ac:dyDescent="0.25">
      <c r="A48" t="s">
        <v>104</v>
      </c>
      <c r="B48" t="s">
        <v>105</v>
      </c>
      <c r="C48" t="str">
        <f t="shared" si="4"/>
        <v>Premier League</v>
      </c>
      <c r="D48" t="str">
        <f t="shared" si="5"/>
        <v>|Chelsea| |.v| |Leeds United|</v>
      </c>
      <c r="E48" s="69">
        <f t="shared" si="6"/>
        <v>44170.833333333336</v>
      </c>
      <c r="F48" t="s">
        <v>128</v>
      </c>
      <c r="G48" s="73">
        <f>'Tackles Selections'!AA13</f>
        <v>0</v>
      </c>
      <c r="H48" t="s">
        <v>101</v>
      </c>
      <c r="I48" t="s">
        <v>127</v>
      </c>
      <c r="K48">
        <v>0.05</v>
      </c>
      <c r="M48">
        <f t="shared" si="3"/>
        <v>3703.6666666666665</v>
      </c>
      <c r="N48" t="s">
        <v>150</v>
      </c>
      <c r="O48" s="142">
        <f>IF('Tackles Selections'!W13="","1/100",'Tackles Selections'!W13)</f>
        <v>9</v>
      </c>
      <c r="V48" t="s">
        <v>103</v>
      </c>
      <c r="AC48" t="str">
        <f>IF(OR(O48="1/100",'Shots Selections'!AB53="No",'Shots Selections'!AC53="No",'Match Setup'!$E$4="N"),"Don't Export","Export")</f>
        <v>Export</v>
      </c>
    </row>
    <row r="49" spans="1:29" x14ac:dyDescent="0.25">
      <c r="A49" t="s">
        <v>104</v>
      </c>
      <c r="B49" t="s">
        <v>105</v>
      </c>
      <c r="C49" t="str">
        <f t="shared" si="4"/>
        <v>Premier League</v>
      </c>
      <c r="D49" t="str">
        <f t="shared" si="5"/>
        <v>|Chelsea| |.v| |Leeds United|</v>
      </c>
      <c r="E49" s="69">
        <f t="shared" si="6"/>
        <v>44170.833333333336</v>
      </c>
      <c r="F49" t="s">
        <v>128</v>
      </c>
      <c r="G49" s="73">
        <f>'Tackles Selections'!AA14</f>
        <v>0</v>
      </c>
      <c r="H49" t="s">
        <v>101</v>
      </c>
      <c r="I49" t="s">
        <v>127</v>
      </c>
      <c r="K49">
        <v>0.05</v>
      </c>
      <c r="M49">
        <f t="shared" si="3"/>
        <v>333.33</v>
      </c>
      <c r="N49" t="s">
        <v>150</v>
      </c>
      <c r="O49" s="142">
        <f>IF('Tackles Selections'!W14="","1/100",'Tackles Selections'!W14)</f>
        <v>100</v>
      </c>
      <c r="V49" t="s">
        <v>103</v>
      </c>
      <c r="AC49" t="str">
        <f>IF(OR(O49="1/100",'Shots Selections'!AB54="No",'Shots Selections'!AC54="No",'Match Setup'!$E$4="N"),"Don't Export","Export")</f>
        <v>Export</v>
      </c>
    </row>
    <row r="50" spans="1:29" x14ac:dyDescent="0.25">
      <c r="A50" t="s">
        <v>104</v>
      </c>
      <c r="B50" t="s">
        <v>105</v>
      </c>
      <c r="C50" t="str">
        <f t="shared" si="4"/>
        <v>Premier League</v>
      </c>
      <c r="D50" t="str">
        <f t="shared" si="5"/>
        <v>|Chelsea| |.v| |Leeds United|</v>
      </c>
      <c r="E50" s="69">
        <f t="shared" si="6"/>
        <v>44170.833333333336</v>
      </c>
      <c r="F50" t="s">
        <v>128</v>
      </c>
      <c r="G50" s="73">
        <f>'Tackles Selections'!AA15</f>
        <v>0</v>
      </c>
      <c r="H50" t="s">
        <v>101</v>
      </c>
      <c r="I50" t="s">
        <v>127</v>
      </c>
      <c r="K50">
        <v>0.05</v>
      </c>
      <c r="M50">
        <f t="shared" si="3"/>
        <v>555.54999999999995</v>
      </c>
      <c r="N50" t="s">
        <v>150</v>
      </c>
      <c r="O50" s="142">
        <f>IF('Tackles Selections'!W15="","1/100",'Tackles Selections'!W15)</f>
        <v>60</v>
      </c>
      <c r="V50" t="s">
        <v>103</v>
      </c>
      <c r="AC50" t="str">
        <f>IF(OR(O50="1/100",'Shots Selections'!AB55="No",'Shots Selections'!AC55="No",'Match Setup'!$E$4="N"),"Don't Export","Export")</f>
        <v>Export</v>
      </c>
    </row>
    <row r="51" spans="1:29" x14ac:dyDescent="0.25">
      <c r="A51" t="s">
        <v>104</v>
      </c>
      <c r="B51" t="s">
        <v>105</v>
      </c>
      <c r="C51" t="str">
        <f t="shared" si="4"/>
        <v>Premier League</v>
      </c>
      <c r="D51" t="str">
        <f t="shared" si="5"/>
        <v>|Chelsea| |.v| |Leeds United|</v>
      </c>
      <c r="E51" s="69">
        <f t="shared" si="6"/>
        <v>44170.833333333336</v>
      </c>
      <c r="F51" t="s">
        <v>128</v>
      </c>
      <c r="G51" s="73">
        <f>'Tackles Selections'!AA16</f>
        <v>0</v>
      </c>
      <c r="H51" t="s">
        <v>101</v>
      </c>
      <c r="I51" t="s">
        <v>127</v>
      </c>
      <c r="K51">
        <v>0.05</v>
      </c>
      <c r="M51">
        <f t="shared" si="3"/>
        <v>66.665999999999997</v>
      </c>
      <c r="N51" t="s">
        <v>150</v>
      </c>
      <c r="O51" s="142">
        <f>IF('Tackles Selections'!W16="","1/100",'Tackles Selections'!W16)</f>
        <v>500</v>
      </c>
      <c r="V51" t="s">
        <v>103</v>
      </c>
      <c r="AC51" t="str">
        <f>IF(OR(O51="1/100",'Shots Selections'!AB56="No",'Shots Selections'!AC56="No",'Match Setup'!$E$4="N"),"Don't Export","Export")</f>
        <v>Export</v>
      </c>
    </row>
    <row r="52" spans="1:29" x14ac:dyDescent="0.25">
      <c r="A52" t="s">
        <v>104</v>
      </c>
      <c r="B52" t="s">
        <v>105</v>
      </c>
      <c r="C52" t="str">
        <f t="shared" si="4"/>
        <v>Premier League</v>
      </c>
      <c r="D52" t="str">
        <f t="shared" si="5"/>
        <v>|Chelsea| |.v| |Leeds United|</v>
      </c>
      <c r="E52" s="69">
        <f t="shared" si="6"/>
        <v>44170.833333333336</v>
      </c>
      <c r="F52" t="s">
        <v>128</v>
      </c>
      <c r="G52" s="73">
        <f>'Tackles Selections'!AA17</f>
        <v>0</v>
      </c>
      <c r="H52" t="s">
        <v>101</v>
      </c>
      <c r="I52" t="s">
        <v>127</v>
      </c>
      <c r="K52">
        <v>0.05</v>
      </c>
      <c r="M52">
        <f t="shared" si="3"/>
        <v>666.66</v>
      </c>
      <c r="N52" t="s">
        <v>150</v>
      </c>
      <c r="O52" s="142">
        <f>IF('Tackles Selections'!W17="","1/100",'Tackles Selections'!W17)</f>
        <v>50</v>
      </c>
      <c r="V52" t="s">
        <v>103</v>
      </c>
      <c r="AC52" t="str">
        <f>IF(OR(O52="1/100",'Shots Selections'!AB57="No",'Shots Selections'!AC57="No",'Match Setup'!$E$4="N"),"Don't Export","Export")</f>
        <v>Export</v>
      </c>
    </row>
    <row r="53" spans="1:29" x14ac:dyDescent="0.25">
      <c r="A53" t="s">
        <v>104</v>
      </c>
      <c r="B53" t="s">
        <v>105</v>
      </c>
      <c r="C53" t="str">
        <f t="shared" si="4"/>
        <v>Premier League</v>
      </c>
      <c r="D53" t="str">
        <f t="shared" si="5"/>
        <v>|Chelsea| |.v| |Leeds United|</v>
      </c>
      <c r="E53" s="69">
        <f t="shared" si="6"/>
        <v>44170.833333333336</v>
      </c>
      <c r="F53" t="s">
        <v>128</v>
      </c>
      <c r="G53" s="73">
        <f>'Tackles Selections'!AA18</f>
        <v>0</v>
      </c>
      <c r="H53" t="s">
        <v>101</v>
      </c>
      <c r="I53" t="s">
        <v>127</v>
      </c>
      <c r="K53">
        <v>0.05</v>
      </c>
      <c r="M53">
        <f t="shared" si="3"/>
        <v>133.33199999999999</v>
      </c>
      <c r="N53" t="s">
        <v>150</v>
      </c>
      <c r="O53" s="142">
        <f>IF('Tackles Selections'!W18="","1/100",'Tackles Selections'!W18)</f>
        <v>250</v>
      </c>
      <c r="V53" t="s">
        <v>103</v>
      </c>
      <c r="AC53" t="str">
        <f>IF(OR(O53="1/100",'Shots Selections'!AB58="No",'Shots Selections'!AC58="No",'Match Setup'!$E$4="N"),"Don't Export","Export")</f>
        <v>Export</v>
      </c>
    </row>
    <row r="54" spans="1:29" x14ac:dyDescent="0.25">
      <c r="A54" t="s">
        <v>104</v>
      </c>
      <c r="B54" t="s">
        <v>105</v>
      </c>
      <c r="C54" t="str">
        <f t="shared" si="4"/>
        <v>Premier League</v>
      </c>
      <c r="D54" t="str">
        <f t="shared" si="5"/>
        <v>|Chelsea| |.v| |Leeds United|</v>
      </c>
      <c r="E54" s="69">
        <f t="shared" si="6"/>
        <v>44170.833333333336</v>
      </c>
      <c r="F54" t="s">
        <v>128</v>
      </c>
      <c r="G54" s="73">
        <f>'Tackles Selections'!AA19</f>
        <v>0</v>
      </c>
      <c r="H54" t="s">
        <v>101</v>
      </c>
      <c r="I54" t="s">
        <v>127</v>
      </c>
      <c r="K54">
        <v>0.05</v>
      </c>
      <c r="M54">
        <f t="shared" si="3"/>
        <v>5555.5</v>
      </c>
      <c r="N54" t="s">
        <v>150</v>
      </c>
      <c r="O54" s="142">
        <f>IF('Tackles Selections'!W19="","1/100",'Tackles Selections'!W19)</f>
        <v>6</v>
      </c>
      <c r="V54" t="s">
        <v>103</v>
      </c>
      <c r="AC54" t="str">
        <f>IF(OR(O54="1/100",'Shots Selections'!AB59="No",'Shots Selections'!AC59="No",'Match Setup'!$E$4="N"),"Don't Export","Export")</f>
        <v>Export</v>
      </c>
    </row>
    <row r="55" spans="1:29" x14ac:dyDescent="0.25">
      <c r="A55" t="s">
        <v>104</v>
      </c>
      <c r="B55" t="s">
        <v>105</v>
      </c>
      <c r="C55" t="str">
        <f t="shared" si="4"/>
        <v>Premier League</v>
      </c>
      <c r="D55" t="str">
        <f t="shared" si="5"/>
        <v>|Chelsea| |.v| |Leeds United|</v>
      </c>
      <c r="E55" s="69">
        <f t="shared" si="6"/>
        <v>44170.833333333336</v>
      </c>
      <c r="F55" t="s">
        <v>128</v>
      </c>
      <c r="G55" s="73">
        <f>'Tackles Selections'!AA20</f>
        <v>0</v>
      </c>
      <c r="H55" t="s">
        <v>101</v>
      </c>
      <c r="I55" t="s">
        <v>127</v>
      </c>
      <c r="K55">
        <v>0.05</v>
      </c>
      <c r="M55">
        <f t="shared" si="3"/>
        <v>416.66250000000002</v>
      </c>
      <c r="N55" t="s">
        <v>150</v>
      </c>
      <c r="O55" s="142">
        <f>IF('Tackles Selections'!W20="","1/100",'Tackles Selections'!W20)</f>
        <v>80</v>
      </c>
      <c r="V55" t="s">
        <v>103</v>
      </c>
      <c r="AC55" t="str">
        <f>IF(OR(O55="1/100",'Shots Selections'!AB60="No",'Shots Selections'!AC60="No",'Match Setup'!$E$4="N"),"Don't Export","Export")</f>
        <v>Export</v>
      </c>
    </row>
    <row r="56" spans="1:29" x14ac:dyDescent="0.25">
      <c r="A56" t="s">
        <v>104</v>
      </c>
      <c r="B56" t="s">
        <v>105</v>
      </c>
      <c r="C56" t="str">
        <f t="shared" si="4"/>
        <v>Premier League</v>
      </c>
      <c r="D56" t="str">
        <f t="shared" si="5"/>
        <v>|Chelsea| |.v| |Leeds United|</v>
      </c>
      <c r="E56" s="69">
        <f t="shared" si="6"/>
        <v>44170.833333333336</v>
      </c>
      <c r="F56" t="s">
        <v>128</v>
      </c>
      <c r="G56" s="73">
        <f>'Tackles Selections'!AA21</f>
        <v>0</v>
      </c>
      <c r="H56" t="s">
        <v>101</v>
      </c>
      <c r="I56" t="s">
        <v>127</v>
      </c>
      <c r="K56">
        <v>0.05</v>
      </c>
      <c r="M56">
        <f t="shared" si="3"/>
        <v>66.665999999999997</v>
      </c>
      <c r="N56" t="s">
        <v>150</v>
      </c>
      <c r="O56" s="142">
        <f>IF('Tackles Selections'!W21="","1/100",'Tackles Selections'!W21)</f>
        <v>500</v>
      </c>
      <c r="V56" t="s">
        <v>103</v>
      </c>
      <c r="AC56" t="str">
        <f>IF(OR(O56="1/100",'Shots Selections'!AB61="No",'Shots Selections'!AC61="No",'Match Setup'!$E$4="N"),"Don't Export","Export")</f>
        <v>Export</v>
      </c>
    </row>
    <row r="57" spans="1:29" x14ac:dyDescent="0.25">
      <c r="A57" t="s">
        <v>104</v>
      </c>
      <c r="B57" t="s">
        <v>105</v>
      </c>
      <c r="C57" t="str">
        <f t="shared" si="4"/>
        <v>Premier League</v>
      </c>
      <c r="D57" t="str">
        <f t="shared" si="5"/>
        <v>|Chelsea| |.v| |Leeds United|</v>
      </c>
      <c r="E57" s="69">
        <f t="shared" si="6"/>
        <v>44170.833333333336</v>
      </c>
      <c r="F57" t="s">
        <v>128</v>
      </c>
      <c r="G57" s="73">
        <f>'Tackles Selections'!AA22</f>
        <v>0</v>
      </c>
      <c r="H57" t="s">
        <v>101</v>
      </c>
      <c r="I57" t="s">
        <v>127</v>
      </c>
      <c r="K57">
        <v>0.05</v>
      </c>
      <c r="M57" t="str">
        <f t="shared" si="3"/>
        <v/>
      </c>
      <c r="N57" t="s">
        <v>150</v>
      </c>
      <c r="O57" s="142" t="str">
        <f>IF('Tackles Selections'!W22="","1/100",'Tackles Selections'!W22)</f>
        <v>1/100</v>
      </c>
      <c r="V57" t="s">
        <v>103</v>
      </c>
      <c r="AC57" t="str">
        <f>IF(OR(O57="1/100",'Shots Selections'!AB62="No",'Shots Selections'!AC62="No",'Match Setup'!$E$4="N"),"Don't Export","Export")</f>
        <v>Don't Export</v>
      </c>
    </row>
    <row r="58" spans="1:29" x14ac:dyDescent="0.25">
      <c r="A58" t="s">
        <v>104</v>
      </c>
      <c r="B58" t="s">
        <v>105</v>
      </c>
      <c r="C58" t="str">
        <f t="shared" si="4"/>
        <v>Premier League</v>
      </c>
      <c r="D58" t="str">
        <f t="shared" si="5"/>
        <v>|Chelsea| |.v| |Leeds United|</v>
      </c>
      <c r="E58" s="69">
        <f t="shared" si="6"/>
        <v>44170.833333333336</v>
      </c>
      <c r="F58" t="s">
        <v>128</v>
      </c>
      <c r="G58" s="73">
        <f>'Tackles Selections'!AA23</f>
        <v>0</v>
      </c>
      <c r="H58" t="s">
        <v>101</v>
      </c>
      <c r="I58" t="s">
        <v>127</v>
      </c>
      <c r="K58">
        <v>0.05</v>
      </c>
      <c r="M58" t="str">
        <f t="shared" si="3"/>
        <v/>
      </c>
      <c r="N58" t="s">
        <v>150</v>
      </c>
      <c r="O58" s="142" t="str">
        <f>IF('Tackles Selections'!W23="","1/100",'Tackles Selections'!W23)</f>
        <v>1/100</v>
      </c>
      <c r="V58" t="s">
        <v>103</v>
      </c>
      <c r="AC58" t="str">
        <f>IF(OR(O58="1/100",'Shots Selections'!AB63="No",'Shots Selections'!AC63="No",'Match Setup'!$E$4="N"),"Don't Export","Export")</f>
        <v>Don't Export</v>
      </c>
    </row>
    <row r="59" spans="1:29" x14ac:dyDescent="0.25">
      <c r="A59" t="s">
        <v>104</v>
      </c>
      <c r="B59" t="s">
        <v>105</v>
      </c>
      <c r="C59" t="str">
        <f t="shared" si="4"/>
        <v>Premier League</v>
      </c>
      <c r="D59" t="str">
        <f t="shared" si="5"/>
        <v>|Chelsea| |.v| |Leeds United|</v>
      </c>
      <c r="E59" s="69">
        <f t="shared" si="6"/>
        <v>44170.833333333336</v>
      </c>
      <c r="F59" t="s">
        <v>128</v>
      </c>
      <c r="G59" s="73">
        <f>'Tackles Selections'!AA24</f>
        <v>0</v>
      </c>
      <c r="H59" t="s">
        <v>101</v>
      </c>
      <c r="I59" t="s">
        <v>127</v>
      </c>
      <c r="K59">
        <v>0.05</v>
      </c>
      <c r="M59" t="str">
        <f t="shared" si="3"/>
        <v/>
      </c>
      <c r="N59" t="s">
        <v>150</v>
      </c>
      <c r="O59" s="142" t="str">
        <f>IF('Tackles Selections'!W24="","1/100",'Tackles Selections'!W24)</f>
        <v>1/100</v>
      </c>
      <c r="V59" t="s">
        <v>103</v>
      </c>
      <c r="AC59" t="str">
        <f>IF(OR(O59="1/100",'Shots Selections'!AB64="No",'Shots Selections'!AC64="No",'Match Setup'!$E$4="N"),"Don't Export","Export")</f>
        <v>Don't Export</v>
      </c>
    </row>
    <row r="60" spans="1:29" x14ac:dyDescent="0.25">
      <c r="A60" t="s">
        <v>104</v>
      </c>
      <c r="B60" t="s">
        <v>105</v>
      </c>
      <c r="C60" t="str">
        <f t="shared" si="4"/>
        <v>Premier League</v>
      </c>
      <c r="D60" t="str">
        <f t="shared" si="5"/>
        <v>|Chelsea| |.v| |Leeds United|</v>
      </c>
      <c r="E60" s="69">
        <f t="shared" si="6"/>
        <v>44170.833333333336</v>
      </c>
      <c r="F60" t="s">
        <v>128</v>
      </c>
      <c r="G60" s="73">
        <f>'Tackles Selections'!AA25</f>
        <v>0</v>
      </c>
      <c r="H60" t="s">
        <v>101</v>
      </c>
      <c r="I60" t="s">
        <v>127</v>
      </c>
      <c r="K60">
        <v>0.05</v>
      </c>
      <c r="M60" t="str">
        <f t="shared" si="3"/>
        <v/>
      </c>
      <c r="N60" t="s">
        <v>150</v>
      </c>
      <c r="O60" s="142" t="str">
        <f>IF('Tackles Selections'!W25="","1/100",'Tackles Selections'!W25)</f>
        <v>1/100</v>
      </c>
      <c r="V60" t="s">
        <v>103</v>
      </c>
      <c r="AC60" t="str">
        <f>IF(OR(O60="1/100",'Shots Selections'!AB65="No",'Shots Selections'!AC65="No",'Match Setup'!$E$4="N"),"Don't Export","Export")</f>
        <v>Don't Export</v>
      </c>
    </row>
    <row r="61" spans="1:29" x14ac:dyDescent="0.25">
      <c r="A61" t="s">
        <v>104</v>
      </c>
      <c r="B61" t="s">
        <v>105</v>
      </c>
      <c r="C61" t="str">
        <f t="shared" si="4"/>
        <v>Premier League</v>
      </c>
      <c r="D61" t="str">
        <f t="shared" si="5"/>
        <v>|Chelsea| |.v| |Leeds United|</v>
      </c>
      <c r="E61" s="69">
        <f t="shared" si="6"/>
        <v>44170.833333333336</v>
      </c>
      <c r="F61" t="s">
        <v>128</v>
      </c>
      <c r="G61" s="73">
        <f>'Tackles Selections'!AA26</f>
        <v>0</v>
      </c>
      <c r="H61" t="s">
        <v>101</v>
      </c>
      <c r="I61" t="s">
        <v>127</v>
      </c>
      <c r="K61">
        <v>0.05</v>
      </c>
      <c r="M61" t="str">
        <f t="shared" si="3"/>
        <v/>
      </c>
      <c r="N61" t="s">
        <v>150</v>
      </c>
      <c r="O61" s="142" t="str">
        <f>IF('Tackles Selections'!W26="","1/100",'Tackles Selections'!W26)</f>
        <v>1/100</v>
      </c>
      <c r="V61" t="s">
        <v>103</v>
      </c>
      <c r="AC61" t="str">
        <f>IF(OR(O61="1/100",'Shots Selections'!AB66="No",'Shots Selections'!AC66="No",'Match Setup'!$E$4="N"),"Don't Export","Export")</f>
        <v>Don't Export</v>
      </c>
    </row>
    <row r="62" spans="1:29" x14ac:dyDescent="0.25">
      <c r="A62" t="s">
        <v>104</v>
      </c>
      <c r="B62" t="s">
        <v>105</v>
      </c>
      <c r="C62" t="str">
        <f t="shared" si="4"/>
        <v>Premier League</v>
      </c>
      <c r="D62" t="str">
        <f t="shared" si="5"/>
        <v>|Chelsea| |.v| |Leeds United|</v>
      </c>
      <c r="E62" s="69">
        <f t="shared" si="6"/>
        <v>44170.833333333336</v>
      </c>
      <c r="F62" t="s">
        <v>128</v>
      </c>
      <c r="G62" s="73">
        <f>'Tackles Selections'!AA27</f>
        <v>0</v>
      </c>
      <c r="H62" t="s">
        <v>101</v>
      </c>
      <c r="I62" t="s">
        <v>127</v>
      </c>
      <c r="K62">
        <v>0.05</v>
      </c>
      <c r="M62" t="str">
        <f t="shared" si="3"/>
        <v/>
      </c>
      <c r="N62" t="s">
        <v>150</v>
      </c>
      <c r="O62" s="142" t="str">
        <f>IF('Tackles Selections'!W27="","1/100",'Tackles Selections'!W27)</f>
        <v>1/100</v>
      </c>
      <c r="V62" t="s">
        <v>103</v>
      </c>
      <c r="AC62" t="str">
        <f>IF(OR(O62="1/100",'Shots Selections'!AB67="No",'Shots Selections'!AC67="No",'Match Setup'!$E$4="N"),"Don't Export","Export")</f>
        <v>Don't Export</v>
      </c>
    </row>
    <row r="63" spans="1:29" x14ac:dyDescent="0.25">
      <c r="A63" t="s">
        <v>104</v>
      </c>
      <c r="B63" t="s">
        <v>105</v>
      </c>
      <c r="C63" t="str">
        <f t="shared" si="4"/>
        <v>Premier League</v>
      </c>
      <c r="D63" t="str">
        <f t="shared" si="5"/>
        <v>|Chelsea| |.v| |Leeds United|</v>
      </c>
      <c r="E63" s="69">
        <f t="shared" si="6"/>
        <v>44170.833333333336</v>
      </c>
      <c r="F63" t="s">
        <v>128</v>
      </c>
      <c r="G63" s="73">
        <f>'Tackles Selections'!AA28</f>
        <v>0</v>
      </c>
      <c r="H63" t="s">
        <v>101</v>
      </c>
      <c r="I63" t="s">
        <v>127</v>
      </c>
      <c r="K63">
        <v>0.05</v>
      </c>
      <c r="M63" t="str">
        <f t="shared" si="3"/>
        <v/>
      </c>
      <c r="N63" t="s">
        <v>150</v>
      </c>
      <c r="O63" s="142" t="str">
        <f>IF('Tackles Selections'!W28="","1/100",'Tackles Selections'!W28)</f>
        <v>1/100</v>
      </c>
      <c r="V63" t="s">
        <v>103</v>
      </c>
      <c r="AC63" t="str">
        <f>IF(OR(O63="1/100",'Shots Selections'!AB68="No",'Shots Selections'!AC68="No",'Match Setup'!$E$4="N"),"Don't Export","Export")</f>
        <v>Don't Export</v>
      </c>
    </row>
    <row r="64" spans="1:29" x14ac:dyDescent="0.25">
      <c r="A64" t="s">
        <v>104</v>
      </c>
      <c r="B64" t="s">
        <v>105</v>
      </c>
      <c r="C64" t="str">
        <f t="shared" si="4"/>
        <v>Premier League</v>
      </c>
      <c r="D64" t="str">
        <f t="shared" si="5"/>
        <v>|Chelsea| |.v| |Leeds United|</v>
      </c>
      <c r="E64" s="69">
        <f t="shared" si="6"/>
        <v>44170.833333333336</v>
      </c>
      <c r="F64" t="s">
        <v>128</v>
      </c>
      <c r="G64" s="73">
        <f>'Tackles Selections'!AA29</f>
        <v>0</v>
      </c>
      <c r="H64" t="s">
        <v>101</v>
      </c>
      <c r="I64" t="s">
        <v>127</v>
      </c>
      <c r="K64">
        <v>0.05</v>
      </c>
      <c r="M64" t="str">
        <f t="shared" si="3"/>
        <v/>
      </c>
      <c r="N64" t="s">
        <v>150</v>
      </c>
      <c r="O64" s="142" t="str">
        <f>IF('Tackles Selections'!W29="","1/100",'Tackles Selections'!W29)</f>
        <v>1/100</v>
      </c>
      <c r="V64" t="s">
        <v>103</v>
      </c>
      <c r="AC64" t="str">
        <f>IF(OR(O64="1/100",'Shots Selections'!AB69="No",'Shots Selections'!AC69="No",'Match Setup'!$E$4="N"),"Don't Export","Export")</f>
        <v>Don't Export</v>
      </c>
    </row>
    <row r="65" spans="1:29" x14ac:dyDescent="0.25">
      <c r="A65" t="s">
        <v>104</v>
      </c>
      <c r="B65" t="s">
        <v>105</v>
      </c>
      <c r="C65" t="str">
        <f t="shared" si="4"/>
        <v>Premier League</v>
      </c>
      <c r="D65" t="str">
        <f t="shared" si="5"/>
        <v>|Chelsea| |.v| |Leeds United|</v>
      </c>
      <c r="E65" s="69">
        <f t="shared" si="6"/>
        <v>44170.833333333336</v>
      </c>
      <c r="F65" t="s">
        <v>128</v>
      </c>
      <c r="G65" s="73">
        <f>'Tackles Selections'!AA30</f>
        <v>0</v>
      </c>
      <c r="H65" t="s">
        <v>101</v>
      </c>
      <c r="I65" t="s">
        <v>127</v>
      </c>
      <c r="K65">
        <v>0.05</v>
      </c>
      <c r="M65" t="str">
        <f t="shared" si="3"/>
        <v/>
      </c>
      <c r="N65" t="s">
        <v>150</v>
      </c>
      <c r="O65" s="142" t="str">
        <f>IF('Tackles Selections'!W30="","1/100",'Tackles Selections'!W30)</f>
        <v>1/100</v>
      </c>
      <c r="V65" t="s">
        <v>103</v>
      </c>
      <c r="AC65" t="str">
        <f>IF(OR(O65="1/100",'Shots Selections'!AB70="No",'Shots Selections'!AC70="No",'Match Setup'!$E$4="N"),"Don't Export","Export")</f>
        <v>Don't Export</v>
      </c>
    </row>
    <row r="66" spans="1:29" x14ac:dyDescent="0.25">
      <c r="A66" t="s">
        <v>104</v>
      </c>
      <c r="B66" t="s">
        <v>105</v>
      </c>
      <c r="C66" t="str">
        <f t="shared" si="4"/>
        <v>Premier League</v>
      </c>
      <c r="D66" t="str">
        <f t="shared" si="5"/>
        <v>|Chelsea| |.v| |Leeds United|</v>
      </c>
      <c r="E66" s="69">
        <f t="shared" si="6"/>
        <v>44170.833333333336</v>
      </c>
      <c r="F66" t="s">
        <v>128</v>
      </c>
      <c r="G66" s="73">
        <f>'Tackles Selections'!AA31</f>
        <v>0</v>
      </c>
      <c r="H66" t="s">
        <v>101</v>
      </c>
      <c r="I66" t="s">
        <v>127</v>
      </c>
      <c r="K66">
        <v>0.05</v>
      </c>
      <c r="M66" t="str">
        <f t="shared" si="3"/>
        <v/>
      </c>
      <c r="N66" t="s">
        <v>150</v>
      </c>
      <c r="O66" s="142" t="str">
        <f>IF('Tackles Selections'!W31="","1/100",'Tackles Selections'!W31)</f>
        <v>1/100</v>
      </c>
      <c r="V66" t="s">
        <v>103</v>
      </c>
      <c r="AC66" t="str">
        <f>IF(OR(O66="1/100",'Shots Selections'!AB71="No",'Shots Selections'!AC71="No",'Match Setup'!$E$4="N"),"Don't Export","Export")</f>
        <v>Don't Export</v>
      </c>
    </row>
    <row r="67" spans="1:29" x14ac:dyDescent="0.25">
      <c r="A67" t="s">
        <v>104</v>
      </c>
      <c r="B67" t="s">
        <v>105</v>
      </c>
      <c r="C67" t="str">
        <f t="shared" si="4"/>
        <v>Premier League</v>
      </c>
      <c r="D67" t="str">
        <f t="shared" si="5"/>
        <v>|Chelsea| |.v| |Leeds United|</v>
      </c>
      <c r="E67" s="69">
        <f t="shared" si="6"/>
        <v>44170.833333333336</v>
      </c>
      <c r="F67" t="s">
        <v>128</v>
      </c>
      <c r="G67" s="73">
        <f>'Tackles Selections'!AA32</f>
        <v>0</v>
      </c>
      <c r="H67" t="s">
        <v>101</v>
      </c>
      <c r="I67" t="s">
        <v>127</v>
      </c>
      <c r="K67">
        <v>0.05</v>
      </c>
      <c r="M67" t="str">
        <f t="shared" ref="M67:M130" si="7">IFERROR(IF(O67="","",33333/O67),"")</f>
        <v/>
      </c>
      <c r="N67" t="s">
        <v>150</v>
      </c>
      <c r="O67" s="142" t="str">
        <f>IF('Tackles Selections'!W32="","1/100",'Tackles Selections'!W32)</f>
        <v>1/100</v>
      </c>
      <c r="V67" t="s">
        <v>103</v>
      </c>
      <c r="AC67" t="str">
        <f>IF(OR(O67="1/100",'Shots Selections'!AB72="No",'Shots Selections'!AC72="No",'Match Setup'!$E$4="N"),"Don't Export","Export")</f>
        <v>Don't Export</v>
      </c>
    </row>
    <row r="68" spans="1:29" x14ac:dyDescent="0.25">
      <c r="A68" t="s">
        <v>104</v>
      </c>
      <c r="B68" t="s">
        <v>105</v>
      </c>
      <c r="C68" t="str">
        <f t="shared" si="4"/>
        <v>Premier League</v>
      </c>
      <c r="D68" t="str">
        <f t="shared" si="5"/>
        <v>|Chelsea| |.v| |Leeds United|</v>
      </c>
      <c r="E68" s="69">
        <f t="shared" si="6"/>
        <v>44170.833333333336</v>
      </c>
      <c r="F68" t="s">
        <v>128</v>
      </c>
      <c r="G68" s="73">
        <f>'Tackles Selections'!AA33</f>
        <v>0</v>
      </c>
      <c r="H68" t="s">
        <v>101</v>
      </c>
      <c r="I68" t="s">
        <v>127</v>
      </c>
      <c r="K68">
        <v>0.05</v>
      </c>
      <c r="M68" t="str">
        <f t="shared" si="7"/>
        <v/>
      </c>
      <c r="N68" t="s">
        <v>150</v>
      </c>
      <c r="O68" s="142" t="str">
        <f>IF('Tackles Selections'!W33="","1/100",'Tackles Selections'!W33)</f>
        <v>1/100</v>
      </c>
      <c r="V68" t="s">
        <v>103</v>
      </c>
      <c r="AC68" t="str">
        <f>IF(OR(O68="1/100",'Shots Selections'!AB73="No",'Shots Selections'!AC73="No",'Match Setup'!$E$4="N"),"Don't Export","Export")</f>
        <v>Don't Export</v>
      </c>
    </row>
    <row r="69" spans="1:29" x14ac:dyDescent="0.25">
      <c r="A69" t="s">
        <v>104</v>
      </c>
      <c r="B69" t="s">
        <v>105</v>
      </c>
      <c r="C69" t="str">
        <f t="shared" si="4"/>
        <v>Premier League</v>
      </c>
      <c r="D69" t="str">
        <f t="shared" si="5"/>
        <v>|Chelsea| |.v| |Leeds United|</v>
      </c>
      <c r="E69" s="69">
        <f t="shared" si="6"/>
        <v>44170.833333333336</v>
      </c>
      <c r="F69" t="s">
        <v>128</v>
      </c>
      <c r="G69" s="73">
        <f>'Tackles Selections'!AA34</f>
        <v>0</v>
      </c>
      <c r="H69" t="s">
        <v>101</v>
      </c>
      <c r="I69" t="s">
        <v>127</v>
      </c>
      <c r="K69">
        <v>0.05</v>
      </c>
      <c r="M69" t="str">
        <f t="shared" si="7"/>
        <v/>
      </c>
      <c r="N69" t="s">
        <v>150</v>
      </c>
      <c r="O69" s="142" t="str">
        <f>IF('Tackles Selections'!W34="","1/100",'Tackles Selections'!W34)</f>
        <v>1/100</v>
      </c>
      <c r="V69" t="s">
        <v>103</v>
      </c>
      <c r="AC69" t="str">
        <f>IF(OR(O69="1/100",'Shots Selections'!AB74="No",'Shots Selections'!AC74="No",'Match Setup'!$E$4="N"),"Don't Export","Export")</f>
        <v>Don't Export</v>
      </c>
    </row>
    <row r="70" spans="1:29" x14ac:dyDescent="0.25">
      <c r="A70" t="s">
        <v>104</v>
      </c>
      <c r="B70" t="s">
        <v>105</v>
      </c>
      <c r="C70" t="str">
        <f t="shared" si="4"/>
        <v>Premier League</v>
      </c>
      <c r="D70" t="str">
        <f t="shared" si="5"/>
        <v>|Chelsea| |.v| |Leeds United|</v>
      </c>
      <c r="E70" s="69">
        <f t="shared" si="6"/>
        <v>44170.833333333336</v>
      </c>
      <c r="F70" t="s">
        <v>128</v>
      </c>
      <c r="G70" s="73">
        <f>'Tackles Selections'!AA35</f>
        <v>0</v>
      </c>
      <c r="H70" t="s">
        <v>101</v>
      </c>
      <c r="I70" t="s">
        <v>127</v>
      </c>
      <c r="K70">
        <v>0.05</v>
      </c>
      <c r="M70" t="str">
        <f t="shared" si="7"/>
        <v/>
      </c>
      <c r="N70" t="s">
        <v>150</v>
      </c>
      <c r="O70" s="142" t="str">
        <f>IF('Tackles Selections'!W35="","1/100",'Tackles Selections'!W35)</f>
        <v>1/100</v>
      </c>
      <c r="V70" t="s">
        <v>103</v>
      </c>
      <c r="AC70" t="str">
        <f>IF(OR(O70="1/100",'Shots Selections'!AB75="No",'Shots Selections'!AC75="No",'Match Setup'!$E$4="N"),"Don't Export","Export")</f>
        <v>Don't Export</v>
      </c>
    </row>
    <row r="71" spans="1:29" x14ac:dyDescent="0.25">
      <c r="A71" t="s">
        <v>104</v>
      </c>
      <c r="B71" t="s">
        <v>105</v>
      </c>
      <c r="C71" t="str">
        <f t="shared" si="4"/>
        <v>Premier League</v>
      </c>
      <c r="D71" t="str">
        <f t="shared" si="5"/>
        <v>|Chelsea| |.v| |Leeds United|</v>
      </c>
      <c r="E71" s="69">
        <f t="shared" si="6"/>
        <v>44170.833333333336</v>
      </c>
      <c r="F71" t="s">
        <v>128</v>
      </c>
      <c r="G71" s="73">
        <f>'Tackles Selections'!AA36</f>
        <v>0</v>
      </c>
      <c r="H71" t="s">
        <v>101</v>
      </c>
      <c r="I71" t="s">
        <v>127</v>
      </c>
      <c r="K71">
        <v>0.05</v>
      </c>
      <c r="M71" t="str">
        <f t="shared" si="7"/>
        <v/>
      </c>
      <c r="N71" t="s">
        <v>150</v>
      </c>
      <c r="O71" s="142" t="str">
        <f>IF('Tackles Selections'!W36="","1/100",'Tackles Selections'!W36)</f>
        <v>1/100</v>
      </c>
      <c r="V71" t="s">
        <v>103</v>
      </c>
      <c r="AC71" t="str">
        <f>IF(OR(O71="1/100",'Shots Selections'!AB76="No",'Shots Selections'!AC76="No",'Match Setup'!$E$4="N"),"Don't Export","Export")</f>
        <v>Don't Export</v>
      </c>
    </row>
    <row r="72" spans="1:29" x14ac:dyDescent="0.25">
      <c r="A72" t="s">
        <v>104</v>
      </c>
      <c r="B72" t="s">
        <v>105</v>
      </c>
      <c r="C72" t="str">
        <f t="shared" si="4"/>
        <v>Premier League</v>
      </c>
      <c r="D72" t="str">
        <f t="shared" si="5"/>
        <v>|Chelsea| |.v| |Leeds United|</v>
      </c>
      <c r="E72" s="69">
        <f t="shared" si="6"/>
        <v>44170.833333333336</v>
      </c>
      <c r="F72" t="s">
        <v>128</v>
      </c>
      <c r="G72" s="73">
        <f>'Tackles Selections'!AA37</f>
        <v>0</v>
      </c>
      <c r="H72" t="s">
        <v>101</v>
      </c>
      <c r="I72" t="s">
        <v>127</v>
      </c>
      <c r="K72">
        <v>0.05</v>
      </c>
      <c r="M72" t="str">
        <f t="shared" si="7"/>
        <v/>
      </c>
      <c r="N72" t="s">
        <v>150</v>
      </c>
      <c r="O72" s="142" t="str">
        <f>IF('Tackles Selections'!W37="","1/100",'Tackles Selections'!W37)</f>
        <v>1/100</v>
      </c>
      <c r="V72" t="s">
        <v>103</v>
      </c>
      <c r="AC72" t="str">
        <f>IF(OR(O72="1/100",'Shots Selections'!AB77="No",'Shots Selections'!AC77="No",'Match Setup'!$E$4="N"),"Don't Export","Export")</f>
        <v>Don't Export</v>
      </c>
    </row>
    <row r="73" spans="1:29" x14ac:dyDescent="0.25">
      <c r="A73" t="s">
        <v>104</v>
      </c>
      <c r="B73" t="s">
        <v>105</v>
      </c>
      <c r="C73" t="str">
        <f t="shared" si="4"/>
        <v>Premier League</v>
      </c>
      <c r="D73" t="str">
        <f t="shared" si="5"/>
        <v>|Chelsea| |.v| |Leeds United|</v>
      </c>
      <c r="E73" s="69">
        <f t="shared" si="6"/>
        <v>44170.833333333336</v>
      </c>
      <c r="F73" t="s">
        <v>128</v>
      </c>
      <c r="G73" s="73">
        <f>'Tackles Selections'!AA38</f>
        <v>0</v>
      </c>
      <c r="H73" t="s">
        <v>101</v>
      </c>
      <c r="I73" t="s">
        <v>127</v>
      </c>
      <c r="K73">
        <v>0.05</v>
      </c>
      <c r="M73" t="str">
        <f t="shared" si="7"/>
        <v/>
      </c>
      <c r="N73" t="s">
        <v>150</v>
      </c>
      <c r="O73" s="142" t="str">
        <f>IF('Tackles Selections'!W38="","1/100",'Tackles Selections'!W38)</f>
        <v>1/100</v>
      </c>
      <c r="V73" t="s">
        <v>103</v>
      </c>
      <c r="AC73" t="str">
        <f>IF(OR(O73="1/100",'Shots Selections'!AB78="No",'Shots Selections'!AC78="No",'Match Setup'!$E$4="N"),"Don't Export","Export")</f>
        <v>Don't Export</v>
      </c>
    </row>
    <row r="74" spans="1:29" x14ac:dyDescent="0.25">
      <c r="A74" t="s">
        <v>104</v>
      </c>
      <c r="B74" t="s">
        <v>105</v>
      </c>
      <c r="C74" t="str">
        <f t="shared" si="4"/>
        <v>Premier League</v>
      </c>
      <c r="D74" t="str">
        <f t="shared" si="5"/>
        <v>|Chelsea| |.v| |Leeds United|</v>
      </c>
      <c r="E74" s="69">
        <f t="shared" si="6"/>
        <v>44170.833333333336</v>
      </c>
      <c r="F74" t="s">
        <v>128</v>
      </c>
      <c r="G74" s="73">
        <f>'Tackles Selections'!AA39</f>
        <v>0</v>
      </c>
      <c r="H74" t="s">
        <v>101</v>
      </c>
      <c r="I74" t="s">
        <v>127</v>
      </c>
      <c r="K74">
        <v>0.05</v>
      </c>
      <c r="M74" t="str">
        <f t="shared" si="7"/>
        <v/>
      </c>
      <c r="N74" t="s">
        <v>150</v>
      </c>
      <c r="O74" s="142" t="str">
        <f>IF('Tackles Selections'!W39="","1/100",'Tackles Selections'!W39)</f>
        <v>1/100</v>
      </c>
      <c r="V74" t="s">
        <v>103</v>
      </c>
      <c r="AC74" t="str">
        <f>IF(OR(O74="1/100",'Shots Selections'!AB79="No",'Shots Selections'!AC79="No",'Match Setup'!$E$4="N"),"Don't Export","Export")</f>
        <v>Don't Export</v>
      </c>
    </row>
    <row r="75" spans="1:29" x14ac:dyDescent="0.25">
      <c r="A75" t="s">
        <v>104</v>
      </c>
      <c r="B75" t="s">
        <v>105</v>
      </c>
      <c r="C75" t="str">
        <f t="shared" si="4"/>
        <v>Premier League</v>
      </c>
      <c r="D75" t="str">
        <f t="shared" si="5"/>
        <v>|Chelsea| |.v| |Leeds United|</v>
      </c>
      <c r="E75" s="69">
        <f t="shared" si="6"/>
        <v>44170.833333333336</v>
      </c>
      <c r="F75" t="s">
        <v>128</v>
      </c>
      <c r="G75" s="73">
        <f>'Tackles Selections'!AA40</f>
        <v>0</v>
      </c>
      <c r="H75" t="s">
        <v>101</v>
      </c>
      <c r="I75" t="s">
        <v>127</v>
      </c>
      <c r="K75">
        <v>0.05</v>
      </c>
      <c r="M75" t="str">
        <f t="shared" si="7"/>
        <v/>
      </c>
      <c r="N75" t="s">
        <v>150</v>
      </c>
      <c r="O75" s="142" t="str">
        <f>IF('Tackles Selections'!W40="","1/100",'Tackles Selections'!W40)</f>
        <v>1/100</v>
      </c>
      <c r="V75" t="s">
        <v>103</v>
      </c>
      <c r="AC75" t="str">
        <f>IF(OR(O75="1/100",'Shots Selections'!AB80="No",'Shots Selections'!AC80="No",'Match Setup'!$E$4="N"),"Don't Export","Export")</f>
        <v>Don't Export</v>
      </c>
    </row>
    <row r="76" spans="1:29" x14ac:dyDescent="0.25">
      <c r="A76" t="s">
        <v>104</v>
      </c>
      <c r="B76" t="s">
        <v>105</v>
      </c>
      <c r="C76" t="str">
        <f t="shared" si="4"/>
        <v>Premier League</v>
      </c>
      <c r="D76" t="str">
        <f t="shared" si="5"/>
        <v>|Chelsea| |.v| |Leeds United|</v>
      </c>
      <c r="E76" s="69">
        <f t="shared" si="6"/>
        <v>44170.833333333336</v>
      </c>
      <c r="F76" t="s">
        <v>128</v>
      </c>
      <c r="G76" s="73">
        <f>'Tackles Selections'!AA41</f>
        <v>0</v>
      </c>
      <c r="H76" t="s">
        <v>101</v>
      </c>
      <c r="I76" t="s">
        <v>127</v>
      </c>
      <c r="K76">
        <v>0.05</v>
      </c>
      <c r="M76" t="str">
        <f t="shared" si="7"/>
        <v/>
      </c>
      <c r="N76" t="s">
        <v>150</v>
      </c>
      <c r="O76" s="142" t="str">
        <f>IF('Tackles Selections'!W41="","1/100",'Tackles Selections'!W41)</f>
        <v>1/100</v>
      </c>
      <c r="V76" t="s">
        <v>103</v>
      </c>
      <c r="AC76" t="str">
        <f>IF(OR(O76="1/100",'Shots Selections'!AB81="No",'Shots Selections'!AC81="No",'Match Setup'!$E$4="N"),"Don't Export","Export")</f>
        <v>Don't Export</v>
      </c>
    </row>
    <row r="77" spans="1:29" x14ac:dyDescent="0.25">
      <c r="A77" t="s">
        <v>104</v>
      </c>
      <c r="B77" t="s">
        <v>105</v>
      </c>
      <c r="C77" t="str">
        <f t="shared" si="4"/>
        <v>Premier League</v>
      </c>
      <c r="D77" t="str">
        <f t="shared" si="5"/>
        <v>|Chelsea| |.v| |Leeds United|</v>
      </c>
      <c r="E77" s="69">
        <f t="shared" si="6"/>
        <v>44170.833333333336</v>
      </c>
      <c r="F77" t="s">
        <v>128</v>
      </c>
      <c r="G77" s="73">
        <f>'Tackles Selections'!AA42</f>
        <v>0</v>
      </c>
      <c r="H77" t="s">
        <v>101</v>
      </c>
      <c r="I77" t="s">
        <v>127</v>
      </c>
      <c r="K77">
        <v>0.05</v>
      </c>
      <c r="M77" t="str">
        <f t="shared" si="7"/>
        <v/>
      </c>
      <c r="N77" t="s">
        <v>150</v>
      </c>
      <c r="O77" s="142" t="str">
        <f>IF('Tackles Selections'!W42="","1/100",'Tackles Selections'!W42)</f>
        <v>1/100</v>
      </c>
      <c r="V77" t="s">
        <v>103</v>
      </c>
      <c r="AC77" t="str">
        <f>IF(OR(O77="1/100",'Shots Selections'!AB82="No",'Shots Selections'!AC82="No",'Match Setup'!$E$4="N"),"Don't Export","Export")</f>
        <v>Don't Export</v>
      </c>
    </row>
    <row r="78" spans="1:29" x14ac:dyDescent="0.25">
      <c r="A78" t="s">
        <v>104</v>
      </c>
      <c r="B78" t="s">
        <v>105</v>
      </c>
      <c r="C78" t="str">
        <f t="shared" si="4"/>
        <v>Premier League</v>
      </c>
      <c r="D78" t="str">
        <f t="shared" si="5"/>
        <v>|Chelsea| |.v| |Leeds United|</v>
      </c>
      <c r="E78" s="69">
        <f t="shared" si="6"/>
        <v>44170.833333333336</v>
      </c>
      <c r="F78" t="s">
        <v>128</v>
      </c>
      <c r="G78" s="73">
        <f>'Tackles Selections'!AA43</f>
        <v>0</v>
      </c>
      <c r="H78" t="s">
        <v>101</v>
      </c>
      <c r="I78" t="s">
        <v>127</v>
      </c>
      <c r="K78">
        <v>0.05</v>
      </c>
      <c r="M78" t="str">
        <f t="shared" si="7"/>
        <v/>
      </c>
      <c r="N78" t="s">
        <v>150</v>
      </c>
      <c r="O78" s="142" t="str">
        <f>IF('Tackles Selections'!W43="","1/100",'Tackles Selections'!W43)</f>
        <v>1/100</v>
      </c>
      <c r="V78" t="s">
        <v>103</v>
      </c>
      <c r="AC78" t="str">
        <f>IF(OR(O78="1/100",'Shots Selections'!AB83="No",'Shots Selections'!AC83="No",'Match Setup'!$E$4="N"),"Don't Export","Export")</f>
        <v>Don't Export</v>
      </c>
    </row>
    <row r="79" spans="1:29" x14ac:dyDescent="0.25">
      <c r="A79" t="s">
        <v>104</v>
      </c>
      <c r="B79" t="s">
        <v>105</v>
      </c>
      <c r="C79" t="str">
        <f t="shared" si="4"/>
        <v>Premier League</v>
      </c>
      <c r="D79" t="str">
        <f t="shared" si="5"/>
        <v>|Chelsea| |.v| |Leeds United|</v>
      </c>
      <c r="E79" s="69">
        <f t="shared" si="6"/>
        <v>44170.833333333336</v>
      </c>
      <c r="F79" t="s">
        <v>128</v>
      </c>
      <c r="G79" s="73">
        <f>'Tackles Selections'!AA44</f>
        <v>0</v>
      </c>
      <c r="H79" t="s">
        <v>101</v>
      </c>
      <c r="I79" t="s">
        <v>127</v>
      </c>
      <c r="K79">
        <v>0.05</v>
      </c>
      <c r="M79" t="str">
        <f t="shared" si="7"/>
        <v/>
      </c>
      <c r="N79" t="s">
        <v>150</v>
      </c>
      <c r="O79" s="142" t="str">
        <f>IF('Tackles Selections'!W44="","1/100",'Tackles Selections'!W44)</f>
        <v>1/100</v>
      </c>
      <c r="V79" t="s">
        <v>103</v>
      </c>
      <c r="AC79" t="str">
        <f>IF(OR(O79="1/100",'Shots Selections'!AB84="No",'Shots Selections'!AC84="No",'Match Setup'!$E$4="N"),"Don't Export","Export")</f>
        <v>Don't Export</v>
      </c>
    </row>
    <row r="80" spans="1:29" x14ac:dyDescent="0.25">
      <c r="A80" t="s">
        <v>104</v>
      </c>
      <c r="B80" t="s">
        <v>105</v>
      </c>
      <c r="C80" t="str">
        <f t="shared" si="4"/>
        <v>Premier League</v>
      </c>
      <c r="D80" t="str">
        <f t="shared" si="5"/>
        <v>|Chelsea| |.v| |Leeds United|</v>
      </c>
      <c r="E80" s="69">
        <f t="shared" si="6"/>
        <v>44170.833333333336</v>
      </c>
      <c r="F80" t="s">
        <v>128</v>
      </c>
      <c r="G80" s="73">
        <f>'Tackles Selections'!AA45</f>
        <v>0</v>
      </c>
      <c r="H80" t="s">
        <v>101</v>
      </c>
      <c r="I80" t="s">
        <v>127</v>
      </c>
      <c r="K80">
        <v>0.05</v>
      </c>
      <c r="M80" t="str">
        <f t="shared" si="7"/>
        <v/>
      </c>
      <c r="N80" t="s">
        <v>150</v>
      </c>
      <c r="O80" s="142" t="str">
        <f>IF('Tackles Selections'!W45="","1/100",'Tackles Selections'!W45)</f>
        <v>1/100</v>
      </c>
      <c r="V80" t="s">
        <v>103</v>
      </c>
      <c r="AC80" t="str">
        <f>IF(OR(O80="1/100",'Shots Selections'!AB85="No",'Shots Selections'!AC85="No",'Match Setup'!$E$4="N"),"Don't Export","Export")</f>
        <v>Don't Export</v>
      </c>
    </row>
    <row r="81" spans="1:29" x14ac:dyDescent="0.25">
      <c r="A81" t="s">
        <v>104</v>
      </c>
      <c r="B81" t="s">
        <v>105</v>
      </c>
      <c r="C81" t="str">
        <f t="shared" si="4"/>
        <v>Premier League</v>
      </c>
      <c r="D81" t="str">
        <f t="shared" si="5"/>
        <v>|Chelsea| |.v| |Leeds United|</v>
      </c>
      <c r="E81" s="69">
        <f t="shared" si="6"/>
        <v>44170.833333333336</v>
      </c>
      <c r="F81" t="s">
        <v>128</v>
      </c>
      <c r="G81" s="73">
        <f>'Tackles Selections'!AA46</f>
        <v>0</v>
      </c>
      <c r="H81" t="s">
        <v>101</v>
      </c>
      <c r="I81" t="s">
        <v>127</v>
      </c>
      <c r="K81">
        <v>0.05</v>
      </c>
      <c r="M81" t="str">
        <f t="shared" si="7"/>
        <v/>
      </c>
      <c r="N81" t="s">
        <v>150</v>
      </c>
      <c r="O81" s="142" t="str">
        <f>IF('Tackles Selections'!W46="","1/100",'Tackles Selections'!W46)</f>
        <v>1/100</v>
      </c>
      <c r="V81" t="s">
        <v>103</v>
      </c>
      <c r="AC81" t="str">
        <f>IF(OR(O81="1/100",'Shots Selections'!AB86="No",'Shots Selections'!AC86="No",'Match Setup'!$E$4="N"),"Don't Export","Export")</f>
        <v>Don't Export</v>
      </c>
    </row>
    <row r="82" spans="1:29" x14ac:dyDescent="0.25">
      <c r="A82" t="s">
        <v>104</v>
      </c>
      <c r="B82" t="s">
        <v>105</v>
      </c>
      <c r="C82" t="str">
        <f t="shared" si="4"/>
        <v>Premier League</v>
      </c>
      <c r="D82" t="str">
        <f t="shared" si="5"/>
        <v>|Chelsea| |.v| |Leeds United|</v>
      </c>
      <c r="E82" s="69">
        <f t="shared" si="6"/>
        <v>44170.833333333336</v>
      </c>
      <c r="F82" t="s">
        <v>164</v>
      </c>
      <c r="G82" t="str">
        <f>'1st Half Shots'!X3</f>
        <v>Timo Werner 1+ Shots On Target</v>
      </c>
      <c r="H82" t="s">
        <v>101</v>
      </c>
      <c r="I82" t="s">
        <v>127</v>
      </c>
      <c r="J82">
        <v>1</v>
      </c>
      <c r="K82">
        <v>0.05</v>
      </c>
      <c r="M82">
        <f t="shared" si="7"/>
        <v>39999.599999999999</v>
      </c>
      <c r="N82" t="s">
        <v>150</v>
      </c>
      <c r="O82" s="142">
        <f>IF('1st Half Shots'!V3="","1/100",'1st Half Shots'!V3)</f>
        <v>0.83333333333333337</v>
      </c>
      <c r="V82" t="s">
        <v>103</v>
      </c>
      <c r="AC82" t="str">
        <f>IF(OR('Match Setup'!$E$5="N",O82="1/100"),"Don't Export","Export")</f>
        <v>Export</v>
      </c>
    </row>
    <row r="83" spans="1:29" x14ac:dyDescent="0.25">
      <c r="A83" t="s">
        <v>104</v>
      </c>
      <c r="B83" t="s">
        <v>105</v>
      </c>
      <c r="C83" t="str">
        <f t="shared" si="4"/>
        <v>Premier League</v>
      </c>
      <c r="D83" t="str">
        <f t="shared" si="5"/>
        <v>|Chelsea| |.v| |Leeds United|</v>
      </c>
      <c r="E83" s="69">
        <f t="shared" si="6"/>
        <v>44170.833333333336</v>
      </c>
      <c r="F83" t="s">
        <v>164</v>
      </c>
      <c r="G83" t="str">
        <f>'1st Half Shots'!X4</f>
        <v>Timo Werner 2+ Shots On Target</v>
      </c>
      <c r="H83" t="s">
        <v>101</v>
      </c>
      <c r="I83" t="s">
        <v>127</v>
      </c>
      <c r="J83">
        <v>2</v>
      </c>
      <c r="K83">
        <v>0.05</v>
      </c>
      <c r="M83">
        <f t="shared" si="7"/>
        <v>7407.333333333333</v>
      </c>
      <c r="N83" t="s">
        <v>150</v>
      </c>
      <c r="O83" s="142">
        <f>IF('1st Half Shots'!V4="","1/100",'1st Half Shots'!V4)</f>
        <v>4.5</v>
      </c>
      <c r="V83" t="s">
        <v>103</v>
      </c>
      <c r="AC83" t="str">
        <f>IF(OR('Match Setup'!$E$5="N",O83="1/100"),"Don't Export","Export")</f>
        <v>Export</v>
      </c>
    </row>
    <row r="84" spans="1:29" x14ac:dyDescent="0.25">
      <c r="A84" t="s">
        <v>104</v>
      </c>
      <c r="B84" t="s">
        <v>105</v>
      </c>
      <c r="C84" t="str">
        <f t="shared" si="4"/>
        <v>Premier League</v>
      </c>
      <c r="D84" t="str">
        <f t="shared" si="5"/>
        <v>|Chelsea| |.v| |Leeds United|</v>
      </c>
      <c r="E84" s="69">
        <f t="shared" si="6"/>
        <v>44170.833333333336</v>
      </c>
      <c r="F84" t="s">
        <v>164</v>
      </c>
      <c r="G84" t="str">
        <f>'1st Half Shots'!X5</f>
        <v>Timo Werner 3+ Shots On Target</v>
      </c>
      <c r="H84" t="s">
        <v>101</v>
      </c>
      <c r="I84" t="s">
        <v>127</v>
      </c>
      <c r="J84">
        <v>3</v>
      </c>
      <c r="K84">
        <v>0.05</v>
      </c>
      <c r="M84">
        <f t="shared" si="7"/>
        <v>1666.65</v>
      </c>
      <c r="N84" t="s">
        <v>150</v>
      </c>
      <c r="O84" s="142">
        <f>IF('1st Half Shots'!V5="","1/100",'1st Half Shots'!V5)</f>
        <v>20</v>
      </c>
      <c r="V84" t="s">
        <v>103</v>
      </c>
      <c r="AC84" t="str">
        <f>IF(OR('Match Setup'!$E$5="N",O84="1/100"),"Don't Export","Export")</f>
        <v>Export</v>
      </c>
    </row>
    <row r="85" spans="1:29" x14ac:dyDescent="0.25">
      <c r="A85" t="s">
        <v>104</v>
      </c>
      <c r="B85" t="s">
        <v>105</v>
      </c>
      <c r="C85" t="str">
        <f t="shared" si="4"/>
        <v>Premier League</v>
      </c>
      <c r="D85" t="str">
        <f t="shared" si="5"/>
        <v>|Chelsea| |.v| |Leeds United|</v>
      </c>
      <c r="E85" s="69">
        <f t="shared" si="6"/>
        <v>44170.833333333336</v>
      </c>
      <c r="F85" t="s">
        <v>164</v>
      </c>
      <c r="G85" t="str">
        <f>'1st Half Shots'!X6</f>
        <v>Tammy Abraham 1+ Shots On Target</v>
      </c>
      <c r="H85" t="s">
        <v>101</v>
      </c>
      <c r="I85" t="s">
        <v>127</v>
      </c>
      <c r="J85">
        <v>4</v>
      </c>
      <c r="K85">
        <v>0.05</v>
      </c>
      <c r="M85">
        <f t="shared" si="7"/>
        <v>49999.5</v>
      </c>
      <c r="N85" t="s">
        <v>150</v>
      </c>
      <c r="O85" s="142">
        <f>IF('1st Half Shots'!V6="","1/100",'1st Half Shots'!V6)</f>
        <v>0.66666666666666663</v>
      </c>
      <c r="V85" t="s">
        <v>103</v>
      </c>
      <c r="AC85" t="str">
        <f>IF(OR('Match Setup'!$E$5="N",O85="1/100"),"Don't Export","Export")</f>
        <v>Export</v>
      </c>
    </row>
    <row r="86" spans="1:29" x14ac:dyDescent="0.25">
      <c r="A86" t="s">
        <v>104</v>
      </c>
      <c r="B86" t="s">
        <v>105</v>
      </c>
      <c r="C86" t="str">
        <f t="shared" si="4"/>
        <v>Premier League</v>
      </c>
      <c r="D86" t="str">
        <f t="shared" si="5"/>
        <v>|Chelsea| |.v| |Leeds United|</v>
      </c>
      <c r="E86" s="69">
        <f t="shared" si="6"/>
        <v>44170.833333333336</v>
      </c>
      <c r="F86" t="s">
        <v>164</v>
      </c>
      <c r="G86" t="str">
        <f>'1st Half Shots'!X7</f>
        <v>Tammy Abraham 2+ Shots On Target</v>
      </c>
      <c r="H86" t="s">
        <v>101</v>
      </c>
      <c r="I86" t="s">
        <v>127</v>
      </c>
      <c r="J86">
        <v>5</v>
      </c>
      <c r="K86">
        <v>0.05</v>
      </c>
      <c r="M86">
        <f t="shared" si="7"/>
        <v>11111</v>
      </c>
      <c r="N86" t="s">
        <v>150</v>
      </c>
      <c r="O86" s="142">
        <f>IF('1st Half Shots'!V7="","1/100",'1st Half Shots'!V7)</f>
        <v>3</v>
      </c>
      <c r="V86" t="s">
        <v>103</v>
      </c>
      <c r="AC86" t="str">
        <f>IF(OR('Match Setup'!$E$5="N",O86="1/100"),"Don't Export","Export")</f>
        <v>Export</v>
      </c>
    </row>
    <row r="87" spans="1:29" x14ac:dyDescent="0.25">
      <c r="A87" t="s">
        <v>104</v>
      </c>
      <c r="B87" t="s">
        <v>105</v>
      </c>
      <c r="C87" t="str">
        <f t="shared" si="4"/>
        <v>Premier League</v>
      </c>
      <c r="D87" t="str">
        <f t="shared" si="5"/>
        <v>|Chelsea| |.v| |Leeds United|</v>
      </c>
      <c r="E87" s="69">
        <f t="shared" si="6"/>
        <v>44170.833333333336</v>
      </c>
      <c r="F87" t="s">
        <v>164</v>
      </c>
      <c r="G87" t="str">
        <f>'1st Half Shots'!X8</f>
        <v>Tammy Abraham 3+ Shots On Target</v>
      </c>
      <c r="H87" t="s">
        <v>101</v>
      </c>
      <c r="I87" t="s">
        <v>127</v>
      </c>
      <c r="J87">
        <v>6</v>
      </c>
      <c r="K87">
        <v>0.05</v>
      </c>
      <c r="M87">
        <f t="shared" si="7"/>
        <v>2380.9285714285716</v>
      </c>
      <c r="N87" t="s">
        <v>150</v>
      </c>
      <c r="O87" s="142">
        <f>IF('1st Half Shots'!V8="","1/100",'1st Half Shots'!V8)</f>
        <v>14</v>
      </c>
      <c r="V87" t="s">
        <v>103</v>
      </c>
      <c r="AC87" t="str">
        <f>IF(OR('Match Setup'!$E$5="N",O87="1/100"),"Don't Export","Export")</f>
        <v>Export</v>
      </c>
    </row>
    <row r="88" spans="1:29" x14ac:dyDescent="0.25">
      <c r="A88" t="s">
        <v>104</v>
      </c>
      <c r="B88" t="s">
        <v>105</v>
      </c>
      <c r="C88" t="str">
        <f t="shared" si="4"/>
        <v>Premier League</v>
      </c>
      <c r="D88" t="str">
        <f t="shared" si="5"/>
        <v>|Chelsea| |.v| |Leeds United|</v>
      </c>
      <c r="E88" s="69">
        <f t="shared" si="6"/>
        <v>44170.833333333336</v>
      </c>
      <c r="F88" t="s">
        <v>164</v>
      </c>
      <c r="G88" t="str">
        <f>'1st Half Shots'!X9</f>
        <v>Hakim Ziyech 1+ Shots On Target</v>
      </c>
      <c r="H88" t="s">
        <v>101</v>
      </c>
      <c r="I88" t="s">
        <v>127</v>
      </c>
      <c r="J88">
        <v>7</v>
      </c>
      <c r="K88">
        <v>0.05</v>
      </c>
      <c r="M88">
        <f t="shared" si="7"/>
        <v>36666.300000000003</v>
      </c>
      <c r="N88" t="s">
        <v>150</v>
      </c>
      <c r="O88" s="142">
        <f>IF('1st Half Shots'!V9="","1/100",'1st Half Shots'!V9)</f>
        <v>0.90909090909090906</v>
      </c>
      <c r="V88" t="s">
        <v>103</v>
      </c>
      <c r="AC88" t="str">
        <f>IF(OR('Match Setup'!$E$5="N",O88="1/100"),"Don't Export","Export")</f>
        <v>Export</v>
      </c>
    </row>
    <row r="89" spans="1:29" x14ac:dyDescent="0.25">
      <c r="A89" t="s">
        <v>104</v>
      </c>
      <c r="B89" t="s">
        <v>105</v>
      </c>
      <c r="C89" t="str">
        <f t="shared" si="4"/>
        <v>Premier League</v>
      </c>
      <c r="D89" t="str">
        <f t="shared" si="5"/>
        <v>|Chelsea| |.v| |Leeds United|</v>
      </c>
      <c r="E89" s="69">
        <f t="shared" si="6"/>
        <v>44170.833333333336</v>
      </c>
      <c r="F89" t="s">
        <v>164</v>
      </c>
      <c r="G89" t="str">
        <f>'1st Half Shots'!X10</f>
        <v>Hakim Ziyech 2+ Shots On Target</v>
      </c>
      <c r="H89" t="s">
        <v>101</v>
      </c>
      <c r="I89" t="s">
        <v>127</v>
      </c>
      <c r="J89">
        <v>8</v>
      </c>
      <c r="K89">
        <v>0.05</v>
      </c>
      <c r="M89">
        <f t="shared" si="7"/>
        <v>6666.6</v>
      </c>
      <c r="N89" t="s">
        <v>150</v>
      </c>
      <c r="O89" s="142">
        <f>IF('1st Half Shots'!V10="","1/100",'1st Half Shots'!V10)</f>
        <v>5</v>
      </c>
      <c r="V89" t="s">
        <v>103</v>
      </c>
      <c r="AC89" t="str">
        <f>IF(OR('Match Setup'!$E$5="N",O89="1/100"),"Don't Export","Export")</f>
        <v>Export</v>
      </c>
    </row>
    <row r="90" spans="1:29" x14ac:dyDescent="0.25">
      <c r="A90" t="s">
        <v>104</v>
      </c>
      <c r="B90" t="s">
        <v>105</v>
      </c>
      <c r="C90" t="str">
        <f t="shared" si="4"/>
        <v>Premier League</v>
      </c>
      <c r="D90" t="str">
        <f t="shared" si="5"/>
        <v>|Chelsea| |.v| |Leeds United|</v>
      </c>
      <c r="E90" s="69">
        <f t="shared" si="6"/>
        <v>44170.833333333336</v>
      </c>
      <c r="F90" t="s">
        <v>164</v>
      </c>
      <c r="G90" t="str">
        <f>'1st Half Shots'!X11</f>
        <v>Hakim Ziyech 3+ Shots On Target</v>
      </c>
      <c r="H90" t="s">
        <v>101</v>
      </c>
      <c r="I90" t="s">
        <v>127</v>
      </c>
      <c r="J90">
        <v>9</v>
      </c>
      <c r="K90">
        <v>0.05</v>
      </c>
      <c r="M90">
        <f t="shared" si="7"/>
        <v>1515.1363636363637</v>
      </c>
      <c r="N90" t="s">
        <v>150</v>
      </c>
      <c r="O90" s="142">
        <f>IF('1st Half Shots'!V11="","1/100",'1st Half Shots'!V11)</f>
        <v>22</v>
      </c>
      <c r="V90" t="s">
        <v>103</v>
      </c>
      <c r="AC90" t="str">
        <f>IF(OR('Match Setup'!$E$5="N",O90="1/100"),"Don't Export","Export")</f>
        <v>Export</v>
      </c>
    </row>
    <row r="91" spans="1:29" x14ac:dyDescent="0.25">
      <c r="A91" t="s">
        <v>104</v>
      </c>
      <c r="B91" t="s">
        <v>105</v>
      </c>
      <c r="C91" t="str">
        <f t="shared" si="4"/>
        <v>Premier League</v>
      </c>
      <c r="D91" t="str">
        <f t="shared" si="5"/>
        <v>|Chelsea| |.v| |Leeds United|</v>
      </c>
      <c r="E91" s="69">
        <f t="shared" si="6"/>
        <v>44170.833333333336</v>
      </c>
      <c r="F91" t="s">
        <v>164</v>
      </c>
      <c r="G91" t="str">
        <f>'1st Half Shots'!X12</f>
        <v>Patrick Bamford 1+ Shots On Target</v>
      </c>
      <c r="H91" t="s">
        <v>101</v>
      </c>
      <c r="I91" t="s">
        <v>127</v>
      </c>
      <c r="J91">
        <v>10</v>
      </c>
      <c r="K91">
        <v>0.05</v>
      </c>
      <c r="M91">
        <f t="shared" si="7"/>
        <v>24242.18181818182</v>
      </c>
      <c r="N91" t="s">
        <v>150</v>
      </c>
      <c r="O91" s="142">
        <f>IF('1st Half Shots'!V12="","1/100",'1st Half Shots'!V12)</f>
        <v>1.375</v>
      </c>
      <c r="V91" t="s">
        <v>103</v>
      </c>
      <c r="AC91" t="str">
        <f>IF(OR('Match Setup'!$E$5="N",O91="1/100"),"Don't Export","Export")</f>
        <v>Export</v>
      </c>
    </row>
    <row r="92" spans="1:29" x14ac:dyDescent="0.25">
      <c r="A92" t="s">
        <v>104</v>
      </c>
      <c r="B92" t="s">
        <v>105</v>
      </c>
      <c r="C92" t="str">
        <f t="shared" si="4"/>
        <v>Premier League</v>
      </c>
      <c r="D92" t="str">
        <f t="shared" si="5"/>
        <v>|Chelsea| |.v| |Leeds United|</v>
      </c>
      <c r="E92" s="69">
        <f t="shared" si="6"/>
        <v>44170.833333333336</v>
      </c>
      <c r="F92" t="s">
        <v>164</v>
      </c>
      <c r="G92" t="str">
        <f>'1st Half Shots'!X13</f>
        <v>Patrick Bamford 2+ Shots On Target</v>
      </c>
      <c r="H92" t="s">
        <v>101</v>
      </c>
      <c r="I92" t="s">
        <v>127</v>
      </c>
      <c r="J92">
        <v>11</v>
      </c>
      <c r="K92">
        <v>0.05</v>
      </c>
      <c r="M92">
        <f t="shared" si="7"/>
        <v>3703.6666666666665</v>
      </c>
      <c r="N92" t="s">
        <v>150</v>
      </c>
      <c r="O92" s="142">
        <f>IF('1st Half Shots'!V13="","1/100",'1st Half Shots'!V13)</f>
        <v>9</v>
      </c>
      <c r="V92" t="s">
        <v>103</v>
      </c>
      <c r="AC92" t="str">
        <f>IF(OR('Match Setup'!$E$5="N",O92="1/100"),"Don't Export","Export")</f>
        <v>Export</v>
      </c>
    </row>
    <row r="93" spans="1:29" x14ac:dyDescent="0.25">
      <c r="A93" t="s">
        <v>104</v>
      </c>
      <c r="B93" t="s">
        <v>105</v>
      </c>
      <c r="C93" t="str">
        <f t="shared" si="4"/>
        <v>Premier League</v>
      </c>
      <c r="D93" t="str">
        <f t="shared" si="5"/>
        <v>|Chelsea| |.v| |Leeds United|</v>
      </c>
      <c r="E93" s="69">
        <f t="shared" si="6"/>
        <v>44170.833333333336</v>
      </c>
      <c r="F93" t="s">
        <v>164</v>
      </c>
      <c r="G93" t="str">
        <f>'1st Half Shots'!X14</f>
        <v>Patrick Bamford 3+ Shots On Target</v>
      </c>
      <c r="H93" t="s">
        <v>101</v>
      </c>
      <c r="I93" t="s">
        <v>127</v>
      </c>
      <c r="J93">
        <v>12</v>
      </c>
      <c r="K93">
        <v>0.05</v>
      </c>
      <c r="M93">
        <f t="shared" si="7"/>
        <v>505.04545454545456</v>
      </c>
      <c r="N93" t="s">
        <v>150</v>
      </c>
      <c r="O93" s="142">
        <f>IF('1st Half Shots'!V14="","1/100",'1st Half Shots'!V14)</f>
        <v>66</v>
      </c>
      <c r="V93" t="s">
        <v>103</v>
      </c>
      <c r="AC93" t="str">
        <f>IF(OR('Match Setup'!$E$5="N",O93="1/100"),"Don't Export","Export")</f>
        <v>Export</v>
      </c>
    </row>
    <row r="94" spans="1:29" x14ac:dyDescent="0.25">
      <c r="A94" t="s">
        <v>104</v>
      </c>
      <c r="B94" t="s">
        <v>105</v>
      </c>
      <c r="C94" t="str">
        <f t="shared" si="4"/>
        <v>Premier League</v>
      </c>
      <c r="D94" t="str">
        <f t="shared" si="5"/>
        <v>|Chelsea| |.v| |Leeds United|</v>
      </c>
      <c r="E94" s="69">
        <f t="shared" si="6"/>
        <v>44170.833333333336</v>
      </c>
      <c r="F94" t="s">
        <v>164</v>
      </c>
      <c r="G94" t="str">
        <f>'1st Half Shots'!X15</f>
        <v>Raphinha 1+ Shots On Target</v>
      </c>
      <c r="H94" t="s">
        <v>101</v>
      </c>
      <c r="I94" t="s">
        <v>127</v>
      </c>
      <c r="J94">
        <v>13</v>
      </c>
      <c r="K94">
        <v>0.05</v>
      </c>
      <c r="M94">
        <f t="shared" si="7"/>
        <v>17777.599999999999</v>
      </c>
      <c r="N94" t="s">
        <v>150</v>
      </c>
      <c r="O94" s="142">
        <f>IF('1st Half Shots'!V15="","1/100",'1st Half Shots'!V15)</f>
        <v>1.875</v>
      </c>
      <c r="V94" t="s">
        <v>103</v>
      </c>
      <c r="AC94" t="str">
        <f>IF(OR('Match Setup'!$E$5="N",O94="1/100"),"Don't Export","Export")</f>
        <v>Export</v>
      </c>
    </row>
    <row r="95" spans="1:29" x14ac:dyDescent="0.25">
      <c r="A95" t="s">
        <v>104</v>
      </c>
      <c r="B95" t="s">
        <v>105</v>
      </c>
      <c r="C95" t="str">
        <f t="shared" si="4"/>
        <v>Premier League</v>
      </c>
      <c r="D95" t="str">
        <f t="shared" si="5"/>
        <v>|Chelsea| |.v| |Leeds United|</v>
      </c>
      <c r="E95" s="69">
        <f t="shared" si="6"/>
        <v>44170.833333333336</v>
      </c>
      <c r="F95" t="s">
        <v>164</v>
      </c>
      <c r="G95" t="str">
        <f>'1st Half Shots'!X16</f>
        <v>Raphinha 2+ Shots On Target</v>
      </c>
      <c r="H95" t="s">
        <v>101</v>
      </c>
      <c r="I95" t="s">
        <v>127</v>
      </c>
      <c r="J95">
        <v>14</v>
      </c>
      <c r="K95">
        <v>0.05</v>
      </c>
      <c r="M95">
        <f t="shared" si="7"/>
        <v>2083.3125</v>
      </c>
      <c r="N95" t="s">
        <v>150</v>
      </c>
      <c r="O95" s="142">
        <f>IF('1st Half Shots'!V16="","1/100",'1st Half Shots'!V16)</f>
        <v>16</v>
      </c>
      <c r="V95" t="s">
        <v>103</v>
      </c>
      <c r="AC95" t="str">
        <f>IF(OR('Match Setup'!$E$5="N",O95="1/100"),"Don't Export","Export")</f>
        <v>Export</v>
      </c>
    </row>
    <row r="96" spans="1:29" x14ac:dyDescent="0.25">
      <c r="A96" t="s">
        <v>104</v>
      </c>
      <c r="B96" t="s">
        <v>105</v>
      </c>
      <c r="C96" t="str">
        <f t="shared" si="4"/>
        <v>Premier League</v>
      </c>
      <c r="D96" t="str">
        <f t="shared" si="5"/>
        <v>|Chelsea| |.v| |Leeds United|</v>
      </c>
      <c r="E96" s="69">
        <f t="shared" si="6"/>
        <v>44170.833333333336</v>
      </c>
      <c r="F96" t="s">
        <v>164</v>
      </c>
      <c r="G96" t="str">
        <f>'1st Half Shots'!X17</f>
        <v>Raphinha 3+ Shots On Target</v>
      </c>
      <c r="H96" t="s">
        <v>101</v>
      </c>
      <c r="I96" t="s">
        <v>127</v>
      </c>
      <c r="J96">
        <v>15</v>
      </c>
      <c r="K96">
        <v>0.05</v>
      </c>
      <c r="M96">
        <f t="shared" si="7"/>
        <v>333.33</v>
      </c>
      <c r="N96" t="s">
        <v>150</v>
      </c>
      <c r="O96" s="142">
        <f>IF('1st Half Shots'!V17="","1/100",'1st Half Shots'!V17)</f>
        <v>100</v>
      </c>
      <c r="V96" t="s">
        <v>103</v>
      </c>
      <c r="AC96" t="str">
        <f>IF(OR('Match Setup'!$E$5="N",O96="1/100"),"Don't Export","Export")</f>
        <v>Export</v>
      </c>
    </row>
    <row r="97" spans="1:29" x14ac:dyDescent="0.25">
      <c r="A97" t="s">
        <v>104</v>
      </c>
      <c r="B97" t="s">
        <v>105</v>
      </c>
      <c r="C97" t="str">
        <f t="shared" si="4"/>
        <v>Premier League</v>
      </c>
      <c r="D97" t="str">
        <f t="shared" si="5"/>
        <v>|Chelsea| |.v| |Leeds United|</v>
      </c>
      <c r="E97" s="69">
        <f t="shared" si="6"/>
        <v>44170.833333333336</v>
      </c>
      <c r="F97" t="s">
        <v>164</v>
      </c>
      <c r="G97" t="str">
        <f>'1st Half Shots'!X18</f>
        <v>Mateusz Klich 1+ Shots On Target</v>
      </c>
      <c r="H97" t="s">
        <v>101</v>
      </c>
      <c r="I97" t="s">
        <v>127</v>
      </c>
      <c r="J97">
        <v>16</v>
      </c>
      <c r="K97">
        <v>0.05</v>
      </c>
      <c r="M97">
        <f t="shared" si="7"/>
        <v>9523.7142857142862</v>
      </c>
      <c r="N97" t="s">
        <v>150</v>
      </c>
      <c r="O97" s="142">
        <f>IF('1st Half Shots'!V18="","1/100",'1st Half Shots'!V18)</f>
        <v>3.5</v>
      </c>
      <c r="V97" t="s">
        <v>103</v>
      </c>
      <c r="AC97" t="str">
        <f>IF(OR('Match Setup'!$E$5="N",O97="1/100"),"Don't Export","Export")</f>
        <v>Export</v>
      </c>
    </row>
    <row r="98" spans="1:29" x14ac:dyDescent="0.25">
      <c r="A98" t="s">
        <v>104</v>
      </c>
      <c r="B98" t="s">
        <v>105</v>
      </c>
      <c r="C98" t="str">
        <f t="shared" ref="C98:C139" si="8">TYPE</f>
        <v>Premier League</v>
      </c>
      <c r="D98" t="str">
        <f t="shared" ref="D98:D139" si="9">EVENT</f>
        <v>|Chelsea| |.v| |Leeds United|</v>
      </c>
      <c r="E98" s="69">
        <f t="shared" ref="E98:E139" si="10">DATE</f>
        <v>44170.833333333336</v>
      </c>
      <c r="F98" t="s">
        <v>164</v>
      </c>
      <c r="G98" t="str">
        <f>'1st Half Shots'!X19</f>
        <v>Mateusz Klich 2+ Shots On Target</v>
      </c>
      <c r="H98" t="s">
        <v>101</v>
      </c>
      <c r="I98" t="s">
        <v>127</v>
      </c>
      <c r="J98">
        <v>17</v>
      </c>
      <c r="K98">
        <v>0.05</v>
      </c>
      <c r="M98">
        <f t="shared" si="7"/>
        <v>833.32500000000005</v>
      </c>
      <c r="N98" t="s">
        <v>150</v>
      </c>
      <c r="O98" s="142">
        <f>IF('1st Half Shots'!V19="","1/100",'1st Half Shots'!V19)</f>
        <v>40</v>
      </c>
      <c r="V98" t="s">
        <v>103</v>
      </c>
      <c r="AC98" t="str">
        <f>IF(OR('Match Setup'!$E$5="N",O98="1/100"),"Don't Export","Export")</f>
        <v>Export</v>
      </c>
    </row>
    <row r="99" spans="1:29" x14ac:dyDescent="0.25">
      <c r="A99" t="s">
        <v>104</v>
      </c>
      <c r="B99" t="s">
        <v>105</v>
      </c>
      <c r="C99" t="str">
        <f t="shared" si="8"/>
        <v>Premier League</v>
      </c>
      <c r="D99" t="str">
        <f t="shared" si="9"/>
        <v>|Chelsea| |.v| |Leeds United|</v>
      </c>
      <c r="E99" s="69">
        <f t="shared" si="10"/>
        <v>44170.833333333336</v>
      </c>
      <c r="F99" t="s">
        <v>164</v>
      </c>
      <c r="G99" t="str">
        <f>'1st Half Shots'!X20</f>
        <v>Mateusz Klich 3+ Shots On Target</v>
      </c>
      <c r="H99" t="s">
        <v>101</v>
      </c>
      <c r="I99" t="s">
        <v>127</v>
      </c>
      <c r="J99">
        <v>18</v>
      </c>
      <c r="K99">
        <v>0.05</v>
      </c>
      <c r="M99">
        <f t="shared" si="7"/>
        <v>66.665999999999997</v>
      </c>
      <c r="N99" t="s">
        <v>150</v>
      </c>
      <c r="O99" s="142">
        <f>IF('1st Half Shots'!V20="","1/100",'1st Half Shots'!V20)</f>
        <v>500</v>
      </c>
      <c r="V99" t="s">
        <v>103</v>
      </c>
      <c r="AC99" t="str">
        <f>IF(OR('Match Setup'!$E$5="N",O99="1/100"),"Don't Export","Export")</f>
        <v>Export</v>
      </c>
    </row>
    <row r="100" spans="1:29" x14ac:dyDescent="0.25">
      <c r="A100" t="s">
        <v>104</v>
      </c>
      <c r="B100" t="s">
        <v>105</v>
      </c>
      <c r="C100" t="str">
        <f t="shared" si="8"/>
        <v>Premier League</v>
      </c>
      <c r="D100" t="str">
        <f t="shared" si="9"/>
        <v>|Chelsea| |.v| |Leeds United|</v>
      </c>
      <c r="E100" s="69">
        <f t="shared" si="10"/>
        <v>44170.833333333336</v>
      </c>
      <c r="F100" t="s">
        <v>172</v>
      </c>
      <c r="G100" t="str">
        <f>'1st Half Shots'!X23</f>
        <v>Timo Werner &amp; Tammy Abraham to have 3+ shots on target between them</v>
      </c>
      <c r="H100" t="s">
        <v>101</v>
      </c>
      <c r="I100" t="s">
        <v>127</v>
      </c>
      <c r="K100">
        <v>0.05</v>
      </c>
      <c r="M100">
        <f t="shared" si="7"/>
        <v>11111</v>
      </c>
      <c r="N100" t="s">
        <v>150</v>
      </c>
      <c r="O100" s="142">
        <f>IF('1st Half Shots'!V23="","1/100",'1st Half Shots'!V23)</f>
        <v>3</v>
      </c>
      <c r="V100" t="s">
        <v>103</v>
      </c>
      <c r="AC100" t="str">
        <f>IF(OR('Match Setup'!$E$6="N",O100="1/100"),"Don't Export","Export")</f>
        <v>Export</v>
      </c>
    </row>
    <row r="101" spans="1:29" x14ac:dyDescent="0.25">
      <c r="A101" t="s">
        <v>104</v>
      </c>
      <c r="B101" t="s">
        <v>105</v>
      </c>
      <c r="C101" t="str">
        <f t="shared" si="8"/>
        <v>Premier League</v>
      </c>
      <c r="D101" t="str">
        <f t="shared" si="9"/>
        <v>|Chelsea| |.v| |Leeds United|</v>
      </c>
      <c r="E101" s="69">
        <f t="shared" si="10"/>
        <v>44170.833333333336</v>
      </c>
      <c r="F101" t="s">
        <v>172</v>
      </c>
      <c r="G101" t="str">
        <f>'1st Half Shots'!X24</f>
        <v>Tammy Abraham &amp; Patrick Bamford to have 3+ shots on target between them</v>
      </c>
      <c r="H101" t="s">
        <v>101</v>
      </c>
      <c r="I101" t="s">
        <v>127</v>
      </c>
      <c r="K101">
        <v>0.05</v>
      </c>
      <c r="M101">
        <f t="shared" si="7"/>
        <v>6060.545454545455</v>
      </c>
      <c r="N101" t="s">
        <v>150</v>
      </c>
      <c r="O101" s="142">
        <f>IF('1st Half Shots'!V24="","1/100",'1st Half Shots'!V24)</f>
        <v>5.5</v>
      </c>
      <c r="V101" t="s">
        <v>103</v>
      </c>
      <c r="AC101" t="str">
        <f>IF(OR('Match Setup'!$E$6="N",O101="1/100"),"Don't Export","Export")</f>
        <v>Export</v>
      </c>
    </row>
    <row r="102" spans="1:29" x14ac:dyDescent="0.25">
      <c r="A102" t="s">
        <v>104</v>
      </c>
      <c r="B102" t="s">
        <v>105</v>
      </c>
      <c r="C102" t="str">
        <f t="shared" si="8"/>
        <v>Premier League</v>
      </c>
      <c r="D102" t="str">
        <f t="shared" si="9"/>
        <v>|Chelsea| |.v| |Leeds United|</v>
      </c>
      <c r="E102" s="69">
        <f t="shared" si="10"/>
        <v>44170.833333333336</v>
      </c>
      <c r="F102" t="s">
        <v>172</v>
      </c>
      <c r="G102" t="str">
        <f>'1st Half Shots'!X25</f>
        <v>Timo Werner &amp; Raphinha to have 5+ shots on target between them</v>
      </c>
      <c r="H102" t="s">
        <v>101</v>
      </c>
      <c r="I102" t="s">
        <v>127</v>
      </c>
      <c r="K102">
        <v>0.05</v>
      </c>
      <c r="M102">
        <f t="shared" si="7"/>
        <v>222.22</v>
      </c>
      <c r="N102" t="s">
        <v>150</v>
      </c>
      <c r="O102" s="142">
        <f>IF('1st Half Shots'!V25="","1/100",'1st Half Shots'!V25)</f>
        <v>150</v>
      </c>
      <c r="V102" t="s">
        <v>103</v>
      </c>
      <c r="AC102" t="str">
        <f>IF(OR('Match Setup'!$E$6="N",O102="1/100"),"Don't Export","Export")</f>
        <v>Export</v>
      </c>
    </row>
    <row r="103" spans="1:29" x14ac:dyDescent="0.25">
      <c r="A103" t="s">
        <v>104</v>
      </c>
      <c r="B103" t="s">
        <v>105</v>
      </c>
      <c r="C103" t="str">
        <f t="shared" si="8"/>
        <v>Premier League</v>
      </c>
      <c r="D103" t="str">
        <f t="shared" si="9"/>
        <v>|Chelsea| |.v| |Leeds United|</v>
      </c>
      <c r="E103" s="69">
        <f t="shared" si="10"/>
        <v>44170.833333333336</v>
      </c>
      <c r="F103" t="s">
        <v>172</v>
      </c>
      <c r="G103" t="str">
        <f>'1st Half Shots'!X26</f>
        <v>Raphinha, Tammy Abraham &amp; Mateusz Klich to have 5+ shots on target between them</v>
      </c>
      <c r="H103" t="s">
        <v>101</v>
      </c>
      <c r="I103" t="s">
        <v>127</v>
      </c>
      <c r="K103">
        <v>0.05</v>
      </c>
      <c r="M103">
        <f t="shared" si="7"/>
        <v>505.04545454545456</v>
      </c>
      <c r="N103" t="s">
        <v>150</v>
      </c>
      <c r="O103" s="142">
        <f>IF('1st Half Shots'!V26="","1/100",'1st Half Shots'!V26)</f>
        <v>66</v>
      </c>
      <c r="V103" t="s">
        <v>103</v>
      </c>
      <c r="AC103" t="str">
        <f>IF(OR('Match Setup'!$E$6="N",O103="1/100"),"Don't Export","Export")</f>
        <v>Export</v>
      </c>
    </row>
    <row r="104" spans="1:29" x14ac:dyDescent="0.25">
      <c r="A104" t="s">
        <v>104</v>
      </c>
      <c r="B104" t="s">
        <v>105</v>
      </c>
      <c r="C104" t="str">
        <f t="shared" si="8"/>
        <v>Premier League</v>
      </c>
      <c r="D104" t="str">
        <f t="shared" si="9"/>
        <v>|Chelsea| |.v| |Leeds United|</v>
      </c>
      <c r="E104" s="69">
        <f t="shared" si="10"/>
        <v>44170.833333333336</v>
      </c>
      <c r="F104" t="s">
        <v>172</v>
      </c>
      <c r="G104" t="str">
        <f>'1st Half Shots'!X27</f>
        <v>Timo Werner, Tammy Abraham, Patrick Bamford &amp; Raphinha to have 7+ shots on target between them</v>
      </c>
      <c r="H104" t="s">
        <v>101</v>
      </c>
      <c r="I104" t="s">
        <v>127</v>
      </c>
      <c r="K104">
        <v>0.05</v>
      </c>
      <c r="M104">
        <f t="shared" si="7"/>
        <v>1010.0909090909091</v>
      </c>
      <c r="N104" t="s">
        <v>150</v>
      </c>
      <c r="O104" s="142">
        <f>IF('1st Half Shots'!V27="","1/100",'1st Half Shots'!V27)</f>
        <v>33</v>
      </c>
      <c r="V104" t="s">
        <v>103</v>
      </c>
      <c r="AC104" t="str">
        <f>IF(OR('Match Setup'!$E$6="N",O104="1/100"),"Don't Export","Export")</f>
        <v>Export</v>
      </c>
    </row>
    <row r="105" spans="1:29" x14ac:dyDescent="0.25">
      <c r="A105" t="s">
        <v>104</v>
      </c>
      <c r="B105" t="s">
        <v>105</v>
      </c>
      <c r="C105" t="str">
        <f t="shared" si="8"/>
        <v>Premier League</v>
      </c>
      <c r="D105" t="str">
        <f t="shared" si="9"/>
        <v>|Chelsea| |.v| |Leeds United|</v>
      </c>
      <c r="E105" s="69">
        <f t="shared" si="10"/>
        <v>44170.833333333336</v>
      </c>
      <c r="F105" t="s">
        <v>172</v>
      </c>
      <c r="G105" t="str">
        <f>'1st Half Shots'!X28</f>
        <v>Timo Werner, Tammy Abraham, Patrick Bamford &amp; Raphinha to have 5+ shots on target between them</v>
      </c>
      <c r="H105" t="s">
        <v>101</v>
      </c>
      <c r="I105" t="s">
        <v>127</v>
      </c>
      <c r="K105">
        <v>0.05</v>
      </c>
      <c r="M105">
        <f t="shared" si="7"/>
        <v>6666.6</v>
      </c>
      <c r="N105" t="s">
        <v>150</v>
      </c>
      <c r="O105" s="142">
        <f>IF('1st Half Shots'!V28="","1/100",'1st Half Shots'!V28)</f>
        <v>5</v>
      </c>
      <c r="V105" t="s">
        <v>103</v>
      </c>
      <c r="AC105" t="str">
        <f>IF(OR('Match Setup'!$E$6="N",O105="1/100"),"Don't Export","Export")</f>
        <v>Export</v>
      </c>
    </row>
    <row r="106" spans="1:29" x14ac:dyDescent="0.25">
      <c r="A106" t="s">
        <v>104</v>
      </c>
      <c r="B106" t="s">
        <v>105</v>
      </c>
      <c r="C106" t="str">
        <f t="shared" si="8"/>
        <v>Premier League</v>
      </c>
      <c r="D106" t="str">
        <f t="shared" si="9"/>
        <v>|Chelsea| |.v| |Leeds United|</v>
      </c>
      <c r="E106" s="69">
        <f t="shared" si="10"/>
        <v>44170.833333333336</v>
      </c>
      <c r="F106" t="s">
        <v>172</v>
      </c>
      <c r="G106" t="str">
        <f>'1st Half Shots'!X29</f>
        <v>Patrick Bamford &amp; Raphinha to have 5+ shots on target between them</v>
      </c>
      <c r="H106" t="s">
        <v>101</v>
      </c>
      <c r="I106" t="s">
        <v>127</v>
      </c>
      <c r="K106">
        <v>0.05</v>
      </c>
      <c r="M106">
        <f t="shared" si="7"/>
        <v>66.665999999999997</v>
      </c>
      <c r="N106" t="s">
        <v>150</v>
      </c>
      <c r="O106" s="142">
        <f>IF('1st Half Shots'!V29="","1/100",'1st Half Shots'!V29)</f>
        <v>500</v>
      </c>
      <c r="V106" t="s">
        <v>103</v>
      </c>
      <c r="AC106" t="str">
        <f>IF(OR('Match Setup'!$E$6="N",O106="1/100"),"Don't Export","Export")</f>
        <v>Export</v>
      </c>
    </row>
    <row r="107" spans="1:29" x14ac:dyDescent="0.25">
      <c r="A107" t="s">
        <v>104</v>
      </c>
      <c r="B107" t="s">
        <v>105</v>
      </c>
      <c r="C107" t="str">
        <f t="shared" si="8"/>
        <v>Premier League</v>
      </c>
      <c r="D107" t="str">
        <f t="shared" si="9"/>
        <v>|Chelsea| |.v| |Leeds United|</v>
      </c>
      <c r="E107" s="69">
        <f t="shared" si="10"/>
        <v>44170.833333333336</v>
      </c>
      <c r="F107" t="s">
        <v>172</v>
      </c>
      <c r="G107" t="str">
        <f>'1st Half Shots'!X30</f>
        <v>Timo Werner &amp; Tammy Abraham to have 5+ shots on target between them</v>
      </c>
      <c r="H107" t="s">
        <v>101</v>
      </c>
      <c r="I107" t="s">
        <v>127</v>
      </c>
      <c r="K107">
        <v>0.05</v>
      </c>
      <c r="M107">
        <f t="shared" si="7"/>
        <v>1010.0909090909091</v>
      </c>
      <c r="N107" t="s">
        <v>150</v>
      </c>
      <c r="O107" s="142">
        <f>IF('1st Half Shots'!V30="","1/100",'1st Half Shots'!V30)</f>
        <v>33</v>
      </c>
      <c r="V107" t="s">
        <v>103</v>
      </c>
      <c r="AC107" t="str">
        <f>IF(OR('Match Setup'!$E$6="N",O107="1/100"),"Don't Export","Export")</f>
        <v>Export</v>
      </c>
    </row>
    <row r="108" spans="1:29" x14ac:dyDescent="0.25">
      <c r="A108" t="s">
        <v>104</v>
      </c>
      <c r="B108" t="s">
        <v>105</v>
      </c>
      <c r="C108" t="str">
        <f t="shared" si="8"/>
        <v>Premier League</v>
      </c>
      <c r="D108" t="str">
        <f t="shared" si="9"/>
        <v>|Chelsea| |.v| |Leeds United|</v>
      </c>
      <c r="E108" s="69">
        <f t="shared" si="10"/>
        <v>44170.833333333336</v>
      </c>
      <c r="F108" t="s">
        <v>172</v>
      </c>
      <c r="G108" t="str">
        <f>'1st Half Shots'!X31</f>
        <v>Tammy Abraham, Patrick Bamford &amp; Timo Werner to have 4+ shots on target between them</v>
      </c>
      <c r="H108" t="s">
        <v>101</v>
      </c>
      <c r="I108" t="s">
        <v>127</v>
      </c>
      <c r="K108">
        <v>0.05</v>
      </c>
      <c r="M108">
        <f t="shared" si="7"/>
        <v>6666.6</v>
      </c>
      <c r="N108" t="s">
        <v>150</v>
      </c>
      <c r="O108" s="142">
        <f>IF('1st Half Shots'!V31="","1/100",'1st Half Shots'!V31)</f>
        <v>5</v>
      </c>
      <c r="V108" t="s">
        <v>103</v>
      </c>
      <c r="AC108" t="str">
        <f>IF(OR('Match Setup'!$E$6="N",O108="1/100"),"Don't Export","Export")</f>
        <v>Export</v>
      </c>
    </row>
    <row r="109" spans="1:29" x14ac:dyDescent="0.25">
      <c r="A109" t="s">
        <v>104</v>
      </c>
      <c r="B109" t="s">
        <v>105</v>
      </c>
      <c r="C109" t="str">
        <f t="shared" si="8"/>
        <v>Premier League</v>
      </c>
      <c r="D109" t="str">
        <f t="shared" si="9"/>
        <v>|Chelsea| |.v| |Leeds United|</v>
      </c>
      <c r="E109" s="69">
        <f t="shared" si="10"/>
        <v>44170.833333333336</v>
      </c>
      <c r="F109" t="s">
        <v>172</v>
      </c>
      <c r="G109" t="str">
        <f>'1st Half Shots'!X32</f>
        <v>Mateusz Klich &amp; Hakim Ziyech to have 5+ shots on target between them</v>
      </c>
      <c r="H109" t="s">
        <v>101</v>
      </c>
      <c r="I109" t="s">
        <v>127</v>
      </c>
      <c r="K109">
        <v>0.05</v>
      </c>
      <c r="M109">
        <f t="shared" si="7"/>
        <v>133.33199999999999</v>
      </c>
      <c r="N109" t="s">
        <v>150</v>
      </c>
      <c r="O109" s="142">
        <f>IF('1st Half Shots'!V32="","1/100",'1st Half Shots'!V32)</f>
        <v>250</v>
      </c>
      <c r="V109" t="s">
        <v>103</v>
      </c>
      <c r="AC109" t="str">
        <f>IF(OR('Match Setup'!$E$6="N",O109="1/100"),"Don't Export","Export")</f>
        <v>Export</v>
      </c>
    </row>
    <row r="110" spans="1:29" x14ac:dyDescent="0.25">
      <c r="A110" t="s">
        <v>104</v>
      </c>
      <c r="B110" t="s">
        <v>105</v>
      </c>
      <c r="C110" t="str">
        <f t="shared" si="8"/>
        <v>Premier League</v>
      </c>
      <c r="D110" t="str">
        <f t="shared" si="9"/>
        <v>|Chelsea| |.v| |Leeds United|</v>
      </c>
      <c r="E110" s="69">
        <f t="shared" si="10"/>
        <v>44170.833333333336</v>
      </c>
      <c r="F110" t="s">
        <v>168</v>
      </c>
      <c r="G110" t="str">
        <f>'Stats RABs'!AO3</f>
        <v>Timo Werner 3+ shots on target and N'Golo Kante 3+ tackles</v>
      </c>
      <c r="H110" t="s">
        <v>101</v>
      </c>
      <c r="I110" t="s">
        <v>127</v>
      </c>
      <c r="K110">
        <v>0.05</v>
      </c>
      <c r="M110">
        <f t="shared" si="7"/>
        <v>4166.625</v>
      </c>
      <c r="N110" t="s">
        <v>150</v>
      </c>
      <c r="O110" s="142">
        <f>IF('Stats RABs'!AM3="","1/100",'Stats RABs'!AM3)</f>
        <v>8</v>
      </c>
      <c r="V110" t="s">
        <v>103</v>
      </c>
      <c r="AC110" t="str">
        <f>IF(OR(O110="1/100",'Match Setup'!$E$8="N",'Match Setup'!$E$8=""),"Don't Export","Export")</f>
        <v>Don't Export</v>
      </c>
    </row>
    <row r="111" spans="1:29" x14ac:dyDescent="0.25">
      <c r="A111" t="s">
        <v>104</v>
      </c>
      <c r="B111" t="s">
        <v>105</v>
      </c>
      <c r="C111" t="str">
        <f t="shared" si="8"/>
        <v>Premier League</v>
      </c>
      <c r="D111" t="str">
        <f t="shared" si="9"/>
        <v>|Chelsea| |.v| |Leeds United|</v>
      </c>
      <c r="E111" s="69">
        <f t="shared" si="10"/>
        <v>44170.833333333336</v>
      </c>
      <c r="F111" t="s">
        <v>168</v>
      </c>
      <c r="G111" t="str">
        <f>'Stats RABs'!AO4</f>
        <v>Tammy Abraham 2+ shots on target and Reece James 3+ tackles</v>
      </c>
      <c r="H111" t="s">
        <v>101</v>
      </c>
      <c r="I111" t="s">
        <v>127</v>
      </c>
      <c r="K111">
        <v>0.05</v>
      </c>
      <c r="M111">
        <f t="shared" si="7"/>
        <v>12121.09090909091</v>
      </c>
      <c r="N111" t="s">
        <v>150</v>
      </c>
      <c r="O111" s="142">
        <f>IF('Stats RABs'!AM4="","1/100",'Stats RABs'!AM4)</f>
        <v>2.75</v>
      </c>
      <c r="V111" t="s">
        <v>103</v>
      </c>
      <c r="AC111" t="str">
        <f>IF(OR(O111="1/100",'Match Setup'!$E$8="N",'Match Setup'!$E$8=""),"Don't Export","Export")</f>
        <v>Don't Export</v>
      </c>
    </row>
    <row r="112" spans="1:29" x14ac:dyDescent="0.25">
      <c r="A112" t="s">
        <v>104</v>
      </c>
      <c r="B112" t="s">
        <v>105</v>
      </c>
      <c r="C112" t="str">
        <f t="shared" si="8"/>
        <v>Premier League</v>
      </c>
      <c r="D112" t="str">
        <f t="shared" si="9"/>
        <v>|Chelsea| |.v| |Leeds United|</v>
      </c>
      <c r="E112" s="69">
        <f t="shared" si="10"/>
        <v>44170.833333333336</v>
      </c>
      <c r="F112" t="s">
        <v>168</v>
      </c>
      <c r="G112" t="str">
        <f>'Stats RABs'!AO5</f>
        <v>Patrick Bamford 2+ shots on target and Kalvin Phillips 4+ tackles</v>
      </c>
      <c r="H112" t="s">
        <v>101</v>
      </c>
      <c r="I112" t="s">
        <v>127</v>
      </c>
      <c r="K112">
        <v>0.05</v>
      </c>
      <c r="M112">
        <f t="shared" si="7"/>
        <v>4444.3999999999996</v>
      </c>
      <c r="N112" t="s">
        <v>150</v>
      </c>
      <c r="O112" s="142">
        <f>IF('Stats RABs'!AM5="","1/100",'Stats RABs'!AM5)</f>
        <v>7.5</v>
      </c>
      <c r="V112" t="s">
        <v>103</v>
      </c>
      <c r="AC112" t="str">
        <f>IF(OR(O112="1/100",'Match Setup'!$E$8="N",'Match Setup'!$E$8=""),"Don't Export","Export")</f>
        <v>Don't Export</v>
      </c>
    </row>
    <row r="113" spans="1:29" x14ac:dyDescent="0.25">
      <c r="A113" t="s">
        <v>104</v>
      </c>
      <c r="B113" t="s">
        <v>105</v>
      </c>
      <c r="C113" t="str">
        <f t="shared" si="8"/>
        <v>Premier League</v>
      </c>
      <c r="D113" t="str">
        <f t="shared" si="9"/>
        <v>|Chelsea| |.v| |Leeds United|</v>
      </c>
      <c r="E113" s="69">
        <f t="shared" si="10"/>
        <v>44170.833333333336</v>
      </c>
      <c r="F113" t="s">
        <v>168</v>
      </c>
      <c r="G113" t="str">
        <f>'Stats RABs'!AO6</f>
        <v>Raphinha 2+ shots on target and Stuart Dallas 2+ tackles</v>
      </c>
      <c r="H113" t="s">
        <v>101</v>
      </c>
      <c r="I113" t="s">
        <v>127</v>
      </c>
      <c r="K113">
        <v>0.05</v>
      </c>
      <c r="M113">
        <f t="shared" si="7"/>
        <v>5555.5</v>
      </c>
      <c r="N113" t="s">
        <v>150</v>
      </c>
      <c r="O113" s="142">
        <f>IF('Stats RABs'!AM6="","1/100",'Stats RABs'!AM6)</f>
        <v>6</v>
      </c>
      <c r="V113" t="s">
        <v>103</v>
      </c>
      <c r="AC113" t="str">
        <f>IF(OR(O113="1/100",'Match Setup'!$E$8="N",'Match Setup'!$E$8=""),"Don't Export","Export")</f>
        <v>Don't Export</v>
      </c>
    </row>
    <row r="114" spans="1:29" x14ac:dyDescent="0.25">
      <c r="A114" t="s">
        <v>104</v>
      </c>
      <c r="B114" t="s">
        <v>105</v>
      </c>
      <c r="C114" t="str">
        <f t="shared" si="8"/>
        <v>Premier League</v>
      </c>
      <c r="D114" t="str">
        <f t="shared" si="9"/>
        <v>|Chelsea| |.v| |Leeds United|</v>
      </c>
      <c r="E114" s="69">
        <f t="shared" si="10"/>
        <v>44170.833333333336</v>
      </c>
      <c r="F114" t="s">
        <v>168</v>
      </c>
      <c r="G114" t="str">
        <f>'Stats RABs'!AO7</f>
        <v xml:space="preserve">Timo Werner &amp; Patrick Bamford 2+ shots on target each and N'Golo Kante &amp; Kalvin Phillips 2+ tackles each </v>
      </c>
      <c r="H114" t="s">
        <v>101</v>
      </c>
      <c r="I114" t="s">
        <v>127</v>
      </c>
      <c r="K114">
        <v>0.05</v>
      </c>
      <c r="M114">
        <f t="shared" si="7"/>
        <v>3333.3</v>
      </c>
      <c r="N114" t="s">
        <v>150</v>
      </c>
      <c r="O114" s="142">
        <f>IF('Stats RABs'!AM7="","1/100",'Stats RABs'!AM7)</f>
        <v>10</v>
      </c>
      <c r="V114" t="s">
        <v>103</v>
      </c>
      <c r="AC114" t="str">
        <f>IF(OR(O114="1/100",'Match Setup'!$E$8="N",'Match Setup'!$E$8=""),"Don't Export","Export")</f>
        <v>Don't Export</v>
      </c>
    </row>
    <row r="115" spans="1:29" x14ac:dyDescent="0.25">
      <c r="A115" t="s">
        <v>104</v>
      </c>
      <c r="B115" t="s">
        <v>105</v>
      </c>
      <c r="C115" t="str">
        <f t="shared" si="8"/>
        <v>Premier League</v>
      </c>
      <c r="D115" t="str">
        <f t="shared" si="9"/>
        <v>|Chelsea| |.v| |Leeds United|</v>
      </c>
      <c r="E115" s="69">
        <f t="shared" si="10"/>
        <v>44170.833333333336</v>
      </c>
      <c r="F115" t="s">
        <v>168</v>
      </c>
      <c r="G115" t="str">
        <f>'Stats RABs'!AO8</f>
        <v xml:space="preserve">Tammy Abraham &amp; Raphinha 1+ shots on target each and Reece James &amp; Stuart Dallas 2+ tackles each </v>
      </c>
      <c r="H115" t="s">
        <v>101</v>
      </c>
      <c r="I115" t="s">
        <v>127</v>
      </c>
      <c r="K115">
        <v>0.05</v>
      </c>
      <c r="M115">
        <f t="shared" si="7"/>
        <v>11111</v>
      </c>
      <c r="N115" t="s">
        <v>150</v>
      </c>
      <c r="O115" s="142">
        <f>IF('Stats RABs'!AM8="","1/100",'Stats RABs'!AM8)</f>
        <v>3</v>
      </c>
      <c r="V115" t="s">
        <v>103</v>
      </c>
      <c r="AC115" t="str">
        <f>IF(OR(O115="1/100",'Match Setup'!$E$8="N",'Match Setup'!$E$8=""),"Don't Export","Export")</f>
        <v>Don't Export</v>
      </c>
    </row>
    <row r="116" spans="1:29" x14ac:dyDescent="0.25">
      <c r="A116" t="s">
        <v>104</v>
      </c>
      <c r="B116" t="s">
        <v>105</v>
      </c>
      <c r="C116" t="str">
        <f t="shared" si="8"/>
        <v>Premier League</v>
      </c>
      <c r="D116" t="str">
        <f t="shared" si="9"/>
        <v>|Chelsea| |.v| |Leeds United|</v>
      </c>
      <c r="E116" s="69">
        <f t="shared" si="10"/>
        <v>44170.833333333336</v>
      </c>
      <c r="F116" t="s">
        <v>168</v>
      </c>
      <c r="G116" t="str">
        <f>'Stats RABs'!AO9</f>
        <v xml:space="preserve">Patrick Bamford &amp; Tammy Abraham 2+ shots on target each and Kalvin Phillips &amp; Reece James 1+ tackles each </v>
      </c>
      <c r="H116" t="s">
        <v>101</v>
      </c>
      <c r="I116" t="s">
        <v>127</v>
      </c>
      <c r="K116">
        <v>0.05</v>
      </c>
      <c r="M116">
        <f t="shared" si="7"/>
        <v>5555.5</v>
      </c>
      <c r="N116" t="s">
        <v>150</v>
      </c>
      <c r="O116" s="142">
        <f>IF('Stats RABs'!AM9="","1/100",'Stats RABs'!AM9)</f>
        <v>6</v>
      </c>
      <c r="V116" t="s">
        <v>103</v>
      </c>
      <c r="AC116" t="str">
        <f>IF(OR(O116="1/100",'Match Setup'!$E$8="N",'Match Setup'!$E$8=""),"Don't Export","Export")</f>
        <v>Don't Export</v>
      </c>
    </row>
    <row r="117" spans="1:29" x14ac:dyDescent="0.25">
      <c r="A117" t="s">
        <v>104</v>
      </c>
      <c r="B117" t="s">
        <v>105</v>
      </c>
      <c r="C117" t="str">
        <f t="shared" si="8"/>
        <v>Premier League</v>
      </c>
      <c r="D117" t="str">
        <f t="shared" si="9"/>
        <v>|Chelsea| |.v| |Leeds United|</v>
      </c>
      <c r="E117" s="69">
        <f t="shared" si="10"/>
        <v>44170.833333333336</v>
      </c>
      <c r="F117" t="s">
        <v>168</v>
      </c>
      <c r="G117" t="str">
        <f>'Stats RABs'!AO10</f>
        <v xml:space="preserve">Raphinha &amp; Timo Werner 1+ shots on target each and Stuart Dallas &amp; N'Golo Kante 3+ tackles each </v>
      </c>
      <c r="H117" t="s">
        <v>101</v>
      </c>
      <c r="I117" t="s">
        <v>127</v>
      </c>
      <c r="K117">
        <v>0.05</v>
      </c>
      <c r="M117">
        <f t="shared" si="7"/>
        <v>3703.6666666666665</v>
      </c>
      <c r="N117" t="s">
        <v>150</v>
      </c>
      <c r="O117" s="142">
        <f>IF('Stats RABs'!AM10="","1/100",'Stats RABs'!AM10)</f>
        <v>9</v>
      </c>
      <c r="V117" t="s">
        <v>103</v>
      </c>
      <c r="AC117" t="str">
        <f>IF(OR(O117="1/100",'Match Setup'!$E$8="N",'Match Setup'!$E$8=""),"Don't Export","Export")</f>
        <v>Don't Export</v>
      </c>
    </row>
    <row r="118" spans="1:29" x14ac:dyDescent="0.25">
      <c r="A118" t="s">
        <v>104</v>
      </c>
      <c r="B118" t="s">
        <v>105</v>
      </c>
      <c r="C118" t="str">
        <f t="shared" si="8"/>
        <v>Premier League</v>
      </c>
      <c r="D118" t="str">
        <f t="shared" si="9"/>
        <v>|Chelsea| |.v| |Leeds United|</v>
      </c>
      <c r="E118" s="69">
        <f t="shared" si="10"/>
        <v>44170.833333333336</v>
      </c>
      <c r="F118" t="s">
        <v>168</v>
      </c>
      <c r="G118" t="str">
        <f>'Stats RABs'!AO11</f>
        <v>Hakim Ziyech 2+ shots on target and Kalvin Phillips 5+ tackles</v>
      </c>
      <c r="H118" t="s">
        <v>101</v>
      </c>
      <c r="I118" t="s">
        <v>127</v>
      </c>
      <c r="K118">
        <v>0.05</v>
      </c>
      <c r="M118">
        <f t="shared" si="7"/>
        <v>3703.6666666666665</v>
      </c>
      <c r="N118" t="s">
        <v>150</v>
      </c>
      <c r="O118" s="142">
        <f>IF('Stats RABs'!AM11="","1/100",'Stats RABs'!AM11)</f>
        <v>9</v>
      </c>
      <c r="V118" t="s">
        <v>103</v>
      </c>
      <c r="AC118" t="str">
        <f>IF(OR(O118="1/100",'Match Setup'!$E$8="N",'Match Setup'!$E$8=""),"Don't Export","Export")</f>
        <v>Don't Export</v>
      </c>
    </row>
    <row r="119" spans="1:29" x14ac:dyDescent="0.25">
      <c r="A119" t="s">
        <v>104</v>
      </c>
      <c r="B119" t="s">
        <v>105</v>
      </c>
      <c r="C119" t="str">
        <f t="shared" si="8"/>
        <v>Premier League</v>
      </c>
      <c r="D119" t="str">
        <f t="shared" si="9"/>
        <v>|Chelsea| |.v| |Leeds United|</v>
      </c>
      <c r="E119" s="69">
        <f t="shared" si="10"/>
        <v>44170.833333333336</v>
      </c>
      <c r="F119" t="s">
        <v>168</v>
      </c>
      <c r="G119" t="str">
        <f>'Stats RABs'!AO12</f>
        <v xml:space="preserve">Mateusz Klich &amp; Timo Werner 2+ shots on target each and Luke Ayling &amp; Mateo Kovacic 2+ tackles each </v>
      </c>
      <c r="H119" t="s">
        <v>101</v>
      </c>
      <c r="I119" t="s">
        <v>127</v>
      </c>
      <c r="K119">
        <v>0.05</v>
      </c>
      <c r="M119">
        <f t="shared" si="7"/>
        <v>666.66</v>
      </c>
      <c r="N119" t="s">
        <v>150</v>
      </c>
      <c r="O119" s="142">
        <f>IF('Stats RABs'!AM12="","1/100",'Stats RABs'!AM12)</f>
        <v>50</v>
      </c>
      <c r="V119" t="s">
        <v>103</v>
      </c>
      <c r="AC119" t="str">
        <f>IF(OR(O119="1/100",'Match Setup'!$E$8="N",'Match Setup'!$E$8=""),"Don't Export","Export")</f>
        <v>Don't Export</v>
      </c>
    </row>
    <row r="120" spans="1:29" x14ac:dyDescent="0.25">
      <c r="A120" t="s">
        <v>104</v>
      </c>
      <c r="B120" t="s">
        <v>105</v>
      </c>
      <c r="C120" t="str">
        <f t="shared" si="8"/>
        <v>Premier League</v>
      </c>
      <c r="D120" t="str">
        <f t="shared" si="9"/>
        <v>|Chelsea| |.v| |Leeds United|</v>
      </c>
      <c r="E120" s="69">
        <f t="shared" si="10"/>
        <v>44170.833333333336</v>
      </c>
      <c r="F120" t="s">
        <v>168</v>
      </c>
      <c r="G120" t="str">
        <f>'Stats RABs'!AO13</f>
        <v xml:space="preserve">Patrick Bamford &amp; Hakim Ziyech 2+ shots on target each and Ezgjan Alioski &amp; Ben Chilwell 2+ tackles each </v>
      </c>
      <c r="H120" t="s">
        <v>101</v>
      </c>
      <c r="I120" t="s">
        <v>127</v>
      </c>
      <c r="K120">
        <v>0.05</v>
      </c>
      <c r="M120">
        <f t="shared" si="7"/>
        <v>1666.65</v>
      </c>
      <c r="N120" t="s">
        <v>150</v>
      </c>
      <c r="O120" s="142">
        <f>IF('Stats RABs'!AM13="","1/100",'Stats RABs'!AM13)</f>
        <v>20</v>
      </c>
      <c r="V120" t="s">
        <v>103</v>
      </c>
      <c r="AC120" t="str">
        <f>IF(OR(O120="1/100",'Match Setup'!$E$8="N",'Match Setup'!$E$8=""),"Don't Export","Export")</f>
        <v>Don't Export</v>
      </c>
    </row>
    <row r="121" spans="1:29" x14ac:dyDescent="0.25">
      <c r="A121" t="s">
        <v>104</v>
      </c>
      <c r="B121" t="s">
        <v>105</v>
      </c>
      <c r="C121" t="str">
        <f t="shared" si="8"/>
        <v>Premier League</v>
      </c>
      <c r="D121" t="str">
        <f t="shared" si="9"/>
        <v>|Chelsea| |.v| |Leeds United|</v>
      </c>
      <c r="E121" s="69">
        <f t="shared" si="10"/>
        <v>44170.833333333336</v>
      </c>
      <c r="F121" t="s">
        <v>168</v>
      </c>
      <c r="G121" t="str">
        <f>'Stats RABs'!AO14</f>
        <v>Timo Werner 2+ shots on target and Kalvin Phillips 5+ tackles</v>
      </c>
      <c r="H121" t="s">
        <v>101</v>
      </c>
      <c r="I121" t="s">
        <v>127</v>
      </c>
      <c r="K121">
        <v>0.05</v>
      </c>
      <c r="M121">
        <f t="shared" si="7"/>
        <v>4166.625</v>
      </c>
      <c r="N121" t="s">
        <v>150</v>
      </c>
      <c r="O121" s="142">
        <f>IF('Stats RABs'!AM14="","1/100",'Stats RABs'!AM14)</f>
        <v>8</v>
      </c>
      <c r="V121" t="s">
        <v>103</v>
      </c>
      <c r="AC121" t="str">
        <f>IF(OR(O121="1/100",'Match Setup'!$E$8="N",'Match Setup'!$E$8=""),"Don't Export","Export")</f>
        <v>Don't Export</v>
      </c>
    </row>
    <row r="122" spans="1:29" x14ac:dyDescent="0.25">
      <c r="A122" t="s">
        <v>104</v>
      </c>
      <c r="B122" t="s">
        <v>105</v>
      </c>
      <c r="C122" t="str">
        <f t="shared" si="8"/>
        <v>Premier League</v>
      </c>
      <c r="D122" t="str">
        <f t="shared" si="9"/>
        <v>|Chelsea| |.v| |Leeds United|</v>
      </c>
      <c r="E122" s="69">
        <f t="shared" si="10"/>
        <v>44170.833333333336</v>
      </c>
      <c r="F122" t="s">
        <v>168</v>
      </c>
      <c r="G122" t="str">
        <f>'Stats RABs'!AO15</f>
        <v xml:space="preserve">Mateusz Klich &amp; Hakim Ziyech 2+ shots on target each and Thiago Silva &amp; Robin Koch 2+ tackles each </v>
      </c>
      <c r="H122" t="s">
        <v>101</v>
      </c>
      <c r="I122" t="s">
        <v>127</v>
      </c>
      <c r="K122">
        <v>0.05</v>
      </c>
      <c r="M122">
        <f t="shared" si="7"/>
        <v>222.22</v>
      </c>
      <c r="N122" t="s">
        <v>150</v>
      </c>
      <c r="O122" s="142">
        <f>IF('Stats RABs'!AM15="","1/100",'Stats RABs'!AM15)</f>
        <v>150</v>
      </c>
      <c r="V122" t="s">
        <v>103</v>
      </c>
      <c r="AC122" t="str">
        <f>IF(OR(O122="1/100",'Match Setup'!$E$8="N",'Match Setup'!$E$8=""),"Don't Export","Export")</f>
        <v>Don't Export</v>
      </c>
    </row>
    <row r="123" spans="1:29" x14ac:dyDescent="0.25">
      <c r="A123" t="s">
        <v>104</v>
      </c>
      <c r="B123" t="s">
        <v>105</v>
      </c>
      <c r="C123" t="str">
        <f t="shared" si="8"/>
        <v>Premier League</v>
      </c>
      <c r="D123" t="str">
        <f t="shared" si="9"/>
        <v>|Chelsea| |.v| |Leeds United|</v>
      </c>
      <c r="E123" s="69">
        <f t="shared" si="10"/>
        <v>44170.833333333336</v>
      </c>
      <c r="F123" t="s">
        <v>168</v>
      </c>
      <c r="G123" t="str">
        <f>'Stats RABs'!AO16</f>
        <v>Timo Werner 3+ shots on target and Robin Koch 1+ tackles</v>
      </c>
      <c r="H123" t="s">
        <v>101</v>
      </c>
      <c r="I123" t="s">
        <v>127</v>
      </c>
      <c r="K123">
        <v>0.05</v>
      </c>
      <c r="M123">
        <f t="shared" si="7"/>
        <v>8333.25</v>
      </c>
      <c r="N123" t="s">
        <v>150</v>
      </c>
      <c r="O123" s="142">
        <f>IF('Stats RABs'!AM16="","1/100",'Stats RABs'!AM16)</f>
        <v>4</v>
      </c>
      <c r="V123" t="s">
        <v>103</v>
      </c>
      <c r="AC123" t="str">
        <f>IF(OR(O123="1/100",'Match Setup'!$E$8="N",'Match Setup'!$E$8=""),"Don't Export","Export")</f>
        <v>Don't Export</v>
      </c>
    </row>
    <row r="124" spans="1:29" x14ac:dyDescent="0.25">
      <c r="A124" t="s">
        <v>104</v>
      </c>
      <c r="B124" t="s">
        <v>105</v>
      </c>
      <c r="C124" t="str">
        <f t="shared" si="8"/>
        <v>Premier League</v>
      </c>
      <c r="D124" t="str">
        <f t="shared" si="9"/>
        <v>|Chelsea| |.v| |Leeds United|</v>
      </c>
      <c r="E124" s="69">
        <f t="shared" si="10"/>
        <v>44170.833333333336</v>
      </c>
      <c r="F124" t="s">
        <v>168</v>
      </c>
      <c r="G124" t="str">
        <f>'Stats RABs'!AO17</f>
        <v xml:space="preserve">Raphinha &amp; Timo Werner 2+ shots on target each and Reece James &amp; Stuart Dallas 2+ tackles each </v>
      </c>
      <c r="H124" t="s">
        <v>101</v>
      </c>
      <c r="I124" t="s">
        <v>127</v>
      </c>
      <c r="K124">
        <v>0.05</v>
      </c>
      <c r="M124">
        <f t="shared" si="7"/>
        <v>1666.65</v>
      </c>
      <c r="N124" t="s">
        <v>150</v>
      </c>
      <c r="O124" s="142">
        <f>IF('Stats RABs'!AM17="","1/100",'Stats RABs'!AM17)</f>
        <v>20</v>
      </c>
      <c r="V124" t="s">
        <v>103</v>
      </c>
      <c r="AC124" t="str">
        <f>IF(OR(O124="1/100",'Match Setup'!$E$8="N",'Match Setup'!$E$8=""),"Don't Export","Export")</f>
        <v>Don't Export</v>
      </c>
    </row>
    <row r="125" spans="1:29" x14ac:dyDescent="0.25">
      <c r="A125" t="s">
        <v>104</v>
      </c>
      <c r="B125" t="s">
        <v>105</v>
      </c>
      <c r="C125" t="str">
        <f t="shared" si="8"/>
        <v>Premier League</v>
      </c>
      <c r="D125" t="str">
        <f t="shared" si="9"/>
        <v>|Chelsea| |.v| |Leeds United|</v>
      </c>
      <c r="E125" s="69">
        <f t="shared" si="10"/>
        <v>44170.833333333336</v>
      </c>
      <c r="F125" t="s">
        <v>168</v>
      </c>
      <c r="G125" t="str">
        <f>'Stats RABs'!AO18</f>
        <v>Mateusz Klich 4+ shots on target and Mateo Kovacic 4+ tackles</v>
      </c>
      <c r="H125" t="s">
        <v>101</v>
      </c>
      <c r="I125" t="s">
        <v>127</v>
      </c>
      <c r="K125">
        <v>0.05</v>
      </c>
      <c r="M125">
        <f t="shared" si="7"/>
        <v>33.332999999999998</v>
      </c>
      <c r="N125" t="s">
        <v>150</v>
      </c>
      <c r="O125" s="142">
        <f>IF('Stats RABs'!AM18="","1/100",'Stats RABs'!AM18)</f>
        <v>1000</v>
      </c>
      <c r="V125" t="s">
        <v>103</v>
      </c>
      <c r="AC125" t="str">
        <f>IF(OR(O125="1/100",'Match Setup'!$E$8="N",'Match Setup'!$E$8=""),"Don't Export","Export")</f>
        <v>Don't Export</v>
      </c>
    </row>
    <row r="126" spans="1:29" x14ac:dyDescent="0.25">
      <c r="A126" t="s">
        <v>104</v>
      </c>
      <c r="B126" t="s">
        <v>105</v>
      </c>
      <c r="C126" t="str">
        <f t="shared" si="8"/>
        <v>Premier League</v>
      </c>
      <c r="D126" t="str">
        <f t="shared" si="9"/>
        <v>|Chelsea| |.v| |Leeds United|</v>
      </c>
      <c r="E126" s="69">
        <f t="shared" si="10"/>
        <v>44170.833333333336</v>
      </c>
      <c r="F126" t="s">
        <v>168</v>
      </c>
      <c r="G126" t="str">
        <f>'Stats RABs'!AO19</f>
        <v xml:space="preserve">Mason Mount &amp; Stuart Dallas 1+ shots on target each and Ben Chilwell &amp; Ezgjan Alioski 2+ tackles each </v>
      </c>
      <c r="H126" t="s">
        <v>101</v>
      </c>
      <c r="I126" t="s">
        <v>127</v>
      </c>
      <c r="K126">
        <v>0.05</v>
      </c>
      <c r="M126">
        <f t="shared" si="7"/>
        <v>3703.6666666666665</v>
      </c>
      <c r="N126" t="s">
        <v>150</v>
      </c>
      <c r="O126" s="142">
        <f>IF('Stats RABs'!AM19="","1/100",'Stats RABs'!AM19)</f>
        <v>9</v>
      </c>
      <c r="V126" t="s">
        <v>103</v>
      </c>
      <c r="AC126" t="str">
        <f>IF(OR(O126="1/100",'Match Setup'!$E$8="N",'Match Setup'!$E$8=""),"Don't Export","Export")</f>
        <v>Don't Export</v>
      </c>
    </row>
    <row r="127" spans="1:29" x14ac:dyDescent="0.25">
      <c r="A127" t="s">
        <v>104</v>
      </c>
      <c r="B127" t="s">
        <v>105</v>
      </c>
      <c r="C127" t="str">
        <f t="shared" si="8"/>
        <v>Premier League</v>
      </c>
      <c r="D127" t="str">
        <f t="shared" si="9"/>
        <v>|Chelsea| |.v| |Leeds United|</v>
      </c>
      <c r="E127" s="69">
        <f t="shared" si="10"/>
        <v>44170.833333333336</v>
      </c>
      <c r="F127" t="s">
        <v>168</v>
      </c>
      <c r="G127" t="str">
        <f>'Stats RABs'!AO20</f>
        <v xml:space="preserve">Timo Werner &amp; Patrick Bamford 3+ shots on target each and Reece James &amp; Stuart Dallas 3+ tackles each </v>
      </c>
      <c r="H127" t="s">
        <v>101</v>
      </c>
      <c r="I127" t="s">
        <v>127</v>
      </c>
      <c r="K127">
        <v>0.05</v>
      </c>
      <c r="M127">
        <f t="shared" si="7"/>
        <v>166.66499999999999</v>
      </c>
      <c r="N127" t="s">
        <v>150</v>
      </c>
      <c r="O127" s="142">
        <f>IF('Stats RABs'!AM20="","1/100",'Stats RABs'!AM20)</f>
        <v>200</v>
      </c>
      <c r="V127" t="s">
        <v>103</v>
      </c>
      <c r="AC127" t="str">
        <f>IF(OR(O127="1/100",'Match Setup'!$E$8="N",'Match Setup'!$E$8=""),"Don't Export","Export")</f>
        <v>Don't Export</v>
      </c>
    </row>
    <row r="128" spans="1:29" x14ac:dyDescent="0.25">
      <c r="A128" t="s">
        <v>104</v>
      </c>
      <c r="B128" t="s">
        <v>105</v>
      </c>
      <c r="C128" t="str">
        <f t="shared" si="8"/>
        <v>Premier League</v>
      </c>
      <c r="D128" t="str">
        <f t="shared" si="9"/>
        <v>|Chelsea| |.v| |Leeds United|</v>
      </c>
      <c r="E128" s="69">
        <f t="shared" si="10"/>
        <v>44170.833333333336</v>
      </c>
      <c r="F128" t="s">
        <v>171</v>
      </c>
      <c r="G128" t="str">
        <f>'SoT Each Half'!P3</f>
        <v>Timo Werner to have 1+ shot on target in each half</v>
      </c>
      <c r="H128" t="s">
        <v>101</v>
      </c>
      <c r="I128" t="s">
        <v>127</v>
      </c>
      <c r="J128">
        <v>1</v>
      </c>
      <c r="K128">
        <v>1.05</v>
      </c>
      <c r="M128">
        <f t="shared" si="7"/>
        <v>19047.428571428572</v>
      </c>
      <c r="N128" t="s">
        <v>150</v>
      </c>
      <c r="O128" s="142">
        <f>IF('SoT Each Half'!N3="","1/100",'SoT Each Half'!N3)</f>
        <v>1.75</v>
      </c>
      <c r="V128" t="s">
        <v>103</v>
      </c>
      <c r="AC128" t="str">
        <f>IF(OR('Match Setup'!$E$7="N",O128="1/100"),"Don't Export","Export")</f>
        <v>Export</v>
      </c>
    </row>
    <row r="129" spans="1:29" x14ac:dyDescent="0.25">
      <c r="A129" t="s">
        <v>104</v>
      </c>
      <c r="B129" t="s">
        <v>105</v>
      </c>
      <c r="C129" t="str">
        <f t="shared" si="8"/>
        <v>Premier League</v>
      </c>
      <c r="D129" t="str">
        <f t="shared" si="9"/>
        <v>|Chelsea| |.v| |Leeds United|</v>
      </c>
      <c r="E129" s="69">
        <f t="shared" si="10"/>
        <v>44170.833333333336</v>
      </c>
      <c r="F129" t="s">
        <v>171</v>
      </c>
      <c r="G129" t="str">
        <f>'SoT Each Half'!P4</f>
        <v>Timo Werner to have 2+ shots on target in each half</v>
      </c>
      <c r="H129" t="s">
        <v>101</v>
      </c>
      <c r="I129" t="s">
        <v>127</v>
      </c>
      <c r="J129">
        <v>2</v>
      </c>
      <c r="K129">
        <v>2.0499999999999998</v>
      </c>
      <c r="M129">
        <f t="shared" si="7"/>
        <v>1666.65</v>
      </c>
      <c r="N129" t="s">
        <v>150</v>
      </c>
      <c r="O129" s="142">
        <f>IF('SoT Each Half'!N4="","1/100",'SoT Each Half'!N4)</f>
        <v>20</v>
      </c>
      <c r="V129" t="s">
        <v>103</v>
      </c>
      <c r="AC129" t="str">
        <f>IF(OR('Match Setup'!$E$7="N",O129="1/100"),"Don't Export","Export")</f>
        <v>Export</v>
      </c>
    </row>
    <row r="130" spans="1:29" x14ac:dyDescent="0.25">
      <c r="A130" t="s">
        <v>104</v>
      </c>
      <c r="B130" t="s">
        <v>105</v>
      </c>
      <c r="C130" t="str">
        <f t="shared" si="8"/>
        <v>Premier League</v>
      </c>
      <c r="D130" t="str">
        <f t="shared" si="9"/>
        <v>|Chelsea| |.v| |Leeds United|</v>
      </c>
      <c r="E130" s="69">
        <f t="shared" si="10"/>
        <v>44170.833333333336</v>
      </c>
      <c r="F130" t="s">
        <v>171</v>
      </c>
      <c r="G130" t="str">
        <f>'SoT Each Half'!P5</f>
        <v>Tammy Abraham to have 1+ shot on target in each half</v>
      </c>
      <c r="H130" t="s">
        <v>101</v>
      </c>
      <c r="I130" t="s">
        <v>127</v>
      </c>
      <c r="J130">
        <v>3</v>
      </c>
      <c r="K130">
        <v>3.05</v>
      </c>
      <c r="M130">
        <f t="shared" si="7"/>
        <v>24242.18181818182</v>
      </c>
      <c r="N130" t="s">
        <v>150</v>
      </c>
      <c r="O130" s="142">
        <f>IF('SoT Each Half'!N5="","1/100",'SoT Each Half'!N5)</f>
        <v>1.375</v>
      </c>
      <c r="V130" t="s">
        <v>103</v>
      </c>
      <c r="AC130" t="str">
        <f>IF(OR('Match Setup'!$E$7="N",O130="1/100"),"Don't Export","Export")</f>
        <v>Export</v>
      </c>
    </row>
    <row r="131" spans="1:29" x14ac:dyDescent="0.25">
      <c r="A131" t="s">
        <v>104</v>
      </c>
      <c r="B131" t="s">
        <v>105</v>
      </c>
      <c r="C131" t="str">
        <f t="shared" si="8"/>
        <v>Premier League</v>
      </c>
      <c r="D131" t="str">
        <f t="shared" si="9"/>
        <v>|Chelsea| |.v| |Leeds United|</v>
      </c>
      <c r="E131" s="69">
        <f t="shared" si="10"/>
        <v>44170.833333333336</v>
      </c>
      <c r="F131" t="s">
        <v>171</v>
      </c>
      <c r="G131" t="str">
        <f>'SoT Each Half'!P6</f>
        <v>Tammy Abraham to have 2+ shots on target in each half</v>
      </c>
      <c r="H131" t="s">
        <v>101</v>
      </c>
      <c r="I131" t="s">
        <v>127</v>
      </c>
      <c r="J131">
        <v>4</v>
      </c>
      <c r="K131">
        <v>4.05</v>
      </c>
      <c r="M131">
        <f t="shared" ref="M131:M139" si="11">IFERROR(IF(O131="","",33333/O131),"")</f>
        <v>2777.75</v>
      </c>
      <c r="N131" t="s">
        <v>150</v>
      </c>
      <c r="O131" s="142">
        <f>IF('SoT Each Half'!N6="","1/100",'SoT Each Half'!N6)</f>
        <v>12</v>
      </c>
      <c r="V131" t="s">
        <v>103</v>
      </c>
      <c r="AC131" t="str">
        <f>IF(OR('Match Setup'!$E$7="N",O131="1/100"),"Don't Export","Export")</f>
        <v>Export</v>
      </c>
    </row>
    <row r="132" spans="1:29" x14ac:dyDescent="0.25">
      <c r="A132" t="s">
        <v>104</v>
      </c>
      <c r="B132" t="s">
        <v>105</v>
      </c>
      <c r="C132" t="str">
        <f t="shared" si="8"/>
        <v>Premier League</v>
      </c>
      <c r="D132" t="str">
        <f t="shared" si="9"/>
        <v>|Chelsea| |.v| |Leeds United|</v>
      </c>
      <c r="E132" s="69">
        <f t="shared" si="10"/>
        <v>44170.833333333336</v>
      </c>
      <c r="F132" t="s">
        <v>171</v>
      </c>
      <c r="G132" t="str">
        <f>'SoT Each Half'!P7</f>
        <v>Hakim Ziyech to have 1+ shot on target in each half</v>
      </c>
      <c r="H132" t="s">
        <v>101</v>
      </c>
      <c r="I132" t="s">
        <v>127</v>
      </c>
      <c r="J132">
        <v>5</v>
      </c>
      <c r="K132">
        <v>5.05</v>
      </c>
      <c r="M132">
        <f t="shared" si="11"/>
        <v>16666.5</v>
      </c>
      <c r="N132" t="s">
        <v>150</v>
      </c>
      <c r="O132" s="142">
        <f>IF('SoT Each Half'!N7="","1/100",'SoT Each Half'!N7)</f>
        <v>2</v>
      </c>
      <c r="V132" t="s">
        <v>103</v>
      </c>
      <c r="AC132" t="str">
        <f>IF(OR('Match Setup'!$E$7="N",O132="1/100"),"Don't Export","Export")</f>
        <v>Export</v>
      </c>
    </row>
    <row r="133" spans="1:29" x14ac:dyDescent="0.25">
      <c r="A133" t="s">
        <v>104</v>
      </c>
      <c r="B133" t="s">
        <v>105</v>
      </c>
      <c r="C133" t="str">
        <f t="shared" si="8"/>
        <v>Premier League</v>
      </c>
      <c r="D133" t="str">
        <f t="shared" si="9"/>
        <v>|Chelsea| |.v| |Leeds United|</v>
      </c>
      <c r="E133" s="69">
        <f t="shared" si="10"/>
        <v>44170.833333333336</v>
      </c>
      <c r="F133" t="s">
        <v>171</v>
      </c>
      <c r="G133" t="str">
        <f>'SoT Each Half'!P8</f>
        <v>Hakim Ziyech to have 2+ shots on target in each half</v>
      </c>
      <c r="H133" t="s">
        <v>101</v>
      </c>
      <c r="I133" t="s">
        <v>127</v>
      </c>
      <c r="J133">
        <v>6</v>
      </c>
      <c r="K133">
        <v>6.05</v>
      </c>
      <c r="M133">
        <f t="shared" si="11"/>
        <v>1333.32</v>
      </c>
      <c r="N133" t="s">
        <v>150</v>
      </c>
      <c r="O133" s="142">
        <f>IF('SoT Each Half'!N8="","1/100",'SoT Each Half'!N8)</f>
        <v>25</v>
      </c>
      <c r="V133" t="s">
        <v>103</v>
      </c>
      <c r="AC133" t="str">
        <f>IF(OR('Match Setup'!$E$7="N",O133="1/100"),"Don't Export","Export")</f>
        <v>Export</v>
      </c>
    </row>
    <row r="134" spans="1:29" x14ac:dyDescent="0.25">
      <c r="A134" t="s">
        <v>104</v>
      </c>
      <c r="B134" t="s">
        <v>105</v>
      </c>
      <c r="C134" t="str">
        <f t="shared" si="8"/>
        <v>Premier League</v>
      </c>
      <c r="D134" t="str">
        <f t="shared" si="9"/>
        <v>|Chelsea| |.v| |Leeds United|</v>
      </c>
      <c r="E134" s="69">
        <f t="shared" si="10"/>
        <v>44170.833333333336</v>
      </c>
      <c r="F134" t="s">
        <v>171</v>
      </c>
      <c r="G134" t="str">
        <f>'SoT Each Half'!P9</f>
        <v>Patrick Bamford to have 1+ shot on target in each half</v>
      </c>
      <c r="H134" t="s">
        <v>101</v>
      </c>
      <c r="I134" t="s">
        <v>127</v>
      </c>
      <c r="J134">
        <v>7</v>
      </c>
      <c r="K134">
        <v>7.05</v>
      </c>
      <c r="M134">
        <f t="shared" si="11"/>
        <v>7407.333333333333</v>
      </c>
      <c r="N134" t="s">
        <v>150</v>
      </c>
      <c r="O134" s="142">
        <f>IF('SoT Each Half'!N9="","1/100",'SoT Each Half'!N9)</f>
        <v>4.5</v>
      </c>
      <c r="V134" t="s">
        <v>103</v>
      </c>
      <c r="AC134" t="str">
        <f>IF(OR('Match Setup'!$E$7="N",O134="1/100"),"Don't Export","Export")</f>
        <v>Export</v>
      </c>
    </row>
    <row r="135" spans="1:29" x14ac:dyDescent="0.25">
      <c r="A135" t="s">
        <v>104</v>
      </c>
      <c r="B135" t="s">
        <v>105</v>
      </c>
      <c r="C135" t="str">
        <f t="shared" si="8"/>
        <v>Premier League</v>
      </c>
      <c r="D135" t="str">
        <f t="shared" si="9"/>
        <v>|Chelsea| |.v| |Leeds United|</v>
      </c>
      <c r="E135" s="69">
        <f t="shared" si="10"/>
        <v>44170.833333333336</v>
      </c>
      <c r="F135" t="s">
        <v>171</v>
      </c>
      <c r="G135" t="str">
        <f>'SoT Each Half'!P10</f>
        <v>Patrick Bamford to have 2+ shots on target in each half</v>
      </c>
      <c r="H135" t="s">
        <v>101</v>
      </c>
      <c r="I135" t="s">
        <v>127</v>
      </c>
      <c r="J135">
        <v>8</v>
      </c>
      <c r="K135">
        <v>8.0500000000000007</v>
      </c>
      <c r="M135">
        <f t="shared" si="11"/>
        <v>416.66250000000002</v>
      </c>
      <c r="N135" t="s">
        <v>150</v>
      </c>
      <c r="O135" s="142">
        <f>IF('SoT Each Half'!N10="","1/100",'SoT Each Half'!N10)</f>
        <v>80</v>
      </c>
      <c r="V135" t="s">
        <v>103</v>
      </c>
      <c r="AC135" t="str">
        <f>IF(OR('Match Setup'!$E$7="N",O135="1/100"),"Don't Export","Export")</f>
        <v>Export</v>
      </c>
    </row>
    <row r="136" spans="1:29" x14ac:dyDescent="0.25">
      <c r="A136" t="s">
        <v>104</v>
      </c>
      <c r="B136" t="s">
        <v>105</v>
      </c>
      <c r="C136" t="str">
        <f t="shared" si="8"/>
        <v>Premier League</v>
      </c>
      <c r="D136" t="str">
        <f t="shared" si="9"/>
        <v>|Chelsea| |.v| |Leeds United|</v>
      </c>
      <c r="E136" s="69">
        <f t="shared" si="10"/>
        <v>44170.833333333336</v>
      </c>
      <c r="F136" t="s">
        <v>171</v>
      </c>
      <c r="G136" t="str">
        <f>'SoT Each Half'!P11</f>
        <v>Raphinha to have 1+ shot on target in each half</v>
      </c>
      <c r="H136" t="s">
        <v>101</v>
      </c>
      <c r="I136" t="s">
        <v>127</v>
      </c>
      <c r="J136">
        <v>9</v>
      </c>
      <c r="K136">
        <v>9.0500000000000007</v>
      </c>
      <c r="M136">
        <f t="shared" si="11"/>
        <v>4444.3999999999996</v>
      </c>
      <c r="N136" t="s">
        <v>150</v>
      </c>
      <c r="O136" s="142">
        <f>IF('SoT Each Half'!N11="","1/100",'SoT Each Half'!N11)</f>
        <v>7.5</v>
      </c>
      <c r="V136" t="s">
        <v>103</v>
      </c>
      <c r="AC136" t="str">
        <f>IF(OR('Match Setup'!$E$7="N",O136="1/100"),"Don't Export","Export")</f>
        <v>Export</v>
      </c>
    </row>
    <row r="137" spans="1:29" x14ac:dyDescent="0.25">
      <c r="A137" t="s">
        <v>104</v>
      </c>
      <c r="B137" t="s">
        <v>105</v>
      </c>
      <c r="C137" t="str">
        <f t="shared" si="8"/>
        <v>Premier League</v>
      </c>
      <c r="D137" t="str">
        <f t="shared" si="9"/>
        <v>|Chelsea| |.v| |Leeds United|</v>
      </c>
      <c r="E137" s="69">
        <f t="shared" si="10"/>
        <v>44170.833333333336</v>
      </c>
      <c r="F137" t="s">
        <v>171</v>
      </c>
      <c r="G137" t="str">
        <f>'SoT Each Half'!P12</f>
        <v>Raphinha to have 2+ shots on target in each half</v>
      </c>
      <c r="H137" t="s">
        <v>101</v>
      </c>
      <c r="I137" t="s">
        <v>127</v>
      </c>
      <c r="J137">
        <v>10</v>
      </c>
      <c r="K137">
        <v>10.050000000000001</v>
      </c>
      <c r="M137">
        <f t="shared" si="11"/>
        <v>166.66499999999999</v>
      </c>
      <c r="N137" t="s">
        <v>150</v>
      </c>
      <c r="O137" s="142">
        <f>IF('SoT Each Half'!N12="","1/100",'SoT Each Half'!N12)</f>
        <v>200</v>
      </c>
      <c r="V137" t="s">
        <v>103</v>
      </c>
      <c r="AC137" t="str">
        <f>IF(OR('Match Setup'!$E$7="N",O137="1/100"),"Don't Export","Export")</f>
        <v>Export</v>
      </c>
    </row>
    <row r="138" spans="1:29" x14ac:dyDescent="0.25">
      <c r="A138" t="s">
        <v>104</v>
      </c>
      <c r="B138" t="s">
        <v>105</v>
      </c>
      <c r="C138" t="str">
        <f t="shared" si="8"/>
        <v>Premier League</v>
      </c>
      <c r="D138" t="str">
        <f t="shared" si="9"/>
        <v>|Chelsea| |.v| |Leeds United|</v>
      </c>
      <c r="E138" s="69">
        <f t="shared" si="10"/>
        <v>44170.833333333336</v>
      </c>
      <c r="F138" t="s">
        <v>171</v>
      </c>
      <c r="G138" t="str">
        <f>'SoT Each Half'!P13</f>
        <v>Mateusz Klich to have 1+ shot on target in each half</v>
      </c>
      <c r="H138" t="s">
        <v>101</v>
      </c>
      <c r="I138" t="s">
        <v>127</v>
      </c>
      <c r="J138">
        <v>11</v>
      </c>
      <c r="K138">
        <v>11.05</v>
      </c>
      <c r="M138">
        <f t="shared" si="11"/>
        <v>1851.8333333333333</v>
      </c>
      <c r="N138" t="s">
        <v>150</v>
      </c>
      <c r="O138" s="142">
        <f>IF('SoT Each Half'!N13="","1/100",'SoT Each Half'!N13)</f>
        <v>18</v>
      </c>
      <c r="V138" t="s">
        <v>103</v>
      </c>
      <c r="AC138" t="str">
        <f>IF(OR('Match Setup'!$E$7="N",O138="1/100"),"Don't Export","Export")</f>
        <v>Export</v>
      </c>
    </row>
    <row r="139" spans="1:29" x14ac:dyDescent="0.25">
      <c r="A139" t="s">
        <v>104</v>
      </c>
      <c r="B139" t="s">
        <v>105</v>
      </c>
      <c r="C139" t="str">
        <f t="shared" si="8"/>
        <v>Premier League</v>
      </c>
      <c r="D139" t="str">
        <f t="shared" si="9"/>
        <v>|Chelsea| |.v| |Leeds United|</v>
      </c>
      <c r="E139" s="69">
        <f t="shared" si="10"/>
        <v>44170.833333333336</v>
      </c>
      <c r="F139" t="s">
        <v>171</v>
      </c>
      <c r="G139" t="str">
        <f>'SoT Each Half'!P14</f>
        <v>Mateusz Klich to have 2+ shots on target in each half</v>
      </c>
      <c r="H139" t="s">
        <v>101</v>
      </c>
      <c r="I139" t="s">
        <v>127</v>
      </c>
      <c r="J139">
        <v>12</v>
      </c>
      <c r="K139">
        <v>12.05</v>
      </c>
      <c r="M139">
        <f t="shared" si="11"/>
        <v>33.332999999999998</v>
      </c>
      <c r="N139" t="s">
        <v>150</v>
      </c>
      <c r="O139" s="142">
        <f>IF('SoT Each Half'!N14="","1/100",'SoT Each Half'!N14)</f>
        <v>1000</v>
      </c>
      <c r="V139" t="s">
        <v>103</v>
      </c>
      <c r="AC139" t="str">
        <f>IF(OR('Match Setup'!$E$7="N",O139="1/100"),"Don't Export","Export")</f>
        <v>Export</v>
      </c>
    </row>
  </sheetData>
  <phoneticPr fontId="1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78</vt:i4>
      </vt:variant>
    </vt:vector>
  </HeadingPairs>
  <TitlesOfParts>
    <vt:vector size="91" baseType="lpstr">
      <vt:lpstr>Match Setup</vt:lpstr>
      <vt:lpstr>Player Inputs</vt:lpstr>
      <vt:lpstr>Shots Selections</vt:lpstr>
      <vt:lpstr>Tackles Selections</vt:lpstr>
      <vt:lpstr>1st Half Shots</vt:lpstr>
      <vt:lpstr>SoT Each Half</vt:lpstr>
      <vt:lpstr>Stats RABs</vt:lpstr>
      <vt:lpstr>Resulting Inputs</vt:lpstr>
      <vt:lpstr>Results CSV</vt:lpstr>
      <vt:lpstr>Lists</vt:lpstr>
      <vt:lpstr>1</vt:lpstr>
      <vt:lpstr>2</vt:lpstr>
      <vt:lpstr>3</vt:lpstr>
      <vt:lpstr>DATE</vt:lpstr>
      <vt:lpstr>DecimalPriceLookUp</vt:lpstr>
      <vt:lpstr>EVENT</vt:lpstr>
      <vt:lpstr>FractionalPriceLookUp</vt:lpstr>
      <vt:lpstr>FractionalPriceLookUp2</vt:lpstr>
      <vt:lpstr>Resulting_Shots_Players</vt:lpstr>
      <vt:lpstr>Resulting_Shots_Totals</vt:lpstr>
      <vt:lpstr>Resulting_Tackles_Players</vt:lpstr>
      <vt:lpstr>Resulting_Tackles_Totals</vt:lpstr>
      <vt:lpstr>Shots_Combinations</vt:lpstr>
      <vt:lpstr>Shots_Offer_Prices</vt:lpstr>
      <vt:lpstr>Shots_Selection_Count</vt:lpstr>
      <vt:lpstr>Shots_Selection_Names</vt:lpstr>
      <vt:lpstr>Shots_Selections_1</vt:lpstr>
      <vt:lpstr>Shots_Selections_2</vt:lpstr>
      <vt:lpstr>Shots_Selections_3</vt:lpstr>
      <vt:lpstr>Shots_Selections_4</vt:lpstr>
      <vt:lpstr>Shots_Selections_5</vt:lpstr>
      <vt:lpstr>Shots_Selections_6</vt:lpstr>
      <vt:lpstr>Shots_True_Prices</vt:lpstr>
      <vt:lpstr>ShotsPlayer1</vt:lpstr>
      <vt:lpstr>ShotsPlayer10</vt:lpstr>
      <vt:lpstr>ShotsPlayer11</vt:lpstr>
      <vt:lpstr>ShotsPlayer12</vt:lpstr>
      <vt:lpstr>ShotsPlayer13</vt:lpstr>
      <vt:lpstr>ShotsPlayer14</vt:lpstr>
      <vt:lpstr>ShotsPlayer15</vt:lpstr>
      <vt:lpstr>ShotsPlayer16</vt:lpstr>
      <vt:lpstr>ShotsPlayer17</vt:lpstr>
      <vt:lpstr>ShotsPlayer18</vt:lpstr>
      <vt:lpstr>ShotsPlayer19</vt:lpstr>
      <vt:lpstr>ShotsPlayer2</vt:lpstr>
      <vt:lpstr>ShotsPlayer20</vt:lpstr>
      <vt:lpstr>ShotsPlayer3</vt:lpstr>
      <vt:lpstr>ShotsPlayer4</vt:lpstr>
      <vt:lpstr>ShotsPlayer5</vt:lpstr>
      <vt:lpstr>ShotsPlayer6</vt:lpstr>
      <vt:lpstr>ShotsPlayer7</vt:lpstr>
      <vt:lpstr>ShotsPlayer8</vt:lpstr>
      <vt:lpstr>ShotsPlayer9</vt:lpstr>
      <vt:lpstr>ShotsPlayers</vt:lpstr>
      <vt:lpstr>ShotsRemaining</vt:lpstr>
      <vt:lpstr>SoT_Totals_List</vt:lpstr>
      <vt:lpstr>Tackles_Combinations</vt:lpstr>
      <vt:lpstr>Tackles_Offer_Prices</vt:lpstr>
      <vt:lpstr>Tackles_Selection_Count</vt:lpstr>
      <vt:lpstr>Tackles_Selection_Names</vt:lpstr>
      <vt:lpstr>Tackles_Selections_1</vt:lpstr>
      <vt:lpstr>Tackles_Selections_2</vt:lpstr>
      <vt:lpstr>Tackles_Selections_3</vt:lpstr>
      <vt:lpstr>Tackles_Selections_4</vt:lpstr>
      <vt:lpstr>Tackles_Selections_5</vt:lpstr>
      <vt:lpstr>Tackles_Selections_6</vt:lpstr>
      <vt:lpstr>Tackles_True_Prices</vt:lpstr>
      <vt:lpstr>TacklesPlayer1</vt:lpstr>
      <vt:lpstr>TacklesPlayer10</vt:lpstr>
      <vt:lpstr>TacklesPlayer11</vt:lpstr>
      <vt:lpstr>TacklesPlayer12</vt:lpstr>
      <vt:lpstr>TacklesPlayer13</vt:lpstr>
      <vt:lpstr>TacklesPlayer14</vt:lpstr>
      <vt:lpstr>TacklesPlayer15</vt:lpstr>
      <vt:lpstr>TacklesPlayer16</vt:lpstr>
      <vt:lpstr>TacklesPlayer17</vt:lpstr>
      <vt:lpstr>TacklesPlayer18</vt:lpstr>
      <vt:lpstr>TacklesPlayer19</vt:lpstr>
      <vt:lpstr>TacklesPlayer2</vt:lpstr>
      <vt:lpstr>TacklesPlayer20</vt:lpstr>
      <vt:lpstr>TacklesPlayer3</vt:lpstr>
      <vt:lpstr>TacklesPlayer4</vt:lpstr>
      <vt:lpstr>TacklesPlayer5</vt:lpstr>
      <vt:lpstr>TacklesPlayer6</vt:lpstr>
      <vt:lpstr>TacklesPlayer7</vt:lpstr>
      <vt:lpstr>TacklesPlayer8</vt:lpstr>
      <vt:lpstr>TacklesPlayer9</vt:lpstr>
      <vt:lpstr>TacklesPlayers</vt:lpstr>
      <vt:lpstr>TacklesRemaining</vt:lpstr>
      <vt:lpstr>TcK_Totals_List</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Capel</dc:creator>
  <cp:lastModifiedBy>Thomas Capel</cp:lastModifiedBy>
  <dcterms:created xsi:type="dcterms:W3CDTF">2019-02-09T12:25:34Z</dcterms:created>
  <dcterms:modified xsi:type="dcterms:W3CDTF">2021-12-13T12:06:41Z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4d6d82-2e6c-4274-9634-9ed749155ba6_Enabled">
    <vt:lpwstr>False</vt:lpwstr>
  </property>
  <property fmtid="{D5CDD505-2E9C-101B-9397-08002B2CF9AE}" pid="3" name="MSIP_Label_134d6d82-2e6c-4274-9634-9ed749155ba6_SiteId">
    <vt:lpwstr>5e729370-42c0-400b-856a-8d18bcda2139</vt:lpwstr>
  </property>
  <property fmtid="{D5CDD505-2E9C-101B-9397-08002B2CF9AE}" pid="4" name="MSIP_Label_134d6d82-2e6c-4274-9634-9ed749155ba6_Owner">
    <vt:lpwstr>Thomas.Capel@skybettingandgaming.com</vt:lpwstr>
  </property>
  <property fmtid="{D5CDD505-2E9C-101B-9397-08002B2CF9AE}" pid="5" name="MSIP_Label_134d6d82-2e6c-4274-9634-9ed749155ba6_SetDate">
    <vt:lpwstr>2020-06-29T11:31:03.3820214Z</vt:lpwstr>
  </property>
  <property fmtid="{D5CDD505-2E9C-101B-9397-08002B2CF9AE}" pid="6" name="MSIP_Label_134d6d82-2e6c-4274-9634-9ed749155ba6_Name">
    <vt:lpwstr>SBG - Internal Confidential Author</vt:lpwstr>
  </property>
  <property fmtid="{D5CDD505-2E9C-101B-9397-08002B2CF9AE}" pid="7" name="MSIP_Label_134d6d82-2e6c-4274-9634-9ed749155ba6_Application">
    <vt:lpwstr>Microsoft Azure Information Protection</vt:lpwstr>
  </property>
  <property fmtid="{D5CDD505-2E9C-101B-9397-08002B2CF9AE}" pid="8" name="MSIP_Label_134d6d82-2e6c-4274-9634-9ed749155ba6_Extended_MSFT_Method">
    <vt:lpwstr>Manual</vt:lpwstr>
  </property>
</Properties>
</file>